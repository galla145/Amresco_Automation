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D81D38DF-34E8-40F7-9AAE-D9C8D45E489F}" xr6:coauthVersionLast="47" xr6:coauthVersionMax="47" xr10:uidLastSave="{00000000-0000-0000-0000-000000000000}"/>
  <bookViews>
    <workbookView xWindow="-108" yWindow="-108" windowWidth="23256" windowHeight="12456" tabRatio="866" firstSheet="12" activeTab="12"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27" l="1"/>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E6" i="27"/>
  <c r="F6" i="27"/>
  <c r="E7" i="27"/>
  <c r="F7" i="27"/>
  <c r="E8" i="27"/>
  <c r="F8" i="27"/>
  <c r="E9" i="27"/>
  <c r="F9" i="27"/>
  <c r="E10" i="27"/>
  <c r="F10" i="27"/>
  <c r="E11" i="27"/>
  <c r="F11" i="27"/>
  <c r="E12" i="27"/>
  <c r="F12" i="27"/>
  <c r="E13" i="27"/>
  <c r="F13" i="27"/>
  <c r="E14" i="27"/>
  <c r="F14" i="27"/>
  <c r="E15" i="27"/>
  <c r="F15" i="27"/>
  <c r="E16" i="27"/>
  <c r="F16" i="27"/>
  <c r="E17" i="27"/>
  <c r="F17" i="27"/>
  <c r="E18" i="27"/>
  <c r="F18" i="27"/>
  <c r="E19" i="27"/>
  <c r="F19" i="27"/>
  <c r="E20" i="27"/>
  <c r="F20" i="27"/>
  <c r="E21" i="27"/>
  <c r="F21" i="27"/>
  <c r="E22" i="27"/>
  <c r="F22" i="27"/>
  <c r="E23" i="27"/>
  <c r="F23" i="27"/>
  <c r="E24" i="27"/>
  <c r="F24" i="27"/>
  <c r="E25" i="27"/>
  <c r="F25" i="27"/>
  <c r="E26" i="27"/>
  <c r="F26" i="27"/>
  <c r="E27" i="27"/>
  <c r="F27" i="27"/>
  <c r="E28" i="27"/>
  <c r="F28" i="27"/>
  <c r="E29" i="27"/>
  <c r="F29" i="27"/>
  <c r="E30" i="27"/>
  <c r="F30" i="27"/>
  <c r="E31" i="27"/>
  <c r="F31" i="27"/>
  <c r="E32" i="27"/>
  <c r="F32" i="27"/>
  <c r="E33" i="27"/>
  <c r="F33" i="27"/>
  <c r="E34" i="27"/>
  <c r="F34" i="27"/>
  <c r="E35" i="27"/>
  <c r="F35" i="27"/>
  <c r="E36" i="27"/>
  <c r="F36" i="27"/>
  <c r="E37" i="27"/>
  <c r="F37" i="27"/>
  <c r="E38" i="27"/>
  <c r="F38" i="27"/>
  <c r="E39" i="27"/>
  <c r="F39" i="27"/>
  <c r="E40" i="27"/>
  <c r="F40" i="27"/>
  <c r="E41" i="27"/>
  <c r="F41" i="27"/>
  <c r="E42" i="27"/>
  <c r="F42" i="27"/>
  <c r="E43" i="27"/>
  <c r="F43" i="27"/>
  <c r="E44" i="27"/>
  <c r="F44" i="27"/>
  <c r="E45" i="27"/>
  <c r="F45" i="27"/>
  <c r="E46" i="27"/>
  <c r="F46" i="27"/>
  <c r="E47" i="27"/>
  <c r="F47" i="27"/>
  <c r="E48" i="27"/>
  <c r="F48" i="27"/>
  <c r="E49" i="27"/>
  <c r="F49" i="27"/>
  <c r="E50" i="27"/>
  <c r="F50" i="27"/>
  <c r="E51" i="27"/>
  <c r="F51" i="27"/>
  <c r="E52" i="27"/>
  <c r="F52" i="27"/>
  <c r="E53" i="27"/>
  <c r="F53" i="27"/>
  <c r="E54" i="27"/>
  <c r="F54" i="27"/>
  <c r="E55" i="27"/>
  <c r="F55" i="27"/>
  <c r="E56" i="27"/>
  <c r="F56" i="27"/>
  <c r="E57" i="27"/>
  <c r="F57" i="27"/>
  <c r="E58" i="27"/>
  <c r="F58" i="27"/>
  <c r="E59" i="27"/>
  <c r="F59" i="27"/>
  <c r="E60" i="27"/>
  <c r="F60" i="27"/>
  <c r="E61" i="27"/>
  <c r="F61" i="27"/>
  <c r="E62" i="27"/>
  <c r="F62" i="27"/>
  <c r="E63" i="27"/>
  <c r="F63" i="27"/>
  <c r="E64" i="27"/>
  <c r="F64" i="27"/>
  <c r="E65" i="27"/>
  <c r="F65" i="27"/>
  <c r="E66" i="27"/>
  <c r="F66" i="27"/>
  <c r="E67" i="27"/>
  <c r="F67" i="27"/>
  <c r="E68" i="27"/>
  <c r="F68" i="27"/>
  <c r="E69" i="27"/>
  <c r="F69" i="27"/>
  <c r="E70" i="27"/>
  <c r="F70" i="27"/>
  <c r="E71" i="27"/>
  <c r="F71" i="27"/>
  <c r="E72" i="27"/>
  <c r="F72" i="27"/>
  <c r="E73" i="27"/>
  <c r="F73" i="27"/>
  <c r="E74" i="27"/>
  <c r="F74" i="27"/>
  <c r="E75" i="27"/>
  <c r="F75" i="27"/>
  <c r="E76" i="27"/>
  <c r="F76" i="27"/>
  <c r="E77" i="27"/>
  <c r="F77" i="27"/>
  <c r="E78" i="27"/>
  <c r="F78" i="27"/>
  <c r="E79" i="27"/>
  <c r="F79" i="27"/>
  <c r="E80" i="27"/>
  <c r="F80" i="27"/>
  <c r="E81" i="27"/>
  <c r="F81" i="27"/>
  <c r="E82" i="27"/>
  <c r="F82" i="27"/>
  <c r="E83" i="27"/>
  <c r="F83" i="27"/>
  <c r="E84" i="27"/>
  <c r="F84" i="27"/>
  <c r="E85" i="27"/>
  <c r="F85" i="27"/>
  <c r="F85" i="26"/>
  <c r="E85" i="26"/>
  <c r="C25" i="30"/>
  <c r="D25" i="30"/>
  <c r="E25" i="30"/>
  <c r="F25" i="30"/>
  <c r="G25" i="30"/>
  <c r="H25" i="30"/>
  <c r="I25" i="30"/>
  <c r="C26" i="30"/>
  <c r="D26" i="30"/>
  <c r="E26" i="30"/>
  <c r="F26" i="30"/>
  <c r="G26" i="30"/>
  <c r="H26" i="30"/>
  <c r="I26" i="30"/>
  <c r="C27" i="30"/>
  <c r="D27" i="30"/>
  <c r="E27" i="30"/>
  <c r="F27" i="30"/>
  <c r="G27" i="30"/>
  <c r="H27" i="30"/>
  <c r="I27" i="30"/>
  <c r="C28" i="30"/>
  <c r="D28" i="30"/>
  <c r="E28" i="30"/>
  <c r="F28" i="30"/>
  <c r="G28" i="30"/>
  <c r="H28" i="30"/>
  <c r="I28" i="30"/>
  <c r="C29" i="30"/>
  <c r="D29" i="30"/>
  <c r="E29" i="30"/>
  <c r="F29" i="30"/>
  <c r="G29" i="30"/>
  <c r="H29" i="30"/>
  <c r="I29" i="30"/>
  <c r="C30" i="30"/>
  <c r="D30" i="30"/>
  <c r="E30" i="30"/>
  <c r="F30" i="30"/>
  <c r="G30" i="30"/>
  <c r="H30" i="30"/>
  <c r="I30" i="30"/>
  <c r="C31" i="30"/>
  <c r="D31" i="30"/>
  <c r="E31" i="30"/>
  <c r="F31" i="30"/>
  <c r="G31" i="30"/>
  <c r="H31" i="30"/>
  <c r="I31" i="30"/>
  <c r="C32" i="30"/>
  <c r="D32" i="30"/>
  <c r="E32" i="30"/>
  <c r="F32" i="30"/>
  <c r="G32" i="30"/>
  <c r="H32" i="30"/>
  <c r="I32" i="30"/>
  <c r="C33" i="30"/>
  <c r="D33" i="30"/>
  <c r="E33" i="30"/>
  <c r="F33" i="30"/>
  <c r="G33" i="30"/>
  <c r="H33" i="30"/>
  <c r="I33" i="30"/>
  <c r="C34" i="30"/>
  <c r="D34" i="30"/>
  <c r="E34" i="30"/>
  <c r="F34" i="30"/>
  <c r="G34" i="30"/>
  <c r="H34" i="30"/>
  <c r="I34" i="30"/>
  <c r="C35" i="30"/>
  <c r="D35" i="30"/>
  <c r="E35" i="30"/>
  <c r="F35" i="30"/>
  <c r="G35" i="30"/>
  <c r="H35" i="30"/>
  <c r="I35" i="30"/>
  <c r="C36" i="30"/>
  <c r="D36" i="30"/>
  <c r="E36" i="30"/>
  <c r="F36" i="30"/>
  <c r="G36" i="30"/>
  <c r="H36" i="30"/>
  <c r="I36" i="30"/>
  <c r="C37" i="30"/>
  <c r="D37" i="30"/>
  <c r="E37" i="30"/>
  <c r="F37" i="30"/>
  <c r="G37" i="30"/>
  <c r="H37" i="30"/>
  <c r="I37" i="30"/>
  <c r="C38" i="30"/>
  <c r="D38" i="30"/>
  <c r="E38" i="30"/>
  <c r="F38" i="30"/>
  <c r="G38" i="30"/>
  <c r="H38" i="30"/>
  <c r="I38" i="30"/>
  <c r="C39" i="30"/>
  <c r="D39" i="30"/>
  <c r="E39" i="30"/>
  <c r="F39" i="30"/>
  <c r="G39" i="30"/>
  <c r="H39" i="30"/>
  <c r="I39" i="30"/>
  <c r="C40" i="30"/>
  <c r="D40" i="30"/>
  <c r="E40" i="30"/>
  <c r="F40" i="30"/>
  <c r="G40" i="30"/>
  <c r="H40" i="30"/>
  <c r="I40" i="30"/>
  <c r="C41" i="30"/>
  <c r="D41" i="30"/>
  <c r="E41" i="30"/>
  <c r="F41" i="30"/>
  <c r="G41" i="30"/>
  <c r="H41" i="30"/>
  <c r="I41" i="30"/>
  <c r="C42" i="30"/>
  <c r="D42" i="30"/>
  <c r="E42" i="30"/>
  <c r="F42" i="30"/>
  <c r="G42" i="30"/>
  <c r="H42" i="30"/>
  <c r="I42" i="30"/>
  <c r="C43" i="30"/>
  <c r="D43" i="30"/>
  <c r="E43" i="30"/>
  <c r="F43" i="30"/>
  <c r="G43" i="30"/>
  <c r="H43" i="30"/>
  <c r="I43" i="30"/>
  <c r="C44" i="30"/>
  <c r="D44" i="30"/>
  <c r="E44" i="30"/>
  <c r="F44" i="30"/>
  <c r="G44" i="30"/>
  <c r="H44" i="30"/>
  <c r="I44" i="30"/>
  <c r="C45" i="30"/>
  <c r="D45" i="30"/>
  <c r="E45" i="30"/>
  <c r="F45" i="30"/>
  <c r="G45" i="30"/>
  <c r="H45" i="30"/>
  <c r="I45" i="30"/>
  <c r="C46" i="30"/>
  <c r="D46" i="30"/>
  <c r="E46" i="30"/>
  <c r="F46" i="30"/>
  <c r="G46" i="30"/>
  <c r="H46" i="30"/>
  <c r="I46" i="30"/>
  <c r="C47" i="30"/>
  <c r="D47" i="30"/>
  <c r="E47" i="30"/>
  <c r="F47" i="30"/>
  <c r="G47" i="30"/>
  <c r="H47" i="30"/>
  <c r="I47" i="30"/>
  <c r="C48" i="30"/>
  <c r="D48" i="30"/>
  <c r="E48" i="30"/>
  <c r="F48" i="30"/>
  <c r="G48" i="30"/>
  <c r="H48" i="30"/>
  <c r="I48" i="30"/>
  <c r="C49" i="30"/>
  <c r="D49" i="30"/>
  <c r="E49" i="30"/>
  <c r="F49" i="30"/>
  <c r="G49" i="30"/>
  <c r="H49" i="30"/>
  <c r="I49" i="30"/>
  <c r="C50" i="30"/>
  <c r="D50" i="30"/>
  <c r="E50" i="30"/>
  <c r="F50" i="30"/>
  <c r="G50" i="30"/>
  <c r="H50" i="30"/>
  <c r="I50" i="30"/>
  <c r="C51" i="30"/>
  <c r="D51" i="30"/>
  <c r="E51" i="30"/>
  <c r="F51" i="30"/>
  <c r="G51" i="30"/>
  <c r="H51" i="30"/>
  <c r="I51" i="30"/>
  <c r="C52" i="30"/>
  <c r="D52" i="30"/>
  <c r="E52" i="30"/>
  <c r="F52" i="30"/>
  <c r="G52" i="30"/>
  <c r="H52" i="30"/>
  <c r="I52" i="30"/>
  <c r="C53" i="30"/>
  <c r="D53" i="30"/>
  <c r="E53" i="30"/>
  <c r="F53" i="30"/>
  <c r="G53" i="30"/>
  <c r="H53" i="30"/>
  <c r="I53" i="30"/>
  <c r="C54" i="30"/>
  <c r="D54" i="30"/>
  <c r="E54" i="30"/>
  <c r="F54" i="30"/>
  <c r="G54" i="30"/>
  <c r="H54" i="30"/>
  <c r="I54" i="30"/>
  <c r="C55" i="30"/>
  <c r="D55" i="30"/>
  <c r="E55" i="30"/>
  <c r="F55" i="30"/>
  <c r="G55" i="30"/>
  <c r="H55" i="30"/>
  <c r="I55" i="30"/>
  <c r="C56" i="30"/>
  <c r="D56" i="30"/>
  <c r="E56" i="30"/>
  <c r="F56" i="30"/>
  <c r="G56" i="30"/>
  <c r="H56" i="30"/>
  <c r="I56" i="30"/>
  <c r="C57" i="30"/>
  <c r="D57" i="30"/>
  <c r="E57" i="30"/>
  <c r="F57" i="30"/>
  <c r="G57" i="30"/>
  <c r="H57" i="30"/>
  <c r="I57" i="30"/>
  <c r="C58" i="30"/>
  <c r="D58" i="30"/>
  <c r="E58" i="30"/>
  <c r="F58" i="30"/>
  <c r="G58" i="30"/>
  <c r="H58" i="30"/>
  <c r="I58" i="30"/>
  <c r="C59" i="30"/>
  <c r="D59" i="30"/>
  <c r="E59" i="30"/>
  <c r="F59" i="30"/>
  <c r="G59" i="30"/>
  <c r="H59" i="30"/>
  <c r="I59" i="30"/>
  <c r="C60" i="30"/>
  <c r="D60" i="30"/>
  <c r="E60" i="30"/>
  <c r="F60" i="30"/>
  <c r="G60" i="30"/>
  <c r="H60" i="30"/>
  <c r="I60" i="30"/>
  <c r="C61" i="30"/>
  <c r="D61" i="30"/>
  <c r="E61" i="30"/>
  <c r="F61" i="30"/>
  <c r="G61" i="30"/>
  <c r="H61" i="30"/>
  <c r="I61" i="30"/>
  <c r="C62" i="30"/>
  <c r="D62" i="30"/>
  <c r="E62" i="30"/>
  <c r="F62" i="30"/>
  <c r="G62" i="30"/>
  <c r="H62" i="30"/>
  <c r="I62" i="30"/>
  <c r="C63" i="30"/>
  <c r="D63" i="30"/>
  <c r="E63" i="30"/>
  <c r="F63" i="30"/>
  <c r="G63" i="30"/>
  <c r="H63" i="30"/>
  <c r="I63" i="30"/>
  <c r="C64" i="30"/>
  <c r="D64" i="30"/>
  <c r="E64" i="30"/>
  <c r="F64" i="30"/>
  <c r="G64" i="30"/>
  <c r="H64" i="30"/>
  <c r="I64" i="30"/>
  <c r="C65" i="30"/>
  <c r="D65" i="30"/>
  <c r="E65" i="30"/>
  <c r="F65" i="30"/>
  <c r="G65" i="30"/>
  <c r="H65" i="30"/>
  <c r="I65" i="30"/>
  <c r="C66" i="30"/>
  <c r="D66" i="30"/>
  <c r="E66" i="30"/>
  <c r="F66" i="30"/>
  <c r="G66" i="30"/>
  <c r="H66" i="30"/>
  <c r="I66" i="30"/>
  <c r="C67" i="30"/>
  <c r="D67" i="30"/>
  <c r="E67" i="30"/>
  <c r="F67" i="30"/>
  <c r="G67" i="30"/>
  <c r="H67" i="30"/>
  <c r="I67" i="30"/>
  <c r="C68" i="30"/>
  <c r="D68" i="30"/>
  <c r="E68" i="30"/>
  <c r="F68" i="30"/>
  <c r="G68" i="30"/>
  <c r="H68" i="30"/>
  <c r="I68" i="30"/>
  <c r="C69" i="30"/>
  <c r="D69" i="30"/>
  <c r="E69" i="30"/>
  <c r="F69" i="30"/>
  <c r="G69" i="30"/>
  <c r="H69" i="30"/>
  <c r="I69" i="30"/>
  <c r="C70" i="30"/>
  <c r="D70" i="30"/>
  <c r="E70" i="30"/>
  <c r="F70" i="30"/>
  <c r="G70" i="30"/>
  <c r="H70" i="30"/>
  <c r="I70" i="30"/>
  <c r="C71" i="30"/>
  <c r="D71" i="30"/>
  <c r="E71" i="30"/>
  <c r="F71" i="30"/>
  <c r="G71" i="30"/>
  <c r="H71" i="30"/>
  <c r="I71" i="30"/>
  <c r="C72" i="30"/>
  <c r="D72" i="30"/>
  <c r="E72" i="30"/>
  <c r="F72" i="30"/>
  <c r="G72" i="30"/>
  <c r="H72" i="30"/>
  <c r="I72" i="30"/>
  <c r="C73" i="30"/>
  <c r="D73" i="30"/>
  <c r="E73" i="30"/>
  <c r="F73" i="30"/>
  <c r="G73" i="30"/>
  <c r="H73" i="30"/>
  <c r="I73" i="30"/>
  <c r="C74" i="30"/>
  <c r="D74" i="30"/>
  <c r="E74" i="30"/>
  <c r="F74" i="30"/>
  <c r="G74" i="30"/>
  <c r="H74" i="30"/>
  <c r="I74" i="30"/>
  <c r="C75" i="30"/>
  <c r="D75" i="30"/>
  <c r="E75" i="30"/>
  <c r="F75" i="30"/>
  <c r="G75" i="30"/>
  <c r="H75" i="30"/>
  <c r="I75" i="30"/>
  <c r="C76" i="30"/>
  <c r="D76" i="30"/>
  <c r="E76" i="30"/>
  <c r="F76" i="30"/>
  <c r="G76" i="30"/>
  <c r="H76" i="30"/>
  <c r="I76" i="30"/>
  <c r="C77" i="30"/>
  <c r="D77" i="30"/>
  <c r="E77" i="30"/>
  <c r="F77" i="30"/>
  <c r="G77" i="30"/>
  <c r="H77" i="30"/>
  <c r="I77" i="30"/>
  <c r="C78" i="30"/>
  <c r="D78" i="30"/>
  <c r="E78" i="30"/>
  <c r="F78" i="30"/>
  <c r="G78" i="30"/>
  <c r="H78" i="30"/>
  <c r="I78" i="30"/>
  <c r="C79" i="30"/>
  <c r="D79" i="30"/>
  <c r="E79" i="30"/>
  <c r="F79" i="30"/>
  <c r="G79" i="30"/>
  <c r="H79" i="30"/>
  <c r="I79" i="30"/>
  <c r="C80" i="30"/>
  <c r="D80" i="30"/>
  <c r="E80" i="30"/>
  <c r="F80" i="30"/>
  <c r="G80" i="30"/>
  <c r="H80" i="30"/>
  <c r="I80" i="30"/>
  <c r="C81" i="30"/>
  <c r="D81" i="30"/>
  <c r="E81" i="30"/>
  <c r="F81" i="30"/>
  <c r="G81" i="30"/>
  <c r="H81" i="30"/>
  <c r="I81" i="30"/>
  <c r="C82" i="30"/>
  <c r="D82" i="30"/>
  <c r="E82" i="30"/>
  <c r="F82" i="30"/>
  <c r="G82" i="30"/>
  <c r="H82" i="30"/>
  <c r="I82" i="30"/>
  <c r="C83" i="30"/>
  <c r="D83" i="30"/>
  <c r="E83" i="30"/>
  <c r="F83" i="30"/>
  <c r="G83" i="30"/>
  <c r="H83" i="30"/>
  <c r="I83" i="30"/>
  <c r="C84" i="30"/>
  <c r="D84" i="30"/>
  <c r="E84" i="30"/>
  <c r="F84" i="30"/>
  <c r="G84" i="30"/>
  <c r="H84" i="30"/>
  <c r="I84" i="30"/>
  <c r="C85" i="30"/>
  <c r="D85" i="30"/>
  <c r="E85" i="30"/>
  <c r="F85" i="30"/>
  <c r="G85" i="30"/>
  <c r="H85" i="30"/>
  <c r="I85" i="30"/>
  <c r="C47" i="29"/>
  <c r="C47" i="34" s="1"/>
  <c r="D47" i="29"/>
  <c r="D47" i="34" s="1"/>
  <c r="E47" i="29"/>
  <c r="F47" i="29"/>
  <c r="G47" i="29"/>
  <c r="G47" i="34" s="1"/>
  <c r="H47" i="29"/>
  <c r="H47" i="34" s="1"/>
  <c r="I47" i="29"/>
  <c r="C48" i="29"/>
  <c r="C48" i="34" s="1"/>
  <c r="D48" i="29"/>
  <c r="D48" i="34" s="1"/>
  <c r="E48" i="29"/>
  <c r="F48" i="29"/>
  <c r="G48" i="29"/>
  <c r="G48" i="34" s="1"/>
  <c r="H48" i="29"/>
  <c r="H48" i="34" s="1"/>
  <c r="I48" i="34" s="1"/>
  <c r="I48" i="29"/>
  <c r="C49" i="29"/>
  <c r="C49" i="34" s="1"/>
  <c r="D49" i="29"/>
  <c r="D49" i="34" s="1"/>
  <c r="E49" i="29"/>
  <c r="F49" i="29" s="1"/>
  <c r="G49" i="29"/>
  <c r="G49" i="34" s="1"/>
  <c r="H49" i="29"/>
  <c r="H49" i="34" s="1"/>
  <c r="I49" i="29"/>
  <c r="C50" i="29"/>
  <c r="C50" i="34" s="1"/>
  <c r="D50" i="29"/>
  <c r="D50" i="34" s="1"/>
  <c r="E50" i="29"/>
  <c r="F50" i="29"/>
  <c r="G50" i="29"/>
  <c r="G50" i="34" s="1"/>
  <c r="H50" i="29"/>
  <c r="H50" i="34" s="1"/>
  <c r="I50" i="29"/>
  <c r="C51" i="29"/>
  <c r="C51" i="34" s="1"/>
  <c r="D51" i="29"/>
  <c r="D51" i="34" s="1"/>
  <c r="E51" i="29"/>
  <c r="F51" i="29" s="1"/>
  <c r="G51" i="29"/>
  <c r="G51" i="34" s="1"/>
  <c r="H51" i="29"/>
  <c r="H51" i="34" s="1"/>
  <c r="I51" i="29"/>
  <c r="C52" i="29"/>
  <c r="D52" i="29"/>
  <c r="D52" i="34" s="1"/>
  <c r="G52" i="29"/>
  <c r="G52" i="34" s="1"/>
  <c r="H52" i="29"/>
  <c r="H52" i="34" s="1"/>
  <c r="C53" i="29"/>
  <c r="C53" i="34" s="1"/>
  <c r="D53" i="29"/>
  <c r="D53" i="34" s="1"/>
  <c r="E53" i="29"/>
  <c r="F53" i="29"/>
  <c r="G53" i="29"/>
  <c r="G53" i="34" s="1"/>
  <c r="H53" i="29"/>
  <c r="H53" i="34" s="1"/>
  <c r="I53" i="34" s="1"/>
  <c r="I53" i="29"/>
  <c r="C54" i="29"/>
  <c r="C54" i="34" s="1"/>
  <c r="D54" i="29"/>
  <c r="D54" i="34" s="1"/>
  <c r="E54" i="29"/>
  <c r="F54" i="29" s="1"/>
  <c r="G54" i="29"/>
  <c r="G54" i="34" s="1"/>
  <c r="H54" i="29"/>
  <c r="H54" i="34" s="1"/>
  <c r="I54" i="29"/>
  <c r="C55" i="29"/>
  <c r="D55" i="29"/>
  <c r="D55" i="34" s="1"/>
  <c r="G55" i="29"/>
  <c r="H55" i="29"/>
  <c r="H55" i="34" s="1"/>
  <c r="C56" i="29"/>
  <c r="C56" i="34" s="1"/>
  <c r="D56" i="29"/>
  <c r="G56" i="29"/>
  <c r="G56" i="34" s="1"/>
  <c r="H56" i="29"/>
  <c r="H56" i="34" s="1"/>
  <c r="I56" i="29"/>
  <c r="C57" i="29"/>
  <c r="C57" i="34" s="1"/>
  <c r="D57" i="29"/>
  <c r="D57" i="34" s="1"/>
  <c r="E57" i="29"/>
  <c r="F57" i="29"/>
  <c r="G57" i="29"/>
  <c r="G57" i="34" s="1"/>
  <c r="H57" i="29"/>
  <c r="H57" i="34" s="1"/>
  <c r="I57" i="29"/>
  <c r="C58" i="29"/>
  <c r="C58" i="34" s="1"/>
  <c r="D58" i="29"/>
  <c r="D58" i="34" s="1"/>
  <c r="E58" i="34" s="1"/>
  <c r="F58" i="34" s="1"/>
  <c r="E58" i="29"/>
  <c r="F58" i="29"/>
  <c r="G58" i="29"/>
  <c r="G58" i="34" s="1"/>
  <c r="H58" i="29"/>
  <c r="H58" i="34" s="1"/>
  <c r="I58" i="29"/>
  <c r="C59" i="29"/>
  <c r="C59" i="34" s="1"/>
  <c r="D59" i="29"/>
  <c r="D59" i="34" s="1"/>
  <c r="E59" i="29"/>
  <c r="F59" i="29"/>
  <c r="G59" i="29"/>
  <c r="G59" i="34" s="1"/>
  <c r="H59" i="29"/>
  <c r="H59" i="34" s="1"/>
  <c r="I59" i="29"/>
  <c r="C60" i="29"/>
  <c r="D60" i="29"/>
  <c r="D60" i="34" s="1"/>
  <c r="G60" i="29"/>
  <c r="H60" i="29"/>
  <c r="H60" i="34" s="1"/>
  <c r="C61" i="29"/>
  <c r="C61" i="34" s="1"/>
  <c r="D61" i="29"/>
  <c r="D61" i="34" s="1"/>
  <c r="E61" i="29"/>
  <c r="F61" i="29"/>
  <c r="G61" i="29"/>
  <c r="G61" i="34" s="1"/>
  <c r="H61" i="29"/>
  <c r="H61" i="34" s="1"/>
  <c r="I61" i="34" s="1"/>
  <c r="I61" i="29"/>
  <c r="C62" i="29"/>
  <c r="C62" i="34" s="1"/>
  <c r="D62" i="29"/>
  <c r="D62" i="34" s="1"/>
  <c r="E62" i="29"/>
  <c r="F62" i="29" s="1"/>
  <c r="G62" i="29"/>
  <c r="G62" i="34" s="1"/>
  <c r="H62" i="29"/>
  <c r="H62" i="34" s="1"/>
  <c r="C63" i="29"/>
  <c r="C63" i="34" s="1"/>
  <c r="D63" i="29"/>
  <c r="D63" i="34" s="1"/>
  <c r="E63" i="29"/>
  <c r="F63" i="29" s="1"/>
  <c r="G63" i="29"/>
  <c r="H63" i="29"/>
  <c r="H63" i="34" s="1"/>
  <c r="C64" i="29"/>
  <c r="D64" i="29"/>
  <c r="D64" i="34" s="1"/>
  <c r="G64" i="29"/>
  <c r="H64" i="29"/>
  <c r="H64" i="34" s="1"/>
  <c r="C65" i="29"/>
  <c r="C65" i="34" s="1"/>
  <c r="D65" i="29"/>
  <c r="D65" i="34" s="1"/>
  <c r="G65" i="29"/>
  <c r="G65" i="34" s="1"/>
  <c r="H65" i="29"/>
  <c r="H65" i="34" s="1"/>
  <c r="C66" i="29"/>
  <c r="C66" i="34" s="1"/>
  <c r="D66" i="29"/>
  <c r="D66" i="34" s="1"/>
  <c r="E66" i="29"/>
  <c r="F66" i="29" s="1"/>
  <c r="G66" i="29"/>
  <c r="H66" i="29"/>
  <c r="H66" i="34" s="1"/>
  <c r="C67" i="29"/>
  <c r="C67" i="34" s="1"/>
  <c r="D67" i="29"/>
  <c r="D67" i="34" s="1"/>
  <c r="E67" i="29"/>
  <c r="F67" i="29"/>
  <c r="G67" i="29"/>
  <c r="G67" i="34" s="1"/>
  <c r="H67" i="29"/>
  <c r="H67" i="34" s="1"/>
  <c r="I67" i="29"/>
  <c r="C68" i="29"/>
  <c r="C68" i="34" s="1"/>
  <c r="D68" i="29"/>
  <c r="E68" i="29" s="1"/>
  <c r="F68" i="29" s="1"/>
  <c r="G68" i="29"/>
  <c r="H68" i="29"/>
  <c r="H68" i="34" s="1"/>
  <c r="C69" i="29"/>
  <c r="C69" i="34" s="1"/>
  <c r="D69" i="29"/>
  <c r="D69" i="34" s="1"/>
  <c r="E69" i="29"/>
  <c r="F69" i="29"/>
  <c r="G69" i="29"/>
  <c r="G69" i="34" s="1"/>
  <c r="H69" i="29"/>
  <c r="H69" i="34" s="1"/>
  <c r="I69" i="29"/>
  <c r="C70" i="29"/>
  <c r="C70" i="34" s="1"/>
  <c r="D70" i="29"/>
  <c r="D70" i="34" s="1"/>
  <c r="E70" i="29"/>
  <c r="F70" i="29"/>
  <c r="G70" i="29"/>
  <c r="G70" i="34" s="1"/>
  <c r="H70" i="29"/>
  <c r="H70" i="34" s="1"/>
  <c r="I70" i="29"/>
  <c r="C71" i="29"/>
  <c r="C71" i="34" s="1"/>
  <c r="D71" i="29"/>
  <c r="D71" i="34" s="1"/>
  <c r="G71" i="29"/>
  <c r="G71" i="34" s="1"/>
  <c r="H71" i="29"/>
  <c r="H71" i="34" s="1"/>
  <c r="I71" i="29"/>
  <c r="C72" i="29"/>
  <c r="D72" i="29"/>
  <c r="D72" i="34" s="1"/>
  <c r="G72" i="29"/>
  <c r="G72" i="34" s="1"/>
  <c r="H72" i="29"/>
  <c r="H72" i="34" s="1"/>
  <c r="I72" i="29"/>
  <c r="C73" i="29"/>
  <c r="C73" i="34" s="1"/>
  <c r="D73" i="29"/>
  <c r="D73" i="34" s="1"/>
  <c r="G73" i="29"/>
  <c r="G73" i="34" s="1"/>
  <c r="H73" i="29"/>
  <c r="H73" i="34" s="1"/>
  <c r="I73" i="34" s="1"/>
  <c r="I73" i="29"/>
  <c r="C74" i="29"/>
  <c r="D74" i="29"/>
  <c r="D74" i="34" s="1"/>
  <c r="G74" i="29"/>
  <c r="G74" i="34" s="1"/>
  <c r="H74" i="29"/>
  <c r="H74" i="34" s="1"/>
  <c r="I74" i="29"/>
  <c r="C75" i="29"/>
  <c r="D75" i="29"/>
  <c r="D75" i="34" s="1"/>
  <c r="G75" i="29"/>
  <c r="G75" i="34" s="1"/>
  <c r="H75" i="29"/>
  <c r="H75" i="34" s="1"/>
  <c r="I75" i="29"/>
  <c r="C76" i="29"/>
  <c r="D76" i="29"/>
  <c r="D76" i="34" s="1"/>
  <c r="G76" i="29"/>
  <c r="G76" i="34" s="1"/>
  <c r="H76" i="29"/>
  <c r="H76" i="34" s="1"/>
  <c r="I76" i="29"/>
  <c r="C77" i="29"/>
  <c r="D77" i="29"/>
  <c r="D77" i="34" s="1"/>
  <c r="G77" i="29"/>
  <c r="G77" i="34" s="1"/>
  <c r="H77" i="29"/>
  <c r="H77" i="34" s="1"/>
  <c r="I77" i="34" s="1"/>
  <c r="I77" i="29"/>
  <c r="C78" i="29"/>
  <c r="D78" i="29"/>
  <c r="D78" i="34" s="1"/>
  <c r="G78" i="29"/>
  <c r="H78" i="29"/>
  <c r="H78" i="34" s="1"/>
  <c r="C79" i="29"/>
  <c r="C79" i="34" s="1"/>
  <c r="D79" i="29"/>
  <c r="D79" i="34" s="1"/>
  <c r="E79" i="29"/>
  <c r="F79" i="29"/>
  <c r="G79" i="29"/>
  <c r="G79" i="34" s="1"/>
  <c r="H79" i="29"/>
  <c r="H79" i="34" s="1"/>
  <c r="C80" i="29"/>
  <c r="C80" i="34" s="1"/>
  <c r="D80" i="29"/>
  <c r="D80" i="34" s="1"/>
  <c r="G80" i="29"/>
  <c r="G80" i="34" s="1"/>
  <c r="H80" i="29"/>
  <c r="H80" i="34" s="1"/>
  <c r="C81" i="29"/>
  <c r="C81" i="34" s="1"/>
  <c r="D81" i="29"/>
  <c r="D81" i="34" s="1"/>
  <c r="E81" i="29"/>
  <c r="F81" i="29"/>
  <c r="G81" i="29"/>
  <c r="G81" i="34" s="1"/>
  <c r="H81" i="29"/>
  <c r="H81" i="34" s="1"/>
  <c r="I81" i="29"/>
  <c r="C82" i="29"/>
  <c r="C82" i="34" s="1"/>
  <c r="D82" i="29"/>
  <c r="D82" i="34" s="1"/>
  <c r="G82" i="29"/>
  <c r="G82" i="34" s="1"/>
  <c r="H82" i="29"/>
  <c r="H82" i="34" s="1"/>
  <c r="I82" i="29"/>
  <c r="C83" i="29"/>
  <c r="C83" i="34" s="1"/>
  <c r="D83" i="29"/>
  <c r="D83" i="34" s="1"/>
  <c r="E83" i="29"/>
  <c r="F83" i="29"/>
  <c r="G83" i="29"/>
  <c r="G83" i="34" s="1"/>
  <c r="H83" i="29"/>
  <c r="H83" i="34" s="1"/>
  <c r="I83" i="29"/>
  <c r="C84" i="29"/>
  <c r="C84" i="34" s="1"/>
  <c r="D84" i="29"/>
  <c r="D84" i="34" s="1"/>
  <c r="E84" i="29"/>
  <c r="F84" i="29"/>
  <c r="G84" i="29"/>
  <c r="G84" i="34" s="1"/>
  <c r="H84" i="29"/>
  <c r="H84" i="34" s="1"/>
  <c r="I84" i="34" s="1"/>
  <c r="I84" i="29"/>
  <c r="C85" i="29"/>
  <c r="C85" i="34" s="1"/>
  <c r="D85" i="29"/>
  <c r="D85" i="34" s="1"/>
  <c r="E85" i="29"/>
  <c r="F85" i="29"/>
  <c r="G85" i="29"/>
  <c r="G85" i="34" s="1"/>
  <c r="H85" i="29"/>
  <c r="H85" i="34" s="1"/>
  <c r="I85" i="29"/>
  <c r="H7" i="26"/>
  <c r="I7" i="26"/>
  <c r="G7" i="29"/>
  <c r="G7" i="34" s="1"/>
  <c r="H13" i="26"/>
  <c r="I13" i="26" s="1"/>
  <c r="H14" i="26"/>
  <c r="I14" i="26" s="1"/>
  <c r="H15" i="26"/>
  <c r="I15" i="26" s="1"/>
  <c r="H16" i="26"/>
  <c r="I16" i="26" s="1"/>
  <c r="H17" i="26"/>
  <c r="I17" i="26" s="1"/>
  <c r="H18" i="26"/>
  <c r="I18" i="26" s="1"/>
  <c r="H19" i="26"/>
  <c r="I19" i="26" s="1"/>
  <c r="H20" i="26"/>
  <c r="I20" i="26" s="1"/>
  <c r="H21" i="26"/>
  <c r="I21" i="26" s="1"/>
  <c r="H22" i="26"/>
  <c r="I22" i="26" s="1"/>
  <c r="H23" i="26"/>
  <c r="I23" i="26" s="1"/>
  <c r="H24" i="26"/>
  <c r="I24" i="26" s="1"/>
  <c r="H25" i="26"/>
  <c r="I25" i="26" s="1"/>
  <c r="H26" i="26"/>
  <c r="I26" i="26" s="1"/>
  <c r="H27" i="26"/>
  <c r="I27" i="26" s="1"/>
  <c r="H28" i="26"/>
  <c r="I28" i="26" s="1"/>
  <c r="H29" i="26"/>
  <c r="I29" i="26" s="1"/>
  <c r="H30" i="26"/>
  <c r="I30" i="26" s="1"/>
  <c r="H31" i="26"/>
  <c r="I31" i="26" s="1"/>
  <c r="H32" i="26"/>
  <c r="I32" i="26" s="1"/>
  <c r="H33" i="26"/>
  <c r="I33" i="26" s="1"/>
  <c r="H34" i="26"/>
  <c r="I34" i="26" s="1"/>
  <c r="H35" i="26"/>
  <c r="I35" i="26" s="1"/>
  <c r="H36" i="26"/>
  <c r="I36" i="26" s="1"/>
  <c r="H37" i="26"/>
  <c r="I37" i="26" s="1"/>
  <c r="H38" i="26"/>
  <c r="I38" i="26" s="1"/>
  <c r="H39" i="26"/>
  <c r="I39" i="26" s="1"/>
  <c r="H40" i="26"/>
  <c r="I40" i="26" s="1"/>
  <c r="H41" i="26"/>
  <c r="I41" i="26" s="1"/>
  <c r="H42" i="26"/>
  <c r="I42" i="26" s="1"/>
  <c r="H43" i="26"/>
  <c r="I43" i="26" s="1"/>
  <c r="H44" i="26"/>
  <c r="I44" i="26" s="1"/>
  <c r="H45" i="26"/>
  <c r="I45" i="26" s="1"/>
  <c r="H46" i="26"/>
  <c r="I46" i="26" s="1"/>
  <c r="H47" i="26"/>
  <c r="I47" i="26" s="1"/>
  <c r="H48" i="26"/>
  <c r="I48" i="26" s="1"/>
  <c r="H49" i="26"/>
  <c r="I49" i="26" s="1"/>
  <c r="H50" i="26"/>
  <c r="I50" i="26" s="1"/>
  <c r="H51" i="26"/>
  <c r="I51" i="26" s="1"/>
  <c r="H52" i="26"/>
  <c r="I52" i="26" s="1"/>
  <c r="H53" i="26"/>
  <c r="I53" i="26" s="1"/>
  <c r="H54" i="26"/>
  <c r="I54" i="26" s="1"/>
  <c r="H55" i="26"/>
  <c r="I55" i="26" s="1"/>
  <c r="H56" i="26"/>
  <c r="I56" i="26" s="1"/>
  <c r="H57" i="26"/>
  <c r="I57" i="26" s="1"/>
  <c r="H58" i="26"/>
  <c r="I58" i="26" s="1"/>
  <c r="H59" i="26"/>
  <c r="I59" i="26" s="1"/>
  <c r="H60" i="26"/>
  <c r="I60" i="26" s="1"/>
  <c r="H61" i="26"/>
  <c r="I61" i="26" s="1"/>
  <c r="H62" i="26"/>
  <c r="I62" i="26" s="1"/>
  <c r="H63" i="26"/>
  <c r="I63" i="26" s="1"/>
  <c r="H64" i="26"/>
  <c r="I64" i="26" s="1"/>
  <c r="H65" i="26"/>
  <c r="I65" i="26" s="1"/>
  <c r="H66" i="26"/>
  <c r="I66" i="26" s="1"/>
  <c r="H67" i="26"/>
  <c r="I67" i="26" s="1"/>
  <c r="H68" i="26"/>
  <c r="I68" i="26" s="1"/>
  <c r="H69" i="26"/>
  <c r="I69" i="26" s="1"/>
  <c r="H70" i="26"/>
  <c r="I70" i="26" s="1"/>
  <c r="H71" i="26"/>
  <c r="I71" i="26" s="1"/>
  <c r="H72" i="26"/>
  <c r="I72" i="26" s="1"/>
  <c r="H73" i="26"/>
  <c r="I73" i="26" s="1"/>
  <c r="H74" i="26"/>
  <c r="I74" i="26" s="1"/>
  <c r="H75" i="26"/>
  <c r="I75" i="26" s="1"/>
  <c r="H76" i="26"/>
  <c r="I76" i="26" s="1"/>
  <c r="H77" i="26"/>
  <c r="I77" i="26" s="1"/>
  <c r="H78" i="26"/>
  <c r="I78" i="26" s="1"/>
  <c r="H79" i="26"/>
  <c r="I79" i="26" s="1"/>
  <c r="H80" i="26"/>
  <c r="I80" i="26" s="1"/>
  <c r="H81" i="26"/>
  <c r="I81" i="26" s="1"/>
  <c r="H82" i="26"/>
  <c r="I82" i="26" s="1"/>
  <c r="H83" i="26"/>
  <c r="I83" i="26" s="1"/>
  <c r="H84" i="26"/>
  <c r="I84" i="26" s="1"/>
  <c r="H85" i="26"/>
  <c r="I85" i="26" s="1"/>
  <c r="E6" i="26"/>
  <c r="F6" i="26" s="1"/>
  <c r="E7" i="26"/>
  <c r="F7" i="26" s="1"/>
  <c r="E8" i="26"/>
  <c r="F8" i="26" s="1"/>
  <c r="E9" i="26"/>
  <c r="F9" i="26" s="1"/>
  <c r="E10" i="26"/>
  <c r="F10" i="26" s="1"/>
  <c r="E11" i="26"/>
  <c r="F11" i="26" s="1"/>
  <c r="E12" i="26"/>
  <c r="F12" i="26" s="1"/>
  <c r="E13" i="26"/>
  <c r="F13" i="26" s="1"/>
  <c r="E14" i="26"/>
  <c r="F14" i="26" s="1"/>
  <c r="E15" i="26"/>
  <c r="F15" i="26" s="1"/>
  <c r="E16" i="26"/>
  <c r="F16" i="26" s="1"/>
  <c r="E17" i="26"/>
  <c r="F17" i="26" s="1"/>
  <c r="E18" i="26"/>
  <c r="F18" i="26" s="1"/>
  <c r="E19" i="26"/>
  <c r="F19" i="26" s="1"/>
  <c r="E20" i="26"/>
  <c r="F20" i="26" s="1"/>
  <c r="E21" i="26"/>
  <c r="F21" i="26" s="1"/>
  <c r="E22" i="26"/>
  <c r="F22" i="26" s="1"/>
  <c r="E23" i="26"/>
  <c r="F23" i="26" s="1"/>
  <c r="E24" i="26"/>
  <c r="F24" i="26" s="1"/>
  <c r="E25" i="26"/>
  <c r="F25" i="26" s="1"/>
  <c r="E26" i="26"/>
  <c r="F26" i="26" s="1"/>
  <c r="E27" i="26"/>
  <c r="F27" i="26" s="1"/>
  <c r="E28" i="26"/>
  <c r="F28" i="26" s="1"/>
  <c r="E29" i="26"/>
  <c r="F29" i="26" s="1"/>
  <c r="E30" i="26"/>
  <c r="F30" i="26" s="1"/>
  <c r="E31" i="26"/>
  <c r="F31" i="26" s="1"/>
  <c r="E32" i="26"/>
  <c r="F32" i="26" s="1"/>
  <c r="E33" i="26"/>
  <c r="F33" i="26" s="1"/>
  <c r="E34" i="26"/>
  <c r="F34" i="26" s="1"/>
  <c r="E35" i="26"/>
  <c r="F35" i="26" s="1"/>
  <c r="E36" i="26"/>
  <c r="F36" i="26" s="1"/>
  <c r="E37" i="26"/>
  <c r="F37" i="26" s="1"/>
  <c r="E38" i="26"/>
  <c r="F38" i="26" s="1"/>
  <c r="E39" i="26"/>
  <c r="F39" i="26" s="1"/>
  <c r="E40" i="26"/>
  <c r="F40" i="26" s="1"/>
  <c r="E41" i="26"/>
  <c r="F41" i="26" s="1"/>
  <c r="E42" i="26"/>
  <c r="F42" i="26" s="1"/>
  <c r="E43" i="26"/>
  <c r="F43" i="26" s="1"/>
  <c r="E44" i="26"/>
  <c r="F44" i="26" s="1"/>
  <c r="E45" i="26"/>
  <c r="F45" i="26" s="1"/>
  <c r="E46" i="26"/>
  <c r="F46" i="26" s="1"/>
  <c r="E47" i="26"/>
  <c r="F47" i="26" s="1"/>
  <c r="E48" i="26"/>
  <c r="F48" i="26" s="1"/>
  <c r="E49" i="26"/>
  <c r="F49" i="26" s="1"/>
  <c r="E50" i="26"/>
  <c r="F50" i="26" s="1"/>
  <c r="E51" i="26"/>
  <c r="F51" i="26" s="1"/>
  <c r="E52" i="26"/>
  <c r="F52" i="26" s="1"/>
  <c r="E53" i="26"/>
  <c r="F53" i="26" s="1"/>
  <c r="E54" i="26"/>
  <c r="F54" i="26" s="1"/>
  <c r="E55" i="26"/>
  <c r="F55" i="26" s="1"/>
  <c r="E56" i="26"/>
  <c r="F56" i="26" s="1"/>
  <c r="E57" i="26"/>
  <c r="F57" i="26" s="1"/>
  <c r="E58" i="26"/>
  <c r="F58" i="26" s="1"/>
  <c r="E59" i="26"/>
  <c r="F59" i="26" s="1"/>
  <c r="E60" i="26"/>
  <c r="F60" i="26" s="1"/>
  <c r="E61" i="26"/>
  <c r="F61" i="26" s="1"/>
  <c r="E62" i="26"/>
  <c r="F62" i="26" s="1"/>
  <c r="E63" i="26"/>
  <c r="F63" i="26" s="1"/>
  <c r="E64" i="26"/>
  <c r="F64" i="26" s="1"/>
  <c r="E65" i="26"/>
  <c r="F65" i="26" s="1"/>
  <c r="E66" i="26"/>
  <c r="F66" i="26" s="1"/>
  <c r="E67" i="26"/>
  <c r="F67" i="26" s="1"/>
  <c r="E68" i="26"/>
  <c r="F68" i="26" s="1"/>
  <c r="E69" i="26"/>
  <c r="F69" i="26" s="1"/>
  <c r="E70" i="26"/>
  <c r="F70" i="26" s="1"/>
  <c r="E71" i="26"/>
  <c r="F71" i="26" s="1"/>
  <c r="E72" i="26"/>
  <c r="F72" i="26" s="1"/>
  <c r="E73" i="26"/>
  <c r="F73" i="26" s="1"/>
  <c r="E74" i="26"/>
  <c r="F74" i="26" s="1"/>
  <c r="E75" i="26"/>
  <c r="F75" i="26" s="1"/>
  <c r="E76" i="26"/>
  <c r="F76" i="26" s="1"/>
  <c r="E77" i="26"/>
  <c r="F77" i="26" s="1"/>
  <c r="E78" i="26"/>
  <c r="F78" i="26" s="1"/>
  <c r="E79" i="26"/>
  <c r="F79" i="26" s="1"/>
  <c r="E80" i="26"/>
  <c r="F80" i="26" s="1"/>
  <c r="E81" i="26"/>
  <c r="F81" i="26" s="1"/>
  <c r="E82" i="26"/>
  <c r="F82" i="26" s="1"/>
  <c r="E83" i="26"/>
  <c r="F83" i="26" s="1"/>
  <c r="E84" i="26"/>
  <c r="F84" i="26" s="1"/>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G47" i="18"/>
  <c r="G48" i="18"/>
  <c r="G49" i="18"/>
  <c r="G50" i="18"/>
  <c r="G51" i="18"/>
  <c r="G52" i="18"/>
  <c r="G53" i="18"/>
  <c r="G54" i="18"/>
  <c r="G55" i="18"/>
  <c r="G56" i="18"/>
  <c r="G57" i="18"/>
  <c r="G58" i="18"/>
  <c r="G59" i="18"/>
  <c r="G60" i="18"/>
  <c r="G61" i="18"/>
  <c r="G62" i="18"/>
  <c r="G63" i="18"/>
  <c r="G64" i="18"/>
  <c r="G65" i="18"/>
  <c r="G66" i="18"/>
  <c r="G67" i="18"/>
  <c r="G68" i="18"/>
  <c r="G69" i="18"/>
  <c r="G70" i="18"/>
  <c r="G71" i="18"/>
  <c r="G72" i="18"/>
  <c r="G73" i="18"/>
  <c r="G74" i="18"/>
  <c r="G75"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D75"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H13" i="19"/>
  <c r="H14" i="19"/>
  <c r="H15" i="19"/>
  <c r="H16" i="19"/>
  <c r="H17" i="19"/>
  <c r="H18" i="19"/>
  <c r="H19" i="19"/>
  <c r="H20" i="19"/>
  <c r="H21"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7" i="18" s="1"/>
  <c r="H48" i="19"/>
  <c r="H48" i="18" s="1"/>
  <c r="H49" i="19"/>
  <c r="H49" i="18" s="1"/>
  <c r="H50" i="19"/>
  <c r="H50" i="18" s="1"/>
  <c r="H51" i="19"/>
  <c r="H51" i="18" s="1"/>
  <c r="H52" i="19"/>
  <c r="H52" i="18" s="1"/>
  <c r="H53" i="19"/>
  <c r="H53" i="18" s="1"/>
  <c r="H54" i="19"/>
  <c r="H54" i="18" s="1"/>
  <c r="H55" i="19"/>
  <c r="H55" i="18" s="1"/>
  <c r="H56" i="19"/>
  <c r="H56" i="18" s="1"/>
  <c r="H57" i="19"/>
  <c r="H57" i="18" s="1"/>
  <c r="H58" i="19"/>
  <c r="H58" i="18" s="1"/>
  <c r="H59" i="19"/>
  <c r="H59" i="18" s="1"/>
  <c r="H60" i="19"/>
  <c r="H60" i="18" s="1"/>
  <c r="H61" i="19"/>
  <c r="H61" i="18" s="1"/>
  <c r="H62" i="19"/>
  <c r="H62" i="18" s="1"/>
  <c r="H63" i="19"/>
  <c r="H63" i="18" s="1"/>
  <c r="H64" i="19"/>
  <c r="H64" i="18" s="1"/>
  <c r="H65" i="19"/>
  <c r="H65" i="18" s="1"/>
  <c r="H66" i="19"/>
  <c r="H66" i="18" s="1"/>
  <c r="H67" i="19"/>
  <c r="H67" i="18" s="1"/>
  <c r="H68" i="19"/>
  <c r="H68" i="18" s="1"/>
  <c r="H69" i="19"/>
  <c r="H69" i="18" s="1"/>
  <c r="H70" i="19"/>
  <c r="H70" i="18" s="1"/>
  <c r="H71" i="19"/>
  <c r="H71" i="18" s="1"/>
  <c r="H72" i="19"/>
  <c r="H72" i="18" s="1"/>
  <c r="H73" i="19"/>
  <c r="H73" i="18" s="1"/>
  <c r="H74" i="19"/>
  <c r="H74" i="18" s="1"/>
  <c r="H75" i="19"/>
  <c r="H75" i="18" s="1"/>
  <c r="E13" i="19"/>
  <c r="F13" i="19" s="1"/>
  <c r="E14" i="19"/>
  <c r="F14" i="19" s="1"/>
  <c r="E15" i="19"/>
  <c r="F15" i="19" s="1"/>
  <c r="E16" i="19"/>
  <c r="F16" i="19" s="1"/>
  <c r="E17" i="19"/>
  <c r="F17" i="19" s="1"/>
  <c r="E18" i="19"/>
  <c r="F18" i="19" s="1"/>
  <c r="E19" i="19"/>
  <c r="F19" i="19" s="1"/>
  <c r="E20" i="19"/>
  <c r="F20" i="19" s="1"/>
  <c r="E21" i="19"/>
  <c r="F21" i="19" s="1"/>
  <c r="E22" i="19"/>
  <c r="F22" i="19" s="1"/>
  <c r="E23" i="19"/>
  <c r="F23" i="19" s="1"/>
  <c r="E24" i="19"/>
  <c r="F24" i="19" s="1"/>
  <c r="E25" i="19"/>
  <c r="F25" i="19" s="1"/>
  <c r="E26" i="19"/>
  <c r="F26" i="19" s="1"/>
  <c r="E27" i="19"/>
  <c r="F27" i="19" s="1"/>
  <c r="E28" i="19"/>
  <c r="F28" i="19" s="1"/>
  <c r="E29" i="19"/>
  <c r="F29" i="19" s="1"/>
  <c r="E30" i="19"/>
  <c r="F30" i="19" s="1"/>
  <c r="E31" i="19"/>
  <c r="F31" i="19" s="1"/>
  <c r="E32" i="19"/>
  <c r="F32" i="19" s="1"/>
  <c r="E33" i="19"/>
  <c r="F33" i="19" s="1"/>
  <c r="E34" i="19"/>
  <c r="F34" i="19" s="1"/>
  <c r="E35" i="19"/>
  <c r="F35" i="19" s="1"/>
  <c r="E36" i="19"/>
  <c r="F36" i="19" s="1"/>
  <c r="E37" i="19"/>
  <c r="F37" i="19" s="1"/>
  <c r="E38" i="19"/>
  <c r="F38" i="19" s="1"/>
  <c r="E39" i="19"/>
  <c r="F39" i="19" s="1"/>
  <c r="E40" i="19"/>
  <c r="F40" i="19" s="1"/>
  <c r="E41" i="19"/>
  <c r="F41" i="19" s="1"/>
  <c r="E42" i="19"/>
  <c r="F42" i="19" s="1"/>
  <c r="E43" i="19"/>
  <c r="F43" i="19" s="1"/>
  <c r="E44" i="19"/>
  <c r="F44" i="19" s="1"/>
  <c r="E45" i="19"/>
  <c r="F45" i="19" s="1"/>
  <c r="E46" i="19"/>
  <c r="F46" i="19" s="1"/>
  <c r="E47" i="19"/>
  <c r="F47" i="19" s="1"/>
  <c r="E48" i="19"/>
  <c r="F48" i="19" s="1"/>
  <c r="E49" i="19"/>
  <c r="F49" i="19" s="1"/>
  <c r="E50" i="19"/>
  <c r="F50" i="19" s="1"/>
  <c r="E51" i="19"/>
  <c r="F51" i="19" s="1"/>
  <c r="E52" i="19"/>
  <c r="F52" i="19" s="1"/>
  <c r="E53" i="19"/>
  <c r="F53" i="19" s="1"/>
  <c r="E54" i="19"/>
  <c r="F54" i="19" s="1"/>
  <c r="E55" i="19"/>
  <c r="F55" i="19" s="1"/>
  <c r="E56" i="19"/>
  <c r="F56" i="19" s="1"/>
  <c r="E57" i="19"/>
  <c r="F57" i="19" s="1"/>
  <c r="E58" i="19"/>
  <c r="F58" i="19" s="1"/>
  <c r="E59" i="19"/>
  <c r="F59" i="19" s="1"/>
  <c r="E60" i="19"/>
  <c r="F60" i="19" s="1"/>
  <c r="E61" i="19"/>
  <c r="F61" i="19" s="1"/>
  <c r="E62" i="19"/>
  <c r="F62" i="19" s="1"/>
  <c r="E63" i="19"/>
  <c r="F63" i="19" s="1"/>
  <c r="E64" i="19"/>
  <c r="F64" i="19" s="1"/>
  <c r="E65" i="19"/>
  <c r="F65" i="19" s="1"/>
  <c r="E66" i="19"/>
  <c r="F66" i="19" s="1"/>
  <c r="E67" i="19"/>
  <c r="F67" i="19" s="1"/>
  <c r="E68" i="19"/>
  <c r="F68" i="19" s="1"/>
  <c r="E69" i="19"/>
  <c r="F69" i="19" s="1"/>
  <c r="E70" i="19"/>
  <c r="F70" i="19" s="1"/>
  <c r="E71" i="19"/>
  <c r="F71" i="19" s="1"/>
  <c r="E72" i="19"/>
  <c r="F72" i="19" s="1"/>
  <c r="E73" i="19"/>
  <c r="F73" i="19" s="1"/>
  <c r="E74" i="19"/>
  <c r="F74" i="19" s="1"/>
  <c r="E75" i="19"/>
  <c r="F75" i="19" s="1"/>
  <c r="I13" i="19"/>
  <c r="I14" i="19"/>
  <c r="I15" i="19"/>
  <c r="I16" i="19"/>
  <c r="I17" i="19"/>
  <c r="I18" i="19"/>
  <c r="I19" i="19"/>
  <c r="I20" i="19"/>
  <c r="I21" i="19"/>
  <c r="I22" i="19"/>
  <c r="I23" i="19"/>
  <c r="I24" i="19"/>
  <c r="I25" i="19"/>
  <c r="I26" i="19"/>
  <c r="I27" i="19"/>
  <c r="I28" i="19"/>
  <c r="I29" i="19"/>
  <c r="I30" i="19"/>
  <c r="I31" i="19"/>
  <c r="I32" i="19"/>
  <c r="I33" i="19"/>
  <c r="I34" i="19"/>
  <c r="I35" i="19"/>
  <c r="I36" i="19"/>
  <c r="I37" i="19"/>
  <c r="I38" i="19"/>
  <c r="I39" i="19"/>
  <c r="I40" i="19"/>
  <c r="I41" i="19"/>
  <c r="I42" i="19"/>
  <c r="I43" i="19"/>
  <c r="I44" i="19"/>
  <c r="I45" i="19"/>
  <c r="I46" i="19"/>
  <c r="I47" i="19"/>
  <c r="I48" i="19"/>
  <c r="I49" i="19"/>
  <c r="I50" i="19"/>
  <c r="I51" i="19"/>
  <c r="I52" i="19"/>
  <c r="I53" i="19"/>
  <c r="I54" i="19"/>
  <c r="I55" i="19"/>
  <c r="I56" i="19"/>
  <c r="I57" i="19"/>
  <c r="I58" i="19"/>
  <c r="I59" i="19"/>
  <c r="I60" i="19"/>
  <c r="I61" i="19"/>
  <c r="I62" i="19"/>
  <c r="I63" i="19"/>
  <c r="I64" i="19"/>
  <c r="I65" i="19"/>
  <c r="I66" i="19"/>
  <c r="I67" i="19"/>
  <c r="I68" i="19"/>
  <c r="I69" i="19"/>
  <c r="I70" i="19"/>
  <c r="I71" i="19"/>
  <c r="I72" i="19"/>
  <c r="I73" i="19"/>
  <c r="I74" i="19"/>
  <c r="I75" i="19"/>
  <c r="H25" i="29"/>
  <c r="H25" i="34" s="1"/>
  <c r="H26" i="29"/>
  <c r="H26" i="34" s="1"/>
  <c r="H27" i="29"/>
  <c r="H27" i="34" s="1"/>
  <c r="H28" i="29"/>
  <c r="H28" i="34" s="1"/>
  <c r="H29" i="29"/>
  <c r="H29" i="34" s="1"/>
  <c r="H30" i="29"/>
  <c r="H30" i="34" s="1"/>
  <c r="H31" i="29"/>
  <c r="H31" i="34" s="1"/>
  <c r="H32" i="29"/>
  <c r="H32" i="34" s="1"/>
  <c r="H33" i="29"/>
  <c r="H33" i="34" s="1"/>
  <c r="H34" i="29"/>
  <c r="H34" i="34" s="1"/>
  <c r="H35" i="29"/>
  <c r="H35" i="34" s="1"/>
  <c r="H36" i="29"/>
  <c r="H36" i="34" s="1"/>
  <c r="H37" i="29"/>
  <c r="H37" i="34" s="1"/>
  <c r="H38" i="29"/>
  <c r="H38" i="34" s="1"/>
  <c r="H39" i="29"/>
  <c r="H39" i="34" s="1"/>
  <c r="H40" i="29"/>
  <c r="H40" i="34" s="1"/>
  <c r="H41" i="29"/>
  <c r="H41" i="34" s="1"/>
  <c r="H42" i="29"/>
  <c r="H42" i="34" s="1"/>
  <c r="H43" i="29"/>
  <c r="H43" i="34" s="1"/>
  <c r="H44" i="29"/>
  <c r="H44" i="34" s="1"/>
  <c r="H45" i="29"/>
  <c r="H45" i="34" s="1"/>
  <c r="H46" i="29"/>
  <c r="H46" i="34" s="1"/>
  <c r="G25" i="29"/>
  <c r="G25" i="34" s="1"/>
  <c r="G26" i="29"/>
  <c r="G26" i="34" s="1"/>
  <c r="I26" i="34" s="1"/>
  <c r="G27" i="29"/>
  <c r="G27" i="34" s="1"/>
  <c r="I27" i="34" s="1"/>
  <c r="G28" i="29"/>
  <c r="G28" i="34" s="1"/>
  <c r="I28" i="34" s="1"/>
  <c r="G29" i="29"/>
  <c r="G29" i="34" s="1"/>
  <c r="G30" i="29"/>
  <c r="G30" i="34" s="1"/>
  <c r="I30" i="34" s="1"/>
  <c r="G31" i="29"/>
  <c r="G31" i="34" s="1"/>
  <c r="I31" i="34" s="1"/>
  <c r="G32" i="29"/>
  <c r="G32" i="34" s="1"/>
  <c r="I32" i="34" s="1"/>
  <c r="G33" i="29"/>
  <c r="G33" i="34" s="1"/>
  <c r="G34" i="29"/>
  <c r="G34" i="34" s="1"/>
  <c r="I34" i="34" s="1"/>
  <c r="G35" i="29"/>
  <c r="G35" i="34" s="1"/>
  <c r="I35" i="34" s="1"/>
  <c r="G36" i="29"/>
  <c r="I36" i="29" s="1"/>
  <c r="G37" i="29"/>
  <c r="G37" i="34" s="1"/>
  <c r="I37" i="34" s="1"/>
  <c r="G38" i="29"/>
  <c r="I38" i="29" s="1"/>
  <c r="G39" i="29"/>
  <c r="I39" i="29" s="1"/>
  <c r="G40" i="29"/>
  <c r="I40" i="29" s="1"/>
  <c r="G41" i="29"/>
  <c r="I41" i="29" s="1"/>
  <c r="G42" i="29"/>
  <c r="G42" i="34" s="1"/>
  <c r="I42" i="34" s="1"/>
  <c r="G43" i="29"/>
  <c r="G43" i="34" s="1"/>
  <c r="I43" i="34" s="1"/>
  <c r="G44" i="29"/>
  <c r="G44" i="34" s="1"/>
  <c r="I44" i="34" s="1"/>
  <c r="G45" i="29"/>
  <c r="G45" i="34" s="1"/>
  <c r="I45" i="34" s="1"/>
  <c r="G46" i="29"/>
  <c r="G46" i="34" s="1"/>
  <c r="I46" i="34" s="1"/>
  <c r="D25" i="29"/>
  <c r="D25" i="34" s="1"/>
  <c r="D26" i="29"/>
  <c r="D26" i="34" s="1"/>
  <c r="D27" i="29"/>
  <c r="D27" i="34" s="1"/>
  <c r="D28" i="29"/>
  <c r="D28" i="34" s="1"/>
  <c r="D29" i="29"/>
  <c r="D29" i="34" s="1"/>
  <c r="D30" i="29"/>
  <c r="D30" i="34" s="1"/>
  <c r="D31" i="29"/>
  <c r="D31" i="34" s="1"/>
  <c r="D32" i="29"/>
  <c r="D32" i="34" s="1"/>
  <c r="D33" i="29"/>
  <c r="D33" i="34" s="1"/>
  <c r="D34" i="29"/>
  <c r="D34" i="34" s="1"/>
  <c r="D35" i="29"/>
  <c r="D35" i="34" s="1"/>
  <c r="D36" i="29"/>
  <c r="D36" i="34" s="1"/>
  <c r="D37" i="29"/>
  <c r="D37" i="34" s="1"/>
  <c r="D38" i="29"/>
  <c r="D38" i="34" s="1"/>
  <c r="D39" i="29"/>
  <c r="D39" i="34" s="1"/>
  <c r="D40" i="29"/>
  <c r="D40" i="34" s="1"/>
  <c r="D41" i="29"/>
  <c r="D41" i="34" s="1"/>
  <c r="D42" i="29"/>
  <c r="D42" i="34" s="1"/>
  <c r="D43" i="29"/>
  <c r="D43" i="34" s="1"/>
  <c r="D44" i="29"/>
  <c r="D44" i="34" s="1"/>
  <c r="D45" i="29"/>
  <c r="D45" i="34" s="1"/>
  <c r="D46" i="29"/>
  <c r="D46" i="34" s="1"/>
  <c r="C25" i="29"/>
  <c r="C25" i="34" s="1"/>
  <c r="C26" i="29"/>
  <c r="C26" i="34" s="1"/>
  <c r="C27" i="29"/>
  <c r="C27" i="34" s="1"/>
  <c r="E27" i="34" s="1"/>
  <c r="F27" i="34" s="1"/>
  <c r="C28" i="29"/>
  <c r="C28" i="34" s="1"/>
  <c r="C29" i="29"/>
  <c r="C30" i="29"/>
  <c r="C30" i="34" s="1"/>
  <c r="C31" i="29"/>
  <c r="C31" i="34" s="1"/>
  <c r="E31" i="34" s="1"/>
  <c r="F31" i="34" s="1"/>
  <c r="C32" i="29"/>
  <c r="C32" i="34" s="1"/>
  <c r="C33" i="29"/>
  <c r="C34" i="29"/>
  <c r="C34" i="34" s="1"/>
  <c r="E34" i="34" s="1"/>
  <c r="F34" i="34" s="1"/>
  <c r="C35" i="29"/>
  <c r="C35" i="34" s="1"/>
  <c r="C36" i="29"/>
  <c r="C36" i="34" s="1"/>
  <c r="C37" i="29"/>
  <c r="C37" i="34" s="1"/>
  <c r="C38" i="29"/>
  <c r="C38" i="34" s="1"/>
  <c r="E38" i="34" s="1"/>
  <c r="F38" i="34" s="1"/>
  <c r="C39" i="29"/>
  <c r="C39" i="34" s="1"/>
  <c r="C40" i="29"/>
  <c r="C40" i="34" s="1"/>
  <c r="C41" i="29"/>
  <c r="C41" i="34" s="1"/>
  <c r="C42" i="29"/>
  <c r="C42" i="34" s="1"/>
  <c r="C43" i="29"/>
  <c r="C43" i="34" s="1"/>
  <c r="E43" i="34" s="1"/>
  <c r="F43" i="34" s="1"/>
  <c r="C44" i="29"/>
  <c r="C45" i="29"/>
  <c r="C45" i="34" s="1"/>
  <c r="C46" i="29"/>
  <c r="C46" i="34" s="1"/>
  <c r="I25" i="1"/>
  <c r="I26" i="1"/>
  <c r="I27" i="1"/>
  <c r="I28" i="1"/>
  <c r="I29" i="1"/>
  <c r="I30" i="1"/>
  <c r="I31" i="1"/>
  <c r="I32" i="1"/>
  <c r="I33" i="1"/>
  <c r="I34" i="1"/>
  <c r="I35" i="1"/>
  <c r="I36" i="1"/>
  <c r="I37" i="1"/>
  <c r="I38" i="1"/>
  <c r="I39" i="1"/>
  <c r="I40" i="1"/>
  <c r="I41" i="1"/>
  <c r="I42" i="1"/>
  <c r="I43" i="1"/>
  <c r="I44" i="1"/>
  <c r="I45" i="1"/>
  <c r="I46" i="1"/>
  <c r="H25" i="1"/>
  <c r="H26" i="1"/>
  <c r="H27" i="1"/>
  <c r="H28" i="1"/>
  <c r="H29" i="1"/>
  <c r="H30" i="1"/>
  <c r="H31" i="1"/>
  <c r="H32" i="1"/>
  <c r="H33" i="1"/>
  <c r="H34" i="1"/>
  <c r="H35" i="1"/>
  <c r="H36" i="1"/>
  <c r="H37" i="1"/>
  <c r="H38" i="1"/>
  <c r="H39" i="1"/>
  <c r="H40" i="1"/>
  <c r="H41" i="1"/>
  <c r="H42" i="1"/>
  <c r="H43" i="1"/>
  <c r="H44" i="1"/>
  <c r="H45" i="1"/>
  <c r="H46" i="1"/>
  <c r="G25" i="1"/>
  <c r="G26" i="1"/>
  <c r="G27" i="1"/>
  <c r="G28" i="1"/>
  <c r="G29" i="1"/>
  <c r="G30" i="1"/>
  <c r="G31" i="1"/>
  <c r="G32" i="1"/>
  <c r="G33" i="1"/>
  <c r="G34" i="1"/>
  <c r="G35" i="1"/>
  <c r="G36" i="1"/>
  <c r="G37" i="1"/>
  <c r="G38" i="1"/>
  <c r="G39" i="1"/>
  <c r="G40" i="1"/>
  <c r="G41" i="1"/>
  <c r="G42" i="1"/>
  <c r="G43" i="1"/>
  <c r="G44" i="1"/>
  <c r="G45" i="1"/>
  <c r="G46" i="1"/>
  <c r="F25" i="1"/>
  <c r="F26" i="1"/>
  <c r="F27" i="1"/>
  <c r="F28" i="1"/>
  <c r="F29" i="1"/>
  <c r="F30" i="1"/>
  <c r="F31" i="1"/>
  <c r="F32" i="1"/>
  <c r="F33" i="1"/>
  <c r="F34" i="1"/>
  <c r="F35" i="1"/>
  <c r="F36" i="1"/>
  <c r="F37" i="1"/>
  <c r="F38" i="1"/>
  <c r="F39" i="1"/>
  <c r="F40" i="1"/>
  <c r="F41" i="1"/>
  <c r="F42" i="1"/>
  <c r="F43" i="1"/>
  <c r="F44" i="1"/>
  <c r="F45" i="1"/>
  <c r="F46" i="1"/>
  <c r="E46" i="1"/>
  <c r="D46" i="1"/>
  <c r="C46" i="1"/>
  <c r="E25" i="1"/>
  <c r="E26" i="1"/>
  <c r="E27" i="1"/>
  <c r="E28" i="1"/>
  <c r="E29" i="1"/>
  <c r="E30" i="1"/>
  <c r="E31" i="1"/>
  <c r="E32" i="1"/>
  <c r="E33" i="1"/>
  <c r="E34" i="1"/>
  <c r="E35" i="1"/>
  <c r="E36" i="1"/>
  <c r="E37" i="1"/>
  <c r="E38" i="1"/>
  <c r="E39" i="1"/>
  <c r="E40" i="1"/>
  <c r="E41" i="1"/>
  <c r="E42" i="1"/>
  <c r="E43" i="1"/>
  <c r="E44" i="1"/>
  <c r="E45" i="1"/>
  <c r="H25" i="18"/>
  <c r="H26" i="18"/>
  <c r="H27" i="18"/>
  <c r="H28" i="18"/>
  <c r="H29" i="18"/>
  <c r="H30" i="18"/>
  <c r="H31" i="18"/>
  <c r="H32" i="18"/>
  <c r="H33" i="18"/>
  <c r="H34" i="18"/>
  <c r="H35" i="18"/>
  <c r="H36" i="18"/>
  <c r="H37" i="18"/>
  <c r="H38" i="18"/>
  <c r="H39" i="18"/>
  <c r="H40" i="18"/>
  <c r="H41" i="18"/>
  <c r="H42" i="18"/>
  <c r="H43" i="18"/>
  <c r="H44" i="18"/>
  <c r="H45" i="18"/>
  <c r="H46" i="18"/>
  <c r="G25" i="18"/>
  <c r="G26" i="18"/>
  <c r="G27" i="18"/>
  <c r="I27" i="18" s="1"/>
  <c r="G28" i="18"/>
  <c r="I28" i="18" s="1"/>
  <c r="G29" i="18"/>
  <c r="G30" i="18"/>
  <c r="I30" i="18" s="1"/>
  <c r="G31" i="18"/>
  <c r="I31" i="18" s="1"/>
  <c r="G32" i="18"/>
  <c r="G33" i="18"/>
  <c r="G34" i="18"/>
  <c r="I34" i="18" s="1"/>
  <c r="G35" i="18"/>
  <c r="I35" i="18" s="1"/>
  <c r="G36" i="18"/>
  <c r="G37" i="18"/>
  <c r="G38" i="18"/>
  <c r="G39" i="18"/>
  <c r="G40" i="18"/>
  <c r="I40" i="18" s="1"/>
  <c r="G41" i="18"/>
  <c r="G42" i="18"/>
  <c r="G43" i="18"/>
  <c r="G44" i="18"/>
  <c r="G45" i="18"/>
  <c r="G46" i="18"/>
  <c r="D25" i="18"/>
  <c r="D26" i="18"/>
  <c r="D27" i="18"/>
  <c r="D28" i="18"/>
  <c r="D29" i="18"/>
  <c r="D30" i="18"/>
  <c r="D31" i="18"/>
  <c r="D32" i="18"/>
  <c r="D33" i="18"/>
  <c r="D34" i="18"/>
  <c r="D35" i="18"/>
  <c r="D36" i="18"/>
  <c r="D37" i="18"/>
  <c r="D38" i="18"/>
  <c r="D39" i="18"/>
  <c r="D40" i="18"/>
  <c r="D41" i="18"/>
  <c r="D42" i="18"/>
  <c r="D43" i="18"/>
  <c r="D44" i="18"/>
  <c r="D45" i="18"/>
  <c r="D46" i="18"/>
  <c r="C25" i="18"/>
  <c r="E25" i="18" s="1"/>
  <c r="F25" i="18" s="1"/>
  <c r="C26" i="18"/>
  <c r="C27" i="18"/>
  <c r="E27" i="18" s="1"/>
  <c r="F27" i="18" s="1"/>
  <c r="C28" i="18"/>
  <c r="C29" i="18"/>
  <c r="C30" i="18"/>
  <c r="C31" i="18"/>
  <c r="E31" i="18" s="1"/>
  <c r="F31" i="18" s="1"/>
  <c r="C32" i="18"/>
  <c r="C33" i="18"/>
  <c r="E33" i="18" s="1"/>
  <c r="F33" i="18" s="1"/>
  <c r="C34" i="18"/>
  <c r="E34" i="18" s="1"/>
  <c r="F34" i="18" s="1"/>
  <c r="C35" i="18"/>
  <c r="E35" i="18" s="1"/>
  <c r="F35" i="18" s="1"/>
  <c r="C36" i="18"/>
  <c r="C37" i="18"/>
  <c r="C38" i="18"/>
  <c r="E38" i="18" s="1"/>
  <c r="F38" i="18" s="1"/>
  <c r="C39" i="18"/>
  <c r="C40" i="18"/>
  <c r="C41" i="18"/>
  <c r="E41" i="18" s="1"/>
  <c r="F41" i="18" s="1"/>
  <c r="C42" i="18"/>
  <c r="E42" i="18" s="1"/>
  <c r="F42" i="18" s="1"/>
  <c r="C43" i="18"/>
  <c r="E43" i="18" s="1"/>
  <c r="F43" i="18" s="1"/>
  <c r="C44" i="18"/>
  <c r="C45" i="18"/>
  <c r="E45" i="18" s="1"/>
  <c r="F45" i="18" s="1"/>
  <c r="C46" i="18"/>
  <c r="D25" i="1"/>
  <c r="D26" i="1"/>
  <c r="D27" i="1"/>
  <c r="D28" i="1"/>
  <c r="D29" i="1"/>
  <c r="D30" i="1"/>
  <c r="D31" i="1"/>
  <c r="D32" i="1"/>
  <c r="D33" i="1"/>
  <c r="D34" i="1"/>
  <c r="D35" i="1"/>
  <c r="D36" i="1"/>
  <c r="D37" i="1"/>
  <c r="D38" i="1"/>
  <c r="D39" i="1"/>
  <c r="D40" i="1"/>
  <c r="D41" i="1"/>
  <c r="D42" i="1"/>
  <c r="D43" i="1"/>
  <c r="D44" i="1"/>
  <c r="D45" i="1"/>
  <c r="C25" i="1"/>
  <c r="C26" i="1"/>
  <c r="C27" i="1"/>
  <c r="C28" i="1"/>
  <c r="C29" i="1"/>
  <c r="C30" i="1"/>
  <c r="C31" i="1"/>
  <c r="C32" i="1"/>
  <c r="C33" i="1"/>
  <c r="C34" i="1"/>
  <c r="C35" i="1"/>
  <c r="C36" i="1"/>
  <c r="C37" i="1"/>
  <c r="C38" i="1"/>
  <c r="C39" i="1"/>
  <c r="C40" i="1"/>
  <c r="C41" i="1"/>
  <c r="C42" i="1"/>
  <c r="C43" i="1"/>
  <c r="C44" i="1"/>
  <c r="C45" i="1"/>
  <c r="H22" i="20"/>
  <c r="H23" i="20"/>
  <c r="F47" i="20"/>
  <c r="H6" i="20"/>
  <c r="I6" i="20" s="1"/>
  <c r="H7" i="20"/>
  <c r="I7" i="20" s="1"/>
  <c r="H8" i="20"/>
  <c r="I8" i="20" s="1"/>
  <c r="H9" i="20"/>
  <c r="I9" i="20" s="1"/>
  <c r="H10" i="20"/>
  <c r="I10" i="20" s="1"/>
  <c r="H11" i="20"/>
  <c r="I11" i="20" s="1"/>
  <c r="H12" i="20"/>
  <c r="I12" i="20" s="1"/>
  <c r="H13" i="20"/>
  <c r="I13" i="20" s="1"/>
  <c r="H14" i="20"/>
  <c r="I14" i="20" s="1"/>
  <c r="H15" i="20"/>
  <c r="I15" i="20" s="1"/>
  <c r="H16" i="20"/>
  <c r="I16" i="20" s="1"/>
  <c r="H17" i="20"/>
  <c r="I17" i="20" s="1"/>
  <c r="H18" i="20"/>
  <c r="I18" i="20" s="1"/>
  <c r="H19" i="20"/>
  <c r="I19" i="20" s="1"/>
  <c r="H20" i="20"/>
  <c r="I20" i="20" s="1"/>
  <c r="H21" i="20"/>
  <c r="I21" i="20" s="1"/>
  <c r="I22" i="20"/>
  <c r="I23" i="20"/>
  <c r="H24" i="20"/>
  <c r="I24" i="20" s="1"/>
  <c r="H25" i="20"/>
  <c r="I25" i="20" s="1"/>
  <c r="H26" i="20"/>
  <c r="I26" i="20" s="1"/>
  <c r="H27" i="20"/>
  <c r="I27" i="20" s="1"/>
  <c r="H28" i="20"/>
  <c r="I28" i="20" s="1"/>
  <c r="H29" i="20"/>
  <c r="I29" i="20" s="1"/>
  <c r="H30" i="20"/>
  <c r="I30" i="20" s="1"/>
  <c r="H31" i="20"/>
  <c r="I31" i="20" s="1"/>
  <c r="H32" i="20"/>
  <c r="I32" i="20" s="1"/>
  <c r="H33" i="20"/>
  <c r="I33" i="20" s="1"/>
  <c r="H34" i="20"/>
  <c r="I34" i="20" s="1"/>
  <c r="H35" i="20"/>
  <c r="I35" i="20" s="1"/>
  <c r="H36" i="20"/>
  <c r="I36" i="20" s="1"/>
  <c r="H37" i="20"/>
  <c r="I37" i="20" s="1"/>
  <c r="H38" i="20"/>
  <c r="I38" i="20" s="1"/>
  <c r="H39" i="20"/>
  <c r="I39" i="20" s="1"/>
  <c r="H40" i="20"/>
  <c r="I40" i="20" s="1"/>
  <c r="H41" i="20"/>
  <c r="I41" i="20" s="1"/>
  <c r="H42" i="20"/>
  <c r="I42" i="20" s="1"/>
  <c r="H43" i="20"/>
  <c r="I43" i="20" s="1"/>
  <c r="H44" i="20"/>
  <c r="I44" i="20" s="1"/>
  <c r="H45" i="20"/>
  <c r="I45" i="20" s="1"/>
  <c r="H46" i="20"/>
  <c r="I46" i="20" s="1"/>
  <c r="E6" i="20"/>
  <c r="F6" i="20" s="1"/>
  <c r="E7" i="20"/>
  <c r="F7" i="20" s="1"/>
  <c r="E8" i="20"/>
  <c r="F8" i="20" s="1"/>
  <c r="E9" i="20"/>
  <c r="F9" i="20" s="1"/>
  <c r="E10" i="20"/>
  <c r="F10" i="20" s="1"/>
  <c r="E11" i="20"/>
  <c r="F11" i="20" s="1"/>
  <c r="E12" i="20"/>
  <c r="F12" i="20" s="1"/>
  <c r="E13" i="20"/>
  <c r="F13" i="20" s="1"/>
  <c r="E14" i="20"/>
  <c r="F14" i="20" s="1"/>
  <c r="E15" i="20"/>
  <c r="F15" i="20" s="1"/>
  <c r="E16" i="20"/>
  <c r="F16" i="20" s="1"/>
  <c r="E17" i="20"/>
  <c r="F17" i="20" s="1"/>
  <c r="E18" i="20"/>
  <c r="F18" i="20" s="1"/>
  <c r="E19" i="20"/>
  <c r="F19" i="20" s="1"/>
  <c r="E20" i="20"/>
  <c r="F20" i="20" s="1"/>
  <c r="E21" i="20"/>
  <c r="F21" i="20" s="1"/>
  <c r="E22" i="20"/>
  <c r="F22" i="20" s="1"/>
  <c r="E23" i="20"/>
  <c r="F23" i="20" s="1"/>
  <c r="E24" i="20"/>
  <c r="F24" i="20" s="1"/>
  <c r="E25" i="20"/>
  <c r="F25" i="20" s="1"/>
  <c r="E26" i="20"/>
  <c r="F26" i="20" s="1"/>
  <c r="E27" i="20"/>
  <c r="F27" i="20" s="1"/>
  <c r="E28" i="20"/>
  <c r="F28" i="20" s="1"/>
  <c r="E29" i="20"/>
  <c r="F29" i="20" s="1"/>
  <c r="E30" i="20"/>
  <c r="F30" i="20" s="1"/>
  <c r="E31" i="20"/>
  <c r="F31" i="20" s="1"/>
  <c r="E32" i="20"/>
  <c r="F32" i="20" s="1"/>
  <c r="E33" i="20"/>
  <c r="F33" i="20" s="1"/>
  <c r="E34" i="20"/>
  <c r="F34" i="20" s="1"/>
  <c r="E35" i="20"/>
  <c r="F35" i="20" s="1"/>
  <c r="E36" i="20"/>
  <c r="F36" i="20" s="1"/>
  <c r="E37" i="20"/>
  <c r="F37" i="20" s="1"/>
  <c r="E38" i="20"/>
  <c r="F38" i="20" s="1"/>
  <c r="E39" i="20"/>
  <c r="F39" i="20" s="1"/>
  <c r="E40" i="20"/>
  <c r="F40" i="20" s="1"/>
  <c r="E41" i="20"/>
  <c r="F41" i="20" s="1"/>
  <c r="E42" i="20"/>
  <c r="F42" i="20" s="1"/>
  <c r="E43" i="20"/>
  <c r="F43" i="20" s="1"/>
  <c r="E44" i="20"/>
  <c r="F44" i="20" s="1"/>
  <c r="E45" i="20"/>
  <c r="F45" i="20" s="1"/>
  <c r="E46" i="20"/>
  <c r="F46" i="20" s="1"/>
  <c r="G18" i="18"/>
  <c r="G19" i="18"/>
  <c r="G20" i="18"/>
  <c r="G21" i="18"/>
  <c r="G22" i="18"/>
  <c r="G23" i="18"/>
  <c r="G24" i="18"/>
  <c r="G17" i="18"/>
  <c r="G5" i="18"/>
  <c r="G6" i="18"/>
  <c r="G7" i="18"/>
  <c r="G8" i="18"/>
  <c r="G4" i="18"/>
  <c r="H13" i="21"/>
  <c r="H14" i="21"/>
  <c r="H15" i="21"/>
  <c r="H16" i="21"/>
  <c r="H17" i="21"/>
  <c r="I17" i="21" s="1"/>
  <c r="H18" i="21"/>
  <c r="I18" i="21" s="1"/>
  <c r="H19" i="21"/>
  <c r="I19" i="21" s="1"/>
  <c r="H20" i="21"/>
  <c r="I20" i="21" s="1"/>
  <c r="H21" i="21"/>
  <c r="I21" i="21" s="1"/>
  <c r="H22" i="21"/>
  <c r="H22" i="18" s="1"/>
  <c r="I22" i="18" s="1"/>
  <c r="H23" i="21"/>
  <c r="H23" i="18" s="1"/>
  <c r="H24" i="21"/>
  <c r="H24" i="18" s="1"/>
  <c r="I13" i="21"/>
  <c r="I14" i="21"/>
  <c r="I15" i="21"/>
  <c r="I16" i="21"/>
  <c r="H17" i="4"/>
  <c r="H18" i="4"/>
  <c r="H19" i="4"/>
  <c r="H20" i="4"/>
  <c r="H21" i="4"/>
  <c r="H22" i="4"/>
  <c r="H23" i="4"/>
  <c r="I8" i="30"/>
  <c r="I9" i="30"/>
  <c r="I10" i="30"/>
  <c r="I11" i="30"/>
  <c r="I12" i="30"/>
  <c r="I13" i="30"/>
  <c r="I14" i="30"/>
  <c r="I15" i="30"/>
  <c r="I16" i="30"/>
  <c r="I17" i="30"/>
  <c r="I18" i="30"/>
  <c r="I19" i="30"/>
  <c r="I20" i="30"/>
  <c r="I21" i="30"/>
  <c r="I22" i="30"/>
  <c r="I23" i="30"/>
  <c r="I24" i="30"/>
  <c r="H8" i="30"/>
  <c r="H9" i="30"/>
  <c r="H10" i="30"/>
  <c r="H11" i="30"/>
  <c r="H12" i="30"/>
  <c r="H13" i="30"/>
  <c r="H14" i="30"/>
  <c r="H15" i="30"/>
  <c r="H16" i="30"/>
  <c r="H17" i="30"/>
  <c r="H18" i="30"/>
  <c r="H19" i="30"/>
  <c r="H20" i="30"/>
  <c r="H21" i="30"/>
  <c r="H22" i="30"/>
  <c r="H23" i="30"/>
  <c r="H24" i="30"/>
  <c r="G8" i="30"/>
  <c r="G9" i="30"/>
  <c r="G10" i="30"/>
  <c r="G11" i="30"/>
  <c r="G12" i="30"/>
  <c r="G13" i="30"/>
  <c r="G14" i="30"/>
  <c r="G15" i="30"/>
  <c r="G16" i="30"/>
  <c r="G17" i="30"/>
  <c r="G18" i="30"/>
  <c r="G19" i="30"/>
  <c r="G20" i="30"/>
  <c r="G21" i="30"/>
  <c r="G22" i="30"/>
  <c r="G23" i="30"/>
  <c r="G24" i="30"/>
  <c r="F8" i="30"/>
  <c r="F9" i="30"/>
  <c r="F10" i="30"/>
  <c r="F11" i="30"/>
  <c r="F12" i="30"/>
  <c r="F13" i="30"/>
  <c r="F14" i="30"/>
  <c r="F15" i="30"/>
  <c r="F16" i="30"/>
  <c r="F17" i="30"/>
  <c r="F18" i="30"/>
  <c r="F19" i="30"/>
  <c r="F20" i="30"/>
  <c r="F21" i="30"/>
  <c r="F22" i="30"/>
  <c r="F23" i="30"/>
  <c r="F24" i="30"/>
  <c r="E8" i="30"/>
  <c r="E9" i="30"/>
  <c r="E10" i="30"/>
  <c r="E11" i="30"/>
  <c r="E12" i="30"/>
  <c r="E13" i="30"/>
  <c r="E14" i="30"/>
  <c r="E15" i="30"/>
  <c r="E16" i="30"/>
  <c r="E17" i="30"/>
  <c r="E18" i="30"/>
  <c r="E19" i="30"/>
  <c r="E20" i="30"/>
  <c r="E21" i="30"/>
  <c r="E22" i="30"/>
  <c r="E23" i="30"/>
  <c r="E24" i="30"/>
  <c r="D8" i="30"/>
  <c r="D9" i="30"/>
  <c r="D10" i="30"/>
  <c r="D11" i="30"/>
  <c r="D12" i="30"/>
  <c r="D13" i="30"/>
  <c r="D14" i="30"/>
  <c r="D15" i="30"/>
  <c r="D16" i="30"/>
  <c r="D17" i="30"/>
  <c r="D18" i="30"/>
  <c r="D19" i="30"/>
  <c r="D20" i="30"/>
  <c r="D21" i="30"/>
  <c r="D22" i="30"/>
  <c r="D23" i="30"/>
  <c r="D24" i="30"/>
  <c r="C8" i="30"/>
  <c r="C9" i="30"/>
  <c r="C10" i="30"/>
  <c r="C11" i="30"/>
  <c r="C12" i="30"/>
  <c r="C13" i="30"/>
  <c r="C14" i="30"/>
  <c r="C15" i="30"/>
  <c r="C16" i="30"/>
  <c r="C17" i="30"/>
  <c r="C18" i="30"/>
  <c r="C19" i="30"/>
  <c r="C20" i="30"/>
  <c r="C21" i="30"/>
  <c r="C22" i="30"/>
  <c r="C23" i="30"/>
  <c r="C24" i="30"/>
  <c r="C8" i="29"/>
  <c r="C8" i="34" s="1"/>
  <c r="C9" i="29"/>
  <c r="C9" i="34" s="1"/>
  <c r="C10" i="29"/>
  <c r="C10" i="34" s="1"/>
  <c r="C11" i="29"/>
  <c r="C11" i="34" s="1"/>
  <c r="C12" i="29"/>
  <c r="C12" i="34" s="1"/>
  <c r="C13" i="29"/>
  <c r="C13" i="34" s="1"/>
  <c r="C14" i="29"/>
  <c r="C14" i="34" s="1"/>
  <c r="C15" i="29"/>
  <c r="C15" i="34" s="1"/>
  <c r="C16" i="29"/>
  <c r="C16" i="34" s="1"/>
  <c r="C17" i="29"/>
  <c r="C17" i="34" s="1"/>
  <c r="C18" i="29"/>
  <c r="C18" i="34" s="1"/>
  <c r="C19" i="29"/>
  <c r="C19" i="34" s="1"/>
  <c r="C20" i="29"/>
  <c r="C20" i="34" s="1"/>
  <c r="C21" i="29"/>
  <c r="C21" i="34" s="1"/>
  <c r="C22" i="29"/>
  <c r="C22" i="34" s="1"/>
  <c r="C23" i="29"/>
  <c r="C23" i="34" s="1"/>
  <c r="C24" i="29"/>
  <c r="C24" i="34" s="1"/>
  <c r="H13" i="29"/>
  <c r="H13" i="34" s="1"/>
  <c r="H14" i="29"/>
  <c r="H14" i="34" s="1"/>
  <c r="H15" i="29"/>
  <c r="H15" i="34" s="1"/>
  <c r="H16" i="29"/>
  <c r="H16" i="34" s="1"/>
  <c r="H17" i="29"/>
  <c r="H17" i="34" s="1"/>
  <c r="H18" i="29"/>
  <c r="H18" i="34" s="1"/>
  <c r="H19" i="29"/>
  <c r="H19" i="34" s="1"/>
  <c r="H20" i="29"/>
  <c r="H20" i="34" s="1"/>
  <c r="H21" i="29"/>
  <c r="H21" i="34" s="1"/>
  <c r="H22" i="29"/>
  <c r="H22" i="34" s="1"/>
  <c r="H23" i="29"/>
  <c r="H23" i="34" s="1"/>
  <c r="H24" i="29"/>
  <c r="H24" i="34" s="1"/>
  <c r="G8" i="29"/>
  <c r="G8" i="34" s="1"/>
  <c r="G9" i="29"/>
  <c r="G9" i="34" s="1"/>
  <c r="G10" i="29"/>
  <c r="G10" i="34" s="1"/>
  <c r="G11" i="29"/>
  <c r="G11" i="34" s="1"/>
  <c r="G12" i="29"/>
  <c r="G12" i="34" s="1"/>
  <c r="G13" i="29"/>
  <c r="G13" i="34" s="1"/>
  <c r="I13" i="34" s="1"/>
  <c r="G14" i="29"/>
  <c r="G14" i="34" s="1"/>
  <c r="G15" i="29"/>
  <c r="G15" i="34" s="1"/>
  <c r="I15" i="34" s="1"/>
  <c r="G16" i="29"/>
  <c r="G16" i="34" s="1"/>
  <c r="I16" i="34" s="1"/>
  <c r="G17" i="29"/>
  <c r="G17" i="34" s="1"/>
  <c r="G18" i="29"/>
  <c r="G18" i="34" s="1"/>
  <c r="G19" i="29"/>
  <c r="G19" i="34" s="1"/>
  <c r="G20" i="29"/>
  <c r="G20" i="34" s="1"/>
  <c r="G21" i="29"/>
  <c r="G21" i="34" s="1"/>
  <c r="G22" i="29"/>
  <c r="G22" i="34" s="1"/>
  <c r="G23" i="29"/>
  <c r="G23" i="34" s="1"/>
  <c r="G24" i="29"/>
  <c r="D8" i="29"/>
  <c r="D9" i="29"/>
  <c r="D9" i="34" s="1"/>
  <c r="D10" i="29"/>
  <c r="D10" i="34" s="1"/>
  <c r="D11" i="29"/>
  <c r="D11" i="34" s="1"/>
  <c r="D12" i="29"/>
  <c r="D13" i="29"/>
  <c r="D13" i="34" s="1"/>
  <c r="D14" i="29"/>
  <c r="D15" i="29"/>
  <c r="D15" i="34" s="1"/>
  <c r="D16" i="29"/>
  <c r="D16" i="34" s="1"/>
  <c r="D17" i="29"/>
  <c r="D17" i="34" s="1"/>
  <c r="D18" i="29"/>
  <c r="D18" i="34" s="1"/>
  <c r="D19" i="29"/>
  <c r="D19" i="34" s="1"/>
  <c r="D20" i="29"/>
  <c r="D20" i="34" s="1"/>
  <c r="D21" i="29"/>
  <c r="D21" i="34" s="1"/>
  <c r="D22" i="29"/>
  <c r="D23" i="29"/>
  <c r="D24" i="29"/>
  <c r="D24" i="34" s="1"/>
  <c r="H13" i="18"/>
  <c r="H14" i="18"/>
  <c r="H15" i="18"/>
  <c r="H16" i="18"/>
  <c r="H17" i="18"/>
  <c r="H18" i="18"/>
  <c r="I18" i="18" s="1"/>
  <c r="H21" i="18"/>
  <c r="I21" i="18" s="1"/>
  <c r="G9" i="18"/>
  <c r="G10" i="18"/>
  <c r="G11" i="18"/>
  <c r="G12" i="18"/>
  <c r="G13" i="18"/>
  <c r="G14" i="18"/>
  <c r="G15" i="18"/>
  <c r="G16" i="18"/>
  <c r="D24" i="18"/>
  <c r="D8" i="18"/>
  <c r="D9" i="18"/>
  <c r="D10" i="18"/>
  <c r="D11" i="18"/>
  <c r="D12" i="18"/>
  <c r="D13" i="18"/>
  <c r="D14" i="18"/>
  <c r="D15" i="18"/>
  <c r="D16" i="18"/>
  <c r="D17" i="18"/>
  <c r="D18" i="18"/>
  <c r="D19" i="18"/>
  <c r="D20" i="18"/>
  <c r="D21" i="18"/>
  <c r="D22" i="18"/>
  <c r="D23" i="18"/>
  <c r="C8" i="18"/>
  <c r="C9" i="18"/>
  <c r="E9" i="18" s="1"/>
  <c r="F9" i="18" s="1"/>
  <c r="C10" i="18"/>
  <c r="E10" i="18" s="1"/>
  <c r="F10" i="18" s="1"/>
  <c r="C11" i="18"/>
  <c r="E11" i="18" s="1"/>
  <c r="F11" i="18" s="1"/>
  <c r="C12" i="18"/>
  <c r="C13" i="18"/>
  <c r="C14" i="18"/>
  <c r="E14" i="18" s="1"/>
  <c r="F14" i="18" s="1"/>
  <c r="C15" i="18"/>
  <c r="E15" i="18" s="1"/>
  <c r="F15" i="18" s="1"/>
  <c r="C16" i="18"/>
  <c r="C17" i="18"/>
  <c r="E17" i="18" s="1"/>
  <c r="F17" i="18" s="1"/>
  <c r="C18" i="18"/>
  <c r="E18" i="18" s="1"/>
  <c r="F18" i="18" s="1"/>
  <c r="C19" i="18"/>
  <c r="E19" i="18" s="1"/>
  <c r="F19" i="18" s="1"/>
  <c r="C20" i="18"/>
  <c r="E20" i="18" s="1"/>
  <c r="F20" i="18" s="1"/>
  <c r="C21" i="18"/>
  <c r="E21" i="18" s="1"/>
  <c r="F21" i="18" s="1"/>
  <c r="C22" i="18"/>
  <c r="C23" i="18"/>
  <c r="C24" i="18"/>
  <c r="H8" i="1"/>
  <c r="H9" i="1"/>
  <c r="H10" i="1"/>
  <c r="H11" i="1"/>
  <c r="H12" i="1"/>
  <c r="H13" i="1"/>
  <c r="H14" i="1"/>
  <c r="H15" i="1"/>
  <c r="H16" i="1"/>
  <c r="H17" i="1"/>
  <c r="H18" i="1"/>
  <c r="G8" i="1"/>
  <c r="G9" i="1"/>
  <c r="G10" i="1"/>
  <c r="G11" i="1"/>
  <c r="G12" i="1"/>
  <c r="G13" i="1"/>
  <c r="G14" i="1"/>
  <c r="G15" i="1"/>
  <c r="G16" i="1"/>
  <c r="G17" i="1"/>
  <c r="G18" i="1"/>
  <c r="G19" i="1"/>
  <c r="G20" i="1"/>
  <c r="G21" i="1"/>
  <c r="G22" i="1"/>
  <c r="G23" i="1"/>
  <c r="G24" i="1"/>
  <c r="D8" i="1"/>
  <c r="D9" i="1"/>
  <c r="D10" i="1"/>
  <c r="D11" i="1"/>
  <c r="D12" i="1"/>
  <c r="D13" i="1"/>
  <c r="D14" i="1"/>
  <c r="D15" i="1"/>
  <c r="D16" i="1"/>
  <c r="D17" i="1"/>
  <c r="D18" i="1"/>
  <c r="D19" i="1"/>
  <c r="D20" i="1"/>
  <c r="D21" i="1"/>
  <c r="D22" i="1"/>
  <c r="D23" i="1"/>
  <c r="D24" i="1"/>
  <c r="C8" i="1"/>
  <c r="C9" i="1"/>
  <c r="C10" i="1"/>
  <c r="C11" i="1"/>
  <c r="C12" i="1"/>
  <c r="C13" i="1"/>
  <c r="C14" i="1"/>
  <c r="C15" i="1"/>
  <c r="C16" i="1"/>
  <c r="C17" i="1"/>
  <c r="C18" i="1"/>
  <c r="C19" i="1"/>
  <c r="C20" i="1"/>
  <c r="C21" i="1"/>
  <c r="C22" i="1"/>
  <c r="C23" i="1"/>
  <c r="C24" i="1"/>
  <c r="E7" i="3"/>
  <c r="F7" i="3"/>
  <c r="H7" i="3"/>
  <c r="I7" i="3"/>
  <c r="E12" i="4"/>
  <c r="F12" i="4" s="1"/>
  <c r="H12" i="4"/>
  <c r="I12" i="4" s="1"/>
  <c r="E13" i="4"/>
  <c r="F13" i="4" s="1"/>
  <c r="H13" i="4"/>
  <c r="I13" i="4" s="1"/>
  <c r="E14" i="4"/>
  <c r="F14" i="4"/>
  <c r="H14" i="4"/>
  <c r="I14" i="4" s="1"/>
  <c r="E15" i="4"/>
  <c r="F15" i="4" s="1"/>
  <c r="H15" i="4"/>
  <c r="I15" i="4" s="1"/>
  <c r="E16" i="4"/>
  <c r="F16" i="4" s="1"/>
  <c r="H16" i="4"/>
  <c r="I16" i="4" s="1"/>
  <c r="E17" i="4"/>
  <c r="F17" i="4"/>
  <c r="I17" i="4"/>
  <c r="E18" i="4"/>
  <c r="F18" i="4" s="1"/>
  <c r="I18" i="4"/>
  <c r="E19" i="4"/>
  <c r="F19" i="4" s="1"/>
  <c r="E20" i="4"/>
  <c r="F20" i="4"/>
  <c r="H20" i="1"/>
  <c r="I20" i="4"/>
  <c r="E21" i="4"/>
  <c r="F21" i="4" s="1"/>
  <c r="E22" i="4"/>
  <c r="F22" i="4" s="1"/>
  <c r="H22" i="1"/>
  <c r="I22" i="4"/>
  <c r="E23" i="4"/>
  <c r="F23" i="4"/>
  <c r="H23" i="1"/>
  <c r="I23" i="4"/>
  <c r="E24" i="4"/>
  <c r="F24" i="4" s="1"/>
  <c r="H24" i="4"/>
  <c r="D4" i="18"/>
  <c r="D5" i="18"/>
  <c r="D6" i="18"/>
  <c r="D7" i="18"/>
  <c r="C4" i="18"/>
  <c r="C5" i="18"/>
  <c r="C6" i="18"/>
  <c r="C7" i="18"/>
  <c r="H5" i="33"/>
  <c r="I5" i="33" s="1"/>
  <c r="H6" i="33"/>
  <c r="I6" i="33" s="1"/>
  <c r="H7" i="33"/>
  <c r="I7" i="33" s="1"/>
  <c r="H8" i="33"/>
  <c r="I8" i="33" s="1"/>
  <c r="H9" i="33"/>
  <c r="I9" i="33" s="1"/>
  <c r="H10" i="33"/>
  <c r="I10" i="33" s="1"/>
  <c r="H11" i="33"/>
  <c r="I11" i="33" s="1"/>
  <c r="H12" i="33"/>
  <c r="I12" i="33" s="1"/>
  <c r="E5" i="33"/>
  <c r="F5" i="33" s="1"/>
  <c r="E6" i="33"/>
  <c r="F6" i="33" s="1"/>
  <c r="E7" i="33"/>
  <c r="F7" i="33" s="1"/>
  <c r="E8" i="33"/>
  <c r="F8" i="33" s="1"/>
  <c r="E9" i="33"/>
  <c r="F9" i="33" s="1"/>
  <c r="E10" i="33"/>
  <c r="F10" i="33" s="1"/>
  <c r="E11" i="33"/>
  <c r="F11" i="33" s="1"/>
  <c r="E12" i="33"/>
  <c r="F12" i="33" s="1"/>
  <c r="E12" i="29" l="1"/>
  <c r="F12" i="29" s="1"/>
  <c r="D12" i="34"/>
  <c r="E8" i="29"/>
  <c r="F8" i="29" s="1"/>
  <c r="D8" i="34"/>
  <c r="E12" i="34"/>
  <c r="F12" i="34" s="1"/>
  <c r="E11" i="34"/>
  <c r="F11" i="34" s="1"/>
  <c r="E10" i="34"/>
  <c r="F10" i="34" s="1"/>
  <c r="E9" i="34"/>
  <c r="F9" i="34" s="1"/>
  <c r="E8" i="34"/>
  <c r="F8" i="34" s="1"/>
  <c r="E23" i="29"/>
  <c r="F23" i="29" s="1"/>
  <c r="D23" i="34"/>
  <c r="E22" i="29"/>
  <c r="F22" i="29" s="1"/>
  <c r="D22" i="34"/>
  <c r="E14" i="29"/>
  <c r="F14" i="29" s="1"/>
  <c r="D14" i="34"/>
  <c r="I24" i="29"/>
  <c r="G24" i="34"/>
  <c r="I24" i="34"/>
  <c r="I23" i="34"/>
  <c r="I22" i="34"/>
  <c r="I21" i="34"/>
  <c r="I20" i="34"/>
  <c r="I19" i="34"/>
  <c r="I18" i="34"/>
  <c r="I17" i="34"/>
  <c r="I14" i="34"/>
  <c r="E24" i="34"/>
  <c r="F24" i="34" s="1"/>
  <c r="E23" i="34"/>
  <c r="F23" i="34" s="1"/>
  <c r="E22" i="34"/>
  <c r="F22" i="34" s="1"/>
  <c r="E21" i="34"/>
  <c r="F21" i="34" s="1"/>
  <c r="E20" i="34"/>
  <c r="F20" i="34" s="1"/>
  <c r="E19" i="34"/>
  <c r="F19" i="34" s="1"/>
  <c r="E18" i="34"/>
  <c r="F18" i="34" s="1"/>
  <c r="E17" i="34"/>
  <c r="F17" i="34" s="1"/>
  <c r="E16" i="34"/>
  <c r="F16" i="34" s="1"/>
  <c r="E15" i="34"/>
  <c r="F15" i="34" s="1"/>
  <c r="E14" i="34"/>
  <c r="F14" i="34" s="1"/>
  <c r="E13" i="34"/>
  <c r="F13" i="34" s="1"/>
  <c r="E44" i="29"/>
  <c r="F44" i="29" s="1"/>
  <c r="C44" i="34"/>
  <c r="E44" i="34" s="1"/>
  <c r="F44" i="34" s="1"/>
  <c r="E33" i="29"/>
  <c r="F33" i="29" s="1"/>
  <c r="C33" i="34"/>
  <c r="E33" i="34" s="1"/>
  <c r="F33" i="34" s="1"/>
  <c r="E29" i="29"/>
  <c r="F29" i="29" s="1"/>
  <c r="C29" i="34"/>
  <c r="E29" i="34" s="1"/>
  <c r="F29" i="34" s="1"/>
  <c r="E25" i="34"/>
  <c r="F25" i="34" s="1"/>
  <c r="I33" i="34"/>
  <c r="I29" i="34"/>
  <c r="I25" i="34"/>
  <c r="I85" i="34"/>
  <c r="E85" i="34"/>
  <c r="F85" i="34" s="1"/>
  <c r="E84" i="34"/>
  <c r="F84" i="34" s="1"/>
  <c r="I83" i="34"/>
  <c r="E83" i="34"/>
  <c r="F83" i="34" s="1"/>
  <c r="I82" i="34"/>
  <c r="I81" i="34"/>
  <c r="I80" i="34"/>
  <c r="I79" i="34"/>
  <c r="E79" i="34"/>
  <c r="F79" i="34" s="1"/>
  <c r="I78" i="29"/>
  <c r="E78" i="29"/>
  <c r="F78" i="29" s="1"/>
  <c r="E77" i="29"/>
  <c r="F77" i="29" s="1"/>
  <c r="I76" i="34"/>
  <c r="I75" i="34"/>
  <c r="I74" i="34"/>
  <c r="E74" i="29"/>
  <c r="F74" i="29" s="1"/>
  <c r="C74" i="34"/>
  <c r="E73" i="34"/>
  <c r="F73" i="34" s="1"/>
  <c r="I72" i="34"/>
  <c r="I71" i="34"/>
  <c r="E71" i="34"/>
  <c r="F71" i="34" s="1"/>
  <c r="I70" i="34"/>
  <c r="I69" i="34"/>
  <c r="I68" i="29"/>
  <c r="I67" i="34"/>
  <c r="I66" i="29"/>
  <c r="I65" i="34"/>
  <c r="I64" i="29"/>
  <c r="G64" i="34"/>
  <c r="I64" i="34" s="1"/>
  <c r="I63" i="29"/>
  <c r="I62" i="34"/>
  <c r="E61" i="34"/>
  <c r="F61" i="34" s="1"/>
  <c r="I60" i="29"/>
  <c r="G60" i="34"/>
  <c r="I60" i="34" s="1"/>
  <c r="I59" i="34"/>
  <c r="I58" i="34"/>
  <c r="I57" i="34"/>
  <c r="I56" i="34"/>
  <c r="E56" i="29"/>
  <c r="F56" i="29" s="1"/>
  <c r="D56" i="34"/>
  <c r="E56" i="34"/>
  <c r="F56" i="34" s="1"/>
  <c r="I55" i="29"/>
  <c r="I54" i="34"/>
  <c r="E54" i="34"/>
  <c r="F54" i="34" s="1"/>
  <c r="E53" i="34"/>
  <c r="F53" i="34" s="1"/>
  <c r="I52" i="34"/>
  <c r="I51" i="34"/>
  <c r="I50" i="34"/>
  <c r="I49" i="34"/>
  <c r="E48" i="34"/>
  <c r="F48" i="34" s="1"/>
  <c r="I47" i="34"/>
  <c r="E47" i="34"/>
  <c r="F47" i="34" s="1"/>
  <c r="E46" i="34"/>
  <c r="F46" i="34" s="1"/>
  <c r="E59" i="34"/>
  <c r="F59" i="34" s="1"/>
  <c r="E76" i="29"/>
  <c r="F76" i="29" s="1"/>
  <c r="C76" i="34"/>
  <c r="E76" i="34" s="1"/>
  <c r="F76" i="34" s="1"/>
  <c r="E60" i="29"/>
  <c r="F60" i="29" s="1"/>
  <c r="C60" i="34"/>
  <c r="E60" i="34" s="1"/>
  <c r="F60" i="34" s="1"/>
  <c r="G68" i="34"/>
  <c r="I68" i="34" s="1"/>
  <c r="D68" i="34"/>
  <c r="E68" i="34"/>
  <c r="F68" i="34" s="1"/>
  <c r="E69" i="34"/>
  <c r="F69" i="34" s="1"/>
  <c r="E70" i="34"/>
  <c r="F70" i="34" s="1"/>
  <c r="E71" i="29"/>
  <c r="F71" i="29" s="1"/>
  <c r="E72" i="29"/>
  <c r="F72" i="29" s="1"/>
  <c r="C72" i="34"/>
  <c r="E72" i="34" s="1"/>
  <c r="F72" i="34" s="1"/>
  <c r="E73" i="29"/>
  <c r="F73" i="29" s="1"/>
  <c r="E74" i="34"/>
  <c r="F74" i="34" s="1"/>
  <c r="E75" i="29"/>
  <c r="F75" i="29" s="1"/>
  <c r="C75" i="34"/>
  <c r="E75" i="34" s="1"/>
  <c r="F75" i="34" s="1"/>
  <c r="E67" i="34"/>
  <c r="F67" i="34" s="1"/>
  <c r="E49" i="34"/>
  <c r="F49" i="34" s="1"/>
  <c r="E50" i="34"/>
  <c r="F50" i="34" s="1"/>
  <c r="I65" i="29"/>
  <c r="E65" i="29"/>
  <c r="F65" i="29" s="1"/>
  <c r="E65" i="34"/>
  <c r="F65" i="34" s="1"/>
  <c r="E51" i="34"/>
  <c r="F51" i="34" s="1"/>
  <c r="I62" i="29"/>
  <c r="E62" i="34"/>
  <c r="F62" i="34" s="1"/>
  <c r="I52" i="29"/>
  <c r="E52" i="29"/>
  <c r="F52" i="29" s="1"/>
  <c r="C52" i="34"/>
  <c r="E52" i="34" s="1"/>
  <c r="F52" i="34" s="1"/>
  <c r="E64" i="29"/>
  <c r="F64" i="29" s="1"/>
  <c r="C64" i="34"/>
  <c r="E64" i="34" s="1"/>
  <c r="F64" i="34" s="1"/>
  <c r="G55" i="34"/>
  <c r="I55" i="34" s="1"/>
  <c r="E55" i="29"/>
  <c r="F55" i="29" s="1"/>
  <c r="C55" i="34"/>
  <c r="E55" i="34" s="1"/>
  <c r="F55" i="34" s="1"/>
  <c r="G66" i="34"/>
  <c r="I66" i="34" s="1"/>
  <c r="E66" i="34"/>
  <c r="F66" i="34" s="1"/>
  <c r="G63" i="34"/>
  <c r="I63" i="34" s="1"/>
  <c r="E63" i="34"/>
  <c r="F63" i="34" s="1"/>
  <c r="G39" i="34"/>
  <c r="I39" i="34" s="1"/>
  <c r="E39" i="34"/>
  <c r="F39" i="34" s="1"/>
  <c r="E37" i="34"/>
  <c r="F37" i="34" s="1"/>
  <c r="G36" i="34"/>
  <c r="I36" i="34" s="1"/>
  <c r="E36" i="34"/>
  <c r="F36" i="34" s="1"/>
  <c r="G38" i="34"/>
  <c r="I38" i="34" s="1"/>
  <c r="C77" i="34"/>
  <c r="E77" i="34" s="1"/>
  <c r="F77" i="34" s="1"/>
  <c r="G40" i="34"/>
  <c r="I40" i="34" s="1"/>
  <c r="E40" i="29"/>
  <c r="F40" i="29" s="1"/>
  <c r="E40" i="34"/>
  <c r="F40" i="34" s="1"/>
  <c r="E82" i="34"/>
  <c r="F82" i="34" s="1"/>
  <c r="E82" i="29"/>
  <c r="F82" i="29" s="1"/>
  <c r="E26" i="34"/>
  <c r="F26" i="34" s="1"/>
  <c r="E57" i="34"/>
  <c r="F57" i="34" s="1"/>
  <c r="G78" i="34"/>
  <c r="I78" i="34" s="1"/>
  <c r="C78" i="34"/>
  <c r="E78" i="34" s="1"/>
  <c r="F78" i="34" s="1"/>
  <c r="I79" i="29"/>
  <c r="E13" i="29"/>
  <c r="F13" i="29" s="1"/>
  <c r="E9" i="29"/>
  <c r="F9" i="29" s="1"/>
  <c r="E11" i="29"/>
  <c r="F11" i="29" s="1"/>
  <c r="E10" i="29"/>
  <c r="F10" i="29" s="1"/>
  <c r="I80" i="29"/>
  <c r="E80" i="34"/>
  <c r="F80" i="34" s="1"/>
  <c r="E80" i="29"/>
  <c r="F80" i="29" s="1"/>
  <c r="E45" i="34"/>
  <c r="F45" i="34" s="1"/>
  <c r="E42" i="34"/>
  <c r="F42" i="34" s="1"/>
  <c r="G41" i="34"/>
  <c r="I41" i="34" s="1"/>
  <c r="E41" i="34"/>
  <c r="F41" i="34" s="1"/>
  <c r="E81" i="34"/>
  <c r="F81" i="34" s="1"/>
  <c r="E35" i="29"/>
  <c r="F35" i="29" s="1"/>
  <c r="E35" i="34"/>
  <c r="F35" i="34" s="1"/>
  <c r="E32" i="34"/>
  <c r="F32" i="34" s="1"/>
  <c r="E30" i="34"/>
  <c r="F30" i="34" s="1"/>
  <c r="E28" i="34"/>
  <c r="F28" i="34" s="1"/>
  <c r="I23" i="29"/>
  <c r="I22" i="29"/>
  <c r="I21" i="29"/>
  <c r="I20" i="29"/>
  <c r="I19" i="29"/>
  <c r="I18" i="29"/>
  <c r="I17" i="29"/>
  <c r="I14" i="29"/>
  <c r="E46" i="29"/>
  <c r="F46" i="29" s="1"/>
  <c r="E30" i="29"/>
  <c r="F30" i="29" s="1"/>
  <c r="E28" i="29"/>
  <c r="F28" i="29" s="1"/>
  <c r="E27" i="29"/>
  <c r="F27" i="29" s="1"/>
  <c r="I37" i="29"/>
  <c r="I34" i="29"/>
  <c r="I33" i="29"/>
  <c r="I32" i="29"/>
  <c r="I29" i="29"/>
  <c r="I25" i="29"/>
  <c r="E24" i="29"/>
  <c r="F24" i="29" s="1"/>
  <c r="E21" i="29"/>
  <c r="F21" i="29" s="1"/>
  <c r="E20" i="29"/>
  <c r="F20" i="29" s="1"/>
  <c r="E19" i="29"/>
  <c r="F19" i="29" s="1"/>
  <c r="E18" i="29"/>
  <c r="F18" i="29" s="1"/>
  <c r="E17" i="29"/>
  <c r="F17" i="29" s="1"/>
  <c r="E16" i="29"/>
  <c r="F16" i="29" s="1"/>
  <c r="E15" i="29"/>
  <c r="F15" i="29" s="1"/>
  <c r="I46" i="29"/>
  <c r="E39" i="29"/>
  <c r="F39" i="29" s="1"/>
  <c r="E37" i="29"/>
  <c r="F37" i="29" s="1"/>
  <c r="E36" i="29"/>
  <c r="F36" i="29" s="1"/>
  <c r="E38" i="29"/>
  <c r="F38" i="29" s="1"/>
  <c r="I26" i="29"/>
  <c r="E26" i="29"/>
  <c r="F26" i="29" s="1"/>
  <c r="I16" i="29"/>
  <c r="I15" i="29"/>
  <c r="I13" i="29"/>
  <c r="I45" i="29"/>
  <c r="E45" i="29"/>
  <c r="F45" i="29" s="1"/>
  <c r="I44" i="29"/>
  <c r="I43" i="29"/>
  <c r="I42" i="29"/>
  <c r="E41" i="29"/>
  <c r="F41" i="29" s="1"/>
  <c r="I35" i="29"/>
  <c r="E34" i="29"/>
  <c r="F34" i="29" s="1"/>
  <c r="E32" i="29"/>
  <c r="F32" i="29" s="1"/>
  <c r="I31" i="29"/>
  <c r="E31" i="29"/>
  <c r="F31" i="29" s="1"/>
  <c r="I30" i="29"/>
  <c r="I28" i="29"/>
  <c r="I27" i="29"/>
  <c r="E43" i="29"/>
  <c r="F43" i="29" s="1"/>
  <c r="E42" i="29"/>
  <c r="F42" i="29" s="1"/>
  <c r="E25" i="29"/>
  <c r="F25" i="29" s="1"/>
  <c r="E40" i="18"/>
  <c r="F40" i="18" s="1"/>
  <c r="E39" i="18"/>
  <c r="F39" i="18" s="1"/>
  <c r="E37" i="18"/>
  <c r="F37" i="18" s="1"/>
  <c r="E36" i="18"/>
  <c r="F36" i="18" s="1"/>
  <c r="E30" i="18"/>
  <c r="F30" i="18" s="1"/>
  <c r="E28" i="18"/>
  <c r="F28" i="18" s="1"/>
  <c r="I25" i="18"/>
  <c r="I43" i="18"/>
  <c r="I42" i="18"/>
  <c r="I41" i="18"/>
  <c r="I39" i="18"/>
  <c r="I38" i="18"/>
  <c r="I26" i="18"/>
  <c r="I75" i="18"/>
  <c r="I74" i="18"/>
  <c r="I73" i="18"/>
  <c r="I72" i="18"/>
  <c r="I71" i="18"/>
  <c r="I70" i="18"/>
  <c r="I69" i="18"/>
  <c r="I68" i="18"/>
  <c r="I67" i="18"/>
  <c r="I66" i="18"/>
  <c r="I65" i="18"/>
  <c r="I64" i="18"/>
  <c r="I63" i="18"/>
  <c r="I62" i="18"/>
  <c r="I61" i="18"/>
  <c r="I60" i="18"/>
  <c r="I59" i="18"/>
  <c r="I58" i="18"/>
  <c r="I57" i="18"/>
  <c r="I56" i="18"/>
  <c r="I55" i="18"/>
  <c r="I54" i="18"/>
  <c r="I52" i="18"/>
  <c r="I51" i="18"/>
  <c r="I50" i="18"/>
  <c r="I49" i="18"/>
  <c r="E75" i="18"/>
  <c r="F75" i="18" s="1"/>
  <c r="E74" i="18"/>
  <c r="F74" i="18" s="1"/>
  <c r="E73" i="18"/>
  <c r="F73" i="18" s="1"/>
  <c r="E72" i="18"/>
  <c r="F72" i="18" s="1"/>
  <c r="E71" i="18"/>
  <c r="F71" i="18" s="1"/>
  <c r="E70" i="18"/>
  <c r="F70" i="18" s="1"/>
  <c r="E69" i="18"/>
  <c r="F69" i="18" s="1"/>
  <c r="E68" i="18"/>
  <c r="F68" i="18" s="1"/>
  <c r="E67" i="18"/>
  <c r="F67" i="18" s="1"/>
  <c r="E66" i="18"/>
  <c r="F66" i="18" s="1"/>
  <c r="E65" i="18"/>
  <c r="F65" i="18" s="1"/>
  <c r="E64" i="18"/>
  <c r="F64" i="18" s="1"/>
  <c r="E63" i="18"/>
  <c r="F63" i="18" s="1"/>
  <c r="E62" i="18"/>
  <c r="F62" i="18" s="1"/>
  <c r="E61" i="18"/>
  <c r="F61" i="18" s="1"/>
  <c r="E60" i="18"/>
  <c r="F60" i="18" s="1"/>
  <c r="E59" i="18"/>
  <c r="F59" i="18" s="1"/>
  <c r="E58" i="18"/>
  <c r="F58" i="18" s="1"/>
  <c r="E57" i="18"/>
  <c r="F57" i="18" s="1"/>
  <c r="E56" i="18"/>
  <c r="F56" i="18" s="1"/>
  <c r="E55" i="18"/>
  <c r="F55" i="18" s="1"/>
  <c r="E54" i="18"/>
  <c r="F54" i="18" s="1"/>
  <c r="E52" i="18"/>
  <c r="F52" i="18" s="1"/>
  <c r="E51" i="18"/>
  <c r="F51" i="18" s="1"/>
  <c r="E50" i="18"/>
  <c r="F50" i="18" s="1"/>
  <c r="E49" i="18"/>
  <c r="F49" i="18" s="1"/>
  <c r="I53" i="18"/>
  <c r="E53" i="18"/>
  <c r="F53" i="18" s="1"/>
  <c r="I48" i="18"/>
  <c r="E48" i="18"/>
  <c r="F48" i="18" s="1"/>
  <c r="I47" i="18"/>
  <c r="E47" i="18"/>
  <c r="F47" i="18" s="1"/>
  <c r="E29" i="18"/>
  <c r="F29" i="18" s="1"/>
  <c r="E44" i="18"/>
  <c r="F44" i="18" s="1"/>
  <c r="I46" i="18"/>
  <c r="I45" i="18"/>
  <c r="I44" i="18"/>
  <c r="I37" i="18"/>
  <c r="I36" i="18"/>
  <c r="I33" i="18"/>
  <c r="I32" i="18"/>
  <c r="I29" i="18"/>
  <c r="E46" i="18"/>
  <c r="F46" i="18" s="1"/>
  <c r="E26" i="18"/>
  <c r="F26" i="18" s="1"/>
  <c r="E32" i="18"/>
  <c r="F32" i="18" s="1"/>
  <c r="I23" i="18"/>
  <c r="I17" i="18"/>
  <c r="I24" i="18"/>
  <c r="I14" i="18"/>
  <c r="I13" i="18"/>
  <c r="E23" i="18"/>
  <c r="F23" i="18" s="1"/>
  <c r="G2" i="18"/>
  <c r="I16" i="18"/>
  <c r="E24" i="18"/>
  <c r="F24" i="18" s="1"/>
  <c r="E8" i="18"/>
  <c r="F8" i="18" s="1"/>
  <c r="H20" i="18"/>
  <c r="I20" i="18" s="1"/>
  <c r="E22" i="18"/>
  <c r="F22" i="18" s="1"/>
  <c r="E13" i="18"/>
  <c r="F13" i="18" s="1"/>
  <c r="E12" i="18"/>
  <c r="F12" i="18" s="1"/>
  <c r="E16" i="18"/>
  <c r="F16" i="18" s="1"/>
  <c r="H19" i="18"/>
  <c r="I19" i="18" s="1"/>
  <c r="I24" i="21"/>
  <c r="I23" i="21"/>
  <c r="I22" i="21"/>
  <c r="I15" i="18"/>
  <c r="E24" i="1"/>
  <c r="F24" i="1" s="1"/>
  <c r="E23" i="1"/>
  <c r="F23" i="1" s="1"/>
  <c r="E22" i="1"/>
  <c r="F22" i="1" s="1"/>
  <c r="E21" i="1"/>
  <c r="F21" i="1" s="1"/>
  <c r="E20" i="1"/>
  <c r="F20" i="1" s="1"/>
  <c r="E19" i="1"/>
  <c r="F19" i="1" s="1"/>
  <c r="E18" i="1"/>
  <c r="F18" i="1" s="1"/>
  <c r="E17" i="1"/>
  <c r="F17" i="1" s="1"/>
  <c r="I16" i="1"/>
  <c r="I15" i="1"/>
  <c r="I14" i="1"/>
  <c r="I13" i="1"/>
  <c r="I12" i="1"/>
  <c r="E8" i="1"/>
  <c r="F8" i="1" s="1"/>
  <c r="I11" i="1"/>
  <c r="I10" i="1"/>
  <c r="I9" i="1"/>
  <c r="I8" i="1"/>
  <c r="I18" i="1"/>
  <c r="I17" i="1"/>
  <c r="I22" i="1"/>
  <c r="I21" i="4"/>
  <c r="H21" i="1"/>
  <c r="I20" i="1"/>
  <c r="I19" i="4"/>
  <c r="H19" i="1"/>
  <c r="I24" i="4"/>
  <c r="H24" i="1"/>
  <c r="I23" i="1"/>
  <c r="E16" i="1"/>
  <c r="F16" i="1" s="1"/>
  <c r="E15" i="1"/>
  <c r="F15" i="1" s="1"/>
  <c r="E14" i="1"/>
  <c r="F14" i="1" s="1"/>
  <c r="E13" i="1"/>
  <c r="F13" i="1" s="1"/>
  <c r="E12" i="1"/>
  <c r="F12" i="1" s="1"/>
  <c r="E11" i="1"/>
  <c r="F11" i="1" s="1"/>
  <c r="E10" i="1"/>
  <c r="F10" i="1" s="1"/>
  <c r="E9" i="1"/>
  <c r="F9" i="1" s="1"/>
  <c r="G6" i="30"/>
  <c r="G7" i="30"/>
  <c r="G5" i="30"/>
  <c r="G4" i="30"/>
  <c r="E5" i="28"/>
  <c r="F5" i="28" s="1"/>
  <c r="E5" i="27"/>
  <c r="G5" i="29"/>
  <c r="G6" i="29"/>
  <c r="G6" i="34" s="1"/>
  <c r="G4" i="29"/>
  <c r="E12" i="19"/>
  <c r="F12" i="19" s="1"/>
  <c r="E5" i="20"/>
  <c r="E4" i="4"/>
  <c r="F4" i="4"/>
  <c r="H4" i="4"/>
  <c r="I4" i="4"/>
  <c r="E5" i="4"/>
  <c r="F5" i="4"/>
  <c r="H5" i="4"/>
  <c r="I5" i="4"/>
  <c r="E6" i="4"/>
  <c r="F6" i="4"/>
  <c r="H6" i="4"/>
  <c r="I6" i="4"/>
  <c r="E7" i="4"/>
  <c r="F7" i="4"/>
  <c r="H7" i="4"/>
  <c r="I7" i="4"/>
  <c r="E8" i="4"/>
  <c r="F8" i="4"/>
  <c r="H8" i="4"/>
  <c r="I8" i="4"/>
  <c r="E9" i="4"/>
  <c r="F9" i="4" s="1"/>
  <c r="H9" i="4"/>
  <c r="I9" i="4" s="1"/>
  <c r="E10" i="4"/>
  <c r="F10" i="4"/>
  <c r="H10" i="4"/>
  <c r="I10" i="4" s="1"/>
  <c r="E11" i="4"/>
  <c r="F11" i="4" s="1"/>
  <c r="H11" i="4"/>
  <c r="I11" i="4" s="1"/>
  <c r="I21" i="1" l="1"/>
  <c r="I19" i="1"/>
  <c r="I24" i="1"/>
  <c r="E7" i="72"/>
  <c r="F7" i="72" s="1"/>
  <c r="E6" i="72"/>
  <c r="F6" i="72" s="1"/>
  <c r="E5" i="72"/>
  <c r="F5" i="72"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5" i="3"/>
  <c r="F5" i="3" s="1"/>
  <c r="H5" i="3"/>
  <c r="I5" i="3" s="1"/>
  <c r="E6" i="3"/>
  <c r="F6" i="3" s="1"/>
  <c r="H6" i="3"/>
  <c r="I6" i="3" s="1"/>
  <c r="G6" i="1"/>
  <c r="G7" i="1"/>
  <c r="G5" i="1"/>
  <c r="G5" i="34" s="1"/>
  <c r="G4" i="1"/>
  <c r="G4" i="34" s="1"/>
  <c r="B4" i="34" a="1"/>
  <c r="B4" i="34" s="1"/>
  <c r="A4" i="34" a="1"/>
  <c r="A4" i="34" s="1"/>
  <c r="A1" i="34" a="1"/>
  <c r="A1" i="34" s="1"/>
  <c r="D7" i="30"/>
  <c r="C7" i="30"/>
  <c r="D6" i="30"/>
  <c r="C6" i="30"/>
  <c r="D5" i="30"/>
  <c r="C5" i="30"/>
  <c r="D4" i="30"/>
  <c r="C4" i="30"/>
  <c r="D7" i="29"/>
  <c r="D7" i="34" s="1"/>
  <c r="C7" i="29"/>
  <c r="C7" i="34" s="1"/>
  <c r="E7" i="34" s="1"/>
  <c r="F7" i="34" s="1"/>
  <c r="D6" i="29"/>
  <c r="D6" i="34" s="1"/>
  <c r="C6" i="29"/>
  <c r="C6" i="34" s="1"/>
  <c r="E6" i="34" s="1"/>
  <c r="F6" i="34" s="1"/>
  <c r="D5" i="29"/>
  <c r="C5" i="29"/>
  <c r="D4" i="29"/>
  <c r="C4" i="29"/>
  <c r="B4" i="30" a="1"/>
  <c r="B4" i="30" s="1"/>
  <c r="G2" i="30"/>
  <c r="A1" i="30" a="1"/>
  <c r="A1" i="30" s="1"/>
  <c r="B4" i="29" a="1"/>
  <c r="B4" i="29" s="1"/>
  <c r="A4" i="29" a="1"/>
  <c r="A4" i="29" s="1"/>
  <c r="G2" i="29"/>
  <c r="A1" i="29" a="1"/>
  <c r="A1" i="29" s="1"/>
  <c r="B4" i="18" a="1"/>
  <c r="B4" i="18" s="1"/>
  <c r="A4" i="18" a="1"/>
  <c r="A4" i="18" s="1"/>
  <c r="A1" i="18" a="1"/>
  <c r="A1" i="18" s="1"/>
  <c r="C7" i="1"/>
  <c r="C6" i="1"/>
  <c r="C5" i="1"/>
  <c r="C4" i="1"/>
  <c r="D6" i="1"/>
  <c r="D7" i="1"/>
  <c r="D5" i="1"/>
  <c r="D4" i="1"/>
  <c r="B4" i="1" a="1"/>
  <c r="B4" i="1" s="1"/>
  <c r="A4" i="1" a="1"/>
  <c r="A4" i="1" s="1"/>
  <c r="A1" i="1" a="1"/>
  <c r="A1" i="1" s="1"/>
  <c r="H4" i="33"/>
  <c r="I4" i="33" s="1"/>
  <c r="E4" i="33"/>
  <c r="F4" i="33" s="1"/>
  <c r="G2" i="33"/>
  <c r="D2" i="33"/>
  <c r="C2" i="33"/>
  <c r="A1" i="33" a="1"/>
  <c r="A1" i="33"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H4" i="32"/>
  <c r="I4" i="32" s="1"/>
  <c r="E4" i="32"/>
  <c r="F4" i="32" s="1"/>
  <c r="G2" i="32"/>
  <c r="D2" i="32"/>
  <c r="C2" i="32"/>
  <c r="A1" i="32" a="1"/>
  <c r="A1" i="32"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H4" i="28"/>
  <c r="I4" i="28" s="1"/>
  <c r="E4" i="28"/>
  <c r="F4" i="28" s="1"/>
  <c r="B4" i="28" a="1"/>
  <c r="B4" i="28" s="1"/>
  <c r="A4" i="28" a="1"/>
  <c r="A4" i="28" s="1"/>
  <c r="G2" i="28"/>
  <c r="D2" i="28"/>
  <c r="C2" i="28"/>
  <c r="A1" i="28" a="1"/>
  <c r="A1" i="28" s="1"/>
  <c r="H5" i="27"/>
  <c r="I5" i="27" s="1"/>
  <c r="F5" i="27"/>
  <c r="H4" i="27"/>
  <c r="I4" i="27" s="1"/>
  <c r="E4" i="27"/>
  <c r="F4" i="27" s="1"/>
  <c r="G2" i="27"/>
  <c r="D2" i="27"/>
  <c r="C2" i="27"/>
  <c r="A1" i="27" a="1"/>
  <c r="A1" i="27" s="1"/>
  <c r="H12" i="26"/>
  <c r="H12" i="29" s="1"/>
  <c r="H11" i="26"/>
  <c r="H10" i="26"/>
  <c r="H9" i="26"/>
  <c r="H8" i="26"/>
  <c r="H6" i="26"/>
  <c r="H5" i="26"/>
  <c r="I5" i="26" s="1"/>
  <c r="E5" i="26"/>
  <c r="F5" i="26" s="1"/>
  <c r="H4" i="26"/>
  <c r="I4" i="26" s="1"/>
  <c r="E4" i="26"/>
  <c r="F4" i="26" s="1"/>
  <c r="G2" i="26"/>
  <c r="D2" i="26"/>
  <c r="C2" i="26"/>
  <c r="A1" i="26" a="1"/>
  <c r="A1" i="26" s="1"/>
  <c r="H12" i="19"/>
  <c r="I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5" i="20"/>
  <c r="I5" i="20" s="1"/>
  <c r="F5" i="20"/>
  <c r="H4" i="20"/>
  <c r="I4" i="20" s="1"/>
  <c r="E4" i="20"/>
  <c r="F4" i="20" s="1"/>
  <c r="G2" i="20"/>
  <c r="D2" i="20"/>
  <c r="C2" i="20"/>
  <c r="A1" i="20" a="1"/>
  <c r="A1" i="20" s="1"/>
  <c r="H12" i="21"/>
  <c r="E12" i="21"/>
  <c r="F12" i="21" s="1"/>
  <c r="H11" i="21"/>
  <c r="E11" i="21"/>
  <c r="F11" i="21" s="1"/>
  <c r="H10" i="21"/>
  <c r="E10" i="21"/>
  <c r="F10" i="21" s="1"/>
  <c r="H9" i="21"/>
  <c r="E9" i="21"/>
  <c r="F9" i="21" s="1"/>
  <c r="H8" i="21"/>
  <c r="E8" i="21"/>
  <c r="F8" i="21" s="1"/>
  <c r="H7" i="21"/>
  <c r="I7" i="21" s="1"/>
  <c r="E7" i="21"/>
  <c r="F7" i="21" s="1"/>
  <c r="H6" i="21"/>
  <c r="I6" i="21" s="1"/>
  <c r="E6" i="21"/>
  <c r="F6" i="21" s="1"/>
  <c r="H5" i="21"/>
  <c r="I5" i="21" s="1"/>
  <c r="E5" i="21"/>
  <c r="F5" i="21" s="1"/>
  <c r="H4" i="21"/>
  <c r="I4" i="21" s="1"/>
  <c r="E4" i="21"/>
  <c r="F4" i="21" s="1"/>
  <c r="G2" i="21"/>
  <c r="D2" i="21"/>
  <c r="C2" i="21"/>
  <c r="A1" i="21" a="1"/>
  <c r="A1" i="21" s="1"/>
  <c r="G2" i="4"/>
  <c r="D2" i="4"/>
  <c r="C2" i="4"/>
  <c r="J2" i="4" s="1"/>
  <c r="A1" i="4" a="1"/>
  <c r="A1" i="4" s="1"/>
  <c r="G2" i="3"/>
  <c r="D2" i="3"/>
  <c r="C2" i="3"/>
  <c r="J2" i="3" s="1"/>
  <c r="A1" i="3" a="1"/>
  <c r="A1" i="3" s="1"/>
  <c r="H6" i="72"/>
  <c r="I6" i="72" s="1"/>
  <c r="H7" i="72"/>
  <c r="I7" i="72" s="1"/>
  <c r="H5" i="72"/>
  <c r="I5" i="72" s="1"/>
  <c r="H4" i="72"/>
  <c r="I4" i="72" s="1"/>
  <c r="G2" i="72"/>
  <c r="D2" i="72"/>
  <c r="C2" i="72"/>
  <c r="J2" i="72" s="1"/>
  <c r="A1" i="72" a="1"/>
  <c r="A1" i="72" s="1"/>
  <c r="H9" i="29" l="1"/>
  <c r="I12" i="29"/>
  <c r="H12" i="34"/>
  <c r="I12" i="34" s="1"/>
  <c r="I8" i="26"/>
  <c r="H8" i="29"/>
  <c r="I11" i="26"/>
  <c r="H11" i="29"/>
  <c r="I10" i="26"/>
  <c r="H10" i="29"/>
  <c r="I8" i="21"/>
  <c r="H8" i="18"/>
  <c r="I9" i="21"/>
  <c r="H9" i="18"/>
  <c r="I12" i="21"/>
  <c r="H12" i="18"/>
  <c r="I11" i="21"/>
  <c r="H11" i="18"/>
  <c r="I10" i="21"/>
  <c r="H10" i="18"/>
  <c r="C5" i="34"/>
  <c r="D5" i="34"/>
  <c r="H6" i="29"/>
  <c r="E7" i="18"/>
  <c r="F7" i="18" s="1"/>
  <c r="D4" i="34"/>
  <c r="D2" i="18"/>
  <c r="H6" i="30"/>
  <c r="H7" i="29"/>
  <c r="E4" i="18"/>
  <c r="F4" i="18" s="1"/>
  <c r="E4" i="30"/>
  <c r="F4" i="30" s="1"/>
  <c r="D2" i="29"/>
  <c r="E5" i="18"/>
  <c r="F5" i="18" s="1"/>
  <c r="E5" i="29"/>
  <c r="F5" i="29" s="1"/>
  <c r="E5" i="30"/>
  <c r="F5" i="30" s="1"/>
  <c r="E6" i="18"/>
  <c r="F6" i="18" s="1"/>
  <c r="E6" i="29"/>
  <c r="F6" i="29" s="1"/>
  <c r="E6" i="30"/>
  <c r="F6"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H2" i="3"/>
  <c r="I2" i="3" s="1"/>
  <c r="E7" i="1"/>
  <c r="F7" i="1" s="1"/>
  <c r="G2" i="1"/>
  <c r="E5" i="1"/>
  <c r="F5" i="1" s="1"/>
  <c r="E6" i="1"/>
  <c r="F6" i="1" s="1"/>
  <c r="H4" i="30"/>
  <c r="I4" i="30" s="1"/>
  <c r="E7" i="30"/>
  <c r="F7" i="30" s="1"/>
  <c r="H7" i="30"/>
  <c r="H5" i="30"/>
  <c r="E7" i="29"/>
  <c r="F7" i="29" s="1"/>
  <c r="I6" i="26"/>
  <c r="I9" i="26"/>
  <c r="I12" i="26"/>
  <c r="H4" i="29"/>
  <c r="I4" i="29" s="1"/>
  <c r="H5" i="29"/>
  <c r="I5" i="29" s="1"/>
  <c r="H6" i="18"/>
  <c r="I6" i="18" s="1"/>
  <c r="H4" i="18"/>
  <c r="I4" i="18" s="1"/>
  <c r="H7" i="18"/>
  <c r="I7" i="18" s="1"/>
  <c r="C4" i="34"/>
  <c r="H5" i="18"/>
  <c r="I5" i="18" s="1"/>
  <c r="C2" i="29"/>
  <c r="C2" i="30"/>
  <c r="E4" i="29"/>
  <c r="F4" i="29" s="1"/>
  <c r="C2" i="18"/>
  <c r="H7" i="1"/>
  <c r="I7" i="1" s="1"/>
  <c r="H4" i="1"/>
  <c r="H5" i="1"/>
  <c r="I5" i="1" s="1"/>
  <c r="H6" i="1"/>
  <c r="I6" i="1" s="1"/>
  <c r="C2" i="1"/>
  <c r="E2" i="3"/>
  <c r="F2" i="3" s="1"/>
  <c r="E4" i="1"/>
  <c r="F4" i="1" s="1"/>
  <c r="D2" i="1"/>
  <c r="E2" i="33"/>
  <c r="F2" i="33" s="1"/>
  <c r="E2" i="32"/>
  <c r="F2" i="32" s="1"/>
  <c r="E2" i="31"/>
  <c r="F2" i="31" s="1"/>
  <c r="E2" i="27"/>
  <c r="F2" i="27" s="1"/>
  <c r="E2" i="26"/>
  <c r="F2" i="26" s="1"/>
  <c r="E2" i="19"/>
  <c r="F2" i="19" s="1"/>
  <c r="E2" i="21"/>
  <c r="F2" i="21" s="1"/>
  <c r="E2" i="4"/>
  <c r="F2" i="4" s="1"/>
  <c r="H2" i="72"/>
  <c r="I7" i="29" l="1"/>
  <c r="H7" i="34"/>
  <c r="I7" i="34" s="1"/>
  <c r="I6" i="29"/>
  <c r="H6" i="34"/>
  <c r="I6" i="34" s="1"/>
  <c r="I8" i="29"/>
  <c r="H8" i="34"/>
  <c r="I8" i="34" s="1"/>
  <c r="I9" i="29"/>
  <c r="H9" i="34"/>
  <c r="I9" i="34" s="1"/>
  <c r="I11" i="29"/>
  <c r="H11" i="34"/>
  <c r="I11" i="34" s="1"/>
  <c r="I10" i="29"/>
  <c r="H10" i="34"/>
  <c r="I10" i="34" s="1"/>
  <c r="I8" i="18"/>
  <c r="I9" i="18"/>
  <c r="I12" i="18"/>
  <c r="I11" i="18"/>
  <c r="I10" i="18"/>
  <c r="E5" i="34"/>
  <c r="F5" i="34" s="1"/>
  <c r="D2" i="34"/>
  <c r="I5" i="30"/>
  <c r="H5" i="34"/>
  <c r="I5" i="34" s="1"/>
  <c r="I7" i="30"/>
  <c r="I6" i="30"/>
  <c r="E2" i="29"/>
  <c r="F2" i="29" s="1"/>
  <c r="E4" i="34"/>
  <c r="F4"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<sst xmlns="http://schemas.openxmlformats.org/spreadsheetml/2006/main" count="1546" uniqueCount="792">
  <si>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</si>
  <si>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</si>
  <si>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</si>
  <si>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</si>
  <si>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</si>
  <si>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</si>
  <si>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</si>
  <si>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</si>
  <si>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</si>
  <si>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</si>
  <si>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</si>
  <si>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</si>
  <si>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</si>
  <si>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</si>
  <si>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</si>
  <si>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</si>
  <si>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</si>
  <si>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</si>
  <si>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</si>
  <si>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</si>
  <si>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Notes1</t>
  </si>
  <si>
    <t>Service Requests</t>
  </si>
  <si>
    <t>1. Inverter 2 is offline from 01/01 due to several isolation errors.</t>
  </si>
  <si>
    <t>1.	SR095368</t>
  </si>
  <si>
    <t xml:space="preserve">1. Inverters D, I, and O were offline due to arc faults, while inverters L and Q had been offline since 12/08/23, and Inverter P had been offline since 06/14/24. On 01/17, a technician visited the site, troubleshot all inverters, and brought them back online except for inverter K, which remained out of service due to a non-functional LED screen. Inverter K has been RMA’d.
</t>
  </si>
  <si>
    <t>1.SR095501</t>
  </si>
  <si>
    <t>1. Site started derated at 12:30pm and later was offline at 15:00 on 01/29 through out the month.</t>
  </si>
  <si>
    <t>1.SR096179</t>
  </si>
  <si>
    <t>February Actual v. Expected</t>
  </si>
  <si>
    <t>February Actual v. Forecasted</t>
  </si>
  <si>
    <t>1. Inverter 2 is offline from 01/01 due to several isolation errors.
2. Inverter 1 tripped offline since 02/25 due to insulation faults.</t>
  </si>
  <si>
    <t>1.SR095368
2.SR097850</t>
  </si>
  <si>
    <t>SR097850</t>
  </si>
  <si>
    <t>1.Inverters L, N, P, and Q were offline, and Inverter I was reporting an ARC fault. On 02/20 upon the technician's arrival, it was found that Inverters L, P, and Q were offline, Inverter I was offline and reporting an ARC fault, while Inverter N was also reporting an ARC fault. The fault was cleared, and the inverters L, Q, I and N was power-cycled and they are  back online. But Inverters N and P are out of warranty required additional troubleshoot.
2.Inverter K has been RMA’d, On 02/04, the technician brought Inverter K back online by updating its software.</t>
  </si>
  <si>
    <t>1.SR096409, 	SR097783
2.SR095501</t>
  </si>
  <si>
    <t>SR097783</t>
  </si>
  <si>
    <t>SR095501</t>
  </si>
  <si>
    <t>1.The site has been offline since 01/29. On 02/03, upon the technician's arrival, it was found that DC strings CB1, string 10, and CB6, string 7, each had no open-circuit string voltage, even without the fuse. After isolating these strings, the inverter was re-energized, and the site was brought back online at 02:45 PM on 02/03.</t>
  </si>
  <si>
    <t>1.SR096179, 	SR096262</t>
  </si>
  <si>
    <t>SR096262</t>
  </si>
  <si>
    <t>March Actual v. Expected</t>
  </si>
  <si>
    <t>March Actual v. Forecasted</t>
  </si>
  <si>
    <t>Notes</t>
  </si>
  <si>
    <t>N/A</t>
  </si>
  <si>
    <t>1. Inverter 2 is offline from 01/01 due to several isolation errors.
2. Inverter 1 tripped offline on 02/25 due to insulation faults and came back online at 02:35 on 03/01. It has also gone offline multiple times throughout the month.</t>
  </si>
  <si>
    <t>1.Inverter L tripped offline due to Arc fault detected from 09:50AM on 03/02 through out the month.
2.Inverter I tripped offline due to an arc fault from 17:10 on 03/09 through out the month.
3.Site was offline between 9AM to 10:30Am on 03/07 due to grid fault. Again site was offline from 15:30 to 15:40 on 03/19 due to Grid undervoltage. 
4.Inverter P was offline and Inverter N was offline and lost communication  on multiple days through out the month. Inverters N and P require manufacturer diagnostics, but their warranties have expired—repair and shipping costs not covered. Client is considering replacing AE inverters with another brand and is seeking recommendations.</t>
  </si>
  <si>
    <t>1.SR097975
2.SR097975
3.SR098262 &amp; SR098783
4.SR097783 &amp; SR098428</t>
  </si>
  <si>
    <t>SR097975</t>
  </si>
  <si>
    <t>SR098262</t>
  </si>
  <si>
    <t>SR098783</t>
  </si>
  <si>
    <t>SR098428</t>
  </si>
  <si>
    <t>1. The inverter was tripping on and off. Upon the technician's arrival, it was found that DC strings—CB1 String 10 and CB6 String 7—had no open-circuit voltage and a broken module, even with the fuses removed. After isolating these strings, the inverter was re-energized, and the affected modules are currently pending replacement.</t>
  </si>
  <si>
    <t>1. SR096262,	  SR099066</t>
  </si>
  <si>
    <t>SR099066</t>
  </si>
  <si>
    <t>1. Inverter 13 is underperforming by approximately 10 kW compared to its peers.</t>
  </si>
  <si>
    <t>1. SR098870</t>
  </si>
  <si>
    <t>1.Site has not started for the production on 03/13, technician found that the SEL realy was opened and later closed the relay the site was back online at 16:20 on 03/13.
2. Site was offline on 03/15 due to heavy stroms later technician was able to close the relay on 03/17 at 14:15.</t>
  </si>
  <si>
    <t>1.SR098497
2.SR098613</t>
  </si>
  <si>
    <t>SR098613</t>
  </si>
  <si>
    <t>1.Inverter 6 is down a string from 07/30/24.
2.Site has not started for the production on 03/13, technician found that the SEL realy was opened and later closed the relay the site was back online at 14:45 on 03/13.
3.Site was offline on 03/15 due to heavy stroms later technician was able to close the relay on 03/17 at 13:15.</t>
  </si>
  <si>
    <t>1.SR098046
2.SR098496
3.SR098614</t>
  </si>
  <si>
    <t>SR098496</t>
  </si>
  <si>
    <t>SR098614</t>
  </si>
  <si>
    <t>1. Inverter 3 has been down a string since 09/09/21. Additionally, Inverter 3 tripped offline at 15:00 CDT on 03/31 and is reporting a permanent fault on the power module. After a technician checked in, it was confirmed that the inverter powerhead has been RMA’d.</t>
  </si>
  <si>
    <t>1. SR098047, SR099230</t>
  </si>
  <si>
    <t>SR099230</t>
  </si>
  <si>
    <t>1. Site was offline at 09:45am on 03/30 till end of the month due to recloser open</t>
  </si>
  <si>
    <t>1.SR099167</t>
  </si>
  <si>
    <t>1. Inverters B4, C2, C5 are each down 1 string.
2.Site is offline with multiple grid under frequency alerts at 09:30 on 03/30 later has reenegized the site at 12:00 on 03/31.</t>
  </si>
  <si>
    <t>1.SR098048
2.SR099150</t>
  </si>
  <si>
    <t>SR099150</t>
  </si>
  <si>
    <t>1. The college inverter 18 is offline due to an Isolation Error.</t>
  </si>
  <si>
    <t>1. SR098818</t>
  </si>
  <si>
    <t>1. Meter A Inverters 1 through 4 went offline on 03/20 due to a power unit issue. Additionally, Meter A Inverter 12 went offline on 03/31 and is reporting an electric arc detection.</t>
  </si>
  <si>
    <t>1. SR098819</t>
  </si>
  <si>
    <t>1.Inverters 12 and 15 were offline at 07:00 AM on 03/04, and inverter 15 later self-resolved at 05:50 PM on 03/27.
Inverter 9 has been offline since 11/25/24.
Inverter 18 has been offline since 04/27/24.
2.Inverter 5 is offline multiple days in a month.</t>
  </si>
  <si>
    <t>1. SR098076
2. SR098231</t>
  </si>
  <si>
    <t>SR098231</t>
  </si>
  <si>
    <t>1. Inverter 1 has been offline since the site began operations.
2. Inverter 7 is offline from 12/09/24.</t>
  </si>
  <si>
    <t>1. SR098015
2. SR098016</t>
  </si>
  <si>
    <t>SR098016</t>
  </si>
  <si>
    <t>April Actual v. Expected</t>
  </si>
  <si>
    <t>April Actual v. Forecasted</t>
  </si>
  <si>
    <t>1.Inverter 1 was offline on multiple days of the month due to Insulation Fault.
2.Inverter 2 is offline from 01/01 due to Isolation fault.
3.Inverter 12 was significantly affected by shading, resulting in a 6 kW reduction in output. This issue is more likely to occur on high irradiance days throughout the month.</t>
  </si>
  <si>
    <t>1.SR097850
2.SR095368
3.SR099290</t>
  </si>
  <si>
    <t>SR095368</t>
  </si>
  <si>
    <t>SR099290</t>
  </si>
  <si>
    <t>1.Inverter L tripped offline due to Arc fault detected from 09:50AM on 03/02 and back online at 11:20AM on 04/03 after technician reset code.
2.Inverter I tripped offline at 17:10 on 03/09 due to an arc fault and back online at 11:30AM on 04/03 after technician reset code. again tripped offline from 9:00 to 16:00 on 04/08 due to arc fault. 
3. Alll inverters tripped offline from 9:00 to 16:00 on 04/08 due to grid fault.
4.Inverter P was offline and Inverter N was offline and lost communication  on multiple days through out the month. Inverters N and P require manufacturer diagnostics, but their warranties have expired—repair and shipping costs not covered. Client is considering replacing AE inverters with another brand and is seeking recommendations.</t>
  </si>
  <si>
    <t>1.SR097975
2.SR097975 &amp; SR099501
3.SR099508
4.SR097783</t>
  </si>
  <si>
    <t>SR099501</t>
  </si>
  <si>
    <t>SR099508</t>
  </si>
  <si>
    <t>1.On 03/14, Technicians identified failed modules on CB1 String 10 and CB6 String 7 causing inverter shutdown. They isolated the faulty strings, restored DC voltage, and brought the inverter back online. Site is now producing normally; module procurement and replacement are pending.</t>
  </si>
  <si>
    <t>1.SR096262 &amp; SR099066</t>
  </si>
  <si>
    <t>1. Inverter 13 is underperforming by approximately 10 kW compared to its peers.
2.The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</si>
  <si>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1.SR098870
2.SR099461</t>
  </si>
  <si>
    <t>SR099461</t>
  </si>
  <si>
    <t xml:space="preserve">1.Site remained offline from 10:15 CDT on 04/26 to 08:30 CDT on 04/29.Site came back online after technician has  reset the main breaker </t>
  </si>
  <si>
    <t>1.SR100445</t>
  </si>
  <si>
    <t xml:space="preserve">1.The site remained offline from 07:15 on 04/22 to 12:30 on 04/23. On 04/23, a technician reset the SEL relay and tripped breaker, that the issue could be due to poor utility power quality—harmonics or capacitor banks may need adjustment
2. Meter communications have been intermittent, with frequent losses in connectivity lasting between 45 minutes to 2 hours before self-resolving. This issue has persisted throughout the month and is affecting the accuracy of forecasted values
3.Site remained offline from 06:30 to 16:30 on 04/29.Site was back online after technician has closed in the Main Breaker </t>
  </si>
  <si>
    <t>1.SR100131
2.SR100417
3.SR100617</t>
  </si>
  <si>
    <t>SR100417</t>
  </si>
  <si>
    <t>SR100617</t>
  </si>
  <si>
    <t>1.Site remained offline from 12:47 on 04/05 to 12:45 on 04/07.Site came back online after the technician has reset the SEL relay and  main breaker.
2.Site remained offline from 06:30 to 17:30 on 04/29.Site was back online after technician has closed in the Main Breaker 
3. Inverter 6 is down 2 strings from 07/30/24.</t>
  </si>
  <si>
    <t>1.SR099457
2.SR100618
3.SR098046,PM13355</t>
  </si>
  <si>
    <t>SR100618</t>
  </si>
  <si>
    <t>SR098046</t>
  </si>
  <si>
    <t xml:space="preserve">1.Inverter 3 is down a string since 09/09/21.Issue got resolved on 04/23 after the inverter replacement.
2.Inverter 3 tripped offline at 15:00CDT on 03/31 and powerhead being  RMAD from 04/03. On 04/23,Inverter 3 is producing as expected after inverter replcament done by technician.
</t>
  </si>
  <si>
    <t>1.SR098047,PM13645
2.SR099230</t>
  </si>
  <si>
    <t>1.The site was offline from 04/01 to 15:00 on 04/03. Heavy snow in that area may have caused  the outage. The site came back online after the technician reset the breaker on 04/03.
2.Site was offline from 19:15 on 04/14 to 11:45 on 04/15 due to utility outage.Site was back online after technician has reset the main breaker.
3.Site was offline from 22:45 on 04/28 to 11:45 on 04/29.After tecnician reset main breaker.
4.Weather Station (Wind, Amb, Mod1, POA) (POA) is intermittently reading irradiance greater than 0W/m2 during night hours. Intermittently reading 0 W/m2 during the day on 3/28/25.Issue persisted throughout the month</t>
  </si>
  <si>
    <t>1.SR099167
2.SR099789
3.SR100621
4.SR099110</t>
  </si>
  <si>
    <t>SR099789</t>
  </si>
  <si>
    <t>SR100621</t>
  </si>
  <si>
    <t>SR099110</t>
  </si>
  <si>
    <t>1. Inverters B4, C2, C5 are each down 1 string and investigating on PM event.</t>
  </si>
  <si>
    <t>1. SR098048</t>
  </si>
  <si>
    <t>1. College Inverter 18 tripped offline at 18:00 on 04/02 due to an isolation error. Additionally, Inverter 45 tripped offline at 06:00 on 04/04 due to an isolation fault. Both inverters were back online at 07:00 on 04/08. 
2. Inverter 18 tripped offline at 06:00 on 04/12 due to an "isolation error" and later self-resolved, and back online at 12:00 on 04/13. It tripped offline again from 06:00 to 12:00 on 04/13 due to "isolation fault" and later self-resolved.</t>
  </si>
  <si>
    <t>1. SR098818
2. SR099746</t>
  </si>
  <si>
    <t>SR099746</t>
  </si>
  <si>
    <t>1. Meter A Inverters 1 through 4 went offline on 03/20 due to a power unit issue in Inverter 2. Inverters 1, 3, and 4 also reported electric arc detection. Additionally, Meter A Inverter 12 went offline on 03/31 and reported an electric arc detection. After a technician arrived and reset the inverters, A1, A3, A4, and A12 came back online at 13:00 on 04/04. Inverter A2 remains offline and requires further troubleshooting. However, Inverter A12 went offline again at 11:00 on 04/08 and has reporting electric arc detection and continued throughout the month.
2. Meter A is completely offline. Admin inverters 01 and 02 are also offline on 04/22.</t>
  </si>
  <si>
    <t>1. SR098819, SR099691, 
2. SR101068</t>
  </si>
  <si>
    <t>SR099691</t>
  </si>
  <si>
    <t>SR101068</t>
  </si>
  <si>
    <t>1.Inverter 15 went offline at 07:00 on 04/03 and came back online at 11:10 on 04/05. The inverter has been tripping multiple times throughout the month.
Inverter 8 was offline from  07:00 to 17:20 on 04/04 later self-resolved.The inverter has been tripping multiple times throughout the month.
Inverter 12 has been offline since 03/04/25.
Inverter 9 has been offline since 11/25/24.
Inverter 18 has been offline since 04/27/24.
2.Inverter 5 went offline from 07:00 to 17:20 on 04/01. It tripped offline again at 07:00  on 04/03 and  back online at 07:00  on 04/09. It tripped offline once at 07:00  on 04/10 and was back online at 19:10 on 04/17.
3.Inverter 3 went offline from 06:30 to 02:45 on 04/06. It tripped offline again at 07:00 on 04/12 and later self-resolved and back online at 11:15 on 04/13.
Inverters 3, 4, 5, 6, 7, 8, 9, 11, 12, 13, 15, 17, and 18 went offline at 07:00 on 04/13. Later, Inverters 3 and 13 back online on the same day. Additionally, multiple inverters are tripping on and off intermittently through out the month.</t>
  </si>
  <si>
    <t>1. SR098076
2. SR098231
3. SR099730</t>
  </si>
  <si>
    <t>SR099730</t>
  </si>
  <si>
    <t xml:space="preserve">1. Inverter 1 has been offline since the site began operations.
2. Inverter 7 is offline from 12/09/24.
3. Inverter 4 is derating by 4 kW on high irradiance days. It's possible due to inverter fan fault.
4. The meter stopped communicating since 12/09/24. </t>
  </si>
  <si>
    <t>1. SR098015
2. SR098016
3. SR099500
4. SR098016</t>
  </si>
  <si>
    <t>SR099500</t>
  </si>
  <si>
    <t>May Actual v. Expected</t>
  </si>
  <si>
    <t>May Actual v. Forecasted</t>
  </si>
  <si>
    <t>1. Inverter 2 back online at 16:10 on 05/12.
2. Inverter 1 has been producing as expected from 05/01.
3. Inverter 12 was significantly affected by shading, resulting in a 6 kW reduction in output. This issue is more likely to occur on high irradiance days throughout the month.
4. Inverter 5 tripped offline at 14:00 on 05/12/25 due to "GridV.OutLim" and back online at 16:10 the same day.</t>
  </si>
  <si>
    <t>1. SR095368
2. SR097850
3. SR099290
4. SR101343</t>
  </si>
  <si>
    <t>SR101343</t>
  </si>
  <si>
    <t>1. Inverter I has been offline from at 06:04 on 05/12 due to an  "ARC fault detected" and remained offline throught the month.
2. Inverter L tripped offline at 12:20 on 05/13 due to an "ARC fault detected" and remained offline throught the month.
3. Inverter Q tripped offline at 10:10 on 05/18 due to an "ARC fault detected" and remained offline throught the month.
4. Inverter P was offline and Inverter N was offline and lost communication  on multiple days through out the month addtionaly Inverter N tripped offline at 12:10 on 05/19 due to "Actual AC power deviation" and lost communication nextday. Inverters N and P require manufacturer diagnostics, but their warranties have expired—repair and shipping costs not covered. Client is 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t>
  </si>
  <si>
    <t>1. SR101243
2. SR101243
3. SR101243
4. SR101243
5. SR101245</t>
  </si>
  <si>
    <t>SR101243</t>
  </si>
  <si>
    <t>SR101245</t>
  </si>
  <si>
    <t>1. SR096262 &amp; SR099066</t>
  </si>
  <si>
    <t>1. Inverter 13 is underperforming by approximately 10 kW compared to its peers.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</si>
  <si>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 xml:space="preserve">1. Site was taken offline from 12:45 to 13:30 on 05/08 to work on Annual Preventative Maintenance Inspection.
2. Inverter 3.5 tripped offline at 14:15 on 05/11 due to "Grid Line Voltage Out of Range - GridV.OutLim." On 05/15, the technician found the breaker in the combiner panel for 3.5 had tripped. The inverter was inspected and tested for ground faults before resetting. Breaker was reset at 15:15 the same day.
3. Inverter 2.6 has been derating since 05/09 during periods of high irradiance, possibly due to a fan fault. On 05/15, the technician contacted CPS to check for any resettable settings. no immediate issue found, but they noted the complaint and and inverter has been producing as expected since 05/16.
</t>
  </si>
  <si>
    <t>1. PM13816
2. SR101286
3. SR101468</t>
  </si>
  <si>
    <t>SR101468</t>
  </si>
  <si>
    <t>1. Site was offline from 06:00 to 10:00 on 05/02 due to an "Loss of Main - GridV.OutLim".
2. Site was offline on 05/11 due to "Loss of Main - GridV.OutLim." On 05/12, technician found nuisance tripping; GFCI study recommended to evaluate possible adjustments on main breaker. Main breaker and SEL relay were reset, and site came back online at 09:45 the same day.
3. Site tripped offline at 14:30 on 05/15 and came back online at 09:45 on 05/16 after the technician re-energized the breaker.</t>
  </si>
  <si>
    <t>1. SR100903
2. SR101277
3. SR101563</t>
  </si>
  <si>
    <t>SR101277</t>
  </si>
  <si>
    <t>SR101563</t>
  </si>
  <si>
    <t>1. Site was offline from 05:45 on 05/02 and came back online at 13:15 the same day after the technician resetting the main breaker.
2. Site was offline on 05/11 due to "Loss of Main - GridV.OutLim." On 05/12, technician found nuisance tripping; GFCI study recommended to evaluate possible adjustments on main breaker. Main breaker and SEL relay were reset, and site came back online at 10:30 the same day.
3. Site tripped offline at 14:30 on 05/15 and came back online at 09:00 on 05/16 after the technician re-energized the breaker.
4. Inverter 6 tripped offline on 05/17 due to "Insulation Resistance Low - IsolationErr." On 05/21, the technician inspected a ground fault on Inverter 6 and noted Inverter 5 was also offline; after troubleshooting with Chint, RMA ticket #14530 was submitted for Inverter 5. A grounded negative wire was found in string 7 of Inverter 6. Due to lack of array diagrams and rain, the technician isolated string 7, and Inverter 6 was restarted and back online at 13:45 the same day.
5. Inverter 12 underperforming by about 10kW compared to peers on 05/22 and the issue self resolved on 05/23.
6. Inverter 9 derating at 40kW due to an "External Fan Err - ExtFanerr" from 05/30.</t>
  </si>
  <si>
    <t>1. SR100902
2. SR101276
3. SR101564
4. SR101628
5. SR101867
6. SR102209</t>
  </si>
  <si>
    <t>SR101276</t>
  </si>
  <si>
    <t>SR101564</t>
  </si>
  <si>
    <t>SR101628</t>
  </si>
  <si>
    <t>SR101867</t>
  </si>
  <si>
    <t>SR102209</t>
  </si>
  <si>
    <t xml:space="preserve">1. Inverters 6 and 7 derating during high irradiance from 5/4. The total kW down is approximately 16 kW. 
2. Weather station intermittently reports irradiance at night, no irradiance during the day, or excessively high values (2,400 W/m²). The issue has worsened throughout the month.
</t>
  </si>
  <si>
    <t>1. SR101470
2. SR099110</t>
  </si>
  <si>
    <t xml:space="preserve">1. Inverters C1 to C6 stopped communicating and tripped offline at 09:15 on 05/25. On 05/27, the technician re-energized Pad C at 12:00 after de-energizing Pad A at 10:45 and Pad B at 12:00 to perform tracker work. On 05/28, mechanical work continued in the hall; Pads A and B remained offline and required further troubleshooting. On 05/29, the technician inspected the trackers and re-energized Pads A and B at 14:45. An additional visit is needed to address stuck trackers.
</t>
  </si>
  <si>
    <t>1. SR101919, SR102140</t>
  </si>
  <si>
    <t>SR102140</t>
  </si>
  <si>
    <t xml:space="preserve">1. Site was offline from 10:45 to 18:15 on 05/16 due to a brife outage.
</t>
  </si>
  <si>
    <t>1. SR101596</t>
  </si>
  <si>
    <t>1. Inverter 4 (DAS Inverter 18) went offline on 05/04 due to "Insulation Resistance Low," came back online on 05/07, and went offline again on 05/09 and 05/14. On 05/15, the technician inspected the array, found a defective MC4 connector, replaced it, and brought the inverter back online at 11:00. 
2. Inverter 17 (DAS 45) tripped offline at 15:00 on 05/01. On 05/15, the technician diagnosed an isolation fault caused by string #1, isolated the string, and re-energized the inverter at 14:00 without string #1. Further troubleshooting is required for string #1.</t>
  </si>
  <si>
    <t>1. SR099746
2. SR099746, SR100930</t>
  </si>
  <si>
    <t>SR100930</t>
  </si>
  <si>
    <t>1. Inverter A2 has been offline since 03/24, and Inverter A12 has been intermittently tripping on and off on multiple days. Inverter A12 &amp; A8 came back online at 14:00 on 05/23 after the technician performed a reset inhibition on all inverters but expect Inverter A2 remain all inverters back online. A site visit is required to address Inverter A2 and to contact SMA to initiate the RMA process.
2. Inverter A11 tripped offline at 14:00 on 05/11 and came back online at 14:00 on 05/23 after the technician performed a reset inhibition.</t>
  </si>
  <si>
    <t>1. SR101068
2. SR101068</t>
  </si>
  <si>
    <t>1. Inverter 5 is offline on 05/06 and back online at 16:25 on 05/07, again offline on 05/14 and back online at 16:50 on 05/18, offlline again on 05/22 and back online at 16:19 on 05/26, and offline on 05/29 and remained offline throught the month.
2. Inverter 12 went offline on 05/12 and  back online at 18:00 on 05/11 the issue self resoved, and went offline again on 05/14. On 05/15, Inverters 7, 8, and 17 were offline, while Inverters 6, 11, 13, and 15 had delayed production starts. Inverter 8 was restored on 05/16, followed by Inverters 7 and 8 on 05/17, Inverter 17 on 05/18, and Inverter 12 on 05/20. However, Inverters 7 and 12 went offline again on 05/23, with Inverter 12 also tripping offline on 05/25. Both Inverters 7 and 12 were brought back online on 05/26, though Inverter 12 went offline again later that day. Additionally, Inverter 9 has remained offline since 11/25/2024, and Inverter 18 has been offline since 04/27/2024.</t>
  </si>
  <si>
    <t>1. SR098231
2. SR099730, 	SR098076</t>
  </si>
  <si>
    <t>SR098076</t>
  </si>
  <si>
    <t>1. Inverter 2 had been offline since 05/05 due to an "Operating state error (1392)" and came back online at 09:45 on 05/12 after the technician vacuumed the fan and power-cycled the inverter. The remaining work will be completed during the PM event.
2. Inverter 2 went offline again on 05/27 due to an "Operating State: Error (1392)." On 05/28, the technician updated the firmware and brought it back online at 17:30 the same day.</t>
  </si>
  <si>
    <t>1. SR101017, 	SR101372
2. SR102011</t>
  </si>
  <si>
    <t>SR101372</t>
  </si>
  <si>
    <t>SR102011</t>
  </si>
  <si>
    <t>1. Inverter 1 has not communicated since 04/26 and appears to be offline. A quote for inverter parts is pending from Bold.</t>
  </si>
  <si>
    <t>1. SR100843</t>
  </si>
  <si>
    <t>1. Combiner Box 2 has one string down, according to the drawing</t>
  </si>
  <si>
    <t>1. SR101040</t>
  </si>
  <si>
    <t>1. Meter is capturing 3 or 4 kW more than the inverter is producing on high irradiance days. Possible issue with meter calibration. Issue has been present for many years</t>
  </si>
  <si>
    <t>1. SR102137</t>
  </si>
  <si>
    <t>1.  Site tripped offline from 08:30 to 09:55 on 05/25 due to a brife outage.</t>
  </si>
  <si>
    <t>1. SR101917</t>
  </si>
  <si>
    <t>1. Site was not communicating due the DC transformer is no longer working but the site was online. A new DC transformer will need to be replaced.</t>
  </si>
  <si>
    <t>1.	SR100833</t>
  </si>
  <si>
    <t>1. Two of the combiner boxes appear to be offline, with peak production at ~35kW. Based on drawings provided, combiner 1, along with one of the other two combiner boxes are offline. On 05/22 technician found two Combiners had fuses open, closed the fuses and also he found that filters are filthy, and fans are not operating. Bold renewables informed technician to shut down Inverter or it may lead to a damage of heat sink. Inverter will remain offline.</t>
  </si>
  <si>
    <t>1. SR100883</t>
  </si>
  <si>
    <t>1. Meter is not capturing inverter production and reporting 0kW from 07:00 on 05/26 to End of the month.
2. Site produced at about half rated capacity from 04/24 to 12:00 on 05/20 it is most likely that combiner box #1 (47% of modules) is offline, or combiner boxes 2 and 3 are both offline.</t>
  </si>
  <si>
    <t>1. SR101936
2. SR100884</t>
  </si>
  <si>
    <t>SR100884</t>
  </si>
  <si>
    <t>1. Meter captured half of inverter production from 07:00 on 05/01 to 19:00 on 05/07 due to Power Factor reading intermittently goes to -0.33.</t>
  </si>
  <si>
    <t>1. SR100857</t>
  </si>
  <si>
    <t>1.  Inverter 2 underperforming by approximately 70 kW. When looking at previous years during the same time frame this trend is relevant. inverter 1 is underperforming by approximately 120 kW. When looking at previous years during the same time frame this trend is relevant maybe due to weather.</t>
  </si>
  <si>
    <t>1. SR101963</t>
  </si>
  <si>
    <t xml:space="preserve">1. Multiple modules that are burned and broken and need to be replaced. </t>
  </si>
  <si>
    <t>1. SR101818, SR101668</t>
  </si>
  <si>
    <t>SR101668</t>
  </si>
  <si>
    <t>1.Inverter 1's DC contactor needs to be replaced. It remained offline for the entire month, except on 05/08 when a technician was able to temporarily bring it back online through troubleshooting. However, it went offline again on 05/09.
2. The POA sensor has been reporting 0 W/m² for the entire month and needs to be replaced.</t>
  </si>
  <si>
    <t>1. SR100834
2. SR101034</t>
  </si>
  <si>
    <t>SR101034</t>
  </si>
  <si>
    <t>1. The weather station was not communicating for the entire month. The client stated that the weather station is not needed, as they use satellite data. The data logger was replaced with a power logger, which is now visible on Bilbo Booster.</t>
  </si>
  <si>
    <t>1. 	SR100915</t>
  </si>
  <si>
    <t xml:space="preserve">1. The inverter was underproducing by 100 kW and intermittently derating by 75 kW during peak hours. On 05/20, a technician took the inverter offline from 08:00 to 10:00 and contacted Solectria for further troubleshooting. They recommended replacing all three fans and the inverter display. </t>
  </si>
  <si>
    <t>1. SR101100</t>
  </si>
  <si>
    <t xml:space="preserve">1. Inverter B1 tripped offline on 05/02 at 16:00 and back online on 05/03 at 14:00. Inverter B1 started late at 12:00 on 05/04 and inverter B1 was offline from 07:00 on  05/06 to 07:00 on 05/08. Inverter C1 was offline for whole month.
2. Weather station reading erroneous value at 1237.22 W/m2. AlsoEnergy mentioned it is a hardware issue either with the wiring of the sensor to the logger or with the sensor itself. </t>
  </si>
  <si>
    <t>1. SR100906
2. SR101057</t>
  </si>
  <si>
    <t>SR101057</t>
  </si>
  <si>
    <t>June Actual v. Expected</t>
  </si>
  <si>
    <t>June Actual v. Forecasted</t>
  </si>
  <si>
    <t>1.  Inverter 12 was significantly affected by shading, resulting in a 6 kW reduction in output. This issue is more likely to occur on high irradiance days throughout the month.</t>
  </si>
  <si>
    <t>1. SR099290</t>
  </si>
  <si>
    <t>1. Inverter I has been offline at 06:04 on 05/12 due to an  "ARC fault detected" and remained offline throught the month.
2. Inverter L tripped offline at 12:20 on 05/13 due to an "ARC fault detected" and remained offline throught the month.
3. Inverter Q tripped offline at 10:10 on 05/18 due to an "ARC fault detected" and remained offline throught the month.
4. Inverter P was offline and Inverter N was trippong on and off and lost communication on multiple days through out the month. and addtionaly Inverter N tripped offline at 12:10 on 05/19 due to "Actual AC power deviation" and lost communication nextday and back online at 12:35 on 06/12.considering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t>
  </si>
  <si>
    <t>1. Inverter 13 is underperforming by approximately 10 kW compared to its peers Since 03/21/25.
2. The weather station has experienced intermittent communication over a period of 2-3 days Since 04/05, due to an RS485 failure outside the PowerDash enclosure. While the gateway and Acuvim meter remain online, the inverters and weather station have lost connection. Additional troubleshooting is required.</t>
  </si>
  <si>
    <t>1. SR098870
2. SR099461</t>
  </si>
  <si>
    <t>1. Inverter 2.5 is underperforming by 5kW compared to its peers on 06/02. On 06/03 technician was on site and noted it has been overcast so the underperformance may not have triggered, as it was occurring  during peak production hours.</t>
  </si>
  <si>
    <t>1. SR102343</t>
  </si>
  <si>
    <t>1.Site production was low on 06/03 , 06/09,   06/12 06/26 due to low irradiance</t>
  </si>
  <si>
    <t>1.  The site was offline and inverters tripped offline at 08:45 on 06/03, reporting "Grid phase voltage out of range - GridV.OutLim."  After re-energizing the site, it came back online at 08:45 on 06/04.
2. The site was offline. and all inverters tripped offline at 07:00 on 06/15, reporting "Grid phase voltage out of range - GridV.OutLim." After resetting the main breaker, the site came back online at 17:00 on 06/16.</t>
  </si>
  <si>
    <t>1. SR102384
2. SR102998</t>
  </si>
  <si>
    <t>SR102998</t>
  </si>
  <si>
    <t xml:space="preserve">1. Inverter 12 was offline on 06/07 and reporting  "Bst hardware overcurrent fault - Fault0080 Bst Hardware overcurrent - Protect0550" and is being RMA'd and remains offline.
2.  Inverter 9 derated at 40kW from 06/01 to 06/05 and reporting  reporting "External Fan Err - ExtFanerr". 
3. Inverter 6 tripped offline at 8:45 on 06/03 and back online at 10:00 on 06/04 and on 06/20 tech was onsite and inverter is offline from 11:15-13:30 </t>
  </si>
  <si>
    <t>1. SR102644
2. SR102209
3. SR102644</t>
  </si>
  <si>
    <t>SR102644</t>
  </si>
  <si>
    <t>1.  Inverter 4 has started late on 06/04 and inverters  1,2,3,4,6,7,8  has started late on 06/05
2. Site was offline at 8:45am on 06/12 and back online at 13:15 on 06/17 
3. Inverter 3 is derating at 75kW from 13:45 on 06/19 and reporting "External Fan Err - ExtFanerr" and the fan is being RMA'd.</t>
  </si>
  <si>
    <t>1. SR102557
2. SR102982
3.SR103184</t>
  </si>
  <si>
    <t>SR102982</t>
  </si>
  <si>
    <t>SR103184</t>
  </si>
  <si>
    <t>1. Inverters 5 through 8 are producing about half the amount from 06/02 to 06/24
2. Tracker Position 1 stuck at 30.55degrees at 15:30CDT on 06/01, effecting production of inverters 5,6,7 &amp; 8 in the morning time and later technician has removed the old encoder and installed a new one. Tracker 1 is now operating properly from 06/24.
3. Inverters 1,6,7,8 have a sporadic derating pattern during high irradiance from 06/30
4. Weather station intermittently reports irradiance at night, no irradiance during the day, or excessively high values (2,400 W/m²). The issue has worsened throughout the month.</t>
  </si>
  <si>
    <t>1.SR102296
2.SR102296, SR102336
3. SR103740
4. SR099110</t>
  </si>
  <si>
    <t>SR102296</t>
  </si>
  <si>
    <t>SR102336</t>
  </si>
  <si>
    <t>SR103740</t>
  </si>
  <si>
    <t>1. Tracker position A1 S 19 is stuck at 2 degrees. Waiting for TerraSmart to finish their work.</t>
  </si>
  <si>
    <t>1.	SR101919</t>
  </si>
  <si>
    <t>1. Inverter 5 dropped a string on 06/11 and fuse need to be replaced.
2. Site was offline at 09:15  on 06/23 and back online at 08:00  on 06/24</t>
  </si>
  <si>
    <t>1. SR103239
2. SR103324</t>
  </si>
  <si>
    <t>SR103324</t>
  </si>
  <si>
    <t>1. Inverter 8 (College Inverter 16 on DAS) is under performing by about 30% on average and Inverters 11 and 17 (Convent 39 and HS 45) also appear to be intermittently underperforming compared to peers for whole month</t>
  </si>
  <si>
    <t>1. 	SR103048</t>
  </si>
  <si>
    <t xml:space="preserve">1. Inverters 3 and 4 tripped offline at 13:00 on 06/28and reporting "Serial el.arc in String detected by AFCI mod"
2. inverters 1,4 and 12 were offline from 14:00 on 06/08 to 06/10. 
3. Inverter A2 was offline from 06/01 to 06/08 at 16:00 and again offline from 06/09 to 06/29 and inverteer being RMA'd
</t>
  </si>
  <si>
    <t>1. SR103686
2. SR102669
3. SR101068</t>
  </si>
  <si>
    <t>SR102669</t>
  </si>
  <si>
    <t>1. Inverter 5 and 12 were offline almost for whole month and inverter 9 and 18 offline for whole month.Inverters 6,7, 8, 11 &amp; 13 were offline on 06/17 and Inverters 1, 6, 7, 8, 11,  13, 15, 17 were started late at 01:50 on 06/18</t>
  </si>
  <si>
    <t>1. 	SR099730</t>
  </si>
  <si>
    <t>1. Inverters 5 and 7 are derating at 10kW in the afternoons. Inverter  14 and 15 underperforming by 3kW compared to peers and Inverter 9 and 11 underperforming by 2kW compared to peers for whole month.</t>
  </si>
  <si>
    <t>1. SR103950</t>
  </si>
  <si>
    <t>1. Inverter 10 is derating at 10kW from 12:40 on 06/02 to end of month.
2. Inverter 4 was derating for whole month.
3. Inverters 1 and 7 were offline and meter was not communicated for whole month.</t>
  </si>
  <si>
    <t>1. SR102316
2. SR099500
3. SR098016</t>
  </si>
  <si>
    <t>1. Inverter 4 started derating midday by 4kW on 6/28/25.</t>
  </si>
  <si>
    <t>1. SR103914</t>
  </si>
  <si>
    <t>1. 2 strings offline and CB offline  from aerial</t>
  </si>
  <si>
    <t>1. SR103124</t>
  </si>
  <si>
    <t xml:space="preserve">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3.10 underperforming by about 10 amps
3. PG &amp;E isolated the meter.
4.  Inverter 2 tripped offline at 12:45pm on 06/01 and back online on 06/03 at 10:30 and again inverter 2 was offline from 06/13 to 09:00 on 06/16. </t>
  </si>
  <si>
    <t>1. SR104147
2.SR102794, PM16047
3. SR103335
4. SR102011</t>
  </si>
  <si>
    <t>SR102794</t>
  </si>
  <si>
    <t>SR103335</t>
  </si>
  <si>
    <t>1.Site production was low on 06/03 , 06/17 due to low irradiance</t>
  </si>
  <si>
    <t xml:space="preserve">1. Site was offline from 11:45 on 06/25 to 12:00 on 06/26. 
2. Site was offline from 16:30 on 06/09 to 14:15 on 06/20
3.  Meter is capturing 3 or 4 kW more than the inverter is producing on high irradiance days. </t>
  </si>
  <si>
    <t>1. SR103561
2. SR102760
3. SR102137</t>
  </si>
  <si>
    <t>SR102760</t>
  </si>
  <si>
    <t>SR102137</t>
  </si>
  <si>
    <t>1. Site was not communicated from 05/10 to 10:15 on 06/06.
2. CB 2A string 1 is underperforming by 6 amps for whole month. CB 1 not communicating from 6/13/24. CB 3 and 4 not communicating from 5/10/25
2. Meter was offline from 06:30 to 09:00 on 06/26.</t>
  </si>
  <si>
    <t>1. SR100833
2.SR102723
3. SR103597</t>
  </si>
  <si>
    <t>SR102723</t>
  </si>
  <si>
    <t>SR103597</t>
  </si>
  <si>
    <t>1. Site was offline almost for whole month.</t>
  </si>
  <si>
    <t>1. SR103375, SR100883, SR103638</t>
  </si>
  <si>
    <t>SR100883</t>
  </si>
  <si>
    <t>SR103638</t>
  </si>
  <si>
    <t>1. Meter was reported zero from 06/01 to 06/05</t>
  </si>
  <si>
    <t>1. SR101936</t>
  </si>
  <si>
    <t>1. Inverter 2 underperforming by approximately 70 kW and inverter 1 is underperforming by approximately 120 kW. When looking at previous years during the same time frame this trend is relevant.</t>
  </si>
  <si>
    <t xml:space="preserve">1. Inverter 1 and 2 are underproducing by 60kW due to multiple modules that are burned and broken and need to be replaced. </t>
  </si>
  <si>
    <t>1. SR101818</t>
  </si>
  <si>
    <t>1. The POA has been reading 0 W/m2 since 08/01/23.
2. 200 Modules were damaged and need to be replaced.</t>
  </si>
  <si>
    <t>1. SR101034
2. SR103779,  SR102621</t>
  </si>
  <si>
    <t>SR103779</t>
  </si>
  <si>
    <t>SR102621</t>
  </si>
  <si>
    <t>1.  The anemometer SE 03 has stopped communicating from 10/14/23.</t>
  </si>
  <si>
    <t>1. SR101021</t>
  </si>
  <si>
    <t xml:space="preserve">1. Weather station was not communicated for whole month.
</t>
  </si>
  <si>
    <t>1. SR100915</t>
  </si>
  <si>
    <t>1. Inverter was underproducing 100kW down from 08/23/23.</t>
  </si>
  <si>
    <t>1. Inverter C1 is remain offline for whole month
2. Inverter B1 was started late on 06/02, 06/03, 06/11.
3.  Inverters B1 - B5 and C1 is offline on 06/25 and later they back online at 15:15 on 06/26 and again the inverters are tripped offline on 06/27 and remains offline through out month.</t>
  </si>
  <si>
    <t>1. SR100906
2. SR100906
3. SR103517</t>
  </si>
  <si>
    <t>SR100906</t>
  </si>
  <si>
    <t>SR103517</t>
  </si>
  <si>
    <t>1. Site has not communicated since 5/14/25,  inverter 3 offline from 3/19/25 and LOTOd.  inverter 1 offline from 3/18/25. inverter 2 offline from 3/18/25. inverter 4 offline from 3/23/25.</t>
  </si>
  <si>
    <t>1. SR102419</t>
  </si>
  <si>
    <t>1. Inverter g was underproduced by 4kW compared peers and on 06/27 inverter G was offline and back online on 06/28.
2.  Inverter E offline (LOTO'd on 6/12/24). inverter A underperforming by 17kW. Inverter G underperforming by 7kW. Inverter F underperforming by 5kW. for whole month.</t>
  </si>
  <si>
    <t>1. SR103160
2. SR102283</t>
  </si>
  <si>
    <t>SR102283</t>
  </si>
  <si>
    <t>1.  Inverter C and E offline and LOTOd during PM on 11/18/24. Inverters A,B,D are not communicating from 3/6/25 according to the meter 1 of these inverters is offline.</t>
  </si>
  <si>
    <t>1. SR102418</t>
  </si>
  <si>
    <t>1. Inverters F and H were LOTOd from 06/14 and Inverters A,B,C,D,E,G not communicating from 9/19/24  according to meter 3 3 of these inverters are offline.</t>
  </si>
  <si>
    <t>1. SR102416</t>
  </si>
  <si>
    <t>1.  Inverter A offline from 7/1/24 to end of the month, inverter C offline from 7/30/24 to end of the month, Inverter D offline from 7/24/24 to end of the month</t>
  </si>
  <si>
    <t>1. SR102392</t>
  </si>
  <si>
    <t>1. POA data was inaccurate. Reading a constant 1237.82 W/m2.
2. Inverter B-2 and D-4 were LOTO'd from 2/28/25, inverter I-9 offline from 5/17/25, inverter 10 underperforming by 10 kW for whole month.
3. Inverter C3 was offline from 15:45 on 06/26 to end of the month.</t>
  </si>
  <si>
    <t>1. SR102539
2. SR102321
3. SR103636</t>
  </si>
  <si>
    <t>SR102321</t>
  </si>
  <si>
    <t>SR103636</t>
  </si>
  <si>
    <t>1. inverter A offline from 1/21/24 and LOTO'd,  Inverter C offline from 6/12/24 and LOTO'd, Inverter D offline from 8/8/24 and LOTO'd to end of the month.</t>
  </si>
  <si>
    <t>1. SR102320</t>
  </si>
  <si>
    <t>1. Inverter B,E offline (LOTO'd from 9/27/24) no faults reported. Inverter D offline. Inverter C underperforming by 8kW for whole month</t>
  </si>
  <si>
    <t>1. SR102317</t>
  </si>
  <si>
    <t>1. Inverter D was offline LOTO'd from 9/13/24 and reporting "Arc fault".Inverter K was offline LOTO'd from 9/13/24 and reporting " Grid undervoltage PS". and  Inverter H,I and J was offline LOTO'd from 9/13/24. Additionally  Inverter F and L are underperforming by 11kW for whole month. later on Inverter F self-resolved at 14:30 on 06/18. and Inverter I, J, D and K are back online on 06/18.
2. Inverter M underperforming by 15kW since 06/18/25 and Inverter H offline and  since 09/08/24 and also Inverter L possibly underperforming by 5kW through out the month.</t>
  </si>
  <si>
    <t>1. SR102315
2. SR102315</t>
  </si>
  <si>
    <t>SR102315</t>
  </si>
  <si>
    <t>1. Inverters 1, 4, 9, 15, 16, 18, 21, and 26 have been offline since 22/04/24, reporting an "Arc fault." Additionally, Inverters 3 and 20 have been offline since 17/03/25, reporting "Grid undervoltage PS." Inverter 12 has been offline since 20/03/25, reporting an "Arc fault," and Inverter 24 has been offline since 01/04/25, also reporting an "Arc fault." Inverter 17 has been offline since 17/03/25, and Inverter 27 has been offline since 30/05/25 and contionues through out the month.
2. The Inverter 2 is underperforming by 13 kW, Inverter 8 by 17 kW, Inverter 5 by 10 kW, and Inverter 6 by 9 kW. Inverters 11 and 14 are each underperforming by 5 kW for whole month.</t>
  </si>
  <si>
    <t>1. SR102286
2. SR102286</t>
  </si>
  <si>
    <t>SR102286</t>
  </si>
  <si>
    <t>1. Inverter 4, 5 derating to 14KW and reporting "external fan error". Additionally Inverter 3 is underperforming by 5kW, likely down a string. for whole month.</t>
  </si>
  <si>
    <t>1. SR102281</t>
  </si>
  <si>
    <t>1. Inverter E2.04 is consistently derating at 58kW, reporting "W07 - De-rating" and "W11 - Fan Fail" since 06/02. and For whole month.</t>
  </si>
  <si>
    <t>1. SR102503</t>
  </si>
  <si>
    <t>1. inverter A,B,G was offline from 2/20/25 and reporting " Arc fault ".and additionally, Inverter D,E,F,I was offline from 2/20/25 and LOTOd.</t>
  </si>
  <si>
    <t>1. SR102451</t>
  </si>
  <si>
    <t>1. Inverter B-2 was offline from 02/28/25, reporting an "Arc fault." Inverter D-4 was also offline from 02/28/25. Inverter 8 was offline from 05/06/25. Inverter I-9 was offline from 05/17/25, reporting an "Arc fault." Additionally, Inverter 10 was underperforming by 10 kW. and For whole month.
2. The weather station is reading a constant 1237.82 W/m2 intermittently through out the month.
3.  Inverter C3 tripped offline at 15:45 on 06/26 and reporting "Arc Fault" and through out the month.</t>
  </si>
  <si>
    <t>1. SR102321
2. SR102539
3. SR103636</t>
  </si>
  <si>
    <t>SR102539</t>
  </si>
  <si>
    <t>1. Inverter 17 tripped offline at 12:30 on 05/28/25 reporting "Fault Grid Phase Voltage Out of Range - GridV.OutLim" and through out the month. 
2.  Inverter 30 was offline from 02/20/25 reporting "Insulation Resistance Low - IsolationErr" and through out the month. 
3. Inverter 21 was offline from 7/4/24, reporting an "ARC fault." Inverter 22 was offline from 12/17/24, also reporting an "ARC fault." Inverters 21 and 25 were offline from 7/4/24, both reporting an "ARC fault." Additionally, Inverter 28 was offline from 6/14/24, reporting an "ARC fault." Inverter 31 has been offline since 6/14/24. Inverter 32 was offline from 2/20/25, reporting an "ARC fault," and Inverter 33 was offline from 5/26/25.
4. Inverter 26 underperforming by 12kW and Inverter 23 underperforming by 4 kW For whole month.</t>
  </si>
  <si>
    <t>1. SR102329
2. SR102329
3. SR102329
4. SR102329</t>
  </si>
  <si>
    <t>SR102329</t>
  </si>
  <si>
    <t>1. Inverter 30 has been offline since 03/18/2025. Inverter 31 has been underperforming by 18 kW, and Inverter 33 by 7 kW throughout the month.</t>
  </si>
  <si>
    <t>1. SR102303</t>
  </si>
  <si>
    <t>1. Inverter 1 has been offline since 08/13/2024. Inverter 7 has been offline and LOTO'd since 08/13/2024. Inverter 8 has been offline and LOTO'd since 06/14/2024. Inverter 9 has been offline throughout the month due to an "Arc Fault". Inverter 10 has been offline and LOTO'd since 08/12/2024 due to an "Arc Fault". Inverter 13 has been offline and LOTO'd since 08/09/2024. Inverter 4 has been underperforming by 5 kW, and Inverter 3 by 10 kW throughout the month.</t>
  </si>
  <si>
    <t>1. SR102411</t>
  </si>
  <si>
    <t>1. Inverter 1 has been underperforming by 10 kW, Inverter 3 by 5 kW, and Inverter 4 by 15 kW throughout the month. Inverter 5 tripped offline at 13:40 on 06/02/2025 due to an "Arc Fault" and came back online at 10:45 on 06/05/2025.</t>
  </si>
  <si>
    <t>1. SR102403</t>
  </si>
  <si>
    <t>1. Inverters A, B, C, D, E, F, and G have been offline and LOTO'd since 10/29/2024 due to an 'Arc Fault.' Inverter H has been offline since 06/14/2024.</t>
  </si>
  <si>
    <t>1. SR102310</t>
  </si>
  <si>
    <t>1. Inverters A, C, and J have been offline and LOTO'd since 09/09/2024. Inverter I has been offline since 09/09/2024 due to an "Arc Fault". Inverters B, D, E, F, G, and H have not been communicating since 06/14/2024, however, the meter indicates that only three of these inverters are actually offline.</t>
  </si>
  <si>
    <t>1. SR102450</t>
  </si>
  <si>
    <t>1. Inverter 19 has been offline and LOTO'd since 06/14/2024 due to an 'Arc Fault.' Inverter 20 has been offline since 06/14/2024, and Inverters 21 and 26 have been offline since 11/02/2024. Inverters 22 and 23 have been underperforming by 13 kW each throughout the month.</t>
  </si>
  <si>
    <t>1. SR102413</t>
  </si>
  <si>
    <t>1. Inverter D has been offline and LOTO'd since 06/14/2024 due to an "Arc Fault". Inverter F has been offline since 01/24/2025, and Inverter H has been offline since 05/12/2025 — both due to an "Arc Fault".</t>
  </si>
  <si>
    <t>1. SR102425</t>
  </si>
  <si>
    <t>1. Zone 1.6, 2.13, 2.14 are reporting -50 amps. Zone 1.7 is reporting 30 amps higher than expected. Zone 2.9 is reporting 70 amps higher than expected. Possible CT issues reaching out to Also Energy</t>
  </si>
  <si>
    <t>1.SR102820</t>
  </si>
  <si>
    <t>1. Inverters B, C, and E have been offline and LOTO'd since 08/30/2024 due to an "Arc Fault". Inverter D has been offline since 06/19/2024, also due to an "Arc Fault".</t>
  </si>
  <si>
    <t>1. SR102424</t>
  </si>
  <si>
    <t>1. Inverter A has been offline and LOTO'd since 06/14/2024. Inverter D has been offline since 05/30/2025 due to an 'Arc Fault.</t>
  </si>
  <si>
    <t>1. SR102423</t>
  </si>
  <si>
    <t>1. Inverters A, B, E, and G have been offline and LOTO'd since 11/26/2024 due to an "Arc Fault". Inverter C is also offline and LOTO'd from the same date.</t>
  </si>
  <si>
    <t>1. SR102421</t>
  </si>
  <si>
    <t>1. Inverters D, H, and K have been underperforming by 6 kW each since 06/03.</t>
  </si>
  <si>
    <t>1. SR102420</t>
  </si>
  <si>
    <t>July Actual v. Expected</t>
  </si>
  <si>
    <t>July Actual v. Forecasted</t>
  </si>
  <si>
    <t xml:space="preserve">1. Inverter I has been offline at 06:04 on 05/12 due to an  "ARC fault detected" and  back online at 13:20 on 07/28.
2. Inverter L tripped offline at 12:20 on 05/13 due to an "ARC fault detected" and  back online at 13:20 on 07/28.
3. Inverter Q tripped offline at 10:10 on 05/18 due to an "ARC fault detected" and  back online at 13:20 on 07/28..
4. Inverter P was offline and Inverter N was trippiing on and off and lost communication on multiple days through out the month. and addtionaly Inverter N tripped offline at 11:50 on 06/16 due to "Actual AC power deviation" and lost communication. considering replacing AE inverters with another brand and is seeking recommendations.
5. Weather station jumps from 0 to 1200 W/m^2 at sunrise and stays high all day. Inverter production seems to reflect cloud cover on some days, but the irradiance sensor always reports very sunny conditions.
6. Inverter O went offline at 06:40 on 07/18 and back online at 06:50 on 07/22. It tripped offline again at 06:50 on 07/23 and was back online at 07:20 on 07/29.
</t>
  </si>
  <si>
    <t>1. SR101243
2. SR101243
3. SR101243
4. SR101243
5. SR101245
6. SR104647</t>
  </si>
  <si>
    <t>SR104647</t>
  </si>
  <si>
    <t>1. Site was offline at 18:00 on 07/27 and back online at 07:15 on 07/28.</t>
  </si>
  <si>
    <t>1. SR103481</t>
  </si>
  <si>
    <t>1. Inverter 3.5 has tripped offline at 14:45 on 07/04 and reporting " Grid Line Voltage Out of Range - GridV.OutLim" and offline throughout the month.
2. Inverter 2.5 is intermittently derating during high irradiance since 07/08.</t>
  </si>
  <si>
    <t>1. SR104023
2.SR104137, SR102343</t>
  </si>
  <si>
    <t>SR104137</t>
  </si>
  <si>
    <t>SR102343</t>
  </si>
  <si>
    <t>1. Site tripped offline at 07:00 on 07/29 and after reset the main breaker Site is back online at 12:30 on 07/29.</t>
  </si>
  <si>
    <t>1. SR105212</t>
  </si>
  <si>
    <t>1. Inverter 12 was offline on 06/07 and reporting  "Bst hardware overcurrent fault - and is being RMA'd and back online at 07:00 on 07/03. And again tripped offline at 06:00 on 07/26 and back online at 06:00 on 07/28.
2.  Inverter 9 derated at 40kW from 06/01 to 06/05 and reporting  reporting "External Fan Err - ExtFanerr" and inverter is under  RMA for replacement fans.</t>
  </si>
  <si>
    <t xml:space="preserve">1. SR102644
2. SR102209
</t>
  </si>
  <si>
    <t>1. Inverter 3 is derating at 75kW from 13:45 on 06/19 and reporting "External Fan
 Err - ExtFanerr" and the fan is being RMA'd.</t>
  </si>
  <si>
    <t>1. SR103184</t>
  </si>
  <si>
    <t>1. Inverters 1,6,7,8 have a sporadic derating pattern during high irradiance. Additioanlly inverter 3 was started derating since 07/25. Waiting for mowing to occur on 8/11/25 to see if production improves.
2. Site stopped communicating at 05:30 on 07/01 and tech found breaker trip and site back online on 07/02.</t>
  </si>
  <si>
    <t>1. SR103740
2. SR103900</t>
  </si>
  <si>
    <t>SR103900</t>
  </si>
  <si>
    <t>1. All trackers were stuck on 07/27 and later self-resolved and came back online on 07/28, except tracker A1 S 19, which is still stuck.</t>
  </si>
  <si>
    <t>1. SR101919</t>
  </si>
  <si>
    <t>1. Expect inverter 3 all inveters are offline from 16:00 on 07/21 and later self resolved and back online at 06:00 07/22.
2. Inverter 5 dropped a string on 06/11 and fuse need to be replaced.</t>
  </si>
  <si>
    <t>1. SR104742
2. SR103239</t>
  </si>
  <si>
    <t>SR103239</t>
  </si>
  <si>
    <t>1. Inverter 8 (College Inverter 16 on DAS) is under performing by about 30% on average and Inverters 11 and 17 (Convent 39 and HS 45) also appear to be intermittently underperforming compared to peers for whole month. Will be investigate while nextime onsite.</t>
  </si>
  <si>
    <t xml:space="preserve">1. Inverters 3 and 4 tripped offline at 13:00 on 06/28 and reporting "Serial el.arc in String detected by AFCI mod" and back online at 09:00 07/08.
2. Inverter A2  was offline at 06:00 on 07/01 and after Installed the new inverter A2 was back online at 09:00 on 07/08.
</t>
  </si>
  <si>
    <t>1. SR103686
2. SR101068</t>
  </si>
  <si>
    <t>1. Inverters 9, 12, and 18 went offline at 06:00 on 07/01. Only Inverter 12 is back online at 14:00 on 07/08. Additionally, Inverter 5 was offline at 06:00 on 07/10 and  self-resolved and was back online at 12:40 on 07/10. and Inverter 13 tripped offline at 09:50 on 07/18. Waiting for approval to dispatch.</t>
  </si>
  <si>
    <t>1. SR099730</t>
  </si>
  <si>
    <t>1. Inverters 5 and 7 are again derating at 10kW in the 12:00 on 07/22 and 07/23. Inverter  14 and 15 underperforming by 3kW compared to peers and Inverter 9 and 11 underperforming by 2kW compared to peers for whole month. Waiting for approval to dispatch.</t>
  </si>
  <si>
    <t>1. Inverter 10 is derating at 10kW from 12:40 on 06/02 for whole month.Additionally Inverter 10 tripped offline at 11:10 on 07/23. Will be addressed in next month.
2. Inverter 4 was derating for whole month. Will be addressed in next month.
3. Inverters 1 and 7 were offline and meter was not communicated for whole month. Will be addressed in next month.</t>
  </si>
  <si>
    <t>1. Inverter 4 started derating midday by 4kW on 6/28/25.Will need to be investigate</t>
  </si>
  <si>
    <t>SR103914, SR 098016</t>
  </si>
  <si>
    <t>SR 09801</t>
  </si>
  <si>
    <t>1. 2 strings and the combiner box were offline from the aerial. On 07/10, the technician checked the system and found that Inverter 1 was offline, and Inverters 3 and 6 were each missing one fuse. He installed new fuses and re-energized the system. All inverters were back online at 12:20 on 07/10.</t>
  </si>
  <si>
    <t xml:space="preserve">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 10 underperforming by about 10 amps.  
3.Meter was not communicating for whole month and its under PG &amp;E isolated the meter.
</t>
  </si>
  <si>
    <t xml:space="preserve">1. SR104147, SR104192
2.SR102794, PM16047
3. SR103335
</t>
  </si>
  <si>
    <t>SR104192</t>
  </si>
  <si>
    <t>1. Actual vs expected delta is showing 37% due to expected energy recording low possibly due to data glitch (similar event observe last 2 years).</t>
  </si>
  <si>
    <t>1. Actual vs expected delta is showing 17% due to expected energy recording low possibly due to data glitch (similar event observe last 2 years).</t>
  </si>
  <si>
    <t>1. CB 2A string 1 is underperforming by 6 amps for whole month. CB 1 not communicating from 6/13/24. CB 3 and 4 not communicating from 5/10/25.</t>
  </si>
  <si>
    <t xml:space="preserve">1. SR102723, SR105641
</t>
  </si>
  <si>
    <t>SR105641</t>
  </si>
  <si>
    <t>1. The site went offline at 15:45 on 05/22. After replacing the backplane of the card cage and the wiring harness for Fan 1, the site came back online at 10:30 on 07/16.</t>
  </si>
  <si>
    <t>1. Inverter 2 underperforming by approximately 70 kW and inverter 1 is underperforming by approximately 120 kW. When looking at previous years during the same time frame this trend is relevant and scheduled during PM.</t>
  </si>
  <si>
    <t>1. Inverter 1 and 2 are underproducing by 60kW due to multiple modules that are burned and broken and need to be replaced. 
2. Site was offline at 15:45 on 07/28 and after Power cycled DAS equipment site is back online at 16:00 on 07/30</t>
  </si>
  <si>
    <t>1. SR101818
2. SR105205</t>
  </si>
  <si>
    <t>SR105205</t>
  </si>
  <si>
    <t>1.  The anemometer SE 03 has stopped communicating from 10/14/23.
2. The inverter is tripped offline at 17:45 on  07/11 and reporting system fault (fault6) and main fault (fault 1) and back online at 11:30 on 07/17.</t>
  </si>
  <si>
    <t>1. SR101021
2. SR104390</t>
  </si>
  <si>
    <t>SR104390</t>
  </si>
  <si>
    <t>1. 10 modules were broken and will need to be replaced
2. Inverter was underproducing 100kW down from 08/23/23.</t>
  </si>
  <si>
    <t>1. SR105366, PM16547
2. SR101100</t>
  </si>
  <si>
    <t>SR101100</t>
  </si>
  <si>
    <t>1.  Inverters E2, E4, and G4 were offline for whole month and  inverter A3, 2 strings down 0 voltage since 07/25. Inverter A2 1 string down 0 voltage.
2. Inverters A1 - A4 have tripped offline at 13:00 on 07/08 and back online at 13:45 on 07/09 and again inverters tripped offline at 12:00 on 07/10 and back online at 13:00 on 07/25.
3. Inverter B1 tripped offline at 15:30 on 07/18 and back online at 15:30 on 07/19 and again offline on 07/29.
4.  Inverters B1 - B5 and C1 were offline from 06/27 to 13:45 on 07/09
5. The POA was reading a constant 1237.22 W/m2 from 7:30 to 18:30 MDT daily.</t>
  </si>
  <si>
    <t>1. SR105192
2. SR104170
3. SR104643
4. SR103517
5. SR101057</t>
  </si>
  <si>
    <t>SR104170</t>
  </si>
  <si>
    <t>SR104643</t>
  </si>
  <si>
    <t>1.  Inverter G was offline from 07/06 to 07/15 and again inverter G was offline from 07/21 to  07/22 and again inverter was offline on 07/26 and back online on 07/27, 
2. inverter E offline (LOTO'd on 6/12/24). inverter A underperforming by 17kW. Inverter G underperforming by 7kW. Inverter F underperforming by 5kW.</t>
  </si>
  <si>
    <t>1.  Inverters C and E offline and LOTOd during PM on 11/18/24. Inverters A,B,D are not communicating from 3/6/25; according to the meter 1 of these inverters is offline.</t>
  </si>
  <si>
    <t>1. Inverter F offline and LOTOd from 6/14/24. Inverter H offline from and LOTOd from 6/14/24. Inverters A,B,C,D,E,G not communicating from 9/19/24 not all production at the meter (60kW difference between total inverter and meter power; possible 3 of these inverters are offline).</t>
  </si>
  <si>
    <t>1. Inverters A, C and D were offline for whole month.</t>
  </si>
  <si>
    <t>1. Inverter K11 tripped offline on 07/23 at 10:45 and was offline for whole month.
2. Inverter C3 was offline for whole month. 
3. Inverter B-2 offline from 2/28/25 and LOTO'd ". Inverter D-4 offline from 2/28/25 and LOTO'd. Inverter  8 offline 5/6/25 was replaced but not communicating. inverter I-9 offline from 5/17/25. inverter 10 underperforming by 10 kW. Inverter F-6 was offline.
4.  POA data inaccurate. Reading a constant 1237.82 W/m2 intermittently.</t>
  </si>
  <si>
    <t>1. SR104882
2. SR103636
3. SR102321
4. 	SR102539</t>
  </si>
  <si>
    <t xml:space="preserve">1. Inverters A, D, C were offline and LOTO'd for whole month. </t>
  </si>
  <si>
    <t>1.  inverter B,E offline (LOTO'd from 9/27/24) no faults reported. Inverter D offline (unknown reason) no faults reported. Inverter C underperforming by 8kW.</t>
  </si>
  <si>
    <t>1. 	SR102317</t>
  </si>
  <si>
    <t>1. Inverter M underperforming by 15kW compared to peers. and inverter M was started late on 07/23 at 07:15. and Inverter H was offline for whole month. Inverter L underproducing by 5kW.</t>
  </si>
  <si>
    <t>1. SR102315</t>
  </si>
  <si>
    <t>1. Inverter 14 tripped offline on 07/03 at 12:45.  Inverters 1,3, 4,9, 12, 15,16, 17,18,20, 21, 24, 26, 27, were offline and LOTO'd. Inverter 2 underperforming by 13kW. Inverter 8 underperforming by 17kW. Inverter 5 underperforming by 10kW. Inverter 6 underperforming by 9 kW. Inverter 11, 14 underperforming by 5kW.</t>
  </si>
  <si>
    <t>1. SR102286</t>
  </si>
  <si>
    <t xml:space="preserve">1.  Inverter 3 is underperforming by 5kW, likely down a string. Inverter 4, 5 derating by 8kW and reporting external fan error.  </t>
  </si>
  <si>
    <t>1. Inverter E2.04 is derating due to a fan fault.
2. Estimated energy recording low possibly due to data glitch (similar event observe last 3 years).</t>
  </si>
  <si>
    <t>1. SR102503, SR101986</t>
  </si>
  <si>
    <t>SR101986</t>
  </si>
  <si>
    <t>1.  Inverter A,B,G offline from 2/20/25 and LOTOd.  Inverter D,E,F,I offline from 2/20/25 and LOTOd.</t>
  </si>
  <si>
    <t>1. Inverter 17, H 21, I 22, L 25, O28, 30, R 31, S 32, T 33 were offline and LOTO'd. Inverter 26 underperforming by 12kW for whole month. Inverter J - 23 underperforming by 4 kW.  
2. Inverter N tripped offline at 10:00 on 07/27 and was offline for end of month</t>
  </si>
  <si>
    <t>1. SR102329
2. SR105139</t>
  </si>
  <si>
    <t>SR105139</t>
  </si>
  <si>
    <t>1. inverter 30 offline for whole month. Inverter 33 underperforming by 7 kW each for whole month. Inverter 31 underperforming by 18 kW for whole month.</t>
  </si>
  <si>
    <t>1. Inverters 1, 7, 8, 10, 11, 12, 13 were offline and LOTO'd. Inverter 4 underperforming by 5 kW. inverter 3 underperforming by 10kW. Inverter 9 was offline from 07/01 to 10:45 on 07/08</t>
  </si>
  <si>
    <t>1. 	SR102411</t>
  </si>
  <si>
    <t>1. Inverter 5 was offline on 07/11 for whole day.</t>
  </si>
  <si>
    <t>1.  Inverters A,B,C,D,E,F,G, H were offline and LOTO'd.</t>
  </si>
  <si>
    <t>1. Inverter 1 underperforming by 4kW from 07/10.</t>
  </si>
  <si>
    <t>1. SR104289</t>
  </si>
  <si>
    <t>1. Inverters A,C,J,  were offline and LOTO'd. Inverter I was offline for whole month.  Inverter B,D,E,F,G,H are not communicating from 6/14/24; meter indicates 3 of these inverters are offline.</t>
  </si>
  <si>
    <t>1. Inverters 19, 20,21, 26 were offline for whole month. Inverter 22,23 underperforming by 13 kW each.</t>
  </si>
  <si>
    <t>1. Inverters D, F, H were offline. for whole month.</t>
  </si>
  <si>
    <t>1. Zone 1.6, 2.13, 2.14 are reporting -50 amps. Zone 1.7 is reporting 30 amps higher than expected. Zone 2.9 is reporting 70 amps higher than expected. Possible CT issues reached out to Also Energy.
2. Zone 1.1 has been operating at 3 kW since 09:00 on 07/10.</t>
  </si>
  <si>
    <t>1. SR102820
2. SR104290</t>
  </si>
  <si>
    <t>SR104290</t>
  </si>
  <si>
    <t>1. Inverters B, C, and E have been offline due to "Arc Fault" and LOTO'd since 08/30/24. Inverter D has been offline due to "Arc Fault" since 06/19/24.</t>
  </si>
  <si>
    <t>1. Inverter A is offline and LOTO'd from 06/14/2024. Inverter D is offline due to  "Arc fault" from 05/30/2025.</t>
  </si>
  <si>
    <t>1. Inverters A, B, E, and G are offline due to "Arc Fault" and have been LOTO'd since 11/26. Inverter C is also offline and LOTO'd since 11/26.</t>
  </si>
  <si>
    <t>1. Inverters D, H, and K have been underperforming by 6 kW each since 06/03.</t>
  </si>
  <si>
    <t>1. Inverter 2 has been derating by about 25 kW due to an "External Fan Err - ExtFanerr" throughout the month. Inverter 8 has been derating by 40 kW due to an 'External Fan Fault' since 07/10.
2. Inverter 3 was derating by 40 kW due to "External Fan Err - ExtFanerr" from 10:15 on 07/05 and resumed normal operation on 07/06.
4. Inverter 13 has been underperforming since 07/10, and Tracker 33 has been stuck at 0 degrees since 07/10.</t>
  </si>
  <si>
    <t>1. SR103869
2. SR104043
3. SR104043
4. SR104246</t>
  </si>
  <si>
    <t>SR104043</t>
  </si>
  <si>
    <t>SR104246</t>
  </si>
  <si>
    <t xml:space="preserve">1. Inverter 1 has experienced multiple trippings during peak hours throughout the month.
2. Inverter 3 tripped offline due to a "Real Time Clock Error" at 15:30 on 07/09 and came back online at 11:45 on 07/22.
</t>
  </si>
  <si>
    <t>1. SR103868
2. SR104231</t>
  </si>
  <si>
    <t>SR104231</t>
  </si>
  <si>
    <t>1. Inverters 2, 16, 17, 20, 22, and 26 are not communicating, and meter data shows that 3 or 4 of them have been offline throughout the month. Inverter 15 tripped multiple times during peak hours. Inverter 25 underperformed by 3 kW, and Inverter 3 underperformed by 2 kW throughout the month. Inverter 10 has been offline since 14:15 on 07/28</t>
  </si>
  <si>
    <t>1. SR103867</t>
  </si>
  <si>
    <t>1. Inverter 1 has been offline due to a 'Ground Fault' throughout the month. Additionally, Inverters 2 to 4 and 7 have not been communicating throughout the month, and according to meter data, one of these inverters is offline.</t>
  </si>
  <si>
    <t>1. SR103866</t>
  </si>
  <si>
    <t>1. Inverter 1 is down 30 kW, Inverter 4 is down 30 kW, Inverter 5 is down 36 kW, Inverter 6 is down 30 kW, Inverter 7 is down 36 kW, and Inverter 8 is down 30 kW throughout the month. Additionally, the relay boards of Inverters 1 and 4 are currently being RMA'd.</t>
  </si>
  <si>
    <t>1. SR104456</t>
  </si>
  <si>
    <t>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</si>
  <si>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1.1.3.4 started producing late on 07/02, 07/03, 07/12, 07/21, and 07/29. It tripped offline at 11:00 on 07/27 and came back online at 11:00 on 07/28.
2. Inverter 1.1.1.3 tripped offline at 13:30 on 07/22 due to 'Grid Phase Voltage Out of Range' and will remain offline until the new AC breaker and AC busbars are RMA'd.
3. Actual vs expected delta is showing 251% due to expected energy recording low possibly due to data glitch (similar event observe last 3 years).</t>
  </si>
  <si>
    <t>1. SR103944
2. SR104776</t>
  </si>
  <si>
    <t>SR104776</t>
  </si>
  <si>
    <t>1. Inverter 16 has been derating by up to 40 kW since 10/24/2024.
2. Inverter 28 has been underperforming by 10 kW due to DC current being offline since 11/08/2022 and will be investigated during the next site visit.
3. Actual vs expected delta is showing 32% due to expected energy recording low possibly due to data glitch (similar event observe last 2 years).</t>
  </si>
  <si>
    <t>1. SR103946
2. SR103946, SR104855</t>
  </si>
  <si>
    <t>SR103946</t>
  </si>
  <si>
    <t>SR104855</t>
  </si>
  <si>
    <t>1. Inverters 4 and 5 have been derating by approximately 6 kW since 02/05.</t>
  </si>
  <si>
    <t>1. The site went offline at 11:00 on 07/02 due to the SEL relay being in an "Open" state and later came back online at 12:45 on 07/03.
2. Inverter 1, Module 5 has been offline since 07/20 and will remain offline until further troubleshooting.
3. Inverter 2, Module 7 has been offline since 07/28.</t>
  </si>
  <si>
    <t>1. SR103947
2. SR104665
3. SR105155</t>
  </si>
  <si>
    <t>SR104665</t>
  </si>
  <si>
    <t>SR105155</t>
  </si>
  <si>
    <t>August Actual v. Expected</t>
  </si>
  <si>
    <t>August Actual v. Forecasted</t>
  </si>
  <si>
    <t>1. Inverter 12 was significantly affected by shading, resulting in a 6 kW reduction in output. This issue is more likely to occur on high irradiance days throughout the month.</t>
  </si>
  <si>
    <t>1. Inverter 1 was offline from 19:20 on 08/07.
2. Inverter P was offline and Inverter N was trippiing on and off and lost communication on multiple days through out the month. and addtionaly Inverter N tripped offline at 11:50 on 06/16 due to "Actual AC power deviation" and lost communication. considering replacing AE inverters with another brand and is seeking recommendations.
3. Weather station jumps from 0 to 1200 W/m^2 at sunrise and stays high all day. Inverter production seems to reflect cloud cover on some days, but the irradiance sensor always reports very sunny conditions.</t>
  </si>
  <si>
    <t>1. SR105924
2. SR101243
3. SR101245</t>
  </si>
  <si>
    <t>1. SR096262, SR099066</t>
  </si>
  <si>
    <t>1. Inverter 3.5 has been offline since 14:45 on 07/04.
2. Inverter 2.5 has been intermittently derating during high irradiance since 07/08.
3. The site has been offline since 01:30 on 08/09 and requires further troubleshooting with AlsoEnergy.</t>
  </si>
  <si>
    <t>1. SR104023
2. SR104137
3. SR105956</t>
  </si>
  <si>
    <t>SR105956</t>
  </si>
  <si>
    <t>1. The site was offline from 07:45 to 17:30 on 08/16.
2. The site tripped offline at 12:00 on 08/28 and came back online at 10:45 on 08/29.
3. Meter communication has been intermittent throughout the month.</t>
  </si>
  <si>
    <t>1. SR106384
2. SR107143
3. SR100417</t>
  </si>
  <si>
    <t>SR107143</t>
  </si>
  <si>
    <t>1. Inverter 9 derated at 40kW from 06/01 to 06/05 and reporting "External Fan Err - ExtFanerr" and inverter is under RMA for replacement fans.</t>
  </si>
  <si>
    <t>1. SR102209</t>
  </si>
  <si>
    <t>1. Inverter 3 is derating at 75kW from 13:45 on 06/19 and reporting "External Fan
 Err - ExtFanerr" and the fan is being RMA'd.
2. Inverter 7 has been offline since 13:30 on 08/09 and is currently being RMA'd.</t>
  </si>
  <si>
    <t>1. Inverters 1, 6, 7, and 8 show a sporadic derating pattern during high irradiance, while Inverters 3 and 4 have been derating by 12 kW in the afternoons throughout the month.
2. Inverter 1 has been offline since 10:30 on 08/20 and is currently being RMA'd.</t>
  </si>
  <si>
    <t>1. SR103740
2. SR106599</t>
  </si>
  <si>
    <t>SR106599</t>
  </si>
  <si>
    <t>1. All trackers have been stuck since 08/26.</t>
  </si>
  <si>
    <t>1. SR106946</t>
  </si>
  <si>
    <t>1. Inverter 5 dropped a string on 06/11 and the fuse needs to be replaced.</t>
  </si>
  <si>
    <t>1. SR103239</t>
  </si>
  <si>
    <t xml:space="preserve">1. SR103048
</t>
  </si>
  <si>
    <t>1. Inverters 3 and 4 have been running on 2 strings each since 07/08.
2. Inverter 10 tripped offline at 10:00 on 08/10 and came back online at 07:00 on 08/15.
3. Meter A inverters (1 through 12) experienced multiple trippings on 08/11 and 08/12, were offline on 08/14, and came back online on 08/15.</t>
  </si>
  <si>
    <t>1. SR103686
2. SR105968
3. SR106026</t>
  </si>
  <si>
    <t>SR105968</t>
  </si>
  <si>
    <t>SR106026</t>
  </si>
  <si>
    <t>1. Inverters 9,13 and 18 are offline through out the month.
2. Inverter 5 was offline on 08/21 and came back online at 13:55 on 08/22.
3. Inverter 2 has been running on half of the strings throughout the month.
4. Inverter 3 has been running on 2 strings throughout the month.
5. Inverter 4 has been running on 4 strings throughout the month.
6. Inverter 5 has been running on 5 strings throughout the month.
7. Inverter 10 has been running on 4 strings throughout the month.
8. Inverter 7 has been running on half of the strings throughout the month.
9. Inverter 11 has been running on 5 strings throughout the month.
10. Inverter 15 has been running on 5 strings throughout the month.
11. Inverter 16 has been running on half of the strings throughout the month.</t>
  </si>
  <si>
    <t>1. SR099730
2. SR106719
3. SR104823
4. SR104824
5. SR104825
6. SR104826
7. SR104828
8. SR104827
9. SR104829
10. SR104831
11. SR104832</t>
  </si>
  <si>
    <t>SR106719</t>
  </si>
  <si>
    <t>SR104823</t>
  </si>
  <si>
    <t>SR104824</t>
  </si>
  <si>
    <t>SR104825</t>
  </si>
  <si>
    <t>SR104826</t>
  </si>
  <si>
    <t>SR104828</t>
  </si>
  <si>
    <t>SR104827</t>
  </si>
  <si>
    <t>SR104829</t>
  </si>
  <si>
    <t>SR104831</t>
  </si>
  <si>
    <t>SR104832</t>
  </si>
  <si>
    <t>1. Inverters 5 and 7 are again derating by 10 kW. Inverters 14 and 15 are underperforming by 3 kW compared to their peers, and Inverters 9 and 11 are underperforming by 2 kW compared to their peers throughout the month. Waiting for approval to dispatch.</t>
  </si>
  <si>
    <t>1. Inverter 10 was derating at 10kW from 12:40 on 06/02 and issue was resolved on 08/18
2. Inverter 4 was derating since 04/08 and was resolved on 08/18.
3. Inverters 1 and 7 were offline since 03/04 to till date  and meter was not communicated issue was resolved on 08/18.</t>
  </si>
  <si>
    <t>1.SR102316
2.SR099500
3.SR098016</t>
  </si>
  <si>
    <t>1.SR103914,</t>
  </si>
  <si>
    <t>1. Inverter 3 is derating by about 10kW during peak irradiance since 06/09 
2. CB 1.7 2.10, 2.13, 3.1, 3.3 underperforming by about 80 amps. CB 1.2, 1.8, 3.9 underperforming by about 50 amps. CB 1.3, 2.11, 2.12 underperforming by about 30 amps. CB  2.1, 2.2, 2.3, 2.4, 2.5, 2.6, 2.7, 2.8, 2.9, 3.5, 3.11, 3.12, 3.13 underperforming by about 20 amps. CB 1.13, 1.5, 1.4, 1.6, 3.0, 3.2, 3.4, 3.6, 3.7, 3.8, 3. 10 underperforming by about 10 amps.
3.Meter was not communicating for whole month and its under PG &amp;E isolated the meter we used the inverter data instead.</t>
  </si>
  <si>
    <t>1. SR104192
2. SR102794, PM10647
3. SR105489</t>
  </si>
  <si>
    <t>SR105489</t>
  </si>
  <si>
    <t>1. Actual vs expected delta is showing 38% due to expected energy recording low possibly due to data glitch (similar event observe last 2 years).</t>
  </si>
  <si>
    <t>1. Actual vs expected delta is showing 20% due to expected energy recording low possibly due to data glitch (similar event observe last 2 years).</t>
  </si>
  <si>
    <t>1. The site was offline at 01:00 on 08/10 and remained offline through out the month.</t>
  </si>
  <si>
    <t>1. SR105973</t>
  </si>
  <si>
    <t>1. Actual vs expected delta is showing 13% due to expected energy recording low possibly due to data glitch (similar event observe last 2 years).</t>
  </si>
  <si>
    <t>1. Actual vs expected delta is showing 11% due to expected energy recording low possibly due to data glitch (similar event observe last 2 years).</t>
  </si>
  <si>
    <t>1. Meter was not capturing full production since 08/10 to end of the month.</t>
  </si>
  <si>
    <t xml:space="preserve">1. SR106082, SR100857 </t>
  </si>
  <si>
    <t>SR100857</t>
  </si>
  <si>
    <t>1. Inverter 1 and 2 are underproducing by 60kW due to multiple modules that are burned and broken and need to be replaced. 
2. Inverter D dropped in production by about 50% at 10:00 MDT on 08/07 and by coincided with inverter C briefly displaying "Main Fault"(Fault01) and "Drive Fault" (Fault02).</t>
  </si>
  <si>
    <t>1. SR101818
2. SR105928</t>
  </si>
  <si>
    <t>SR105928</t>
  </si>
  <si>
    <t xml:space="preserve">1. The POA has been reading 0 W/m2 since 08/01/23 to end of the month.
2. 200 Modules were damaged and need to be replaced.
</t>
  </si>
  <si>
    <t xml:space="preserve">1.  The anemometer SE 03 has stopped communicating from 10/14/23.
</t>
  </si>
  <si>
    <t xml:space="preserve">1. SR101021
</t>
  </si>
  <si>
    <t>1.  Inverters E2, E4, and G4 were offline for whole month and  inverter A3, 2 strings down 0 voltage since 07/25. Inverter A2 1 string down 0 voltage.
2. Inverter D2 has tripped offline at 17:30 on 08/07 and reporting Arc fault (E050) and back online at 09:15 on 08/19. 
3. inverter B1 has a history of late starts most of the days in month</t>
  </si>
  <si>
    <t>1. SR105192
2. SR105872
3. SR106435, SR106650</t>
  </si>
  <si>
    <t>SR105872</t>
  </si>
  <si>
    <t>SR106435</t>
  </si>
  <si>
    <t>SR106650</t>
  </si>
  <si>
    <t>1. Site has not communicated since 5/14/25,  inverter 3 offline from 3/19/25 and LOTOd.  inverter 1 offline from 3/18/25. inverter 2 offline from 3/18/25. inverter 4 offline from 3/23/25 and  inverter 4 tripped offline on 8/28/25.</t>
  </si>
  <si>
    <t>1. SR102419, SR107209</t>
  </si>
  <si>
    <t>SR107209</t>
  </si>
  <si>
    <t>1.Inverter G was offline on 08/17 and was back online  on 08/18,again was offline on 08/19 and back online on 08/20 ,again offline on 08/21 and was back online on 08/23.Self Resolved.
2.  Inverter E offline (LOTO'd on 6/12/24). inverter A underperforming by 17kW. Inverter G underperforming by 7kW. Inverter F underperforming by 5kW. for whole month.</t>
  </si>
  <si>
    <t>1.SR106774
2.SR102283</t>
  </si>
  <si>
    <t>1.SR102418</t>
  </si>
  <si>
    <t>1.SR102416</t>
  </si>
  <si>
    <t>1.Inverters A, C and D were offline for whole month.</t>
  </si>
  <si>
    <t>1.SR102392</t>
  </si>
  <si>
    <t>1.3. Inverter B-2 offline from 2/28/25 and LOTO'd ". Inverter D-4 offline from 2/28/25 and LOTO'd. Inverter  8 offline 5/6/25 was replaced but not communicating. inverter I-9 offline from 5/17/25. inverter 10 underperforming by 10 kW. Inverter F-6 was offline.
2.Inverter C3 was offline throughout the month.
3.POA data inaccurate. Reading a constant 1237.82 W/m2 intermittently.
4.Inverter K11 was offline since  07/23.</t>
  </si>
  <si>
    <t>1.SR102321
2.SR103636
3.SR102539
4.SR104882</t>
  </si>
  <si>
    <t>SR104882</t>
  </si>
  <si>
    <t>1.SR102320</t>
  </si>
  <si>
    <t>1.SR102317</t>
  </si>
  <si>
    <t>1. Inverter K was offline on 08/06 and was back online on 08/07.</t>
  </si>
  <si>
    <t>1.SR105794</t>
  </si>
  <si>
    <t>1.Inverter 19 tripped offline at 11:30 on 08/18 and reporting "Fault"through out the month.
2.1. Inverter 14 tripped offline on 07/03 at 12:45.  Inverters 1,3, 4,9, 12, 15,16, 17,18,20, 21, 24, 26, 27, were offline and LOTO'd. Inverter 2 underperforming by 13kW. Inverter 8 underperforming by 17kW. Inverter 5 underperforming by 10kW. Inverter 6 underperforming by 9 kW. Inverter 11, 14 underperforming by 5kW.</t>
  </si>
  <si>
    <t>1.SR106474
2.SR102286</t>
  </si>
  <si>
    <t>1.  Inverter 3 was underperforming by 5kW, likely down a string. Inverter 4, 5 derating by 8kW and reporting external fan error for whole month.  
2.Inverters 4 and 5 were capping at 15 kW with External Fan error alarms throughout the month.</t>
  </si>
  <si>
    <t>1.SR102281
2.SR106885</t>
  </si>
  <si>
    <t>SR106885</t>
  </si>
  <si>
    <t>1.Inverter E2.04 was derating due to a fan fault for whole month.</t>
  </si>
  <si>
    <t>1.SR101986</t>
  </si>
  <si>
    <t>1.SR102451</t>
  </si>
  <si>
    <t>1.Inverters G and P were undeperforming by 4kw each throughout the month
2.Inverter N remained offline since 07/27 to end of the month.
3.1. inverter 30 offline for whole month. Inverter 33 underperforming by 7 kW each for whole month. Inverter 31 underperforming by 18 kW for whole month.</t>
  </si>
  <si>
    <t>1.SR106828
2.SR105139
3.SR102329</t>
  </si>
  <si>
    <t>1.SR102303</t>
  </si>
  <si>
    <t>1. Inverters 1, 7, 8, 10, 11, 12, 13 were offline and LOTO'd. Inverter 4 underperforming by 5 kW. inverter 3 underperforming by 10kW.Inverter 9 was offline since 07/23.</t>
  </si>
  <si>
    <t>1.SR102411</t>
  </si>
  <si>
    <t>1.Inverter 4 was underproducing by approximately 12kw and inverter 3 was underproducing by 3kw compared to its peer inverters throughout the month.</t>
  </si>
  <si>
    <t>1.SR106531</t>
  </si>
  <si>
    <t>1.SR102310</t>
  </si>
  <si>
    <t>1.SR104289</t>
  </si>
  <si>
    <t>1. Inverters 19, 20,21, 26 were offline for whole month. Inverter 22,23 underperforming by 13 kW each through out the month.</t>
  </si>
  <si>
    <t>1.SR102413</t>
  </si>
  <si>
    <t>1. Inverters D, F, H were offline. for whole month.
2. Inverter G is underperforming by 3 kW ,possibly soiling.</t>
  </si>
  <si>
    <t>1.SR102425
2.SR106842</t>
  </si>
  <si>
    <t>SR106842</t>
  </si>
  <si>
    <t>1. Zone 1.1 has been operating at 3 kW since 09:00 on 07/10.
2.Zone 1.6, 2.13, 2.14 are reporting -50 amps. Zone 1.7 is reporting 30 amps higher than expected. Zone 2.9 is reporting 70 amps higher than expected. Possible CT issues reached out to Also Energy.</t>
  </si>
  <si>
    <t>1.SR104290
2.SR104290</t>
  </si>
  <si>
    <t>1.SR102424</t>
  </si>
  <si>
    <t>1.SR102423</t>
  </si>
  <si>
    <t>1.SR102421</t>
  </si>
  <si>
    <t>1.Inverter D,H,K were underperforming by 6 kW each since 06/03; possible string down.</t>
  </si>
  <si>
    <t>1.SR102420</t>
  </si>
  <si>
    <t>1.Inverter 12 was derating at 40kw at 11:30 cdt on 08/30 due to "External Fan Err - ExtFanerr".
2.Meter B phase current dropped about 600 amps at 19:00cdt  on 08/27. Further troubleshooting is required.
3.Inverter 3 was derating 40kw at 11:00 on 08/20 reporting "external fan error" .
4.Inverter 1 was tripped offline at 13:45cdt on 08/19  and reporting "Static GFCI high"and was back online at 07:45cdt on 08/20.Self resolved
5.. Inverter 13 has been underperforming since 07/10 due to  tracker 33 has been stuck at 0 degrees and issue was resolved at 13:45cdt on 08/29.
6.Inverter 6 was derating by 15kw during afternoon hours from 08/08 since tracker 15 struck at -30 degrees and issue was resolved on 08/21.
7.Inverter 2 has been derating by about 25 kW due to an "External Fan Err - ExtFanerr" and issue was resolved on 08/11. Inverter 8 has been derating by 40 kW due to an 'External Fan Fault' since 07/10 and futher trobleshooting is required.</t>
  </si>
  <si>
    <t>1.SR107231
2.SR107145
3.SR106851
4.SR106520
5.SR104246
6.SR104246
7.SR103869</t>
  </si>
  <si>
    <t>SR107145</t>
  </si>
  <si>
    <t>SR106851</t>
  </si>
  <si>
    <t>SR106520</t>
  </si>
  <si>
    <t>SR103869</t>
  </si>
  <si>
    <t>1.Inverter 3 tripped offline at 09:30 mst on 08/04 and was back online at 05:30 mst on 08/14,again tripped offline at 13:00 mst on 08/29.</t>
  </si>
  <si>
    <t>1.SR105626,SR106301</t>
  </si>
  <si>
    <t>SR106301</t>
  </si>
  <si>
    <t>1. Inverter 1.1.1.3 tripped offline at 13:30 on 07/22 due to 'Grid Phase Voltage Out of Range' and will remain offline until the new AC breaker and AC busbars are RMA'd.
2. Inverter 1.1.3.4 tripping on and off multiple days in a month.
3. Actual vs expected delta is showing 392% due to expected energy recording low possibly due to data glitch (similar event observe last 3 years).</t>
  </si>
  <si>
    <t xml:space="preserve">1. SR104776
2. SR103944,  SR106611
</t>
  </si>
  <si>
    <t>SR103944</t>
  </si>
  <si>
    <t>SR106611</t>
  </si>
  <si>
    <t>1. Inverter 16 has been derating by up to 40 kW since 10/24/2024.
2. Inverter 28 has been underperforming by 10 kW due to DC current being offline since 11/08/2022 and will be investigated during the next site visit.
3. Actual vs expected delta is showing 27% due to expected energy recording low possibly due to data glitch (similar event observe last 2 years).</t>
  </si>
  <si>
    <t>1. Inverter 1, Module 5 has been offline since 07/20 and will remain offline until further troubleshooting.
2. Inverter 2, Module 7 has been offline since 07/28.
3. Site was offline at 14:30 on 08/22 and later back online at 13:30 on 08/24.
4. Site was offline at 13:15 on 08/28 and later back online at 10:15 on 08/29.</t>
  </si>
  <si>
    <t>1. SR104665
2. SR105155
3. SR106781
4. SR107162</t>
  </si>
  <si>
    <t>SR106781</t>
  </si>
  <si>
    <t>SR107162</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</si>
  <si>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</si>
  <si>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</si>
  <si>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</si>
  <si>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</si>
  <si>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</si>
  <si>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</si>
  <si>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</si>
  <si>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</si>
  <si>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</si>
  <si>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Clean Capital</t>
  </si>
  <si>
    <t>Site DAS Name</t>
  </si>
  <si>
    <t>Update</t>
  </si>
  <si>
    <t>DAS</t>
  </si>
  <si>
    <t>Cotting School</t>
  </si>
  <si>
    <t>Lexington - Cotting School</t>
  </si>
  <si>
    <t>MA</t>
  </si>
  <si>
    <t>IGS SolarLog</t>
  </si>
  <si>
    <t>2.01) KSI Solar Whiteman, LLC</t>
  </si>
  <si>
    <t>Pacoima - Whiteman Airport</t>
  </si>
  <si>
    <t>CA</t>
  </si>
  <si>
    <t>Advanced Energy SiteLink</t>
  </si>
  <si>
    <t>Hyannis - Sturgis Charter School</t>
  </si>
  <si>
    <t>PowerTrack</t>
  </si>
  <si>
    <t>Tony Kent Arena</t>
  </si>
  <si>
    <t>South Dennis - Tony Kent Arena</t>
  </si>
  <si>
    <t>Coraopolis - Felician Sisters</t>
  </si>
  <si>
    <t xml:space="preserve"> Caropolis - Felician Sisters</t>
  </si>
  <si>
    <t>PA</t>
  </si>
  <si>
    <t>Powerdash</t>
  </si>
  <si>
    <t>Eastlake - Gohman</t>
  </si>
  <si>
    <t>Clear Lake - Eastlake Gohman</t>
  </si>
  <si>
    <t>MN</t>
  </si>
  <si>
    <t>AF</t>
  </si>
  <si>
    <t>Eastlake - Brenda Luhman CSG</t>
  </si>
  <si>
    <t>Zumbrota - Eastlake Brenda Luhman</t>
  </si>
  <si>
    <t>Eastlake - Carlson</t>
  </si>
  <si>
    <t>Cokato - Eastlake Carlson</t>
  </si>
  <si>
    <t>Eastlake - Cornillie 2</t>
  </si>
  <si>
    <t>North Branch - Cornille 2</t>
  </si>
  <si>
    <t>Eastlake - Hammer CSG 1</t>
  </si>
  <si>
    <t>Clear Lake - Eastlake Hammer</t>
  </si>
  <si>
    <t>Paynesville - Eastlake Hertzberg</t>
  </si>
  <si>
    <t>Eastlake - Hertzberg CSG 1</t>
  </si>
  <si>
    <t>Eastlake - Laurel Village</t>
  </si>
  <si>
    <t>Cokato - Eastlake Laurel Village</t>
  </si>
  <si>
    <t>Eastlake - Paulson CSG</t>
  </si>
  <si>
    <t>St. Peter - Eastlake Paulson</t>
  </si>
  <si>
    <t>Lodi - Felician Sisters Rooftop</t>
  </si>
  <si>
    <t>Felician Sisters Convent</t>
  </si>
  <si>
    <t>NJ</t>
  </si>
  <si>
    <t>Power Dash</t>
  </si>
  <si>
    <t>Augusta - Sussex County Fair Grounds</t>
  </si>
  <si>
    <t>Sussex County Fairgrounds</t>
  </si>
  <si>
    <t xml:space="preserve"> Staten Island - Gateway Church</t>
  </si>
  <si>
    <t>Gateway Church</t>
  </si>
  <si>
    <t>SolrenView</t>
  </si>
  <si>
    <t>Beaver Falls - FSNA</t>
  </si>
  <si>
    <t>Beaver Falls - Felician Sisters</t>
  </si>
  <si>
    <t>Montessori Center of Our Lady</t>
  </si>
  <si>
    <t>Livonia - Felician Sisters Ground</t>
  </si>
  <si>
    <t>MI</t>
  </si>
  <si>
    <t>Madonna University</t>
  </si>
  <si>
    <t>Livonia - Felician Sisters Roof</t>
  </si>
  <si>
    <t>Monmouth Worship Ctr</t>
  </si>
  <si>
    <t>Trinity Solar Monitoring</t>
  </si>
  <si>
    <t>Senior Citizens United Comm. Serv.</t>
  </si>
  <si>
    <t xml:space="preserve"> Audubon - Senior Citizens United</t>
  </si>
  <si>
    <t>PG&amp;E - Enerparc CA1</t>
  </si>
  <si>
    <t>Hollister - PG&amp;E (Enerparc)</t>
  </si>
  <si>
    <t>AEF</t>
  </si>
  <si>
    <t>Also Energy</t>
  </si>
  <si>
    <t>Kit Carson Electric Co-Op - Blue Sky One</t>
  </si>
  <si>
    <t>Taos County - Kit Carson Electric Co-Op</t>
  </si>
  <si>
    <t>NM</t>
  </si>
  <si>
    <t>Adams County - Adams City High School</t>
  </si>
  <si>
    <t>Commerce City - Adams City HS</t>
  </si>
  <si>
    <t>CO</t>
  </si>
  <si>
    <t>Adams County - Adams City Middle School</t>
  </si>
  <si>
    <t>Commerce City - Adams City MS</t>
  </si>
  <si>
    <t>Adams County - Adams Central Elementary School</t>
  </si>
  <si>
    <t>Commerce City - Central ES</t>
  </si>
  <si>
    <t>Adams County - Dupont Elementary School</t>
  </si>
  <si>
    <t>Commerce City - Dupont ES</t>
  </si>
  <si>
    <t>Adams County - Educational Support Services</t>
  </si>
  <si>
    <t>Commerce City - Educational Support Services</t>
  </si>
  <si>
    <t>Adams County - Hanson Elementary School</t>
  </si>
  <si>
    <t>Commerce City - Hanson ES</t>
  </si>
  <si>
    <t>Adams County -Kemp Elementary School</t>
  </si>
  <si>
    <t>Commerce City - Kemp ES</t>
  </si>
  <si>
    <t>Adams County - Lester Arnold High School</t>
  </si>
  <si>
    <t>Commerce City -  Lester Arnold HS</t>
  </si>
  <si>
    <t>Adams County - Monaco Elementary School</t>
  </si>
  <si>
    <t>Commerce City - Monaco ES</t>
  </si>
  <si>
    <t>Sheridan School Dist. - Northgate / Old Fort Logan</t>
  </si>
  <si>
    <t>Denver - Northgate / Old Fort Logan ES</t>
  </si>
  <si>
    <t>Sheridan School Dist. - Sheridan High School</t>
  </si>
  <si>
    <t>Denver - Sheridan High School</t>
  </si>
  <si>
    <t>Sheridan School Dist. - Alice Terry Elementary</t>
  </si>
  <si>
    <t>Englewood -  Alice Terry Elementary</t>
  </si>
  <si>
    <t>Sheridan School Dist. - Sheridan Middle School</t>
  </si>
  <si>
    <t>Englewood - Sheridan Middle School</t>
  </si>
  <si>
    <t>NIPSCO (Goshen) - MR Realty</t>
  </si>
  <si>
    <t>Goshen - NIPSCO</t>
  </si>
  <si>
    <t>IN</t>
  </si>
  <si>
    <t>City of Alamogordo - Effluent</t>
  </si>
  <si>
    <t>Alamogordo - City of Alamogordo - Effluent</t>
  </si>
  <si>
    <t>City of Alamogordo - WWTP</t>
  </si>
  <si>
    <t>Alamogordo - City of Alamogordo - WWTP</t>
  </si>
  <si>
    <t>City of Deming - Bilbo Booster</t>
  </si>
  <si>
    <t>Deming - Bilbo Booster</t>
  </si>
  <si>
    <t>City of Deming - Bilbo Well</t>
  </si>
  <si>
    <t>Deming - Bilbo Well</t>
  </si>
  <si>
    <t>City of Deming - WWTP</t>
  </si>
  <si>
    <t>Deming - WWTP</t>
  </si>
  <si>
    <t>WalMart Truth or Consequences</t>
  </si>
  <si>
    <t>Truth or Consequences - Walmart</t>
  </si>
  <si>
    <t>Stockton Unified School Dist. - Merlo</t>
  </si>
  <si>
    <t>CA: Stockton - SUSD - Merlo</t>
  </si>
  <si>
    <t>CA: Stockton - SUSD - Bush ES</t>
  </si>
  <si>
    <t>Stockton Unified School Dist. - Bush Elementary</t>
  </si>
  <si>
    <t>Stockton Unified School Dist. - Marshall Junior High</t>
  </si>
  <si>
    <t>CA: Stockton - SUSD - Marshall JHS</t>
  </si>
  <si>
    <t>Stockton Unified School Dist. - Hong-Kingston Elementary School</t>
  </si>
  <si>
    <t>CA: Stockton - SUSD - Hong-Kingston ES</t>
  </si>
  <si>
    <t>Stockton Unified School Dist. - Hamilton Elementary School</t>
  </si>
  <si>
    <t>CA: Stockton - SUSD - Hamilton ES</t>
  </si>
  <si>
    <t>Stockton Unified School Dist. - Franklin (North)</t>
  </si>
  <si>
    <t>CA: Stockton - SUSD - Franklin - North</t>
  </si>
  <si>
    <t>CA: Stockton - SUSD - Fillmore ES</t>
  </si>
  <si>
    <t>Stockton Unified School Dist. - Fillmore Elementary</t>
  </si>
  <si>
    <t>Stockton Unified School Dist. - El Dorado Elementary</t>
  </si>
  <si>
    <t>CA: Stockton - SUSD - El Dorado ES</t>
  </si>
  <si>
    <t>Stockton Unified School Dist. - Edison High School</t>
  </si>
  <si>
    <t>CA: Stockton - SUSD - Edison HS</t>
  </si>
  <si>
    <t>Stockton Unified School Dist. - Chavez High School (Large)</t>
  </si>
  <si>
    <t>CA: Stockton - SUSD - Chavez HS - Large</t>
  </si>
  <si>
    <t>GE Mobile Water - San Jose, CA</t>
  </si>
  <si>
    <t>CA: San Jose - GE Mobile Water</t>
  </si>
  <si>
    <t>Vallecitos Water District - Lift Station</t>
  </si>
  <si>
    <t>CA: San Marcos - Vallecitos Water - Lift Station</t>
  </si>
  <si>
    <t>Vallecitos Water District - Twin Oaks Reservoir</t>
  </si>
  <si>
    <t>CA: San Marcos - Vallecitos Water - Twin Oaks Reservoir</t>
  </si>
  <si>
    <t>Stockton Unified School Dist. - Wilhelmina Henry Elm.</t>
  </si>
  <si>
    <t>CA: Stockton - SUSD - Wilhelmina Henry ES</t>
  </si>
  <si>
    <t>Stockton Unified School Dist. - Franklin (South)</t>
  </si>
  <si>
    <t>CA: Stockton - SUSD - Franklin - South</t>
  </si>
  <si>
    <t>Stockton Unified School Dist. - Chavez High School (Small)</t>
  </si>
  <si>
    <t>CA: Stockton - SUSD - Chavez HS - Small</t>
  </si>
  <si>
    <t>Stockton Unified School Dist. - Facilities</t>
  </si>
  <si>
    <t>CA: Stockton - SUSD - Facilities</t>
  </si>
  <si>
    <t>Stockton Unified School Dist. - Harrison</t>
  </si>
  <si>
    <t>CA: Stockton - SUSD - Harrison</t>
  </si>
  <si>
    <t>Stockton Unified School Dist. - Commodore Stockton Skills School</t>
  </si>
  <si>
    <t>CA: Stockton - SUSD - Commodore Skills School</t>
  </si>
  <si>
    <t>Stockton Unified School Dist. - Nightingale Elementary School</t>
  </si>
  <si>
    <t>CA: Stockton - SUSD - Nightingale ES</t>
  </si>
  <si>
    <t>Stockton Unified School Dist. - Weber Institute</t>
  </si>
  <si>
    <t>CA: Stockton - SUSD - Weber Institute</t>
  </si>
  <si>
    <t>Stockton Unified School Dist. - Warehouse</t>
  </si>
  <si>
    <t>CA: Stockton - SUSD - Warehouse</t>
  </si>
  <si>
    <t>Stockton Unified School Dist. - Walton Special Center</t>
  </si>
  <si>
    <t>CA: Stockton - SUSD - Walton Special Center</t>
  </si>
  <si>
    <t>Stockton Unified School Dist. - Stagg High School</t>
  </si>
  <si>
    <t>CA: Stockton - SUSD - Stagg HS</t>
  </si>
  <si>
    <t>Stockton Unified School Dist. - School for Adults</t>
  </si>
  <si>
    <t>CA: Stockton - SUSD - School for Adults</t>
  </si>
  <si>
    <t>Stockton Unified School Dist. - San Joaquin</t>
  </si>
  <si>
    <t>CA: Stockton - SUSD - San Joaquin</t>
  </si>
  <si>
    <t>Stockton Unified School Dist. - Rio Calaveras</t>
  </si>
  <si>
    <t>CA: Stockton - SUSD - Rio Calaveras</t>
  </si>
  <si>
    <t>Stockton Unified School Dist. - Peyton</t>
  </si>
  <si>
    <t>CA: Stockton - SUSD - Peyton</t>
  </si>
  <si>
    <t>The Agnes Project - Concho Valley Electric</t>
  </si>
  <si>
    <t>TX: Barnhart - 42917 Ranch RD 2469</t>
  </si>
  <si>
    <t>TX</t>
  </si>
  <si>
    <t>San Manuel Sr &amp; Jr High School</t>
  </si>
  <si>
    <t>AZ: San Manuel - Senior &amp; Junior HS</t>
  </si>
  <si>
    <t>AZ</t>
  </si>
  <si>
    <t>A</t>
  </si>
  <si>
    <t>Fort Huachuca - Colonel Smith</t>
  </si>
  <si>
    <t>AZ: Sierra Vista - Colonel Smith MS</t>
  </si>
  <si>
    <t>Fort Huachuca - Colonel Johnston</t>
  </si>
  <si>
    <t>AZ: Sierra Vista - Colonel Johnston ES</t>
  </si>
  <si>
    <t>Dover High School</t>
  </si>
  <si>
    <t>NH: Dover - Dover HS</t>
  </si>
  <si>
    <t>NH</t>
  </si>
  <si>
    <t>Brandeis University - 30 Inner Belt</t>
  </si>
  <si>
    <t>MA: Somerville - 30 Inner Belt Rd</t>
  </si>
  <si>
    <t>Littleton Boxborough</t>
  </si>
  <si>
    <t>MA: Boxborough - 1414 Massachusetts Ave</t>
  </si>
  <si>
    <t>City of Amsterdam - Route 67</t>
  </si>
  <si>
    <t>NY: Amsterdam - 153 NY Route 67</t>
  </si>
  <si>
    <t>NY</t>
  </si>
  <si>
    <t>City of Rome NY - Tannery Road</t>
  </si>
  <si>
    <t>NY: Rome - 7776 Tannery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</si>
</sst>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9">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109">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49" fontId="31" fillId="38" borderId="1" xfId="2" applyNumberFormat="1" applyFont="1" applyFill="1" applyBorder="1" applyAlignment="1">
      <alignment horizontal="left" wrapText="1"/>
    </xf>
    <xf numFmtId="49" fontId="29" fillId="0" borderId="1" xfId="0" applyNumberFormat="1" applyFont="1" applyBorder="1" applyAlignment="1">
      <alignment horizontal="left" wrapText="1"/>
    </xf>
    <xf numFmtId="49" fontId="28" fillId="0" borderId="1" xfId="0" applyNumberFormat="1" applyFont="1" applyBorder="1" applyAlignment="1">
      <alignment horizontal="left" wrapText="1"/>
    </xf>
    <xf numFmtId="3" fontId="31" fillId="0" borderId="1" xfId="1" applyNumberFormat="1" applyFont="1" applyFill="1" applyBorder="1" applyAlignment="1">
      <alignment horizontal="right" vertical="center" wrapText="1"/>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164" fontId="29" fillId="0" borderId="1" xfId="1" applyNumberFormat="1" applyFont="1" applyBorder="1" applyAlignment="1">
      <alignment horizontal="center" vertical="center" wrapText="1"/>
    </xf>
    <xf numFmtId="49" fontId="31" fillId="38" borderId="1" xfId="2" applyNumberFormat="1" applyFont="1" applyFill="1" applyBorder="1" applyAlignment="1">
      <alignment horizontal="left" vertical="top" wrapText="1"/>
    </xf>
    <xf numFmtId="49" fontId="24" fillId="0" borderId="1" xfId="0" applyNumberFormat="1" applyFont="1" applyBorder="1" applyAlignment="1">
      <alignment horizontal="left" vertical="top" wrapText="1"/>
    </xf>
    <xf numFmtId="0" fontId="23" fillId="0" borderId="0" xfId="43" applyFont="1" applyAlignment="1">
      <alignment horizontal="left" wrapText="1"/>
    </xf>
    <xf numFmtId="0" fontId="23" fillId="0" borderId="0" xfId="43" applyFont="1"/>
    <xf numFmtId="49" fontId="29" fillId="0" borderId="1" xfId="0" applyNumberFormat="1" applyFont="1" applyBorder="1" applyAlignment="1">
      <alignment vertical="top" wrapText="1"/>
    </xf>
    <xf numFmtId="49" fontId="38" fillId="38" borderId="1" xfId="45" applyNumberFormat="1" applyFill="1" applyBorder="1" applyAlignment="1">
      <alignment vertical="top" wrapText="1"/>
    </xf>
    <xf numFmtId="49" fontId="38" fillId="0" borderId="1" xfId="45" applyNumberFormat="1" applyBorder="1" applyAlignment="1">
      <alignment vertical="top" wrapText="1"/>
    </xf>
    <xf numFmtId="49" fontId="38" fillId="0" borderId="1" xfId="45" applyNumberFormat="1" applyBorder="1" applyAlignment="1">
      <alignment vertical="center" wrapText="1"/>
    </xf>
    <xf numFmtId="0" fontId="3" fillId="0" borderId="0" xfId="0" applyFont="1"/>
    <xf numFmtId="9" fontId="31" fillId="0" borderId="1" xfId="2" applyFont="1" applyBorder="1" applyAlignment="1">
      <alignment horizontal="center" vertical="center"/>
    </xf>
    <xf numFmtId="3" fontId="31" fillId="0" borderId="1" xfId="1" applyNumberFormat="1" applyFont="1" applyBorder="1" applyAlignment="1">
      <alignment vertical="center"/>
    </xf>
    <xf numFmtId="3" fontId="31" fillId="4" borderId="1" xfId="1" applyNumberFormat="1" applyFont="1" applyFill="1" applyBorder="1" applyAlignment="1">
      <alignment horizontal="right" vertical="center"/>
    </xf>
    <xf numFmtId="3" fontId="31" fillId="0" borderId="1" xfId="1" applyNumberFormat="1" applyFont="1" applyFill="1" applyBorder="1" applyAlignment="1">
      <alignment horizontal="right" vertical="center"/>
    </xf>
    <xf numFmtId="49" fontId="38" fillId="0" borderId="1" xfId="45" applyNumberFormat="1" applyBorder="1" applyAlignment="1">
      <alignment horizontal="left" vertical="top" wrapText="1"/>
    </xf>
    <xf numFmtId="0" fontId="38" fillId="0" borderId="0" xfId="45" applyAlignment="1">
      <alignment horizontal="left" vertical="top"/>
    </xf>
    <xf numFmtId="0" fontId="0" fillId="0" borderId="0" xfId="0" applyAlignment="1">
      <alignment horizontal="left" vertical="top"/>
    </xf>
    <xf numFmtId="49" fontId="38" fillId="38" borderId="1" xfId="45" applyNumberFormat="1" applyFill="1" applyBorder="1" applyAlignment="1">
      <alignment horizontal="left" vertical="top" wrapText="1"/>
    </xf>
    <xf numFmtId="49" fontId="38" fillId="38" borderId="1" xfId="45" applyNumberFormat="1" applyFill="1" applyBorder="1" applyAlignment="1">
      <alignment horizontal="left" wrapText="1"/>
    </xf>
    <xf numFmtId="49" fontId="38" fillId="0" borderId="1" xfId="45" applyNumberFormat="1" applyBorder="1" applyAlignment="1">
      <alignment horizontal="left" wrapText="1"/>
    </xf>
    <xf numFmtId="14" fontId="0" fillId="0" borderId="0" xfId="0" applyNumberFormat="1" applyAlignment="1">
      <alignment horizontal="left" vertical="top"/>
    </xf>
    <xf numFmtId="14" fontId="38" fillId="0" borderId="0" xfId="45" applyNumberFormat="1" applyAlignment="1">
      <alignment horizontal="left" vertical="top"/>
    </xf>
    <xf numFmtId="3" fontId="31" fillId="0" borderId="1" xfId="1" applyNumberFormat="1" applyFont="1" applyFill="1" applyBorder="1" applyAlignment="1">
      <alignment horizontal="right"/>
    </xf>
    <xf numFmtId="3" fontId="31" fillId="4" borderId="1" xfId="1" applyNumberFormat="1" applyFont="1" applyFill="1" applyBorder="1" applyAlignment="1">
      <alignment horizontal="right"/>
    </xf>
    <xf numFmtId="0" fontId="35" fillId="40" borderId="1" xfId="0" applyFont="1" applyFill="1" applyBorder="1" applyAlignment="1">
      <alignment horizontal="center" vertical="center"/>
    </xf>
    <xf numFmtId="49" fontId="29" fillId="0" borderId="1"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49" fontId="38" fillId="0" borderId="1" xfId="45" applyNumberFormat="1" applyBorder="1" applyAlignment="1">
      <alignment horizontal="left" vertical="center" wrapText="1"/>
    </xf>
    <xf numFmtId="9" fontId="31" fillId="0" borderId="0" xfId="2" applyFont="1" applyFill="1" applyBorder="1" applyAlignment="1">
      <alignment horizontal="center" vertical="center"/>
    </xf>
    <xf numFmtId="9" fontId="31" fillId="3" borderId="12" xfId="2" applyFont="1" applyFill="1" applyBorder="1" applyAlignment="1">
      <alignment horizontal="center" vertical="center"/>
    </xf>
    <xf numFmtId="3" fontId="31" fillId="3" borderId="13" xfId="0" applyNumberFormat="1" applyFont="1" applyFill="1" applyBorder="1" applyAlignment="1">
      <alignment horizontal="right" vertical="center"/>
    </xf>
    <xf numFmtId="3" fontId="31" fillId="4" borderId="14" xfId="1" applyNumberFormat="1" applyFont="1" applyFill="1" applyBorder="1" applyAlignment="1">
      <alignment vertical="center"/>
    </xf>
    <xf numFmtId="9" fontId="31" fillId="0" borderId="11" xfId="2" applyFont="1" applyFill="1" applyBorder="1" applyAlignment="1">
      <alignment horizontal="center" vertical="center"/>
    </xf>
    <xf numFmtId="0" fontId="33" fillId="0" borderId="0" xfId="0" applyFont="1" applyAlignment="1">
      <alignment horizontal="left" vertical="top"/>
    </xf>
    <xf numFmtId="0" fontId="38" fillId="0" borderId="0" xfId="45" applyAlignment="1">
      <alignment vertical="top"/>
    </xf>
    <xf numFmtId="3" fontId="37" fillId="0" borderId="0" xfId="0" applyNumberFormat="1" applyFont="1" applyAlignment="1">
      <alignment horizontal="right"/>
    </xf>
    <xf numFmtId="3" fontId="31" fillId="3" borderId="1" xfId="0" applyNumberFormat="1" applyFont="1" applyFill="1" applyBorder="1" applyAlignment="1">
      <alignment horizontal="right"/>
    </xf>
    <xf numFmtId="3" fontId="37" fillId="0" borderId="0" xfId="0" applyNumberFormat="1" applyFont="1" applyAlignment="1">
      <alignment horizontal="right" vertical="center"/>
    </xf>
    <xf numFmtId="49" fontId="1" fillId="0" borderId="1" xfId="0" applyNumberFormat="1" applyFont="1" applyBorder="1" applyAlignment="1">
      <alignment horizontal="left" vertical="top" wrapText="1"/>
    </xf>
    <xf numFmtId="49" fontId="1" fillId="0" borderId="1" xfId="0" applyNumberFormat="1" applyFont="1" applyBorder="1" applyAlignment="1">
      <alignment horizontal="left" vertical="center" wrapText="1"/>
    </xf>
    <xf numFmtId="0" fontId="31" fillId="0" borderId="0" xfId="0" applyFont="1" applyAlignment="1">
      <alignment wrapText="1"/>
    </xf>
    <xf numFmtId="3" fontId="31" fillId="0" borderId="1" xfId="1" applyNumberFormat="1" applyFont="1" applyBorder="1" applyAlignment="1">
      <alignment horizontal="right" vertical="center"/>
    </xf>
    <xf numFmtId="0" fontId="38" fillId="0" borderId="0" xfId="45"/>
    <xf numFmtId="0" fontId="0" fillId="0" borderId="0" xfId="0" applyAlignment="1">
      <alignment vertical="top"/>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85" totalsRowShown="0">
  <autoFilter ref="A3:E85" xr:uid="{C9C95D9E-67ED-41E0-9F41-9C3DA4ACF4CD}"/>
  <sortState xmlns:xlrd2="http://schemas.microsoft.com/office/spreadsheetml/2017/richdata2" ref="A4:D5">
    <sortCondition ref="C3:C5"/>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hyperlink" Target="https://us3.assetplanner.com/service_request?ID=096179" TargetMode="External"/><Relationship Id="rId2" Type="http://schemas.openxmlformats.org/officeDocument/2006/relationships/hyperlink" Target="https://us3.assetplanner.com/service_request?ID=095501" TargetMode="External"/><Relationship Id="rId1" Type="http://schemas.openxmlformats.org/officeDocument/2006/relationships/hyperlink" Target="https://us3.assetplanner.com/service_request?ID=095368" TargetMode="External"/><Relationship Id="rId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hyperlink" Target="https://us3.assetplanner.com/service_request?ID=096409" TargetMode="External"/><Relationship Id="rId7" Type="http://schemas.openxmlformats.org/officeDocument/2006/relationships/hyperlink" Target="https://us3.assetplanner.com/service_request?ID=096262" TargetMode="External"/><Relationship Id="rId2" Type="http://schemas.openxmlformats.org/officeDocument/2006/relationships/hyperlink" Target="https://us3.assetplanner.com/service_request?ID=097850"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096179" TargetMode="External"/><Relationship Id="rId5" Type="http://schemas.openxmlformats.org/officeDocument/2006/relationships/hyperlink" Target="https://us3.assetplanner.com/service_request?ID=095501" TargetMode="External"/><Relationship Id="rId4" Type="http://schemas.openxmlformats.org/officeDocument/2006/relationships/hyperlink" Target="https://us3.assetplanner.com/service_request?ID=097783"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428" TargetMode="External"/><Relationship Id="rId13" Type="http://schemas.openxmlformats.org/officeDocument/2006/relationships/hyperlink" Target="https://us3.assetplanner.com/service_request?ID=098613" TargetMode="External"/><Relationship Id="rId18" Type="http://schemas.openxmlformats.org/officeDocument/2006/relationships/hyperlink" Target="https://us3.assetplanner.com/service_request?ID=099230" TargetMode="External"/><Relationship Id="rId26" Type="http://schemas.openxmlformats.org/officeDocument/2006/relationships/hyperlink" Target="https://us3.assetplanner.com/service_request?ID=098015" TargetMode="External"/><Relationship Id="rId3" Type="http://schemas.openxmlformats.org/officeDocument/2006/relationships/hyperlink" Target="https://us3.assetplanner.com/service_request?ID=097975" TargetMode="External"/><Relationship Id="rId21" Type="http://schemas.openxmlformats.org/officeDocument/2006/relationships/hyperlink" Target="https://us3.assetplanner.com/service_request?ID=099150" TargetMode="External"/><Relationship Id="rId7" Type="http://schemas.openxmlformats.org/officeDocument/2006/relationships/hyperlink" Target="https://us3.assetplanner.com/service_request?ID=097783" TargetMode="External"/><Relationship Id="rId12" Type="http://schemas.openxmlformats.org/officeDocument/2006/relationships/hyperlink" Target="https://us3.assetplanner.com/service_request?ID=098497" TargetMode="External"/><Relationship Id="rId17" Type="http://schemas.openxmlformats.org/officeDocument/2006/relationships/hyperlink" Target="https://us3.assetplanner.com/service_request?ID=098047" TargetMode="External"/><Relationship Id="rId25" Type="http://schemas.openxmlformats.org/officeDocument/2006/relationships/hyperlink" Target="https://us3.assetplanner.com/service_request?ID=098231" TargetMode="External"/><Relationship Id="rId2" Type="http://schemas.openxmlformats.org/officeDocument/2006/relationships/hyperlink" Target="https://us3.assetplanner.com/service_request?ID=097850" TargetMode="External"/><Relationship Id="rId16" Type="http://schemas.openxmlformats.org/officeDocument/2006/relationships/hyperlink" Target="https://us3.assetplanner.com/service_request?ID=098614" TargetMode="External"/><Relationship Id="rId20" Type="http://schemas.openxmlformats.org/officeDocument/2006/relationships/hyperlink" Target="https://us3.assetplanner.com/service_request?ID=098048"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098783" TargetMode="External"/><Relationship Id="rId11" Type="http://schemas.openxmlformats.org/officeDocument/2006/relationships/hyperlink" Target="https://us3.assetplanner.com/service_request?ID=098870" TargetMode="External"/><Relationship Id="rId24" Type="http://schemas.openxmlformats.org/officeDocument/2006/relationships/hyperlink" Target="https://us3.assetplanner.com/service_request?ID=098076" TargetMode="External"/><Relationship Id="rId5" Type="http://schemas.openxmlformats.org/officeDocument/2006/relationships/hyperlink" Target="https://us3.assetplanner.com/service_request?ID=098262" TargetMode="External"/><Relationship Id="rId15" Type="http://schemas.openxmlformats.org/officeDocument/2006/relationships/hyperlink" Target="https://us3.assetplanner.com/service_request?ID=098496" TargetMode="External"/><Relationship Id="rId23" Type="http://schemas.openxmlformats.org/officeDocument/2006/relationships/hyperlink" Target="https://us3.assetplanner.com/service_request?ID=098819" TargetMode="External"/><Relationship Id="rId10" Type="http://schemas.openxmlformats.org/officeDocument/2006/relationships/hyperlink" Target="https://us3.assetplanner.com/service_request?ID=099066" TargetMode="External"/><Relationship Id="rId19" Type="http://schemas.openxmlformats.org/officeDocument/2006/relationships/hyperlink" Target="https://us3.assetplanner.com/service_request?ID=099167" TargetMode="External"/><Relationship Id="rId4" Type="http://schemas.openxmlformats.org/officeDocument/2006/relationships/hyperlink" Target="https://us3.assetplanner.com/service_request?ID=097975" TargetMode="External"/><Relationship Id="rId9" Type="http://schemas.openxmlformats.org/officeDocument/2006/relationships/hyperlink" Target="https://us3.assetplanner.com/service_request?ID=096262" TargetMode="External"/><Relationship Id="rId14" Type="http://schemas.openxmlformats.org/officeDocument/2006/relationships/hyperlink" Target="https://us3.assetplanner.com/service_request?ID=098046" TargetMode="External"/><Relationship Id="rId22" Type="http://schemas.openxmlformats.org/officeDocument/2006/relationships/hyperlink" Target="https://us3.assetplanner.com/service_request?ID=098818" TargetMode="External"/><Relationship Id="rId27" Type="http://schemas.openxmlformats.org/officeDocument/2006/relationships/hyperlink" Target="https://us3.assetplanner.com/service_request?ID=098016"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us3.assetplanner.com/service_request?ID=100445" TargetMode="External"/><Relationship Id="rId18" Type="http://schemas.openxmlformats.org/officeDocument/2006/relationships/hyperlink" Target="https://us3.assetplanner.com/service_request?ID=100618" TargetMode="External"/><Relationship Id="rId26" Type="http://schemas.openxmlformats.org/officeDocument/2006/relationships/hyperlink" Target="https://us3.assetplanner.com/service_request?ID=098048" TargetMode="External"/><Relationship Id="rId21" Type="http://schemas.openxmlformats.org/officeDocument/2006/relationships/hyperlink" Target="https://us3.assetplanner.com/service_request?ID=099230" TargetMode="External"/><Relationship Id="rId34" Type="http://schemas.openxmlformats.org/officeDocument/2006/relationships/hyperlink" Target="https://us3.assetplanner.com/service_request?ID=099730" TargetMode="External"/><Relationship Id="rId7" Type="http://schemas.openxmlformats.org/officeDocument/2006/relationships/hyperlink" Target="https://us3.assetplanner.com/service_request?ID=099508" TargetMode="External"/><Relationship Id="rId12" Type="http://schemas.openxmlformats.org/officeDocument/2006/relationships/hyperlink" Target="https://us3.assetplanner.com/service_request?ID=099461" TargetMode="External"/><Relationship Id="rId17" Type="http://schemas.openxmlformats.org/officeDocument/2006/relationships/hyperlink" Target="https://us3.assetplanner.com/service_request?ID=099457" TargetMode="External"/><Relationship Id="rId25" Type="http://schemas.openxmlformats.org/officeDocument/2006/relationships/hyperlink" Target="https://us3.assetplanner.com/service_request?ID=099110" TargetMode="External"/><Relationship Id="rId33" Type="http://schemas.openxmlformats.org/officeDocument/2006/relationships/hyperlink" Target="https://us3.assetplanner.com/service_request?ID=098231" TargetMode="External"/><Relationship Id="rId38" Type="http://schemas.openxmlformats.org/officeDocument/2006/relationships/hyperlink" Target="https://us3.assetplanner.com/service_request?ID=098016" TargetMode="External"/><Relationship Id="rId2" Type="http://schemas.openxmlformats.org/officeDocument/2006/relationships/hyperlink" Target="https://us3.assetplanner.com/service_request?ID=095368" TargetMode="External"/><Relationship Id="rId16" Type="http://schemas.openxmlformats.org/officeDocument/2006/relationships/hyperlink" Target="https://us3.assetplanner.com/service_request?ID=100617" TargetMode="External"/><Relationship Id="rId20" Type="http://schemas.openxmlformats.org/officeDocument/2006/relationships/hyperlink" Target="https://us3.assetplanner.com/service_request?ID=098047" TargetMode="External"/><Relationship Id="rId29" Type="http://schemas.openxmlformats.org/officeDocument/2006/relationships/hyperlink" Target="https://us3.assetplanner.com/service_request?ID=098819" TargetMode="External"/><Relationship Id="rId1" Type="http://schemas.openxmlformats.org/officeDocument/2006/relationships/hyperlink" Target="https://us3.assetplanner.com/service_request?ID=097850" TargetMode="External"/><Relationship Id="rId6" Type="http://schemas.openxmlformats.org/officeDocument/2006/relationships/hyperlink" Target="https://us3.assetplanner.com/service_request?ID=099501" TargetMode="External"/><Relationship Id="rId11" Type="http://schemas.openxmlformats.org/officeDocument/2006/relationships/hyperlink" Target="https://us3.assetplanner.com/service_request?ID=098870" TargetMode="External"/><Relationship Id="rId24" Type="http://schemas.openxmlformats.org/officeDocument/2006/relationships/hyperlink" Target="https://us3.assetplanner.com/service_request?ID=100621" TargetMode="External"/><Relationship Id="rId32" Type="http://schemas.openxmlformats.org/officeDocument/2006/relationships/hyperlink" Target="https://us3.assetplanner.com/service_request?ID=098076" TargetMode="External"/><Relationship Id="rId37" Type="http://schemas.openxmlformats.org/officeDocument/2006/relationships/hyperlink" Target="https://us3.assetplanner.com/service_request?ID=099500" TargetMode="External"/><Relationship Id="rId5" Type="http://schemas.openxmlformats.org/officeDocument/2006/relationships/hyperlink" Target="https://us3.assetplanner.com/service_request?ID=097975" TargetMode="External"/><Relationship Id="rId15" Type="http://schemas.openxmlformats.org/officeDocument/2006/relationships/hyperlink" Target="https://us3.assetplanner.com/service_request?ID=100417" TargetMode="External"/><Relationship Id="rId23" Type="http://schemas.openxmlformats.org/officeDocument/2006/relationships/hyperlink" Target="https://us3.assetplanner.com/service_request?ID=099789" TargetMode="External"/><Relationship Id="rId28" Type="http://schemas.openxmlformats.org/officeDocument/2006/relationships/hyperlink" Target="https://us3.assetplanner.com/service_request?ID=099746" TargetMode="External"/><Relationship Id="rId36" Type="http://schemas.openxmlformats.org/officeDocument/2006/relationships/hyperlink" Target="https://us3.assetplanner.com/service_request?ID=098016" TargetMode="External"/><Relationship Id="rId10" Type="http://schemas.openxmlformats.org/officeDocument/2006/relationships/hyperlink" Target="https://us3.assetplanner.com/service_request?ID=099066" TargetMode="External"/><Relationship Id="rId19" Type="http://schemas.openxmlformats.org/officeDocument/2006/relationships/hyperlink" Target="https://us3.assetplanner.com/service_request?ID=098046" TargetMode="External"/><Relationship Id="rId31" Type="http://schemas.openxmlformats.org/officeDocument/2006/relationships/hyperlink" Target="https://us3.assetplanner.com/service_request?ID=101068" TargetMode="External"/><Relationship Id="rId4" Type="http://schemas.openxmlformats.org/officeDocument/2006/relationships/hyperlink" Target="https://us3.assetplanner.com/service_request?ID=097975" TargetMode="External"/><Relationship Id="rId9" Type="http://schemas.openxmlformats.org/officeDocument/2006/relationships/hyperlink" Target="https://us3.assetplanner.com/service_request?ID=096262" TargetMode="External"/><Relationship Id="rId14" Type="http://schemas.openxmlformats.org/officeDocument/2006/relationships/hyperlink" Target="https://us3.assetplanner.com/service_request?ID=100131" TargetMode="External"/><Relationship Id="rId22" Type="http://schemas.openxmlformats.org/officeDocument/2006/relationships/hyperlink" Target="https://us3.assetplanner.com/service_request?ID=099167" TargetMode="External"/><Relationship Id="rId27" Type="http://schemas.openxmlformats.org/officeDocument/2006/relationships/hyperlink" Target="https://us3.assetplanner.com/service_request?ID=098818" TargetMode="External"/><Relationship Id="rId30" Type="http://schemas.openxmlformats.org/officeDocument/2006/relationships/hyperlink" Target="https://us3.assetplanner.com/service_request?ID=099691" TargetMode="External"/><Relationship Id="rId35" Type="http://schemas.openxmlformats.org/officeDocument/2006/relationships/hyperlink" Target="https://us3.assetplanner.com/service_request?ID=098015" TargetMode="External"/><Relationship Id="rId8" Type="http://schemas.openxmlformats.org/officeDocument/2006/relationships/hyperlink" Target="https://us3.assetplanner.com/service_request?ID=097783" TargetMode="External"/><Relationship Id="rId3" Type="http://schemas.openxmlformats.org/officeDocument/2006/relationships/hyperlink" Target="https://us3.assetplanner.com/service_request?ID=099290"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099461" TargetMode="External"/><Relationship Id="rId18" Type="http://schemas.openxmlformats.org/officeDocument/2006/relationships/hyperlink" Target="https://us3.assetplanner.com/service_request?ID=101563" TargetMode="External"/><Relationship Id="rId26" Type="http://schemas.openxmlformats.org/officeDocument/2006/relationships/hyperlink" Target="https://us3.assetplanner.com/service_request?ID=099110" TargetMode="External"/><Relationship Id="rId39" Type="http://schemas.openxmlformats.org/officeDocument/2006/relationships/hyperlink" Target="https://us3.assetplanner.com/service_request?ID=098016" TargetMode="External"/><Relationship Id="rId21" Type="http://schemas.openxmlformats.org/officeDocument/2006/relationships/hyperlink" Target="https://us3.assetplanner.com/service_request?ID=101564" TargetMode="External"/><Relationship Id="rId34" Type="http://schemas.openxmlformats.org/officeDocument/2006/relationships/hyperlink" Target="https://us3.assetplanner.com/service_request?ID=101068" TargetMode="External"/><Relationship Id="rId42" Type="http://schemas.openxmlformats.org/officeDocument/2006/relationships/hyperlink" Target="https://us3.assetplanner.com/service_request?ID=101017" TargetMode="External"/><Relationship Id="rId47" Type="http://schemas.openxmlformats.org/officeDocument/2006/relationships/hyperlink" Target="https://us3.assetplanner.com/service_request?ID=102137" TargetMode="External"/><Relationship Id="rId50" Type="http://schemas.openxmlformats.org/officeDocument/2006/relationships/hyperlink" Target="https://us3.assetplanner.com/service_request?ID=100883" TargetMode="External"/><Relationship Id="rId55" Type="http://schemas.openxmlformats.org/officeDocument/2006/relationships/hyperlink" Target="https://us3.assetplanner.com/service_request?ID=101818" TargetMode="External"/><Relationship Id="rId7" Type="http://schemas.openxmlformats.org/officeDocument/2006/relationships/hyperlink" Target="https://us3.assetplanner.com/service_request?ID=101243" TargetMode="External"/><Relationship Id="rId2" Type="http://schemas.openxmlformats.org/officeDocument/2006/relationships/hyperlink" Target="https://us3.assetplanner.com/service_request?ID=097850" TargetMode="External"/><Relationship Id="rId16" Type="http://schemas.openxmlformats.org/officeDocument/2006/relationships/hyperlink" Target="https://us3.assetplanner.com/service_request?ID=100903" TargetMode="External"/><Relationship Id="rId29" Type="http://schemas.openxmlformats.org/officeDocument/2006/relationships/hyperlink" Target="https://us3.assetplanner.com/service_request?ID=101596" TargetMode="External"/><Relationship Id="rId11" Type="http://schemas.openxmlformats.org/officeDocument/2006/relationships/hyperlink" Target="https://us3.assetplanner.com/service_request?ID=099066" TargetMode="External"/><Relationship Id="rId24" Type="http://schemas.openxmlformats.org/officeDocument/2006/relationships/hyperlink" Target="https://us3.assetplanner.com/service_request?ID=102209" TargetMode="External"/><Relationship Id="rId32" Type="http://schemas.openxmlformats.org/officeDocument/2006/relationships/hyperlink" Target="https://us3.assetplanner.com/service_request?ID=100930" TargetMode="External"/><Relationship Id="rId37" Type="http://schemas.openxmlformats.org/officeDocument/2006/relationships/hyperlink" Target="https://us3.assetplanner.com/service_request?ID=098076" TargetMode="External"/><Relationship Id="rId40" Type="http://schemas.openxmlformats.org/officeDocument/2006/relationships/hyperlink" Target="https://us3.assetplanner.com/service_request?ID=099500" TargetMode="External"/><Relationship Id="rId45" Type="http://schemas.openxmlformats.org/officeDocument/2006/relationships/hyperlink" Target="https://us3.assetplanner.com/service_request?ID=100843" TargetMode="External"/><Relationship Id="rId53" Type="http://schemas.openxmlformats.org/officeDocument/2006/relationships/hyperlink" Target="https://us3.assetplanner.com/service_request?ID=100857" TargetMode="External"/><Relationship Id="rId58" Type="http://schemas.openxmlformats.org/officeDocument/2006/relationships/hyperlink" Target="https://us3.assetplanner.com/service_request?ID=101034" TargetMode="External"/><Relationship Id="rId5" Type="http://schemas.openxmlformats.org/officeDocument/2006/relationships/hyperlink" Target="https://us3.assetplanner.com/service_request?ID=101243" TargetMode="External"/><Relationship Id="rId61" Type="http://schemas.openxmlformats.org/officeDocument/2006/relationships/hyperlink" Target="https://us3.assetplanner.com/service_request?ID=100906" TargetMode="External"/><Relationship Id="rId19" Type="http://schemas.openxmlformats.org/officeDocument/2006/relationships/hyperlink" Target="https://us3.assetplanner.com/service_request?ID=100902" TargetMode="External"/><Relationship Id="rId14" Type="http://schemas.openxmlformats.org/officeDocument/2006/relationships/hyperlink" Target="https://us3.assetplanner.com/service_request?ID=101286" TargetMode="External"/><Relationship Id="rId22" Type="http://schemas.openxmlformats.org/officeDocument/2006/relationships/hyperlink" Target="https://us3.assetplanner.com/service_request?ID=101628" TargetMode="External"/><Relationship Id="rId27" Type="http://schemas.openxmlformats.org/officeDocument/2006/relationships/hyperlink" Target="https://us3.assetplanner.com/service_request?ID=101919" TargetMode="External"/><Relationship Id="rId30" Type="http://schemas.openxmlformats.org/officeDocument/2006/relationships/hyperlink" Target="https://us3.assetplanner.com/service_request?ID=099746" TargetMode="External"/><Relationship Id="rId35" Type="http://schemas.openxmlformats.org/officeDocument/2006/relationships/hyperlink" Target="https://us3.assetplanner.com/service_request?ID=098231" TargetMode="External"/><Relationship Id="rId43" Type="http://schemas.openxmlformats.org/officeDocument/2006/relationships/hyperlink" Target="https://us3.assetplanner.com/service_request?ID=101372" TargetMode="External"/><Relationship Id="rId48" Type="http://schemas.openxmlformats.org/officeDocument/2006/relationships/hyperlink" Target="https://us3.assetplanner.com/service_request?ID=101917" TargetMode="External"/><Relationship Id="rId56" Type="http://schemas.openxmlformats.org/officeDocument/2006/relationships/hyperlink" Target="https://us3.assetplanner.com/service_request?ID=101668" TargetMode="External"/><Relationship Id="rId8" Type="http://schemas.openxmlformats.org/officeDocument/2006/relationships/hyperlink" Target="https://us3.assetplanner.com/service_request?ID=101243" TargetMode="External"/><Relationship Id="rId51" Type="http://schemas.openxmlformats.org/officeDocument/2006/relationships/hyperlink" Target="https://us3.assetplanner.com/service_request?ID=101936" TargetMode="External"/><Relationship Id="rId3" Type="http://schemas.openxmlformats.org/officeDocument/2006/relationships/hyperlink" Target="https://us3.assetplanner.com/service_request?ID=099290" TargetMode="External"/><Relationship Id="rId12" Type="http://schemas.openxmlformats.org/officeDocument/2006/relationships/hyperlink" Target="https://us3.assetplanner.com/service_request?ID=098870" TargetMode="External"/><Relationship Id="rId17" Type="http://schemas.openxmlformats.org/officeDocument/2006/relationships/hyperlink" Target="https://us3.assetplanner.com/service_request?ID=101277" TargetMode="External"/><Relationship Id="rId25" Type="http://schemas.openxmlformats.org/officeDocument/2006/relationships/hyperlink" Target="https://us3.assetplanner.com/service_request?ID=101470" TargetMode="External"/><Relationship Id="rId33" Type="http://schemas.openxmlformats.org/officeDocument/2006/relationships/hyperlink" Target="https://us3.assetplanner.com/service_request?ID=101068" TargetMode="External"/><Relationship Id="rId38" Type="http://schemas.openxmlformats.org/officeDocument/2006/relationships/hyperlink" Target="https://us3.assetplanner.com/service_request?ID=098015" TargetMode="External"/><Relationship Id="rId46" Type="http://schemas.openxmlformats.org/officeDocument/2006/relationships/hyperlink" Target="https://us3.assetplanner.com/service_request?ID=101040" TargetMode="External"/><Relationship Id="rId59" Type="http://schemas.openxmlformats.org/officeDocument/2006/relationships/hyperlink" Target="https://us3.assetplanner.com/service_request?ID=100915" TargetMode="External"/><Relationship Id="rId20" Type="http://schemas.openxmlformats.org/officeDocument/2006/relationships/hyperlink" Target="https://us3.assetplanner.com/service_request?ID=101276" TargetMode="External"/><Relationship Id="rId41" Type="http://schemas.openxmlformats.org/officeDocument/2006/relationships/hyperlink" Target="https://us3.assetplanner.com/service_request?ID=098016" TargetMode="External"/><Relationship Id="rId54" Type="http://schemas.openxmlformats.org/officeDocument/2006/relationships/hyperlink" Target="https://us3.assetplanner.com/service_request?ID=101963" TargetMode="External"/><Relationship Id="rId62" Type="http://schemas.openxmlformats.org/officeDocument/2006/relationships/hyperlink" Target="https://us3.assetplanner.com/service_request?ID=101057" TargetMode="External"/><Relationship Id="rId1" Type="http://schemas.openxmlformats.org/officeDocument/2006/relationships/hyperlink" Target="https://us3.assetplanner.com/service_request?ID=095368" TargetMode="External"/><Relationship Id="rId6" Type="http://schemas.openxmlformats.org/officeDocument/2006/relationships/hyperlink" Target="https://us3.assetplanner.com/service_request?ID=101243" TargetMode="External"/><Relationship Id="rId15" Type="http://schemas.openxmlformats.org/officeDocument/2006/relationships/hyperlink" Target="https://us3.assetplanner.com/service_request?ID=101468" TargetMode="External"/><Relationship Id="rId23" Type="http://schemas.openxmlformats.org/officeDocument/2006/relationships/hyperlink" Target="https://us3.assetplanner.com/service_request?ID=101867" TargetMode="External"/><Relationship Id="rId28" Type="http://schemas.openxmlformats.org/officeDocument/2006/relationships/hyperlink" Target="https://us3.assetplanner.com/service_request?ID=102140" TargetMode="External"/><Relationship Id="rId36" Type="http://schemas.openxmlformats.org/officeDocument/2006/relationships/hyperlink" Target="https://us3.assetplanner.com/service_request?ID=099730" TargetMode="External"/><Relationship Id="rId49" Type="http://schemas.openxmlformats.org/officeDocument/2006/relationships/hyperlink" Target="https://us3.assetplanner.com/service_request?ID=100833" TargetMode="External"/><Relationship Id="rId57" Type="http://schemas.openxmlformats.org/officeDocument/2006/relationships/hyperlink" Target="https://us3.assetplanner.com/service_request?ID=100834" TargetMode="External"/><Relationship Id="rId10" Type="http://schemas.openxmlformats.org/officeDocument/2006/relationships/hyperlink" Target="https://us3.assetplanner.com/service_request?ID=096262" TargetMode="External"/><Relationship Id="rId31" Type="http://schemas.openxmlformats.org/officeDocument/2006/relationships/hyperlink" Target="https://us3.assetplanner.com/service_request?ID=099746" TargetMode="External"/><Relationship Id="rId44" Type="http://schemas.openxmlformats.org/officeDocument/2006/relationships/hyperlink" Target="https://us3.assetplanner.com/service_request?ID=102011" TargetMode="External"/><Relationship Id="rId52" Type="http://schemas.openxmlformats.org/officeDocument/2006/relationships/hyperlink" Target="https://us3.assetplanner.com/service_request?ID=100884" TargetMode="External"/><Relationship Id="rId60" Type="http://schemas.openxmlformats.org/officeDocument/2006/relationships/hyperlink" Target="https://us3.assetplanner.com/service_request?ID=101100" TargetMode="External"/><Relationship Id="rId4" Type="http://schemas.openxmlformats.org/officeDocument/2006/relationships/hyperlink" Target="https://us3.assetplanner.com/service_request?ID=101343" TargetMode="External"/><Relationship Id="rId9" Type="http://schemas.openxmlformats.org/officeDocument/2006/relationships/hyperlink" Target="https://us3.assetplanner.com/service_request?ID=101245" TargetMode="External"/></Relationships>
</file>

<file path=xl/worksheets/_rels/sheet11.xml.rels><?xml version="1.0" encoding="UTF-8" standalone="yes"?>
<Relationships xmlns="http://schemas.openxmlformats.org/package/2006/relationships"><Relationship Id="rId26" Type="http://schemas.openxmlformats.org/officeDocument/2006/relationships/hyperlink" Target="https://us3.assetplanner.com/service_request?ID=103239" TargetMode="External"/><Relationship Id="rId21" Type="http://schemas.openxmlformats.org/officeDocument/2006/relationships/hyperlink" Target="https://us3.assetplanner.com/service_request?ID=102296" TargetMode="External"/><Relationship Id="rId42" Type="http://schemas.openxmlformats.org/officeDocument/2006/relationships/hyperlink" Target="https://us3.assetplanner.com/service_request?ID=102011" TargetMode="External"/><Relationship Id="rId47" Type="http://schemas.openxmlformats.org/officeDocument/2006/relationships/hyperlink" Target="https://us3.assetplanner.com/service_request?ID=102723" TargetMode="External"/><Relationship Id="rId63" Type="http://schemas.openxmlformats.org/officeDocument/2006/relationships/hyperlink" Target="https://us3.assetplanner.com/service_request?ID=103517" TargetMode="External"/><Relationship Id="rId68" Type="http://schemas.openxmlformats.org/officeDocument/2006/relationships/hyperlink" Target="https://us3.assetplanner.com/service_request?ID=102416" TargetMode="External"/><Relationship Id="rId84" Type="http://schemas.openxmlformats.org/officeDocument/2006/relationships/hyperlink" Target="https://us3.assetplanner.com/service_request?ID=103636" TargetMode="External"/><Relationship Id="rId89" Type="http://schemas.openxmlformats.org/officeDocument/2006/relationships/hyperlink" Target="https://us3.assetplanner.com/service_request?ID=102303" TargetMode="External"/><Relationship Id="rId16" Type="http://schemas.openxmlformats.org/officeDocument/2006/relationships/hyperlink" Target="https://us3.assetplanner.com/service_request?ID=102644" TargetMode="External"/><Relationship Id="rId11" Type="http://schemas.openxmlformats.org/officeDocument/2006/relationships/hyperlink" Target="https://us3.assetplanner.com/service_request?ID=102343" TargetMode="External"/><Relationship Id="rId32" Type="http://schemas.openxmlformats.org/officeDocument/2006/relationships/hyperlink" Target="https://us3.assetplanner.com/service_request?ID=099730" TargetMode="External"/><Relationship Id="rId37" Type="http://schemas.openxmlformats.org/officeDocument/2006/relationships/hyperlink" Target="https://us3.assetplanner.com/service_request?ID=103914" TargetMode="External"/><Relationship Id="rId53" Type="http://schemas.openxmlformats.org/officeDocument/2006/relationships/hyperlink" Target="https://us3.assetplanner.com/service_request?ID=101963" TargetMode="External"/><Relationship Id="rId58" Type="http://schemas.openxmlformats.org/officeDocument/2006/relationships/hyperlink" Target="https://us3.assetplanner.com/service_request?ID=101021" TargetMode="External"/><Relationship Id="rId74" Type="http://schemas.openxmlformats.org/officeDocument/2006/relationships/hyperlink" Target="https://us3.assetplanner.com/service_request?ID=102317" TargetMode="External"/><Relationship Id="rId79" Type="http://schemas.openxmlformats.org/officeDocument/2006/relationships/hyperlink" Target="https://us3.assetplanner.com/service_request?ID=102281" TargetMode="External"/><Relationship Id="rId5" Type="http://schemas.openxmlformats.org/officeDocument/2006/relationships/hyperlink" Target="https://us3.assetplanner.com/service_request?ID=101243" TargetMode="External"/><Relationship Id="rId90" Type="http://schemas.openxmlformats.org/officeDocument/2006/relationships/hyperlink" Target="https://us3.assetplanner.com/service_request?ID=102411" TargetMode="External"/><Relationship Id="rId95" Type="http://schemas.openxmlformats.org/officeDocument/2006/relationships/hyperlink" Target="https://us3.assetplanner.com/service_request?ID=102425" TargetMode="External"/><Relationship Id="rId22" Type="http://schemas.openxmlformats.org/officeDocument/2006/relationships/hyperlink" Target="https://us3.assetplanner.com/service_request?ID=102336" TargetMode="External"/><Relationship Id="rId27" Type="http://schemas.openxmlformats.org/officeDocument/2006/relationships/hyperlink" Target="https://us3.assetplanner.com/service_request?ID=103324" TargetMode="External"/><Relationship Id="rId43" Type="http://schemas.openxmlformats.org/officeDocument/2006/relationships/hyperlink" Target="https://us3.assetplanner.com/service_request?ID=103561" TargetMode="External"/><Relationship Id="rId48" Type="http://schemas.openxmlformats.org/officeDocument/2006/relationships/hyperlink" Target="https://us3.assetplanner.com/service_request?ID=103597" TargetMode="External"/><Relationship Id="rId64" Type="http://schemas.openxmlformats.org/officeDocument/2006/relationships/hyperlink" Target="https://us3.assetplanner.com/service_request?ID=102419" TargetMode="External"/><Relationship Id="rId69" Type="http://schemas.openxmlformats.org/officeDocument/2006/relationships/hyperlink" Target="https://us3.assetplanner.com/service_request?ID=102392" TargetMode="External"/><Relationship Id="rId80" Type="http://schemas.openxmlformats.org/officeDocument/2006/relationships/hyperlink" Target="https://us3.assetplanner.com/service_request?ID=102503" TargetMode="External"/><Relationship Id="rId85" Type="http://schemas.openxmlformats.org/officeDocument/2006/relationships/hyperlink" Target="https://us3.assetplanner.com/service_request?ID=102329" TargetMode="External"/><Relationship Id="rId3" Type="http://schemas.openxmlformats.org/officeDocument/2006/relationships/hyperlink" Target="https://us3.assetplanner.com/service_request?ID=101243" TargetMode="External"/><Relationship Id="rId12" Type="http://schemas.openxmlformats.org/officeDocument/2006/relationships/hyperlink" Target="https://us3.assetplanner.com/service_request?ID=102384" TargetMode="External"/><Relationship Id="rId17" Type="http://schemas.openxmlformats.org/officeDocument/2006/relationships/hyperlink" Target="https://us3.assetplanner.com/service_request?ID=102557" TargetMode="External"/><Relationship Id="rId25" Type="http://schemas.openxmlformats.org/officeDocument/2006/relationships/hyperlink" Target="https://us3.assetplanner.com/service_request?ID=101919" TargetMode="External"/><Relationship Id="rId33" Type="http://schemas.openxmlformats.org/officeDocument/2006/relationships/hyperlink" Target="https://us3.assetplanner.com/service_request?ID=103950" TargetMode="External"/><Relationship Id="rId38" Type="http://schemas.openxmlformats.org/officeDocument/2006/relationships/hyperlink" Target="https://us3.assetplanner.com/service_request?ID=103124" TargetMode="External"/><Relationship Id="rId46" Type="http://schemas.openxmlformats.org/officeDocument/2006/relationships/hyperlink" Target="https://us3.assetplanner.com/service_request?ID=100833" TargetMode="External"/><Relationship Id="rId59" Type="http://schemas.openxmlformats.org/officeDocument/2006/relationships/hyperlink" Target="https://us3.assetplanner.com/service_request?ID=100915" TargetMode="External"/><Relationship Id="rId67" Type="http://schemas.openxmlformats.org/officeDocument/2006/relationships/hyperlink" Target="https://us3.assetplanner.com/service_request?ID=102418" TargetMode="External"/><Relationship Id="rId20" Type="http://schemas.openxmlformats.org/officeDocument/2006/relationships/hyperlink" Target="https://us3.assetplanner.com/service_request?ID=102296" TargetMode="External"/><Relationship Id="rId41" Type="http://schemas.openxmlformats.org/officeDocument/2006/relationships/hyperlink" Target="https://us3.assetplanner.com/service_request?ID=103335" TargetMode="External"/><Relationship Id="rId54" Type="http://schemas.openxmlformats.org/officeDocument/2006/relationships/hyperlink" Target="https://us3.assetplanner.com/service_request?ID=101818" TargetMode="External"/><Relationship Id="rId62" Type="http://schemas.openxmlformats.org/officeDocument/2006/relationships/hyperlink" Target="https://us3.assetplanner.com/service_request?ID=100906" TargetMode="External"/><Relationship Id="rId70" Type="http://schemas.openxmlformats.org/officeDocument/2006/relationships/hyperlink" Target="https://us3.assetplanner.com/service_request?ID=102539" TargetMode="External"/><Relationship Id="rId75" Type="http://schemas.openxmlformats.org/officeDocument/2006/relationships/hyperlink" Target="https://us3.assetplanner.com/service_request?ID=102315" TargetMode="External"/><Relationship Id="rId83" Type="http://schemas.openxmlformats.org/officeDocument/2006/relationships/hyperlink" Target="https://us3.assetplanner.com/service_request?ID=102539" TargetMode="External"/><Relationship Id="rId88" Type="http://schemas.openxmlformats.org/officeDocument/2006/relationships/hyperlink" Target="https://us3.assetplanner.com/service_request?ID=102329" TargetMode="External"/><Relationship Id="rId91" Type="http://schemas.openxmlformats.org/officeDocument/2006/relationships/hyperlink" Target="https://us3.assetplanner.com/service_request?ID=102403" TargetMode="External"/><Relationship Id="rId96" Type="http://schemas.openxmlformats.org/officeDocument/2006/relationships/hyperlink" Target="https://us3.assetplanner.com/service_request?ID=102820"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1245" TargetMode="External"/><Relationship Id="rId15" Type="http://schemas.openxmlformats.org/officeDocument/2006/relationships/hyperlink" Target="https://us3.assetplanner.com/service_request?ID=102209" TargetMode="External"/><Relationship Id="rId23" Type="http://schemas.openxmlformats.org/officeDocument/2006/relationships/hyperlink" Target="https://us3.assetplanner.com/service_request?ID=103740" TargetMode="External"/><Relationship Id="rId28" Type="http://schemas.openxmlformats.org/officeDocument/2006/relationships/hyperlink" Target="https://us3.assetplanner.com/service_request?ID=103048" TargetMode="External"/><Relationship Id="rId36" Type="http://schemas.openxmlformats.org/officeDocument/2006/relationships/hyperlink" Target="https://us3.assetplanner.com/service_request?ID=098016" TargetMode="External"/><Relationship Id="rId49" Type="http://schemas.openxmlformats.org/officeDocument/2006/relationships/hyperlink" Target="https://us3.assetplanner.com/service_request?ID=103375" TargetMode="External"/><Relationship Id="rId57" Type="http://schemas.openxmlformats.org/officeDocument/2006/relationships/hyperlink" Target="https://us3.assetplanner.com/service_request?ID=102621" TargetMode="External"/><Relationship Id="rId10" Type="http://schemas.openxmlformats.org/officeDocument/2006/relationships/hyperlink" Target="https://us3.assetplanner.com/service_request?ID=099461" TargetMode="External"/><Relationship Id="rId31" Type="http://schemas.openxmlformats.org/officeDocument/2006/relationships/hyperlink" Target="https://us3.assetplanner.com/service_request?ID=101068" TargetMode="External"/><Relationship Id="rId44" Type="http://schemas.openxmlformats.org/officeDocument/2006/relationships/hyperlink" Target="https://us3.assetplanner.com/service_request?ID=102760" TargetMode="External"/><Relationship Id="rId52" Type="http://schemas.openxmlformats.org/officeDocument/2006/relationships/hyperlink" Target="https://us3.assetplanner.com/service_request?ID=101936" TargetMode="External"/><Relationship Id="rId60" Type="http://schemas.openxmlformats.org/officeDocument/2006/relationships/hyperlink" Target="https://us3.assetplanner.com/service_request?ID=101100" TargetMode="External"/><Relationship Id="rId65" Type="http://schemas.openxmlformats.org/officeDocument/2006/relationships/hyperlink" Target="https://us3.assetplanner.com/service_request?ID=103160" TargetMode="External"/><Relationship Id="rId73" Type="http://schemas.openxmlformats.org/officeDocument/2006/relationships/hyperlink" Target="https://us3.assetplanner.com/service_request?ID=102320" TargetMode="External"/><Relationship Id="rId78" Type="http://schemas.openxmlformats.org/officeDocument/2006/relationships/hyperlink" Target="https://us3.assetplanner.com/service_request?ID=102286" TargetMode="External"/><Relationship Id="rId81" Type="http://schemas.openxmlformats.org/officeDocument/2006/relationships/hyperlink" Target="https://us3.assetplanner.com/service_request?ID=102451" TargetMode="External"/><Relationship Id="rId86" Type="http://schemas.openxmlformats.org/officeDocument/2006/relationships/hyperlink" Target="https://us3.assetplanner.com/service_request?ID=102329" TargetMode="External"/><Relationship Id="rId94" Type="http://schemas.openxmlformats.org/officeDocument/2006/relationships/hyperlink" Target="https://us3.assetplanner.com/service_request?ID=102413" TargetMode="External"/><Relationship Id="rId99" Type="http://schemas.openxmlformats.org/officeDocument/2006/relationships/hyperlink" Target="https://us3.assetplanner.com/service_request?ID=102421"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8870" TargetMode="External"/><Relationship Id="rId13" Type="http://schemas.openxmlformats.org/officeDocument/2006/relationships/hyperlink" Target="https://us3.assetplanner.com/service_request?ID=102998" TargetMode="External"/><Relationship Id="rId18" Type="http://schemas.openxmlformats.org/officeDocument/2006/relationships/hyperlink" Target="https://us3.assetplanner.com/service_request?ID=102982" TargetMode="External"/><Relationship Id="rId39" Type="http://schemas.openxmlformats.org/officeDocument/2006/relationships/hyperlink" Target="https://us3.assetplanner.com/service_request?ID=104147" TargetMode="External"/><Relationship Id="rId34" Type="http://schemas.openxmlformats.org/officeDocument/2006/relationships/hyperlink" Target="https://us3.assetplanner.com/service_request?ID=102316" TargetMode="External"/><Relationship Id="rId50" Type="http://schemas.openxmlformats.org/officeDocument/2006/relationships/hyperlink" Target="https://us3.assetplanner.com/service_request?ID=100883" TargetMode="External"/><Relationship Id="rId55" Type="http://schemas.openxmlformats.org/officeDocument/2006/relationships/hyperlink" Target="https://us3.assetplanner.com/service_request?ID=101034" TargetMode="External"/><Relationship Id="rId76" Type="http://schemas.openxmlformats.org/officeDocument/2006/relationships/hyperlink" Target="https://us3.assetplanner.com/service_request?ID=102315" TargetMode="External"/><Relationship Id="rId97" Type="http://schemas.openxmlformats.org/officeDocument/2006/relationships/hyperlink" Target="https://us3.assetplanner.com/service_request?ID=102424" TargetMode="External"/><Relationship Id="rId7" Type="http://schemas.openxmlformats.org/officeDocument/2006/relationships/hyperlink" Target="https://us3.assetplanner.com/service_request?ID=096262" TargetMode="External"/><Relationship Id="rId71" Type="http://schemas.openxmlformats.org/officeDocument/2006/relationships/hyperlink" Target="https://us3.assetplanner.com/service_request?ID=102321" TargetMode="External"/><Relationship Id="rId92" Type="http://schemas.openxmlformats.org/officeDocument/2006/relationships/hyperlink" Target="https://us3.assetplanner.com/service_request?ID=102310" TargetMode="External"/><Relationship Id="rId2" Type="http://schemas.openxmlformats.org/officeDocument/2006/relationships/hyperlink" Target="https://us3.assetplanner.com/service_request?ID=101243" TargetMode="External"/><Relationship Id="rId29" Type="http://schemas.openxmlformats.org/officeDocument/2006/relationships/hyperlink" Target="https://us3.assetplanner.com/service_request?ID=103686" TargetMode="External"/><Relationship Id="rId24" Type="http://schemas.openxmlformats.org/officeDocument/2006/relationships/hyperlink" Target="https://us3.assetplanner.com/service_request?ID=099110" TargetMode="External"/><Relationship Id="rId40" Type="http://schemas.openxmlformats.org/officeDocument/2006/relationships/hyperlink" Target="https://us3.assetplanner.com/service_request?ID=102794" TargetMode="External"/><Relationship Id="rId45" Type="http://schemas.openxmlformats.org/officeDocument/2006/relationships/hyperlink" Target="https://us3.assetplanner.com/service_request?ID=102137" TargetMode="External"/><Relationship Id="rId66" Type="http://schemas.openxmlformats.org/officeDocument/2006/relationships/hyperlink" Target="https://us3.assetplanner.com/service_request?ID=102283" TargetMode="External"/><Relationship Id="rId87" Type="http://schemas.openxmlformats.org/officeDocument/2006/relationships/hyperlink" Target="https://us3.assetplanner.com/service_request?ID=102329" TargetMode="External"/><Relationship Id="rId61" Type="http://schemas.openxmlformats.org/officeDocument/2006/relationships/hyperlink" Target="https://us3.assetplanner.com/service_request?ID=100906" TargetMode="External"/><Relationship Id="rId82" Type="http://schemas.openxmlformats.org/officeDocument/2006/relationships/hyperlink" Target="https://us3.assetplanner.com/service_request?ID=102321" TargetMode="External"/><Relationship Id="rId19" Type="http://schemas.openxmlformats.org/officeDocument/2006/relationships/hyperlink" Target="https://us3.assetplanner.com/service_request?ID=103184" TargetMode="External"/><Relationship Id="rId14" Type="http://schemas.openxmlformats.org/officeDocument/2006/relationships/hyperlink" Target="https://us3.assetplanner.com/service_request?ID=102644" TargetMode="External"/><Relationship Id="rId30" Type="http://schemas.openxmlformats.org/officeDocument/2006/relationships/hyperlink" Target="https://us3.assetplanner.com/service_request?ID=102669" TargetMode="External"/><Relationship Id="rId35" Type="http://schemas.openxmlformats.org/officeDocument/2006/relationships/hyperlink" Target="https://us3.assetplanner.com/service_request?ID=099500" TargetMode="External"/><Relationship Id="rId56" Type="http://schemas.openxmlformats.org/officeDocument/2006/relationships/hyperlink" Target="https://us3.assetplanner.com/service_request?ID=103779" TargetMode="External"/><Relationship Id="rId77" Type="http://schemas.openxmlformats.org/officeDocument/2006/relationships/hyperlink" Target="https://us3.assetplanner.com/service_request?ID=102286" TargetMode="External"/><Relationship Id="rId100" Type="http://schemas.openxmlformats.org/officeDocument/2006/relationships/hyperlink" Target="https://us3.assetplanner.com/service_request?ID=102420" TargetMode="External"/><Relationship Id="rId8" Type="http://schemas.openxmlformats.org/officeDocument/2006/relationships/hyperlink" Target="https://us3.assetplanner.com/service_request?ID=099066" TargetMode="External"/><Relationship Id="rId51" Type="http://schemas.openxmlformats.org/officeDocument/2006/relationships/hyperlink" Target="https://us3.assetplanner.com/service_request?ID=103638" TargetMode="External"/><Relationship Id="rId72" Type="http://schemas.openxmlformats.org/officeDocument/2006/relationships/hyperlink" Target="https://us3.assetplanner.com/service_request?ID=103636" TargetMode="External"/><Relationship Id="rId93" Type="http://schemas.openxmlformats.org/officeDocument/2006/relationships/hyperlink" Target="https://us3.assetplanner.com/service_request?ID=102450" TargetMode="External"/><Relationship Id="rId98" Type="http://schemas.openxmlformats.org/officeDocument/2006/relationships/hyperlink" Target="https://us3.assetplanner.com/service_request?ID=102423" TargetMode="External"/></Relationships>
</file>

<file path=xl/worksheets/_rels/sheet12.xml.rels><?xml version="1.0" encoding="UTF-8" standalone="yes"?>
<Relationships xmlns="http://schemas.openxmlformats.org/package/2006/relationships"><Relationship Id="rId26" Type="http://schemas.openxmlformats.org/officeDocument/2006/relationships/hyperlink" Target="https://us3.assetplanner.com/service_request?ID=103686" TargetMode="External"/><Relationship Id="rId21" Type="http://schemas.openxmlformats.org/officeDocument/2006/relationships/hyperlink" Target="https://us3.assetplanner.com/service_request?ID=103900" TargetMode="External"/><Relationship Id="rId42" Type="http://schemas.openxmlformats.org/officeDocument/2006/relationships/hyperlink" Target="https://us3.assetplanner.com/service_request?ID=103375" TargetMode="External"/><Relationship Id="rId47" Type="http://schemas.openxmlformats.org/officeDocument/2006/relationships/hyperlink" Target="https://us3.assetplanner.com/service_request?ID=105205" TargetMode="External"/><Relationship Id="rId63" Type="http://schemas.openxmlformats.org/officeDocument/2006/relationships/hyperlink" Target="https://us3.assetplanner.com/service_request?ID=102283" TargetMode="External"/><Relationship Id="rId68" Type="http://schemas.openxmlformats.org/officeDocument/2006/relationships/hyperlink" Target="https://us3.assetplanner.com/service_request?ID=103636" TargetMode="External"/><Relationship Id="rId84" Type="http://schemas.openxmlformats.org/officeDocument/2006/relationships/hyperlink" Target="https://us3.assetplanner.com/service_request?ID=102310" TargetMode="External"/><Relationship Id="rId89" Type="http://schemas.openxmlformats.org/officeDocument/2006/relationships/hyperlink" Target="https://us3.assetplanner.com/service_request?ID=102820" TargetMode="External"/><Relationship Id="rId112" Type="http://schemas.openxmlformats.org/officeDocument/2006/relationships/hyperlink" Target="https://us3.assetplanner.com/service_request?ID=105155" TargetMode="External"/><Relationship Id="rId16" Type="http://schemas.openxmlformats.org/officeDocument/2006/relationships/hyperlink" Target="https://us3.assetplanner.com/service_request?ID=105212" TargetMode="External"/><Relationship Id="rId107" Type="http://schemas.openxmlformats.org/officeDocument/2006/relationships/hyperlink" Target="https://us3.assetplanner.com/service_request?ID=103946" TargetMode="External"/><Relationship Id="rId11" Type="http://schemas.openxmlformats.org/officeDocument/2006/relationships/hyperlink" Target="https://us3.assetplanner.com/service_request?ID=098870" TargetMode="External"/><Relationship Id="rId32" Type="http://schemas.openxmlformats.org/officeDocument/2006/relationships/hyperlink" Target="https://us3.assetplanner.com/service_request?ID=098016" TargetMode="External"/><Relationship Id="rId37" Type="http://schemas.openxmlformats.org/officeDocument/2006/relationships/hyperlink" Target="https://us3.assetplanner.com/service_request?ID=104192" TargetMode="External"/><Relationship Id="rId53" Type="http://schemas.openxmlformats.org/officeDocument/2006/relationships/hyperlink" Target="https://us3.assetplanner.com/service_request?ID=100915" TargetMode="External"/><Relationship Id="rId58" Type="http://schemas.openxmlformats.org/officeDocument/2006/relationships/hyperlink" Target="https://us3.assetplanner.com/service_request?ID=104643" TargetMode="External"/><Relationship Id="rId74" Type="http://schemas.openxmlformats.org/officeDocument/2006/relationships/hyperlink" Target="https://us3.assetplanner.com/service_request?ID=102286" TargetMode="External"/><Relationship Id="rId79" Type="http://schemas.openxmlformats.org/officeDocument/2006/relationships/hyperlink" Target="https://us3.assetplanner.com/service_request?ID=102329" TargetMode="External"/><Relationship Id="rId102" Type="http://schemas.openxmlformats.org/officeDocument/2006/relationships/hyperlink" Target="https://us3.assetplanner.com/service_request?ID=103866" TargetMode="External"/><Relationship Id="rId5" Type="http://schemas.openxmlformats.org/officeDocument/2006/relationships/hyperlink" Target="https://us3.assetplanner.com/service_request?ID=101243" TargetMode="External"/><Relationship Id="rId90" Type="http://schemas.openxmlformats.org/officeDocument/2006/relationships/hyperlink" Target="https://us3.assetplanner.com/service_request?ID=104290" TargetMode="External"/><Relationship Id="rId95" Type="http://schemas.openxmlformats.org/officeDocument/2006/relationships/hyperlink" Target="https://us3.assetplanner.com/service_request?ID=103869" TargetMode="External"/><Relationship Id="rId22" Type="http://schemas.openxmlformats.org/officeDocument/2006/relationships/hyperlink" Target="https://us3.assetplanner.com/service_request?ID=101919" TargetMode="External"/><Relationship Id="rId27" Type="http://schemas.openxmlformats.org/officeDocument/2006/relationships/hyperlink" Target="https://us3.assetplanner.com/service_request?ID=101068" TargetMode="External"/><Relationship Id="rId43" Type="http://schemas.openxmlformats.org/officeDocument/2006/relationships/hyperlink" Target="https://us3.assetplanner.com/service_request?ID=100883" TargetMode="External"/><Relationship Id="rId48" Type="http://schemas.openxmlformats.org/officeDocument/2006/relationships/hyperlink" Target="https://us3.assetplanner.com/service_request?ID=101034" TargetMode="External"/><Relationship Id="rId64" Type="http://schemas.openxmlformats.org/officeDocument/2006/relationships/hyperlink" Target="https://us3.assetplanner.com/service_request?ID=102418" TargetMode="External"/><Relationship Id="rId69" Type="http://schemas.openxmlformats.org/officeDocument/2006/relationships/hyperlink" Target="https://us3.assetplanner.com/service_request?ID=102321" TargetMode="External"/><Relationship Id="rId80" Type="http://schemas.openxmlformats.org/officeDocument/2006/relationships/hyperlink" Target="https://us3.assetplanner.com/service_request?ID=105139" TargetMode="External"/><Relationship Id="rId85" Type="http://schemas.openxmlformats.org/officeDocument/2006/relationships/hyperlink" Target="https://us3.assetplanner.com/service_request?ID=104289" TargetMode="External"/><Relationship Id="rId12" Type="http://schemas.openxmlformats.org/officeDocument/2006/relationships/hyperlink" Target="https://us3.assetplanner.com/service_request?ID=099461" TargetMode="External"/><Relationship Id="rId17" Type="http://schemas.openxmlformats.org/officeDocument/2006/relationships/hyperlink" Target="https://us3.assetplanner.com/service_request?ID=102644" TargetMode="External"/><Relationship Id="rId33" Type="http://schemas.openxmlformats.org/officeDocument/2006/relationships/hyperlink" Target="https://us3.assetplanner.com/service_request?ID=103914" TargetMode="External"/><Relationship Id="rId38" Type="http://schemas.openxmlformats.org/officeDocument/2006/relationships/hyperlink" Target="https://us3.assetplanner.com/service_request?ID=102794" TargetMode="External"/><Relationship Id="rId59" Type="http://schemas.openxmlformats.org/officeDocument/2006/relationships/hyperlink" Target="https://us3.assetplanner.com/service_request?ID=103517" TargetMode="External"/><Relationship Id="rId103" Type="http://schemas.openxmlformats.org/officeDocument/2006/relationships/hyperlink" Target="https://us3.assetplanner.com/service_request?ID=104456" TargetMode="External"/><Relationship Id="rId108" Type="http://schemas.openxmlformats.org/officeDocument/2006/relationships/hyperlink" Target="https://us3.assetplanner.com/service_request?ID=104855" TargetMode="External"/><Relationship Id="rId54" Type="http://schemas.openxmlformats.org/officeDocument/2006/relationships/hyperlink" Target="https://us3.assetplanner.com/service_request?ID=105366" TargetMode="External"/><Relationship Id="rId70" Type="http://schemas.openxmlformats.org/officeDocument/2006/relationships/hyperlink" Target="https://us3.assetplanner.com/service_request?ID=102539" TargetMode="External"/><Relationship Id="rId75" Type="http://schemas.openxmlformats.org/officeDocument/2006/relationships/hyperlink" Target="https://us3.assetplanner.com/service_request?ID=102281" TargetMode="External"/><Relationship Id="rId91" Type="http://schemas.openxmlformats.org/officeDocument/2006/relationships/hyperlink" Target="https://us3.assetplanner.com/service_request?ID=102424" TargetMode="External"/><Relationship Id="rId96" Type="http://schemas.openxmlformats.org/officeDocument/2006/relationships/hyperlink" Target="https://us3.assetplanner.com/service_request?ID=104043"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101245" TargetMode="External"/><Relationship Id="rId15" Type="http://schemas.openxmlformats.org/officeDocument/2006/relationships/hyperlink" Target="https://us3.assetplanner.com/service_request?ID=102343" TargetMode="External"/><Relationship Id="rId23" Type="http://schemas.openxmlformats.org/officeDocument/2006/relationships/hyperlink" Target="https://us3.assetplanner.com/service_request?ID=104742" TargetMode="External"/><Relationship Id="rId28" Type="http://schemas.openxmlformats.org/officeDocument/2006/relationships/hyperlink" Target="https://us3.assetplanner.com/service_request?ID=099730" TargetMode="External"/><Relationship Id="rId36" Type="http://schemas.openxmlformats.org/officeDocument/2006/relationships/hyperlink" Target="https://us3.assetplanner.com/service_request?ID=104147" TargetMode="External"/><Relationship Id="rId49" Type="http://schemas.openxmlformats.org/officeDocument/2006/relationships/hyperlink" Target="https://us3.assetplanner.com/service_request?ID=103779" TargetMode="External"/><Relationship Id="rId57" Type="http://schemas.openxmlformats.org/officeDocument/2006/relationships/hyperlink" Target="https://us3.assetplanner.com/service_request?ID=104170" TargetMode="External"/><Relationship Id="rId106" Type="http://schemas.openxmlformats.org/officeDocument/2006/relationships/hyperlink" Target="https://us3.assetplanner.com/service_request?ID=103946" TargetMode="External"/><Relationship Id="rId10" Type="http://schemas.openxmlformats.org/officeDocument/2006/relationships/hyperlink" Target="https://us3.assetplanner.com/service_request?ID=099066" TargetMode="External"/><Relationship Id="rId31" Type="http://schemas.openxmlformats.org/officeDocument/2006/relationships/hyperlink" Target="https://us3.assetplanner.com/service_request?ID=099500" TargetMode="External"/><Relationship Id="rId44" Type="http://schemas.openxmlformats.org/officeDocument/2006/relationships/hyperlink" Target="https://us3.assetplanner.com/service_request?ID=103638" TargetMode="External"/><Relationship Id="rId52" Type="http://schemas.openxmlformats.org/officeDocument/2006/relationships/hyperlink" Target="https://us3.assetplanner.com/service_request?ID=104390" TargetMode="External"/><Relationship Id="rId60" Type="http://schemas.openxmlformats.org/officeDocument/2006/relationships/hyperlink" Target="https://us3.assetplanner.com/service_request?ID=101057" TargetMode="External"/><Relationship Id="rId65" Type="http://schemas.openxmlformats.org/officeDocument/2006/relationships/hyperlink" Target="https://us3.assetplanner.com/service_request?ID=102416" TargetMode="External"/><Relationship Id="rId73" Type="http://schemas.openxmlformats.org/officeDocument/2006/relationships/hyperlink" Target="https://us3.assetplanner.com/service_request?ID=102315" TargetMode="External"/><Relationship Id="rId78" Type="http://schemas.openxmlformats.org/officeDocument/2006/relationships/hyperlink" Target="https://us3.assetplanner.com/service_request?ID=102451" TargetMode="External"/><Relationship Id="rId81" Type="http://schemas.openxmlformats.org/officeDocument/2006/relationships/hyperlink" Target="https://us3.assetplanner.com/service_request?ID=102303" TargetMode="External"/><Relationship Id="rId86" Type="http://schemas.openxmlformats.org/officeDocument/2006/relationships/hyperlink" Target="https://us3.assetplanner.com/service_request?ID=102450" TargetMode="External"/><Relationship Id="rId94" Type="http://schemas.openxmlformats.org/officeDocument/2006/relationships/hyperlink" Target="https://us3.assetplanner.com/service_request?ID=102420" TargetMode="External"/><Relationship Id="rId99" Type="http://schemas.openxmlformats.org/officeDocument/2006/relationships/hyperlink" Target="https://us3.assetplanner.com/service_request?ID=103868" TargetMode="External"/><Relationship Id="rId101" Type="http://schemas.openxmlformats.org/officeDocument/2006/relationships/hyperlink" Target="https://us3.assetplanner.com/service_request?ID=103867" TargetMode="External"/><Relationship Id="rId4" Type="http://schemas.openxmlformats.org/officeDocument/2006/relationships/hyperlink" Target="https://us3.assetplanner.com/service_request?ID=101243" TargetMode="External"/><Relationship Id="rId9" Type="http://schemas.openxmlformats.org/officeDocument/2006/relationships/hyperlink" Target="https://us3.assetplanner.com/service_request?ID=096262" TargetMode="External"/><Relationship Id="rId13" Type="http://schemas.openxmlformats.org/officeDocument/2006/relationships/hyperlink" Target="https://us3.assetplanner.com/service_request?ID=104023" TargetMode="External"/><Relationship Id="rId18" Type="http://schemas.openxmlformats.org/officeDocument/2006/relationships/hyperlink" Target="https://us3.assetplanner.com/service_request?ID=102209" TargetMode="External"/><Relationship Id="rId39" Type="http://schemas.openxmlformats.org/officeDocument/2006/relationships/hyperlink" Target="https://us3.assetplanner.com/service_request?ID=103335" TargetMode="External"/><Relationship Id="rId109" Type="http://schemas.openxmlformats.org/officeDocument/2006/relationships/hyperlink" Target="https://us3.assetplanner.com/service_request?ID=102281" TargetMode="External"/><Relationship Id="rId34" Type="http://schemas.openxmlformats.org/officeDocument/2006/relationships/hyperlink" Target="https://us3.assetplanner.com/service_request?ID=%2009801" TargetMode="External"/><Relationship Id="rId50" Type="http://schemas.openxmlformats.org/officeDocument/2006/relationships/hyperlink" Target="https://us3.assetplanner.com/service_request?ID=102621" TargetMode="External"/><Relationship Id="rId55" Type="http://schemas.openxmlformats.org/officeDocument/2006/relationships/hyperlink" Target="https://us3.assetplanner.com/service_request?ID=101100" TargetMode="External"/><Relationship Id="rId76" Type="http://schemas.openxmlformats.org/officeDocument/2006/relationships/hyperlink" Target="https://us3.assetplanner.com/service_request?ID=102503" TargetMode="External"/><Relationship Id="rId97" Type="http://schemas.openxmlformats.org/officeDocument/2006/relationships/hyperlink" Target="https://us3.assetplanner.com/service_request?ID=104043" TargetMode="External"/><Relationship Id="rId104" Type="http://schemas.openxmlformats.org/officeDocument/2006/relationships/hyperlink" Target="https://us3.assetplanner.com/service_request?ID=103944" TargetMode="External"/><Relationship Id="rId7" Type="http://schemas.openxmlformats.org/officeDocument/2006/relationships/hyperlink" Target="https://us3.assetplanner.com/service_request?ID=104647" TargetMode="External"/><Relationship Id="rId71" Type="http://schemas.openxmlformats.org/officeDocument/2006/relationships/hyperlink" Target="https://us3.assetplanner.com/service_request?ID=102320" TargetMode="External"/><Relationship Id="rId92" Type="http://schemas.openxmlformats.org/officeDocument/2006/relationships/hyperlink" Target="https://us3.assetplanner.com/service_request?ID=102423" TargetMode="External"/><Relationship Id="rId2" Type="http://schemas.openxmlformats.org/officeDocument/2006/relationships/hyperlink" Target="https://us3.assetplanner.com/service_request?ID=101243" TargetMode="External"/><Relationship Id="rId29" Type="http://schemas.openxmlformats.org/officeDocument/2006/relationships/hyperlink" Target="https://us3.assetplanner.com/service_request?ID=103950" TargetMode="External"/><Relationship Id="rId24" Type="http://schemas.openxmlformats.org/officeDocument/2006/relationships/hyperlink" Target="https://us3.assetplanner.com/service_request?ID=103239" TargetMode="External"/><Relationship Id="rId40" Type="http://schemas.openxmlformats.org/officeDocument/2006/relationships/hyperlink" Target="https://us3.assetplanner.com/service_request?ID=102723" TargetMode="External"/><Relationship Id="rId45" Type="http://schemas.openxmlformats.org/officeDocument/2006/relationships/hyperlink" Target="https://us3.assetplanner.com/service_request?ID=101963" TargetMode="External"/><Relationship Id="rId66" Type="http://schemas.openxmlformats.org/officeDocument/2006/relationships/hyperlink" Target="https://us3.assetplanner.com/service_request?ID=102392" TargetMode="External"/><Relationship Id="rId87" Type="http://schemas.openxmlformats.org/officeDocument/2006/relationships/hyperlink" Target="https://us3.assetplanner.com/service_request?ID=102413" TargetMode="External"/><Relationship Id="rId110" Type="http://schemas.openxmlformats.org/officeDocument/2006/relationships/hyperlink" Target="https://us3.assetplanner.com/service_request?ID=103947" TargetMode="External"/><Relationship Id="rId61" Type="http://schemas.openxmlformats.org/officeDocument/2006/relationships/hyperlink" Target="https://us3.assetplanner.com/service_request?ID=102419" TargetMode="External"/><Relationship Id="rId82" Type="http://schemas.openxmlformats.org/officeDocument/2006/relationships/hyperlink" Target="https://us3.assetplanner.com/service_request?ID=102411" TargetMode="External"/><Relationship Id="rId19" Type="http://schemas.openxmlformats.org/officeDocument/2006/relationships/hyperlink" Target="https://us3.assetplanner.com/service_request?ID=103184" TargetMode="External"/><Relationship Id="rId14" Type="http://schemas.openxmlformats.org/officeDocument/2006/relationships/hyperlink" Target="https://us3.assetplanner.com/service_request?ID=104137" TargetMode="External"/><Relationship Id="rId30" Type="http://schemas.openxmlformats.org/officeDocument/2006/relationships/hyperlink" Target="https://us3.assetplanner.com/service_request?ID=102316" TargetMode="External"/><Relationship Id="rId35" Type="http://schemas.openxmlformats.org/officeDocument/2006/relationships/hyperlink" Target="https://us3.assetplanner.com/service_request?ID=103124" TargetMode="External"/><Relationship Id="rId56" Type="http://schemas.openxmlformats.org/officeDocument/2006/relationships/hyperlink" Target="https://us3.assetplanner.com/service_request?ID=105192" TargetMode="External"/><Relationship Id="rId77" Type="http://schemas.openxmlformats.org/officeDocument/2006/relationships/hyperlink" Target="https://us3.assetplanner.com/service_request?ID=101986" TargetMode="External"/><Relationship Id="rId100" Type="http://schemas.openxmlformats.org/officeDocument/2006/relationships/hyperlink" Target="https://us3.assetplanner.com/service_request?ID=104231" TargetMode="External"/><Relationship Id="rId105" Type="http://schemas.openxmlformats.org/officeDocument/2006/relationships/hyperlink" Target="https://us3.assetplanner.com/service_request?ID=104776" TargetMode="External"/><Relationship Id="rId8" Type="http://schemas.openxmlformats.org/officeDocument/2006/relationships/hyperlink" Target="https://us3.assetplanner.com/service_request?ID=103481" TargetMode="External"/><Relationship Id="rId51" Type="http://schemas.openxmlformats.org/officeDocument/2006/relationships/hyperlink" Target="https://us3.assetplanner.com/service_request?ID=101021" TargetMode="External"/><Relationship Id="rId72" Type="http://schemas.openxmlformats.org/officeDocument/2006/relationships/hyperlink" Target="https://us3.assetplanner.com/service_request?ID=102317" TargetMode="External"/><Relationship Id="rId93" Type="http://schemas.openxmlformats.org/officeDocument/2006/relationships/hyperlink" Target="https://us3.assetplanner.com/service_request?ID=102421" TargetMode="External"/><Relationship Id="rId98" Type="http://schemas.openxmlformats.org/officeDocument/2006/relationships/hyperlink" Target="https://us3.assetplanner.com/service_request?ID=104246" TargetMode="External"/><Relationship Id="rId3" Type="http://schemas.openxmlformats.org/officeDocument/2006/relationships/hyperlink" Target="https://us3.assetplanner.com/service_request?ID=101243" TargetMode="External"/><Relationship Id="rId25" Type="http://schemas.openxmlformats.org/officeDocument/2006/relationships/hyperlink" Target="https://us3.assetplanner.com/service_request?ID=103048" TargetMode="External"/><Relationship Id="rId46" Type="http://schemas.openxmlformats.org/officeDocument/2006/relationships/hyperlink" Target="https://us3.assetplanner.com/service_request?ID=101818" TargetMode="External"/><Relationship Id="rId67" Type="http://schemas.openxmlformats.org/officeDocument/2006/relationships/hyperlink" Target="https://us3.assetplanner.com/service_request?ID=104882" TargetMode="External"/><Relationship Id="rId20" Type="http://schemas.openxmlformats.org/officeDocument/2006/relationships/hyperlink" Target="https://us3.assetplanner.com/service_request?ID=103740" TargetMode="External"/><Relationship Id="rId41" Type="http://schemas.openxmlformats.org/officeDocument/2006/relationships/hyperlink" Target="https://us3.assetplanner.com/service_request?ID=105641" TargetMode="External"/><Relationship Id="rId62" Type="http://schemas.openxmlformats.org/officeDocument/2006/relationships/hyperlink" Target="https://us3.assetplanner.com/service_request?ID=103160" TargetMode="External"/><Relationship Id="rId83" Type="http://schemas.openxmlformats.org/officeDocument/2006/relationships/hyperlink" Target="https://us3.assetplanner.com/service_request?ID=102403" TargetMode="External"/><Relationship Id="rId88" Type="http://schemas.openxmlformats.org/officeDocument/2006/relationships/hyperlink" Target="https://us3.assetplanner.com/service_request?ID=102425" TargetMode="External"/><Relationship Id="rId111" Type="http://schemas.openxmlformats.org/officeDocument/2006/relationships/hyperlink" Target="https://us3.assetplanner.com/service_request?ID=104665" TargetMode="External"/></Relationships>
</file>

<file path=xl/worksheets/_rels/sheet13.xml.rels><?xml version="1.0" encoding="UTF-8" standalone="yes"?>
<Relationships xmlns="http://schemas.openxmlformats.org/package/2006/relationships"><Relationship Id="rId26" Type="http://schemas.openxmlformats.org/officeDocument/2006/relationships/hyperlink" Target="https://us3.assetplanner.com/service_request?ID=106719" TargetMode="External"/><Relationship Id="rId117" Type="http://schemas.openxmlformats.org/officeDocument/2006/relationships/hyperlink" Target="https://us3.assetplanner.com/service_request?ID=102281" TargetMode="External"/><Relationship Id="rId21" Type="http://schemas.openxmlformats.org/officeDocument/2006/relationships/hyperlink" Target="https://us3.assetplanner.com/service_request?ID=103048" TargetMode="External"/><Relationship Id="rId42" Type="http://schemas.openxmlformats.org/officeDocument/2006/relationships/hyperlink" Target="https://us3.assetplanner.com/service_request?ID=102794" TargetMode="External"/><Relationship Id="rId47" Type="http://schemas.openxmlformats.org/officeDocument/2006/relationships/hyperlink" Target="https://us3.assetplanner.com/service_request?ID=106082" TargetMode="External"/><Relationship Id="rId63" Type="http://schemas.openxmlformats.org/officeDocument/2006/relationships/hyperlink" Target="https://us3.assetplanner.com/service_request?ID=102419" TargetMode="External"/><Relationship Id="rId68" Type="http://schemas.openxmlformats.org/officeDocument/2006/relationships/hyperlink" Target="https://us3.assetplanner.com/service_request?ID=102416" TargetMode="External"/><Relationship Id="rId84" Type="http://schemas.openxmlformats.org/officeDocument/2006/relationships/hyperlink" Target="https://us3.assetplanner.com/service_request?ID=102329" TargetMode="External"/><Relationship Id="rId89" Type="http://schemas.openxmlformats.org/officeDocument/2006/relationships/hyperlink" Target="https://us3.assetplanner.com/service_request?ID=104289" TargetMode="External"/><Relationship Id="rId112" Type="http://schemas.openxmlformats.org/officeDocument/2006/relationships/hyperlink" Target="https://us3.assetplanner.com/service_request?ID=103944" TargetMode="External"/><Relationship Id="rId16" Type="http://schemas.openxmlformats.org/officeDocument/2006/relationships/hyperlink" Target="https://us3.assetplanner.com/service_request?ID=103184" TargetMode="External"/><Relationship Id="rId107" Type="http://schemas.openxmlformats.org/officeDocument/2006/relationships/hyperlink" Target="https://us3.assetplanner.com/service_request?ID=106301" TargetMode="External"/><Relationship Id="rId11" Type="http://schemas.openxmlformats.org/officeDocument/2006/relationships/hyperlink" Target="https://us3.assetplanner.com/service_request?ID=105956" TargetMode="External"/><Relationship Id="rId32" Type="http://schemas.openxmlformats.org/officeDocument/2006/relationships/hyperlink" Target="https://us3.assetplanner.com/service_request?ID=104827" TargetMode="External"/><Relationship Id="rId37" Type="http://schemas.openxmlformats.org/officeDocument/2006/relationships/hyperlink" Target="https://us3.assetplanner.com/service_request?ID=102316" TargetMode="External"/><Relationship Id="rId53" Type="http://schemas.openxmlformats.org/officeDocument/2006/relationships/hyperlink" Target="https://us3.assetplanner.com/service_request?ID=103779" TargetMode="External"/><Relationship Id="rId58" Type="http://schemas.openxmlformats.org/officeDocument/2006/relationships/hyperlink" Target="https://us3.assetplanner.com/service_request?ID=101100" TargetMode="External"/><Relationship Id="rId74" Type="http://schemas.openxmlformats.org/officeDocument/2006/relationships/hyperlink" Target="https://us3.assetplanner.com/service_request?ID=102317" TargetMode="External"/><Relationship Id="rId79" Type="http://schemas.openxmlformats.org/officeDocument/2006/relationships/hyperlink" Target="https://us3.assetplanner.com/service_request?ID=106885" TargetMode="External"/><Relationship Id="rId102" Type="http://schemas.openxmlformats.org/officeDocument/2006/relationships/hyperlink" Target="https://us3.assetplanner.com/service_request?ID=106520" TargetMode="External"/><Relationship Id="rId123" Type="http://schemas.openxmlformats.org/officeDocument/2006/relationships/hyperlink" Target="https://us3.assetplanner.com/service_request?ID=102320" TargetMode="External"/><Relationship Id="rId5" Type="http://schemas.openxmlformats.org/officeDocument/2006/relationships/hyperlink" Target="https://us3.assetplanner.com/service_request?ID=096262" TargetMode="External"/><Relationship Id="rId90" Type="http://schemas.openxmlformats.org/officeDocument/2006/relationships/hyperlink" Target="https://us3.assetplanner.com/service_request?ID=102413" TargetMode="External"/><Relationship Id="rId95" Type="http://schemas.openxmlformats.org/officeDocument/2006/relationships/hyperlink" Target="https://us3.assetplanner.com/service_request?ID=102424" TargetMode="External"/><Relationship Id="rId22" Type="http://schemas.openxmlformats.org/officeDocument/2006/relationships/hyperlink" Target="https://us3.assetplanner.com/service_request?ID=103686" TargetMode="External"/><Relationship Id="rId27" Type="http://schemas.openxmlformats.org/officeDocument/2006/relationships/hyperlink" Target="https://us3.assetplanner.com/service_request?ID=104823" TargetMode="External"/><Relationship Id="rId43" Type="http://schemas.openxmlformats.org/officeDocument/2006/relationships/hyperlink" Target="https://us3.assetplanner.com/service_request?ID=105489" TargetMode="External"/><Relationship Id="rId48" Type="http://schemas.openxmlformats.org/officeDocument/2006/relationships/hyperlink" Target="https://us3.assetplanner.com/service_request?ID=100857" TargetMode="External"/><Relationship Id="rId64" Type="http://schemas.openxmlformats.org/officeDocument/2006/relationships/hyperlink" Target="https://us3.assetplanner.com/service_request?ID=107209" TargetMode="External"/><Relationship Id="rId69" Type="http://schemas.openxmlformats.org/officeDocument/2006/relationships/hyperlink" Target="https://us3.assetplanner.com/service_request?ID=102392" TargetMode="External"/><Relationship Id="rId113" Type="http://schemas.openxmlformats.org/officeDocument/2006/relationships/hyperlink" Target="https://us3.assetplanner.com/service_request?ID=106611" TargetMode="External"/><Relationship Id="rId118" Type="http://schemas.openxmlformats.org/officeDocument/2006/relationships/hyperlink" Target="https://us3.assetplanner.com/service_request?ID=104665" TargetMode="External"/><Relationship Id="rId80" Type="http://schemas.openxmlformats.org/officeDocument/2006/relationships/hyperlink" Target="https://us3.assetplanner.com/service_request?ID=101986" TargetMode="External"/><Relationship Id="rId85" Type="http://schemas.openxmlformats.org/officeDocument/2006/relationships/hyperlink" Target="https://us3.assetplanner.com/service_request?ID=102303" TargetMode="External"/><Relationship Id="rId12" Type="http://schemas.openxmlformats.org/officeDocument/2006/relationships/hyperlink" Target="https://us3.assetplanner.com/service_request?ID=106384" TargetMode="External"/><Relationship Id="rId17" Type="http://schemas.openxmlformats.org/officeDocument/2006/relationships/hyperlink" Target="https://us3.assetplanner.com/service_request?ID=103740" TargetMode="External"/><Relationship Id="rId33" Type="http://schemas.openxmlformats.org/officeDocument/2006/relationships/hyperlink" Target="https://us3.assetplanner.com/service_request?ID=104829" TargetMode="External"/><Relationship Id="rId38" Type="http://schemas.openxmlformats.org/officeDocument/2006/relationships/hyperlink" Target="https://us3.assetplanner.com/service_request?ID=099500" TargetMode="External"/><Relationship Id="rId59" Type="http://schemas.openxmlformats.org/officeDocument/2006/relationships/hyperlink" Target="https://us3.assetplanner.com/service_request?ID=105192" TargetMode="External"/><Relationship Id="rId103" Type="http://schemas.openxmlformats.org/officeDocument/2006/relationships/hyperlink" Target="https://us3.assetplanner.com/service_request?ID=104246" TargetMode="External"/><Relationship Id="rId108" Type="http://schemas.openxmlformats.org/officeDocument/2006/relationships/hyperlink" Target="https://us3.assetplanner.com/service_request?ID=103867" TargetMode="External"/><Relationship Id="rId54" Type="http://schemas.openxmlformats.org/officeDocument/2006/relationships/hyperlink" Target="https://us3.assetplanner.com/service_request?ID=102621" TargetMode="External"/><Relationship Id="rId70" Type="http://schemas.openxmlformats.org/officeDocument/2006/relationships/hyperlink" Target="https://us3.assetplanner.com/service_request?ID=102321" TargetMode="External"/><Relationship Id="rId75" Type="http://schemas.openxmlformats.org/officeDocument/2006/relationships/hyperlink" Target="https://us3.assetplanner.com/service_request?ID=105794" TargetMode="External"/><Relationship Id="rId91" Type="http://schemas.openxmlformats.org/officeDocument/2006/relationships/hyperlink" Target="https://us3.assetplanner.com/service_request?ID=102425" TargetMode="External"/><Relationship Id="rId96" Type="http://schemas.openxmlformats.org/officeDocument/2006/relationships/hyperlink" Target="https://us3.assetplanner.com/service_request?ID=102423" TargetMode="External"/><Relationship Id="rId1" Type="http://schemas.openxmlformats.org/officeDocument/2006/relationships/hyperlink" Target="https://us3.assetplanner.com/service_request?ID=099290" TargetMode="External"/><Relationship Id="rId6" Type="http://schemas.openxmlformats.org/officeDocument/2006/relationships/hyperlink" Target="https://us3.assetplanner.com/service_request?ID=099066" TargetMode="External"/><Relationship Id="rId23" Type="http://schemas.openxmlformats.org/officeDocument/2006/relationships/hyperlink" Target="https://us3.assetplanner.com/service_request?ID=105968" TargetMode="External"/><Relationship Id="rId28" Type="http://schemas.openxmlformats.org/officeDocument/2006/relationships/hyperlink" Target="https://us3.assetplanner.com/service_request?ID=104824" TargetMode="External"/><Relationship Id="rId49" Type="http://schemas.openxmlformats.org/officeDocument/2006/relationships/hyperlink" Target="https://us3.assetplanner.com/service_request?ID=101963" TargetMode="External"/><Relationship Id="rId114" Type="http://schemas.openxmlformats.org/officeDocument/2006/relationships/hyperlink" Target="https://us3.assetplanner.com/service_request?ID=103946" TargetMode="External"/><Relationship Id="rId119" Type="http://schemas.openxmlformats.org/officeDocument/2006/relationships/hyperlink" Target="https://us3.assetplanner.com/service_request?ID=105155" TargetMode="External"/><Relationship Id="rId44" Type="http://schemas.openxmlformats.org/officeDocument/2006/relationships/hyperlink" Target="https://us3.assetplanner.com/service_request?ID=105973" TargetMode="External"/><Relationship Id="rId60" Type="http://schemas.openxmlformats.org/officeDocument/2006/relationships/hyperlink" Target="https://us3.assetplanner.com/service_request?ID=105872" TargetMode="External"/><Relationship Id="rId65" Type="http://schemas.openxmlformats.org/officeDocument/2006/relationships/hyperlink" Target="https://us3.assetplanner.com/service_request?ID=106774" TargetMode="External"/><Relationship Id="rId81" Type="http://schemas.openxmlformats.org/officeDocument/2006/relationships/hyperlink" Target="https://us3.assetplanner.com/service_request?ID=102451" TargetMode="External"/><Relationship Id="rId86" Type="http://schemas.openxmlformats.org/officeDocument/2006/relationships/hyperlink" Target="https://us3.assetplanner.com/service_request?ID=102411" TargetMode="External"/><Relationship Id="rId4" Type="http://schemas.openxmlformats.org/officeDocument/2006/relationships/hyperlink" Target="https://us3.assetplanner.com/service_request?ID=101245" TargetMode="External"/><Relationship Id="rId9" Type="http://schemas.openxmlformats.org/officeDocument/2006/relationships/hyperlink" Target="https://us3.assetplanner.com/service_request?ID=104023" TargetMode="External"/><Relationship Id="rId13" Type="http://schemas.openxmlformats.org/officeDocument/2006/relationships/hyperlink" Target="https://us3.assetplanner.com/service_request?ID=107143" TargetMode="External"/><Relationship Id="rId18" Type="http://schemas.openxmlformats.org/officeDocument/2006/relationships/hyperlink" Target="https://us3.assetplanner.com/service_request?ID=106599" TargetMode="External"/><Relationship Id="rId39" Type="http://schemas.openxmlformats.org/officeDocument/2006/relationships/hyperlink" Target="https://us3.assetplanner.com/service_request?ID=098016" TargetMode="External"/><Relationship Id="rId109" Type="http://schemas.openxmlformats.org/officeDocument/2006/relationships/hyperlink" Target="https://us3.assetplanner.com/service_request?ID=103866" TargetMode="External"/><Relationship Id="rId34" Type="http://schemas.openxmlformats.org/officeDocument/2006/relationships/hyperlink" Target="https://us3.assetplanner.com/service_request?ID=104831" TargetMode="External"/><Relationship Id="rId50" Type="http://schemas.openxmlformats.org/officeDocument/2006/relationships/hyperlink" Target="https://us3.assetplanner.com/service_request?ID=101818" TargetMode="External"/><Relationship Id="rId55" Type="http://schemas.openxmlformats.org/officeDocument/2006/relationships/hyperlink" Target="https://us3.assetplanner.com/service_request?ID=101021" TargetMode="External"/><Relationship Id="rId76" Type="http://schemas.openxmlformats.org/officeDocument/2006/relationships/hyperlink" Target="https://us3.assetplanner.com/service_request?ID=106474" TargetMode="External"/><Relationship Id="rId97" Type="http://schemas.openxmlformats.org/officeDocument/2006/relationships/hyperlink" Target="https://us3.assetplanner.com/service_request?ID=102421" TargetMode="External"/><Relationship Id="rId104" Type="http://schemas.openxmlformats.org/officeDocument/2006/relationships/hyperlink" Target="https://us3.assetplanner.com/service_request?ID=104246" TargetMode="External"/><Relationship Id="rId120" Type="http://schemas.openxmlformats.org/officeDocument/2006/relationships/hyperlink" Target="https://us3.assetplanner.com/service_request?ID=106781" TargetMode="External"/><Relationship Id="rId7" Type="http://schemas.openxmlformats.org/officeDocument/2006/relationships/hyperlink" Target="https://us3.assetplanner.com/service_request?ID=098870" TargetMode="External"/><Relationship Id="rId71" Type="http://schemas.openxmlformats.org/officeDocument/2006/relationships/hyperlink" Target="https://us3.assetplanner.com/service_request?ID=103636" TargetMode="External"/><Relationship Id="rId92" Type="http://schemas.openxmlformats.org/officeDocument/2006/relationships/hyperlink" Target="https://us3.assetplanner.com/service_request?ID=106842" TargetMode="External"/><Relationship Id="rId2" Type="http://schemas.openxmlformats.org/officeDocument/2006/relationships/hyperlink" Target="https://us3.assetplanner.com/service_request?ID=105924" TargetMode="External"/><Relationship Id="rId29" Type="http://schemas.openxmlformats.org/officeDocument/2006/relationships/hyperlink" Target="https://us3.assetplanner.com/service_request?ID=104825" TargetMode="External"/><Relationship Id="rId24" Type="http://schemas.openxmlformats.org/officeDocument/2006/relationships/hyperlink" Target="https://us3.assetplanner.com/service_request?ID=106026" TargetMode="External"/><Relationship Id="rId40" Type="http://schemas.openxmlformats.org/officeDocument/2006/relationships/hyperlink" Target="https://us3.assetplanner.com/service_request?ID=103914" TargetMode="External"/><Relationship Id="rId45" Type="http://schemas.openxmlformats.org/officeDocument/2006/relationships/hyperlink" Target="https://us3.assetplanner.com/service_request?ID=102723" TargetMode="External"/><Relationship Id="rId66" Type="http://schemas.openxmlformats.org/officeDocument/2006/relationships/hyperlink" Target="https://us3.assetplanner.com/service_request?ID=102283" TargetMode="External"/><Relationship Id="rId87" Type="http://schemas.openxmlformats.org/officeDocument/2006/relationships/hyperlink" Target="https://us3.assetplanner.com/service_request?ID=106531" TargetMode="External"/><Relationship Id="rId110" Type="http://schemas.openxmlformats.org/officeDocument/2006/relationships/hyperlink" Target="https://us3.assetplanner.com/service_request?ID=104456" TargetMode="External"/><Relationship Id="rId115" Type="http://schemas.openxmlformats.org/officeDocument/2006/relationships/hyperlink" Target="https://us3.assetplanner.com/service_request?ID=103946" TargetMode="External"/><Relationship Id="rId61" Type="http://schemas.openxmlformats.org/officeDocument/2006/relationships/hyperlink" Target="https://us3.assetplanner.com/service_request?ID=106435" TargetMode="External"/><Relationship Id="rId82" Type="http://schemas.openxmlformats.org/officeDocument/2006/relationships/hyperlink" Target="https://us3.assetplanner.com/service_request?ID=106828" TargetMode="External"/><Relationship Id="rId19" Type="http://schemas.openxmlformats.org/officeDocument/2006/relationships/hyperlink" Target="https://us3.assetplanner.com/service_request?ID=106946" TargetMode="External"/><Relationship Id="rId14" Type="http://schemas.openxmlformats.org/officeDocument/2006/relationships/hyperlink" Target="https://us3.assetplanner.com/service_request?ID=100417" TargetMode="External"/><Relationship Id="rId30" Type="http://schemas.openxmlformats.org/officeDocument/2006/relationships/hyperlink" Target="https://us3.assetplanner.com/service_request?ID=104826" TargetMode="External"/><Relationship Id="rId35" Type="http://schemas.openxmlformats.org/officeDocument/2006/relationships/hyperlink" Target="https://us3.assetplanner.com/service_request?ID=104832" TargetMode="External"/><Relationship Id="rId56" Type="http://schemas.openxmlformats.org/officeDocument/2006/relationships/hyperlink" Target="https://us3.assetplanner.com/service_request?ID=100915" TargetMode="External"/><Relationship Id="rId77" Type="http://schemas.openxmlformats.org/officeDocument/2006/relationships/hyperlink" Target="https://us3.assetplanner.com/service_request?ID=102286" TargetMode="External"/><Relationship Id="rId100" Type="http://schemas.openxmlformats.org/officeDocument/2006/relationships/hyperlink" Target="https://us3.assetplanner.com/service_request?ID=107145" TargetMode="External"/><Relationship Id="rId105" Type="http://schemas.openxmlformats.org/officeDocument/2006/relationships/hyperlink" Target="https://us3.assetplanner.com/service_request?ID=103869" TargetMode="External"/><Relationship Id="rId8" Type="http://schemas.openxmlformats.org/officeDocument/2006/relationships/hyperlink" Target="https://us3.assetplanner.com/service_request?ID=099461" TargetMode="External"/><Relationship Id="rId51" Type="http://schemas.openxmlformats.org/officeDocument/2006/relationships/hyperlink" Target="https://us3.assetplanner.com/service_request?ID=105928" TargetMode="External"/><Relationship Id="rId72" Type="http://schemas.openxmlformats.org/officeDocument/2006/relationships/hyperlink" Target="https://us3.assetplanner.com/service_request?ID=102539" TargetMode="External"/><Relationship Id="rId93" Type="http://schemas.openxmlformats.org/officeDocument/2006/relationships/hyperlink" Target="https://us3.assetplanner.com/service_request?ID=104290" TargetMode="External"/><Relationship Id="rId98" Type="http://schemas.openxmlformats.org/officeDocument/2006/relationships/hyperlink" Target="https://us3.assetplanner.com/service_request?ID=102420" TargetMode="External"/><Relationship Id="rId121" Type="http://schemas.openxmlformats.org/officeDocument/2006/relationships/hyperlink" Target="https://us3.assetplanner.com/service_request?ID=107162" TargetMode="External"/><Relationship Id="rId3" Type="http://schemas.openxmlformats.org/officeDocument/2006/relationships/hyperlink" Target="https://us3.assetplanner.com/service_request?ID=101243" TargetMode="External"/><Relationship Id="rId25" Type="http://schemas.openxmlformats.org/officeDocument/2006/relationships/hyperlink" Target="https://us3.assetplanner.com/service_request?ID=099730" TargetMode="External"/><Relationship Id="rId46" Type="http://schemas.openxmlformats.org/officeDocument/2006/relationships/hyperlink" Target="https://us3.assetplanner.com/service_request?ID=105641" TargetMode="External"/><Relationship Id="rId67" Type="http://schemas.openxmlformats.org/officeDocument/2006/relationships/hyperlink" Target="https://us3.assetplanner.com/service_request?ID=102418" TargetMode="External"/><Relationship Id="rId116" Type="http://schemas.openxmlformats.org/officeDocument/2006/relationships/hyperlink" Target="https://us3.assetplanner.com/service_request?ID=104855" TargetMode="External"/><Relationship Id="rId20" Type="http://schemas.openxmlformats.org/officeDocument/2006/relationships/hyperlink" Target="https://us3.assetplanner.com/service_request?ID=103239" TargetMode="External"/><Relationship Id="rId41" Type="http://schemas.openxmlformats.org/officeDocument/2006/relationships/hyperlink" Target="https://us3.assetplanner.com/service_request?ID=104192" TargetMode="External"/><Relationship Id="rId62" Type="http://schemas.openxmlformats.org/officeDocument/2006/relationships/hyperlink" Target="https://us3.assetplanner.com/service_request?ID=106650" TargetMode="External"/><Relationship Id="rId83" Type="http://schemas.openxmlformats.org/officeDocument/2006/relationships/hyperlink" Target="https://us3.assetplanner.com/service_request?ID=105139" TargetMode="External"/><Relationship Id="rId88" Type="http://schemas.openxmlformats.org/officeDocument/2006/relationships/hyperlink" Target="https://us3.assetplanner.com/service_request?ID=102310" TargetMode="External"/><Relationship Id="rId111" Type="http://schemas.openxmlformats.org/officeDocument/2006/relationships/hyperlink" Target="https://us3.assetplanner.com/service_request?ID=104776" TargetMode="External"/><Relationship Id="rId15" Type="http://schemas.openxmlformats.org/officeDocument/2006/relationships/hyperlink" Target="https://us3.assetplanner.com/service_request?ID=102209" TargetMode="External"/><Relationship Id="rId36" Type="http://schemas.openxmlformats.org/officeDocument/2006/relationships/hyperlink" Target="https://us3.assetplanner.com/service_request?ID=103950" TargetMode="External"/><Relationship Id="rId57" Type="http://schemas.openxmlformats.org/officeDocument/2006/relationships/hyperlink" Target="https://us3.assetplanner.com/service_request?ID=105366" TargetMode="External"/><Relationship Id="rId106" Type="http://schemas.openxmlformats.org/officeDocument/2006/relationships/hyperlink" Target="https://us3.assetplanner.com/service_request?ID=105626" TargetMode="External"/><Relationship Id="rId10" Type="http://schemas.openxmlformats.org/officeDocument/2006/relationships/hyperlink" Target="https://us3.assetplanner.com/service_request?ID=104137" TargetMode="External"/><Relationship Id="rId31" Type="http://schemas.openxmlformats.org/officeDocument/2006/relationships/hyperlink" Target="https://us3.assetplanner.com/service_request?ID=104828" TargetMode="External"/><Relationship Id="rId52" Type="http://schemas.openxmlformats.org/officeDocument/2006/relationships/hyperlink" Target="https://us3.assetplanner.com/service_request?ID=101034" TargetMode="External"/><Relationship Id="rId73" Type="http://schemas.openxmlformats.org/officeDocument/2006/relationships/hyperlink" Target="https://us3.assetplanner.com/service_request?ID=104882" TargetMode="External"/><Relationship Id="rId78" Type="http://schemas.openxmlformats.org/officeDocument/2006/relationships/hyperlink" Target="https://us3.assetplanner.com/service_request?ID=102281" TargetMode="External"/><Relationship Id="rId94" Type="http://schemas.openxmlformats.org/officeDocument/2006/relationships/hyperlink" Target="https://us3.assetplanner.com/service_request?ID=104290" TargetMode="External"/><Relationship Id="rId99" Type="http://schemas.openxmlformats.org/officeDocument/2006/relationships/hyperlink" Target="https://us3.assetplanner.com/service_request?ID=107231" TargetMode="External"/><Relationship Id="rId101" Type="http://schemas.openxmlformats.org/officeDocument/2006/relationships/hyperlink" Target="https://us3.assetplanner.com/service_request?ID=106851" TargetMode="External"/><Relationship Id="rId122" Type="http://schemas.openxmlformats.org/officeDocument/2006/relationships/hyperlink" Target="https://us3.assetplanner.com/service_request?ID=102450"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3"/>
  <sheetViews>
    <sheetView workbookViewId="0">
      <pane xSplit="2" ySplit="3" topLeftCell="C67" activePane="bottomRight" state="frozen"/>
      <selection pane="bottomRight" activeCell="I88" sqref="I88"/>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6" t="str" cm="1">
        <f t="array" ref="A1">portfolio</f>
        <v>Clean Capital</v>
      </c>
      <c r="B1" s="106"/>
      <c r="C1" s="106"/>
      <c r="D1" s="107" t="s">
        <v>0</v>
      </c>
      <c r="E1" s="107"/>
      <c r="F1" s="107"/>
      <c r="G1" s="105" t="s">
        <v>1</v>
      </c>
      <c r="H1" s="105"/>
      <c r="I1" s="105"/>
    </row>
    <row r="2" spans="1:9" ht="19.5" customHeight="1">
      <c r="A2" s="108" t="s">
        <v>2</v>
      </c>
      <c r="B2" s="108"/>
      <c r="C2" s="5">
        <f>SUM(C4:C71)</f>
        <v>17644213.185063612</v>
      </c>
      <c r="D2" s="5">
        <f>SUM(D4:D71)</f>
        <v>8108767.7127707396</v>
      </c>
      <c r="E2" s="5">
        <f>C2-D2</f>
        <v>9535445.4722928721</v>
      </c>
      <c r="F2" s="6">
        <f>IFERROR(E2/D2, 0)</f>
        <v>1.1759426105245578</v>
      </c>
      <c r="G2" s="5">
        <f>SUM(G4:G71)</f>
        <v>20187903.712000001</v>
      </c>
      <c r="H2" s="7">
        <f>C2-G2</f>
        <v>-2543690.5269363895</v>
      </c>
      <c r="I2" s="6">
        <f>IFERROR(H2/G2, 0)</f>
        <v>-0.1260007261390087</v>
      </c>
    </row>
    <row r="3" spans="1:9" ht="14.25" customHeight="1">
      <c r="A3" s="12" t="s">
        <v>3</v>
      </c>
      <c r="B3" s="12" t="s">
        <v>4</v>
      </c>
      <c r="C3" s="19" t="s">
        <v>5</v>
      </c>
      <c r="D3" s="20" t="s">
        <v>6</v>
      </c>
      <c r="E3" s="20" t="s">
        <v>7</v>
      </c>
      <c r="F3" s="21" t="s">
        <v>8</v>
      </c>
      <c r="G3" s="22" t="s">
        <v>9</v>
      </c>
      <c r="H3" s="23" t="s">
        <v>7</v>
      </c>
      <c r="I3" s="24" t="s">
        <v>8</v>
      </c>
    </row>
    <row r="4" spans="1:9" ht="15.6">
      <c r="A4" s="26" t="str" cm="1">
        <f t="array" ref="A4:A85">Sites[Site]</f>
        <v>Lexington - Cotting School</v>
      </c>
      <c r="B4" s="27" t="str" cm="1">
        <f t="array" ref="B4:B85">Sites[State]</f>
        <v>MA</v>
      </c>
      <c r="C4" s="28">
        <f>SUM('1st Qtr'!C4, '2nd Qtr'!C4, '3rd Qtr'!C4, '4th Qtr'!C4)</f>
        <v>216769.68799999999</v>
      </c>
      <c r="D4" s="29">
        <f>SUM('1st Qtr'!D4, '2nd Qtr'!D4, '3rd Qtr'!D4, '4th Qtr'!D4)</f>
        <v>0</v>
      </c>
      <c r="E4" s="29">
        <f>IF(AND(ISNUMBER(C4),ISNUMBER(D4)), C4-D4, "")</f>
        <v>216769.68799999999</v>
      </c>
      <c r="F4" s="30" t="str">
        <f>IFERROR(E4/D4, "")</f>
        <v/>
      </c>
      <c r="G4" s="31">
        <f>SUM('1st Qtr'!G4, '2nd Qtr'!G4, '3rd Qtr'!G4, '4th Qtr'!G4)</f>
        <v>0</v>
      </c>
      <c r="H4" s="31">
        <f>SUM('1st Qtr'!H4, '2nd Qtr'!H4, '3rd Qtr'!H4, '4th Qtr'!H4)</f>
        <v>18073.600000000002</v>
      </c>
      <c r="I4" s="32" t="str">
        <f>IFERROR(H4/G4, "")</f>
        <v/>
      </c>
    </row>
    <row r="5" spans="1:9" ht="15.6">
      <c r="A5" s="33" t="str">
        <v>Pacoima - Whiteman Airport</v>
      </c>
      <c r="B5" s="34" t="str">
        <v>CA</v>
      </c>
      <c r="C5" s="35">
        <f>SUM('1st Qtr'!C5, '2nd Qtr'!C5, '3rd Qtr'!C5, '4th Qtr'!C5)</f>
        <v>169774.6</v>
      </c>
      <c r="D5" s="35">
        <f>SUM('1st Qtr'!D5, '2nd Qtr'!D5, '3rd Qtr'!D5, '4th Qtr'!D5)</f>
        <v>0</v>
      </c>
      <c r="E5" s="36">
        <f t="shared" ref="E5:E6" si="0">IF(AND(ISNUMBER(C5),ISNUMBER(D5)), C5-D5, "")</f>
        <v>169774.6</v>
      </c>
      <c r="F5" s="37" t="str">
        <f>IFERROR(E5/D5, "")</f>
        <v/>
      </c>
      <c r="G5" s="38">
        <f>SUM('1st Qtr'!G5, '2nd Qtr'!G5, '3rd Qtr'!G5, '4th Qtr'!G5)</f>
        <v>306056.30000000005</v>
      </c>
      <c r="H5" s="38">
        <f>SUM('1st Qtr'!H5, '2nd Qtr'!H5, '3rd Qtr'!H5, '4th Qtr'!H5)</f>
        <v>-136281.70000000001</v>
      </c>
      <c r="I5" s="37">
        <f>IFERROR(H5/G5, "")</f>
        <v>-0.44528310640885349</v>
      </c>
    </row>
    <row r="6" spans="1:9" ht="15.6">
      <c r="A6" s="26" t="str">
        <v>Hyannis - Sturgis Charter School</v>
      </c>
      <c r="B6" s="27" t="str">
        <v>MA</v>
      </c>
      <c r="C6" s="28">
        <f>SUM('1st Qtr'!C6, '2nd Qtr'!C6, '3rd Qtr'!C6, '4th Qtr'!C6)</f>
        <v>239205.1895615625</v>
      </c>
      <c r="D6" s="29">
        <f>SUM('1st Qtr'!D6, '2nd Qtr'!D6, '3rd Qtr'!D6, '4th Qtr'!D6)</f>
        <v>0</v>
      </c>
      <c r="E6" s="29">
        <f t="shared" si="0"/>
        <v>239205.1895615625</v>
      </c>
      <c r="F6" s="30" t="str">
        <f t="shared" ref="F6:F69" si="1">IFERROR(E6/D6, "")</f>
        <v/>
      </c>
      <c r="G6" s="31">
        <f>SUM('1st Qtr'!G6, '2nd Qtr'!G6, '3rd Qtr'!G6, '4th Qtr'!G6)</f>
        <v>225399.08000000002</v>
      </c>
      <c r="H6" s="31">
        <f>SUM('1st Qtr'!H6, '2nd Qtr'!H6, '3rd Qtr'!H6, '4th Qtr'!H6)</f>
        <v>13806.109561562484</v>
      </c>
      <c r="I6" s="32">
        <f t="shared" ref="I6:I69" si="2">IFERROR(H6/G6, "")</f>
        <v>6.1251845222981757E-2</v>
      </c>
    </row>
    <row r="7" spans="1:9" ht="15.6">
      <c r="A7" s="33" t="str">
        <v>South Dennis - Tony Kent Arena</v>
      </c>
      <c r="B7" s="34" t="str">
        <v>MA</v>
      </c>
      <c r="C7" s="35">
        <f>SUM('1st Qtr'!C7, '2nd Qtr'!C7, '3rd Qtr'!C7, '4th Qtr'!C7)</f>
        <v>271796.98</v>
      </c>
      <c r="D7" s="35">
        <f>SUM('1st Qtr'!D7, '2nd Qtr'!D7, '3rd Qtr'!D7, '4th Qtr'!D7)</f>
        <v>0</v>
      </c>
      <c r="E7" s="36">
        <f t="shared" ref="E7:E70" si="3">IF(AND(ISNUMBER(C7),ISNUMBER(D7)), C7-D7, "")</f>
        <v>271796.98</v>
      </c>
      <c r="F7" s="37" t="str">
        <f t="shared" si="1"/>
        <v/>
      </c>
      <c r="G7" s="38">
        <f>SUM('1st Qtr'!G7, '2nd Qtr'!G7, '3rd Qtr'!G7, '4th Qtr'!G7)</f>
        <v>0</v>
      </c>
      <c r="H7" s="38">
        <f>SUM('1st Qtr'!H7, '2nd Qtr'!H7, '3rd Qtr'!H7, '4th Qtr'!H7)</f>
        <v>30999.119999999999</v>
      </c>
      <c r="I7" s="37" t="str">
        <f t="shared" si="2"/>
        <v/>
      </c>
    </row>
    <row r="8" spans="1:9" ht="15.6">
      <c r="A8" s="26" t="str">
        <v xml:space="preserve"> Caropolis - Felician Sisters</v>
      </c>
      <c r="B8" s="27" t="str">
        <v>PA</v>
      </c>
      <c r="C8" s="28">
        <f>SUM('1st Qtr'!C8, '2nd Qtr'!C8, '3rd Qtr'!C8, '4th Qtr'!C8)</f>
        <v>329403.2</v>
      </c>
      <c r="D8" s="29">
        <f>SUM('1st Qtr'!D8, '2nd Qtr'!D8, '3rd Qtr'!D8, '4th Qtr'!D8)</f>
        <v>0</v>
      </c>
      <c r="E8" s="29">
        <f t="shared" si="3"/>
        <v>329403.2</v>
      </c>
      <c r="F8" s="30" t="str">
        <f t="shared" si="1"/>
        <v/>
      </c>
      <c r="G8" s="31">
        <f>SUM('1st Qtr'!G8, '2nd Qtr'!G8, '3rd Qtr'!G8, '4th Qtr'!G8)</f>
        <v>0</v>
      </c>
      <c r="H8" s="31">
        <f>SUM('1st Qtr'!H8, '2nd Qtr'!H8, '3rd Qtr'!H8, '4th Qtr'!H8)</f>
        <v>0</v>
      </c>
      <c r="I8" s="32" t="str">
        <f t="shared" si="2"/>
        <v/>
      </c>
    </row>
    <row r="9" spans="1:9" ht="15.6">
      <c r="A9" s="33" t="str">
        <v>Clear Lake - Eastlake Gohman</v>
      </c>
      <c r="B9" s="34" t="str">
        <v>MN</v>
      </c>
      <c r="C9" s="35">
        <f>SUM('1st Qtr'!C9, '2nd Qtr'!C9, '3rd Qtr'!C9, '4th Qtr'!C9)</f>
        <v>944789</v>
      </c>
      <c r="D9" s="35">
        <f>SUM('1st Qtr'!D9, '2nd Qtr'!D9, '3rd Qtr'!D9, '4th Qtr'!D9)</f>
        <v>0</v>
      </c>
      <c r="E9" s="36">
        <f t="shared" si="3"/>
        <v>944789</v>
      </c>
      <c r="F9" s="37" t="str">
        <f t="shared" si="1"/>
        <v/>
      </c>
      <c r="G9" s="38">
        <f>SUM('1st Qtr'!G9, '2nd Qtr'!G9, '3rd Qtr'!G9, '4th Qtr'!G9)</f>
        <v>1138189.7</v>
      </c>
      <c r="H9" s="38">
        <f>SUM('1st Qtr'!H9, '2nd Qtr'!H9, '3rd Qtr'!H9, '4th Qtr'!H9)</f>
        <v>-193400.7</v>
      </c>
      <c r="I9" s="37">
        <f t="shared" si="2"/>
        <v>-0.16991956613207801</v>
      </c>
    </row>
    <row r="10" spans="1:9" ht="15.6">
      <c r="A10" s="26" t="str">
        <v>Zumbrota - Eastlake Brenda Luhman</v>
      </c>
      <c r="B10" s="27" t="str">
        <v>MN</v>
      </c>
      <c r="C10" s="28">
        <f>SUM('1st Qtr'!C10, '2nd Qtr'!C10, '3rd Qtr'!C10, '4th Qtr'!C10)</f>
        <v>1136474.1269</v>
      </c>
      <c r="D10" s="29">
        <f>SUM('1st Qtr'!D10, '2nd Qtr'!D10, '3rd Qtr'!D10, '4th Qtr'!D10)</f>
        <v>0</v>
      </c>
      <c r="E10" s="29">
        <f t="shared" si="3"/>
        <v>1136474.1269</v>
      </c>
      <c r="F10" s="30" t="str">
        <f t="shared" si="1"/>
        <v/>
      </c>
      <c r="G10" s="31">
        <f>SUM('1st Qtr'!G10, '2nd Qtr'!G10, '3rd Qtr'!G10, '4th Qtr'!G10)</f>
        <v>1124100.2999999998</v>
      </c>
      <c r="H10" s="31">
        <f>SUM('1st Qtr'!H10, '2nd Qtr'!H10, '3rd Qtr'!H10, '4th Qtr'!H10)</f>
        <v>12373.826900000015</v>
      </c>
      <c r="I10" s="32">
        <f t="shared" si="2"/>
        <v>1.1007760517455618E-2</v>
      </c>
    </row>
    <row r="11" spans="1:9" ht="15.6">
      <c r="A11" s="33" t="str">
        <v>Cokato - Eastlake Carlson</v>
      </c>
      <c r="B11" s="34" t="str">
        <v>MN</v>
      </c>
      <c r="C11" s="35">
        <f>SUM('1st Qtr'!C11, '2nd Qtr'!C11, '3rd Qtr'!C11, '4th Qtr'!C11)</f>
        <v>1032974.4842000001</v>
      </c>
      <c r="D11" s="35">
        <f>SUM('1st Qtr'!D11, '2nd Qtr'!D11, '3rd Qtr'!D11, '4th Qtr'!D11)</f>
        <v>0</v>
      </c>
      <c r="E11" s="36">
        <f t="shared" si="3"/>
        <v>1032974.4842000001</v>
      </c>
      <c r="F11" s="37" t="str">
        <f t="shared" si="1"/>
        <v/>
      </c>
      <c r="G11" s="38">
        <f>SUM('1st Qtr'!G11, '2nd Qtr'!G11, '3rd Qtr'!G11, '4th Qtr'!G11)</f>
        <v>1220810.6000000001</v>
      </c>
      <c r="H11" s="38">
        <f>SUM('1st Qtr'!H11, '2nd Qtr'!H11, '3rd Qtr'!H11, '4th Qtr'!H11)</f>
        <v>-187836.1158</v>
      </c>
      <c r="I11" s="37">
        <f t="shared" si="2"/>
        <v>-0.15386179952893592</v>
      </c>
    </row>
    <row r="12" spans="1:9" ht="15.6">
      <c r="A12" s="26" t="str">
        <v>North Branch - Cornille 2</v>
      </c>
      <c r="B12" s="27" t="str">
        <v>MN</v>
      </c>
      <c r="C12" s="28">
        <f>SUM('1st Qtr'!C12, '2nd Qtr'!C12, '3rd Qtr'!C12, '4th Qtr'!C12)</f>
        <v>1030368</v>
      </c>
      <c r="D12" s="29">
        <f>SUM('1st Qtr'!D12, '2nd Qtr'!D12, '3rd Qtr'!D12, '4th Qtr'!D12)</f>
        <v>0</v>
      </c>
      <c r="E12" s="29">
        <f t="shared" si="3"/>
        <v>1030368</v>
      </c>
      <c r="F12" s="30" t="str">
        <f t="shared" si="1"/>
        <v/>
      </c>
      <c r="G12" s="31">
        <f>SUM('1st Qtr'!G12, '2nd Qtr'!G12, '3rd Qtr'!G12, '4th Qtr'!G12)</f>
        <v>1153348.5</v>
      </c>
      <c r="H12" s="31">
        <f>SUM('1st Qtr'!H12, '2nd Qtr'!H12, '3rd Qtr'!H12, '4th Qtr'!H12)</f>
        <v>-122980.5</v>
      </c>
      <c r="I12" s="32">
        <f t="shared" si="2"/>
        <v>-0.10662908912614011</v>
      </c>
    </row>
    <row r="13" spans="1:9" ht="15.6">
      <c r="A13" s="33" t="str">
        <v>Clear Lake - Eastlake Hammer</v>
      </c>
      <c r="B13" s="34" t="str">
        <v>MN</v>
      </c>
      <c r="C13" s="35">
        <f>SUM('1st Qtr'!C13, '2nd Qtr'!C13, '3rd Qtr'!C13, '4th Qtr'!C13)</f>
        <v>1297085.9999999991</v>
      </c>
      <c r="D13" s="35">
        <f>SUM('1st Qtr'!D13, '2nd Qtr'!D13, '3rd Qtr'!D13, '4th Qtr'!D13)</f>
        <v>0</v>
      </c>
      <c r="E13" s="36">
        <f t="shared" si="3"/>
        <v>1297085.9999999991</v>
      </c>
      <c r="F13" s="37" t="str">
        <f t="shared" si="1"/>
        <v/>
      </c>
      <c r="G13" s="38">
        <f>SUM('1st Qtr'!G13, '2nd Qtr'!G13, '3rd Qtr'!G13, '4th Qtr'!G13)</f>
        <v>1414318.9000000001</v>
      </c>
      <c r="H13" s="38">
        <f>SUM('1st Qtr'!H13, '2nd Qtr'!H13, '3rd Qtr'!H13, '4th Qtr'!H13)</f>
        <v>-117232.90000000101</v>
      </c>
      <c r="I13" s="37">
        <f t="shared" si="2"/>
        <v>-8.2890004510298917E-2</v>
      </c>
    </row>
    <row r="14" spans="1:9" ht="15.6">
      <c r="A14" s="26" t="str">
        <v>Eastlake - Hertzberg CSG 1</v>
      </c>
      <c r="B14" s="27" t="str">
        <v>MN</v>
      </c>
      <c r="C14" s="28">
        <f>SUM('1st Qtr'!C14, '2nd Qtr'!C14, '3rd Qtr'!C14, '4th Qtr'!C14)</f>
        <v>1243056.9997261721</v>
      </c>
      <c r="D14" s="29">
        <f>SUM('1st Qtr'!D14, '2nd Qtr'!D14, '3rd Qtr'!D14, '4th Qtr'!D14)</f>
        <v>0</v>
      </c>
      <c r="E14" s="29">
        <f t="shared" si="3"/>
        <v>1243056.9997261721</v>
      </c>
      <c r="F14" s="30" t="str">
        <f t="shared" si="1"/>
        <v/>
      </c>
      <c r="G14" s="31">
        <f>SUM('1st Qtr'!G14, '2nd Qtr'!G14, '3rd Qtr'!G14, '4th Qtr'!G14)</f>
        <v>1409007.2209999999</v>
      </c>
      <c r="H14" s="31">
        <f>SUM('1st Qtr'!H14, '2nd Qtr'!H14, '3rd Qtr'!H14, '4th Qtr'!H14)</f>
        <v>-165950.22127382801</v>
      </c>
      <c r="I14" s="32">
        <f t="shared" si="2"/>
        <v>-0.11777811979987576</v>
      </c>
    </row>
    <row r="15" spans="1:9" ht="15.6">
      <c r="A15" s="33" t="str">
        <v>Cokato - Eastlake Laurel Village</v>
      </c>
      <c r="B15" s="34" t="str">
        <v>MN</v>
      </c>
      <c r="C15" s="35">
        <f>SUM('1st Qtr'!C15, '2nd Qtr'!C15, '3rd Qtr'!C15, '4th Qtr'!C15)</f>
        <v>1343656.3139</v>
      </c>
      <c r="D15" s="35">
        <f>SUM('1st Qtr'!D15, '2nd Qtr'!D15, '3rd Qtr'!D15, '4th Qtr'!D15)</f>
        <v>0</v>
      </c>
      <c r="E15" s="36">
        <f t="shared" si="3"/>
        <v>1343656.3139</v>
      </c>
      <c r="F15" s="37" t="str">
        <f t="shared" si="1"/>
        <v/>
      </c>
      <c r="G15" s="38">
        <f>SUM('1st Qtr'!G15, '2nd Qtr'!G15, '3rd Qtr'!G15, '4th Qtr'!G15)</f>
        <v>1431634.2</v>
      </c>
      <c r="H15" s="38">
        <f>SUM('1st Qtr'!H15, '2nd Qtr'!H15, '3rd Qtr'!H15, '4th Qtr'!H15)</f>
        <v>-87977.886100000003</v>
      </c>
      <c r="I15" s="37">
        <f t="shared" si="2"/>
        <v>-6.145276921995857E-2</v>
      </c>
    </row>
    <row r="16" spans="1:9" ht="15.6">
      <c r="A16" s="26" t="str">
        <v>St. Peter - Eastlake Paulson</v>
      </c>
      <c r="B16" s="27" t="str">
        <v>MN</v>
      </c>
      <c r="C16" s="28">
        <f>SUM('1st Qtr'!C16, '2nd Qtr'!C16, '3rd Qtr'!C16, '4th Qtr'!C16)</f>
        <v>1120637.0611103089</v>
      </c>
      <c r="D16" s="29">
        <f>SUM('1st Qtr'!D16, '2nd Qtr'!D16, '3rd Qtr'!D16, '4th Qtr'!D16)</f>
        <v>0</v>
      </c>
      <c r="E16" s="29">
        <f t="shared" si="3"/>
        <v>1120637.0611103089</v>
      </c>
      <c r="F16" s="30" t="str">
        <f t="shared" si="1"/>
        <v/>
      </c>
      <c r="G16" s="31">
        <f>SUM('1st Qtr'!G16, '2nd Qtr'!G16, '3rd Qtr'!G16, '4th Qtr'!G16)</f>
        <v>1215286.7</v>
      </c>
      <c r="H16" s="31">
        <f>SUM('1st Qtr'!H16, '2nd Qtr'!H16, '3rd Qtr'!H16, '4th Qtr'!H16)</f>
        <v>-94649.638889691007</v>
      </c>
      <c r="I16" s="32">
        <f t="shared" si="2"/>
        <v>-7.7882559637730761E-2</v>
      </c>
    </row>
    <row r="17" spans="1:9" ht="15.6">
      <c r="A17" s="33" t="str">
        <v>Felician Sisters Convent</v>
      </c>
      <c r="B17" s="34" t="str">
        <v>NJ</v>
      </c>
      <c r="C17" s="35">
        <f>SUM('1st Qtr'!C17, '2nd Qtr'!C17, '3rd Qtr'!C17, '4th Qtr'!C17)</f>
        <v>97502.2</v>
      </c>
      <c r="D17" s="35">
        <f>SUM('1st Qtr'!D17, '2nd Qtr'!D17, '3rd Qtr'!D17, '4th Qtr'!D17)</f>
        <v>0</v>
      </c>
      <c r="E17" s="36">
        <f t="shared" si="3"/>
        <v>97502.2</v>
      </c>
      <c r="F17" s="37" t="str">
        <f t="shared" si="1"/>
        <v/>
      </c>
      <c r="G17" s="38">
        <f>SUM('1st Qtr'!G17, '2nd Qtr'!G17, '3rd Qtr'!G17, '4th Qtr'!G17)</f>
        <v>0</v>
      </c>
      <c r="H17" s="38">
        <f>SUM('1st Qtr'!H17, '2nd Qtr'!H17, '3rd Qtr'!H17, '4th Qtr'!H17)</f>
        <v>0</v>
      </c>
      <c r="I17" s="37" t="str">
        <f t="shared" si="2"/>
        <v/>
      </c>
    </row>
    <row r="18" spans="1:9" ht="15.6">
      <c r="A18" s="26" t="str">
        <v>Sussex County Fairgrounds</v>
      </c>
      <c r="B18" s="27" t="str">
        <v>NJ</v>
      </c>
      <c r="C18" s="28">
        <f>SUM('1st Qtr'!C18, '2nd Qtr'!C18, '3rd Qtr'!C18, '4th Qtr'!C18)</f>
        <v>291700.8</v>
      </c>
      <c r="D18" s="29">
        <f>SUM('1st Qtr'!D18, '2nd Qtr'!D18, '3rd Qtr'!D18, '4th Qtr'!D18)</f>
        <v>0</v>
      </c>
      <c r="E18" s="29">
        <f t="shared" si="3"/>
        <v>291700.8</v>
      </c>
      <c r="F18" s="30" t="str">
        <f t="shared" si="1"/>
        <v/>
      </c>
      <c r="G18" s="31">
        <f>SUM('1st Qtr'!G18, '2nd Qtr'!G18, '3rd Qtr'!G18, '4th Qtr'!G18)</f>
        <v>0</v>
      </c>
      <c r="H18" s="31">
        <f>SUM('1st Qtr'!H18, '2nd Qtr'!H18, '3rd Qtr'!H18, '4th Qtr'!H18)</f>
        <v>0</v>
      </c>
      <c r="I18" s="32" t="str">
        <f t="shared" si="2"/>
        <v/>
      </c>
    </row>
    <row r="19" spans="1:9" ht="15.6">
      <c r="A19" s="33" t="str">
        <v>Gateway Church</v>
      </c>
      <c r="B19" s="34" t="str">
        <v>NJ</v>
      </c>
      <c r="C19" s="35">
        <f>SUM('1st Qtr'!C19, '2nd Qtr'!C19, '3rd Qtr'!C19, '4th Qtr'!C19)</f>
        <v>176439</v>
      </c>
      <c r="D19" s="35">
        <f>SUM('1st Qtr'!D19, '2nd Qtr'!D19, '3rd Qtr'!D19, '4th Qtr'!D19)</f>
        <v>0</v>
      </c>
      <c r="E19" s="36">
        <f t="shared" si="3"/>
        <v>176439</v>
      </c>
      <c r="F19" s="37" t="str">
        <f t="shared" si="1"/>
        <v/>
      </c>
      <c r="G19" s="38">
        <f>SUM('1st Qtr'!G19, '2nd Qtr'!G19, '3rd Qtr'!G19, '4th Qtr'!G19)</f>
        <v>0</v>
      </c>
      <c r="H19" s="38">
        <f>SUM('1st Qtr'!H19, '2nd Qtr'!H19, '3rd Qtr'!H19, '4th Qtr'!H19)</f>
        <v>0</v>
      </c>
      <c r="I19" s="37" t="str">
        <f t="shared" si="2"/>
        <v/>
      </c>
    </row>
    <row r="20" spans="1:9" ht="15.6">
      <c r="A20" s="26" t="str">
        <v>Beaver Falls - Felician Sisters</v>
      </c>
      <c r="B20" s="27" t="str">
        <v>PA</v>
      </c>
      <c r="C20" s="28">
        <f>SUM('1st Qtr'!C20, '2nd Qtr'!C20, '3rd Qtr'!C20, '4th Qtr'!C20)</f>
        <v>228661</v>
      </c>
      <c r="D20" s="29">
        <f>SUM('1st Qtr'!D20, '2nd Qtr'!D20, '3rd Qtr'!D20, '4th Qtr'!D20)</f>
        <v>0</v>
      </c>
      <c r="E20" s="29">
        <f t="shared" si="3"/>
        <v>228661</v>
      </c>
      <c r="F20" s="30" t="str">
        <f t="shared" si="1"/>
        <v/>
      </c>
      <c r="G20" s="31">
        <f>SUM('1st Qtr'!G20, '2nd Qtr'!G20, '3rd Qtr'!G20, '4th Qtr'!G20)</f>
        <v>0</v>
      </c>
      <c r="H20" s="31">
        <f>SUM('1st Qtr'!H20, '2nd Qtr'!H20, '3rd Qtr'!H20, '4th Qtr'!H20)</f>
        <v>0</v>
      </c>
      <c r="I20" s="32" t="str">
        <f t="shared" si="2"/>
        <v/>
      </c>
    </row>
    <row r="21" spans="1:9" ht="15.6">
      <c r="A21" s="33" t="str">
        <v>Livonia - Felician Sisters Ground</v>
      </c>
      <c r="B21" s="34" t="str">
        <v>MI</v>
      </c>
      <c r="C21" s="35">
        <f>SUM('1st Qtr'!C21, '2nd Qtr'!C21, '3rd Qtr'!C21, '4th Qtr'!C21)</f>
        <v>8556.9</v>
      </c>
      <c r="D21" s="35">
        <f>SUM('1st Qtr'!D21, '2nd Qtr'!D21, '3rd Qtr'!D21, '4th Qtr'!D21)</f>
        <v>0</v>
      </c>
      <c r="E21" s="36">
        <f t="shared" si="3"/>
        <v>8556.9</v>
      </c>
      <c r="F21" s="37" t="str">
        <f t="shared" si="1"/>
        <v/>
      </c>
      <c r="G21" s="38">
        <f>SUM('1st Qtr'!G21, '2nd Qtr'!G21, '3rd Qtr'!G21, '4th Qtr'!G21)</f>
        <v>0</v>
      </c>
      <c r="H21" s="38">
        <f>SUM('1st Qtr'!H21, '2nd Qtr'!H21, '3rd Qtr'!H21, '4th Qtr'!H21)</f>
        <v>0</v>
      </c>
      <c r="I21" s="37" t="str">
        <f t="shared" si="2"/>
        <v/>
      </c>
    </row>
    <row r="22" spans="1:9" ht="15.6">
      <c r="A22" s="26" t="str">
        <v>Livonia - Felician Sisters Roof</v>
      </c>
      <c r="B22" s="27" t="str">
        <v>MI</v>
      </c>
      <c r="C22" s="28">
        <f>SUM('1st Qtr'!C22, '2nd Qtr'!C22, '3rd Qtr'!C22, '4th Qtr'!C22)</f>
        <v>93211</v>
      </c>
      <c r="D22" s="29">
        <f>SUM('1st Qtr'!D22, '2nd Qtr'!D22, '3rd Qtr'!D22, '4th Qtr'!D22)</f>
        <v>0</v>
      </c>
      <c r="E22" s="29">
        <f t="shared" si="3"/>
        <v>93211</v>
      </c>
      <c r="F22" s="30" t="str">
        <f t="shared" si="1"/>
        <v/>
      </c>
      <c r="G22" s="31">
        <f>SUM('1st Qtr'!G22, '2nd Qtr'!G22, '3rd Qtr'!G22, '4th Qtr'!G22)</f>
        <v>0</v>
      </c>
      <c r="H22" s="31">
        <f>SUM('1st Qtr'!H22, '2nd Qtr'!H22, '3rd Qtr'!H22, '4th Qtr'!H22)</f>
        <v>0</v>
      </c>
      <c r="I22" s="32" t="str">
        <f t="shared" si="2"/>
        <v/>
      </c>
    </row>
    <row r="23" spans="1:9" ht="15.6">
      <c r="A23" s="33" t="str">
        <v>Monmouth Worship Ctr</v>
      </c>
      <c r="B23" s="34" t="str">
        <v>NJ</v>
      </c>
      <c r="C23" s="35">
        <f>SUM('1st Qtr'!C23, '2nd Qtr'!C23, '3rd Qtr'!C23, '4th Qtr'!C23)</f>
        <v>68013.980000000025</v>
      </c>
      <c r="D23" s="35">
        <f>SUM('1st Qtr'!D23, '2nd Qtr'!D23, '3rd Qtr'!D23, '4th Qtr'!D23)</f>
        <v>0</v>
      </c>
      <c r="E23" s="36">
        <f t="shared" si="3"/>
        <v>68013.980000000025</v>
      </c>
      <c r="F23" s="37" t="str">
        <f t="shared" si="1"/>
        <v/>
      </c>
      <c r="G23" s="38">
        <f>SUM('1st Qtr'!G23, '2nd Qtr'!G23, '3rd Qtr'!G23, '4th Qtr'!G23)</f>
        <v>0</v>
      </c>
      <c r="H23" s="38">
        <f>SUM('1st Qtr'!H23, '2nd Qtr'!H23, '3rd Qtr'!H23, '4th Qtr'!H23)</f>
        <v>0</v>
      </c>
      <c r="I23" s="37" t="str">
        <f t="shared" si="2"/>
        <v/>
      </c>
    </row>
    <row r="24" spans="1:9" ht="15.6">
      <c r="A24" s="26" t="str">
        <v xml:space="preserve"> Audubon - Senior Citizens United</v>
      </c>
      <c r="B24" s="27" t="str">
        <v>NJ</v>
      </c>
      <c r="C24" s="28">
        <f>SUM('1st Qtr'!C24, '2nd Qtr'!C24, '3rd Qtr'!C24, '4th Qtr'!C24)</f>
        <v>62561.975000000006</v>
      </c>
      <c r="D24" s="29">
        <f>SUM('1st Qtr'!D24, '2nd Qtr'!D24, '3rd Qtr'!D24, '4th Qtr'!D24)</f>
        <v>0</v>
      </c>
      <c r="E24" s="29">
        <f t="shared" si="3"/>
        <v>62561.975000000006</v>
      </c>
      <c r="F24" s="30" t="str">
        <f t="shared" si="1"/>
        <v/>
      </c>
      <c r="G24" s="31">
        <f>SUM('1st Qtr'!G24, '2nd Qtr'!G24, '3rd Qtr'!G24, '4th Qtr'!G24)</f>
        <v>0</v>
      </c>
      <c r="H24" s="31">
        <f>SUM('1st Qtr'!H24, '2nd Qtr'!H24, '3rd Qtr'!H24, '4th Qtr'!H24)</f>
        <v>0</v>
      </c>
      <c r="I24" s="32" t="str">
        <f t="shared" si="2"/>
        <v/>
      </c>
    </row>
    <row r="25" spans="1:9" ht="15.6">
      <c r="A25" s="33" t="str">
        <v>Hollister - PG&amp;E (Enerparc)</v>
      </c>
      <c r="B25" s="34" t="str">
        <v>CA</v>
      </c>
      <c r="C25" s="35">
        <f>SUM('1st Qtr'!C25, '2nd Qtr'!C25, '3rd Qtr'!C25, '4th Qtr'!C25)</f>
        <v>367875.141</v>
      </c>
      <c r="D25" s="35">
        <f>SUM('1st Qtr'!D25, '2nd Qtr'!D25, '3rd Qtr'!D25, '4th Qtr'!D25)</f>
        <v>0</v>
      </c>
      <c r="E25" s="36">
        <f t="shared" si="3"/>
        <v>367875.141</v>
      </c>
      <c r="F25" s="37" t="str">
        <f t="shared" si="1"/>
        <v/>
      </c>
      <c r="G25" s="38">
        <f>SUM('1st Qtr'!G25, '2nd Qtr'!G25, '3rd Qtr'!G25, '4th Qtr'!G25)</f>
        <v>1562970.9000000001</v>
      </c>
      <c r="H25" s="38">
        <f>SUM('1st Qtr'!H25, '2nd Qtr'!H25, '3rd Qtr'!H25, '4th Qtr'!H25)</f>
        <v>-1195095.7590000001</v>
      </c>
      <c r="I25" s="37">
        <f t="shared" si="2"/>
        <v>-0.76463084437464568</v>
      </c>
    </row>
    <row r="26" spans="1:9" ht="15.6">
      <c r="A26" s="26" t="str">
        <v>Taos County - Kit Carson Electric Co-Op</v>
      </c>
      <c r="B26" s="27" t="str">
        <v>NM</v>
      </c>
      <c r="C26" s="28">
        <f>SUM('1st Qtr'!C26, '2nd Qtr'!C26, '3rd Qtr'!C26, '4th Qtr'!C26)</f>
        <v>1055520</v>
      </c>
      <c r="D26" s="29">
        <f>SUM('1st Qtr'!D26, '2nd Qtr'!D26, '3rd Qtr'!D26, '4th Qtr'!D26)</f>
        <v>962070.4</v>
      </c>
      <c r="E26" s="29">
        <f t="shared" si="3"/>
        <v>93449.599999999977</v>
      </c>
      <c r="F26" s="30">
        <f t="shared" si="1"/>
        <v>9.7133848001144177E-2</v>
      </c>
      <c r="G26" s="31">
        <f>SUM('1st Qtr'!G26, '2nd Qtr'!G26, '3rd Qtr'!G26, '4th Qtr'!G26)</f>
        <v>860401.6</v>
      </c>
      <c r="H26" s="31">
        <f>SUM('1st Qtr'!H26, '2nd Qtr'!H26, '3rd Qtr'!H26, '4th Qtr'!H26)</f>
        <v>195118.4</v>
      </c>
      <c r="I26" s="32">
        <f t="shared" si="2"/>
        <v>0.22677596136501837</v>
      </c>
    </row>
    <row r="27" spans="1:9" ht="15.6">
      <c r="A27" s="33" t="str">
        <v>Commerce City - Adams City HS</v>
      </c>
      <c r="B27" s="34" t="str">
        <v>CO</v>
      </c>
      <c r="C27" s="35">
        <f>SUM('1st Qtr'!C27, '2nd Qtr'!C27, '3rd Qtr'!C27, '4th Qtr'!C27)</f>
        <v>64879</v>
      </c>
      <c r="D27" s="35">
        <f>SUM('1st Qtr'!D27, '2nd Qtr'!D27, '3rd Qtr'!D27, '4th Qtr'!D27)</f>
        <v>53528.44</v>
      </c>
      <c r="E27" s="36">
        <f t="shared" si="3"/>
        <v>11350.559999999998</v>
      </c>
      <c r="F27" s="37">
        <f t="shared" si="1"/>
        <v>0.21204727804509149</v>
      </c>
      <c r="G27" s="38">
        <f>SUM('1st Qtr'!G27, '2nd Qtr'!G27, '3rd Qtr'!G27, '4th Qtr'!G27)</f>
        <v>59609.98</v>
      </c>
      <c r="H27" s="38">
        <f>SUM('1st Qtr'!H27, '2nd Qtr'!H27, '3rd Qtr'!H27, '4th Qtr'!H27)</f>
        <v>5269.0199999999986</v>
      </c>
      <c r="I27" s="37">
        <f t="shared" si="2"/>
        <v>8.8391574699404327E-2</v>
      </c>
    </row>
    <row r="28" spans="1:9" ht="15.6">
      <c r="A28" s="26" t="str">
        <v>Commerce City - Adams City MS</v>
      </c>
      <c r="B28" s="27" t="str">
        <v>CO</v>
      </c>
      <c r="C28" s="28">
        <f>SUM('1st Qtr'!C28, '2nd Qtr'!C28, '3rd Qtr'!C28, '4th Qtr'!C28)</f>
        <v>53797</v>
      </c>
      <c r="D28" s="29">
        <f>SUM('1st Qtr'!D28, '2nd Qtr'!D28, '3rd Qtr'!D28, '4th Qtr'!D28)</f>
        <v>48630.81</v>
      </c>
      <c r="E28" s="29">
        <f t="shared" si="3"/>
        <v>5166.1900000000023</v>
      </c>
      <c r="F28" s="30">
        <f t="shared" si="1"/>
        <v>0.10623285937454059</v>
      </c>
      <c r="G28" s="31">
        <f>SUM('1st Qtr'!G28, '2nd Qtr'!G28, '3rd Qtr'!G28, '4th Qtr'!G28)</f>
        <v>52437.930000000008</v>
      </c>
      <c r="H28" s="31">
        <f>SUM('1st Qtr'!H28, '2nd Qtr'!H28, '3rd Qtr'!H28, '4th Qtr'!H28)</f>
        <v>1359.0699999999979</v>
      </c>
      <c r="I28" s="32">
        <f t="shared" si="2"/>
        <v>2.5917689733366625E-2</v>
      </c>
    </row>
    <row r="29" spans="1:9" ht="15.6">
      <c r="A29" s="33" t="str">
        <v>Commerce City - Central ES</v>
      </c>
      <c r="B29" s="34" t="str">
        <v>CO</v>
      </c>
      <c r="C29" s="35">
        <f>SUM('1st Qtr'!C29, '2nd Qtr'!C29, '3rd Qtr'!C29, '4th Qtr'!C29)</f>
        <v>14073.900000000001</v>
      </c>
      <c r="D29" s="35">
        <f>SUM('1st Qtr'!D29, '2nd Qtr'!D29, '3rd Qtr'!D29, '4th Qtr'!D29)</f>
        <v>13940.64</v>
      </c>
      <c r="E29" s="36">
        <f t="shared" si="3"/>
        <v>133.26000000000204</v>
      </c>
      <c r="F29" s="37">
        <f t="shared" si="1"/>
        <v>9.5591020211412137E-3</v>
      </c>
      <c r="G29" s="38">
        <f>SUM('1st Qtr'!G29, '2nd Qtr'!G29, '3rd Qtr'!G29, '4th Qtr'!G29)</f>
        <v>15375.143</v>
      </c>
      <c r="H29" s="38">
        <f>SUM('1st Qtr'!H29, '2nd Qtr'!H29, '3rd Qtr'!H29, '4th Qtr'!H29)</f>
        <v>-1301.2429999999999</v>
      </c>
      <c r="I29" s="37">
        <f t="shared" si="2"/>
        <v>-8.4632903902097031E-2</v>
      </c>
    </row>
    <row r="30" spans="1:9" ht="15.6">
      <c r="A30" s="26" t="str">
        <v>Commerce City - Dupont ES</v>
      </c>
      <c r="B30" s="27" t="str">
        <v>CO</v>
      </c>
      <c r="C30" s="28">
        <f>SUM('1st Qtr'!C30, '2nd Qtr'!C30, '3rd Qtr'!C30, '4th Qtr'!C30)</f>
        <v>39180</v>
      </c>
      <c r="D30" s="29">
        <f>SUM('1st Qtr'!D30, '2nd Qtr'!D30, '3rd Qtr'!D30, '4th Qtr'!D30)</f>
        <v>39405.07</v>
      </c>
      <c r="E30" s="29">
        <f t="shared" si="3"/>
        <v>-225.06999999999971</v>
      </c>
      <c r="F30" s="30">
        <f t="shared" si="1"/>
        <v>-5.7117015653061825E-3</v>
      </c>
      <c r="G30" s="31">
        <f>SUM('1st Qtr'!G30, '2nd Qtr'!G30, '3rd Qtr'!G30, '4th Qtr'!G30)</f>
        <v>44079.789999999994</v>
      </c>
      <c r="H30" s="31">
        <f>SUM('1st Qtr'!H30, '2nd Qtr'!H30, '3rd Qtr'!H30, '4th Qtr'!H30)</f>
        <v>-4899.7899999999991</v>
      </c>
      <c r="I30" s="32">
        <f t="shared" si="2"/>
        <v>-0.11115728999616377</v>
      </c>
    </row>
    <row r="31" spans="1:9" ht="15.6">
      <c r="A31" s="33" t="str">
        <v>Commerce City - Educational Support Services</v>
      </c>
      <c r="B31" s="34" t="str">
        <v>CO</v>
      </c>
      <c r="C31" s="35">
        <f>SUM('1st Qtr'!C31, '2nd Qtr'!C31, '3rd Qtr'!C31, '4th Qtr'!C31)</f>
        <v>37977</v>
      </c>
      <c r="D31" s="35">
        <f>SUM('1st Qtr'!D31, '2nd Qtr'!D31, '3rd Qtr'!D31, '4th Qtr'!D31)</f>
        <v>40929.055</v>
      </c>
      <c r="E31" s="36">
        <f t="shared" si="3"/>
        <v>-2952.0550000000003</v>
      </c>
      <c r="F31" s="37">
        <f t="shared" si="1"/>
        <v>-7.212614608375395E-2</v>
      </c>
      <c r="G31" s="38">
        <f>SUM('1st Qtr'!G31, '2nd Qtr'!G31, '3rd Qtr'!G31, '4th Qtr'!G31)</f>
        <v>45435.990000000005</v>
      </c>
      <c r="H31" s="38">
        <f>SUM('1st Qtr'!H31, '2nd Qtr'!H31, '3rd Qtr'!H31, '4th Qtr'!H31)</f>
        <v>-7458.99</v>
      </c>
      <c r="I31" s="37">
        <f t="shared" si="2"/>
        <v>-0.16416479535275888</v>
      </c>
    </row>
    <row r="32" spans="1:9" ht="15.6">
      <c r="A32" s="26" t="str">
        <v>Commerce City - Hanson ES</v>
      </c>
      <c r="B32" s="27" t="str">
        <v>CO</v>
      </c>
      <c r="C32" s="28">
        <f>SUM('1st Qtr'!C32, '2nd Qtr'!C32, '3rd Qtr'!C32, '4th Qtr'!C32)</f>
        <v>56897</v>
      </c>
      <c r="D32" s="29">
        <f>SUM('1st Qtr'!D32, '2nd Qtr'!D32, '3rd Qtr'!D32, '4th Qtr'!D32)</f>
        <v>53371.600000000006</v>
      </c>
      <c r="E32" s="29">
        <f t="shared" si="3"/>
        <v>3525.3999999999942</v>
      </c>
      <c r="F32" s="30">
        <f t="shared" si="1"/>
        <v>6.6053856358062976E-2</v>
      </c>
      <c r="G32" s="31">
        <f>SUM('1st Qtr'!G32, '2nd Qtr'!G32, '3rd Qtr'!G32, '4th Qtr'!G32)</f>
        <v>59390.509999999995</v>
      </c>
      <c r="H32" s="31">
        <f>SUM('1st Qtr'!H32, '2nd Qtr'!H32, '3rd Qtr'!H32, '4th Qtr'!H32)</f>
        <v>-2493.5100000000002</v>
      </c>
      <c r="I32" s="32">
        <f t="shared" si="2"/>
        <v>-4.1984990531315533E-2</v>
      </c>
    </row>
    <row r="33" spans="1:9" ht="15.6">
      <c r="A33" s="33" t="str">
        <v>Commerce City - Kemp ES</v>
      </c>
      <c r="B33" s="34" t="str">
        <v>CO</v>
      </c>
      <c r="C33" s="35">
        <f>SUM('1st Qtr'!C33, '2nd Qtr'!C33, '3rd Qtr'!C33, '4th Qtr'!C33)</f>
        <v>49565.322499000002</v>
      </c>
      <c r="D33" s="35">
        <f>SUM('1st Qtr'!D33, '2nd Qtr'!D33, '3rd Qtr'!D33, '4th Qtr'!D33)</f>
        <v>53345.498999999996</v>
      </c>
      <c r="E33" s="36">
        <f t="shared" si="3"/>
        <v>-3780.1765009999945</v>
      </c>
      <c r="F33" s="37">
        <f t="shared" si="1"/>
        <v>-7.0862145295519582E-2</v>
      </c>
      <c r="G33" s="38">
        <f>SUM('1st Qtr'!G33, '2nd Qtr'!G33, '3rd Qtr'!G33, '4th Qtr'!G33)</f>
        <v>59318.167000000001</v>
      </c>
      <c r="H33" s="38">
        <f>SUM('1st Qtr'!H33, '2nd Qtr'!H33, '3rd Qtr'!H33, '4th Qtr'!H33)</f>
        <v>-9752.8445009999996</v>
      </c>
      <c r="I33" s="37">
        <f t="shared" si="2"/>
        <v>-0.16441581043797257</v>
      </c>
    </row>
    <row r="34" spans="1:9" ht="15.6">
      <c r="A34" s="26" t="str">
        <v>Commerce City -  Lester Arnold HS</v>
      </c>
      <c r="B34" s="27" t="str">
        <v>CO</v>
      </c>
      <c r="C34" s="28">
        <f>SUM('1st Qtr'!C34, '2nd Qtr'!C34, '3rd Qtr'!C34, '4th Qtr'!C34)</f>
        <v>25666.998354482002</v>
      </c>
      <c r="D34" s="29">
        <f>SUM('1st Qtr'!D34, '2nd Qtr'!D34, '3rd Qtr'!D34, '4th Qtr'!D34)</f>
        <v>51570.1</v>
      </c>
      <c r="E34" s="29">
        <f t="shared" si="3"/>
        <v>-25903.101645517996</v>
      </c>
      <c r="F34" s="30">
        <f t="shared" si="1"/>
        <v>-0.50228914905183419</v>
      </c>
      <c r="G34" s="31">
        <f>SUM('1st Qtr'!G34, '2nd Qtr'!G34, '3rd Qtr'!G34, '4th Qtr'!G34)</f>
        <v>57647.39</v>
      </c>
      <c r="H34" s="31">
        <f>SUM('1st Qtr'!H34, '2nd Qtr'!H34, '3rd Qtr'!H34, '4th Qtr'!H34)</f>
        <v>-31980.391645518001</v>
      </c>
      <c r="I34" s="32">
        <f t="shared" si="2"/>
        <v>-0.55475870885946443</v>
      </c>
    </row>
    <row r="35" spans="1:9" ht="15.6">
      <c r="A35" s="33" t="str">
        <v>Commerce City - Monaco ES</v>
      </c>
      <c r="B35" s="34" t="str">
        <v>CO</v>
      </c>
      <c r="C35" s="35">
        <f>SUM('1st Qtr'!C35, '2nd Qtr'!C35, '3rd Qtr'!C35, '4th Qtr'!C35)</f>
        <v>49512</v>
      </c>
      <c r="D35" s="35">
        <f>SUM('1st Qtr'!D35, '2nd Qtr'!D35, '3rd Qtr'!D35, '4th Qtr'!D35)</f>
        <v>53374.520000000004</v>
      </c>
      <c r="E35" s="36">
        <f t="shared" si="3"/>
        <v>-3862.5200000000041</v>
      </c>
      <c r="F35" s="37">
        <f t="shared" si="1"/>
        <v>-7.236636507457124E-2</v>
      </c>
      <c r="G35" s="38">
        <f>SUM('1st Qtr'!G35, '2nd Qtr'!G35, '3rd Qtr'!G35, '4th Qtr'!G35)</f>
        <v>59390.509999999995</v>
      </c>
      <c r="H35" s="38">
        <f>SUM('1st Qtr'!H35, '2nd Qtr'!H35, '3rd Qtr'!H35, '4th Qtr'!H35)</f>
        <v>-9878.51</v>
      </c>
      <c r="I35" s="37">
        <f t="shared" si="2"/>
        <v>-0.16633145598513974</v>
      </c>
    </row>
    <row r="36" spans="1:9" ht="15.6">
      <c r="A36" s="26" t="str">
        <v>Denver - Northgate / Old Fort Logan ES</v>
      </c>
      <c r="B36" s="27" t="str">
        <v>CO</v>
      </c>
      <c r="C36" s="28">
        <f>SUM('1st Qtr'!C36, '2nd Qtr'!C36, '3rd Qtr'!C36, '4th Qtr'!C36)</f>
        <v>52513</v>
      </c>
      <c r="D36" s="29">
        <f>SUM('1st Qtr'!D36, '2nd Qtr'!D36, '3rd Qtr'!D36, '4th Qtr'!D36)</f>
        <v>46365.880000000005</v>
      </c>
      <c r="E36" s="29">
        <f t="shared" si="3"/>
        <v>6147.1199999999953</v>
      </c>
      <c r="F36" s="30">
        <f t="shared" si="1"/>
        <v>0.13257852541567192</v>
      </c>
      <c r="G36" s="31">
        <f>SUM('1st Qtr'!G36, '2nd Qtr'!G36, '3rd Qtr'!G36, '4th Qtr'!G36)</f>
        <v>54627.618000000002</v>
      </c>
      <c r="H36" s="31">
        <f>SUM('1st Qtr'!H36, '2nd Qtr'!H36, '3rd Qtr'!H36, '4th Qtr'!H36)</f>
        <v>-2114.6180000000004</v>
      </c>
      <c r="I36" s="32">
        <f t="shared" si="2"/>
        <v>-3.870968710369177E-2</v>
      </c>
    </row>
    <row r="37" spans="1:9" ht="15.6">
      <c r="A37" s="33" t="str">
        <v>Denver - Sheridan High School</v>
      </c>
      <c r="B37" s="34" t="str">
        <v>CO</v>
      </c>
      <c r="C37" s="35">
        <f>SUM('1st Qtr'!C37, '2nd Qtr'!C37, '3rd Qtr'!C37, '4th Qtr'!C37)</f>
        <v>61202</v>
      </c>
      <c r="D37" s="35">
        <f>SUM('1st Qtr'!D37, '2nd Qtr'!D37, '3rd Qtr'!D37, '4th Qtr'!D37)</f>
        <v>53492.800000000003</v>
      </c>
      <c r="E37" s="36">
        <f t="shared" si="3"/>
        <v>7709.1999999999971</v>
      </c>
      <c r="F37" s="37">
        <f t="shared" si="1"/>
        <v>0.14411659139173863</v>
      </c>
      <c r="G37" s="38">
        <f>SUM('1st Qtr'!G37, '2nd Qtr'!G37, '3rd Qtr'!G37, '4th Qtr'!G37)</f>
        <v>55626.2</v>
      </c>
      <c r="H37" s="38">
        <f>SUM('1st Qtr'!H37, '2nd Qtr'!H37, '3rd Qtr'!H37, '4th Qtr'!H37)</f>
        <v>5575.8000000000011</v>
      </c>
      <c r="I37" s="37">
        <f t="shared" si="2"/>
        <v>0.100236938708738</v>
      </c>
    </row>
    <row r="38" spans="1:9" ht="15.6">
      <c r="A38" s="26" t="str">
        <v>Englewood -  Alice Terry Elementary</v>
      </c>
      <c r="B38" s="27" t="str">
        <v>CO</v>
      </c>
      <c r="C38" s="28">
        <f>SUM('1st Qtr'!C38, '2nd Qtr'!C38, '3rd Qtr'!C38, '4th Qtr'!C38)</f>
        <v>57943</v>
      </c>
      <c r="D38" s="29">
        <f>SUM('1st Qtr'!D38, '2nd Qtr'!D38, '3rd Qtr'!D38, '4th Qtr'!D38)</f>
        <v>53493.75</v>
      </c>
      <c r="E38" s="29">
        <f t="shared" si="3"/>
        <v>4449.25</v>
      </c>
      <c r="F38" s="30">
        <f t="shared" si="1"/>
        <v>8.3173267905129106E-2</v>
      </c>
      <c r="G38" s="31">
        <f>SUM('1st Qtr'!G38, '2nd Qtr'!G38, '3rd Qtr'!G38, '4th Qtr'!G38)</f>
        <v>55865.619999999995</v>
      </c>
      <c r="H38" s="31">
        <f>SUM('1st Qtr'!H38, '2nd Qtr'!H38, '3rd Qtr'!H38, '4th Qtr'!H38)</f>
        <v>2077.380000000001</v>
      </c>
      <c r="I38" s="32">
        <f t="shared" si="2"/>
        <v>3.7185302875006154E-2</v>
      </c>
    </row>
    <row r="39" spans="1:9" ht="15.6">
      <c r="A39" s="33" t="str">
        <v>Englewood - Sheridan Middle School</v>
      </c>
      <c r="B39" s="34" t="str">
        <v>CO</v>
      </c>
      <c r="C39" s="35">
        <f>SUM('1st Qtr'!C39, '2nd Qtr'!C39, '3rd Qtr'!C39, '4th Qtr'!C39)</f>
        <v>30378</v>
      </c>
      <c r="D39" s="35">
        <f>SUM('1st Qtr'!D39, '2nd Qtr'!D39, '3rd Qtr'!D39, '4th Qtr'!D39)</f>
        <v>31807.558000000001</v>
      </c>
      <c r="E39" s="36">
        <f t="shared" si="3"/>
        <v>-1429.5580000000009</v>
      </c>
      <c r="F39" s="37">
        <f t="shared" si="1"/>
        <v>-4.4943972121343011E-2</v>
      </c>
      <c r="G39" s="38">
        <f>SUM('1st Qtr'!G39, '2nd Qtr'!G39, '3rd Qtr'!G39, '4th Qtr'!G39)</f>
        <v>32706.642</v>
      </c>
      <c r="H39" s="38">
        <f>SUM('1st Qtr'!H39, '2nd Qtr'!H39, '3rd Qtr'!H39, '4th Qtr'!H39)</f>
        <v>-2328.6420000000007</v>
      </c>
      <c r="I39" s="37">
        <f t="shared" si="2"/>
        <v>-7.1197831926616023E-2</v>
      </c>
    </row>
    <row r="40" spans="1:9" ht="15.6">
      <c r="A40" s="26" t="str">
        <v>Goshen - NIPSCO</v>
      </c>
      <c r="B40" s="27" t="str">
        <v>IN</v>
      </c>
      <c r="C40" s="28">
        <f>SUM('1st Qtr'!C40, '2nd Qtr'!C40, '3rd Qtr'!C40, '4th Qtr'!C40)</f>
        <v>216233</v>
      </c>
      <c r="D40" s="29">
        <f>SUM('1st Qtr'!D40, '2nd Qtr'!D40, '3rd Qtr'!D40, '4th Qtr'!D40)</f>
        <v>227822.78</v>
      </c>
      <c r="E40" s="29">
        <f t="shared" si="3"/>
        <v>-11589.779999999999</v>
      </c>
      <c r="F40" s="30">
        <f t="shared" si="1"/>
        <v>-5.0871910175093106E-2</v>
      </c>
      <c r="G40" s="31">
        <f>SUM('1st Qtr'!G40, '2nd Qtr'!G40, '3rd Qtr'!G40, '4th Qtr'!G40)</f>
        <v>285344.72000000003</v>
      </c>
      <c r="H40" s="31">
        <f>SUM('1st Qtr'!H40, '2nd Qtr'!H40, '3rd Qtr'!H40, '4th Qtr'!H40)</f>
        <v>-69111.72</v>
      </c>
      <c r="I40" s="32">
        <f t="shared" si="2"/>
        <v>-0.24220430642627624</v>
      </c>
    </row>
    <row r="41" spans="1:9" ht="15.6">
      <c r="A41" s="33" t="str">
        <v>Alamogordo - City of Alamogordo - Effluent</v>
      </c>
      <c r="B41" s="34" t="str">
        <v>NM</v>
      </c>
      <c r="C41" s="35">
        <f>SUM('1st Qtr'!C41, '2nd Qtr'!C41, '3rd Qtr'!C41, '4th Qtr'!C41)</f>
        <v>96576</v>
      </c>
      <c r="D41" s="35">
        <f>SUM('1st Qtr'!D41, '2nd Qtr'!D41, '3rd Qtr'!D41, '4th Qtr'!D41)</f>
        <v>116553.7</v>
      </c>
      <c r="E41" s="36">
        <f t="shared" si="3"/>
        <v>-19977.699999999997</v>
      </c>
      <c r="F41" s="37">
        <f t="shared" si="1"/>
        <v>-0.1714033960311856</v>
      </c>
      <c r="G41" s="38">
        <f>SUM('1st Qtr'!G41, '2nd Qtr'!G41, '3rd Qtr'!G41, '4th Qtr'!G41)</f>
        <v>133601.03</v>
      </c>
      <c r="H41" s="38">
        <f>SUM('1st Qtr'!H41, '2nd Qtr'!H41, '3rd Qtr'!H41, '4th Qtr'!H41)</f>
        <v>-37025.03</v>
      </c>
      <c r="I41" s="37">
        <f t="shared" si="2"/>
        <v>-0.27713132151750625</v>
      </c>
    </row>
    <row r="42" spans="1:9" ht="15.6">
      <c r="A42" s="26" t="str">
        <v>Alamogordo - City of Alamogordo - WWTP</v>
      </c>
      <c r="B42" s="27" t="str">
        <v>NM</v>
      </c>
      <c r="C42" s="28">
        <f>SUM('1st Qtr'!C42, '2nd Qtr'!C42, '3rd Qtr'!C42, '4th Qtr'!C42)</f>
        <v>255010</v>
      </c>
      <c r="D42" s="29">
        <f>SUM('1st Qtr'!D42, '2nd Qtr'!D42, '3rd Qtr'!D42, '4th Qtr'!D42)</f>
        <v>2.3770736000000001E-2</v>
      </c>
      <c r="E42" s="29">
        <f t="shared" si="3"/>
        <v>255009.97622926399</v>
      </c>
      <c r="F42" s="30">
        <f t="shared" si="1"/>
        <v>10727895.687759267</v>
      </c>
      <c r="G42" s="31">
        <f>SUM('1st Qtr'!G42, '2nd Qtr'!G42, '3rd Qtr'!G42, '4th Qtr'!G42)</f>
        <v>566579.5</v>
      </c>
      <c r="H42" s="31">
        <f>SUM('1st Qtr'!H42, '2nd Qtr'!H42, '3rd Qtr'!H42, '4th Qtr'!H42)</f>
        <v>-311569.5</v>
      </c>
      <c r="I42" s="32">
        <f t="shared" si="2"/>
        <v>-0.5499131189885974</v>
      </c>
    </row>
    <row r="43" spans="1:9" ht="15.6">
      <c r="A43" s="33" t="str">
        <v>Deming - Bilbo Booster</v>
      </c>
      <c r="B43" s="34" t="str">
        <v>NM</v>
      </c>
      <c r="C43" s="35">
        <f>SUM('1st Qtr'!C43, '2nd Qtr'!C43, '3rd Qtr'!C43, '4th Qtr'!C43)</f>
        <v>49244</v>
      </c>
      <c r="D43" s="35">
        <f>SUM('1st Qtr'!D43, '2nd Qtr'!D43, '3rd Qtr'!D43, '4th Qtr'!D43)</f>
        <v>0</v>
      </c>
      <c r="E43" s="36">
        <f t="shared" si="3"/>
        <v>49244</v>
      </c>
      <c r="F43" s="37" t="str">
        <f t="shared" si="1"/>
        <v/>
      </c>
      <c r="G43" s="38">
        <f>SUM('1st Qtr'!G43, '2nd Qtr'!G43, '3rd Qtr'!G43, '4th Qtr'!G43)</f>
        <v>53562.539999999994</v>
      </c>
      <c r="H43" s="38">
        <f>SUM('1st Qtr'!H43, '2nd Qtr'!H43, '3rd Qtr'!H43, '4th Qtr'!H43)</f>
        <v>-4318.5399999999991</v>
      </c>
      <c r="I43" s="37">
        <f t="shared" si="2"/>
        <v>-8.0626124153186152E-2</v>
      </c>
    </row>
    <row r="44" spans="1:9" ht="15.6">
      <c r="A44" s="26" t="str">
        <v>Deming - Bilbo Well</v>
      </c>
      <c r="B44" s="27" t="str">
        <v>NM</v>
      </c>
      <c r="C44" s="28">
        <f>SUM('1st Qtr'!C44, '2nd Qtr'!C44, '3rd Qtr'!C44, '4th Qtr'!C44)</f>
        <v>92698</v>
      </c>
      <c r="D44" s="29">
        <f>SUM('1st Qtr'!D44, '2nd Qtr'!D44, '3rd Qtr'!D44, '4th Qtr'!D44)</f>
        <v>0</v>
      </c>
      <c r="E44" s="29">
        <f t="shared" si="3"/>
        <v>92698</v>
      </c>
      <c r="F44" s="30" t="str">
        <f t="shared" si="1"/>
        <v/>
      </c>
      <c r="G44" s="31">
        <f>SUM('1st Qtr'!G44, '2nd Qtr'!G44, '3rd Qtr'!G44, '4th Qtr'!G44)</f>
        <v>96825.890000000014</v>
      </c>
      <c r="H44" s="31">
        <f>SUM('1st Qtr'!H44, '2nd Qtr'!H44, '3rd Qtr'!H44, '4th Qtr'!H44)</f>
        <v>-4127.8900000000031</v>
      </c>
      <c r="I44" s="32">
        <f t="shared" si="2"/>
        <v>-4.2632089413275752E-2</v>
      </c>
    </row>
    <row r="45" spans="1:9" ht="15.6">
      <c r="A45" s="33" t="str">
        <v>Deming - WWTP</v>
      </c>
      <c r="B45" s="34" t="str">
        <v>NM</v>
      </c>
      <c r="C45" s="35">
        <f>SUM('1st Qtr'!C45, '2nd Qtr'!C45, '3rd Qtr'!C45, '4th Qtr'!C45)</f>
        <v>334890</v>
      </c>
      <c r="D45" s="35">
        <f>SUM('1st Qtr'!D45, '2nd Qtr'!D45, '3rd Qtr'!D45, '4th Qtr'!D45)</f>
        <v>297666.39</v>
      </c>
      <c r="E45" s="36">
        <f t="shared" si="3"/>
        <v>37223.609999999986</v>
      </c>
      <c r="F45" s="37">
        <f t="shared" si="1"/>
        <v>0.12505143761779752</v>
      </c>
      <c r="G45" s="38">
        <f>SUM('1st Qtr'!G45, '2nd Qtr'!G45, '3rd Qtr'!G45, '4th Qtr'!G45)</f>
        <v>389596.48</v>
      </c>
      <c r="H45" s="38">
        <f>SUM('1st Qtr'!H45, '2nd Qtr'!H45, '3rd Qtr'!H45, '4th Qtr'!H45)</f>
        <v>-54706.479999999996</v>
      </c>
      <c r="I45" s="37">
        <f t="shared" si="2"/>
        <v>-0.1404183117876219</v>
      </c>
    </row>
    <row r="46" spans="1:9" ht="15.6">
      <c r="A46" s="26" t="str">
        <v>Truth or Consequences - Walmart</v>
      </c>
      <c r="B46" s="27" t="str">
        <v>NM</v>
      </c>
      <c r="C46" s="28">
        <f>SUM('1st Qtr'!C46, '2nd Qtr'!C46, '3rd Qtr'!C46, '4th Qtr'!C46)</f>
        <v>669200</v>
      </c>
      <c r="D46" s="29">
        <f>SUM('1st Qtr'!D46, '2nd Qtr'!D46, '3rd Qtr'!D46, '4th Qtr'!D46)</f>
        <v>1397744.3</v>
      </c>
      <c r="E46" s="29">
        <f t="shared" si="3"/>
        <v>-728544.3</v>
      </c>
      <c r="F46" s="30">
        <f t="shared" si="1"/>
        <v>-0.52122859667537191</v>
      </c>
      <c r="G46" s="31">
        <f>SUM('1st Qtr'!G46, '2nd Qtr'!G46, '3rd Qtr'!G46, '4th Qtr'!G46)</f>
        <v>829696.5</v>
      </c>
      <c r="H46" s="31">
        <f>SUM('1st Qtr'!H46, '2nd Qtr'!H46, '3rd Qtr'!H46, '4th Qtr'!H46)</f>
        <v>-160496.5</v>
      </c>
      <c r="I46" s="32">
        <f t="shared" si="2"/>
        <v>-0.19344001089555035</v>
      </c>
    </row>
    <row r="47" spans="1:9" ht="15.6">
      <c r="A47" s="33" t="str">
        <v>CA: Stockton - SUSD - Merlo</v>
      </c>
      <c r="B47" s="34" t="str">
        <v>CA</v>
      </c>
      <c r="C47" s="35">
        <f>SUM('1st Qtr'!C47, '2nd Qtr'!C47, '3rd Qtr'!C47, '4th Qtr'!C47)</f>
        <v>2688.7498120886739</v>
      </c>
      <c r="D47" s="35">
        <f>SUM('1st Qtr'!D47, '2nd Qtr'!D47, '3rd Qtr'!D47, '4th Qtr'!D47)</f>
        <v>29187.360000000001</v>
      </c>
      <c r="E47" s="36">
        <f t="shared" si="3"/>
        <v>-26498.610187911327</v>
      </c>
      <c r="F47" s="37">
        <f t="shared" si="1"/>
        <v>-0.90787965022911721</v>
      </c>
      <c r="G47" s="38">
        <f>SUM('1st Qtr'!G47, '2nd Qtr'!G47, '3rd Qtr'!G47, '4th Qtr'!G47)</f>
        <v>37053.78</v>
      </c>
      <c r="H47" s="38">
        <f>SUM('1st Qtr'!H47, '2nd Qtr'!H47, '3rd Qtr'!H47, '4th Qtr'!H47)</f>
        <v>-34365.030187911325</v>
      </c>
      <c r="I47" s="37">
        <f t="shared" si="2"/>
        <v>-0.92743655810314973</v>
      </c>
    </row>
    <row r="48" spans="1:9" ht="15.6">
      <c r="A48" s="26" t="str">
        <v>Stockton Unified School Dist. - Bush Elementary</v>
      </c>
      <c r="B48" s="27" t="str">
        <v>CA</v>
      </c>
      <c r="C48" s="28">
        <f>SUM('1st Qtr'!C48, '2nd Qtr'!C48, '3rd Qtr'!C48, '4th Qtr'!C48)</f>
        <v>80519</v>
      </c>
      <c r="D48" s="29">
        <f>SUM('1st Qtr'!D48, '2nd Qtr'!D48, '3rd Qtr'!D48, '4th Qtr'!D48)</f>
        <v>116544.05699999999</v>
      </c>
      <c r="E48" s="29">
        <f t="shared" si="3"/>
        <v>-36025.056999999986</v>
      </c>
      <c r="F48" s="30">
        <f t="shared" si="1"/>
        <v>-0.3091110600345755</v>
      </c>
      <c r="G48" s="31">
        <f>SUM('1st Qtr'!G48, '2nd Qtr'!G48, '3rd Qtr'!G48, '4th Qtr'!G48)</f>
        <v>120462.41100000001</v>
      </c>
      <c r="H48" s="31">
        <f>SUM('1st Qtr'!H48, '2nd Qtr'!H48, '3rd Qtr'!H48, '4th Qtr'!H48)</f>
        <v>-39943.411</v>
      </c>
      <c r="I48" s="32">
        <f t="shared" si="2"/>
        <v>-0.33158402416501526</v>
      </c>
    </row>
    <row r="49" spans="1:9" ht="15.6">
      <c r="A49" s="33" t="str">
        <v>CA: Stockton - SUSD - Marshall JHS</v>
      </c>
      <c r="B49" s="34" t="str">
        <v>CA</v>
      </c>
      <c r="C49" s="35">
        <f>SUM('1st Qtr'!C49, '2nd Qtr'!C49, '3rd Qtr'!C49, '4th Qtr'!C49)</f>
        <v>25390</v>
      </c>
      <c r="D49" s="35">
        <f>SUM('1st Qtr'!D49, '2nd Qtr'!D49, '3rd Qtr'!D49, '4th Qtr'!D49)</f>
        <v>76283.5</v>
      </c>
      <c r="E49" s="36">
        <f t="shared" si="3"/>
        <v>-50893.5</v>
      </c>
      <c r="F49" s="37">
        <f t="shared" si="1"/>
        <v>-0.66716262363420664</v>
      </c>
      <c r="G49" s="38">
        <f>SUM('1st Qtr'!G49, '2nd Qtr'!G49, '3rd Qtr'!G49, '4th Qtr'!G49)</f>
        <v>79464.13</v>
      </c>
      <c r="H49" s="38">
        <f>SUM('1st Qtr'!H49, '2nd Qtr'!H49, '3rd Qtr'!H49, '4th Qtr'!H49)</f>
        <v>-54074.130000000005</v>
      </c>
      <c r="I49" s="37">
        <f t="shared" si="2"/>
        <v>-0.68048476715217299</v>
      </c>
    </row>
    <row r="50" spans="1:9" ht="15.6">
      <c r="A50" s="26" t="str">
        <v>CA: Stockton - SUSD - Hong-Kingston ES</v>
      </c>
      <c r="B50" s="27" t="str">
        <v>CA</v>
      </c>
      <c r="C50" s="28">
        <f>SUM('1st Qtr'!C50, '2nd Qtr'!C50, '3rd Qtr'!C50, '4th Qtr'!C50)</f>
        <v>32399.5</v>
      </c>
      <c r="D50" s="29">
        <f>SUM('1st Qtr'!D50, '2nd Qtr'!D50, '3rd Qtr'!D50, '4th Qtr'!D50)</f>
        <v>128226.29</v>
      </c>
      <c r="E50" s="29">
        <f t="shared" si="3"/>
        <v>-95826.79</v>
      </c>
      <c r="F50" s="30">
        <f t="shared" si="1"/>
        <v>-0.74732560694066719</v>
      </c>
      <c r="G50" s="31">
        <f>SUM('1st Qtr'!G50, '2nd Qtr'!G50, '3rd Qtr'!G50, '4th Qtr'!G50)</f>
        <v>128895.57</v>
      </c>
      <c r="H50" s="31">
        <f>SUM('1st Qtr'!H50, '2nd Qtr'!H50, '3rd Qtr'!H50, '4th Qtr'!H50)</f>
        <v>-96496.07</v>
      </c>
      <c r="I50" s="32">
        <f t="shared" si="2"/>
        <v>-0.74863759863896018</v>
      </c>
    </row>
    <row r="51" spans="1:9" ht="15.6">
      <c r="A51" s="33" t="str">
        <v>CA: Stockton - SUSD - Hamilton ES</v>
      </c>
      <c r="B51" s="34" t="str">
        <v>CA</v>
      </c>
      <c r="C51" s="35">
        <f>SUM('1st Qtr'!C51, '2nd Qtr'!C51, '3rd Qtr'!C51, '4th Qtr'!C51)</f>
        <v>20446.875</v>
      </c>
      <c r="D51" s="35">
        <f>SUM('1st Qtr'!D51, '2nd Qtr'!D51, '3rd Qtr'!D51, '4th Qtr'!D51)</f>
        <v>66086.459999999992</v>
      </c>
      <c r="E51" s="36">
        <f t="shared" si="3"/>
        <v>-45639.584999999992</v>
      </c>
      <c r="F51" s="37">
        <f t="shared" si="1"/>
        <v>-0.69060417217081982</v>
      </c>
      <c r="G51" s="38">
        <f>SUM('1st Qtr'!G51, '2nd Qtr'!G51, '3rd Qtr'!G51, '4th Qtr'!G51)</f>
        <v>68457.27</v>
      </c>
      <c r="H51" s="38">
        <f>SUM('1st Qtr'!H51, '2nd Qtr'!H51, '3rd Qtr'!H51, '4th Qtr'!H51)</f>
        <v>-48010.395000000004</v>
      </c>
      <c r="I51" s="37">
        <f t="shared" si="2"/>
        <v>-0.70131915865181305</v>
      </c>
    </row>
    <row r="52" spans="1:9" ht="15.6">
      <c r="A52" s="26" t="str">
        <v>CA: Stockton - SUSD - Franklin - North</v>
      </c>
      <c r="B52" s="27" t="str">
        <v>CA</v>
      </c>
      <c r="C52" s="28">
        <f>SUM('1st Qtr'!C52, '2nd Qtr'!C52, '3rd Qtr'!C52, '4th Qtr'!C52)</f>
        <v>94312.5</v>
      </c>
      <c r="D52" s="29">
        <f>SUM('1st Qtr'!D52, '2nd Qtr'!D52, '3rd Qtr'!D52, '4th Qtr'!D52)</f>
        <v>310036.5</v>
      </c>
      <c r="E52" s="29">
        <f t="shared" si="3"/>
        <v>-215724</v>
      </c>
      <c r="F52" s="30">
        <f t="shared" si="1"/>
        <v>-0.69580194589991828</v>
      </c>
      <c r="G52" s="31">
        <f>SUM('1st Qtr'!G52, '2nd Qtr'!G52, '3rd Qtr'!G52, '4th Qtr'!G52)</f>
        <v>181213.3</v>
      </c>
      <c r="H52" s="31">
        <f>SUM('1st Qtr'!H52, '2nd Qtr'!H52, '3rd Qtr'!H52, '4th Qtr'!H52)</f>
        <v>-86900.799999999988</v>
      </c>
      <c r="I52" s="32">
        <f t="shared" si="2"/>
        <v>-0.47954979021959204</v>
      </c>
    </row>
    <row r="53" spans="1:9" ht="15.6">
      <c r="A53" s="33" t="str">
        <v>Stockton Unified School Dist. - Fillmore Elementary</v>
      </c>
      <c r="B53" s="34" t="str">
        <v>CA</v>
      </c>
      <c r="C53" s="35">
        <f>SUM('1st Qtr'!C53, '2nd Qtr'!C53, '3rd Qtr'!C53, '4th Qtr'!C53)</f>
        <v>14375.25</v>
      </c>
      <c r="D53" s="35">
        <f>SUM('1st Qtr'!D53, '2nd Qtr'!D53, '3rd Qtr'!D53, '4th Qtr'!D53)</f>
        <v>53586.48</v>
      </c>
      <c r="E53" s="36">
        <f t="shared" si="3"/>
        <v>-39211.230000000003</v>
      </c>
      <c r="F53" s="37">
        <f t="shared" si="1"/>
        <v>-0.73173737106822467</v>
      </c>
      <c r="G53" s="38">
        <f>SUM('1st Qtr'!G53, '2nd Qtr'!G53, '3rd Qtr'!G53, '4th Qtr'!G53)</f>
        <v>55069.069999999992</v>
      </c>
      <c r="H53" s="38">
        <f>SUM('1st Qtr'!H53, '2nd Qtr'!H53, '3rd Qtr'!H53, '4th Qtr'!H53)</f>
        <v>-40693.82</v>
      </c>
      <c r="I53" s="37">
        <f t="shared" si="2"/>
        <v>-0.73895963741534054</v>
      </c>
    </row>
    <row r="54" spans="1:9" ht="15.6">
      <c r="A54" s="26" t="str">
        <v>CA: Stockton - SUSD - El Dorado ES</v>
      </c>
      <c r="B54" s="27" t="str">
        <v>CA</v>
      </c>
      <c r="C54" s="28">
        <f>SUM('1st Qtr'!C54, '2nd Qtr'!C54, '3rd Qtr'!C54, '4th Qtr'!C54)</f>
        <v>17195.625</v>
      </c>
      <c r="D54" s="29">
        <f>SUM('1st Qtr'!D54, '2nd Qtr'!D54, '3rd Qtr'!D54, '4th Qtr'!D54)</f>
        <v>70289.31</v>
      </c>
      <c r="E54" s="29">
        <f t="shared" si="3"/>
        <v>-53093.684999999998</v>
      </c>
      <c r="F54" s="30">
        <f t="shared" si="1"/>
        <v>-0.7553593142399605</v>
      </c>
      <c r="G54" s="31">
        <f>SUM('1st Qtr'!G54, '2nd Qtr'!G54, '3rd Qtr'!G54, '4th Qtr'!G54)</f>
        <v>0</v>
      </c>
      <c r="H54" s="31">
        <f>SUM('1st Qtr'!H54, '2nd Qtr'!H54, '3rd Qtr'!H54, '4th Qtr'!H54)</f>
        <v>17195.625</v>
      </c>
      <c r="I54" s="32" t="str">
        <f t="shared" si="2"/>
        <v/>
      </c>
    </row>
    <row r="55" spans="1:9" ht="15.6">
      <c r="A55" s="33" t="str">
        <v>CA: Stockton - SUSD - Edison HS</v>
      </c>
      <c r="B55" s="34" t="str">
        <v>CA</v>
      </c>
      <c r="C55" s="35">
        <f>SUM('1st Qtr'!C55, '2nd Qtr'!C55, '3rd Qtr'!C55, '4th Qtr'!C55)</f>
        <v>122176.5</v>
      </c>
      <c r="D55" s="35">
        <f>SUM('1st Qtr'!D55, '2nd Qtr'!D55, '3rd Qtr'!D55, '4th Qtr'!D55)</f>
        <v>181205.63</v>
      </c>
      <c r="E55" s="36">
        <f t="shared" si="3"/>
        <v>-59029.130000000005</v>
      </c>
      <c r="F55" s="37">
        <f t="shared" si="1"/>
        <v>-0.325757704106655</v>
      </c>
      <c r="G55" s="38">
        <f>SUM('1st Qtr'!G55, '2nd Qtr'!G55, '3rd Qtr'!G55, '4th Qtr'!G55)</f>
        <v>187746.03</v>
      </c>
      <c r="H55" s="38">
        <f>SUM('1st Qtr'!H55, '2nd Qtr'!H55, '3rd Qtr'!H55, '4th Qtr'!H55)</f>
        <v>-65569.53</v>
      </c>
      <c r="I55" s="37">
        <f t="shared" si="2"/>
        <v>-0.34924589350837404</v>
      </c>
    </row>
    <row r="56" spans="1:9" ht="15.6">
      <c r="A56" s="26" t="str">
        <v>CA: Stockton - SUSD - Chavez HS - Large</v>
      </c>
      <c r="B56" s="27" t="str">
        <v>CA</v>
      </c>
      <c r="C56" s="28">
        <f>SUM('1st Qtr'!C56, '2nd Qtr'!C56, '3rd Qtr'!C56, '4th Qtr'!C56)</f>
        <v>123296</v>
      </c>
      <c r="D56" s="29">
        <f>SUM('1st Qtr'!D56, '2nd Qtr'!D56, '3rd Qtr'!D56, '4th Qtr'!D56)</f>
        <v>398932.19999999995</v>
      </c>
      <c r="E56" s="29">
        <f t="shared" si="3"/>
        <v>-275636.19999999995</v>
      </c>
      <c r="F56" s="30">
        <f t="shared" si="1"/>
        <v>-0.69093495085129752</v>
      </c>
      <c r="G56" s="31">
        <f>SUM('1st Qtr'!G56, '2nd Qtr'!G56, '3rd Qtr'!G56, '4th Qtr'!G56)</f>
        <v>392583.9</v>
      </c>
      <c r="H56" s="31">
        <f>SUM('1st Qtr'!H56, '2nd Qtr'!H56, '3rd Qtr'!H56, '4th Qtr'!H56)</f>
        <v>-269287.90000000002</v>
      </c>
      <c r="I56" s="32">
        <f t="shared" si="2"/>
        <v>-0.68593719711888335</v>
      </c>
    </row>
    <row r="57" spans="1:9" ht="15.6">
      <c r="A57" s="33" t="str">
        <v>CA: San Jose - GE Mobile Water</v>
      </c>
      <c r="B57" s="34" t="str">
        <v>CA</v>
      </c>
      <c r="C57" s="35">
        <f>SUM('1st Qtr'!C57, '2nd Qtr'!C57, '3rd Qtr'!C57, '4th Qtr'!C57)</f>
        <v>89778</v>
      </c>
      <c r="D57" s="35">
        <f>SUM('1st Qtr'!D57, '2nd Qtr'!D57, '3rd Qtr'!D57, '4th Qtr'!D57)</f>
        <v>101356.57</v>
      </c>
      <c r="E57" s="36">
        <f t="shared" si="3"/>
        <v>-11578.570000000007</v>
      </c>
      <c r="F57" s="37">
        <f t="shared" si="1"/>
        <v>-0.11423600857842768</v>
      </c>
      <c r="G57" s="38">
        <f>SUM('1st Qtr'!G57, '2nd Qtr'!G57, '3rd Qtr'!G57, '4th Qtr'!G57)</f>
        <v>101893.75</v>
      </c>
      <c r="H57" s="38">
        <f>SUM('1st Qtr'!H57, '2nd Qtr'!H57, '3rd Qtr'!H57, '4th Qtr'!H57)</f>
        <v>-12115.75</v>
      </c>
      <c r="I57" s="37">
        <f t="shared" si="2"/>
        <v>-0.11890572287309084</v>
      </c>
    </row>
    <row r="58" spans="1:9" ht="15.6">
      <c r="A58" s="26" t="str">
        <v>CA: San Marcos - Vallecitos Water - Lift Station</v>
      </c>
      <c r="B58" s="27" t="str">
        <v>CA</v>
      </c>
      <c r="C58" s="28">
        <f>SUM('1st Qtr'!C58, '2nd Qtr'!C58, '3rd Qtr'!C58, '4th Qtr'!C58)</f>
        <v>120318.75</v>
      </c>
      <c r="D58" s="29">
        <f>SUM('1st Qtr'!D58, '2nd Qtr'!D58, '3rd Qtr'!D58, '4th Qtr'!D58)</f>
        <v>121566.94</v>
      </c>
      <c r="E58" s="29">
        <f t="shared" si="3"/>
        <v>-1248.1900000000023</v>
      </c>
      <c r="F58" s="30">
        <f t="shared" si="1"/>
        <v>-1.0267511874527749E-2</v>
      </c>
      <c r="G58" s="31">
        <f>SUM('1st Qtr'!G58, '2nd Qtr'!G58, '3rd Qtr'!G58, '4th Qtr'!G58)</f>
        <v>121821.84</v>
      </c>
      <c r="H58" s="31">
        <f>SUM('1st Qtr'!H58, '2nd Qtr'!H58, '3rd Qtr'!H58, '4th Qtr'!H58)</f>
        <v>-1503.0900000000038</v>
      </c>
      <c r="I58" s="32">
        <f t="shared" si="2"/>
        <v>-1.2338427986311845E-2</v>
      </c>
    </row>
    <row r="59" spans="1:9" ht="15.6">
      <c r="A59" s="33" t="str">
        <v>CA: San Marcos - Vallecitos Water - Twin Oaks Reservoir</v>
      </c>
      <c r="B59" s="34" t="str">
        <v>CA</v>
      </c>
      <c r="C59" s="35">
        <f>SUM('1st Qtr'!C59, '2nd Qtr'!C59, '3rd Qtr'!C59, '4th Qtr'!C59)</f>
        <v>900268.99999999802</v>
      </c>
      <c r="D59" s="35">
        <f>SUM('1st Qtr'!D59, '2nd Qtr'!D59, '3rd Qtr'!D59, '4th Qtr'!D59)</f>
        <v>963252.20000000007</v>
      </c>
      <c r="E59" s="36">
        <f t="shared" si="3"/>
        <v>-62983.200000002049</v>
      </c>
      <c r="F59" s="37">
        <f t="shared" si="1"/>
        <v>-6.5385991332282498E-2</v>
      </c>
      <c r="G59" s="38">
        <f>SUM('1st Qtr'!G59, '2nd Qtr'!G59, '3rd Qtr'!G59, '4th Qtr'!G59)</f>
        <v>779904</v>
      </c>
      <c r="H59" s="38">
        <f>SUM('1st Qtr'!H59, '2nd Qtr'!H59, '3rd Qtr'!H59, '4th Qtr'!H59)</f>
        <v>120364.99999999802</v>
      </c>
      <c r="I59" s="37">
        <f t="shared" si="2"/>
        <v>0.1543330974068578</v>
      </c>
    </row>
    <row r="60" spans="1:9" ht="15.6">
      <c r="A60" s="26" t="str">
        <v>CA: Stockton - SUSD - Wilhelmina Henry ES</v>
      </c>
      <c r="B60" s="27" t="str">
        <v>CA</v>
      </c>
      <c r="C60" s="28">
        <f>SUM('1st Qtr'!C60, '2nd Qtr'!C60, '3rd Qtr'!C60, '4th Qtr'!C60)</f>
        <v>26046</v>
      </c>
      <c r="D60" s="29">
        <f>SUM('1st Qtr'!D60, '2nd Qtr'!D60, '3rd Qtr'!D60, '4th Qtr'!D60)</f>
        <v>153138.71</v>
      </c>
      <c r="E60" s="29">
        <f t="shared" si="3"/>
        <v>-127092.70999999999</v>
      </c>
      <c r="F60" s="30">
        <f t="shared" si="1"/>
        <v>-0.82991890162846482</v>
      </c>
      <c r="G60" s="31">
        <f>SUM('1st Qtr'!G60, '2nd Qtr'!G60, '3rd Qtr'!G60, '4th Qtr'!G60)</f>
        <v>126380.35999999999</v>
      </c>
      <c r="H60" s="31">
        <f>SUM('1st Qtr'!H60, '2nd Qtr'!H60, '3rd Qtr'!H60, '4th Qtr'!H60)</f>
        <v>-100334.35999999999</v>
      </c>
      <c r="I60" s="32">
        <f t="shared" si="2"/>
        <v>-0.79390785087176519</v>
      </c>
    </row>
    <row r="61" spans="1:9" ht="15.6">
      <c r="A61" s="33" t="str">
        <v>Stockton Unified School Dist. - Franklin (North)</v>
      </c>
      <c r="B61" s="34" t="str">
        <v>CA</v>
      </c>
      <c r="C61" s="35">
        <f>SUM('1st Qtr'!C61, '2nd Qtr'!C61, '3rd Qtr'!C61, '4th Qtr'!C61)</f>
        <v>70714.7</v>
      </c>
      <c r="D61" s="35">
        <f>SUM('1st Qtr'!D61, '2nd Qtr'!D61, '3rd Qtr'!D61, '4th Qtr'!D61)</f>
        <v>208595.20000000001</v>
      </c>
      <c r="E61" s="36">
        <f t="shared" si="3"/>
        <v>-137880.5</v>
      </c>
      <c r="F61" s="37">
        <f t="shared" si="1"/>
        <v>-0.66099555502715301</v>
      </c>
      <c r="G61" s="38">
        <f>SUM('1st Qtr'!G61, '2nd Qtr'!G61, '3rd Qtr'!G61, '4th Qtr'!G61)</f>
        <v>123420.29000000001</v>
      </c>
      <c r="H61" s="38">
        <f>SUM('1st Qtr'!H61, '2nd Qtr'!H61, '3rd Qtr'!H61, '4th Qtr'!H61)</f>
        <v>-52705.59</v>
      </c>
      <c r="I61" s="37">
        <f t="shared" si="2"/>
        <v>-0.42704153425664443</v>
      </c>
    </row>
    <row r="62" spans="1:9" ht="15.6">
      <c r="A62" s="26" t="str">
        <v>CA: Stockton - SUSD - Franklin - South</v>
      </c>
      <c r="B62" s="27" t="str">
        <v>CA</v>
      </c>
      <c r="C62" s="28">
        <f>SUM('1st Qtr'!C62, '2nd Qtr'!C62, '3rd Qtr'!C62, '4th Qtr'!C62)</f>
        <v>124089.75</v>
      </c>
      <c r="D62" s="29">
        <f>SUM('1st Qtr'!D62, '2nd Qtr'!D62, '3rd Qtr'!D62, '4th Qtr'!D62)</f>
        <v>300650.75</v>
      </c>
      <c r="E62" s="29">
        <f t="shared" si="3"/>
        <v>-176561</v>
      </c>
      <c r="F62" s="30">
        <f t="shared" si="1"/>
        <v>-0.58726279578547536</v>
      </c>
      <c r="G62" s="31">
        <f>SUM('1st Qtr'!G62, '2nd Qtr'!G62, '3rd Qtr'!G62, '4th Qtr'!G62)</f>
        <v>293101.75</v>
      </c>
      <c r="H62" s="31">
        <f>SUM('1st Qtr'!H62, '2nd Qtr'!H62, '3rd Qtr'!H62, '4th Qtr'!H62)</f>
        <v>-169012</v>
      </c>
      <c r="I62" s="32">
        <f t="shared" si="2"/>
        <v>-0.57663251754723399</v>
      </c>
    </row>
    <row r="63" spans="1:9" ht="15.6">
      <c r="A63" s="33" t="str">
        <v>CA: Stockton - SUSD - Chavez HS - Small</v>
      </c>
      <c r="B63" s="34" t="str">
        <v>CA</v>
      </c>
      <c r="C63" s="35">
        <f>SUM('1st Qtr'!C63, '2nd Qtr'!C63, '3rd Qtr'!C63, '4th Qtr'!C63)</f>
        <v>75352.75</v>
      </c>
      <c r="D63" s="35">
        <f>SUM('1st Qtr'!D63, '2nd Qtr'!D63, '3rd Qtr'!D63, '4th Qtr'!D63)</f>
        <v>75690.36</v>
      </c>
      <c r="E63" s="36">
        <f t="shared" si="3"/>
        <v>-337.61000000000058</v>
      </c>
      <c r="F63" s="37">
        <f t="shared" si="1"/>
        <v>-4.4604094893986573E-3</v>
      </c>
      <c r="G63" s="38">
        <f>SUM('1st Qtr'!G63, '2nd Qtr'!G63, '3rd Qtr'!G63, '4th Qtr'!G63)</f>
        <v>110903.57</v>
      </c>
      <c r="H63" s="38">
        <f>SUM('1st Qtr'!H63, '2nd Qtr'!H63, '3rd Qtr'!H63, '4th Qtr'!H63)</f>
        <v>-35550.82</v>
      </c>
      <c r="I63" s="37">
        <f t="shared" si="2"/>
        <v>-0.32055613719197673</v>
      </c>
    </row>
    <row r="64" spans="1:9" ht="15.6">
      <c r="A64" s="26" t="str">
        <v>CA: Stockton - SUSD - Facilities</v>
      </c>
      <c r="B64" s="27" t="str">
        <v>CA</v>
      </c>
      <c r="C64" s="28">
        <f>SUM('1st Qtr'!C64, '2nd Qtr'!C64, '3rd Qtr'!C64, '4th Qtr'!C64)</f>
        <v>63307</v>
      </c>
      <c r="D64" s="29">
        <f>SUM('1st Qtr'!D64, '2nd Qtr'!D64, '3rd Qtr'!D64, '4th Qtr'!D64)</f>
        <v>170992.03</v>
      </c>
      <c r="E64" s="29">
        <f t="shared" si="3"/>
        <v>-107685.03</v>
      </c>
      <c r="F64" s="30">
        <f t="shared" si="1"/>
        <v>-0.62976636981267486</v>
      </c>
      <c r="G64" s="31">
        <f>SUM('1st Qtr'!G64, '2nd Qtr'!G64, '3rd Qtr'!G64, '4th Qtr'!G64)</f>
        <v>188744.27000000002</v>
      </c>
      <c r="H64" s="31">
        <f>SUM('1st Qtr'!H64, '2nd Qtr'!H64, '3rd Qtr'!H64, '4th Qtr'!H64)</f>
        <v>-125437.27</v>
      </c>
      <c r="I64" s="32">
        <f t="shared" si="2"/>
        <v>-0.66458849320299895</v>
      </c>
    </row>
    <row r="65" spans="1:9" ht="15.6">
      <c r="A65" s="33" t="str">
        <v>CA: Stockton - SUSD - Harrison</v>
      </c>
      <c r="B65" s="34" t="str">
        <v>CA</v>
      </c>
      <c r="C65" s="35">
        <f>SUM('1st Qtr'!C65, '2nd Qtr'!C65, '3rd Qtr'!C65, '4th Qtr'!C65)</f>
        <v>45041.125</v>
      </c>
      <c r="D65" s="35">
        <f>SUM('1st Qtr'!D65, '2nd Qtr'!D65, '3rd Qtr'!D65, '4th Qtr'!D65)</f>
        <v>68135.16</v>
      </c>
      <c r="E65" s="36">
        <f t="shared" si="3"/>
        <v>-23094.035000000003</v>
      </c>
      <c r="F65" s="37">
        <f t="shared" si="1"/>
        <v>-0.33894445980606785</v>
      </c>
      <c r="G65" s="38">
        <f>SUM('1st Qtr'!G65, '2nd Qtr'!G65, '3rd Qtr'!G65, '4th Qtr'!G65)</f>
        <v>67555.27</v>
      </c>
      <c r="H65" s="38">
        <f>SUM('1st Qtr'!H65, '2nd Qtr'!H65, '3rd Qtr'!H65, '4th Qtr'!H65)</f>
        <v>-22514.145000000004</v>
      </c>
      <c r="I65" s="37">
        <f t="shared" si="2"/>
        <v>-0.33327000247353022</v>
      </c>
    </row>
    <row r="66" spans="1:9" ht="15.6">
      <c r="A66" s="26" t="str">
        <v>CA: Stockton - SUSD - Commodore Skills School</v>
      </c>
      <c r="B66" s="27" t="str">
        <v>CA</v>
      </c>
      <c r="C66" s="28">
        <f>SUM('1st Qtr'!C66, '2nd Qtr'!C66, '3rd Qtr'!C66, '4th Qtr'!C66)</f>
        <v>21645.75</v>
      </c>
      <c r="D66" s="29">
        <f>SUM('1st Qtr'!D66, '2nd Qtr'!D66, '3rd Qtr'!D66, '4th Qtr'!D66)</f>
        <v>136526.37</v>
      </c>
      <c r="E66" s="29">
        <f t="shared" si="3"/>
        <v>-114880.62</v>
      </c>
      <c r="F66" s="30">
        <f t="shared" si="1"/>
        <v>-0.84145370597636193</v>
      </c>
      <c r="G66" s="31">
        <f>SUM('1st Qtr'!G66, '2nd Qtr'!G66, '3rd Qtr'!G66, '4th Qtr'!G66)</f>
        <v>146967.04999999999</v>
      </c>
      <c r="H66" s="31">
        <f>SUM('1st Qtr'!H66, '2nd Qtr'!H66, '3rd Qtr'!H66, '4th Qtr'!H66)</f>
        <v>-125321.3</v>
      </c>
      <c r="I66" s="32">
        <f t="shared" si="2"/>
        <v>-0.85271698656263439</v>
      </c>
    </row>
    <row r="67" spans="1:9" ht="15.6">
      <c r="A67" s="33" t="str">
        <v>CA: Stockton - SUSD - Nightingale ES</v>
      </c>
      <c r="B67" s="34" t="str">
        <v>CA</v>
      </c>
      <c r="C67" s="35">
        <f>SUM('1st Qtr'!C67, '2nd Qtr'!C67, '3rd Qtr'!C67, '4th Qtr'!C67)</f>
        <v>59500</v>
      </c>
      <c r="D67" s="35">
        <f>SUM('1st Qtr'!D67, '2nd Qtr'!D67, '3rd Qtr'!D67, '4th Qtr'!D67)</f>
        <v>66656.58</v>
      </c>
      <c r="E67" s="36">
        <f t="shared" si="3"/>
        <v>-7156.5800000000017</v>
      </c>
      <c r="F67" s="37">
        <f t="shared" si="1"/>
        <v>-0.10736494431607504</v>
      </c>
      <c r="G67" s="38">
        <f>SUM('1st Qtr'!G67, '2nd Qtr'!G67, '3rd Qtr'!G67, '4th Qtr'!G67)</f>
        <v>68065.94</v>
      </c>
      <c r="H67" s="38">
        <f>SUM('1st Qtr'!H67, '2nd Qtr'!H67, '3rd Qtr'!H67, '4th Qtr'!H67)</f>
        <v>-8565.9399999999987</v>
      </c>
      <c r="I67" s="37">
        <f t="shared" si="2"/>
        <v>-0.12584767065583755</v>
      </c>
    </row>
    <row r="68" spans="1:9" ht="15.6">
      <c r="A68" s="26" t="str">
        <v>CA: Stockton - SUSD - Weber Institute</v>
      </c>
      <c r="B68" s="27" t="str">
        <v>CA</v>
      </c>
      <c r="C68" s="28">
        <f>SUM('1st Qtr'!C68, '2nd Qtr'!C68, '3rd Qtr'!C68, '4th Qtr'!C68)</f>
        <v>25861</v>
      </c>
      <c r="D68" s="29">
        <f>SUM('1st Qtr'!D68, '2nd Qtr'!D68, '3rd Qtr'!D68, '4th Qtr'!D68)</f>
        <v>136686.5</v>
      </c>
      <c r="E68" s="29">
        <f t="shared" si="3"/>
        <v>-110825.5</v>
      </c>
      <c r="F68" s="30">
        <f t="shared" si="1"/>
        <v>-0.81080062771378303</v>
      </c>
      <c r="G68" s="31">
        <f>SUM('1st Qtr'!G68, '2nd Qtr'!G68, '3rd Qtr'!G68, '4th Qtr'!G68)</f>
        <v>140758.93</v>
      </c>
      <c r="H68" s="31">
        <f>SUM('1st Qtr'!H68, '2nd Qtr'!H68, '3rd Qtr'!H68, '4th Qtr'!H68)</f>
        <v>-114897.93</v>
      </c>
      <c r="I68" s="32">
        <f t="shared" si="2"/>
        <v>-0.8162745340562052</v>
      </c>
    </row>
    <row r="69" spans="1:9" ht="15.6">
      <c r="A69" s="33" t="str">
        <v>CA: Stockton - SUSD - Warehouse</v>
      </c>
      <c r="B69" s="34" t="str">
        <v>CA</v>
      </c>
      <c r="C69" s="35">
        <f>SUM('1st Qtr'!C69, '2nd Qtr'!C69, '3rd Qtr'!C69, '4th Qtr'!C69)</f>
        <v>54145.75</v>
      </c>
      <c r="D69" s="35">
        <f>SUM('1st Qtr'!D69, '2nd Qtr'!D69, '3rd Qtr'!D69, '4th Qtr'!D69)</f>
        <v>118355.78</v>
      </c>
      <c r="E69" s="36">
        <f t="shared" si="3"/>
        <v>-64210.03</v>
      </c>
      <c r="F69" s="37">
        <f t="shared" si="1"/>
        <v>-0.54251706169314251</v>
      </c>
      <c r="G69" s="38">
        <f>SUM('1st Qtr'!G69, '2nd Qtr'!G69, '3rd Qtr'!G69, '4th Qtr'!G69)</f>
        <v>133112.29999999999</v>
      </c>
      <c r="H69" s="38">
        <f>SUM('1st Qtr'!H69, '2nd Qtr'!H69, '3rd Qtr'!H69, '4th Qtr'!H69)</f>
        <v>-78966.55</v>
      </c>
      <c r="I69" s="37">
        <f t="shared" si="2"/>
        <v>-0.59323255627015692</v>
      </c>
    </row>
    <row r="70" spans="1:9" ht="15.6">
      <c r="A70" s="26" t="str">
        <v>CA: Stockton - SUSD - Walton Special Center</v>
      </c>
      <c r="B70" s="27" t="str">
        <v>CA</v>
      </c>
      <c r="C70" s="28">
        <f>SUM('1st Qtr'!C70, '2nd Qtr'!C70, '3rd Qtr'!C70, '4th Qtr'!C70)</f>
        <v>45081.75</v>
      </c>
      <c r="D70" s="29">
        <f>SUM('1st Qtr'!D70, '2nd Qtr'!D70, '3rd Qtr'!D70, '4th Qtr'!D70)</f>
        <v>94746.760000000009</v>
      </c>
      <c r="E70" s="29">
        <f t="shared" si="3"/>
        <v>-49665.010000000009</v>
      </c>
      <c r="F70" s="30">
        <f t="shared" ref="F70:F85" si="4">IFERROR(E70/D70, "")</f>
        <v>-0.5241868956785436</v>
      </c>
      <c r="G70" s="31">
        <f>SUM('1st Qtr'!G70, '2nd Qtr'!G70, '3rd Qtr'!G70, '4th Qtr'!G70)</f>
        <v>97535.18</v>
      </c>
      <c r="H70" s="31">
        <f>SUM('1st Qtr'!H70, '2nd Qtr'!H70, '3rd Qtr'!H70, '4th Qtr'!H70)</f>
        <v>-52453.429999999993</v>
      </c>
      <c r="I70" s="32">
        <f t="shared" ref="I70:I85" si="5">IFERROR(H70/G70, "")</f>
        <v>-0.53778985182577199</v>
      </c>
    </row>
    <row r="71" spans="1:9" ht="15.6">
      <c r="A71" s="33" t="str">
        <v>CA: Stockton - SUSD - Stagg HS</v>
      </c>
      <c r="B71" s="34" t="str">
        <v>CA</v>
      </c>
      <c r="C71" s="35">
        <f>SUM('1st Qtr'!C71, '2nd Qtr'!C71, '3rd Qtr'!C71, '4th Qtr'!C71)</f>
        <v>256793</v>
      </c>
      <c r="D71" s="35">
        <f>SUM('1st Qtr'!D71, '2nd Qtr'!D71, '3rd Qtr'!D71, '4th Qtr'!D71)</f>
        <v>366926.7</v>
      </c>
      <c r="E71" s="36">
        <f t="shared" ref="E71:E85" si="6">IF(AND(ISNUMBER(C71),ISNUMBER(D71)), C71-D71, "")</f>
        <v>-110133.70000000001</v>
      </c>
      <c r="F71" s="37">
        <f t="shared" si="4"/>
        <v>-0.30015177418269101</v>
      </c>
      <c r="G71" s="38">
        <f>SUM('1st Qtr'!G71, '2nd Qtr'!G71, '3rd Qtr'!G71, '4th Qtr'!G71)</f>
        <v>368551.6</v>
      </c>
      <c r="H71" s="38">
        <f>SUM('1st Qtr'!H71, '2nd Qtr'!H71, '3rd Qtr'!H71, '4th Qtr'!H71)</f>
        <v>-111758.59999999999</v>
      </c>
      <c r="I71" s="37">
        <f t="shared" si="5"/>
        <v>-0.30323732144969662</v>
      </c>
    </row>
    <row r="72" spans="1:9" ht="15.6">
      <c r="A72" s="26" t="str">
        <v>CA: Stockton - SUSD - School for Adults</v>
      </c>
      <c r="B72" s="27" t="str">
        <v>CA</v>
      </c>
      <c r="C72" s="28">
        <f>SUM('1st Qtr'!C72, '2nd Qtr'!C72, '3rd Qtr'!C72, '4th Qtr'!C72)</f>
        <v>29378.5</v>
      </c>
      <c r="D72" s="29">
        <f>SUM('1st Qtr'!D72, '2nd Qtr'!D72, '3rd Qtr'!D72, '4th Qtr'!D72)</f>
        <v>79497.570000000007</v>
      </c>
      <c r="E72" s="29">
        <f t="shared" si="6"/>
        <v>-50119.070000000007</v>
      </c>
      <c r="F72" s="30">
        <f t="shared" si="4"/>
        <v>-0.63044782375109076</v>
      </c>
      <c r="G72" s="31">
        <f>SUM('1st Qtr'!G72, '2nd Qtr'!G72, '3rd Qtr'!G72, '4th Qtr'!G72)</f>
        <v>79662.73000000001</v>
      </c>
      <c r="H72" s="31">
        <f>SUM('1st Qtr'!H72, '2nd Qtr'!H72, '3rd Qtr'!H72, '4th Qtr'!H72)</f>
        <v>-50284.23</v>
      </c>
      <c r="I72" s="32">
        <f t="shared" si="5"/>
        <v>-0.6312139942982119</v>
      </c>
    </row>
    <row r="73" spans="1:9" ht="15.6">
      <c r="A73" s="33" t="str">
        <v>CA: Stockton - SUSD - San Joaquin</v>
      </c>
      <c r="B73" s="34" t="str">
        <v>CA</v>
      </c>
      <c r="C73" s="35">
        <f>SUM('1st Qtr'!C73, '2nd Qtr'!C73, '3rd Qtr'!C73, '4th Qtr'!C73)</f>
        <v>38703.5</v>
      </c>
      <c r="D73" s="35">
        <f>SUM('1st Qtr'!D73, '2nd Qtr'!D73, '3rd Qtr'!D73, '4th Qtr'!D73)</f>
        <v>72570.429999999993</v>
      </c>
      <c r="E73" s="36">
        <f t="shared" si="6"/>
        <v>-33866.929999999993</v>
      </c>
      <c r="F73" s="37">
        <f t="shared" si="4"/>
        <v>-0.46667671667371952</v>
      </c>
      <c r="G73" s="38">
        <f>SUM('1st Qtr'!G73, '2nd Qtr'!G73, '3rd Qtr'!G73, '4th Qtr'!G73)</f>
        <v>76007.459999999992</v>
      </c>
      <c r="H73" s="38">
        <f>SUM('1st Qtr'!H73, '2nd Qtr'!H73, '3rd Qtr'!H73, '4th Qtr'!H73)</f>
        <v>-37303.96</v>
      </c>
      <c r="I73" s="37">
        <f t="shared" si="5"/>
        <v>-0.49079340370011054</v>
      </c>
    </row>
    <row r="74" spans="1:9" ht="15.6">
      <c r="A74" s="26" t="str">
        <v>CA: Stockton - SUSD - Rio Calaveras</v>
      </c>
      <c r="B74" s="27" t="str">
        <v>CA</v>
      </c>
      <c r="C74" s="28">
        <f>SUM('1st Qtr'!C74, '2nd Qtr'!C74, '3rd Qtr'!C74, '4th Qtr'!C74)</f>
        <v>18832.75</v>
      </c>
      <c r="D74" s="29">
        <f>SUM('1st Qtr'!D74, '2nd Qtr'!D74, '3rd Qtr'!D74, '4th Qtr'!D74)</f>
        <v>78670.75</v>
      </c>
      <c r="E74" s="29">
        <f t="shared" si="6"/>
        <v>-59838</v>
      </c>
      <c r="F74" s="30">
        <f t="shared" si="4"/>
        <v>-0.7606130613982961</v>
      </c>
      <c r="G74" s="31">
        <f>SUM('1st Qtr'!G74, '2nd Qtr'!G74, '3rd Qtr'!G74, '4th Qtr'!G74)</f>
        <v>0</v>
      </c>
      <c r="H74" s="31">
        <f>SUM('1st Qtr'!H74, '2nd Qtr'!H74, '3rd Qtr'!H74, '4th Qtr'!H74)</f>
        <v>18832.75</v>
      </c>
      <c r="I74" s="32" t="str">
        <f t="shared" si="5"/>
        <v/>
      </c>
    </row>
    <row r="75" spans="1:9" ht="15.6">
      <c r="A75" s="33" t="str">
        <v>CA: Stockton - SUSD - Peyton</v>
      </c>
      <c r="B75" s="34" t="str">
        <v>CA</v>
      </c>
      <c r="C75" s="35">
        <f>SUM('1st Qtr'!C75, '2nd Qtr'!C75, '3rd Qtr'!C75, '4th Qtr'!C75)</f>
        <v>137826</v>
      </c>
      <c r="D75" s="35">
        <f>SUM('1st Qtr'!D75, '2nd Qtr'!D75, '3rd Qtr'!D75, '4th Qtr'!D75)</f>
        <v>165043.25999999998</v>
      </c>
      <c r="E75" s="36">
        <f t="shared" si="6"/>
        <v>-27217.25999999998</v>
      </c>
      <c r="F75" s="37">
        <f t="shared" si="4"/>
        <v>-0.16490985454359047</v>
      </c>
      <c r="G75" s="38">
        <f>SUM('1st Qtr'!G75, '2nd Qtr'!G75, '3rd Qtr'!G75, '4th Qtr'!G75)</f>
        <v>164027.89000000001</v>
      </c>
      <c r="H75" s="38">
        <f>SUM('1st Qtr'!H75, '2nd Qtr'!H75, '3rd Qtr'!H75, '4th Qtr'!H75)</f>
        <v>-26201.89</v>
      </c>
      <c r="I75" s="37">
        <f t="shared" si="5"/>
        <v>-0.15974045633337108</v>
      </c>
    </row>
    <row r="76" spans="1:9" ht="15.6">
      <c r="A76" s="26" t="str">
        <v>TX: Barnhart - 42917 Ranch RD 2469</v>
      </c>
      <c r="B76" s="27" t="str">
        <v>TX</v>
      </c>
      <c r="C76" s="28">
        <f>SUM('1st Qtr'!C76, '2nd Qtr'!C76, '3rd Qtr'!C76, '4th Qtr'!C76)</f>
        <v>491040</v>
      </c>
      <c r="D76" s="29">
        <f>SUM('1st Qtr'!D76, '2nd Qtr'!D76, '3rd Qtr'!D76, '4th Qtr'!D76)</f>
        <v>556014.4</v>
      </c>
      <c r="E76" s="29">
        <f t="shared" si="6"/>
        <v>-64974.400000000023</v>
      </c>
      <c r="F76" s="30">
        <f t="shared" si="4"/>
        <v>-0.11685740513195346</v>
      </c>
      <c r="G76" s="31">
        <f>SUM('1st Qtr'!G76, '2nd Qtr'!G76, '3rd Qtr'!G76, '4th Qtr'!G76)</f>
        <v>547750</v>
      </c>
      <c r="H76" s="31">
        <f>SUM('1st Qtr'!H76, '2nd Qtr'!H76, '3rd Qtr'!H76, '4th Qtr'!H76)</f>
        <v>-56710</v>
      </c>
      <c r="I76" s="32">
        <f t="shared" si="5"/>
        <v>-0.10353263350068462</v>
      </c>
    </row>
    <row r="77" spans="1:9" ht="15.6">
      <c r="A77" s="33" t="str">
        <v>AZ: San Manuel - Senior &amp; Junior HS</v>
      </c>
      <c r="B77" s="34" t="str">
        <v>AZ</v>
      </c>
      <c r="C77" s="35">
        <f>SUM('1st Qtr'!C77, '2nd Qtr'!C77, '3rd Qtr'!C77, '4th Qtr'!C77)</f>
        <v>69319</v>
      </c>
      <c r="D77" s="35">
        <f>SUM('1st Qtr'!D77, '2nd Qtr'!D77, '3rd Qtr'!D77, '4th Qtr'!D77)</f>
        <v>0</v>
      </c>
      <c r="E77" s="36">
        <f t="shared" si="6"/>
        <v>69319</v>
      </c>
      <c r="F77" s="37" t="str">
        <f t="shared" si="4"/>
        <v/>
      </c>
      <c r="G77" s="38">
        <f>SUM('1st Qtr'!G77, '2nd Qtr'!G77, '3rd Qtr'!G77, '4th Qtr'!G77)</f>
        <v>96665</v>
      </c>
      <c r="H77" s="38">
        <f>SUM('1st Qtr'!H77, '2nd Qtr'!H77, '3rd Qtr'!H77, '4th Qtr'!H77)</f>
        <v>-27346</v>
      </c>
      <c r="I77" s="37">
        <f t="shared" si="5"/>
        <v>-0.28289453266435627</v>
      </c>
    </row>
    <row r="78" spans="1:9" ht="15.6">
      <c r="A78" s="26" t="str">
        <v>AZ: Sierra Vista - Colonel Smith MS</v>
      </c>
      <c r="B78" s="27" t="str">
        <v>AZ</v>
      </c>
      <c r="C78" s="28">
        <f>SUM('1st Qtr'!C78, '2nd Qtr'!C78, '3rd Qtr'!C78, '4th Qtr'!C78)</f>
        <v>81170</v>
      </c>
      <c r="D78" s="29">
        <f>SUM('1st Qtr'!D78, '2nd Qtr'!D78, '3rd Qtr'!D78, '4th Qtr'!D78)</f>
        <v>132407.10999999999</v>
      </c>
      <c r="E78" s="29">
        <f t="shared" si="6"/>
        <v>-51237.109999999986</v>
      </c>
      <c r="F78" s="30">
        <f t="shared" si="4"/>
        <v>-0.38696645520017764</v>
      </c>
      <c r="G78" s="31">
        <f>SUM('1st Qtr'!G78, '2nd Qtr'!G78, '3rd Qtr'!G78, '4th Qtr'!G78)</f>
        <v>114988.34</v>
      </c>
      <c r="H78" s="31">
        <f>SUM('1st Qtr'!H78, '2nd Qtr'!H78, '3rd Qtr'!H78, '4th Qtr'!H78)</f>
        <v>-33818.340000000004</v>
      </c>
      <c r="I78" s="32">
        <f t="shared" si="5"/>
        <v>-0.29410234115911232</v>
      </c>
    </row>
    <row r="79" spans="1:9" ht="15.6">
      <c r="A79" s="33" t="str">
        <v>AZ: Sierra Vista - Colonel Johnston ES</v>
      </c>
      <c r="B79" s="34" t="str">
        <v>AZ</v>
      </c>
      <c r="C79" s="35">
        <f>SUM('1st Qtr'!C79, '2nd Qtr'!C79, '3rd Qtr'!C79, '4th Qtr'!C79)</f>
        <v>26280</v>
      </c>
      <c r="D79" s="35">
        <f>SUM('1st Qtr'!D79, '2nd Qtr'!D79, '3rd Qtr'!D79, '4th Qtr'!D79)</f>
        <v>44165.229999999996</v>
      </c>
      <c r="E79" s="36">
        <f t="shared" si="6"/>
        <v>-17885.229999999996</v>
      </c>
      <c r="F79" s="37">
        <f t="shared" si="4"/>
        <v>-0.4049617764925032</v>
      </c>
      <c r="G79" s="38">
        <f>SUM('1st Qtr'!G79, '2nd Qtr'!G79, '3rd Qtr'!G79, '4th Qtr'!G79)</f>
        <v>37746.759999999995</v>
      </c>
      <c r="H79" s="38">
        <f>SUM('1st Qtr'!H79, '2nd Qtr'!H79, '3rd Qtr'!H79, '4th Qtr'!H79)</f>
        <v>-11466.759999999998</v>
      </c>
      <c r="I79" s="37">
        <f t="shared" si="5"/>
        <v>-0.30378130467356668</v>
      </c>
    </row>
    <row r="80" spans="1:9" ht="15.6">
      <c r="A80" s="26" t="str">
        <v>NH: Dover - Dover HS</v>
      </c>
      <c r="B80" s="27" t="str">
        <v>NH</v>
      </c>
      <c r="C80" s="28">
        <f>SUM('1st Qtr'!C80, '2nd Qtr'!C80, '3rd Qtr'!C80, '4th Qtr'!C80)</f>
        <v>200629.5</v>
      </c>
      <c r="D80" s="29">
        <f>SUM('1st Qtr'!D80, '2nd Qtr'!D80, '3rd Qtr'!D80, '4th Qtr'!D80)</f>
        <v>299025.90000000002</v>
      </c>
      <c r="E80" s="29">
        <f t="shared" si="6"/>
        <v>-98396.400000000023</v>
      </c>
      <c r="F80" s="30">
        <f t="shared" si="4"/>
        <v>-0.32905644628107472</v>
      </c>
      <c r="G80" s="31">
        <f>SUM('1st Qtr'!G80, '2nd Qtr'!G80, '3rd Qtr'!G80, '4th Qtr'!G80)</f>
        <v>264576.40000000002</v>
      </c>
      <c r="H80" s="31">
        <f>SUM('1st Qtr'!H80, '2nd Qtr'!H80, '3rd Qtr'!H80, '4th Qtr'!H80)</f>
        <v>-63946.900000000009</v>
      </c>
      <c r="I80" s="32">
        <f t="shared" si="5"/>
        <v>-0.24169540442760579</v>
      </c>
    </row>
    <row r="81" spans="1:9" ht="15.6">
      <c r="A81" s="33" t="str">
        <v>MA: Somerville - 30 Inner Belt Rd</v>
      </c>
      <c r="B81" s="34" t="str">
        <v>MA</v>
      </c>
      <c r="C81" s="35">
        <f>SUM('1st Qtr'!C81, '2nd Qtr'!C81, '3rd Qtr'!C81, '4th Qtr'!C81)</f>
        <v>213164</v>
      </c>
      <c r="D81" s="35">
        <f>SUM('1st Qtr'!D81, '2nd Qtr'!D81, '3rd Qtr'!D81, '4th Qtr'!D81)</f>
        <v>206360.4</v>
      </c>
      <c r="E81" s="36">
        <f t="shared" si="6"/>
        <v>6803.6000000000058</v>
      </c>
      <c r="F81" s="37">
        <f t="shared" si="4"/>
        <v>3.2969503838914858E-2</v>
      </c>
      <c r="G81" s="38">
        <f>SUM('1st Qtr'!G81, '2nd Qtr'!G81, '3rd Qtr'!G81, '4th Qtr'!G81)</f>
        <v>376996.69999999995</v>
      </c>
      <c r="H81" s="38">
        <f>SUM('1st Qtr'!H81, '2nd Qtr'!H81, '3rd Qtr'!H81, '4th Qtr'!H81)</f>
        <v>-163832.69999999998</v>
      </c>
      <c r="I81" s="37">
        <f t="shared" si="5"/>
        <v>-0.43457329997848787</v>
      </c>
    </row>
    <row r="82" spans="1:9" ht="15.6">
      <c r="A82" s="26" t="str">
        <v>MA: Boxborough - 1414 Massachusetts Ave</v>
      </c>
      <c r="B82" s="27" t="str">
        <v>MA</v>
      </c>
      <c r="C82" s="28">
        <f>SUM('1st Qtr'!C82, '2nd Qtr'!C82, '3rd Qtr'!C82, '4th Qtr'!C82)</f>
        <v>1459190.845062362</v>
      </c>
      <c r="D82" s="29">
        <f>SUM('1st Qtr'!D82, '2nd Qtr'!D82, '3rd Qtr'!D82, '4th Qtr'!D82)</f>
        <v>354506.5</v>
      </c>
      <c r="E82" s="29">
        <f t="shared" si="6"/>
        <v>1104684.345062362</v>
      </c>
      <c r="F82" s="30">
        <f t="shared" si="4"/>
        <v>3.1161187314262562</v>
      </c>
      <c r="G82" s="31">
        <f>SUM('1st Qtr'!G82, '2nd Qtr'!G82, '3rd Qtr'!G82, '4th Qtr'!G82)</f>
        <v>1479700</v>
      </c>
      <c r="H82" s="31">
        <f>SUM('1st Qtr'!H82, '2nd Qtr'!H82, '3rd Qtr'!H82, '4th Qtr'!H82)</f>
        <v>-20509.154937638086</v>
      </c>
      <c r="I82" s="32">
        <f t="shared" si="5"/>
        <v>-1.3860346649752034E-2</v>
      </c>
    </row>
    <row r="83" spans="1:9" ht="15.6">
      <c r="A83" s="33" t="str">
        <v>NY: Amsterdam - 153 NY Route 67</v>
      </c>
      <c r="B83" s="34" t="str">
        <v>NY</v>
      </c>
      <c r="C83" s="35">
        <f>SUM('1st Qtr'!C83, '2nd Qtr'!C83, '3rd Qtr'!C83, '4th Qtr'!C83)</f>
        <v>807456</v>
      </c>
      <c r="D83" s="35">
        <f>SUM('1st Qtr'!D83, '2nd Qtr'!D83, '3rd Qtr'!D83, '4th Qtr'!D83)</f>
        <v>624174.10000000009</v>
      </c>
      <c r="E83" s="36">
        <f t="shared" si="6"/>
        <v>183281.89999999991</v>
      </c>
      <c r="F83" s="37">
        <f t="shared" si="4"/>
        <v>0.29363906640791387</v>
      </c>
      <c r="G83" s="38">
        <f>SUM('1st Qtr'!G83, '2nd Qtr'!G83, '3rd Qtr'!G83, '4th Qtr'!G83)</f>
        <v>775640.8</v>
      </c>
      <c r="H83" s="38">
        <f>SUM('1st Qtr'!H83, '2nd Qtr'!H83, '3rd Qtr'!H83, '4th Qtr'!H83)</f>
        <v>31815.200000000012</v>
      </c>
      <c r="I83" s="37">
        <f t="shared" si="5"/>
        <v>4.1017955734149118E-2</v>
      </c>
    </row>
    <row r="84" spans="1:9" ht="15.6">
      <c r="A84" s="26" t="str">
        <v>CA: San Jose - GE Mobile Water</v>
      </c>
      <c r="B84" s="27" t="str">
        <v>CA</v>
      </c>
      <c r="C84" s="28">
        <f>SUM('1st Qtr'!C84, '2nd Qtr'!C84, '3rd Qtr'!C84, '4th Qtr'!C84)</f>
        <v>57420</v>
      </c>
      <c r="D84" s="29">
        <f>SUM('1st Qtr'!D84, '2nd Qtr'!D84, '3rd Qtr'!D84, '4th Qtr'!D84)</f>
        <v>65611.955000000002</v>
      </c>
      <c r="E84" s="29">
        <f t="shared" si="6"/>
        <v>-8191.9550000000017</v>
      </c>
      <c r="F84" s="30">
        <f t="shared" si="4"/>
        <v>-0.12485460919431529</v>
      </c>
      <c r="G84" s="31">
        <f>SUM('1st Qtr'!G84, '2nd Qtr'!G84, '3rd Qtr'!G84, '4th Qtr'!G84)</f>
        <v>66502.432000000001</v>
      </c>
      <c r="H84" s="31">
        <f>SUM('1st Qtr'!H84, '2nd Qtr'!H84, '3rd Qtr'!H84, '4th Qtr'!H84)</f>
        <v>-9082.4320000000007</v>
      </c>
      <c r="I84" s="32">
        <f t="shared" si="5"/>
        <v>-0.13657293014487051</v>
      </c>
    </row>
    <row r="85" spans="1:9" ht="15.6">
      <c r="A85" s="33" t="str">
        <v>NY: Rome - 7776 Tannery RD</v>
      </c>
      <c r="B85" s="34" t="str">
        <v>NY</v>
      </c>
      <c r="C85" s="35">
        <f>SUM('1st Qtr'!C85, '2nd Qtr'!C85, '3rd Qtr'!C85, '4th Qtr'!C85)</f>
        <v>738517.45442715997</v>
      </c>
      <c r="D85" s="35">
        <f>SUM('1st Qtr'!D85, '2nd Qtr'!D85, '3rd Qtr'!D85, '4th Qtr'!D85)</f>
        <v>821817.8</v>
      </c>
      <c r="E85" s="36">
        <f t="shared" si="6"/>
        <v>-83300.345572840073</v>
      </c>
      <c r="F85" s="37">
        <f t="shared" si="4"/>
        <v>-0.10136108705949186</v>
      </c>
      <c r="G85" s="38">
        <f>SUM('1st Qtr'!G85, '2nd Qtr'!G85, '3rd Qtr'!G85, '4th Qtr'!G85)</f>
        <v>823779.1</v>
      </c>
      <c r="H85" s="38">
        <f>SUM('1st Qtr'!H85, '2nd Qtr'!H85, '3rd Qtr'!H85, '4th Qtr'!H85)</f>
        <v>-85261.645572840003</v>
      </c>
      <c r="I85" s="37">
        <f t="shared" si="5"/>
        <v>-0.10350061754764112</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sheetData>
  <autoFilter ref="A2:I2" xr:uid="{D5C25034-9971-4A61-864F-C938F31EB1B8}"/>
  <mergeCells count="4">
    <mergeCell ref="G1:I1"/>
    <mergeCell ref="A1:C1"/>
    <mergeCell ref="D1:F1"/>
    <mergeCell ref="A2:B2"/>
  </mergeCells>
  <conditionalFormatting sqref="F2 I2 F4:F85 I4:I85">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1"/>
  <sheetViews>
    <sheetView workbookViewId="0">
      <pane xSplit="2" ySplit="3" topLeftCell="C62" activePane="bottomRight" state="frozen"/>
      <selection pane="bottomRight" activeCell="H81" sqref="H81"/>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6" t="str" cm="1">
        <f t="array" ref="A1">portfolio</f>
        <v>Clean Capital</v>
      </c>
      <c r="B1" s="106"/>
      <c r="C1" s="106"/>
      <c r="D1" s="107" t="s">
        <v>10</v>
      </c>
      <c r="E1" s="107"/>
      <c r="F1" s="107"/>
      <c r="G1" s="105" t="s">
        <v>11</v>
      </c>
      <c r="H1" s="105"/>
      <c r="I1" s="105"/>
    </row>
    <row r="2" spans="1:9" ht="19.5" customHeight="1">
      <c r="A2" s="108" t="s">
        <v>2</v>
      </c>
      <c r="B2" s="108"/>
      <c r="C2" s="5">
        <f>SUM(C4:C79)</f>
        <v>1827946.6861654297</v>
      </c>
      <c r="D2" s="5">
        <f>SUM(D4:D79)</f>
        <v>0</v>
      </c>
      <c r="E2" s="5">
        <f>C2-D2</f>
        <v>1827946.6861654297</v>
      </c>
      <c r="F2" s="6">
        <f>IFERROR(E2/D2, 0)</f>
        <v>0</v>
      </c>
      <c r="G2" s="5">
        <f>SUM(G4:G79)</f>
        <v>1530690.2</v>
      </c>
      <c r="H2" s="7">
        <f>C2-G2</f>
        <v>297256.4861654297</v>
      </c>
      <c r="I2" s="6">
        <f>IFERROR(H2/G2, 0)</f>
        <v>0.19419768034408902</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SUM(Jan!C4, Feb!C4, Mar!C4)</f>
        <v>45888.639999999999</v>
      </c>
      <c r="D4" s="29">
        <f>SUM(Jan!D4, Feb!D4, Mar!D4)</f>
        <v>0</v>
      </c>
      <c r="E4" s="29">
        <f>IF(AND(ISNUMBER(C4),ISNUMBER(D4)), C4-D4, "")</f>
        <v>45888.639999999999</v>
      </c>
      <c r="F4" s="30" t="str">
        <f>IFERROR(E4/D4, "")</f>
        <v/>
      </c>
      <c r="G4" s="31">
        <f>SUM(Jan!G4, Feb!G4, Mar!G4)</f>
        <v>0</v>
      </c>
      <c r="H4" s="31">
        <f>SUM(Jan!H4, Feb!H4, Mar!H4)</f>
        <v>18073.600000000002</v>
      </c>
      <c r="I4" s="32" t="str">
        <f>IFERROR(H4/G4, "")</f>
        <v/>
      </c>
    </row>
    <row r="5" spans="1:9" ht="15.6">
      <c r="A5" s="48" t="str">
        <v>Pacoima - Whiteman Airport</v>
      </c>
      <c r="B5" s="34" t="str">
        <v>CA</v>
      </c>
      <c r="C5" s="35">
        <f>SUM(Jan!C5, Feb!C5, Mar!C5)</f>
        <v>58146</v>
      </c>
      <c r="D5" s="36">
        <f>SUM(Jan!D5, Feb!D5, Mar!D5)</f>
        <v>0</v>
      </c>
      <c r="E5" s="36">
        <f t="shared" ref="E5:E7" si="0">IF(AND(ISNUMBER(C5),ISNUMBER(D5)), C5-D5, "")</f>
        <v>58146</v>
      </c>
      <c r="F5" s="37" t="str">
        <f>IFERROR(E5/D5, "")</f>
        <v/>
      </c>
      <c r="G5" s="38">
        <f>SUM(Jan!G5, Feb!G5, Mar!G5)</f>
        <v>108680</v>
      </c>
      <c r="H5" s="38">
        <f>SUM(Jan!H5, Feb!H5, Mar!H5)</f>
        <v>-50534</v>
      </c>
      <c r="I5" s="37">
        <f>IFERROR(H5/G5, "")</f>
        <v>-0.46497975708502026</v>
      </c>
    </row>
    <row r="6" spans="1:9" ht="15.6">
      <c r="A6" s="47" t="str">
        <v>Hyannis - Sturgis Charter School</v>
      </c>
      <c r="B6" s="27" t="str">
        <v>MA</v>
      </c>
      <c r="C6" s="28">
        <f>SUM(Jan!C6, Feb!C6, Mar!C6)</f>
        <v>56832.394765429686</v>
      </c>
      <c r="D6" s="29">
        <f>SUM(Jan!D6, Feb!D6, Mar!D6)</f>
        <v>0</v>
      </c>
      <c r="E6" s="29">
        <f t="shared" si="0"/>
        <v>56832.394765429686</v>
      </c>
      <c r="F6" s="30" t="str">
        <f t="shared" ref="F6:F7" si="1">IFERROR(E6/D6, "")</f>
        <v/>
      </c>
      <c r="G6" s="31">
        <f>SUM(Jan!G6, Feb!G6, Mar!G6)</f>
        <v>54540</v>
      </c>
      <c r="H6" s="31">
        <f>SUM(Jan!H6, Feb!H6, Mar!H6)</f>
        <v>2292.3947654296862</v>
      </c>
      <c r="I6" s="32">
        <f t="shared" ref="I6:I7" si="2">IFERROR(H6/G6, "")</f>
        <v>4.203144051026194E-2</v>
      </c>
    </row>
    <row r="7" spans="1:9" ht="15.6">
      <c r="A7" s="48" t="str">
        <v>South Dennis - Tony Kent Arena</v>
      </c>
      <c r="B7" s="34" t="str">
        <v>MA</v>
      </c>
      <c r="C7" s="35">
        <f>SUM(Jan!C7, Feb!C7, Mar!C7)</f>
        <v>61513.2</v>
      </c>
      <c r="D7" s="36">
        <f>SUM(Jan!D7, Feb!D7, Mar!D7)</f>
        <v>0</v>
      </c>
      <c r="E7" s="36">
        <f t="shared" si="0"/>
        <v>61513.2</v>
      </c>
      <c r="F7" s="37" t="str">
        <f t="shared" si="1"/>
        <v/>
      </c>
      <c r="G7" s="38">
        <f>SUM(Jan!G7, Feb!G7, Mar!G7)</f>
        <v>0</v>
      </c>
      <c r="H7" s="38">
        <f>SUM(Jan!H7, Feb!H7, Mar!H7)</f>
        <v>30999.119999999999</v>
      </c>
      <c r="I7" s="37" t="str">
        <f t="shared" si="2"/>
        <v/>
      </c>
    </row>
    <row r="8" spans="1:9" ht="15.6">
      <c r="A8" s="47" t="str">
        <v xml:space="preserve"> Caropolis - Felician Sisters</v>
      </c>
      <c r="B8" s="27" t="str">
        <v>PA</v>
      </c>
      <c r="C8" s="28">
        <f>SUM(Jan!C8, Feb!C8, Mar!C8)</f>
        <v>51053.4</v>
      </c>
      <c r="D8" s="29">
        <f>SUM(Jan!D8, Feb!D8, Mar!D8)</f>
        <v>0</v>
      </c>
      <c r="E8" s="29">
        <f t="shared" ref="E8:E46" si="3">IF(AND(ISNUMBER(C8),ISNUMBER(D8)), C8-D8, "")</f>
        <v>51053.4</v>
      </c>
      <c r="F8" s="30" t="str">
        <f t="shared" ref="F8:F46" si="4">IFERROR(E8/D8, "")</f>
        <v/>
      </c>
      <c r="G8" s="31">
        <f>SUM(Jan!G8, Feb!G8, Mar!G8)</f>
        <v>0</v>
      </c>
      <c r="H8" s="31">
        <f>SUM(Jan!H8, Feb!H8, Mar!H8)</f>
        <v>0</v>
      </c>
      <c r="I8" s="32" t="str">
        <f t="shared" ref="I8:I46" si="5">IFERROR(H8/G8, "")</f>
        <v/>
      </c>
    </row>
    <row r="9" spans="1:9" ht="15.6">
      <c r="A9" s="48" t="str">
        <v>Clear Lake - Eastlake Gohman</v>
      </c>
      <c r="B9" s="34" t="str">
        <v>MN</v>
      </c>
      <c r="C9" s="35">
        <f>SUM(Jan!C9, Feb!C9, Mar!C9)</f>
        <v>174810</v>
      </c>
      <c r="D9" s="36">
        <f>SUM(Jan!D9, Feb!D9, Mar!D9)</f>
        <v>0</v>
      </c>
      <c r="E9" s="36">
        <f t="shared" si="3"/>
        <v>174810</v>
      </c>
      <c r="F9" s="71" t="str">
        <f t="shared" si="4"/>
        <v/>
      </c>
      <c r="G9" s="72">
        <f>SUM(Jan!G9, Feb!G9, Mar!G9)</f>
        <v>155938.5</v>
      </c>
      <c r="H9" s="72">
        <f>SUM(Jan!H9, Feb!H9, Mar!H9)</f>
        <v>18871.5</v>
      </c>
      <c r="I9" s="71">
        <f t="shared" si="5"/>
        <v>0.12101886320568686</v>
      </c>
    </row>
    <row r="10" spans="1:9" ht="15.6">
      <c r="A10" s="47" t="str">
        <v>Zumbrota - Eastlake Brenda Luhman</v>
      </c>
      <c r="B10" s="27" t="str">
        <v>MN</v>
      </c>
      <c r="C10" s="28">
        <f>SUM(Jan!C10, Feb!C10, Mar!C10)</f>
        <v>179285.1269</v>
      </c>
      <c r="D10" s="29">
        <f>SUM(Jan!D10, Feb!D10, Mar!D10)</f>
        <v>0</v>
      </c>
      <c r="E10" s="29">
        <f t="shared" si="3"/>
        <v>179285.1269</v>
      </c>
      <c r="F10" s="30" t="str">
        <f t="shared" si="4"/>
        <v/>
      </c>
      <c r="G10" s="31">
        <f>SUM(Jan!G10, Feb!G10, Mar!G10)</f>
        <v>161850.1</v>
      </c>
      <c r="H10" s="31">
        <f>SUM(Jan!H10, Feb!H10, Mar!H10)</f>
        <v>17435.026899999997</v>
      </c>
      <c r="I10" s="32">
        <f t="shared" si="5"/>
        <v>0.10772330014006785</v>
      </c>
    </row>
    <row r="11" spans="1:9" ht="15.6">
      <c r="A11" s="48" t="str">
        <v>Cokato - Eastlake Carlson</v>
      </c>
      <c r="B11" s="34" t="str">
        <v>MN</v>
      </c>
      <c r="C11" s="35">
        <f>SUM(Jan!C11, Feb!C11, Mar!C11)</f>
        <v>147025.48420000001</v>
      </c>
      <c r="D11" s="36">
        <f>SUM(Jan!D11, Feb!D11, Mar!D11)</f>
        <v>0</v>
      </c>
      <c r="E11" s="36">
        <f t="shared" si="3"/>
        <v>147025.48420000001</v>
      </c>
      <c r="F11" s="71" t="str">
        <f t="shared" si="4"/>
        <v/>
      </c>
      <c r="G11" s="72">
        <f>SUM(Jan!G11, Feb!G11, Mar!G11)</f>
        <v>189506</v>
      </c>
      <c r="H11" s="72">
        <f>SUM(Jan!H11, Feb!H11, Mar!H11)</f>
        <v>-42480.515799999994</v>
      </c>
      <c r="I11" s="71">
        <f t="shared" si="5"/>
        <v>-0.22416448977868772</v>
      </c>
    </row>
    <row r="12" spans="1:9" ht="15.6">
      <c r="A12" s="47" t="str">
        <v>North Branch - Cornille 2</v>
      </c>
      <c r="B12" s="27" t="str">
        <v>MN</v>
      </c>
      <c r="C12" s="28">
        <f>SUM(Jan!C12, Feb!C12, Mar!C12)</f>
        <v>142625</v>
      </c>
      <c r="D12" s="29">
        <f>SUM(Jan!D12, Feb!D12, Mar!D12)</f>
        <v>0</v>
      </c>
      <c r="E12" s="29">
        <f t="shared" si="3"/>
        <v>142625</v>
      </c>
      <c r="F12" s="30" t="str">
        <f t="shared" si="4"/>
        <v/>
      </c>
      <c r="G12" s="31">
        <f>SUM(Jan!G12, Feb!G12, Mar!G12)</f>
        <v>156749.79999999999</v>
      </c>
      <c r="H12" s="31">
        <f>SUM(Jan!H12, Feb!H12, Mar!H12)</f>
        <v>-14124.799999999988</v>
      </c>
      <c r="I12" s="32">
        <f t="shared" si="5"/>
        <v>-9.0110481799657735E-2</v>
      </c>
    </row>
    <row r="13" spans="1:9" ht="15.6">
      <c r="A13" s="48" t="str">
        <v>Clear Lake - Eastlake Hammer</v>
      </c>
      <c r="B13" s="34" t="str">
        <v>MN</v>
      </c>
      <c r="C13" s="35">
        <f>SUM(Jan!C13, Feb!C13, Mar!C13)</f>
        <v>196603.0325</v>
      </c>
      <c r="D13" s="36">
        <f>SUM(Jan!D13, Feb!D13, Mar!D13)</f>
        <v>0</v>
      </c>
      <c r="E13" s="36">
        <f t="shared" si="3"/>
        <v>196603.0325</v>
      </c>
      <c r="F13" s="71" t="str">
        <f t="shared" si="4"/>
        <v/>
      </c>
      <c r="G13" s="72">
        <f>SUM(Jan!G13, Feb!G13, Mar!G13)</f>
        <v>181153.8</v>
      </c>
      <c r="H13" s="72">
        <f>SUM(Jan!H13, Feb!H13, Mar!H13)</f>
        <v>15449.232500000013</v>
      </c>
      <c r="I13" s="71">
        <f t="shared" si="5"/>
        <v>8.5282409201463141E-2</v>
      </c>
    </row>
    <row r="14" spans="1:9" ht="15.6">
      <c r="A14" s="47" t="str">
        <v>Eastlake - Hertzberg CSG 1</v>
      </c>
      <c r="B14" s="27" t="str">
        <v>MN</v>
      </c>
      <c r="C14" s="28">
        <f>SUM(Jan!C14, Feb!C14, Mar!C14)</f>
        <v>178773.26439999999</v>
      </c>
      <c r="D14" s="29">
        <f>SUM(Jan!D14, Feb!D14, Mar!D14)</f>
        <v>0</v>
      </c>
      <c r="E14" s="29">
        <f t="shared" si="3"/>
        <v>178773.26439999999</v>
      </c>
      <c r="F14" s="30" t="str">
        <f t="shared" si="4"/>
        <v/>
      </c>
      <c r="G14" s="31">
        <f>SUM(Jan!G14, Feb!G14, Mar!G14)</f>
        <v>179090.7</v>
      </c>
      <c r="H14" s="31">
        <f>SUM(Jan!H14, Feb!H14, Mar!H14)</f>
        <v>-317.43560000002617</v>
      </c>
      <c r="I14" s="32">
        <f t="shared" si="5"/>
        <v>-1.7724851150842905E-3</v>
      </c>
    </row>
    <row r="15" spans="1:9" ht="15.6">
      <c r="A15" s="48" t="str">
        <v>Cokato - Eastlake Laurel Village</v>
      </c>
      <c r="B15" s="34" t="str">
        <v>MN</v>
      </c>
      <c r="C15" s="35">
        <f>SUM(Jan!C15, Feb!C15, Mar!C15)</f>
        <v>192745.31390000001</v>
      </c>
      <c r="D15" s="36">
        <f>SUM(Jan!D15, Feb!D15, Mar!D15)</f>
        <v>0</v>
      </c>
      <c r="E15" s="36">
        <f t="shared" si="3"/>
        <v>192745.31390000001</v>
      </c>
      <c r="F15" s="71" t="str">
        <f t="shared" si="4"/>
        <v/>
      </c>
      <c r="G15" s="72">
        <f>SUM(Jan!G15, Feb!G15, Mar!G15)</f>
        <v>177944.7</v>
      </c>
      <c r="H15" s="72">
        <f>SUM(Jan!H15, Feb!H15, Mar!H15)</f>
        <v>14800.613899999997</v>
      </c>
      <c r="I15" s="71">
        <f t="shared" si="5"/>
        <v>8.3175356725994062E-2</v>
      </c>
    </row>
    <row r="16" spans="1:9" ht="15.6">
      <c r="A16" s="47" t="str">
        <v>St. Peter - Eastlake Paulson</v>
      </c>
      <c r="B16" s="27" t="str">
        <v>MN</v>
      </c>
      <c r="C16" s="28">
        <f>SUM(Jan!C16, Feb!C16, Mar!C16)</f>
        <v>167620.9295</v>
      </c>
      <c r="D16" s="29">
        <f>SUM(Jan!D16, Feb!D16, Mar!D16)</f>
        <v>0</v>
      </c>
      <c r="E16" s="29">
        <f t="shared" si="3"/>
        <v>167620.9295</v>
      </c>
      <c r="F16" s="30" t="str">
        <f t="shared" si="4"/>
        <v/>
      </c>
      <c r="G16" s="31">
        <f>SUM(Jan!G16, Feb!G16, Mar!G16)</f>
        <v>165236.6</v>
      </c>
      <c r="H16" s="31">
        <f>SUM(Jan!H16, Feb!H16, Mar!H16)</f>
        <v>2384.3294999999925</v>
      </c>
      <c r="I16" s="32">
        <f t="shared" si="5"/>
        <v>1.4429790373319182E-2</v>
      </c>
    </row>
    <row r="17" spans="1:9" ht="15.6">
      <c r="A17" s="48" t="str">
        <v>Felician Sisters Convent</v>
      </c>
      <c r="B17" s="34" t="str">
        <v>NJ</v>
      </c>
      <c r="C17" s="35">
        <f>SUM(Jan!C17, Feb!C17, Mar!C17)</f>
        <v>34597.199999999997</v>
      </c>
      <c r="D17" s="36">
        <f>SUM(Jan!D17, Feb!D17, Mar!D17)</f>
        <v>0</v>
      </c>
      <c r="E17" s="36">
        <f t="shared" si="3"/>
        <v>34597.199999999997</v>
      </c>
      <c r="F17" s="71" t="str">
        <f t="shared" si="4"/>
        <v/>
      </c>
      <c r="G17" s="72">
        <f>SUM(Jan!G17, Feb!G17, Mar!G17)</f>
        <v>0</v>
      </c>
      <c r="H17" s="72">
        <f>SUM(Jan!H17, Feb!H17, Mar!H17)</f>
        <v>0</v>
      </c>
      <c r="I17" s="71" t="str">
        <f t="shared" si="5"/>
        <v/>
      </c>
    </row>
    <row r="18" spans="1:9" ht="15.6">
      <c r="A18" s="47" t="str">
        <v>Sussex County Fairgrounds</v>
      </c>
      <c r="B18" s="27" t="str">
        <v>NJ</v>
      </c>
      <c r="C18" s="28">
        <f>SUM(Jan!C18, Feb!C18, Mar!C18)</f>
        <v>44370</v>
      </c>
      <c r="D18" s="29">
        <f>SUM(Jan!D18, Feb!D18, Mar!D18)</f>
        <v>0</v>
      </c>
      <c r="E18" s="29">
        <f t="shared" si="3"/>
        <v>44370</v>
      </c>
      <c r="F18" s="30" t="str">
        <f t="shared" si="4"/>
        <v/>
      </c>
      <c r="G18" s="31">
        <f>SUM(Jan!G18, Feb!G18, Mar!G18)</f>
        <v>0</v>
      </c>
      <c r="H18" s="31">
        <f>SUM(Jan!H18, Feb!H18, Mar!H18)</f>
        <v>0</v>
      </c>
      <c r="I18" s="32" t="str">
        <f t="shared" si="5"/>
        <v/>
      </c>
    </row>
    <row r="19" spans="1:9" ht="15.6">
      <c r="A19" s="48" t="str">
        <v>Gateway Church</v>
      </c>
      <c r="B19" s="34" t="str">
        <v>NJ</v>
      </c>
      <c r="C19" s="35">
        <f>SUM(Jan!C19, Feb!C19, Mar!C19)</f>
        <v>26234</v>
      </c>
      <c r="D19" s="36">
        <f>SUM(Jan!D19, Feb!D19, Mar!D19)</f>
        <v>0</v>
      </c>
      <c r="E19" s="36">
        <f t="shared" si="3"/>
        <v>26234</v>
      </c>
      <c r="F19" s="71" t="str">
        <f t="shared" si="4"/>
        <v/>
      </c>
      <c r="G19" s="72">
        <f>SUM(Jan!G19, Feb!G19, Mar!G19)</f>
        <v>0</v>
      </c>
      <c r="H19" s="72">
        <f>SUM(Jan!H19, Feb!H19, Mar!H19)</f>
        <v>0</v>
      </c>
      <c r="I19" s="71" t="str">
        <f t="shared" si="5"/>
        <v/>
      </c>
    </row>
    <row r="20" spans="1:9" ht="15.6">
      <c r="A20" s="47" t="str">
        <v>Beaver Falls - Felician Sisters</v>
      </c>
      <c r="B20" s="27" t="str">
        <v>PA</v>
      </c>
      <c r="C20" s="28">
        <f>SUM(Jan!C20, Feb!C20, Mar!C20)</f>
        <v>36640</v>
      </c>
      <c r="D20" s="29">
        <f>SUM(Jan!D20, Feb!D20, Mar!D20)</f>
        <v>0</v>
      </c>
      <c r="E20" s="29">
        <f t="shared" si="3"/>
        <v>36640</v>
      </c>
      <c r="F20" s="30" t="str">
        <f t="shared" si="4"/>
        <v/>
      </c>
      <c r="G20" s="31">
        <f>SUM(Jan!G20, Feb!G20, Mar!G20)</f>
        <v>0</v>
      </c>
      <c r="H20" s="31">
        <f>SUM(Jan!H20, Feb!H20, Mar!H20)</f>
        <v>0</v>
      </c>
      <c r="I20" s="32" t="str">
        <f t="shared" si="5"/>
        <v/>
      </c>
    </row>
    <row r="21" spans="1:9" ht="15.6">
      <c r="A21" s="48" t="str">
        <v>Livonia - Felician Sisters Ground</v>
      </c>
      <c r="B21" s="34" t="str">
        <v>MI</v>
      </c>
      <c r="C21" s="35">
        <f>SUM(Jan!C21, Feb!C21, Mar!C21)</f>
        <v>0</v>
      </c>
      <c r="D21" s="36">
        <f>SUM(Jan!D21, Feb!D21, Mar!D21)</f>
        <v>0</v>
      </c>
      <c r="E21" s="36">
        <f t="shared" si="3"/>
        <v>0</v>
      </c>
      <c r="F21" s="71" t="str">
        <f t="shared" si="4"/>
        <v/>
      </c>
      <c r="G21" s="72">
        <f>SUM(Jan!G21, Feb!G21, Mar!G21)</f>
        <v>0</v>
      </c>
      <c r="H21" s="72">
        <f>SUM(Jan!H21, Feb!H21, Mar!H21)</f>
        <v>0</v>
      </c>
      <c r="I21" s="71" t="str">
        <f t="shared" si="5"/>
        <v/>
      </c>
    </row>
    <row r="22" spans="1:9" ht="15.6">
      <c r="A22" s="47" t="str">
        <v>Livonia - Felician Sisters Roof</v>
      </c>
      <c r="B22" s="27" t="str">
        <v>MI</v>
      </c>
      <c r="C22" s="28">
        <f>SUM(Jan!C22, Feb!C22, Mar!C22)</f>
        <v>12782</v>
      </c>
      <c r="D22" s="29">
        <f>SUM(Jan!D22, Feb!D22, Mar!D22)</f>
        <v>0</v>
      </c>
      <c r="E22" s="29">
        <f t="shared" si="3"/>
        <v>12782</v>
      </c>
      <c r="F22" s="30" t="str">
        <f t="shared" si="4"/>
        <v/>
      </c>
      <c r="G22" s="31">
        <f>SUM(Jan!G22, Feb!G22, Mar!G22)</f>
        <v>0</v>
      </c>
      <c r="H22" s="31">
        <f>SUM(Jan!H22, Feb!H22, Mar!H22)</f>
        <v>0</v>
      </c>
      <c r="I22" s="32" t="str">
        <f t="shared" si="5"/>
        <v/>
      </c>
    </row>
    <row r="23" spans="1:9" ht="15.6">
      <c r="A23" s="48" t="str">
        <v>Monmouth Worship Ctr</v>
      </c>
      <c r="B23" s="34" t="str">
        <v>NJ</v>
      </c>
      <c r="C23" s="35">
        <f>SUM(Jan!C23, Feb!C23, Mar!C23)</f>
        <v>11687.5</v>
      </c>
      <c r="D23" s="36">
        <f>SUM(Jan!D23, Feb!D23, Mar!D23)</f>
        <v>0</v>
      </c>
      <c r="E23" s="36">
        <f t="shared" si="3"/>
        <v>11687.5</v>
      </c>
      <c r="F23" s="71" t="str">
        <f t="shared" si="4"/>
        <v/>
      </c>
      <c r="G23" s="72">
        <f>SUM(Jan!G23, Feb!G23, Mar!G23)</f>
        <v>0</v>
      </c>
      <c r="H23" s="72">
        <f>SUM(Jan!H23, Feb!H23, Mar!H23)</f>
        <v>0</v>
      </c>
      <c r="I23" s="71" t="str">
        <f t="shared" si="5"/>
        <v/>
      </c>
    </row>
    <row r="24" spans="1:9" ht="15.6">
      <c r="A24" s="47" t="str">
        <v xml:space="preserve"> Audubon - Senior Citizens United</v>
      </c>
      <c r="B24" s="27" t="str">
        <v>NJ</v>
      </c>
      <c r="C24" s="28">
        <f>SUM(Jan!C24, Feb!C24, Mar!C24)</f>
        <v>8714.2000000000007</v>
      </c>
      <c r="D24" s="29">
        <f>SUM(Jan!D24, Feb!D24, Mar!D24)</f>
        <v>0</v>
      </c>
      <c r="E24" s="29">
        <f t="shared" si="3"/>
        <v>8714.2000000000007</v>
      </c>
      <c r="F24" s="30" t="str">
        <f t="shared" si="4"/>
        <v/>
      </c>
      <c r="G24" s="31">
        <f>SUM(Jan!G24, Feb!G24, Mar!G24)</f>
        <v>0</v>
      </c>
      <c r="H24" s="31">
        <f>SUM(Jan!H24, Feb!H24, Mar!H24)</f>
        <v>0</v>
      </c>
      <c r="I24" s="32" t="str">
        <f t="shared" si="5"/>
        <v/>
      </c>
    </row>
    <row r="25" spans="1:9" ht="15.6">
      <c r="A25" s="48" t="str">
        <v>Hollister - PG&amp;E (Enerparc)</v>
      </c>
      <c r="B25" s="34" t="str">
        <v>CA</v>
      </c>
      <c r="C25" s="35">
        <f>SUM(Jan!C25, Feb!C25, Mar!C25)</f>
        <v>0</v>
      </c>
      <c r="D25" s="36">
        <f>SUM(Jan!D25, Feb!D25, Mar!D25)</f>
        <v>0</v>
      </c>
      <c r="E25" s="36">
        <f t="shared" si="3"/>
        <v>0</v>
      </c>
      <c r="F25" s="71" t="str">
        <f t="shared" si="4"/>
        <v/>
      </c>
      <c r="G25" s="72">
        <f>SUM(Jan!G25, Feb!G25, Mar!G25)</f>
        <v>0</v>
      </c>
      <c r="H25" s="72">
        <f>SUM(Jan!H25, Feb!H25, Mar!H25)</f>
        <v>0</v>
      </c>
      <c r="I25" s="71" t="str">
        <f t="shared" si="5"/>
        <v/>
      </c>
    </row>
    <row r="26" spans="1:9" ht="15.6">
      <c r="A26" s="47" t="str">
        <v>Taos County - Kit Carson Electric Co-Op</v>
      </c>
      <c r="B26" s="27" t="str">
        <v>NM</v>
      </c>
      <c r="C26" s="28">
        <f>SUM(Jan!C26, Feb!C26, Mar!C26)</f>
        <v>0</v>
      </c>
      <c r="D26" s="29">
        <f>SUM(Jan!D26, Feb!D26, Mar!D26)</f>
        <v>0</v>
      </c>
      <c r="E26" s="29">
        <f t="shared" si="3"/>
        <v>0</v>
      </c>
      <c r="F26" s="30" t="str">
        <f t="shared" si="4"/>
        <v/>
      </c>
      <c r="G26" s="31">
        <f>SUM(Jan!G26, Feb!G26, Mar!G26)</f>
        <v>0</v>
      </c>
      <c r="H26" s="31">
        <f>SUM(Jan!H26, Feb!H26, Mar!H26)</f>
        <v>0</v>
      </c>
      <c r="I26" s="32" t="str">
        <f t="shared" si="5"/>
        <v/>
      </c>
    </row>
    <row r="27" spans="1:9" ht="15.6">
      <c r="A27" s="48" t="str">
        <v>Commerce City - Adams City HS</v>
      </c>
      <c r="B27" s="34" t="str">
        <v>CO</v>
      </c>
      <c r="C27" s="35">
        <f>SUM(Jan!C27, Feb!C27, Mar!C27)</f>
        <v>0</v>
      </c>
      <c r="D27" s="36">
        <f>SUM(Jan!D27, Feb!D27, Mar!D27)</f>
        <v>0</v>
      </c>
      <c r="E27" s="36">
        <f t="shared" si="3"/>
        <v>0</v>
      </c>
      <c r="F27" s="71" t="str">
        <f t="shared" si="4"/>
        <v/>
      </c>
      <c r="G27" s="72">
        <f>SUM(Jan!G27, Feb!G27, Mar!G27)</f>
        <v>0</v>
      </c>
      <c r="H27" s="72">
        <f>SUM(Jan!H27, Feb!H27, Mar!H27)</f>
        <v>0</v>
      </c>
      <c r="I27" s="71" t="str">
        <f t="shared" si="5"/>
        <v/>
      </c>
    </row>
    <row r="28" spans="1:9" ht="15.6">
      <c r="A28" s="47" t="str">
        <v>Commerce City - Adams City MS</v>
      </c>
      <c r="B28" s="27" t="str">
        <v>CO</v>
      </c>
      <c r="C28" s="28">
        <f>SUM(Jan!C28, Feb!C28, Mar!C28)</f>
        <v>0</v>
      </c>
      <c r="D28" s="29">
        <f>SUM(Jan!D28, Feb!D28, Mar!D28)</f>
        <v>0</v>
      </c>
      <c r="E28" s="29">
        <f t="shared" si="3"/>
        <v>0</v>
      </c>
      <c r="F28" s="30" t="str">
        <f t="shared" si="4"/>
        <v/>
      </c>
      <c r="G28" s="31">
        <f>SUM(Jan!G28, Feb!G28, Mar!G28)</f>
        <v>0</v>
      </c>
      <c r="H28" s="31">
        <f>SUM(Jan!H28, Feb!H28, Mar!H28)</f>
        <v>0</v>
      </c>
      <c r="I28" s="32" t="str">
        <f t="shared" si="5"/>
        <v/>
      </c>
    </row>
    <row r="29" spans="1:9" ht="15.6">
      <c r="A29" s="48" t="str">
        <v>Commerce City - Central ES</v>
      </c>
      <c r="B29" s="34" t="str">
        <v>CO</v>
      </c>
      <c r="C29" s="35">
        <f>SUM(Jan!C29, Feb!C29, Mar!C29)</f>
        <v>0</v>
      </c>
      <c r="D29" s="36">
        <f>SUM(Jan!D29, Feb!D29, Mar!D29)</f>
        <v>0</v>
      </c>
      <c r="E29" s="36">
        <f t="shared" si="3"/>
        <v>0</v>
      </c>
      <c r="F29" s="71" t="str">
        <f t="shared" si="4"/>
        <v/>
      </c>
      <c r="G29" s="72">
        <f>SUM(Jan!G29, Feb!G29, Mar!G29)</f>
        <v>0</v>
      </c>
      <c r="H29" s="72">
        <f>SUM(Jan!H29, Feb!H29, Mar!H29)</f>
        <v>0</v>
      </c>
      <c r="I29" s="71" t="str">
        <f t="shared" si="5"/>
        <v/>
      </c>
    </row>
    <row r="30" spans="1:9" ht="15.6">
      <c r="A30" s="47" t="str">
        <v>Commerce City - Dupont ES</v>
      </c>
      <c r="B30" s="27" t="str">
        <v>CO</v>
      </c>
      <c r="C30" s="28">
        <f>SUM(Jan!C30, Feb!C30, Mar!C30)</f>
        <v>0</v>
      </c>
      <c r="D30" s="29">
        <f>SUM(Jan!D30, Feb!D30, Mar!D30)</f>
        <v>0</v>
      </c>
      <c r="E30" s="29">
        <f t="shared" si="3"/>
        <v>0</v>
      </c>
      <c r="F30" s="30" t="str">
        <f t="shared" si="4"/>
        <v/>
      </c>
      <c r="G30" s="31">
        <f>SUM(Jan!G30, Feb!G30, Mar!G30)</f>
        <v>0</v>
      </c>
      <c r="H30" s="31">
        <f>SUM(Jan!H30, Feb!H30, Mar!H30)</f>
        <v>0</v>
      </c>
      <c r="I30" s="32" t="str">
        <f t="shared" si="5"/>
        <v/>
      </c>
    </row>
    <row r="31" spans="1:9" ht="15.6">
      <c r="A31" s="48" t="str">
        <v>Commerce City - Educational Support Services</v>
      </c>
      <c r="B31" s="34" t="str">
        <v>CO</v>
      </c>
      <c r="C31" s="35">
        <f>SUM(Jan!C31, Feb!C31, Mar!C31)</f>
        <v>0</v>
      </c>
      <c r="D31" s="36">
        <f>SUM(Jan!D31, Feb!D31, Mar!D31)</f>
        <v>0</v>
      </c>
      <c r="E31" s="36">
        <f t="shared" si="3"/>
        <v>0</v>
      </c>
      <c r="F31" s="71" t="str">
        <f t="shared" si="4"/>
        <v/>
      </c>
      <c r="G31" s="72">
        <f>SUM(Jan!G31, Feb!G31, Mar!G31)</f>
        <v>0</v>
      </c>
      <c r="H31" s="72">
        <f>SUM(Jan!H31, Feb!H31, Mar!H31)</f>
        <v>0</v>
      </c>
      <c r="I31" s="71" t="str">
        <f t="shared" si="5"/>
        <v/>
      </c>
    </row>
    <row r="32" spans="1:9" ht="15.6">
      <c r="A32" s="47" t="str">
        <v>Commerce City - Hanson ES</v>
      </c>
      <c r="B32" s="27" t="str">
        <v>CO</v>
      </c>
      <c r="C32" s="28">
        <f>SUM(Jan!C32, Feb!C32, Mar!C32)</f>
        <v>0</v>
      </c>
      <c r="D32" s="29">
        <f>SUM(Jan!D32, Feb!D32, Mar!D32)</f>
        <v>0</v>
      </c>
      <c r="E32" s="29">
        <f t="shared" si="3"/>
        <v>0</v>
      </c>
      <c r="F32" s="30" t="str">
        <f t="shared" si="4"/>
        <v/>
      </c>
      <c r="G32" s="31">
        <f>SUM(Jan!G32, Feb!G32, Mar!G32)</f>
        <v>0</v>
      </c>
      <c r="H32" s="31">
        <f>SUM(Jan!H32, Feb!H32, Mar!H32)</f>
        <v>0</v>
      </c>
      <c r="I32" s="32" t="str">
        <f t="shared" si="5"/>
        <v/>
      </c>
    </row>
    <row r="33" spans="1:9" ht="15.6">
      <c r="A33" s="48" t="str">
        <v>Commerce City - Kemp ES</v>
      </c>
      <c r="B33" s="34" t="str">
        <v>CO</v>
      </c>
      <c r="C33" s="35">
        <f>SUM(Jan!C33, Feb!C33, Mar!C33)</f>
        <v>0</v>
      </c>
      <c r="D33" s="36">
        <f>SUM(Jan!D33, Feb!D33, Mar!D33)</f>
        <v>0</v>
      </c>
      <c r="E33" s="36">
        <f t="shared" si="3"/>
        <v>0</v>
      </c>
      <c r="F33" s="71" t="str">
        <f t="shared" si="4"/>
        <v/>
      </c>
      <c r="G33" s="72">
        <f>SUM(Jan!G33, Feb!G33, Mar!G33)</f>
        <v>0</v>
      </c>
      <c r="H33" s="72">
        <f>SUM(Jan!H33, Feb!H33, Mar!H33)</f>
        <v>0</v>
      </c>
      <c r="I33" s="71" t="str">
        <f t="shared" si="5"/>
        <v/>
      </c>
    </row>
    <row r="34" spans="1:9" ht="15.6">
      <c r="A34" s="47" t="str">
        <v>Commerce City -  Lester Arnold HS</v>
      </c>
      <c r="B34" s="27" t="str">
        <v>CO</v>
      </c>
      <c r="C34" s="28">
        <f>SUM(Jan!C34, Feb!C34, Mar!C34)</f>
        <v>0</v>
      </c>
      <c r="D34" s="29">
        <f>SUM(Jan!D34, Feb!D34, Mar!D34)</f>
        <v>0</v>
      </c>
      <c r="E34" s="29">
        <f t="shared" si="3"/>
        <v>0</v>
      </c>
      <c r="F34" s="30" t="str">
        <f t="shared" si="4"/>
        <v/>
      </c>
      <c r="G34" s="31">
        <f>SUM(Jan!G34, Feb!G34, Mar!G34)</f>
        <v>0</v>
      </c>
      <c r="H34" s="31">
        <f>SUM(Jan!H34, Feb!H34, Mar!H34)</f>
        <v>0</v>
      </c>
      <c r="I34" s="32" t="str">
        <f t="shared" si="5"/>
        <v/>
      </c>
    </row>
    <row r="35" spans="1:9" ht="15.6">
      <c r="A35" s="48" t="str">
        <v>Commerce City - Monaco ES</v>
      </c>
      <c r="B35" s="34" t="str">
        <v>CO</v>
      </c>
      <c r="C35" s="35">
        <f>SUM(Jan!C35, Feb!C35, Mar!C35)</f>
        <v>0</v>
      </c>
      <c r="D35" s="36">
        <f>SUM(Jan!D35, Feb!D35, Mar!D35)</f>
        <v>0</v>
      </c>
      <c r="E35" s="36">
        <f t="shared" si="3"/>
        <v>0</v>
      </c>
      <c r="F35" s="71" t="str">
        <f t="shared" si="4"/>
        <v/>
      </c>
      <c r="G35" s="72">
        <f>SUM(Jan!G35, Feb!G35, Mar!G35)</f>
        <v>0</v>
      </c>
      <c r="H35" s="72">
        <f>SUM(Jan!H35, Feb!H35, Mar!H35)</f>
        <v>0</v>
      </c>
      <c r="I35" s="71" t="str">
        <f t="shared" si="5"/>
        <v/>
      </c>
    </row>
    <row r="36" spans="1:9" ht="15.6">
      <c r="A36" s="47" t="str">
        <v>Denver - Northgate / Old Fort Logan ES</v>
      </c>
      <c r="B36" s="27" t="str">
        <v>CO</v>
      </c>
      <c r="C36" s="28">
        <f>SUM(Jan!C36, Feb!C36, Mar!C36)</f>
        <v>0</v>
      </c>
      <c r="D36" s="29">
        <f>SUM(Jan!D36, Feb!D36, Mar!D36)</f>
        <v>0</v>
      </c>
      <c r="E36" s="29">
        <f t="shared" si="3"/>
        <v>0</v>
      </c>
      <c r="F36" s="30" t="str">
        <f t="shared" si="4"/>
        <v/>
      </c>
      <c r="G36" s="31">
        <f>SUM(Jan!G36, Feb!G36, Mar!G36)</f>
        <v>0</v>
      </c>
      <c r="H36" s="31">
        <f>SUM(Jan!H36, Feb!H36, Mar!H36)</f>
        <v>0</v>
      </c>
      <c r="I36" s="32" t="str">
        <f t="shared" si="5"/>
        <v/>
      </c>
    </row>
    <row r="37" spans="1:9" ht="15.6">
      <c r="A37" s="48" t="str">
        <v>Denver - Sheridan High School</v>
      </c>
      <c r="B37" s="34" t="str">
        <v>CO</v>
      </c>
      <c r="C37" s="35">
        <f>SUM(Jan!C37, Feb!C37, Mar!C37)</f>
        <v>0</v>
      </c>
      <c r="D37" s="36">
        <f>SUM(Jan!D37, Feb!D37, Mar!D37)</f>
        <v>0</v>
      </c>
      <c r="E37" s="36">
        <f t="shared" si="3"/>
        <v>0</v>
      </c>
      <c r="F37" s="71" t="str">
        <f t="shared" si="4"/>
        <v/>
      </c>
      <c r="G37" s="72">
        <f>SUM(Jan!G37, Feb!G37, Mar!G37)</f>
        <v>0</v>
      </c>
      <c r="H37" s="72">
        <f>SUM(Jan!H37, Feb!H37, Mar!H37)</f>
        <v>0</v>
      </c>
      <c r="I37" s="71" t="str">
        <f t="shared" si="5"/>
        <v/>
      </c>
    </row>
    <row r="38" spans="1:9" ht="15.6">
      <c r="A38" s="47" t="str">
        <v>Englewood -  Alice Terry Elementary</v>
      </c>
      <c r="B38" s="27" t="str">
        <v>CO</v>
      </c>
      <c r="C38" s="28">
        <f>SUM(Jan!C38, Feb!C38, Mar!C38)</f>
        <v>0</v>
      </c>
      <c r="D38" s="29">
        <f>SUM(Jan!D38, Feb!D38, Mar!D38)</f>
        <v>0</v>
      </c>
      <c r="E38" s="29">
        <f t="shared" si="3"/>
        <v>0</v>
      </c>
      <c r="F38" s="30" t="str">
        <f t="shared" si="4"/>
        <v/>
      </c>
      <c r="G38" s="31">
        <f>SUM(Jan!G38, Feb!G38, Mar!G38)</f>
        <v>0</v>
      </c>
      <c r="H38" s="31">
        <f>SUM(Jan!H38, Feb!H38, Mar!H38)</f>
        <v>0</v>
      </c>
      <c r="I38" s="32" t="str">
        <f t="shared" si="5"/>
        <v/>
      </c>
    </row>
    <row r="39" spans="1:9" ht="15.6">
      <c r="A39" s="48" t="str">
        <v>Englewood - Sheridan Middle School</v>
      </c>
      <c r="B39" s="34" t="str">
        <v>CO</v>
      </c>
      <c r="C39" s="35">
        <f>SUM(Jan!C39, Feb!C39, Mar!C39)</f>
        <v>0</v>
      </c>
      <c r="D39" s="36">
        <f>SUM(Jan!D39, Feb!D39, Mar!D39)</f>
        <v>0</v>
      </c>
      <c r="E39" s="36">
        <f t="shared" si="3"/>
        <v>0</v>
      </c>
      <c r="F39" s="71" t="str">
        <f t="shared" si="4"/>
        <v/>
      </c>
      <c r="G39" s="72">
        <f>SUM(Jan!G39, Feb!G39, Mar!G39)</f>
        <v>0</v>
      </c>
      <c r="H39" s="72">
        <f>SUM(Jan!H39, Feb!H39, Mar!H39)</f>
        <v>0</v>
      </c>
      <c r="I39" s="71" t="str">
        <f t="shared" si="5"/>
        <v/>
      </c>
    </row>
    <row r="40" spans="1:9" ht="15.6">
      <c r="A40" s="47" t="str">
        <v>Goshen - NIPSCO</v>
      </c>
      <c r="B40" s="27" t="str">
        <v>IN</v>
      </c>
      <c r="C40" s="28">
        <f>SUM(Jan!C40, Feb!C40, Mar!C40)</f>
        <v>0</v>
      </c>
      <c r="D40" s="29">
        <f>SUM(Jan!D40, Feb!D40, Mar!D40)</f>
        <v>0</v>
      </c>
      <c r="E40" s="29">
        <f t="shared" si="3"/>
        <v>0</v>
      </c>
      <c r="F40" s="30" t="str">
        <f t="shared" si="4"/>
        <v/>
      </c>
      <c r="G40" s="31">
        <f>SUM(Jan!G40, Feb!G40, Mar!G40)</f>
        <v>0</v>
      </c>
      <c r="H40" s="31">
        <f>SUM(Jan!H40, Feb!H40, Mar!H40)</f>
        <v>0</v>
      </c>
      <c r="I40" s="32" t="str">
        <f t="shared" si="5"/>
        <v/>
      </c>
    </row>
    <row r="41" spans="1:9" ht="15.6">
      <c r="A41" s="48" t="str">
        <v>Alamogordo - City of Alamogordo - Effluent</v>
      </c>
      <c r="B41" s="34" t="str">
        <v>NM</v>
      </c>
      <c r="C41" s="35">
        <f>SUM(Jan!C41, Feb!C41, Mar!C41)</f>
        <v>0</v>
      </c>
      <c r="D41" s="36">
        <f>SUM(Jan!D41, Feb!D41, Mar!D41)</f>
        <v>0</v>
      </c>
      <c r="E41" s="36">
        <f t="shared" si="3"/>
        <v>0</v>
      </c>
      <c r="F41" s="71" t="str">
        <f t="shared" si="4"/>
        <v/>
      </c>
      <c r="G41" s="72">
        <f>SUM(Jan!G41, Feb!G41, Mar!G41)</f>
        <v>0</v>
      </c>
      <c r="H41" s="72">
        <f>SUM(Jan!H41, Feb!H41, Mar!H41)</f>
        <v>0</v>
      </c>
      <c r="I41" s="71" t="str">
        <f t="shared" si="5"/>
        <v/>
      </c>
    </row>
    <row r="42" spans="1:9" ht="15.6">
      <c r="A42" s="47" t="str">
        <v>Alamogordo - City of Alamogordo - WWTP</v>
      </c>
      <c r="B42" s="27" t="str">
        <v>NM</v>
      </c>
      <c r="C42" s="28">
        <f>SUM(Jan!C42, Feb!C42, Mar!C42)</f>
        <v>0</v>
      </c>
      <c r="D42" s="29">
        <f>SUM(Jan!D42, Feb!D42, Mar!D42)</f>
        <v>0</v>
      </c>
      <c r="E42" s="29">
        <f t="shared" si="3"/>
        <v>0</v>
      </c>
      <c r="F42" s="30" t="str">
        <f t="shared" si="4"/>
        <v/>
      </c>
      <c r="G42" s="31">
        <f>SUM(Jan!G42, Feb!G42, Mar!G42)</f>
        <v>0</v>
      </c>
      <c r="H42" s="31">
        <f>SUM(Jan!H42, Feb!H42, Mar!H42)</f>
        <v>0</v>
      </c>
      <c r="I42" s="32" t="str">
        <f t="shared" si="5"/>
        <v/>
      </c>
    </row>
    <row r="43" spans="1:9" ht="15.6">
      <c r="A43" s="48" t="str">
        <v>Deming - Bilbo Booster</v>
      </c>
      <c r="B43" s="34" t="str">
        <v>NM</v>
      </c>
      <c r="C43" s="35">
        <f>SUM(Jan!C43, Feb!C43, Mar!C43)</f>
        <v>0</v>
      </c>
      <c r="D43" s="36">
        <f>SUM(Jan!D43, Feb!D43, Mar!D43)</f>
        <v>0</v>
      </c>
      <c r="E43" s="36">
        <f t="shared" si="3"/>
        <v>0</v>
      </c>
      <c r="F43" s="71" t="str">
        <f t="shared" si="4"/>
        <v/>
      </c>
      <c r="G43" s="72">
        <f>SUM(Jan!G43, Feb!G43, Mar!G43)</f>
        <v>0</v>
      </c>
      <c r="H43" s="72">
        <f>SUM(Jan!H43, Feb!H43, Mar!H43)</f>
        <v>0</v>
      </c>
      <c r="I43" s="71" t="str">
        <f t="shared" si="5"/>
        <v/>
      </c>
    </row>
    <row r="44" spans="1:9" ht="15.6">
      <c r="A44" s="47" t="str">
        <v>Deming - Bilbo Well</v>
      </c>
      <c r="B44" s="27" t="str">
        <v>NM</v>
      </c>
      <c r="C44" s="28">
        <f>SUM(Jan!C44, Feb!C44, Mar!C44)</f>
        <v>0</v>
      </c>
      <c r="D44" s="29">
        <f>SUM(Jan!D44, Feb!D44, Mar!D44)</f>
        <v>0</v>
      </c>
      <c r="E44" s="29">
        <f t="shared" si="3"/>
        <v>0</v>
      </c>
      <c r="F44" s="30" t="str">
        <f t="shared" si="4"/>
        <v/>
      </c>
      <c r="G44" s="31">
        <f>SUM(Jan!G44, Feb!G44, Mar!G44)</f>
        <v>0</v>
      </c>
      <c r="H44" s="31">
        <f>SUM(Jan!H44, Feb!H44, Mar!H44)</f>
        <v>0</v>
      </c>
      <c r="I44" s="32" t="str">
        <f t="shared" si="5"/>
        <v/>
      </c>
    </row>
    <row r="45" spans="1:9" ht="15.6">
      <c r="A45" s="48" t="str">
        <v>Deming - WWTP</v>
      </c>
      <c r="B45" s="34" t="str">
        <v>NM</v>
      </c>
      <c r="C45" s="35">
        <f>SUM(Jan!C45, Feb!C45, Mar!C45)</f>
        <v>0</v>
      </c>
      <c r="D45" s="36">
        <f>SUM(Jan!D45, Feb!D45, Mar!D45)</f>
        <v>0</v>
      </c>
      <c r="E45" s="36">
        <f t="shared" si="3"/>
        <v>0</v>
      </c>
      <c r="F45" s="71" t="str">
        <f t="shared" si="4"/>
        <v/>
      </c>
      <c r="G45" s="72">
        <f>SUM(Jan!G45, Feb!G45, Mar!G45)</f>
        <v>0</v>
      </c>
      <c r="H45" s="72">
        <f>SUM(Jan!H45, Feb!H45, Mar!H45)</f>
        <v>0</v>
      </c>
      <c r="I45" s="71" t="str">
        <f t="shared" si="5"/>
        <v/>
      </c>
    </row>
    <row r="46" spans="1:9" ht="15.6">
      <c r="A46" s="47" t="str">
        <v>Truth or Consequences - Walmart</v>
      </c>
      <c r="B46" s="27" t="str">
        <v>NM</v>
      </c>
      <c r="C46" s="28">
        <f>SUM(Jan!C46, Feb!C46, Mar!C46)</f>
        <v>0</v>
      </c>
      <c r="D46" s="29">
        <f>SUM(Jan!D46, Feb!D46, Mar!D46)</f>
        <v>0</v>
      </c>
      <c r="E46" s="29">
        <f t="shared" si="3"/>
        <v>0</v>
      </c>
      <c r="F46" s="30" t="str">
        <f t="shared" si="4"/>
        <v/>
      </c>
      <c r="G46" s="31">
        <f>SUM(Jan!G46, Feb!G46, Mar!G46)</f>
        <v>0</v>
      </c>
      <c r="H46" s="31">
        <f>SUM(Jan!H46, Feb!H46, Mar!H46)</f>
        <v>0</v>
      </c>
      <c r="I46" s="32" t="str">
        <f t="shared" si="5"/>
        <v/>
      </c>
    </row>
    <row r="47" spans="1:9" ht="15.6">
      <c r="A47" s="48" t="str">
        <v>CA: Stockton - SUSD - Merlo</v>
      </c>
      <c r="B47" s="34" t="str">
        <v>CA</v>
      </c>
      <c r="C47" s="35">
        <f>SUM(Jan!C47, Feb!C47, Mar!C47)</f>
        <v>0</v>
      </c>
      <c r="D47" s="36">
        <f>SUM(Jan!D47, Feb!D47, Mar!D47)</f>
        <v>0</v>
      </c>
      <c r="E47" s="36">
        <f t="shared" ref="E47:E75" si="6">IF(AND(ISNUMBER(C47),ISNUMBER(D47)), C47-D47, "")</f>
        <v>0</v>
      </c>
      <c r="F47" s="71" t="str">
        <f t="shared" ref="F47:F75" si="7">IFERROR(E47/D47, "")</f>
        <v/>
      </c>
      <c r="G47" s="72">
        <f>SUM(Jan!G47, Feb!G47, Mar!G47)</f>
        <v>0</v>
      </c>
      <c r="H47" s="72">
        <f>SUM(Jan!H47, Feb!H47, Mar!H47)</f>
        <v>0</v>
      </c>
      <c r="I47" s="71" t="str">
        <f t="shared" ref="I47:I75" si="8">IFERROR(H47/G47, "")</f>
        <v/>
      </c>
    </row>
    <row r="48" spans="1:9" ht="15.6">
      <c r="A48" s="47" t="str">
        <v>Stockton Unified School Dist. - Bush Elementary</v>
      </c>
      <c r="B48" s="27" t="str">
        <v>CA</v>
      </c>
      <c r="C48" s="28">
        <f>SUM(Jan!C48, Feb!C48, Mar!C48)</f>
        <v>0</v>
      </c>
      <c r="D48" s="29">
        <f>SUM(Jan!D48, Feb!D48, Mar!D48)</f>
        <v>0</v>
      </c>
      <c r="E48" s="29">
        <f t="shared" si="6"/>
        <v>0</v>
      </c>
      <c r="F48" s="30" t="str">
        <f t="shared" si="7"/>
        <v/>
      </c>
      <c r="G48" s="31">
        <f>SUM(Jan!G48, Feb!G48, Mar!G48)</f>
        <v>0</v>
      </c>
      <c r="H48" s="31">
        <f>SUM(Jan!H48, Feb!H48, Mar!H48)</f>
        <v>0</v>
      </c>
      <c r="I48" s="32" t="str">
        <f t="shared" si="8"/>
        <v/>
      </c>
    </row>
    <row r="49" spans="1:9" ht="15.6">
      <c r="A49" s="48" t="str">
        <v>CA: Stockton - SUSD - Marshall JHS</v>
      </c>
      <c r="B49" s="34" t="str">
        <v>CA</v>
      </c>
      <c r="C49" s="35">
        <f>SUM(Jan!C49, Feb!C49, Mar!C49)</f>
        <v>0</v>
      </c>
      <c r="D49" s="36">
        <f>SUM(Jan!D49, Feb!D49, Mar!D49)</f>
        <v>0</v>
      </c>
      <c r="E49" s="36">
        <f t="shared" si="6"/>
        <v>0</v>
      </c>
      <c r="F49" s="71" t="str">
        <f t="shared" si="7"/>
        <v/>
      </c>
      <c r="G49" s="72">
        <f>SUM(Jan!G49, Feb!G49, Mar!G49)</f>
        <v>0</v>
      </c>
      <c r="H49" s="72">
        <f>SUM(Jan!H49, Feb!H49, Mar!H49)</f>
        <v>0</v>
      </c>
      <c r="I49" s="71" t="str">
        <f t="shared" si="8"/>
        <v/>
      </c>
    </row>
    <row r="50" spans="1:9" ht="15.6">
      <c r="A50" s="47" t="str">
        <v>CA: Stockton - SUSD - Hong-Kingston ES</v>
      </c>
      <c r="B50" s="27" t="str">
        <v>CA</v>
      </c>
      <c r="C50" s="28">
        <f>SUM(Jan!C50, Feb!C50, Mar!C50)</f>
        <v>0</v>
      </c>
      <c r="D50" s="29">
        <f>SUM(Jan!D50, Feb!D50, Mar!D50)</f>
        <v>0</v>
      </c>
      <c r="E50" s="29">
        <f t="shared" si="6"/>
        <v>0</v>
      </c>
      <c r="F50" s="30" t="str">
        <f t="shared" si="7"/>
        <v/>
      </c>
      <c r="G50" s="31">
        <f>SUM(Jan!G50, Feb!G50, Mar!G50)</f>
        <v>0</v>
      </c>
      <c r="H50" s="31">
        <f>SUM(Jan!H50, Feb!H50, Mar!H50)</f>
        <v>0</v>
      </c>
      <c r="I50" s="32" t="str">
        <f t="shared" si="8"/>
        <v/>
      </c>
    </row>
    <row r="51" spans="1:9" ht="15.6">
      <c r="A51" s="48" t="str">
        <v>CA: Stockton - SUSD - Hamilton ES</v>
      </c>
      <c r="B51" s="34" t="str">
        <v>CA</v>
      </c>
      <c r="C51" s="35">
        <f>SUM(Jan!C51, Feb!C51, Mar!C51)</f>
        <v>0</v>
      </c>
      <c r="D51" s="36">
        <f>SUM(Jan!D51, Feb!D51, Mar!D51)</f>
        <v>0</v>
      </c>
      <c r="E51" s="36">
        <f t="shared" si="6"/>
        <v>0</v>
      </c>
      <c r="F51" s="71" t="str">
        <f t="shared" si="7"/>
        <v/>
      </c>
      <c r="G51" s="72">
        <f>SUM(Jan!G51, Feb!G51, Mar!G51)</f>
        <v>0</v>
      </c>
      <c r="H51" s="72">
        <f>SUM(Jan!H51, Feb!H51, Mar!H51)</f>
        <v>0</v>
      </c>
      <c r="I51" s="71" t="str">
        <f t="shared" si="8"/>
        <v/>
      </c>
    </row>
    <row r="52" spans="1:9" ht="15.6">
      <c r="A52" s="47" t="str">
        <v>CA: Stockton - SUSD - Franklin - North</v>
      </c>
      <c r="B52" s="27" t="str">
        <v>CA</v>
      </c>
      <c r="C52" s="28">
        <f>SUM(Jan!C52, Feb!C52, Mar!C52)</f>
        <v>0</v>
      </c>
      <c r="D52" s="29">
        <f>SUM(Jan!D52, Feb!D52, Mar!D52)</f>
        <v>0</v>
      </c>
      <c r="E52" s="29">
        <f t="shared" si="6"/>
        <v>0</v>
      </c>
      <c r="F52" s="30" t="str">
        <f t="shared" si="7"/>
        <v/>
      </c>
      <c r="G52" s="31">
        <f>SUM(Jan!G52, Feb!G52, Mar!G52)</f>
        <v>0</v>
      </c>
      <c r="H52" s="31">
        <f>SUM(Jan!H52, Feb!H52, Mar!H52)</f>
        <v>0</v>
      </c>
      <c r="I52" s="32" t="str">
        <f t="shared" si="8"/>
        <v/>
      </c>
    </row>
    <row r="53" spans="1:9" ht="15.6">
      <c r="A53" s="48" t="str">
        <v>Stockton Unified School Dist. - Fillmore Elementary</v>
      </c>
      <c r="B53" s="34" t="str">
        <v>CA</v>
      </c>
      <c r="C53" s="35">
        <f>SUM(Jan!C53, Feb!C53, Mar!C53)</f>
        <v>0</v>
      </c>
      <c r="D53" s="36">
        <f>SUM(Jan!D53, Feb!D53, Mar!D53)</f>
        <v>0</v>
      </c>
      <c r="E53" s="36">
        <f t="shared" si="6"/>
        <v>0</v>
      </c>
      <c r="F53" s="71" t="str">
        <f t="shared" si="7"/>
        <v/>
      </c>
      <c r="G53" s="72">
        <f>SUM(Jan!G53, Feb!G53, Mar!G53)</f>
        <v>0</v>
      </c>
      <c r="H53" s="72">
        <f>SUM(Jan!H53, Feb!H53, Mar!H53)</f>
        <v>0</v>
      </c>
      <c r="I53" s="71" t="str">
        <f t="shared" si="8"/>
        <v/>
      </c>
    </row>
    <row r="54" spans="1:9" ht="15.6">
      <c r="A54" s="47" t="str">
        <v>CA: Stockton - SUSD - El Dorado ES</v>
      </c>
      <c r="B54" s="27" t="str">
        <v>CA</v>
      </c>
      <c r="C54" s="28">
        <f>SUM(Jan!C54, Feb!C54, Mar!C54)</f>
        <v>0</v>
      </c>
      <c r="D54" s="29">
        <f>SUM(Jan!D54, Feb!D54, Mar!D54)</f>
        <v>0</v>
      </c>
      <c r="E54" s="29">
        <f t="shared" si="6"/>
        <v>0</v>
      </c>
      <c r="F54" s="30" t="str">
        <f t="shared" si="7"/>
        <v/>
      </c>
      <c r="G54" s="31">
        <f>SUM(Jan!G54, Feb!G54, Mar!G54)</f>
        <v>0</v>
      </c>
      <c r="H54" s="31">
        <f>SUM(Jan!H54, Feb!H54, Mar!H54)</f>
        <v>0</v>
      </c>
      <c r="I54" s="32" t="str">
        <f t="shared" si="8"/>
        <v/>
      </c>
    </row>
    <row r="55" spans="1:9" ht="15.6">
      <c r="A55" s="48" t="str">
        <v>CA: Stockton - SUSD - Edison HS</v>
      </c>
      <c r="B55" s="34" t="str">
        <v>CA</v>
      </c>
      <c r="C55" s="35">
        <f>SUM(Jan!C55, Feb!C55, Mar!C55)</f>
        <v>0</v>
      </c>
      <c r="D55" s="36">
        <f>SUM(Jan!D55, Feb!D55, Mar!D55)</f>
        <v>0</v>
      </c>
      <c r="E55" s="36">
        <f t="shared" si="6"/>
        <v>0</v>
      </c>
      <c r="F55" s="71" t="str">
        <f t="shared" si="7"/>
        <v/>
      </c>
      <c r="G55" s="72">
        <f>SUM(Jan!G55, Feb!G55, Mar!G55)</f>
        <v>0</v>
      </c>
      <c r="H55" s="72">
        <f>SUM(Jan!H55, Feb!H55, Mar!H55)</f>
        <v>0</v>
      </c>
      <c r="I55" s="71" t="str">
        <f t="shared" si="8"/>
        <v/>
      </c>
    </row>
    <row r="56" spans="1:9" ht="15.6">
      <c r="A56" s="47" t="str">
        <v>CA: Stockton - SUSD - Chavez HS - Large</v>
      </c>
      <c r="B56" s="27" t="str">
        <v>CA</v>
      </c>
      <c r="C56" s="28">
        <f>SUM(Jan!C56, Feb!C56, Mar!C56)</f>
        <v>0</v>
      </c>
      <c r="D56" s="29">
        <f>SUM(Jan!D56, Feb!D56, Mar!D56)</f>
        <v>0</v>
      </c>
      <c r="E56" s="29">
        <f t="shared" si="6"/>
        <v>0</v>
      </c>
      <c r="F56" s="30" t="str">
        <f t="shared" si="7"/>
        <v/>
      </c>
      <c r="G56" s="31">
        <f>SUM(Jan!G56, Feb!G56, Mar!G56)</f>
        <v>0</v>
      </c>
      <c r="H56" s="31">
        <f>SUM(Jan!H56, Feb!H56, Mar!H56)</f>
        <v>0</v>
      </c>
      <c r="I56" s="32" t="str">
        <f t="shared" si="8"/>
        <v/>
      </c>
    </row>
    <row r="57" spans="1:9" ht="15.6">
      <c r="A57" s="48" t="str">
        <v>CA: San Jose - GE Mobile Water</v>
      </c>
      <c r="B57" s="34" t="str">
        <v>CA</v>
      </c>
      <c r="C57" s="35">
        <f>SUM(Jan!C57, Feb!C57, Mar!C57)</f>
        <v>0</v>
      </c>
      <c r="D57" s="36">
        <f>SUM(Jan!D57, Feb!D57, Mar!D57)</f>
        <v>0</v>
      </c>
      <c r="E57" s="36">
        <f t="shared" si="6"/>
        <v>0</v>
      </c>
      <c r="F57" s="71" t="str">
        <f t="shared" si="7"/>
        <v/>
      </c>
      <c r="G57" s="72">
        <f>SUM(Jan!G57, Feb!G57, Mar!G57)</f>
        <v>0</v>
      </c>
      <c r="H57" s="72">
        <f>SUM(Jan!H57, Feb!H57, Mar!H57)</f>
        <v>0</v>
      </c>
      <c r="I57" s="71" t="str">
        <f t="shared" si="8"/>
        <v/>
      </c>
    </row>
    <row r="58" spans="1:9" ht="15.6">
      <c r="A58" s="47" t="str">
        <v>CA: San Marcos - Vallecitos Water - Lift Station</v>
      </c>
      <c r="B58" s="27" t="str">
        <v>CA</v>
      </c>
      <c r="C58" s="28">
        <f>SUM(Jan!C58, Feb!C58, Mar!C58)</f>
        <v>0</v>
      </c>
      <c r="D58" s="29">
        <f>SUM(Jan!D58, Feb!D58, Mar!D58)</f>
        <v>0</v>
      </c>
      <c r="E58" s="29">
        <f t="shared" si="6"/>
        <v>0</v>
      </c>
      <c r="F58" s="30" t="str">
        <f t="shared" si="7"/>
        <v/>
      </c>
      <c r="G58" s="31">
        <f>SUM(Jan!G58, Feb!G58, Mar!G58)</f>
        <v>0</v>
      </c>
      <c r="H58" s="31">
        <f>SUM(Jan!H58, Feb!H58, Mar!H58)</f>
        <v>0</v>
      </c>
      <c r="I58" s="32" t="str">
        <f t="shared" si="8"/>
        <v/>
      </c>
    </row>
    <row r="59" spans="1:9" ht="15.6">
      <c r="A59" s="48" t="str">
        <v>CA: San Marcos - Vallecitos Water - Twin Oaks Reservoir</v>
      </c>
      <c r="B59" s="34" t="str">
        <v>CA</v>
      </c>
      <c r="C59" s="35">
        <f>SUM(Jan!C59, Feb!C59, Mar!C59)</f>
        <v>0</v>
      </c>
      <c r="D59" s="36">
        <f>SUM(Jan!D59, Feb!D59, Mar!D59)</f>
        <v>0</v>
      </c>
      <c r="E59" s="36">
        <f t="shared" si="6"/>
        <v>0</v>
      </c>
      <c r="F59" s="71" t="str">
        <f t="shared" si="7"/>
        <v/>
      </c>
      <c r="G59" s="72">
        <f>SUM(Jan!G59, Feb!G59, Mar!G59)</f>
        <v>0</v>
      </c>
      <c r="H59" s="72">
        <f>SUM(Jan!H59, Feb!H59, Mar!H59)</f>
        <v>0</v>
      </c>
      <c r="I59" s="71" t="str">
        <f t="shared" si="8"/>
        <v/>
      </c>
    </row>
    <row r="60" spans="1:9" ht="15.6">
      <c r="A60" s="47" t="str">
        <v>CA: Stockton - SUSD - Wilhelmina Henry ES</v>
      </c>
      <c r="B60" s="27" t="str">
        <v>CA</v>
      </c>
      <c r="C60" s="28">
        <f>SUM(Jan!C60, Feb!C60, Mar!C60)</f>
        <v>0</v>
      </c>
      <c r="D60" s="29">
        <f>SUM(Jan!D60, Feb!D60, Mar!D60)</f>
        <v>0</v>
      </c>
      <c r="E60" s="29">
        <f t="shared" si="6"/>
        <v>0</v>
      </c>
      <c r="F60" s="30" t="str">
        <f t="shared" si="7"/>
        <v/>
      </c>
      <c r="G60" s="31">
        <f>SUM(Jan!G60, Feb!G60, Mar!G60)</f>
        <v>0</v>
      </c>
      <c r="H60" s="31">
        <f>SUM(Jan!H60, Feb!H60, Mar!H60)</f>
        <v>0</v>
      </c>
      <c r="I60" s="32" t="str">
        <f t="shared" si="8"/>
        <v/>
      </c>
    </row>
    <row r="61" spans="1:9" ht="15.6">
      <c r="A61" s="48" t="str">
        <v>Stockton Unified School Dist. - Franklin (North)</v>
      </c>
      <c r="B61" s="34" t="str">
        <v>CA</v>
      </c>
      <c r="C61" s="35">
        <f>SUM(Jan!C61, Feb!C61, Mar!C61)</f>
        <v>0</v>
      </c>
      <c r="D61" s="36">
        <f>SUM(Jan!D61, Feb!D61, Mar!D61)</f>
        <v>0</v>
      </c>
      <c r="E61" s="36">
        <f t="shared" si="6"/>
        <v>0</v>
      </c>
      <c r="F61" s="71" t="str">
        <f t="shared" si="7"/>
        <v/>
      </c>
      <c r="G61" s="72">
        <f>SUM(Jan!G61, Feb!G61, Mar!G61)</f>
        <v>0</v>
      </c>
      <c r="H61" s="72">
        <f>SUM(Jan!H61, Feb!H61, Mar!H61)</f>
        <v>0</v>
      </c>
      <c r="I61" s="71" t="str">
        <f t="shared" si="8"/>
        <v/>
      </c>
    </row>
    <row r="62" spans="1:9" ht="15.6">
      <c r="A62" s="47" t="str">
        <v>CA: Stockton - SUSD - Franklin - South</v>
      </c>
      <c r="B62" s="27" t="str">
        <v>CA</v>
      </c>
      <c r="C62" s="28">
        <f>SUM(Jan!C62, Feb!C62, Mar!C62)</f>
        <v>0</v>
      </c>
      <c r="D62" s="29">
        <f>SUM(Jan!D62, Feb!D62, Mar!D62)</f>
        <v>0</v>
      </c>
      <c r="E62" s="29">
        <f t="shared" si="6"/>
        <v>0</v>
      </c>
      <c r="F62" s="30" t="str">
        <f t="shared" si="7"/>
        <v/>
      </c>
      <c r="G62" s="31">
        <f>SUM(Jan!G62, Feb!G62, Mar!G62)</f>
        <v>0</v>
      </c>
      <c r="H62" s="31">
        <f>SUM(Jan!H62, Feb!H62, Mar!H62)</f>
        <v>0</v>
      </c>
      <c r="I62" s="32" t="str">
        <f t="shared" si="8"/>
        <v/>
      </c>
    </row>
    <row r="63" spans="1:9" ht="15.6">
      <c r="A63" s="48" t="str">
        <v>CA: Stockton - SUSD - Chavez HS - Small</v>
      </c>
      <c r="B63" s="34" t="str">
        <v>CA</v>
      </c>
      <c r="C63" s="35">
        <f>SUM(Jan!C63, Feb!C63, Mar!C63)</f>
        <v>0</v>
      </c>
      <c r="D63" s="36">
        <f>SUM(Jan!D63, Feb!D63, Mar!D63)</f>
        <v>0</v>
      </c>
      <c r="E63" s="36">
        <f t="shared" si="6"/>
        <v>0</v>
      </c>
      <c r="F63" s="71" t="str">
        <f t="shared" si="7"/>
        <v/>
      </c>
      <c r="G63" s="72">
        <f>SUM(Jan!G63, Feb!G63, Mar!G63)</f>
        <v>0</v>
      </c>
      <c r="H63" s="72">
        <f>SUM(Jan!H63, Feb!H63, Mar!H63)</f>
        <v>0</v>
      </c>
      <c r="I63" s="71" t="str">
        <f t="shared" si="8"/>
        <v/>
      </c>
    </row>
    <row r="64" spans="1:9" ht="15.6">
      <c r="A64" s="47" t="str">
        <v>CA: Stockton - SUSD - Facilities</v>
      </c>
      <c r="B64" s="27" t="str">
        <v>CA</v>
      </c>
      <c r="C64" s="28">
        <f>SUM(Jan!C64, Feb!C64, Mar!C64)</f>
        <v>0</v>
      </c>
      <c r="D64" s="29">
        <f>SUM(Jan!D64, Feb!D64, Mar!D64)</f>
        <v>0</v>
      </c>
      <c r="E64" s="29">
        <f t="shared" si="6"/>
        <v>0</v>
      </c>
      <c r="F64" s="30" t="str">
        <f t="shared" si="7"/>
        <v/>
      </c>
      <c r="G64" s="31">
        <f>SUM(Jan!G64, Feb!G64, Mar!G64)</f>
        <v>0</v>
      </c>
      <c r="H64" s="31">
        <f>SUM(Jan!H64, Feb!H64, Mar!H64)</f>
        <v>0</v>
      </c>
      <c r="I64" s="32" t="str">
        <f t="shared" si="8"/>
        <v/>
      </c>
    </row>
    <row r="65" spans="1:9" ht="15.6">
      <c r="A65" s="48" t="str">
        <v>CA: Stockton - SUSD - Harrison</v>
      </c>
      <c r="B65" s="34" t="str">
        <v>CA</v>
      </c>
      <c r="C65" s="35">
        <f>SUM(Jan!C65, Feb!C65, Mar!C65)</f>
        <v>0</v>
      </c>
      <c r="D65" s="36">
        <f>SUM(Jan!D65, Feb!D65, Mar!D65)</f>
        <v>0</v>
      </c>
      <c r="E65" s="36">
        <f t="shared" si="6"/>
        <v>0</v>
      </c>
      <c r="F65" s="71" t="str">
        <f t="shared" si="7"/>
        <v/>
      </c>
      <c r="G65" s="72">
        <f>SUM(Jan!G65, Feb!G65, Mar!G65)</f>
        <v>0</v>
      </c>
      <c r="H65" s="72">
        <f>SUM(Jan!H65, Feb!H65, Mar!H65)</f>
        <v>0</v>
      </c>
      <c r="I65" s="71" t="str">
        <f t="shared" si="8"/>
        <v/>
      </c>
    </row>
    <row r="66" spans="1:9" ht="15.6">
      <c r="A66" s="47" t="str">
        <v>CA: Stockton - SUSD - Commodore Skills School</v>
      </c>
      <c r="B66" s="27" t="str">
        <v>CA</v>
      </c>
      <c r="C66" s="28">
        <f>SUM(Jan!C66, Feb!C66, Mar!C66)</f>
        <v>0</v>
      </c>
      <c r="D66" s="29">
        <f>SUM(Jan!D66, Feb!D66, Mar!D66)</f>
        <v>0</v>
      </c>
      <c r="E66" s="29">
        <f t="shared" si="6"/>
        <v>0</v>
      </c>
      <c r="F66" s="30" t="str">
        <f t="shared" si="7"/>
        <v/>
      </c>
      <c r="G66" s="31">
        <f>SUM(Jan!G66, Feb!G66, Mar!G66)</f>
        <v>0</v>
      </c>
      <c r="H66" s="31">
        <f>SUM(Jan!H66, Feb!H66, Mar!H66)</f>
        <v>0</v>
      </c>
      <c r="I66" s="32" t="str">
        <f t="shared" si="8"/>
        <v/>
      </c>
    </row>
    <row r="67" spans="1:9" ht="15.6">
      <c r="A67" s="48" t="str">
        <v>CA: Stockton - SUSD - Nightingale ES</v>
      </c>
      <c r="B67" s="34" t="str">
        <v>CA</v>
      </c>
      <c r="C67" s="35">
        <f>SUM(Jan!C67, Feb!C67, Mar!C67)</f>
        <v>0</v>
      </c>
      <c r="D67" s="36">
        <f>SUM(Jan!D67, Feb!D67, Mar!D67)</f>
        <v>0</v>
      </c>
      <c r="E67" s="36">
        <f t="shared" si="6"/>
        <v>0</v>
      </c>
      <c r="F67" s="71" t="str">
        <f t="shared" si="7"/>
        <v/>
      </c>
      <c r="G67" s="72">
        <f>SUM(Jan!G67, Feb!G67, Mar!G67)</f>
        <v>0</v>
      </c>
      <c r="H67" s="72">
        <f>SUM(Jan!H67, Feb!H67, Mar!H67)</f>
        <v>0</v>
      </c>
      <c r="I67" s="71" t="str">
        <f t="shared" si="8"/>
        <v/>
      </c>
    </row>
    <row r="68" spans="1:9" ht="15.6">
      <c r="A68" s="47" t="str">
        <v>CA: Stockton - SUSD - Weber Institute</v>
      </c>
      <c r="B68" s="27" t="str">
        <v>CA</v>
      </c>
      <c r="C68" s="28">
        <f>SUM(Jan!C68, Feb!C68, Mar!C68)</f>
        <v>0</v>
      </c>
      <c r="D68" s="29">
        <f>SUM(Jan!D68, Feb!D68, Mar!D68)</f>
        <v>0</v>
      </c>
      <c r="E68" s="29">
        <f t="shared" si="6"/>
        <v>0</v>
      </c>
      <c r="F68" s="30" t="str">
        <f t="shared" si="7"/>
        <v/>
      </c>
      <c r="G68" s="31">
        <f>SUM(Jan!G68, Feb!G68, Mar!G68)</f>
        <v>0</v>
      </c>
      <c r="H68" s="31">
        <f>SUM(Jan!H68, Feb!H68, Mar!H68)</f>
        <v>0</v>
      </c>
      <c r="I68" s="32" t="str">
        <f t="shared" si="8"/>
        <v/>
      </c>
    </row>
    <row r="69" spans="1:9" ht="15.6">
      <c r="A69" s="48" t="str">
        <v>CA: Stockton - SUSD - Warehouse</v>
      </c>
      <c r="B69" s="34" t="str">
        <v>CA</v>
      </c>
      <c r="C69" s="35">
        <f>SUM(Jan!C69, Feb!C69, Mar!C69)</f>
        <v>0</v>
      </c>
      <c r="D69" s="36">
        <f>SUM(Jan!D69, Feb!D69, Mar!D69)</f>
        <v>0</v>
      </c>
      <c r="E69" s="36">
        <f t="shared" si="6"/>
        <v>0</v>
      </c>
      <c r="F69" s="71" t="str">
        <f t="shared" si="7"/>
        <v/>
      </c>
      <c r="G69" s="72">
        <f>SUM(Jan!G69, Feb!G69, Mar!G69)</f>
        <v>0</v>
      </c>
      <c r="H69" s="72">
        <f>SUM(Jan!H69, Feb!H69, Mar!H69)</f>
        <v>0</v>
      </c>
      <c r="I69" s="71" t="str">
        <f t="shared" si="8"/>
        <v/>
      </c>
    </row>
    <row r="70" spans="1:9" ht="15.6">
      <c r="A70" s="47" t="str">
        <v>CA: Stockton - SUSD - Walton Special Center</v>
      </c>
      <c r="B70" s="27" t="str">
        <v>CA</v>
      </c>
      <c r="C70" s="28">
        <f>SUM(Jan!C70, Feb!C70, Mar!C70)</f>
        <v>0</v>
      </c>
      <c r="D70" s="29">
        <f>SUM(Jan!D70, Feb!D70, Mar!D70)</f>
        <v>0</v>
      </c>
      <c r="E70" s="29">
        <f t="shared" si="6"/>
        <v>0</v>
      </c>
      <c r="F70" s="30" t="str">
        <f t="shared" si="7"/>
        <v/>
      </c>
      <c r="G70" s="31">
        <f>SUM(Jan!G70, Feb!G70, Mar!G70)</f>
        <v>0</v>
      </c>
      <c r="H70" s="31">
        <f>SUM(Jan!H70, Feb!H70, Mar!H70)</f>
        <v>0</v>
      </c>
      <c r="I70" s="32" t="str">
        <f t="shared" si="8"/>
        <v/>
      </c>
    </row>
    <row r="71" spans="1:9" ht="15.6">
      <c r="A71" s="48" t="str">
        <v>CA: Stockton - SUSD - Stagg HS</v>
      </c>
      <c r="B71" s="34" t="str">
        <v>CA</v>
      </c>
      <c r="C71" s="35">
        <f>SUM(Jan!C71, Feb!C71, Mar!C71)</f>
        <v>0</v>
      </c>
      <c r="D71" s="36">
        <f>SUM(Jan!D71, Feb!D71, Mar!D71)</f>
        <v>0</v>
      </c>
      <c r="E71" s="36">
        <f t="shared" si="6"/>
        <v>0</v>
      </c>
      <c r="F71" s="71" t="str">
        <f t="shared" si="7"/>
        <v/>
      </c>
      <c r="G71" s="72">
        <f>SUM(Jan!G71, Feb!G71, Mar!G71)</f>
        <v>0</v>
      </c>
      <c r="H71" s="72">
        <f>SUM(Jan!H71, Feb!H71, Mar!H71)</f>
        <v>0</v>
      </c>
      <c r="I71" s="71" t="str">
        <f t="shared" si="8"/>
        <v/>
      </c>
    </row>
    <row r="72" spans="1:9" ht="15.6">
      <c r="A72" s="47" t="str">
        <v>CA: Stockton - SUSD - School for Adults</v>
      </c>
      <c r="B72" s="27" t="str">
        <v>CA</v>
      </c>
      <c r="C72" s="28">
        <f>SUM(Jan!C72, Feb!C72, Mar!C72)</f>
        <v>0</v>
      </c>
      <c r="D72" s="29">
        <f>SUM(Jan!D72, Feb!D72, Mar!D72)</f>
        <v>0</v>
      </c>
      <c r="E72" s="29">
        <f t="shared" si="6"/>
        <v>0</v>
      </c>
      <c r="F72" s="30" t="str">
        <f t="shared" si="7"/>
        <v/>
      </c>
      <c r="G72" s="31">
        <f>SUM(Jan!G72, Feb!G72, Mar!G72)</f>
        <v>0</v>
      </c>
      <c r="H72" s="31">
        <f>SUM(Jan!H72, Feb!H72, Mar!H72)</f>
        <v>0</v>
      </c>
      <c r="I72" s="32" t="str">
        <f t="shared" si="8"/>
        <v/>
      </c>
    </row>
    <row r="73" spans="1:9" ht="15.6">
      <c r="A73" s="48" t="str">
        <v>CA: Stockton - SUSD - San Joaquin</v>
      </c>
      <c r="B73" s="34" t="str">
        <v>CA</v>
      </c>
      <c r="C73" s="35">
        <f>SUM(Jan!C73, Feb!C73, Mar!C73)</f>
        <v>0</v>
      </c>
      <c r="D73" s="36">
        <f>SUM(Jan!D73, Feb!D73, Mar!D73)</f>
        <v>0</v>
      </c>
      <c r="E73" s="36">
        <f t="shared" si="6"/>
        <v>0</v>
      </c>
      <c r="F73" s="71" t="str">
        <f t="shared" si="7"/>
        <v/>
      </c>
      <c r="G73" s="72">
        <f>SUM(Jan!G73, Feb!G73, Mar!G73)</f>
        <v>0</v>
      </c>
      <c r="H73" s="72">
        <f>SUM(Jan!H73, Feb!H73, Mar!H73)</f>
        <v>0</v>
      </c>
      <c r="I73" s="71" t="str">
        <f t="shared" si="8"/>
        <v/>
      </c>
    </row>
    <row r="74" spans="1:9" ht="15.6">
      <c r="A74" s="47" t="str">
        <v>CA: Stockton - SUSD - Rio Calaveras</v>
      </c>
      <c r="B74" s="27" t="str">
        <v>CA</v>
      </c>
      <c r="C74" s="28">
        <f>SUM(Jan!C74, Feb!C74, Mar!C74)</f>
        <v>0</v>
      </c>
      <c r="D74" s="29">
        <f>SUM(Jan!D74, Feb!D74, Mar!D74)</f>
        <v>0</v>
      </c>
      <c r="E74" s="29">
        <f t="shared" si="6"/>
        <v>0</v>
      </c>
      <c r="F74" s="30" t="str">
        <f t="shared" si="7"/>
        <v/>
      </c>
      <c r="G74" s="31">
        <f>SUM(Jan!G74, Feb!G74, Mar!G74)</f>
        <v>0</v>
      </c>
      <c r="H74" s="31">
        <f>SUM(Jan!H74, Feb!H74, Mar!H74)</f>
        <v>0</v>
      </c>
      <c r="I74" s="32" t="str">
        <f t="shared" si="8"/>
        <v/>
      </c>
    </row>
    <row r="75" spans="1:9" ht="15.6">
      <c r="A75" s="48" t="str">
        <v>CA: Stockton - SUSD - Peyton</v>
      </c>
      <c r="B75" s="34" t="str">
        <v>CA</v>
      </c>
      <c r="C75" s="35">
        <f>SUM(Jan!C75, Feb!C75, Mar!C75)</f>
        <v>0</v>
      </c>
      <c r="D75" s="36">
        <f>SUM(Jan!D75, Feb!D75, Mar!D75)</f>
        <v>0</v>
      </c>
      <c r="E75" s="36">
        <f t="shared" si="6"/>
        <v>0</v>
      </c>
      <c r="F75" s="71" t="str">
        <f t="shared" si="7"/>
        <v/>
      </c>
      <c r="G75" s="72">
        <f>SUM(Jan!G75, Feb!G75, Mar!G75)</f>
        <v>0</v>
      </c>
      <c r="H75" s="72">
        <f>SUM(Jan!H75, Feb!H75, Mar!H75)</f>
        <v>0</v>
      </c>
      <c r="I75" s="71" t="str">
        <f t="shared" si="8"/>
        <v/>
      </c>
    </row>
    <row r="76" spans="1:9" ht="13.9">
      <c r="A76" s="8" t="str">
        <v>TX: Barnhart - 42917 Ranch RD 2469</v>
      </c>
      <c r="B76" s="8" t="str">
        <v>TX</v>
      </c>
      <c r="C76" s="8"/>
      <c r="D76" s="8"/>
      <c r="E76" s="8"/>
      <c r="F76" s="9"/>
      <c r="G76" s="8"/>
      <c r="H76" s="8"/>
      <c r="I76" s="9"/>
    </row>
    <row r="77" spans="1:9" ht="13.9">
      <c r="A77" s="8" t="str">
        <v>AZ: San Manuel - Senior &amp; Junior HS</v>
      </c>
      <c r="B77" s="8" t="str">
        <v>AZ</v>
      </c>
      <c r="C77" s="8"/>
      <c r="D77" s="8"/>
      <c r="E77" s="8"/>
      <c r="F77" s="9"/>
      <c r="G77" s="8"/>
      <c r="H77" s="8"/>
      <c r="I77" s="9"/>
    </row>
    <row r="78" spans="1:9" ht="13.9">
      <c r="A78" s="8" t="str">
        <v>AZ: Sierra Vista - Colonel Smith MS</v>
      </c>
      <c r="B78" s="8" t="str">
        <v>AZ</v>
      </c>
      <c r="C78" s="8"/>
      <c r="D78" s="8"/>
      <c r="E78" s="8"/>
      <c r="F78" s="9"/>
      <c r="G78" s="8"/>
      <c r="H78" s="8"/>
      <c r="I78" s="9"/>
    </row>
    <row r="79" spans="1:9" ht="13.9">
      <c r="A79" s="8" t="str">
        <v>AZ: Sierra Vista - Colonel Johnston ES</v>
      </c>
      <c r="B79" s="8" t="str">
        <v>AZ</v>
      </c>
      <c r="C79" s="8"/>
      <c r="D79" s="8"/>
      <c r="E79" s="8"/>
      <c r="F79" s="9"/>
      <c r="G79" s="8"/>
      <c r="H79" s="8"/>
      <c r="I79" s="9"/>
    </row>
    <row r="80" spans="1:9" ht="13.9">
      <c r="A80" s="8" t="str">
        <v>NH: Dover - Dover HS</v>
      </c>
      <c r="B80" s="8" t="str">
        <v>NH</v>
      </c>
      <c r="C80" s="8"/>
      <c r="D80" s="8"/>
      <c r="E80" s="8"/>
      <c r="F80" s="9"/>
      <c r="G80" s="8"/>
      <c r="H80" s="8"/>
      <c r="I80" s="9"/>
    </row>
    <row r="81" spans="1:9" ht="13.9">
      <c r="A81" s="8" t="str">
        <v>MA: Somerville - 30 Inner Belt Rd</v>
      </c>
      <c r="B81" s="8" t="str">
        <v>MA</v>
      </c>
      <c r="C81" s="8"/>
      <c r="D81" s="8"/>
      <c r="E81" s="8"/>
      <c r="F81" s="9"/>
      <c r="G81" s="8"/>
      <c r="H81" s="8"/>
      <c r="I81" s="9"/>
    </row>
    <row r="82" spans="1:9" ht="13.9">
      <c r="A82" s="8" t="str">
        <v>MA: Boxborough - 1414 Massachusetts Ave</v>
      </c>
      <c r="B82" s="8" t="str">
        <v>MA</v>
      </c>
      <c r="C82" s="8"/>
      <c r="D82" s="8"/>
      <c r="E82" s="8"/>
      <c r="F82" s="9"/>
      <c r="G82" s="8"/>
      <c r="H82" s="8"/>
      <c r="I82" s="9"/>
    </row>
    <row r="83" spans="1:9" ht="13.9">
      <c r="A83" s="8" t="str">
        <v>NY: Amsterdam - 153 NY Route 67</v>
      </c>
      <c r="B83" s="8" t="str">
        <v>NY</v>
      </c>
      <c r="C83" s="8"/>
      <c r="D83" s="8"/>
      <c r="E83" s="8"/>
      <c r="F83" s="9"/>
      <c r="G83" s="8"/>
      <c r="H83" s="8"/>
      <c r="I83" s="9"/>
    </row>
    <row r="84" spans="1:9" ht="13.9">
      <c r="A84" s="8" t="str">
        <v>CA: San Jose - GE Mobile Water</v>
      </c>
      <c r="B84" s="8" t="str">
        <v>CA</v>
      </c>
      <c r="C84" s="8"/>
      <c r="D84" s="8"/>
      <c r="E84" s="8"/>
      <c r="F84" s="9"/>
      <c r="G84" s="8"/>
      <c r="H84" s="8"/>
      <c r="I84" s="9"/>
    </row>
    <row r="85" spans="1:9" ht="13.9">
      <c r="A85" s="8" t="str">
        <v>NY: Rome - 7776 Tannery RD</v>
      </c>
      <c r="B85" s="8" t="str">
        <v>NY</v>
      </c>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3">
    <sortCondition ref="A3"/>
  </sortState>
  <mergeCells count="4">
    <mergeCell ref="G1:I1"/>
    <mergeCell ref="A1:C1"/>
    <mergeCell ref="D1:F1"/>
    <mergeCell ref="A2:B2"/>
  </mergeCells>
  <conditionalFormatting sqref="F2 I2 F4:F79 I4:I79">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1"/>
  <sheetViews>
    <sheetView workbookViewId="0">
      <pane xSplit="2" ySplit="3" topLeftCell="C66" activePane="bottomRight" state="frozen"/>
      <selection pane="bottomRight" activeCell="D50" sqref="D50"/>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6" t="str" cm="1">
        <f t="array" ref="A1">portfolio</f>
        <v>Clean Capital</v>
      </c>
      <c r="B1" s="106"/>
      <c r="C1" s="106"/>
      <c r="D1" s="107" t="s">
        <v>12</v>
      </c>
      <c r="E1" s="107"/>
      <c r="F1" s="107"/>
      <c r="G1" s="105" t="s">
        <v>13</v>
      </c>
      <c r="H1" s="105"/>
      <c r="I1" s="105"/>
    </row>
    <row r="2" spans="1:9" ht="19.5" customHeight="1">
      <c r="A2" s="108" t="s">
        <v>2</v>
      </c>
      <c r="B2" s="108"/>
      <c r="C2" s="5">
        <f>SUM(C4:C79)</f>
        <v>8113968.152199164</v>
      </c>
      <c r="D2" s="5">
        <f>SUM(D4:D79)</f>
        <v>3491701.9215977946</v>
      </c>
      <c r="E2" s="5">
        <f>C2-D2</f>
        <v>4622266.2306013694</v>
      </c>
      <c r="F2" s="6">
        <f>IFERROR(E2/D2, 0)</f>
        <v>1.3237860316799983</v>
      </c>
      <c r="G2" s="5">
        <f>SUM(G4:G79)</f>
        <v>9641237.5</v>
      </c>
      <c r="H2" s="7">
        <f>C2-G2</f>
        <v>-1527269.347800836</v>
      </c>
      <c r="I2" s="6">
        <f>IFERROR(H2/G2, 0)</f>
        <v>-0.15841009494899758</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SUM(Apr!C4, May!C4, Jun!C4)</f>
        <v>79912.247999999992</v>
      </c>
      <c r="D4" s="29">
        <f>SUM(Apr!D4, May!D4, Jun!D4)</f>
        <v>0</v>
      </c>
      <c r="E4" s="29">
        <f>IF(AND(ISNUMBER(C4),ISNUMBER(D4)), C4-D4, "")</f>
        <v>79912.247999999992</v>
      </c>
      <c r="F4" s="30" t="str">
        <f>IFERROR(E4/D4, "")</f>
        <v/>
      </c>
      <c r="G4" s="31">
        <f>SUM(Apr!G4,May!G4,Jun!G4)</f>
        <v>0</v>
      </c>
      <c r="H4" s="31">
        <f>SUM(Apr!H4, May!H4, Jun!H4)</f>
        <v>0</v>
      </c>
      <c r="I4" s="32" t="str">
        <f>IFERROR(H4/G4, "")</f>
        <v/>
      </c>
    </row>
    <row r="5" spans="1:9" ht="15.6">
      <c r="A5" s="48" t="str">
        <v>Pacoima - Whiteman Airport</v>
      </c>
      <c r="B5" s="34" t="str">
        <v>CA</v>
      </c>
      <c r="C5" s="35">
        <f>SUM(Apr!C5, May!C5, Jun!C5)</f>
        <v>74866.5</v>
      </c>
      <c r="D5" s="36">
        <f>SUM(Apr!D5, May!D5, Jun!D5)</f>
        <v>0</v>
      </c>
      <c r="E5" s="36">
        <f t="shared" ref="E5:E7" si="0">IF(AND(ISNUMBER(C5),ISNUMBER(D5)), C5-D5, "")</f>
        <v>74866.5</v>
      </c>
      <c r="F5" s="71" t="str">
        <f>IFERROR(E5/D5, "")</f>
        <v/>
      </c>
      <c r="G5" s="72">
        <f>SUM(Apr!G5,May!G5,Jun!G5)</f>
        <v>124728.7</v>
      </c>
      <c r="H5" s="72">
        <f>SUM(Apr!H5, May!H5, Jun!H5)</f>
        <v>-49862.2</v>
      </c>
      <c r="I5" s="71">
        <f>IFERROR(H5/G5, "")</f>
        <v>-0.39976525049968448</v>
      </c>
    </row>
    <row r="6" spans="1:9" ht="15.6">
      <c r="A6" s="47" t="str">
        <v>Hyannis - Sturgis Charter School</v>
      </c>
      <c r="B6" s="27" t="str">
        <v>MA</v>
      </c>
      <c r="C6" s="28">
        <f>SUM(Apr!C6, May!C6, Jun!C6)</f>
        <v>104886.5505361328</v>
      </c>
      <c r="D6" s="29">
        <f>SUM(Apr!D6, May!D6, Jun!D6)</f>
        <v>0</v>
      </c>
      <c r="E6" s="29">
        <f t="shared" si="0"/>
        <v>104886.5505361328</v>
      </c>
      <c r="F6" s="30" t="str">
        <f t="shared" ref="F6:F7" si="1">IFERROR(E6/D6, "")</f>
        <v/>
      </c>
      <c r="G6" s="31">
        <f>SUM(Apr!G6,May!G6,Jun!G6)</f>
        <v>100940</v>
      </c>
      <c r="H6" s="31">
        <f>SUM(Apr!H6, May!H6, Jun!H6)</f>
        <v>3946.5505361327996</v>
      </c>
      <c r="I6" s="32">
        <f t="shared" ref="I6:I7" si="2">IFERROR(H6/G6, "")</f>
        <v>3.9097984308825037E-2</v>
      </c>
    </row>
    <row r="7" spans="1:9" ht="15.6">
      <c r="A7" s="48" t="str">
        <v>South Dennis - Tony Kent Arena</v>
      </c>
      <c r="B7" s="34" t="str">
        <v>MA</v>
      </c>
      <c r="C7" s="35">
        <f>SUM(Apr!C7, May!C7, Jun!C7)</f>
        <v>121443.18</v>
      </c>
      <c r="D7" s="36">
        <f>SUM(Apr!D7, May!D7, Jun!D7)</f>
        <v>0</v>
      </c>
      <c r="E7" s="36">
        <f t="shared" si="0"/>
        <v>121443.18</v>
      </c>
      <c r="F7" s="71" t="str">
        <f t="shared" si="1"/>
        <v/>
      </c>
      <c r="G7" s="72">
        <f>SUM(Apr!G7,May!G7,Jun!G7)</f>
        <v>0</v>
      </c>
      <c r="H7" s="72">
        <f>SUM(Apr!H7, May!H7, Jun!H7)</f>
        <v>0</v>
      </c>
      <c r="I7" s="71" t="str">
        <f t="shared" si="2"/>
        <v/>
      </c>
    </row>
    <row r="8" spans="1:9" ht="15.6">
      <c r="A8" s="47" t="str">
        <v xml:space="preserve"> Caropolis - Felician Sisters</v>
      </c>
      <c r="B8" s="27" t="str">
        <v>PA</v>
      </c>
      <c r="C8" s="28">
        <f>SUM(Apr!C8, May!C8, Jun!C8)</f>
        <v>176632.5</v>
      </c>
      <c r="D8" s="29">
        <f>SUM(Apr!D8, May!D8, Jun!D8)</f>
        <v>0</v>
      </c>
      <c r="E8" s="29">
        <f t="shared" ref="E8:E46" si="3">IF(AND(ISNUMBER(C8),ISNUMBER(D8)), C8-D8, "")</f>
        <v>176632.5</v>
      </c>
      <c r="F8" s="30" t="str">
        <f t="shared" ref="F8:F46" si="4">IFERROR(E8/D8, "")</f>
        <v/>
      </c>
      <c r="G8" s="31">
        <f>SUM(Apr!G8,May!G8,Jun!G8)</f>
        <v>0</v>
      </c>
      <c r="H8" s="31">
        <f>SUM(Apr!H8, May!H8, Jun!H8)</f>
        <v>0</v>
      </c>
      <c r="I8" s="32" t="str">
        <f t="shared" ref="I8:I46" si="5">IFERROR(H8/G8, "")</f>
        <v/>
      </c>
    </row>
    <row r="9" spans="1:9" ht="15.6">
      <c r="A9" s="48" t="str">
        <v>Clear Lake - Eastlake Gohman</v>
      </c>
      <c r="B9" s="34" t="str">
        <v>MN</v>
      </c>
      <c r="C9" s="35">
        <f>SUM(Apr!C9, May!C9, Jun!C9)</f>
        <v>526656</v>
      </c>
      <c r="D9" s="36">
        <f>SUM(Apr!D9, May!D9, Jun!D9)</f>
        <v>0</v>
      </c>
      <c r="E9" s="36">
        <f t="shared" si="3"/>
        <v>526656</v>
      </c>
      <c r="F9" s="71" t="str">
        <f t="shared" si="4"/>
        <v/>
      </c>
      <c r="G9" s="72">
        <f>SUM(Apr!G9+May!G9+Jun!G9)</f>
        <v>570311.39999999991</v>
      </c>
      <c r="H9" s="72">
        <f>SUM(Apr!H9, May!H9, Jun!H9)</f>
        <v>-43655.399999999994</v>
      </c>
      <c r="I9" s="71">
        <f t="shared" si="5"/>
        <v>-7.6546602435090733E-2</v>
      </c>
    </row>
    <row r="10" spans="1:9" ht="15.6">
      <c r="A10" s="47" t="str">
        <v>Zumbrota - Eastlake Brenda Luhman</v>
      </c>
      <c r="B10" s="27" t="str">
        <v>MN</v>
      </c>
      <c r="C10" s="28">
        <f>SUM(Apr!C10, May!C10, Jun!C10)</f>
        <v>552019</v>
      </c>
      <c r="D10" s="29">
        <f>SUM(Apr!D10, May!D10, Jun!D10)</f>
        <v>0</v>
      </c>
      <c r="E10" s="29">
        <f t="shared" si="3"/>
        <v>552019</v>
      </c>
      <c r="F10" s="30" t="str">
        <f t="shared" si="4"/>
        <v/>
      </c>
      <c r="G10" s="31">
        <f>SUM(Apr!G10+May!G10+Jun!G10)</f>
        <v>567651</v>
      </c>
      <c r="H10" s="31">
        <f>SUM(Apr!H10, May!H10, Jun!H10)</f>
        <v>-15632</v>
      </c>
      <c r="I10" s="32">
        <f t="shared" si="5"/>
        <v>-2.75380471451649E-2</v>
      </c>
    </row>
    <row r="11" spans="1:9" ht="15.6">
      <c r="A11" s="48" t="str">
        <v>Cokato - Eastlake Carlson</v>
      </c>
      <c r="B11" s="34" t="str">
        <v>MN</v>
      </c>
      <c r="C11" s="35">
        <f>SUM(Apr!C11, May!C11, Jun!C11)</f>
        <v>502584</v>
      </c>
      <c r="D11" s="36">
        <f>SUM(Apr!D11, May!D11, Jun!D11)</f>
        <v>0</v>
      </c>
      <c r="E11" s="36">
        <f t="shared" si="3"/>
        <v>502584</v>
      </c>
      <c r="F11" s="71" t="str">
        <f t="shared" si="4"/>
        <v/>
      </c>
      <c r="G11" s="72">
        <f>SUM(Apr!G11+May!G11+Jun!G11)</f>
        <v>605960.30000000005</v>
      </c>
      <c r="H11" s="72">
        <f>SUM(Apr!H11, May!H11, Jun!H11)</f>
        <v>-103376.30000000002</v>
      </c>
      <c r="I11" s="71">
        <f t="shared" si="5"/>
        <v>-0.17059913000901217</v>
      </c>
    </row>
    <row r="12" spans="1:9" ht="15.6">
      <c r="A12" s="47" t="str">
        <v>North Branch - Cornille 2</v>
      </c>
      <c r="B12" s="27" t="str">
        <v>MN</v>
      </c>
      <c r="C12" s="28">
        <f>SUM(Apr!C12, May!C12, Jun!C12)</f>
        <v>490309</v>
      </c>
      <c r="D12" s="29">
        <f>SUM(Apr!D12, May!D12, Jun!D12)</f>
        <v>0</v>
      </c>
      <c r="E12" s="29">
        <f t="shared" si="3"/>
        <v>490309</v>
      </c>
      <c r="F12" s="30" t="str">
        <f t="shared" si="4"/>
        <v/>
      </c>
      <c r="G12" s="31">
        <f>SUM(Apr!G12+May!G12+Jun!G12)</f>
        <v>590753.30000000005</v>
      </c>
      <c r="H12" s="31">
        <f>SUM(Apr!H12, May!H12, Jun!H12)</f>
        <v>-100444.30000000002</v>
      </c>
      <c r="I12" s="32">
        <f t="shared" si="5"/>
        <v>-0.17002748863188746</v>
      </c>
    </row>
    <row r="13" spans="1:9" ht="15.6">
      <c r="A13" s="48" t="str">
        <v>Clear Lake - Eastlake Hammer</v>
      </c>
      <c r="B13" s="34" t="str">
        <v>MN</v>
      </c>
      <c r="C13" s="35">
        <f>SUM(Apr!C13, May!C13, Jun!C13)</f>
        <v>637280.96749999898</v>
      </c>
      <c r="D13" s="36">
        <f>SUM(Apr!D13, May!D13, Jun!D13)</f>
        <v>0</v>
      </c>
      <c r="E13" s="36">
        <f t="shared" si="3"/>
        <v>637280.96749999898</v>
      </c>
      <c r="F13" s="71" t="str">
        <f t="shared" si="4"/>
        <v/>
      </c>
      <c r="G13" s="72">
        <f>SUM(Apr!G13+May!G13+Jun!G13)</f>
        <v>714867.60000000009</v>
      </c>
      <c r="H13" s="72">
        <f>SUM(Apr!H13, May!H13, Jun!H13)</f>
        <v>-77586.632500001026</v>
      </c>
      <c r="I13" s="71">
        <f t="shared" si="5"/>
        <v>-0.10853287028255444</v>
      </c>
    </row>
    <row r="14" spans="1:9" ht="15.6">
      <c r="A14" s="47" t="str">
        <v>Eastlake - Hertzberg CSG 1</v>
      </c>
      <c r="B14" s="27" t="str">
        <v>MN</v>
      </c>
      <c r="C14" s="28">
        <f>SUM(Apr!C14, May!C14, Jun!C14)</f>
        <v>645017.73562617204</v>
      </c>
      <c r="D14" s="29">
        <f>SUM(Apr!D14, May!D14, Jun!D14)</f>
        <v>0</v>
      </c>
      <c r="E14" s="29">
        <f t="shared" si="3"/>
        <v>645017.73562617204</v>
      </c>
      <c r="F14" s="30" t="str">
        <f t="shared" si="4"/>
        <v/>
      </c>
      <c r="G14" s="31">
        <f>SUM(Apr!G14+May!G14+Jun!G14)</f>
        <v>715062.3060000001</v>
      </c>
      <c r="H14" s="31">
        <f>SUM(Apr!H14, May!H14, Jun!H14)</f>
        <v>-70044.570373827999</v>
      </c>
      <c r="I14" s="32">
        <f t="shared" si="5"/>
        <v>-9.7955898089009313E-2</v>
      </c>
    </row>
    <row r="15" spans="1:9" ht="15.6">
      <c r="A15" s="48" t="str">
        <v>Cokato - Eastlake Laurel Village</v>
      </c>
      <c r="B15" s="34" t="str">
        <v>MN</v>
      </c>
      <c r="C15" s="35">
        <f>SUM(Apr!C15, May!C15, Jun!C15)</f>
        <v>659571</v>
      </c>
      <c r="D15" s="36">
        <f>SUM(Apr!D15, May!D15, Jun!D15)</f>
        <v>0</v>
      </c>
      <c r="E15" s="36">
        <f t="shared" si="3"/>
        <v>659571</v>
      </c>
      <c r="F15" s="71" t="str">
        <f t="shared" si="4"/>
        <v/>
      </c>
      <c r="G15" s="72">
        <f>SUM(Apr!G15+May!G15+Jun!G15)</f>
        <v>748373</v>
      </c>
      <c r="H15" s="72">
        <f>SUM(Apr!H15, May!H15, Jun!H15)</f>
        <v>-88802</v>
      </c>
      <c r="I15" s="71">
        <f t="shared" si="5"/>
        <v>-0.11866007993340219</v>
      </c>
    </row>
    <row r="16" spans="1:9" ht="15.6">
      <c r="A16" s="47" t="str">
        <v>St. Peter - Eastlake Paulson</v>
      </c>
      <c r="B16" s="27" t="str">
        <v>MN</v>
      </c>
      <c r="C16" s="28">
        <f>SUM(Apr!C16, May!C16, Jun!C16)</f>
        <v>545011.033650795</v>
      </c>
      <c r="D16" s="29">
        <f>SUM(Apr!D16, May!D16, Jun!D16)</f>
        <v>0</v>
      </c>
      <c r="E16" s="29">
        <f t="shared" si="3"/>
        <v>545011.033650795</v>
      </c>
      <c r="F16" s="30" t="str">
        <f t="shared" si="4"/>
        <v/>
      </c>
      <c r="G16" s="31">
        <f>SUM(Apr!G16+May!G16+Jun!G16)</f>
        <v>610393.59999999998</v>
      </c>
      <c r="H16" s="31">
        <f>SUM(Apr!H16, May!H16, Jun!H16)</f>
        <v>-65382.566349205008</v>
      </c>
      <c r="I16" s="32">
        <f t="shared" si="5"/>
        <v>-0.10711541921344689</v>
      </c>
    </row>
    <row r="17" spans="1:9" ht="15.6">
      <c r="A17" s="48" t="str">
        <v>Felician Sisters Convent</v>
      </c>
      <c r="B17" s="34" t="str">
        <v>NJ</v>
      </c>
      <c r="C17" s="35">
        <f>SUM(Apr!C17, May!C17, Jun!C17)</f>
        <v>53857.600000000006</v>
      </c>
      <c r="D17" s="36">
        <f>SUM(Apr!D17, May!D17, Jun!D17)</f>
        <v>0</v>
      </c>
      <c r="E17" s="36">
        <f t="shared" si="3"/>
        <v>53857.600000000006</v>
      </c>
      <c r="F17" s="71" t="str">
        <f t="shared" si="4"/>
        <v/>
      </c>
      <c r="G17" s="72">
        <f>SUM(Apr!G17,May!G17,Jun!G17)</f>
        <v>0</v>
      </c>
      <c r="H17" s="72">
        <f>SUM(Apr!H17, May!H17, Jun!H17)</f>
        <v>0</v>
      </c>
      <c r="I17" s="71" t="str">
        <f t="shared" si="5"/>
        <v/>
      </c>
    </row>
    <row r="18" spans="1:9" ht="15.6">
      <c r="A18" s="47" t="str">
        <v>Sussex County Fairgrounds</v>
      </c>
      <c r="B18" s="27" t="str">
        <v>NJ</v>
      </c>
      <c r="C18" s="28">
        <f>SUM(Apr!C18, May!C18, Jun!C18)</f>
        <v>124570.35999999999</v>
      </c>
      <c r="D18" s="29">
        <f>SUM(Apr!D18, May!D18, Jun!D18)</f>
        <v>0</v>
      </c>
      <c r="E18" s="29">
        <f t="shared" si="3"/>
        <v>124570.35999999999</v>
      </c>
      <c r="F18" s="30" t="str">
        <f t="shared" si="4"/>
        <v/>
      </c>
      <c r="G18" s="31">
        <f>SUM(Apr!G18,May!G18,Jun!G18)</f>
        <v>0</v>
      </c>
      <c r="H18" s="31">
        <f>SUM(Apr!H18, May!H18, Jun!H18)</f>
        <v>0</v>
      </c>
      <c r="I18" s="32" t="str">
        <f t="shared" si="5"/>
        <v/>
      </c>
    </row>
    <row r="19" spans="1:9" ht="15.6">
      <c r="A19" s="48" t="str">
        <v>Gateway Church</v>
      </c>
      <c r="B19" s="34" t="str">
        <v>NJ</v>
      </c>
      <c r="C19" s="35">
        <f>SUM(Apr!C19, May!C19, Jun!C19)</f>
        <v>81953</v>
      </c>
      <c r="D19" s="36">
        <f>SUM(Apr!D19, May!D19, Jun!D19)</f>
        <v>0</v>
      </c>
      <c r="E19" s="36">
        <f t="shared" si="3"/>
        <v>81953</v>
      </c>
      <c r="F19" s="71" t="str">
        <f t="shared" si="4"/>
        <v/>
      </c>
      <c r="G19" s="72">
        <f>SUM(Apr!G19,May!G19,Jun!G19)</f>
        <v>0</v>
      </c>
      <c r="H19" s="72">
        <f>SUM(Apr!H19, May!H19, Jun!H19)</f>
        <v>0</v>
      </c>
      <c r="I19" s="71" t="str">
        <f t="shared" si="5"/>
        <v/>
      </c>
    </row>
    <row r="20" spans="1:9" ht="15.6">
      <c r="A20" s="47" t="str">
        <v>Beaver Falls - Felician Sisters</v>
      </c>
      <c r="B20" s="27" t="str">
        <v>PA</v>
      </c>
      <c r="C20" s="28">
        <f>SUM(Apr!C20, May!C20, Jun!C20)</f>
        <v>123444</v>
      </c>
      <c r="D20" s="29">
        <f>SUM(Apr!D20, May!D20, Jun!D20)</f>
        <v>0</v>
      </c>
      <c r="E20" s="29">
        <f t="shared" si="3"/>
        <v>123444</v>
      </c>
      <c r="F20" s="30" t="str">
        <f t="shared" si="4"/>
        <v/>
      </c>
      <c r="G20" s="31">
        <f>SUM(Apr!G20,May!G20,Jun!G20)</f>
        <v>0</v>
      </c>
      <c r="H20" s="31">
        <f>SUM(Apr!H20, May!H20, Jun!H20)</f>
        <v>0</v>
      </c>
      <c r="I20" s="32" t="str">
        <f t="shared" si="5"/>
        <v/>
      </c>
    </row>
    <row r="21" spans="1:9" ht="15.6">
      <c r="A21" s="48" t="str">
        <v>Livonia - Felician Sisters Ground</v>
      </c>
      <c r="B21" s="34" t="str">
        <v>MI</v>
      </c>
      <c r="C21" s="35">
        <f>SUM(Apr!C21, May!C21, Jun!C21)</f>
        <v>0</v>
      </c>
      <c r="D21" s="36">
        <f>SUM(Apr!D21, May!D21, Jun!D21)</f>
        <v>0</v>
      </c>
      <c r="E21" s="36">
        <f t="shared" si="3"/>
        <v>0</v>
      </c>
      <c r="F21" s="71" t="str">
        <f t="shared" si="4"/>
        <v/>
      </c>
      <c r="G21" s="72">
        <f>SUM(Apr!G21,May!G21,Jun!G21)</f>
        <v>0</v>
      </c>
      <c r="H21" s="72">
        <f>SUM(Apr!H21, May!H21, Jun!H21)</f>
        <v>0</v>
      </c>
      <c r="I21" s="71" t="str">
        <f t="shared" si="5"/>
        <v/>
      </c>
    </row>
    <row r="22" spans="1:9" ht="15.6">
      <c r="A22" s="47" t="str">
        <v>Livonia - Felician Sisters Roof</v>
      </c>
      <c r="B22" s="27" t="str">
        <v>MI</v>
      </c>
      <c r="C22" s="28">
        <f>SUM(Apr!C22, May!C22, Jun!C22)</f>
        <v>50116</v>
      </c>
      <c r="D22" s="29">
        <f>SUM(Apr!D22, May!D22, Jun!D22)</f>
        <v>0</v>
      </c>
      <c r="E22" s="29">
        <f t="shared" si="3"/>
        <v>50116</v>
      </c>
      <c r="F22" s="30" t="str">
        <f t="shared" si="4"/>
        <v/>
      </c>
      <c r="G22" s="31">
        <f>SUM(Apr!G22,May!G22,Jun!G22)</f>
        <v>0</v>
      </c>
      <c r="H22" s="31">
        <f>SUM(Apr!H22, May!H22, Jun!H22)</f>
        <v>0</v>
      </c>
      <c r="I22" s="32" t="str">
        <f t="shared" si="5"/>
        <v/>
      </c>
    </row>
    <row r="23" spans="1:9" ht="15.6">
      <c r="A23" s="48" t="str">
        <v>Monmouth Worship Ctr</v>
      </c>
      <c r="B23" s="34" t="str">
        <v>NJ</v>
      </c>
      <c r="C23" s="35">
        <f>SUM(Apr!C23, May!C23, Jun!C23)</f>
        <v>35553.980000000025</v>
      </c>
      <c r="D23" s="36">
        <f>SUM(Apr!D23, May!D23, Jun!D23)</f>
        <v>0</v>
      </c>
      <c r="E23" s="36">
        <f t="shared" si="3"/>
        <v>35553.980000000025</v>
      </c>
      <c r="F23" s="71" t="str">
        <f t="shared" si="4"/>
        <v/>
      </c>
      <c r="G23" s="72">
        <f>SUM(Apr!G23,May!G23,Jun!G23)</f>
        <v>0</v>
      </c>
      <c r="H23" s="72">
        <f>SUM(Apr!H23, May!H23, Jun!H23)</f>
        <v>0</v>
      </c>
      <c r="I23" s="71" t="str">
        <f t="shared" si="5"/>
        <v/>
      </c>
    </row>
    <row r="24" spans="1:9" ht="15.6">
      <c r="A24" s="47" t="str">
        <v xml:space="preserve"> Audubon - Senior Citizens United</v>
      </c>
      <c r="B24" s="27" t="str">
        <v>NJ</v>
      </c>
      <c r="C24" s="28">
        <f>SUM(Apr!C24, May!C24, Jun!C24)</f>
        <v>26707.475000000002</v>
      </c>
      <c r="D24" s="29">
        <f>SUM(Apr!D24, May!D24, Jun!D24)</f>
        <v>0</v>
      </c>
      <c r="E24" s="29">
        <f t="shared" si="3"/>
        <v>26707.475000000002</v>
      </c>
      <c r="F24" s="30" t="str">
        <f t="shared" si="4"/>
        <v/>
      </c>
      <c r="G24" s="31">
        <f>SUM(Apr!G24,May!G24,Jun!G24)</f>
        <v>0</v>
      </c>
      <c r="H24" s="31">
        <f>SUM(Apr!H24, May!H24, Jun!H24)</f>
        <v>0</v>
      </c>
      <c r="I24" s="32" t="str">
        <f t="shared" si="5"/>
        <v/>
      </c>
    </row>
    <row r="25" spans="1:9" ht="15.6">
      <c r="A25" s="48" t="str">
        <v>Hollister - PG&amp;E (Enerparc)</v>
      </c>
      <c r="B25" s="34" t="str">
        <v>CA</v>
      </c>
      <c r="C25" s="35">
        <f>SUM(Apr!C25, May!C25, Jun!C25)</f>
        <v>0</v>
      </c>
      <c r="D25" s="36">
        <f>SUM(Apr!D25, May!D25, Jun!D25)</f>
        <v>0</v>
      </c>
      <c r="E25" s="36">
        <f t="shared" si="3"/>
        <v>0</v>
      </c>
      <c r="F25" s="71" t="str">
        <f t="shared" si="4"/>
        <v/>
      </c>
      <c r="G25" s="72">
        <f>SUM(Apr!G25,May!G25,Jun!G25)</f>
        <v>759371.60000000009</v>
      </c>
      <c r="H25" s="72">
        <f>SUM(Apr!H25, May!H25, Jun!H25)</f>
        <v>-759371.60000000009</v>
      </c>
      <c r="I25" s="71">
        <f t="shared" si="5"/>
        <v>-1</v>
      </c>
    </row>
    <row r="26" spans="1:9" ht="15.6">
      <c r="A26" s="47" t="str">
        <v>Taos County - Kit Carson Electric Co-Op</v>
      </c>
      <c r="B26" s="27" t="str">
        <v>NM</v>
      </c>
      <c r="C26" s="28">
        <f>SUM(Apr!C26, May!C26, Jun!C26)</f>
        <v>432600</v>
      </c>
      <c r="D26" s="29">
        <f>SUM(Apr!D26, May!D26, Jun!D26)</f>
        <v>508266.5</v>
      </c>
      <c r="E26" s="29">
        <f t="shared" si="3"/>
        <v>-75666.5</v>
      </c>
      <c r="F26" s="30">
        <f t="shared" si="4"/>
        <v>-0.1488717041158526</v>
      </c>
      <c r="G26" s="31">
        <f>SUM(Apr!G26,May!G26,Jun!G26)</f>
        <v>448501.1</v>
      </c>
      <c r="H26" s="31">
        <f>SUM(Apr!H26, May!H26, Jun!H26)</f>
        <v>-15901.100000000006</v>
      </c>
      <c r="I26" s="32">
        <f t="shared" si="5"/>
        <v>-3.545387068169957E-2</v>
      </c>
    </row>
    <row r="27" spans="1:9" ht="15.6">
      <c r="A27" s="48" t="str">
        <v>Commerce City - Adams City HS</v>
      </c>
      <c r="B27" s="34" t="str">
        <v>CO</v>
      </c>
      <c r="C27" s="35">
        <f>SUM(Apr!C27, May!C27, Jun!C27)</f>
        <v>33504</v>
      </c>
      <c r="D27" s="36">
        <f>SUM(Apr!D27, May!D27, Jun!D27)</f>
        <v>27090.29</v>
      </c>
      <c r="E27" s="36">
        <f t="shared" si="3"/>
        <v>6413.7099999999991</v>
      </c>
      <c r="F27" s="71">
        <f t="shared" si="4"/>
        <v>0.23675309492810889</v>
      </c>
      <c r="G27" s="72">
        <f>SUM(Apr!G27,May!G27,Jun!G27)</f>
        <v>30650.47</v>
      </c>
      <c r="H27" s="72">
        <f>SUM(Apr!H27, May!H27, Jun!H27)</f>
        <v>2853.5299999999988</v>
      </c>
      <c r="I27" s="71">
        <f t="shared" si="5"/>
        <v>9.3099061776214159E-2</v>
      </c>
    </row>
    <row r="28" spans="1:9" ht="15.6">
      <c r="A28" s="47" t="str">
        <v>Commerce City - Adams City MS</v>
      </c>
      <c r="B28" s="27" t="str">
        <v>CO</v>
      </c>
      <c r="C28" s="28">
        <f>SUM(Apr!C28, May!C28, Jun!C28)</f>
        <v>27929</v>
      </c>
      <c r="D28" s="29">
        <f>SUM(Apr!D28, May!D28, Jun!D28)</f>
        <v>24607.629999999997</v>
      </c>
      <c r="E28" s="29">
        <f t="shared" si="3"/>
        <v>3321.3700000000026</v>
      </c>
      <c r="F28" s="30">
        <f t="shared" si="4"/>
        <v>0.13497317701867279</v>
      </c>
      <c r="G28" s="31">
        <f>SUM(Apr!G28,May!G28,Jun!G28)</f>
        <v>26962.440000000002</v>
      </c>
      <c r="H28" s="31">
        <f>SUM(Apr!H28, May!H28, Jun!H28)</f>
        <v>966.55999999999949</v>
      </c>
      <c r="I28" s="32">
        <f t="shared" si="5"/>
        <v>3.5848387608836567E-2</v>
      </c>
    </row>
    <row r="29" spans="1:9" ht="15.6">
      <c r="A29" s="48" t="str">
        <v>Commerce City - Central ES</v>
      </c>
      <c r="B29" s="34" t="str">
        <v>CO</v>
      </c>
      <c r="C29" s="35">
        <f>SUM(Apr!C29, May!C29, Jun!C29)</f>
        <v>7311.2</v>
      </c>
      <c r="D29" s="36">
        <f>SUM(Apr!D29, May!D29, Jun!D29)</f>
        <v>7057.7749999999996</v>
      </c>
      <c r="E29" s="36">
        <f t="shared" si="3"/>
        <v>253.42500000000018</v>
      </c>
      <c r="F29" s="71">
        <f t="shared" si="4"/>
        <v>3.5907208716628142E-2</v>
      </c>
      <c r="G29" s="72">
        <f>SUM(Apr!G29,May!G29,Jun!G29)</f>
        <v>7899.8620000000001</v>
      </c>
      <c r="H29" s="72">
        <f>SUM(Apr!H29, May!H29, Jun!H29)</f>
        <v>-588.66200000000026</v>
      </c>
      <c r="I29" s="71">
        <f t="shared" si="5"/>
        <v>-7.45154788779855E-2</v>
      </c>
    </row>
    <row r="30" spans="1:9" ht="15.6">
      <c r="A30" s="47" t="str">
        <v>Commerce City - Dupont ES</v>
      </c>
      <c r="B30" s="27" t="str">
        <v>CO</v>
      </c>
      <c r="C30" s="28">
        <f>SUM(Apr!C30, May!C30, Jun!C30)</f>
        <v>18251</v>
      </c>
      <c r="D30" s="29">
        <f>SUM(Apr!D30, May!D30, Jun!D30)</f>
        <v>19959.264999999999</v>
      </c>
      <c r="E30" s="29">
        <f t="shared" si="3"/>
        <v>-1708.2649999999994</v>
      </c>
      <c r="F30" s="30">
        <f t="shared" si="4"/>
        <v>-8.5587570484183639E-2</v>
      </c>
      <c r="G30" s="31">
        <f>SUM(Apr!G30,May!G30,Jun!G30)</f>
        <v>22614.3</v>
      </c>
      <c r="H30" s="31">
        <f>SUM(Apr!H30, May!H30, Jun!H30)</f>
        <v>-4363.2999999999993</v>
      </c>
      <c r="I30" s="32">
        <f t="shared" si="5"/>
        <v>-0.19294428746412665</v>
      </c>
    </row>
    <row r="31" spans="1:9" ht="15.6">
      <c r="A31" s="48" t="str">
        <v>Commerce City - Educational Support Services</v>
      </c>
      <c r="B31" s="34" t="str">
        <v>CO</v>
      </c>
      <c r="C31" s="35">
        <f>SUM(Apr!C31, May!C31, Jun!C31)</f>
        <v>23462</v>
      </c>
      <c r="D31" s="36">
        <f>SUM(Apr!D31, May!D31, Jun!D31)</f>
        <v>20732.97</v>
      </c>
      <c r="E31" s="36">
        <f t="shared" si="3"/>
        <v>2729.0299999999988</v>
      </c>
      <c r="F31" s="71">
        <f t="shared" si="4"/>
        <v>0.13162754781394073</v>
      </c>
      <c r="G31" s="72">
        <f>SUM(Apr!G31,May!G31,Jun!G31)</f>
        <v>23359.45</v>
      </c>
      <c r="H31" s="72">
        <f>SUM(Apr!H31, May!H31, Jun!H31)</f>
        <v>102.54999999999927</v>
      </c>
      <c r="I31" s="71">
        <f t="shared" si="5"/>
        <v>4.3900862391879633E-3</v>
      </c>
    </row>
    <row r="32" spans="1:9" ht="15.6">
      <c r="A32" s="47" t="str">
        <v>Commerce City - Hanson ES</v>
      </c>
      <c r="B32" s="27" t="str">
        <v>CO</v>
      </c>
      <c r="C32" s="28">
        <f>SUM(Apr!C32, May!C32, Jun!C32)</f>
        <v>29578</v>
      </c>
      <c r="D32" s="29">
        <f>SUM(Apr!D32, May!D32, Jun!D32)</f>
        <v>27035.190000000002</v>
      </c>
      <c r="E32" s="29">
        <f t="shared" si="3"/>
        <v>2542.8099999999977</v>
      </c>
      <c r="F32" s="30">
        <f t="shared" si="4"/>
        <v>9.4055562398488696E-2</v>
      </c>
      <c r="G32" s="31">
        <f>SUM(Apr!G32,May!G32,Jun!G32)</f>
        <v>30535.919999999998</v>
      </c>
      <c r="H32" s="31">
        <f>SUM(Apr!H32, May!H32, Jun!H32)</f>
        <v>-957.92000000000007</v>
      </c>
      <c r="I32" s="32">
        <f t="shared" si="5"/>
        <v>-3.137026819562011E-2</v>
      </c>
    </row>
    <row r="33" spans="1:9" ht="15.6">
      <c r="A33" s="48" t="str">
        <v>Commerce City - Kemp ES</v>
      </c>
      <c r="B33" s="34" t="str">
        <v>CO</v>
      </c>
      <c r="C33" s="35">
        <f>SUM(Apr!C33, May!C33, Jun!C33)</f>
        <v>24673.322499000002</v>
      </c>
      <c r="D33" s="36">
        <f>SUM(Apr!D33, May!D33, Jun!D33)</f>
        <v>27022.59</v>
      </c>
      <c r="E33" s="36">
        <f t="shared" si="3"/>
        <v>-2349.2675009999984</v>
      </c>
      <c r="F33" s="71">
        <f t="shared" si="4"/>
        <v>-8.6937170012200846E-2</v>
      </c>
      <c r="G33" s="72">
        <f>SUM(Apr!G33,May!G33,Jun!G33)</f>
        <v>30520.84</v>
      </c>
      <c r="H33" s="72">
        <f>SUM(Apr!H33, May!H33, Jun!H33)</f>
        <v>-5847.5175009999984</v>
      </c>
      <c r="I33" s="71">
        <f t="shared" si="5"/>
        <v>-0.19159097524838761</v>
      </c>
    </row>
    <row r="34" spans="1:9" ht="15.6">
      <c r="A34" s="47" t="str">
        <v>Commerce City -  Lester Arnold HS</v>
      </c>
      <c r="B34" s="27" t="str">
        <v>CO</v>
      </c>
      <c r="C34" s="28">
        <f>SUM(Apr!C34, May!C34, Jun!C34)</f>
        <v>4975.9993870668113</v>
      </c>
      <c r="D34" s="29">
        <f>SUM(Apr!D34, May!D34, Jun!D34)</f>
        <v>26123.29</v>
      </c>
      <c r="E34" s="29">
        <f t="shared" si="3"/>
        <v>-21147.29061293319</v>
      </c>
      <c r="F34" s="30">
        <f t="shared" si="4"/>
        <v>-0.80951865607024187</v>
      </c>
      <c r="G34" s="31">
        <f>SUM(Apr!G34,May!G34,Jun!G34)</f>
        <v>29635.27</v>
      </c>
      <c r="H34" s="31">
        <f>SUM(Apr!H34, May!H34, Jun!H34)</f>
        <v>-24659.270612933189</v>
      </c>
      <c r="I34" s="32">
        <f t="shared" si="5"/>
        <v>-0.83209198407617646</v>
      </c>
    </row>
    <row r="35" spans="1:9" ht="15.6">
      <c r="A35" s="48" t="str">
        <v>Commerce City - Monaco ES</v>
      </c>
      <c r="B35" s="34" t="str">
        <v>CO</v>
      </c>
      <c r="C35" s="35">
        <f>SUM(Apr!C35, May!C35, Jun!C35)</f>
        <v>21225</v>
      </c>
      <c r="D35" s="36">
        <f>SUM(Apr!D35, May!D35, Jun!D35)</f>
        <v>27037.360000000001</v>
      </c>
      <c r="E35" s="36">
        <f t="shared" si="3"/>
        <v>-5812.3600000000006</v>
      </c>
      <c r="F35" s="71">
        <f t="shared" si="4"/>
        <v>-0.21497513070802773</v>
      </c>
      <c r="G35" s="72">
        <f>SUM(Apr!G35,May!G35,Jun!G35)</f>
        <v>30535.919999999998</v>
      </c>
      <c r="H35" s="72">
        <f>SUM(Apr!H35, May!H35, Jun!H35)</f>
        <v>-9310.92</v>
      </c>
      <c r="I35" s="71">
        <f t="shared" si="5"/>
        <v>-0.30491696336642227</v>
      </c>
    </row>
    <row r="36" spans="1:9" ht="15.6">
      <c r="A36" s="47" t="str">
        <v>Denver - Northgate / Old Fort Logan ES</v>
      </c>
      <c r="B36" s="27" t="str">
        <v>CO</v>
      </c>
      <c r="C36" s="28">
        <f>SUM(Apr!C36, May!C36, Jun!C36)</f>
        <v>27329</v>
      </c>
      <c r="D36" s="29">
        <f>SUM(Apr!D36, May!D36, Jun!D36)</f>
        <v>23468.06</v>
      </c>
      <c r="E36" s="29">
        <f t="shared" si="3"/>
        <v>3860.9399999999987</v>
      </c>
      <c r="F36" s="30">
        <f t="shared" si="4"/>
        <v>0.16451892487065392</v>
      </c>
      <c r="G36" s="31">
        <f>SUM(Apr!G36,May!G36,Jun!G36)</f>
        <v>28246.23</v>
      </c>
      <c r="H36" s="31">
        <f>SUM(Apr!H36, May!H36, Jun!H36)</f>
        <v>-917.22999999999956</v>
      </c>
      <c r="I36" s="32">
        <f t="shared" si="5"/>
        <v>-3.2472652102599163E-2</v>
      </c>
    </row>
    <row r="37" spans="1:9" ht="15.6">
      <c r="A37" s="48" t="str">
        <v>Denver - Sheridan High School</v>
      </c>
      <c r="B37" s="34" t="str">
        <v>CO</v>
      </c>
      <c r="C37" s="35">
        <f>SUM(Apr!C37, May!C37, Jun!C37)</f>
        <v>31942</v>
      </c>
      <c r="D37" s="36">
        <f>SUM(Apr!D37, May!D37, Jun!D37)</f>
        <v>27071.85</v>
      </c>
      <c r="E37" s="36">
        <f t="shared" si="3"/>
        <v>4870.1500000000015</v>
      </c>
      <c r="F37" s="71">
        <f t="shared" si="4"/>
        <v>0.17989719948950669</v>
      </c>
      <c r="G37" s="72">
        <f>SUM(Apr!G37,May!G37,Jun!G37)</f>
        <v>28121.68</v>
      </c>
      <c r="H37" s="72">
        <f>SUM(Apr!H37, May!H37, Jun!H37)</f>
        <v>3820.3199999999997</v>
      </c>
      <c r="I37" s="71">
        <f t="shared" si="5"/>
        <v>0.13584963629484439</v>
      </c>
    </row>
    <row r="38" spans="1:9" ht="15.6">
      <c r="A38" s="47" t="str">
        <v>Englewood -  Alice Terry Elementary</v>
      </c>
      <c r="B38" s="27" t="str">
        <v>CO</v>
      </c>
      <c r="C38" s="28">
        <f>SUM(Apr!C38, May!C38, Jun!C38)</f>
        <v>30261</v>
      </c>
      <c r="D38" s="29">
        <f>SUM(Apr!D38, May!D38, Jun!D38)</f>
        <v>27072.21</v>
      </c>
      <c r="E38" s="29">
        <f t="shared" si="3"/>
        <v>3188.7900000000009</v>
      </c>
      <c r="F38" s="30">
        <f t="shared" si="4"/>
        <v>0.11778831502858469</v>
      </c>
      <c r="G38" s="31">
        <f>SUM(Apr!G38,May!G38,Jun!G38)</f>
        <v>28246.23</v>
      </c>
      <c r="H38" s="31">
        <f>SUM(Apr!H38, May!H38, Jun!H38)</f>
        <v>2014.7700000000004</v>
      </c>
      <c r="I38" s="32">
        <f t="shared" si="5"/>
        <v>7.1328810959905106E-2</v>
      </c>
    </row>
    <row r="39" spans="1:9" ht="15.6">
      <c r="A39" s="48" t="str">
        <v>Englewood - Sheridan Middle School</v>
      </c>
      <c r="B39" s="34" t="str">
        <v>CO</v>
      </c>
      <c r="C39" s="35">
        <f>SUM(Apr!C39, May!C39, Jun!C39)</f>
        <v>15141</v>
      </c>
      <c r="D39" s="36">
        <f>SUM(Apr!D39, May!D39, Jun!D39)</f>
        <v>16182.924999999999</v>
      </c>
      <c r="E39" s="36">
        <f t="shared" si="3"/>
        <v>-1041.9249999999993</v>
      </c>
      <c r="F39" s="71">
        <f t="shared" si="4"/>
        <v>-6.4384219787213953E-2</v>
      </c>
      <c r="G39" s="72">
        <f>SUM(Apr!G39,May!G39,Jun!G39)</f>
        <v>16539.292000000001</v>
      </c>
      <c r="H39" s="72">
        <f>SUM(Apr!H39, May!H39, Jun!H39)</f>
        <v>-1398.2920000000004</v>
      </c>
      <c r="I39" s="71">
        <f t="shared" si="5"/>
        <v>-8.4543643101530605E-2</v>
      </c>
    </row>
    <row r="40" spans="1:9" ht="15.6">
      <c r="A40" s="47" t="str">
        <v>Goshen - NIPSCO</v>
      </c>
      <c r="B40" s="27" t="str">
        <v>IN</v>
      </c>
      <c r="C40" s="28">
        <f>SUM(Apr!C40, May!C40, Jun!C40)</f>
        <v>102351</v>
      </c>
      <c r="D40" s="29">
        <f>SUM(Apr!D40, May!D40, Jun!D40)</f>
        <v>112278.37</v>
      </c>
      <c r="E40" s="29">
        <f t="shared" si="3"/>
        <v>-9927.3699999999953</v>
      </c>
      <c r="F40" s="30">
        <f t="shared" si="4"/>
        <v>-8.8417475244786645E-2</v>
      </c>
      <c r="G40" s="31">
        <f>SUM(Apr!G40,May!G40,Jun!G40)</f>
        <v>145618.46000000002</v>
      </c>
      <c r="H40" s="31">
        <f>SUM(Apr!H40, May!H40, Jun!H40)</f>
        <v>-43267.460000000006</v>
      </c>
      <c r="I40" s="32">
        <f t="shared" si="5"/>
        <v>-0.29712894917306498</v>
      </c>
    </row>
    <row r="41" spans="1:9" ht="15.6">
      <c r="A41" s="48" t="str">
        <v>Alamogordo - City of Alamogordo - Effluent</v>
      </c>
      <c r="B41" s="34" t="str">
        <v>NM</v>
      </c>
      <c r="C41" s="35">
        <f>SUM(Apr!C41, May!C41, Jun!C41)</f>
        <v>50183</v>
      </c>
      <c r="D41" s="36">
        <f>SUM(Apr!D41, May!D41, Jun!D41)</f>
        <v>60060.7</v>
      </c>
      <c r="E41" s="36">
        <f t="shared" si="3"/>
        <v>-9877.6999999999971</v>
      </c>
      <c r="F41" s="71">
        <f t="shared" si="4"/>
        <v>-0.1644619526578944</v>
      </c>
      <c r="G41" s="72">
        <f>SUM(Apr!G41,May!G41,Jun!G41)</f>
        <v>70557.16</v>
      </c>
      <c r="H41" s="72">
        <f>SUM(Apr!H41, May!H41, Jun!H41)</f>
        <v>-20374.160000000003</v>
      </c>
      <c r="I41" s="71">
        <f t="shared" si="5"/>
        <v>-0.28876105557536619</v>
      </c>
    </row>
    <row r="42" spans="1:9" ht="15.6">
      <c r="A42" s="47" t="str">
        <v>Alamogordo - City of Alamogordo - WWTP</v>
      </c>
      <c r="B42" s="27" t="str">
        <v>NM</v>
      </c>
      <c r="C42" s="28">
        <f>SUM(Apr!C42, May!C42, Jun!C42)</f>
        <v>86630</v>
      </c>
      <c r="D42" s="29">
        <f>SUM(Apr!D42, May!D42, Jun!D42)</f>
        <v>6.597795E-3</v>
      </c>
      <c r="E42" s="29">
        <f t="shared" si="3"/>
        <v>86629.993402205</v>
      </c>
      <c r="F42" s="30">
        <f t="shared" si="4"/>
        <v>13130143.237582404</v>
      </c>
      <c r="G42" s="31">
        <f>SUM(Apr!G42,May!G42,Jun!G42)</f>
        <v>299222.7</v>
      </c>
      <c r="H42" s="31">
        <f>SUM(Apr!H42, May!H42, Jun!H42)</f>
        <v>-212592.7</v>
      </c>
      <c r="I42" s="32">
        <f t="shared" si="5"/>
        <v>-0.71048319529233583</v>
      </c>
    </row>
    <row r="43" spans="1:9" ht="15.6">
      <c r="A43" s="48" t="str">
        <v>Deming - Bilbo Booster</v>
      </c>
      <c r="B43" s="34" t="str">
        <v>NM</v>
      </c>
      <c r="C43" s="35">
        <f>SUM(Apr!C43, May!C43, Jun!C43)</f>
        <v>26356</v>
      </c>
      <c r="D43" s="36">
        <f>SUM(Apr!D43, May!D43, Jun!D43)</f>
        <v>0</v>
      </c>
      <c r="E43" s="36">
        <f t="shared" si="3"/>
        <v>26356</v>
      </c>
      <c r="F43" s="71" t="str">
        <f t="shared" si="4"/>
        <v/>
      </c>
      <c r="G43" s="72">
        <f>SUM(Apr!G43,May!G43,Jun!G43)</f>
        <v>28291.309999999998</v>
      </c>
      <c r="H43" s="72">
        <f>SUM(Apr!H43, May!H43, Jun!H43)</f>
        <v>-1935.3099999999995</v>
      </c>
      <c r="I43" s="71">
        <f t="shared" si="5"/>
        <v>-6.8406517761107552E-2</v>
      </c>
    </row>
    <row r="44" spans="1:9" ht="15.6">
      <c r="A44" s="47" t="str">
        <v>Deming - Bilbo Well</v>
      </c>
      <c r="B44" s="27" t="str">
        <v>NM</v>
      </c>
      <c r="C44" s="28">
        <f>SUM(Apr!C44, May!C44, Jun!C44)</f>
        <v>47769</v>
      </c>
      <c r="D44" s="29">
        <f>SUM(Apr!D44, May!D44, Jun!D44)</f>
        <v>0</v>
      </c>
      <c r="E44" s="29">
        <f t="shared" si="3"/>
        <v>47769</v>
      </c>
      <c r="F44" s="30" t="str">
        <f t="shared" si="4"/>
        <v/>
      </c>
      <c r="G44" s="31">
        <f>SUM(Apr!G44,May!G44,Jun!G44)</f>
        <v>51141.9</v>
      </c>
      <c r="H44" s="31">
        <f>SUM(Apr!H44, May!H44, Jun!H44)</f>
        <v>-3372.9000000000015</v>
      </c>
      <c r="I44" s="32">
        <f t="shared" si="5"/>
        <v>-6.5951792952549701E-2</v>
      </c>
    </row>
    <row r="45" spans="1:9" ht="15.6">
      <c r="A45" s="48" t="str">
        <v>Deming - WWTP</v>
      </c>
      <c r="B45" s="34" t="str">
        <v>NM</v>
      </c>
      <c r="C45" s="35">
        <f>SUM(Apr!C45, May!C45, Jun!C45)</f>
        <v>172240</v>
      </c>
      <c r="D45" s="36">
        <f>SUM(Apr!D45, May!D45, Jun!D45)</f>
        <v>148519.72999999998</v>
      </c>
      <c r="E45" s="36">
        <f t="shared" si="3"/>
        <v>23720.270000000019</v>
      </c>
      <c r="F45" s="71">
        <f t="shared" si="4"/>
        <v>0.15971123836543483</v>
      </c>
      <c r="G45" s="72">
        <f>SUM(Apr!G45,May!G45,Jun!G45)</f>
        <v>203508.8</v>
      </c>
      <c r="H45" s="72">
        <f>SUM(Apr!H45, May!H45, Jun!H45)</f>
        <v>-31268.800000000003</v>
      </c>
      <c r="I45" s="71">
        <f t="shared" si="5"/>
        <v>-0.15364839260022173</v>
      </c>
    </row>
    <row r="46" spans="1:9" ht="15.6">
      <c r="A46" s="47" t="str">
        <v>Truth or Consequences - Walmart</v>
      </c>
      <c r="B46" s="27" t="str">
        <v>NM</v>
      </c>
      <c r="C46" s="28">
        <f>SUM(Apr!C46, May!C46, Jun!C46)</f>
        <v>335200</v>
      </c>
      <c r="D46" s="29">
        <f>SUM(Apr!D46, May!D46, Jun!D46)</f>
        <v>688966.60000000009</v>
      </c>
      <c r="E46" s="29">
        <f t="shared" si="3"/>
        <v>-353766.60000000009</v>
      </c>
      <c r="F46" s="30">
        <f t="shared" si="4"/>
        <v>-0.51347423808352977</v>
      </c>
      <c r="G46" s="31">
        <f>SUM(Apr!G46,May!G46,Jun!G46)</f>
        <v>440987.1</v>
      </c>
      <c r="H46" s="31">
        <f>SUM(Apr!H46, May!H46, Jun!H46)</f>
        <v>-105787.1</v>
      </c>
      <c r="I46" s="32">
        <f t="shared" si="5"/>
        <v>-0.23988706245602198</v>
      </c>
    </row>
    <row r="47" spans="1:9" ht="15.6">
      <c r="A47" s="48" t="str">
        <v>CA: Stockton - SUSD - Merlo</v>
      </c>
      <c r="B47" s="34" t="str">
        <v>CA</v>
      </c>
      <c r="C47" s="35">
        <f>SUM(Apr!C47, May!C47, Jun!C47)</f>
        <v>0</v>
      </c>
      <c r="D47" s="36">
        <f>SUM(Apr!D47, May!D47, Jun!D47)</f>
        <v>0</v>
      </c>
      <c r="E47" s="36">
        <f t="shared" ref="E47:E75" si="6">IF(AND(ISNUMBER(C47),ISNUMBER(D47)), C47-D47, "")</f>
        <v>0</v>
      </c>
      <c r="F47" s="71" t="str">
        <f t="shared" ref="F47:F75" si="7">IFERROR(E47/D47, "")</f>
        <v/>
      </c>
      <c r="G47" s="72">
        <f>SUM(Apr!G47,May!G47,Jun!G47)</f>
        <v>0</v>
      </c>
      <c r="H47" s="72">
        <f>SUM(Apr!H47, May!H47, Jun!H47)</f>
        <v>0</v>
      </c>
      <c r="I47" s="71" t="str">
        <f t="shared" ref="I47:I75" si="8">IFERROR(H47/G47, "")</f>
        <v/>
      </c>
    </row>
    <row r="48" spans="1:9" ht="15.6">
      <c r="A48" s="47" t="str">
        <v>Stockton Unified School Dist. - Bush Elementary</v>
      </c>
      <c r="B48" s="27" t="str">
        <v>CA</v>
      </c>
      <c r="C48" s="28">
        <f>SUM(Apr!C48, May!C48, Jun!C48)</f>
        <v>28518.75</v>
      </c>
      <c r="D48" s="29">
        <f>SUM(Apr!D48, May!D48, Jun!D48)</f>
        <v>41029.64</v>
      </c>
      <c r="E48" s="29">
        <f t="shared" si="6"/>
        <v>-12510.89</v>
      </c>
      <c r="F48" s="30">
        <f t="shared" si="7"/>
        <v>-0.30492322135899802</v>
      </c>
      <c r="G48" s="31">
        <f>SUM(Apr!G48,May!G48,Jun!G48)</f>
        <v>41223.449999999997</v>
      </c>
      <c r="H48" s="31">
        <f>SUM(Apr!H48, May!H48, Jun!H48)</f>
        <v>-12704.699999999997</v>
      </c>
      <c r="I48" s="32">
        <f t="shared" si="8"/>
        <v>-0.30819109026537073</v>
      </c>
    </row>
    <row r="49" spans="1:9" ht="15.6">
      <c r="A49" s="48" t="str">
        <v>CA: Stockton - SUSD - Marshall JHS</v>
      </c>
      <c r="B49" s="34" t="str">
        <v>CA</v>
      </c>
      <c r="C49" s="35">
        <f>SUM(Apr!C49, May!C49, Jun!C49)</f>
        <v>9336.75</v>
      </c>
      <c r="D49" s="36">
        <f>SUM(Apr!D49, May!D49, Jun!D49)</f>
        <v>26671.02</v>
      </c>
      <c r="E49" s="36">
        <f t="shared" si="6"/>
        <v>-17334.27</v>
      </c>
      <c r="F49" s="71">
        <f t="shared" si="7"/>
        <v>-0.64992902408681785</v>
      </c>
      <c r="G49" s="72">
        <f>SUM(Apr!G49,May!G49,Jun!G49)</f>
        <v>27196.61</v>
      </c>
      <c r="H49" s="72">
        <f>SUM(Apr!H49, May!H49, Jun!H49)</f>
        <v>-17859.86</v>
      </c>
      <c r="I49" s="71">
        <f t="shared" si="8"/>
        <v>-0.65669434536142557</v>
      </c>
    </row>
    <row r="50" spans="1:9" ht="15.6">
      <c r="A50" s="47" t="str">
        <v>CA: Stockton - SUSD - Hong-Kingston ES</v>
      </c>
      <c r="B50" s="27" t="str">
        <v>CA</v>
      </c>
      <c r="C50" s="28">
        <f>SUM(Apr!C50, May!C50, Jun!C50)</f>
        <v>14926.5</v>
      </c>
      <c r="D50" s="29">
        <f>SUM(Apr!D50, May!D50, Jun!D50)</f>
        <v>44733.39</v>
      </c>
      <c r="E50" s="29">
        <f t="shared" si="6"/>
        <v>-29806.89</v>
      </c>
      <c r="F50" s="30">
        <f t="shared" si="7"/>
        <v>-0.666323075447669</v>
      </c>
      <c r="G50" s="31">
        <f>SUM(Apr!G50,May!G50,Jun!G50)</f>
        <v>44081.08</v>
      </c>
      <c r="H50" s="31">
        <f>SUM(Apr!H50, May!H50, Jun!H50)</f>
        <v>-29154.58</v>
      </c>
      <c r="I50" s="32">
        <f t="shared" si="8"/>
        <v>-0.66138533810877598</v>
      </c>
    </row>
    <row r="51" spans="1:9" ht="15.6">
      <c r="A51" s="48" t="str">
        <v>CA: Stockton - SUSD - Hamilton ES</v>
      </c>
      <c r="B51" s="34" t="str">
        <v>CA</v>
      </c>
      <c r="C51" s="35">
        <f>SUM(Apr!C51, May!C51, Jun!C51)</f>
        <v>7429.75</v>
      </c>
      <c r="D51" s="36">
        <f>SUM(Apr!D51, May!D51, Jun!D51)</f>
        <v>23069.73</v>
      </c>
      <c r="E51" s="36">
        <f t="shared" si="6"/>
        <v>-15639.98</v>
      </c>
      <c r="F51" s="71">
        <f t="shared" si="7"/>
        <v>-0.67794378174343606</v>
      </c>
      <c r="G51" s="72">
        <f>SUM(Apr!G51,May!G51,Jun!G51)</f>
        <v>23358.81</v>
      </c>
      <c r="H51" s="72">
        <f>SUM(Apr!H51, May!H51, Jun!H51)</f>
        <v>-15929.060000000001</v>
      </c>
      <c r="I51" s="71">
        <f t="shared" si="8"/>
        <v>-0.68192943048040544</v>
      </c>
    </row>
    <row r="52" spans="1:9" ht="15.6">
      <c r="A52" s="47" t="str">
        <v>CA: Stockton - SUSD - Franklin - North</v>
      </c>
      <c r="B52" s="27" t="str">
        <v>CA</v>
      </c>
      <c r="C52" s="28">
        <f>SUM(Apr!C52, May!C52, Jun!C52)</f>
        <v>38561.5</v>
      </c>
      <c r="D52" s="29">
        <f>SUM(Apr!D52, May!D52, Jun!D52)</f>
        <v>107498.1</v>
      </c>
      <c r="E52" s="29">
        <f t="shared" si="6"/>
        <v>-68936.600000000006</v>
      </c>
      <c r="F52" s="30">
        <f t="shared" si="7"/>
        <v>-0.64128203196149514</v>
      </c>
      <c r="G52" s="31">
        <f>SUM(Apr!G52,May!G52,Jun!G52)</f>
        <v>61870.89</v>
      </c>
      <c r="H52" s="31">
        <f>SUM(Apr!H52, May!H52, Jun!H52)</f>
        <v>-23309.39</v>
      </c>
      <c r="I52" s="32">
        <f t="shared" si="8"/>
        <v>-0.37674243897251197</v>
      </c>
    </row>
    <row r="53" spans="1:9" ht="15.6">
      <c r="A53" s="48" t="str">
        <v>Stockton Unified School Dist. - Fillmore Elementary</v>
      </c>
      <c r="B53" s="34" t="str">
        <v>CA</v>
      </c>
      <c r="C53" s="35">
        <f>SUM(Apr!C53, May!C53, Jun!C53)</f>
        <v>5137.75</v>
      </c>
      <c r="D53" s="36">
        <f>SUM(Apr!D53, May!D53, Jun!D53)</f>
        <v>18622.43</v>
      </c>
      <c r="E53" s="36">
        <f t="shared" si="6"/>
        <v>-13484.68</v>
      </c>
      <c r="F53" s="71">
        <f t="shared" si="7"/>
        <v>-0.7241095818322314</v>
      </c>
      <c r="G53" s="72">
        <f>SUM(Apr!G53,May!G53,Jun!G53)</f>
        <v>18734.84</v>
      </c>
      <c r="H53" s="72">
        <f>SUM(Apr!H53, May!H53, Jun!H53)</f>
        <v>-13597.09</v>
      </c>
      <c r="I53" s="71">
        <f t="shared" si="8"/>
        <v>-0.72576493847825763</v>
      </c>
    </row>
    <row r="54" spans="1:9" ht="15.6">
      <c r="A54" s="47" t="str">
        <v>CA: Stockton - SUSD - El Dorado ES</v>
      </c>
      <c r="B54" s="27" t="str">
        <v>CA</v>
      </c>
      <c r="C54" s="28">
        <f>SUM(Apr!C54, May!C54, Jun!C54)</f>
        <v>6179.375</v>
      </c>
      <c r="D54" s="29">
        <f>SUM(Apr!D54, May!D54, Jun!D54)</f>
        <v>24531.64</v>
      </c>
      <c r="E54" s="29">
        <f t="shared" si="6"/>
        <v>-18352.264999999999</v>
      </c>
      <c r="F54" s="30">
        <f t="shared" si="7"/>
        <v>-0.74810591546264338</v>
      </c>
      <c r="G54" s="31">
        <f>SUM(Apr!G54,May!G54,Jun!G54)</f>
        <v>0</v>
      </c>
      <c r="H54" s="31">
        <f>SUM(Apr!H54, May!H54, Jun!H54)</f>
        <v>6179.375</v>
      </c>
      <c r="I54" s="32" t="str">
        <f t="shared" si="8"/>
        <v/>
      </c>
    </row>
    <row r="55" spans="1:9" ht="15.6">
      <c r="A55" s="48" t="str">
        <v>CA: Stockton - SUSD - Edison HS</v>
      </c>
      <c r="B55" s="34" t="str">
        <v>CA</v>
      </c>
      <c r="C55" s="35">
        <f>SUM(Apr!C55, May!C55, Jun!C55)</f>
        <v>38415.5</v>
      </c>
      <c r="D55" s="36">
        <f>SUM(Apr!D55, May!D55, Jun!D55)</f>
        <v>63384.38</v>
      </c>
      <c r="E55" s="36">
        <f t="shared" si="6"/>
        <v>-24968.879999999997</v>
      </c>
      <c r="F55" s="71">
        <f t="shared" si="7"/>
        <v>-0.39392796774221028</v>
      </c>
      <c r="G55" s="72">
        <f>SUM(Apr!G55,May!G55,Jun!G55)</f>
        <v>63941.16</v>
      </c>
      <c r="H55" s="72">
        <f>SUM(Apr!H55, May!H55, Jun!H55)</f>
        <v>-25525.660000000003</v>
      </c>
      <c r="I55" s="71">
        <f t="shared" si="8"/>
        <v>-0.39920545701704507</v>
      </c>
    </row>
    <row r="56" spans="1:9" ht="15.6">
      <c r="A56" s="47" t="str">
        <v>CA: Stockton - SUSD - Chavez HS - Large</v>
      </c>
      <c r="B56" s="27" t="str">
        <v>CA</v>
      </c>
      <c r="C56" s="28">
        <f>SUM(Apr!C56, May!C56, Jun!C56)</f>
        <v>47486</v>
      </c>
      <c r="D56" s="29">
        <f>SUM(Apr!D56, May!D56, Jun!D56)</f>
        <v>136295.4</v>
      </c>
      <c r="E56" s="29">
        <f t="shared" si="6"/>
        <v>-88809.4</v>
      </c>
      <c r="F56" s="30">
        <f t="shared" si="7"/>
        <v>-0.65159499146706346</v>
      </c>
      <c r="G56" s="31">
        <f>SUM(Apr!G56,May!G56,Jun!G56)</f>
        <v>133980.29999999999</v>
      </c>
      <c r="H56" s="31">
        <f>SUM(Apr!H56, May!H56, Jun!H56)</f>
        <v>-86494.299999999988</v>
      </c>
      <c r="I56" s="32">
        <f t="shared" si="8"/>
        <v>-0.64557475987141388</v>
      </c>
    </row>
    <row r="57" spans="1:9" ht="15.6">
      <c r="A57" s="48" t="str">
        <v>CA: San Jose - GE Mobile Water</v>
      </c>
      <c r="B57" s="34" t="str">
        <v>CA</v>
      </c>
      <c r="C57" s="35">
        <f>SUM(Apr!C57, May!C57, Jun!C57)</f>
        <v>32358</v>
      </c>
      <c r="D57" s="36">
        <f>SUM(Apr!D57, May!D57, Jun!D57)</f>
        <v>35744.620000000003</v>
      </c>
      <c r="E57" s="36">
        <f t="shared" si="6"/>
        <v>-3386.6200000000026</v>
      </c>
      <c r="F57" s="71">
        <f t="shared" si="7"/>
        <v>-9.4744887482368048E-2</v>
      </c>
      <c r="G57" s="72">
        <f>SUM(Apr!G57,May!G57,Jun!G57)</f>
        <v>35095.11</v>
      </c>
      <c r="H57" s="72">
        <f>SUM(Apr!H57, May!H57, Jun!H57)</f>
        <v>-2737.1100000000006</v>
      </c>
      <c r="I57" s="71">
        <f t="shared" si="8"/>
        <v>-7.799120732204573E-2</v>
      </c>
    </row>
    <row r="58" spans="1:9" ht="15.6">
      <c r="A58" s="47" t="str">
        <v>CA: San Marcos - Vallecitos Water - Lift Station</v>
      </c>
      <c r="B58" s="27" t="str">
        <v>CA</v>
      </c>
      <c r="C58" s="28">
        <f>SUM(Apr!C58, May!C58, Jun!C58)</f>
        <v>37845.750000000196</v>
      </c>
      <c r="D58" s="29">
        <f>SUM(Apr!D58, May!D58, Jun!D58)</f>
        <v>36334.620000000003</v>
      </c>
      <c r="E58" s="29">
        <f t="shared" si="6"/>
        <v>1511.1300000001938</v>
      </c>
      <c r="F58" s="30">
        <f t="shared" si="7"/>
        <v>4.1589261150940721E-2</v>
      </c>
      <c r="G58" s="31">
        <f>SUM(Apr!G58,May!G58,Jun!G58)</f>
        <v>41212.51</v>
      </c>
      <c r="H58" s="31">
        <f>SUM(Apr!H58, May!H58, Jun!H58)</f>
        <v>-3366.7599999998056</v>
      </c>
      <c r="I58" s="32">
        <f t="shared" si="8"/>
        <v>-8.1692670502228698E-2</v>
      </c>
    </row>
    <row r="59" spans="1:9" ht="15.6">
      <c r="A59" s="48" t="str">
        <v>CA: San Marcos - Vallecitos Water - Twin Oaks Reservoir</v>
      </c>
      <c r="B59" s="34" t="str">
        <v>CA</v>
      </c>
      <c r="C59" s="35">
        <f>SUM(Apr!C59, May!C59, Jun!C59)</f>
        <v>279329.99999999802</v>
      </c>
      <c r="D59" s="36">
        <f>SUM(Apr!D59, May!D59, Jun!D59)</f>
        <v>287665.90000000002</v>
      </c>
      <c r="E59" s="36">
        <f t="shared" si="6"/>
        <v>-8335.9000000020023</v>
      </c>
      <c r="F59" s="71">
        <f t="shared" si="7"/>
        <v>-2.8977713382093609E-2</v>
      </c>
      <c r="G59" s="72">
        <f>SUM(Apr!G59,May!G59,Jun!G59)</f>
        <v>256482</v>
      </c>
      <c r="H59" s="72">
        <f>SUM(Apr!H59, May!H59, Jun!H59)</f>
        <v>22847.999999998021</v>
      </c>
      <c r="I59" s="71">
        <f t="shared" si="8"/>
        <v>8.9082274779508974E-2</v>
      </c>
    </row>
    <row r="60" spans="1:9" ht="15.6">
      <c r="A60" s="47" t="str">
        <v>CA: Stockton - SUSD - Wilhelmina Henry ES</v>
      </c>
      <c r="B60" s="27" t="str">
        <v>CA</v>
      </c>
      <c r="C60" s="28">
        <f>SUM(Apr!C60, May!C60, Jun!C60)</f>
        <v>9373.75</v>
      </c>
      <c r="D60" s="29">
        <f>SUM(Apr!D60, May!D60, Jun!D60)</f>
        <v>52210.21</v>
      </c>
      <c r="E60" s="29">
        <f t="shared" si="6"/>
        <v>-42836.46</v>
      </c>
      <c r="F60" s="30">
        <f t="shared" si="7"/>
        <v>-0.82046136186772667</v>
      </c>
      <c r="G60" s="31">
        <f>SUM(Apr!G60,May!G60,Jun!G60)</f>
        <v>43120.46</v>
      </c>
      <c r="H60" s="31">
        <f>SUM(Apr!H60, May!H60, Jun!H60)</f>
        <v>-33746.71</v>
      </c>
      <c r="I60" s="32">
        <f t="shared" si="8"/>
        <v>-0.78261479585329097</v>
      </c>
    </row>
    <row r="61" spans="1:9" ht="15.6">
      <c r="A61" s="48" t="str">
        <v>Stockton Unified School Dist. - Franklin (North)</v>
      </c>
      <c r="B61" s="34" t="str">
        <v>CA</v>
      </c>
      <c r="C61" s="35">
        <f>SUM(Apr!C61, May!C61, Jun!C61)</f>
        <v>38561.5</v>
      </c>
      <c r="D61" s="36">
        <f>SUM(Apr!D61, May!D61, Jun!D61)</f>
        <v>107498.1</v>
      </c>
      <c r="E61" s="36">
        <f t="shared" si="6"/>
        <v>-68936.600000000006</v>
      </c>
      <c r="F61" s="71">
        <f t="shared" si="7"/>
        <v>-0.64128203196149514</v>
      </c>
      <c r="G61" s="72">
        <f>SUM(Apr!G61,May!G61,Jun!G61)</f>
        <v>61870.89</v>
      </c>
      <c r="H61" s="72">
        <f>SUM(Apr!H61, May!H61, Jun!H61)</f>
        <v>-23309.39</v>
      </c>
      <c r="I61" s="71">
        <f t="shared" si="8"/>
        <v>-0.37674243897251197</v>
      </c>
    </row>
    <row r="62" spans="1:9" ht="15.6">
      <c r="A62" s="47" t="str">
        <v>CA: Stockton - SUSD - Franklin - South</v>
      </c>
      <c r="B62" s="27" t="str">
        <v>CA</v>
      </c>
      <c r="C62" s="28">
        <f>SUM(Apr!C62, May!C62, Jun!C62)</f>
        <v>46797.75</v>
      </c>
      <c r="D62" s="29">
        <f>SUM(Apr!D62, May!D62, Jun!D62)</f>
        <v>103691.9</v>
      </c>
      <c r="E62" s="29">
        <f t="shared" si="6"/>
        <v>-56894.149999999994</v>
      </c>
      <c r="F62" s="30">
        <f t="shared" si="7"/>
        <v>-0.54868461278074754</v>
      </c>
      <c r="G62" s="31">
        <f>SUM(Apr!G62,May!G62,Jun!G62)</f>
        <v>99884.52</v>
      </c>
      <c r="H62" s="31">
        <f>SUM(Apr!H62, May!H62, Jun!H62)</f>
        <v>-53086.770000000004</v>
      </c>
      <c r="I62" s="32">
        <f t="shared" si="8"/>
        <v>-0.53148145478398456</v>
      </c>
    </row>
    <row r="63" spans="1:9" ht="15.6">
      <c r="A63" s="48" t="str">
        <v>CA: Stockton - SUSD - Chavez HS - Small</v>
      </c>
      <c r="B63" s="34" t="str">
        <v>CA</v>
      </c>
      <c r="C63" s="35">
        <f>SUM(Apr!C63, May!C63, Jun!C63)</f>
        <v>27596.5</v>
      </c>
      <c r="D63" s="36">
        <f>SUM(Apr!D63, May!D63, Jun!D63)</f>
        <v>25880.94</v>
      </c>
      <c r="E63" s="36">
        <f t="shared" si="6"/>
        <v>1715.5600000000013</v>
      </c>
      <c r="F63" s="71">
        <f t="shared" si="7"/>
        <v>6.6286618646772544E-2</v>
      </c>
      <c r="G63" s="72">
        <f>SUM(Apr!G63,May!G63,Jun!G63)</f>
        <v>37889.96</v>
      </c>
      <c r="H63" s="72">
        <f>SUM(Apr!H63, May!H63, Jun!H63)</f>
        <v>-10293.459999999999</v>
      </c>
      <c r="I63" s="71">
        <f t="shared" si="8"/>
        <v>-0.27166721738423583</v>
      </c>
    </row>
    <row r="64" spans="1:9" ht="15.6">
      <c r="A64" s="47" t="str">
        <v>CA: Stockton - SUSD - Facilities</v>
      </c>
      <c r="B64" s="27" t="str">
        <v>CA</v>
      </c>
      <c r="C64" s="28">
        <f>SUM(Apr!C64, May!C64, Jun!C64)</f>
        <v>21223.5</v>
      </c>
      <c r="D64" s="29">
        <f>SUM(Apr!D64, May!D64, Jun!D64)</f>
        <v>58946.07</v>
      </c>
      <c r="E64" s="29">
        <f t="shared" si="6"/>
        <v>-37722.57</v>
      </c>
      <c r="F64" s="30">
        <f t="shared" si="7"/>
        <v>-0.63995055141080648</v>
      </c>
      <c r="G64" s="31">
        <f>SUM(Apr!G64,May!G64,Jun!G64)</f>
        <v>64262.86</v>
      </c>
      <c r="H64" s="31">
        <f>SUM(Apr!H64, May!H64, Jun!H64)</f>
        <v>-43039.360000000001</v>
      </c>
      <c r="I64" s="32">
        <f t="shared" si="8"/>
        <v>-0.66973925530236278</v>
      </c>
    </row>
    <row r="65" spans="1:9" ht="15.6">
      <c r="A65" s="48" t="str">
        <v>CA: Stockton - SUSD - Harrison</v>
      </c>
      <c r="B65" s="34" t="str">
        <v>CA</v>
      </c>
      <c r="C65" s="35">
        <f>SUM(Apr!C65, May!C65, Jun!C65)</f>
        <v>15057.125</v>
      </c>
      <c r="D65" s="36">
        <f>SUM(Apr!D65, May!D65, Jun!D65)</f>
        <v>23600.42</v>
      </c>
      <c r="E65" s="36">
        <f t="shared" si="6"/>
        <v>-8543.2949999999983</v>
      </c>
      <c r="F65" s="71">
        <f t="shared" si="7"/>
        <v>-0.36199758309386015</v>
      </c>
      <c r="G65" s="72">
        <f>SUM(Apr!G65,May!G65,Jun!G65)</f>
        <v>23028.240000000002</v>
      </c>
      <c r="H65" s="72">
        <f>SUM(Apr!H65, May!H65, Jun!H65)</f>
        <v>-7971.1150000000016</v>
      </c>
      <c r="I65" s="71">
        <f t="shared" si="8"/>
        <v>-0.34614521127103076</v>
      </c>
    </row>
    <row r="66" spans="1:9" ht="15.6">
      <c r="A66" s="47" t="str">
        <v>CA: Stockton - SUSD - Commodore Skills School</v>
      </c>
      <c r="B66" s="27" t="str">
        <v>CA</v>
      </c>
      <c r="C66" s="28">
        <f>SUM(Apr!C66, May!C66, Jun!C66)</f>
        <v>7851</v>
      </c>
      <c r="D66" s="29">
        <f>SUM(Apr!D66, May!D66, Jun!D66)</f>
        <v>47473.79</v>
      </c>
      <c r="E66" s="29">
        <f t="shared" si="6"/>
        <v>-39622.79</v>
      </c>
      <c r="F66" s="30">
        <f t="shared" si="7"/>
        <v>-0.83462453703401396</v>
      </c>
      <c r="G66" s="31">
        <f>SUM(Apr!G66,May!G66,Jun!G66)</f>
        <v>50004.5</v>
      </c>
      <c r="H66" s="31">
        <f>SUM(Apr!H66, May!H66, Jun!H66)</f>
        <v>-42153.5</v>
      </c>
      <c r="I66" s="32">
        <f t="shared" si="8"/>
        <v>-0.84299413052825245</v>
      </c>
    </row>
    <row r="67" spans="1:9" ht="15.6">
      <c r="A67" s="48" t="str">
        <v>CA: Stockton - SUSD - Nightingale ES</v>
      </c>
      <c r="B67" s="34" t="str">
        <v>CA</v>
      </c>
      <c r="C67" s="35">
        <f>SUM(Apr!C67, May!C67, Jun!C67)</f>
        <v>21480</v>
      </c>
      <c r="D67" s="36">
        <f>SUM(Apr!D67, May!D67, Jun!D67)</f>
        <v>23211.94</v>
      </c>
      <c r="E67" s="36">
        <f t="shared" si="6"/>
        <v>-1731.9399999999987</v>
      </c>
      <c r="F67" s="71">
        <f t="shared" si="7"/>
        <v>-7.4614185630326416E-2</v>
      </c>
      <c r="G67" s="72">
        <f>SUM(Apr!G67,May!G67,Jun!G67)</f>
        <v>23168.91</v>
      </c>
      <c r="H67" s="72">
        <f>SUM(Apr!H67, May!H67, Jun!H67)</f>
        <v>-1688.9099999999999</v>
      </c>
      <c r="I67" s="71">
        <f t="shared" si="8"/>
        <v>-7.2895531123389049E-2</v>
      </c>
    </row>
    <row r="68" spans="1:9" ht="15.6">
      <c r="A68" s="47" t="str">
        <v>CA: Stockton - SUSD - Weber Institute</v>
      </c>
      <c r="B68" s="27" t="str">
        <v>CA</v>
      </c>
      <c r="C68" s="28">
        <f>SUM(Apr!C68, May!C68, Jun!C68)</f>
        <v>9225.25</v>
      </c>
      <c r="D68" s="29">
        <f>SUM(Apr!D68, May!D68, Jun!D68)</f>
        <v>47274.77</v>
      </c>
      <c r="E68" s="29">
        <f t="shared" si="6"/>
        <v>-38049.519999999997</v>
      </c>
      <c r="F68" s="30">
        <f t="shared" si="7"/>
        <v>-0.80485891311581204</v>
      </c>
      <c r="G68" s="31">
        <f>SUM(Apr!G68,May!G68,Jun!G68)</f>
        <v>47822.98</v>
      </c>
      <c r="H68" s="31">
        <f>SUM(Apr!H68, May!H68, Jun!H68)</f>
        <v>-38597.730000000003</v>
      </c>
      <c r="I68" s="32">
        <f t="shared" si="8"/>
        <v>-0.80709587733763144</v>
      </c>
    </row>
    <row r="69" spans="1:9" ht="15.6">
      <c r="A69" s="48" t="str">
        <v>CA: Stockton - SUSD - Warehouse</v>
      </c>
      <c r="B69" s="34" t="str">
        <v>CA</v>
      </c>
      <c r="C69" s="35">
        <f>SUM(Apr!C69, May!C69, Jun!C69)</f>
        <v>15367.5</v>
      </c>
      <c r="D69" s="36">
        <f>SUM(Apr!D69, May!D69, Jun!D69)</f>
        <v>40420.620000000003</v>
      </c>
      <c r="E69" s="36">
        <f t="shared" si="6"/>
        <v>-25053.120000000003</v>
      </c>
      <c r="F69" s="71">
        <f t="shared" si="7"/>
        <v>-0.61981038390801524</v>
      </c>
      <c r="G69" s="72">
        <f>SUM(Apr!G69,May!G69,Jun!G69)</f>
        <v>45356.66</v>
      </c>
      <c r="H69" s="72">
        <f>SUM(Apr!H69, May!H69, Jun!H69)</f>
        <v>-29989.160000000003</v>
      </c>
      <c r="I69" s="71">
        <f t="shared" si="8"/>
        <v>-0.66118536946944506</v>
      </c>
    </row>
    <row r="70" spans="1:9" ht="15.6">
      <c r="A70" s="47" t="str">
        <v>CA: Stockton - SUSD - Walton Special Center</v>
      </c>
      <c r="B70" s="27" t="str">
        <v>CA</v>
      </c>
      <c r="C70" s="28">
        <f>SUM(Apr!C70, May!C70, Jun!C70)</f>
        <v>16659.5</v>
      </c>
      <c r="D70" s="29">
        <f>SUM(Apr!D70, May!D70, Jun!D70)</f>
        <v>32950.04</v>
      </c>
      <c r="E70" s="29">
        <f t="shared" si="6"/>
        <v>-16290.54</v>
      </c>
      <c r="F70" s="30">
        <f t="shared" si="7"/>
        <v>-0.49440122075724341</v>
      </c>
      <c r="G70" s="31">
        <f>SUM(Apr!G70,May!G70,Jun!G70)</f>
        <v>33380.559999999998</v>
      </c>
      <c r="H70" s="31">
        <f>SUM(Apr!H70, May!H70, Jun!H70)</f>
        <v>-16721.059999999998</v>
      </c>
      <c r="I70" s="32">
        <f t="shared" si="8"/>
        <v>-0.50092209357781892</v>
      </c>
    </row>
    <row r="71" spans="1:9" ht="15.6">
      <c r="A71" s="48" t="str">
        <v>CA: Stockton - SUSD - Stagg HS</v>
      </c>
      <c r="B71" s="34" t="str">
        <v>CA</v>
      </c>
      <c r="C71" s="35">
        <f>SUM(Apr!C71, May!C71, Jun!C71)</f>
        <v>96454</v>
      </c>
      <c r="D71" s="36">
        <f>SUM(Apr!D71, May!D71, Jun!D71)</f>
        <v>127090.1</v>
      </c>
      <c r="E71" s="36">
        <f t="shared" si="6"/>
        <v>-30636.100000000006</v>
      </c>
      <c r="F71" s="71">
        <f t="shared" si="7"/>
        <v>-0.24105811546296685</v>
      </c>
      <c r="G71" s="72">
        <f>SUM(Apr!G71,May!G71,Jun!G71)</f>
        <v>125207</v>
      </c>
      <c r="H71" s="72">
        <f>SUM(Apr!H71, May!H71, Jun!H71)</f>
        <v>-28753</v>
      </c>
      <c r="I71" s="71">
        <f t="shared" si="8"/>
        <v>-0.22964371001621314</v>
      </c>
    </row>
    <row r="72" spans="1:9" ht="15.6">
      <c r="A72" s="47" t="str">
        <v>CA: Stockton - SUSD - School for Adults</v>
      </c>
      <c r="B72" s="27" t="str">
        <v>CA</v>
      </c>
      <c r="C72" s="28">
        <f>SUM(Apr!C72, May!C72, Jun!C72)</f>
        <v>10459.25</v>
      </c>
      <c r="D72" s="29">
        <f>SUM(Apr!D72, May!D72, Jun!D72)</f>
        <v>27419.35</v>
      </c>
      <c r="E72" s="29">
        <f t="shared" si="6"/>
        <v>-16960.099999999999</v>
      </c>
      <c r="F72" s="30">
        <f t="shared" si="7"/>
        <v>-0.61854493268439992</v>
      </c>
      <c r="G72" s="31">
        <f>SUM(Apr!G72,May!G72,Jun!G72)</f>
        <v>27045.040000000001</v>
      </c>
      <c r="H72" s="31">
        <f>SUM(Apr!H72, May!H72, Jun!H72)</f>
        <v>-16585.79</v>
      </c>
      <c r="I72" s="32">
        <f t="shared" si="8"/>
        <v>-0.61326550080902087</v>
      </c>
    </row>
    <row r="73" spans="1:9" ht="15.6">
      <c r="A73" s="48" t="str">
        <v>CA: Stockton - SUSD - San Joaquin</v>
      </c>
      <c r="B73" s="34" t="str">
        <v>CA</v>
      </c>
      <c r="C73" s="35">
        <f>SUM(Apr!C73, May!C73, Jun!C73)</f>
        <v>14177.875</v>
      </c>
      <c r="D73" s="36">
        <f>SUM(Apr!D73, May!D73, Jun!D73)</f>
        <v>25583.21</v>
      </c>
      <c r="E73" s="36">
        <f t="shared" si="6"/>
        <v>-11405.334999999999</v>
      </c>
      <c r="F73" s="71">
        <f t="shared" si="7"/>
        <v>-0.44581328926276254</v>
      </c>
      <c r="G73" s="72">
        <f>SUM(Apr!G73,May!G73,Jun!G73)</f>
        <v>25981.17</v>
      </c>
      <c r="H73" s="72">
        <f>SUM(Apr!H73, May!H73, Jun!H73)</f>
        <v>-11803.294999999998</v>
      </c>
      <c r="I73" s="71">
        <f t="shared" si="8"/>
        <v>-0.45430190403280524</v>
      </c>
    </row>
    <row r="74" spans="1:9" ht="15.6">
      <c r="A74" s="47" t="str">
        <v>CA: Stockton - SUSD - Rio Calaveras</v>
      </c>
      <c r="B74" s="27" t="str">
        <v>CA</v>
      </c>
      <c r="C74" s="28">
        <f>SUM(Apr!C74, May!C74, Jun!C74)</f>
        <v>6763.375</v>
      </c>
      <c r="D74" s="29">
        <f>SUM(Apr!D74, May!D74, Jun!D74)</f>
        <v>27488.51</v>
      </c>
      <c r="E74" s="29">
        <f t="shared" si="6"/>
        <v>-20725.134999999998</v>
      </c>
      <c r="F74" s="30">
        <f t="shared" si="7"/>
        <v>-0.75395628937326908</v>
      </c>
      <c r="G74" s="31">
        <f>SUM(Apr!G74,May!G74,Jun!G74)</f>
        <v>0</v>
      </c>
      <c r="H74" s="31">
        <f>SUM(Apr!H74, May!H74, Jun!H74)</f>
        <v>6763.375</v>
      </c>
      <c r="I74" s="32" t="str">
        <f t="shared" si="8"/>
        <v/>
      </c>
    </row>
    <row r="75" spans="1:9" ht="15.6">
      <c r="A75" s="48" t="str">
        <v>CA: Stockton - SUSD - Peyton</v>
      </c>
      <c r="B75" s="34" t="str">
        <v>CA</v>
      </c>
      <c r="C75" s="35">
        <f>SUM(Apr!C75, May!C75, Jun!C75)</f>
        <v>50091</v>
      </c>
      <c r="D75" s="36">
        <f>SUM(Apr!D75, May!D75, Jun!D75)</f>
        <v>56827.77</v>
      </c>
      <c r="E75" s="36">
        <f t="shared" si="6"/>
        <v>-6736.7699999999968</v>
      </c>
      <c r="F75" s="71">
        <f t="shared" si="7"/>
        <v>-0.1185471469318609</v>
      </c>
      <c r="G75" s="72">
        <f>SUM(Apr!G75,May!G75,Jun!G75)</f>
        <v>55927.75</v>
      </c>
      <c r="H75" s="72">
        <f>SUM(Apr!H75, May!H75, Jun!H75)</f>
        <v>-5836.75</v>
      </c>
      <c r="I75" s="71">
        <f t="shared" si="8"/>
        <v>-0.10436232460630009</v>
      </c>
    </row>
    <row r="76" spans="1:9" ht="13.9">
      <c r="A76" s="8" t="str">
        <v>TX: Barnhart - 42917 Ranch RD 2469</v>
      </c>
      <c r="B76" s="8" t="str">
        <v>TX</v>
      </c>
      <c r="C76" s="8"/>
      <c r="D76" s="8"/>
      <c r="E76" s="8"/>
      <c r="F76" s="9"/>
      <c r="G76" s="8"/>
      <c r="H76" s="8"/>
      <c r="I76" s="9"/>
    </row>
    <row r="77" spans="1:9" ht="13.9">
      <c r="A77" s="8" t="str">
        <v>AZ: San Manuel - Senior &amp; Junior HS</v>
      </c>
      <c r="B77" s="8" t="str">
        <v>AZ</v>
      </c>
      <c r="C77" s="8"/>
      <c r="D77" s="8"/>
      <c r="E77" s="8"/>
      <c r="F77" s="9"/>
      <c r="G77" s="8"/>
      <c r="H77" s="8"/>
      <c r="I77" s="9"/>
    </row>
    <row r="78" spans="1:9" ht="13.9">
      <c r="A78" s="8" t="str">
        <v>AZ: Sierra Vista - Colonel Smith MS</v>
      </c>
      <c r="B78" s="8" t="str">
        <v>AZ</v>
      </c>
      <c r="C78" s="8"/>
      <c r="D78" s="8"/>
      <c r="E78" s="8"/>
      <c r="F78" s="9"/>
      <c r="G78" s="8"/>
      <c r="H78" s="8"/>
      <c r="I78" s="9"/>
    </row>
    <row r="79" spans="1:9" ht="13.9">
      <c r="A79" s="8" t="str">
        <v>AZ: Sierra Vista - Colonel Johnston ES</v>
      </c>
      <c r="B79" s="8" t="str">
        <v>AZ</v>
      </c>
      <c r="C79" s="8"/>
      <c r="D79" s="8"/>
      <c r="E79" s="8"/>
      <c r="F79" s="9"/>
      <c r="G79" s="8"/>
      <c r="H79" s="8"/>
      <c r="I79" s="9"/>
    </row>
    <row r="80" spans="1:9" ht="13.9">
      <c r="A80" s="8" t="str">
        <v>NH: Dover - Dover HS</v>
      </c>
      <c r="B80" s="8" t="str">
        <v>NH</v>
      </c>
      <c r="C80" s="8"/>
      <c r="D80" s="8"/>
      <c r="E80" s="8"/>
      <c r="F80" s="9"/>
      <c r="G80" s="8"/>
      <c r="H80" s="8"/>
      <c r="I80" s="9"/>
    </row>
    <row r="81" spans="1:9" ht="13.9">
      <c r="A81" s="8" t="str">
        <v>MA: Somerville - 30 Inner Belt Rd</v>
      </c>
      <c r="B81" s="8" t="str">
        <v>MA</v>
      </c>
      <c r="C81" s="8"/>
      <c r="D81" s="8"/>
      <c r="E81" s="8"/>
      <c r="F81" s="9"/>
      <c r="G81" s="8"/>
      <c r="H81" s="8"/>
      <c r="I81" s="9"/>
    </row>
    <row r="82" spans="1:9" ht="13.9">
      <c r="A82" s="8" t="str">
        <v>MA: Boxborough - 1414 Massachusetts Ave</v>
      </c>
      <c r="B82" s="8" t="str">
        <v>MA</v>
      </c>
      <c r="C82" s="8"/>
      <c r="D82" s="8"/>
      <c r="E82" s="8"/>
      <c r="F82" s="9"/>
      <c r="G82" s="8"/>
      <c r="H82" s="8"/>
      <c r="I82" s="9"/>
    </row>
    <row r="83" spans="1:9" ht="13.9">
      <c r="A83" s="8" t="str">
        <v>NY: Amsterdam - 153 NY Route 67</v>
      </c>
      <c r="B83" s="8" t="str">
        <v>NY</v>
      </c>
      <c r="C83" s="8"/>
      <c r="D83" s="8"/>
      <c r="E83" s="8"/>
      <c r="F83" s="9"/>
      <c r="G83" s="8"/>
      <c r="H83" s="8"/>
      <c r="I83" s="9"/>
    </row>
    <row r="84" spans="1:9" ht="13.9">
      <c r="A84" s="8" t="str">
        <v>CA: San Jose - GE Mobile Water</v>
      </c>
      <c r="B84" s="8" t="str">
        <v>CA</v>
      </c>
      <c r="C84" s="8"/>
      <c r="D84" s="8"/>
      <c r="E84" s="8"/>
      <c r="F84" s="9"/>
      <c r="G84" s="8"/>
      <c r="H84" s="8"/>
      <c r="I84" s="9"/>
    </row>
    <row r="85" spans="1:9" ht="13.9">
      <c r="A85" s="8" t="str">
        <v>NY: Rome - 7776 Tannery RD</v>
      </c>
      <c r="B85" s="8" t="str">
        <v>NY</v>
      </c>
      <c r="C85" s="8"/>
      <c r="D85" s="8"/>
      <c r="E85" s="8"/>
      <c r="F85" s="9"/>
      <c r="G85" s="8"/>
      <c r="H85" s="8"/>
      <c r="I85" s="9"/>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sortState xmlns:xlrd2="http://schemas.microsoft.com/office/spreadsheetml/2017/richdata2" ref="A3:I4">
    <sortCondition ref="A3:A4"/>
  </sortState>
  <mergeCells count="4">
    <mergeCell ref="G1:I1"/>
    <mergeCell ref="A1:C1"/>
    <mergeCell ref="D1:F1"/>
    <mergeCell ref="A2:B2"/>
  </mergeCells>
  <conditionalFormatting sqref="F2 I2 F4:F79 I4:I79">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H21" sqref="H21"/>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6" t="str" cm="1">
        <f t="array" ref="A1">portfolio</f>
        <v>Clean Capital</v>
      </c>
      <c r="B1" s="106"/>
      <c r="C1" s="106"/>
      <c r="D1" s="107" t="s">
        <v>14</v>
      </c>
      <c r="E1" s="107"/>
      <c r="F1" s="107"/>
      <c r="G1" s="105" t="s">
        <v>15</v>
      </c>
      <c r="H1" s="105"/>
      <c r="I1" s="105"/>
    </row>
    <row r="2" spans="1:9" ht="19.5" customHeight="1">
      <c r="A2" s="108" t="s">
        <v>2</v>
      </c>
      <c r="B2" s="108"/>
      <c r="C2" s="5">
        <f>SUM(C4:C79)</f>
        <v>8594848.096699018</v>
      </c>
      <c r="D2" s="5">
        <f>SUM(D4:D79)</f>
        <v>5745434.5411729412</v>
      </c>
      <c r="E2" s="5">
        <f>C2-D2</f>
        <v>2849413.5555260768</v>
      </c>
      <c r="F2" s="6">
        <f>IFERROR(E2/D2, 0)</f>
        <v>0.49594395952240083</v>
      </c>
      <c r="G2" s="5">
        <f>SUM(G4:G79)</f>
        <v>10132824.191999998</v>
      </c>
      <c r="H2" s="7">
        <f>C2-G2</f>
        <v>-1537976.0953009799</v>
      </c>
      <c r="I2" s="6">
        <f>IFERROR(H2/G2, 0)</f>
        <v>-0.15178158291892924</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SUM(Jul!C4, Aug!C4, Sep!C4)</f>
        <v>90968.8</v>
      </c>
      <c r="D4" s="29">
        <f>SUM(Jul!D4, Aug!D4, Sep!D4)</f>
        <v>0</v>
      </c>
      <c r="E4" s="29">
        <f>IF(AND(ISNUMBER(C4),ISNUMBER(D4)), C4-D4, "")</f>
        <v>90968.8</v>
      </c>
      <c r="F4" s="30" t="str">
        <f>IFERROR(E4/D4, "")</f>
        <v/>
      </c>
      <c r="G4" s="31">
        <f>SUM(Jul!G4,Aug!G4,Sep!G4)</f>
        <v>0</v>
      </c>
      <c r="H4" s="31">
        <f>SUM(Jul!H4, Aug!H4, Sep!H4)</f>
        <v>0</v>
      </c>
      <c r="I4" s="32" t="str">
        <f>IFERROR(H4/G4, "")</f>
        <v/>
      </c>
    </row>
    <row r="5" spans="1:9" ht="15.6">
      <c r="A5" s="48" t="str">
        <v>Pacoima - Whiteman Airport</v>
      </c>
      <c r="B5" s="34" t="str">
        <v>CA</v>
      </c>
      <c r="C5" s="35">
        <f>SUM(Jul!C5, Aug!C5, Sep!C5)</f>
        <v>36762.1</v>
      </c>
      <c r="D5" s="36">
        <f>SUM(Jul!D5, Aug!D5, Sep!D5)</f>
        <v>0</v>
      </c>
      <c r="E5" s="36">
        <f t="shared" ref="E5:E7" si="0">IF(AND(ISNUMBER(C5),ISNUMBER(D5)), C5-D5, "")</f>
        <v>36762.1</v>
      </c>
      <c r="F5" s="37" t="str">
        <f>IFERROR(E5/D5, "")</f>
        <v/>
      </c>
      <c r="G5" s="38">
        <f>SUM(Jul!G5,Aug!G5,Sep!G5)</f>
        <v>72647.600000000006</v>
      </c>
      <c r="H5" s="38">
        <f>SUM(Jul!H5, Aug!H5, Sep!H5)</f>
        <v>-35885.5</v>
      </c>
      <c r="I5" s="37">
        <f>IFERROR(H5/G5, "")</f>
        <v>-0.49396676559170566</v>
      </c>
    </row>
    <row r="6" spans="1:9" ht="15.6">
      <c r="A6" s="47" t="str">
        <v>Hyannis - Sturgis Charter School</v>
      </c>
      <c r="B6" s="27" t="str">
        <v>MA</v>
      </c>
      <c r="C6" s="28">
        <f>SUM(Jul!C6, Aug!C6, Sep!C6)</f>
        <v>77486.244260000007</v>
      </c>
      <c r="D6" s="29">
        <f>SUM(Jul!D6, Aug!D6, Sep!D6)</f>
        <v>0</v>
      </c>
      <c r="E6" s="29">
        <f t="shared" si="0"/>
        <v>77486.244260000007</v>
      </c>
      <c r="F6" s="30" t="str">
        <f t="shared" ref="F6:F7" si="1">IFERROR(E6/D6, "")</f>
        <v/>
      </c>
      <c r="G6" s="31">
        <f>SUM(Jul!G6,Aug!G6,Sep!G6)</f>
        <v>69919.08</v>
      </c>
      <c r="H6" s="31">
        <f>SUM(Jul!H6, Aug!H6, Sep!H6)</f>
        <v>7567.1642599999977</v>
      </c>
      <c r="I6" s="32">
        <f t="shared" ref="I6:I7" si="2">IFERROR(H6/G6, "")</f>
        <v>0.10822745751231277</v>
      </c>
    </row>
    <row r="7" spans="1:9" ht="15.6">
      <c r="A7" s="48" t="str">
        <v>South Dennis - Tony Kent Arena</v>
      </c>
      <c r="B7" s="34" t="str">
        <v>MA</v>
      </c>
      <c r="C7" s="35">
        <f>SUM(Jul!C7, Aug!C7, Sep!C7)</f>
        <v>88840.6</v>
      </c>
      <c r="D7" s="36">
        <f>SUM(Jul!D7, Aug!D7, Sep!D7)</f>
        <v>0</v>
      </c>
      <c r="E7" s="36">
        <f t="shared" si="0"/>
        <v>88840.6</v>
      </c>
      <c r="F7" s="37" t="str">
        <f t="shared" si="1"/>
        <v/>
      </c>
      <c r="G7" s="38">
        <f>SUM(Jul!G7,Aug!G7,Sep!G7)</f>
        <v>0</v>
      </c>
      <c r="H7" s="38">
        <f>SUM(Jul!H7, Aug!H7, Sep!H7)</f>
        <v>0</v>
      </c>
      <c r="I7" s="37" t="str">
        <f t="shared" si="2"/>
        <v/>
      </c>
    </row>
    <row r="8" spans="1:9" ht="15.6">
      <c r="A8" s="47" t="str">
        <v xml:space="preserve"> Caropolis - Felician Sisters</v>
      </c>
      <c r="B8" s="27" t="str">
        <v>PA</v>
      </c>
      <c r="C8" s="28">
        <f>SUM(Jul!C8, Aug!C8, Sep!C8)</f>
        <v>101717.3</v>
      </c>
      <c r="D8" s="29">
        <f>SUM(Jul!D8, Aug!D8, Sep!D8)</f>
        <v>0</v>
      </c>
      <c r="E8" s="29">
        <f t="shared" ref="E8:E46" si="3">IF(AND(ISNUMBER(C8),ISNUMBER(D8)), C8-D8, "")</f>
        <v>101717.3</v>
      </c>
      <c r="F8" s="30" t="str">
        <f t="shared" ref="F8:F46" si="4">IFERROR(E8/D8, "")</f>
        <v/>
      </c>
      <c r="G8" s="31">
        <f>SUM(Jul!G8,Aug!G8,Sep!G8)</f>
        <v>0</v>
      </c>
      <c r="H8" s="31">
        <f>SUM(Jul!H8, Aug!H8, Sep!H8)</f>
        <v>0</v>
      </c>
      <c r="I8" s="32" t="str">
        <f t="shared" ref="I8:I46" si="5">IFERROR(H8/G8, "")</f>
        <v/>
      </c>
    </row>
    <row r="9" spans="1:9" ht="15.6">
      <c r="A9" s="48" t="str">
        <v>Clear Lake - Eastlake Gohman</v>
      </c>
      <c r="B9" s="34" t="str">
        <v>MN</v>
      </c>
      <c r="C9" s="35">
        <f>SUM(Jul!C9, Aug!C9, Sep!C9)</f>
        <v>243323</v>
      </c>
      <c r="D9" s="36">
        <f>SUM(Jul!D9, Aug!D9, Sep!D9)</f>
        <v>0</v>
      </c>
      <c r="E9" s="36">
        <f t="shared" si="3"/>
        <v>243323</v>
      </c>
      <c r="F9" s="71" t="str">
        <f t="shared" si="4"/>
        <v/>
      </c>
      <c r="G9" s="72">
        <f>SUM(Jul!G9,Aug!G9,Sep!G9)</f>
        <v>411939.80000000005</v>
      </c>
      <c r="H9" s="72">
        <f>SUM(Jul!H9, Aug!H9, Sep!H9)</f>
        <v>-168616.80000000002</v>
      </c>
      <c r="I9" s="71">
        <f t="shared" si="5"/>
        <v>-0.40932388664557295</v>
      </c>
    </row>
    <row r="10" spans="1:9" ht="15.6">
      <c r="A10" s="47" t="str">
        <v>Zumbrota - Eastlake Brenda Luhman</v>
      </c>
      <c r="B10" s="27" t="str">
        <v>MN</v>
      </c>
      <c r="C10" s="28">
        <f>SUM(Jul!C10, Aug!C10, Sep!C10)</f>
        <v>405170</v>
      </c>
      <c r="D10" s="29">
        <f>SUM(Jul!D10, Aug!D10, Sep!D10)</f>
        <v>0</v>
      </c>
      <c r="E10" s="29">
        <f t="shared" si="3"/>
        <v>405170</v>
      </c>
      <c r="F10" s="30" t="str">
        <f t="shared" si="4"/>
        <v/>
      </c>
      <c r="G10" s="31">
        <f>SUM(Jul!G10,Aug!G10,Sep!G10)</f>
        <v>394599.19999999995</v>
      </c>
      <c r="H10" s="31">
        <f>SUM(Jul!H10, Aug!H10, Sep!H10)</f>
        <v>10570.800000000017</v>
      </c>
      <c r="I10" s="32">
        <f t="shared" si="5"/>
        <v>2.6788701041461863E-2</v>
      </c>
    </row>
    <row r="11" spans="1:9" ht="15.6">
      <c r="A11" s="48" t="str">
        <v>Cokato - Eastlake Carlson</v>
      </c>
      <c r="B11" s="34" t="str">
        <v>MN</v>
      </c>
      <c r="C11" s="35">
        <f>SUM(Jul!C11, Aug!C11, Sep!C11)</f>
        <v>383365</v>
      </c>
      <c r="D11" s="36">
        <f>SUM(Jul!D11, Aug!D11, Sep!D11)</f>
        <v>0</v>
      </c>
      <c r="E11" s="36">
        <f t="shared" si="3"/>
        <v>383365</v>
      </c>
      <c r="F11" s="71" t="str">
        <f t="shared" si="4"/>
        <v/>
      </c>
      <c r="G11" s="72">
        <f>SUM(Jul!G11,Aug!G11,Sep!G11)</f>
        <v>425344.3</v>
      </c>
      <c r="H11" s="72">
        <f>SUM(Jul!H11, Aug!H11, Sep!H11)</f>
        <v>-41979.299999999988</v>
      </c>
      <c r="I11" s="71">
        <f t="shared" si="5"/>
        <v>-9.8694869074300487E-2</v>
      </c>
    </row>
    <row r="12" spans="1:9" ht="15.6">
      <c r="A12" s="47" t="str">
        <v>North Branch - Cornille 2</v>
      </c>
      <c r="B12" s="27" t="str">
        <v>MN</v>
      </c>
      <c r="C12" s="28">
        <f>SUM(Jul!C12, Aug!C12, Sep!C12)</f>
        <v>397434</v>
      </c>
      <c r="D12" s="29">
        <f>SUM(Jul!D12, Aug!D12, Sep!D12)</f>
        <v>0</v>
      </c>
      <c r="E12" s="29">
        <f t="shared" si="3"/>
        <v>397434</v>
      </c>
      <c r="F12" s="30" t="str">
        <f t="shared" si="4"/>
        <v/>
      </c>
      <c r="G12" s="31">
        <f>SUM(Jul!G12,Aug!G12,Sep!G12)</f>
        <v>405845.4</v>
      </c>
      <c r="H12" s="31">
        <f>SUM(Jul!H12, Aug!H12, Sep!H12)</f>
        <v>-8411.3999999999942</v>
      </c>
      <c r="I12" s="32">
        <f t="shared" si="5"/>
        <v>-2.0725626063520724E-2</v>
      </c>
    </row>
    <row r="13" spans="1:9" ht="15.6">
      <c r="A13" s="48" t="str">
        <v>Clear Lake - Eastlake Hammer</v>
      </c>
      <c r="B13" s="34" t="str">
        <v>MN</v>
      </c>
      <c r="C13" s="35">
        <f>SUM(Jul!C13, Aug!C13, Sep!C13)</f>
        <v>463202</v>
      </c>
      <c r="D13" s="36">
        <f>SUM(Jul!D13, Aug!D13, Sep!D13)</f>
        <v>0</v>
      </c>
      <c r="E13" s="36">
        <f t="shared" si="3"/>
        <v>463202</v>
      </c>
      <c r="F13" s="71" t="str">
        <f t="shared" si="4"/>
        <v/>
      </c>
      <c r="G13" s="72">
        <f>SUM(Jul!G13,Aug!G13,Sep!G13)</f>
        <v>518297.5</v>
      </c>
      <c r="H13" s="72">
        <f>SUM(Jul!H13, Aug!H13, Sep!H13)</f>
        <v>-55095.5</v>
      </c>
      <c r="I13" s="71">
        <f t="shared" si="5"/>
        <v>-0.1063009179091159</v>
      </c>
    </row>
    <row r="14" spans="1:9" ht="15.6">
      <c r="A14" s="47" t="str">
        <v>Eastlake - Hertzberg CSG 1</v>
      </c>
      <c r="B14" s="27" t="str">
        <v>MN</v>
      </c>
      <c r="C14" s="28">
        <f>SUM(Jul!C14, Aug!C14, Sep!C14)</f>
        <v>419265.99970000004</v>
      </c>
      <c r="D14" s="29">
        <f>SUM(Jul!D14, Aug!D14, Sep!D14)</f>
        <v>0</v>
      </c>
      <c r="E14" s="29">
        <f t="shared" si="3"/>
        <v>419265.99970000004</v>
      </c>
      <c r="F14" s="30" t="str">
        <f t="shared" si="4"/>
        <v/>
      </c>
      <c r="G14" s="31">
        <f>SUM(Jul!G14,Aug!G14,Sep!G14)</f>
        <v>514854.21499999997</v>
      </c>
      <c r="H14" s="31">
        <f>SUM(Jul!H14, Aug!H14, Sep!H14)</f>
        <v>-95588.215299999982</v>
      </c>
      <c r="I14" s="32">
        <f t="shared" si="5"/>
        <v>-0.18566074145862821</v>
      </c>
    </row>
    <row r="15" spans="1:9" ht="15.6">
      <c r="A15" s="48" t="str">
        <v>Cokato - Eastlake Laurel Village</v>
      </c>
      <c r="B15" s="34" t="str">
        <v>MN</v>
      </c>
      <c r="C15" s="35">
        <f>SUM(Jul!C15, Aug!C15, Sep!C15)</f>
        <v>491340</v>
      </c>
      <c r="D15" s="36">
        <f>SUM(Jul!D15, Aug!D15, Sep!D15)</f>
        <v>0</v>
      </c>
      <c r="E15" s="36">
        <f t="shared" si="3"/>
        <v>491340</v>
      </c>
      <c r="F15" s="71" t="str">
        <f t="shared" si="4"/>
        <v/>
      </c>
      <c r="G15" s="72">
        <f>SUM(Jul!G15,Aug!G15,Sep!G15)</f>
        <v>505316.5</v>
      </c>
      <c r="H15" s="72">
        <f>SUM(Jul!H15, Aug!H15, Sep!H15)</f>
        <v>-13976.5</v>
      </c>
      <c r="I15" s="71">
        <f t="shared" si="5"/>
        <v>-2.7658902885617231E-2</v>
      </c>
    </row>
    <row r="16" spans="1:9" ht="15.6">
      <c r="A16" s="47" t="str">
        <v>St. Peter - Eastlake Paulson</v>
      </c>
      <c r="B16" s="27" t="str">
        <v>MN</v>
      </c>
      <c r="C16" s="28">
        <f>SUM(Jul!C16, Aug!C16, Sep!C16)</f>
        <v>408005.09795951401</v>
      </c>
      <c r="D16" s="29">
        <f>SUM(Jul!D16, Aug!D16, Sep!D16)</f>
        <v>0</v>
      </c>
      <c r="E16" s="29">
        <f t="shared" si="3"/>
        <v>408005.09795951401</v>
      </c>
      <c r="F16" s="30" t="str">
        <f t="shared" si="4"/>
        <v/>
      </c>
      <c r="G16" s="31">
        <f>SUM(Jul!G16,Aug!G16,Sep!G16)</f>
        <v>439656.5</v>
      </c>
      <c r="H16" s="31">
        <f>SUM(Jul!H16, Aug!H16, Sep!H16)</f>
        <v>-31651.402040485991</v>
      </c>
      <c r="I16" s="32">
        <f t="shared" si="5"/>
        <v>-7.1991206863735641E-2</v>
      </c>
    </row>
    <row r="17" spans="1:9" ht="15.6">
      <c r="A17" s="48" t="str">
        <v>Felician Sisters Convent</v>
      </c>
      <c r="B17" s="34" t="str">
        <v>NJ</v>
      </c>
      <c r="C17" s="35">
        <f>SUM(Jul!C17, Aug!C17, Sep!C17)</f>
        <v>9047.4</v>
      </c>
      <c r="D17" s="36">
        <f>SUM(Jul!D17, Aug!D17, Sep!D17)</f>
        <v>0</v>
      </c>
      <c r="E17" s="36">
        <f t="shared" si="3"/>
        <v>9047.4</v>
      </c>
      <c r="F17" s="71" t="str">
        <f t="shared" si="4"/>
        <v/>
      </c>
      <c r="G17" s="72">
        <f>SUM(Jul!G17,Aug!G17,Sep!G17)</f>
        <v>0</v>
      </c>
      <c r="H17" s="72">
        <f>SUM(Jul!H17, Aug!H17, Sep!H17)</f>
        <v>0</v>
      </c>
      <c r="I17" s="71" t="str">
        <f t="shared" si="5"/>
        <v/>
      </c>
    </row>
    <row r="18" spans="1:9" ht="15.6">
      <c r="A18" s="47" t="str">
        <v>Sussex County Fairgrounds</v>
      </c>
      <c r="B18" s="27" t="str">
        <v>NJ</v>
      </c>
      <c r="C18" s="28">
        <f>SUM(Jul!C18, Aug!C18, Sep!C18)</f>
        <v>122760.44</v>
      </c>
      <c r="D18" s="29">
        <f>SUM(Jul!D18, Aug!D18, Sep!D18)</f>
        <v>0</v>
      </c>
      <c r="E18" s="29">
        <f t="shared" si="3"/>
        <v>122760.44</v>
      </c>
      <c r="F18" s="30" t="str">
        <f t="shared" si="4"/>
        <v/>
      </c>
      <c r="G18" s="31">
        <f>SUM(Jul!G18,Aug!G18,Sep!G18)</f>
        <v>0</v>
      </c>
      <c r="H18" s="31">
        <f>SUM(Jul!H18, Aug!H18, Sep!H18)</f>
        <v>0</v>
      </c>
      <c r="I18" s="32" t="str">
        <f t="shared" si="5"/>
        <v/>
      </c>
    </row>
    <row r="19" spans="1:9" ht="15.6">
      <c r="A19" s="48" t="str">
        <v>Gateway Church</v>
      </c>
      <c r="B19" s="34" t="str">
        <v>NJ</v>
      </c>
      <c r="C19" s="35">
        <f>SUM(Jul!C19, Aug!C19, Sep!C19)</f>
        <v>68252</v>
      </c>
      <c r="D19" s="36">
        <f>SUM(Jul!D19, Aug!D19, Sep!D19)</f>
        <v>0</v>
      </c>
      <c r="E19" s="36">
        <f t="shared" si="3"/>
        <v>68252</v>
      </c>
      <c r="F19" s="71" t="str">
        <f t="shared" si="4"/>
        <v/>
      </c>
      <c r="G19" s="72">
        <f>SUM(Jul!G19,Aug!G19,Sep!G19)</f>
        <v>0</v>
      </c>
      <c r="H19" s="72">
        <f>SUM(Jul!H19, Aug!H19, Sep!H19)</f>
        <v>0</v>
      </c>
      <c r="I19" s="71" t="str">
        <f t="shared" si="5"/>
        <v/>
      </c>
    </row>
    <row r="20" spans="1:9" ht="15.6">
      <c r="A20" s="47" t="str">
        <v>Beaver Falls - Felician Sisters</v>
      </c>
      <c r="B20" s="27" t="str">
        <v>PA</v>
      </c>
      <c r="C20" s="28">
        <f>SUM(Jul!C20, Aug!C20, Sep!C20)</f>
        <v>68577</v>
      </c>
      <c r="D20" s="29">
        <f>SUM(Jul!D20, Aug!D20, Sep!D20)</f>
        <v>0</v>
      </c>
      <c r="E20" s="29">
        <f t="shared" si="3"/>
        <v>68577</v>
      </c>
      <c r="F20" s="30" t="str">
        <f t="shared" si="4"/>
        <v/>
      </c>
      <c r="G20" s="31">
        <f>SUM(Jul!G20,Aug!G20,Sep!G20)</f>
        <v>0</v>
      </c>
      <c r="H20" s="31">
        <f>SUM(Jul!H20, Aug!H20, Sep!H20)</f>
        <v>0</v>
      </c>
      <c r="I20" s="32" t="str">
        <f t="shared" si="5"/>
        <v/>
      </c>
    </row>
    <row r="21" spans="1:9" ht="15.6">
      <c r="A21" s="48" t="str">
        <v>Livonia - Felician Sisters Ground</v>
      </c>
      <c r="B21" s="34" t="str">
        <v>MI</v>
      </c>
      <c r="C21" s="35">
        <f>SUM(Jul!C21, Aug!C21, Sep!C21)</f>
        <v>8556.9</v>
      </c>
      <c r="D21" s="36">
        <f>SUM(Jul!D21, Aug!D21, Sep!D21)</f>
        <v>0</v>
      </c>
      <c r="E21" s="36">
        <f t="shared" si="3"/>
        <v>8556.9</v>
      </c>
      <c r="F21" s="71" t="str">
        <f t="shared" si="4"/>
        <v/>
      </c>
      <c r="G21" s="72">
        <f>SUM(Jul!G21,Aug!G21,Sep!G21)</f>
        <v>0</v>
      </c>
      <c r="H21" s="72">
        <f>SUM(Jul!H21, Aug!H21, Sep!H21)</f>
        <v>0</v>
      </c>
      <c r="I21" s="71" t="str">
        <f t="shared" si="5"/>
        <v/>
      </c>
    </row>
    <row r="22" spans="1:9" ht="15.6">
      <c r="A22" s="47" t="str">
        <v>Livonia - Felician Sisters Roof</v>
      </c>
      <c r="B22" s="27" t="str">
        <v>MI</v>
      </c>
      <c r="C22" s="28">
        <f>SUM(Jul!C22, Aug!C22, Sep!C22)</f>
        <v>30313</v>
      </c>
      <c r="D22" s="29">
        <f>SUM(Jul!D22, Aug!D22, Sep!D22)</f>
        <v>0</v>
      </c>
      <c r="E22" s="29">
        <f t="shared" si="3"/>
        <v>30313</v>
      </c>
      <c r="F22" s="30" t="str">
        <f t="shared" si="4"/>
        <v/>
      </c>
      <c r="G22" s="31">
        <f>SUM(Jul!G22,Aug!G22,Sep!G22)</f>
        <v>0</v>
      </c>
      <c r="H22" s="31">
        <f>SUM(Jul!H22, Aug!H22, Sep!H22)</f>
        <v>0</v>
      </c>
      <c r="I22" s="32" t="str">
        <f t="shared" si="5"/>
        <v/>
      </c>
    </row>
    <row r="23" spans="1:9" ht="15.6">
      <c r="A23" s="48" t="str">
        <v>Monmouth Worship Ctr</v>
      </c>
      <c r="B23" s="34" t="str">
        <v>NJ</v>
      </c>
      <c r="C23" s="35">
        <f>SUM(Jul!C23, Aug!C23, Sep!C23)</f>
        <v>20772.5</v>
      </c>
      <c r="D23" s="36">
        <f>SUM(Jul!D23, Aug!D23, Sep!D23)</f>
        <v>0</v>
      </c>
      <c r="E23" s="36">
        <f t="shared" si="3"/>
        <v>20772.5</v>
      </c>
      <c r="F23" s="71" t="str">
        <f t="shared" si="4"/>
        <v/>
      </c>
      <c r="G23" s="72">
        <f>SUM(Jul!G23,Aug!G23,Sep!G23)</f>
        <v>0</v>
      </c>
      <c r="H23" s="72">
        <f>SUM(Jul!H23, Aug!H23, Sep!H23)</f>
        <v>0</v>
      </c>
      <c r="I23" s="71" t="str">
        <f t="shared" si="5"/>
        <v/>
      </c>
    </row>
    <row r="24" spans="1:9" ht="15.6">
      <c r="A24" s="47" t="str">
        <v xml:space="preserve"> Audubon - Senior Citizens United</v>
      </c>
      <c r="B24" s="27" t="str">
        <v>NJ</v>
      </c>
      <c r="C24" s="28">
        <f>SUM(Jul!C24, Aug!C24, Sep!C24)</f>
        <v>27140.3</v>
      </c>
      <c r="D24" s="29">
        <f>SUM(Jul!D24, Aug!D24, Sep!D24)</f>
        <v>0</v>
      </c>
      <c r="E24" s="29">
        <f t="shared" si="3"/>
        <v>27140.3</v>
      </c>
      <c r="F24" s="30" t="str">
        <f t="shared" si="4"/>
        <v/>
      </c>
      <c r="G24" s="31">
        <f>SUM(Jul!G24,Aug!G24,Sep!G24)</f>
        <v>0</v>
      </c>
      <c r="H24" s="31">
        <f>SUM(Jul!H24, Aug!H24, Sep!H24)</f>
        <v>0</v>
      </c>
      <c r="I24" s="32" t="str">
        <f t="shared" si="5"/>
        <v/>
      </c>
    </row>
    <row r="25" spans="1:9" ht="15.6">
      <c r="A25" s="48" t="str">
        <v>Hollister - PG&amp;E (Enerparc)</v>
      </c>
      <c r="B25" s="34" t="str">
        <v>CA</v>
      </c>
      <c r="C25" s="35">
        <f>SUM(Jul!C25, Aug!C25, Sep!C25)</f>
        <v>367875.141</v>
      </c>
      <c r="D25" s="36">
        <f>SUM(Jul!D25, Aug!D25, Sep!D25)</f>
        <v>0</v>
      </c>
      <c r="E25" s="36">
        <f t="shared" si="3"/>
        <v>367875.141</v>
      </c>
      <c r="F25" s="71" t="str">
        <f t="shared" si="4"/>
        <v/>
      </c>
      <c r="G25" s="72">
        <f>SUM(Jul!G25,Aug!G25,Sep!G25)</f>
        <v>803599.3</v>
      </c>
      <c r="H25" s="72">
        <f>SUM(Jul!H25, Aug!H25, Sep!H25)</f>
        <v>-435724.15899999999</v>
      </c>
      <c r="I25" s="71">
        <f t="shared" si="5"/>
        <v>-0.54221570252736651</v>
      </c>
    </row>
    <row r="26" spans="1:9" ht="15.6">
      <c r="A26" s="47" t="str">
        <v>Taos County - Kit Carson Electric Co-Op</v>
      </c>
      <c r="B26" s="27" t="str">
        <v>NM</v>
      </c>
      <c r="C26" s="28">
        <f>SUM(Jul!C26, Aug!C26, Sep!C26)</f>
        <v>622920</v>
      </c>
      <c r="D26" s="29">
        <f>SUM(Jul!D26, Aug!D26, Sep!D26)</f>
        <v>453803.9</v>
      </c>
      <c r="E26" s="29">
        <f t="shared" si="3"/>
        <v>169116.09999999998</v>
      </c>
      <c r="F26" s="30">
        <f t="shared" si="4"/>
        <v>0.37266339050854336</v>
      </c>
      <c r="G26" s="31">
        <f>SUM(Jul!G26,Aug!G26,Sep!G26)</f>
        <v>411900.5</v>
      </c>
      <c r="H26" s="31">
        <f>SUM(Jul!H26, Aug!H26, Sep!H26)</f>
        <v>211019.5</v>
      </c>
      <c r="I26" s="32">
        <f t="shared" si="5"/>
        <v>0.51230697704906891</v>
      </c>
    </row>
    <row r="27" spans="1:9" ht="15.6">
      <c r="A27" s="48" t="str">
        <v>Commerce City - Adams City HS</v>
      </c>
      <c r="B27" s="34" t="str">
        <v>CO</v>
      </c>
      <c r="C27" s="35">
        <f>SUM(Jul!C27, Aug!C27, Sep!C27)</f>
        <v>31375</v>
      </c>
      <c r="D27" s="36">
        <f>SUM(Jul!D27, Aug!D27, Sep!D27)</f>
        <v>26438.15</v>
      </c>
      <c r="E27" s="36">
        <f t="shared" si="3"/>
        <v>4936.8499999999985</v>
      </c>
      <c r="F27" s="71">
        <f t="shared" si="4"/>
        <v>0.1867320519779182</v>
      </c>
      <c r="G27" s="72">
        <f>SUM(Jul!G27,Aug!G27,Sep!G27)</f>
        <v>28959.510000000002</v>
      </c>
      <c r="H27" s="72">
        <f>SUM(Jul!H27, Aug!H27, Sep!H27)</f>
        <v>2415.4899999999998</v>
      </c>
      <c r="I27" s="71">
        <f t="shared" si="5"/>
        <v>8.3409215142107015E-2</v>
      </c>
    </row>
    <row r="28" spans="1:9" ht="15.6">
      <c r="A28" s="47" t="str">
        <v>Commerce City - Adams City MS</v>
      </c>
      <c r="B28" s="27" t="str">
        <v>CO</v>
      </c>
      <c r="C28" s="28">
        <f>SUM(Jul!C28, Aug!C28, Sep!C28)</f>
        <v>25868</v>
      </c>
      <c r="D28" s="29">
        <f>SUM(Jul!D28, Aug!D28, Sep!D28)</f>
        <v>24023.18</v>
      </c>
      <c r="E28" s="29">
        <f t="shared" si="3"/>
        <v>1844.8199999999997</v>
      </c>
      <c r="F28" s="30">
        <f t="shared" si="4"/>
        <v>7.6793330441681726E-2</v>
      </c>
      <c r="G28" s="31">
        <f>SUM(Jul!G28,Aug!G28,Sep!G28)</f>
        <v>25475.49</v>
      </c>
      <c r="H28" s="31">
        <f>SUM(Jul!H28, Aug!H28, Sep!H28)</f>
        <v>392.5099999999984</v>
      </c>
      <c r="I28" s="32">
        <f t="shared" si="5"/>
        <v>1.5407358209792957E-2</v>
      </c>
    </row>
    <row r="29" spans="1:9" ht="15.6">
      <c r="A29" s="48" t="str">
        <v>Commerce City - Central ES</v>
      </c>
      <c r="B29" s="34" t="str">
        <v>CO</v>
      </c>
      <c r="C29" s="35">
        <f>SUM(Jul!C29, Aug!C29, Sep!C29)</f>
        <v>6762.7000000000007</v>
      </c>
      <c r="D29" s="36">
        <f>SUM(Jul!D29, Aug!D29, Sep!D29)</f>
        <v>6882.8649999999998</v>
      </c>
      <c r="E29" s="36">
        <f t="shared" si="3"/>
        <v>-120.16499999999905</v>
      </c>
      <c r="F29" s="71">
        <f t="shared" si="4"/>
        <v>-1.7458572847208111E-2</v>
      </c>
      <c r="G29" s="72">
        <f>SUM(Jul!G29,Aug!G29,Sep!G29)</f>
        <v>7475.2809999999999</v>
      </c>
      <c r="H29" s="72">
        <f>SUM(Jul!H29, Aug!H29, Sep!H29)</f>
        <v>-712.58099999999968</v>
      </c>
      <c r="I29" s="71">
        <f t="shared" si="5"/>
        <v>-9.5324978418871428E-2</v>
      </c>
    </row>
    <row r="30" spans="1:9" ht="15.6">
      <c r="A30" s="47" t="str">
        <v>Commerce City - Dupont ES</v>
      </c>
      <c r="B30" s="27" t="str">
        <v>CO</v>
      </c>
      <c r="C30" s="28">
        <f>SUM(Jul!C30, Aug!C30, Sep!C30)</f>
        <v>20929</v>
      </c>
      <c r="D30" s="29">
        <f>SUM(Jul!D30, Aug!D30, Sep!D30)</f>
        <v>19445.805</v>
      </c>
      <c r="E30" s="29">
        <f t="shared" si="3"/>
        <v>1483.1949999999997</v>
      </c>
      <c r="F30" s="30">
        <f t="shared" si="4"/>
        <v>7.6273263050822507E-2</v>
      </c>
      <c r="G30" s="31">
        <f>SUM(Jul!G30,Aug!G30,Sep!G30)</f>
        <v>21465.489999999998</v>
      </c>
      <c r="H30" s="31">
        <f>SUM(Jul!H30, Aug!H30, Sep!H30)</f>
        <v>-536.48999999999978</v>
      </c>
      <c r="I30" s="32">
        <f t="shared" si="5"/>
        <v>-2.4993140151936891E-2</v>
      </c>
    </row>
    <row r="31" spans="1:9" ht="15.6">
      <c r="A31" s="48" t="str">
        <v>Commerce City - Educational Support Services</v>
      </c>
      <c r="B31" s="34" t="str">
        <v>CO</v>
      </c>
      <c r="C31" s="35">
        <f>SUM(Jul!C31, Aug!C31, Sep!C31)</f>
        <v>14515</v>
      </c>
      <c r="D31" s="36">
        <f>SUM(Jul!D31, Aug!D31, Sep!D31)</f>
        <v>20196.084999999999</v>
      </c>
      <c r="E31" s="36">
        <f t="shared" si="3"/>
        <v>-5681.0849999999991</v>
      </c>
      <c r="F31" s="71">
        <f t="shared" si="4"/>
        <v>-0.28129635025798316</v>
      </c>
      <c r="G31" s="72">
        <f>SUM(Jul!G31,Aug!G31,Sep!G31)</f>
        <v>22076.54</v>
      </c>
      <c r="H31" s="72">
        <f>SUM(Jul!H31, Aug!H31, Sep!H31)</f>
        <v>-7561.5399999999991</v>
      </c>
      <c r="I31" s="71">
        <f t="shared" si="5"/>
        <v>-0.34251472377464942</v>
      </c>
    </row>
    <row r="32" spans="1:9" ht="15.6">
      <c r="A32" s="47" t="str">
        <v>Commerce City - Hanson ES</v>
      </c>
      <c r="B32" s="27" t="str">
        <v>CO</v>
      </c>
      <c r="C32" s="28">
        <f>SUM(Jul!C32, Aug!C32, Sep!C32)</f>
        <v>27319</v>
      </c>
      <c r="D32" s="29">
        <f>SUM(Jul!D32, Aug!D32, Sep!D32)</f>
        <v>26336.41</v>
      </c>
      <c r="E32" s="29">
        <f t="shared" si="3"/>
        <v>982.59000000000015</v>
      </c>
      <c r="F32" s="30">
        <f t="shared" si="4"/>
        <v>3.7309185268607228E-2</v>
      </c>
      <c r="G32" s="31">
        <f>SUM(Jul!G32,Aug!G32,Sep!G32)</f>
        <v>28854.59</v>
      </c>
      <c r="H32" s="31">
        <f>SUM(Jul!H32, Aug!H32, Sep!H32)</f>
        <v>-1535.5900000000001</v>
      </c>
      <c r="I32" s="32">
        <f t="shared" si="5"/>
        <v>-5.3218222820008883E-2</v>
      </c>
    </row>
    <row r="33" spans="1:9" ht="15.6">
      <c r="A33" s="48" t="str">
        <v>Commerce City - Kemp ES</v>
      </c>
      <c r="B33" s="34" t="str">
        <v>CO</v>
      </c>
      <c r="C33" s="35">
        <f>SUM(Jul!C33, Aug!C33, Sep!C33)</f>
        <v>24892</v>
      </c>
      <c r="D33" s="36">
        <f>SUM(Jul!D33, Aug!D33, Sep!D33)</f>
        <v>26322.909</v>
      </c>
      <c r="E33" s="36">
        <f t="shared" si="3"/>
        <v>-1430.9089999999997</v>
      </c>
      <c r="F33" s="71">
        <f t="shared" si="4"/>
        <v>-5.4359835381416227E-2</v>
      </c>
      <c r="G33" s="72">
        <f>SUM(Jul!G33,Aug!G33,Sep!G33)</f>
        <v>28797.327000000001</v>
      </c>
      <c r="H33" s="72">
        <f>SUM(Jul!H33, Aug!H33, Sep!H33)</f>
        <v>-3905.3270000000011</v>
      </c>
      <c r="I33" s="71">
        <f t="shared" si="5"/>
        <v>-0.13561421863911191</v>
      </c>
    </row>
    <row r="34" spans="1:9" ht="15.6">
      <c r="A34" s="47" t="str">
        <v>Commerce City -  Lester Arnold HS</v>
      </c>
      <c r="B34" s="27" t="str">
        <v>CO</v>
      </c>
      <c r="C34" s="28">
        <f>SUM(Jul!C34, Aug!C34, Sep!C34)</f>
        <v>20690.998967415191</v>
      </c>
      <c r="D34" s="29">
        <f>SUM(Jul!D34, Aug!D34, Sep!D34)</f>
        <v>25446.809999999998</v>
      </c>
      <c r="E34" s="29">
        <f t="shared" si="3"/>
        <v>-4755.8110325848065</v>
      </c>
      <c r="F34" s="30">
        <f t="shared" si="4"/>
        <v>-0.18689222863631264</v>
      </c>
      <c r="G34" s="31">
        <f>SUM(Jul!G34,Aug!G34,Sep!G34)</f>
        <v>28012.120000000003</v>
      </c>
      <c r="H34" s="31">
        <f>SUM(Jul!H34, Aug!H34, Sep!H34)</f>
        <v>-7321.1210325848106</v>
      </c>
      <c r="I34" s="32">
        <f t="shared" si="5"/>
        <v>-0.26135547872081122</v>
      </c>
    </row>
    <row r="35" spans="1:9" ht="15.6">
      <c r="A35" s="48" t="str">
        <v>Commerce City - Monaco ES</v>
      </c>
      <c r="B35" s="34" t="str">
        <v>CO</v>
      </c>
      <c r="C35" s="35">
        <f>SUM(Jul!C35, Aug!C35, Sep!C35)</f>
        <v>28287</v>
      </c>
      <c r="D35" s="36">
        <f>SUM(Jul!D35, Aug!D35, Sep!D35)</f>
        <v>26337.16</v>
      </c>
      <c r="E35" s="36">
        <f t="shared" si="3"/>
        <v>1949.8400000000001</v>
      </c>
      <c r="F35" s="71">
        <f t="shared" si="4"/>
        <v>7.4033798632806277E-2</v>
      </c>
      <c r="G35" s="72">
        <f>SUM(Jul!G35,Aug!G35,Sep!G35)</f>
        <v>28854.59</v>
      </c>
      <c r="H35" s="72">
        <f>SUM(Jul!H35, Aug!H35, Sep!H35)</f>
        <v>-567.59000000000015</v>
      </c>
      <c r="I35" s="71">
        <f t="shared" si="5"/>
        <v>-1.9670700571382236E-2</v>
      </c>
    </row>
    <row r="36" spans="1:9" ht="15.6">
      <c r="A36" s="47" t="str">
        <v>Denver - Northgate / Old Fort Logan ES</v>
      </c>
      <c r="B36" s="27" t="str">
        <v>CO</v>
      </c>
      <c r="C36" s="28">
        <f>SUM(Jul!C36, Aug!C36, Sep!C36)</f>
        <v>25184</v>
      </c>
      <c r="D36" s="29">
        <f>SUM(Jul!D36, Aug!D36, Sep!D36)</f>
        <v>22897.82</v>
      </c>
      <c r="E36" s="29">
        <f t="shared" si="3"/>
        <v>2286.1800000000003</v>
      </c>
      <c r="F36" s="30">
        <f t="shared" si="4"/>
        <v>9.9842692448451439E-2</v>
      </c>
      <c r="G36" s="31">
        <f>SUM(Jul!G36,Aug!G36,Sep!G36)</f>
        <v>26381.387999999999</v>
      </c>
      <c r="H36" s="31">
        <f>SUM(Jul!H36, Aug!H36, Sep!H36)</f>
        <v>-1197.3880000000008</v>
      </c>
      <c r="I36" s="32">
        <f t="shared" si="5"/>
        <v>-4.5387604321652862E-2</v>
      </c>
    </row>
    <row r="37" spans="1:9" ht="15.6">
      <c r="A37" s="48" t="str">
        <v>Denver - Sheridan High School</v>
      </c>
      <c r="B37" s="34" t="str">
        <v>CO</v>
      </c>
      <c r="C37" s="35">
        <f>SUM(Jul!C37, Aug!C37, Sep!C37)</f>
        <v>29260</v>
      </c>
      <c r="D37" s="36">
        <f>SUM(Jul!D37, Aug!D37, Sep!D37)</f>
        <v>26420.95</v>
      </c>
      <c r="E37" s="36">
        <f t="shared" si="3"/>
        <v>2839.0499999999993</v>
      </c>
      <c r="F37" s="71">
        <f t="shared" si="4"/>
        <v>0.10745450106828101</v>
      </c>
      <c r="G37" s="72">
        <f>SUM(Jul!G37,Aug!G37,Sep!G37)</f>
        <v>27504.519999999997</v>
      </c>
      <c r="H37" s="72">
        <f>SUM(Jul!H37, Aug!H37, Sep!H37)</f>
        <v>1755.4800000000014</v>
      </c>
      <c r="I37" s="71">
        <f t="shared" si="5"/>
        <v>6.3825145830576274E-2</v>
      </c>
    </row>
    <row r="38" spans="1:9" ht="15.6">
      <c r="A38" s="47" t="str">
        <v>Englewood -  Alice Terry Elementary</v>
      </c>
      <c r="B38" s="27" t="str">
        <v>CO</v>
      </c>
      <c r="C38" s="28">
        <f>SUM(Jul!C38, Aug!C38, Sep!C38)</f>
        <v>27682</v>
      </c>
      <c r="D38" s="29">
        <f>SUM(Jul!D38, Aug!D38, Sep!D38)</f>
        <v>26421.54</v>
      </c>
      <c r="E38" s="29">
        <f t="shared" si="3"/>
        <v>1260.4599999999991</v>
      </c>
      <c r="F38" s="30">
        <f t="shared" si="4"/>
        <v>4.7705773395494699E-2</v>
      </c>
      <c r="G38" s="31">
        <f>SUM(Jul!G38,Aug!G38,Sep!G38)</f>
        <v>27619.39</v>
      </c>
      <c r="H38" s="31">
        <f>SUM(Jul!H38, Aug!H38, Sep!H38)</f>
        <v>62.610000000000582</v>
      </c>
      <c r="I38" s="32">
        <f t="shared" si="5"/>
        <v>2.2668856915377417E-3</v>
      </c>
    </row>
    <row r="39" spans="1:9" ht="15.6">
      <c r="A39" s="48" t="str">
        <v>Englewood - Sheridan Middle School</v>
      </c>
      <c r="B39" s="34" t="str">
        <v>CO</v>
      </c>
      <c r="C39" s="35">
        <f>SUM(Jul!C39, Aug!C39, Sep!C39)</f>
        <v>15237</v>
      </c>
      <c r="D39" s="36">
        <f>SUM(Jul!D39, Aug!D39, Sep!D39)</f>
        <v>15624.633000000002</v>
      </c>
      <c r="E39" s="36">
        <f t="shared" si="3"/>
        <v>-387.63300000000163</v>
      </c>
      <c r="F39" s="71">
        <f t="shared" si="4"/>
        <v>-2.4809094716016791E-2</v>
      </c>
      <c r="G39" s="72">
        <f>SUM(Jul!G39,Aug!G39,Sep!G39)</f>
        <v>16167.35</v>
      </c>
      <c r="H39" s="72">
        <f>SUM(Jul!H39, Aug!H39, Sep!H39)</f>
        <v>-930.35000000000036</v>
      </c>
      <c r="I39" s="71">
        <f t="shared" si="5"/>
        <v>-5.7544990366386599E-2</v>
      </c>
    </row>
    <row r="40" spans="1:9" ht="15.6">
      <c r="A40" s="47" t="str">
        <v>Goshen - NIPSCO</v>
      </c>
      <c r="B40" s="27" t="str">
        <v>IN</v>
      </c>
      <c r="C40" s="28">
        <f>SUM(Jul!C40, Aug!C40, Sep!C40)</f>
        <v>113882</v>
      </c>
      <c r="D40" s="29">
        <f>SUM(Jul!D40, Aug!D40, Sep!D40)</f>
        <v>115544.41</v>
      </c>
      <c r="E40" s="29">
        <f t="shared" si="3"/>
        <v>-1662.4100000000035</v>
      </c>
      <c r="F40" s="30">
        <f t="shared" si="4"/>
        <v>-1.4387628099014079E-2</v>
      </c>
      <c r="G40" s="31">
        <f>SUM(Jul!G40,Aug!G40,Sep!G40)</f>
        <v>139726.26</v>
      </c>
      <c r="H40" s="31">
        <f>SUM(Jul!H40, Aug!H40, Sep!H40)</f>
        <v>-25844.259999999995</v>
      </c>
      <c r="I40" s="32">
        <f t="shared" si="5"/>
        <v>-0.18496351365877819</v>
      </c>
    </row>
    <row r="41" spans="1:9" ht="15.6">
      <c r="A41" s="48" t="str">
        <v>Alamogordo - City of Alamogordo - Effluent</v>
      </c>
      <c r="B41" s="34" t="str">
        <v>NM</v>
      </c>
      <c r="C41" s="35">
        <f>SUM(Jul!C41, Aug!C41, Sep!C41)</f>
        <v>46393</v>
      </c>
      <c r="D41" s="36">
        <f>SUM(Jul!D41, Aug!D41, Sep!D41)</f>
        <v>56493</v>
      </c>
      <c r="E41" s="36">
        <f t="shared" si="3"/>
        <v>-10100</v>
      </c>
      <c r="F41" s="71">
        <f t="shared" si="4"/>
        <v>-0.17878321207937267</v>
      </c>
      <c r="G41" s="72">
        <f>SUM(Jul!G41,Aug!G41,Sep!G41)</f>
        <v>63043.869999999995</v>
      </c>
      <c r="H41" s="72">
        <f>SUM(Jul!H41, Aug!H41, Sep!H41)</f>
        <v>-16650.87</v>
      </c>
      <c r="I41" s="71">
        <f t="shared" si="5"/>
        <v>-0.26411560711612408</v>
      </c>
    </row>
    <row r="42" spans="1:9" ht="15.6">
      <c r="A42" s="47" t="str">
        <v>Alamogordo - City of Alamogordo - WWTP</v>
      </c>
      <c r="B42" s="27" t="str">
        <v>NM</v>
      </c>
      <c r="C42" s="28">
        <f>SUM(Jul!C42, Aug!C42, Sep!C42)</f>
        <v>168380</v>
      </c>
      <c r="D42" s="29">
        <f>SUM(Jul!D42, Aug!D42, Sep!D42)</f>
        <v>1.7172941000000001E-2</v>
      </c>
      <c r="E42" s="29">
        <f t="shared" si="3"/>
        <v>168379.98282705899</v>
      </c>
      <c r="F42" s="30">
        <f t="shared" si="4"/>
        <v>9804959.0240284987</v>
      </c>
      <c r="G42" s="31">
        <f>SUM(Jul!G42,Aug!G42,Sep!G42)</f>
        <v>267356.79999999999</v>
      </c>
      <c r="H42" s="31">
        <f>SUM(Jul!H42, Aug!H42, Sep!H42)</f>
        <v>-98976.799999999988</v>
      </c>
      <c r="I42" s="32">
        <f t="shared" si="5"/>
        <v>-0.37020490969371267</v>
      </c>
    </row>
    <row r="43" spans="1:9" ht="15.6">
      <c r="A43" s="48" t="str">
        <v>Deming - Bilbo Booster</v>
      </c>
      <c r="B43" s="34" t="str">
        <v>NM</v>
      </c>
      <c r="C43" s="35">
        <f>SUM(Jul!C43, Aug!C43, Sep!C43)</f>
        <v>22888</v>
      </c>
      <c r="D43" s="36">
        <f>SUM(Jul!D43, Aug!D43, Sep!D43)</f>
        <v>0</v>
      </c>
      <c r="E43" s="36">
        <f t="shared" si="3"/>
        <v>22888</v>
      </c>
      <c r="F43" s="71" t="str">
        <f t="shared" si="4"/>
        <v/>
      </c>
      <c r="G43" s="72">
        <f>SUM(Jul!G43,Aug!G43,Sep!G43)</f>
        <v>25271.23</v>
      </c>
      <c r="H43" s="72">
        <f>SUM(Jul!H43, Aug!H43, Sep!H43)</f>
        <v>-2383.2299999999996</v>
      </c>
      <c r="I43" s="71">
        <f t="shared" si="5"/>
        <v>-9.4306054750797633E-2</v>
      </c>
    </row>
    <row r="44" spans="1:9" ht="15.6">
      <c r="A44" s="47" t="str">
        <v>Deming - Bilbo Well</v>
      </c>
      <c r="B44" s="27" t="str">
        <v>NM</v>
      </c>
      <c r="C44" s="28">
        <f>SUM(Jul!C44, Aug!C44, Sep!C44)</f>
        <v>44929</v>
      </c>
      <c r="D44" s="29">
        <f>SUM(Jul!D44, Aug!D44, Sep!D44)</f>
        <v>0</v>
      </c>
      <c r="E44" s="29">
        <f t="shared" si="3"/>
        <v>44929</v>
      </c>
      <c r="F44" s="30" t="str">
        <f t="shared" si="4"/>
        <v/>
      </c>
      <c r="G44" s="31">
        <f>SUM(Jul!G44,Aug!G44,Sep!G44)</f>
        <v>45683.990000000005</v>
      </c>
      <c r="H44" s="31">
        <f>SUM(Jul!H44, Aug!H44, Sep!H44)</f>
        <v>-754.9900000000016</v>
      </c>
      <c r="I44" s="32">
        <f t="shared" si="5"/>
        <v>-1.6526358577698696E-2</v>
      </c>
    </row>
    <row r="45" spans="1:9" ht="15.6">
      <c r="A45" s="48" t="str">
        <v>Deming - WWTP</v>
      </c>
      <c r="B45" s="34" t="str">
        <v>NM</v>
      </c>
      <c r="C45" s="35">
        <f>SUM(Jul!C45, Aug!C45, Sep!C45)</f>
        <v>162650</v>
      </c>
      <c r="D45" s="36">
        <f>SUM(Jul!D45, Aug!D45, Sep!D45)</f>
        <v>149146.66</v>
      </c>
      <c r="E45" s="36">
        <f t="shared" si="3"/>
        <v>13503.339999999997</v>
      </c>
      <c r="F45" s="71">
        <f t="shared" si="4"/>
        <v>9.0537327486917882E-2</v>
      </c>
      <c r="G45" s="72">
        <f>SUM(Jul!G45,Aug!G45,Sep!G45)</f>
        <v>186087.67999999999</v>
      </c>
      <c r="H45" s="72">
        <f>SUM(Jul!H45, Aug!H45, Sep!H45)</f>
        <v>-23437.679999999993</v>
      </c>
      <c r="I45" s="71">
        <f t="shared" si="5"/>
        <v>-0.12594965985926632</v>
      </c>
    </row>
    <row r="46" spans="1:9" ht="15.6">
      <c r="A46" s="47" t="str">
        <v>Truth or Consequences - Walmart</v>
      </c>
      <c r="B46" s="27" t="str">
        <v>NM</v>
      </c>
      <c r="C46" s="28">
        <f>SUM(Jul!C46, Aug!C46, Sep!C46)</f>
        <v>334000</v>
      </c>
      <c r="D46" s="29">
        <f>SUM(Jul!D46, Aug!D46, Sep!D46)</f>
        <v>708777.7</v>
      </c>
      <c r="E46" s="29">
        <f t="shared" si="3"/>
        <v>-374777.69999999995</v>
      </c>
      <c r="F46" s="30">
        <f t="shared" si="4"/>
        <v>-0.52876621259387813</v>
      </c>
      <c r="G46" s="31">
        <f>SUM(Jul!G46,Aug!G46,Sep!G46)</f>
        <v>388709.4</v>
      </c>
      <c r="H46" s="31">
        <f>SUM(Jul!H46, Aug!H46, Sep!H46)</f>
        <v>-54709.399999999994</v>
      </c>
      <c r="I46" s="32">
        <f t="shared" si="5"/>
        <v>-0.14074627472348236</v>
      </c>
    </row>
    <row r="47" spans="1:9" ht="15.6">
      <c r="A47" s="48" t="str">
        <v>CA: Stockton - SUSD - Merlo</v>
      </c>
      <c r="B47" s="34" t="str">
        <v>CA</v>
      </c>
      <c r="C47" s="35">
        <f>SUM(Jul!C47, Aug!C47, Sep!C47)</f>
        <v>2688.7498120886739</v>
      </c>
      <c r="D47" s="36">
        <f>SUM(Jul!D47, Aug!D47, Sep!D47)</f>
        <v>29187.360000000001</v>
      </c>
      <c r="E47" s="36">
        <f t="shared" ref="E47:E85" si="6">IF(AND(ISNUMBER(C47),ISNUMBER(D47)), C47-D47, "")</f>
        <v>-26498.610187911327</v>
      </c>
      <c r="F47" s="71">
        <f t="shared" ref="F47:F85" si="7">IFERROR(E47/D47, "")</f>
        <v>-0.90787965022911721</v>
      </c>
      <c r="G47" s="72">
        <f>SUM(Jul!G47,Aug!G47,Sep!G47)</f>
        <v>37053.78</v>
      </c>
      <c r="H47" s="72">
        <f>SUM(Jul!H47, Aug!H47, Sep!H47)</f>
        <v>-34365.030187911325</v>
      </c>
      <c r="I47" s="71">
        <f t="shared" ref="I47:I85" si="8">IFERROR(H47/G47, "")</f>
        <v>-0.92743655810314973</v>
      </c>
    </row>
    <row r="48" spans="1:9" ht="15.6">
      <c r="A48" s="47" t="str">
        <v>Stockton Unified School Dist. - Bush Elementary</v>
      </c>
      <c r="B48" s="27" t="str">
        <v>CA</v>
      </c>
      <c r="C48" s="28">
        <f>SUM(Jul!C48, Aug!C48, Sep!C48)</f>
        <v>52000.25</v>
      </c>
      <c r="D48" s="29">
        <f>SUM(Jul!D48, Aug!D48, Sep!D48)</f>
        <v>75514.416999999987</v>
      </c>
      <c r="E48" s="29">
        <f t="shared" si="6"/>
        <v>-23514.166999999987</v>
      </c>
      <c r="F48" s="30">
        <f t="shared" si="7"/>
        <v>-0.31138646015104626</v>
      </c>
      <c r="G48" s="31">
        <f>SUM(Jul!G48,Aug!G48,Sep!G48)</f>
        <v>79238.96100000001</v>
      </c>
      <c r="H48" s="31">
        <f>SUM(Jul!H48, Aug!H48, Sep!H48)</f>
        <v>-27238.711000000003</v>
      </c>
      <c r="I48" s="32">
        <f t="shared" si="8"/>
        <v>-0.34375401514918902</v>
      </c>
    </row>
    <row r="49" spans="1:9" ht="15.6">
      <c r="A49" s="48" t="str">
        <v>CA: Stockton - SUSD - Marshall JHS</v>
      </c>
      <c r="B49" s="34" t="str">
        <v>CA</v>
      </c>
      <c r="C49" s="35">
        <f>SUM(Jul!C49, Aug!C49, Sep!C49)</f>
        <v>16053.25</v>
      </c>
      <c r="D49" s="36">
        <f>SUM(Jul!D49, Aug!D49, Sep!D49)</f>
        <v>49612.480000000003</v>
      </c>
      <c r="E49" s="36">
        <f t="shared" si="6"/>
        <v>-33559.230000000003</v>
      </c>
      <c r="F49" s="71">
        <f t="shared" si="7"/>
        <v>-0.67642718122536916</v>
      </c>
      <c r="G49" s="72">
        <f>SUM(Jul!G49,Aug!G49,Sep!G49)</f>
        <v>52267.520000000004</v>
      </c>
      <c r="H49" s="72">
        <f>SUM(Jul!H49, Aug!H49, Sep!H49)</f>
        <v>-36214.270000000004</v>
      </c>
      <c r="I49" s="71">
        <f t="shared" si="8"/>
        <v>-0.69286375171425774</v>
      </c>
    </row>
    <row r="50" spans="1:9" ht="15.6">
      <c r="A50" s="47" t="str">
        <v>CA: Stockton - SUSD - Hong-Kingston ES</v>
      </c>
      <c r="B50" s="27" t="str">
        <v>CA</v>
      </c>
      <c r="C50" s="28">
        <f>SUM(Jul!C50, Aug!C50, Sep!C50)</f>
        <v>17473</v>
      </c>
      <c r="D50" s="29">
        <f>SUM(Jul!D50, Aug!D50, Sep!D50)</f>
        <v>83492.899999999994</v>
      </c>
      <c r="E50" s="29">
        <f t="shared" si="6"/>
        <v>-66019.899999999994</v>
      </c>
      <c r="F50" s="30">
        <f t="shared" si="7"/>
        <v>-0.79072472030555885</v>
      </c>
      <c r="G50" s="31">
        <f>SUM(Jul!G50,Aug!G50,Sep!G50)</f>
        <v>84814.49</v>
      </c>
      <c r="H50" s="31">
        <f>SUM(Jul!H50, Aug!H50, Sep!H50)</f>
        <v>-67341.490000000005</v>
      </c>
      <c r="I50" s="32">
        <f t="shared" si="8"/>
        <v>-0.79398567391020092</v>
      </c>
    </row>
    <row r="51" spans="1:9" ht="15.6">
      <c r="A51" s="48" t="str">
        <v>CA: Stockton - SUSD - Hamilton ES</v>
      </c>
      <c r="B51" s="34" t="str">
        <v>CA</v>
      </c>
      <c r="C51" s="35">
        <f>SUM(Jul!C51, Aug!C51, Sep!C51)</f>
        <v>13017.125</v>
      </c>
      <c r="D51" s="36">
        <f>SUM(Jul!D51, Aug!D51, Sep!D51)</f>
        <v>43016.729999999996</v>
      </c>
      <c r="E51" s="36">
        <f t="shared" si="6"/>
        <v>-29999.604999999996</v>
      </c>
      <c r="F51" s="71">
        <f t="shared" si="7"/>
        <v>-0.69739389767655513</v>
      </c>
      <c r="G51" s="72">
        <f>SUM(Jul!G51,Aug!G51,Sep!G51)</f>
        <v>45098.46</v>
      </c>
      <c r="H51" s="72">
        <f>SUM(Jul!H51, Aug!H51, Sep!H51)</f>
        <v>-32081.334999999999</v>
      </c>
      <c r="I51" s="71">
        <f t="shared" si="8"/>
        <v>-0.71136209529105876</v>
      </c>
    </row>
    <row r="52" spans="1:9" ht="15.6">
      <c r="A52" s="47" t="str">
        <v>CA: Stockton - SUSD - Franklin - North</v>
      </c>
      <c r="B52" s="27" t="str">
        <v>CA</v>
      </c>
      <c r="C52" s="28">
        <f>SUM(Jul!C52, Aug!C52, Sep!C52)</f>
        <v>55751</v>
      </c>
      <c r="D52" s="29">
        <f>SUM(Jul!D52, Aug!D52, Sep!D52)</f>
        <v>202538.40000000002</v>
      </c>
      <c r="E52" s="29">
        <f t="shared" si="6"/>
        <v>-146787.40000000002</v>
      </c>
      <c r="F52" s="30">
        <f t="shared" si="7"/>
        <v>-0.72473861746710755</v>
      </c>
      <c r="G52" s="31">
        <f>SUM(Jul!G52,Aug!G52,Sep!G52)</f>
        <v>119342.41</v>
      </c>
      <c r="H52" s="31">
        <f>SUM(Jul!H52, Aug!H52, Sep!H52)</f>
        <v>-63591.409999999996</v>
      </c>
      <c r="I52" s="32">
        <f t="shared" si="8"/>
        <v>-0.53284838139266666</v>
      </c>
    </row>
    <row r="53" spans="1:9" ht="15.6">
      <c r="A53" s="48" t="str">
        <v>Stockton Unified School Dist. - Fillmore Elementary</v>
      </c>
      <c r="B53" s="34" t="str">
        <v>CA</v>
      </c>
      <c r="C53" s="35">
        <f>SUM(Jul!C53, Aug!C53, Sep!C53)</f>
        <v>9237.5</v>
      </c>
      <c r="D53" s="36">
        <f>SUM(Jul!D53, Aug!D53, Sep!D53)</f>
        <v>34964.050000000003</v>
      </c>
      <c r="E53" s="36">
        <f t="shared" si="6"/>
        <v>-25726.550000000003</v>
      </c>
      <c r="F53" s="71">
        <f t="shared" si="7"/>
        <v>-0.73580005748761945</v>
      </c>
      <c r="G53" s="72">
        <f>SUM(Jul!G53,Aug!G53,Sep!G53)</f>
        <v>36334.229999999996</v>
      </c>
      <c r="H53" s="72">
        <f>SUM(Jul!H53, Aug!H53, Sep!H53)</f>
        <v>-27096.73</v>
      </c>
      <c r="I53" s="71">
        <f t="shared" si="8"/>
        <v>-0.74576315501938539</v>
      </c>
    </row>
    <row r="54" spans="1:9" ht="15.6">
      <c r="A54" s="47" t="str">
        <v>CA: Stockton - SUSD - El Dorado ES</v>
      </c>
      <c r="B54" s="27" t="str">
        <v>CA</v>
      </c>
      <c r="C54" s="28">
        <f>SUM(Jul!C54, Aug!C54, Sep!C54)</f>
        <v>11016.25</v>
      </c>
      <c r="D54" s="29">
        <f>SUM(Jul!D54, Aug!D54, Sep!D54)</f>
        <v>45757.67</v>
      </c>
      <c r="E54" s="29">
        <f t="shared" si="6"/>
        <v>-34741.42</v>
      </c>
      <c r="F54" s="30">
        <f t="shared" si="7"/>
        <v>-0.75924801240972273</v>
      </c>
      <c r="G54" s="31">
        <f>SUM(Jul!G54,Aug!G54,Sep!G54)</f>
        <v>0</v>
      </c>
      <c r="H54" s="31">
        <f>SUM(Jul!H54, Aug!H54, Sep!H54)</f>
        <v>11016.25</v>
      </c>
      <c r="I54" s="32" t="str">
        <f t="shared" si="8"/>
        <v/>
      </c>
    </row>
    <row r="55" spans="1:9" ht="15.6">
      <c r="A55" s="48" t="str">
        <v>CA: Stockton - SUSD - Edison HS</v>
      </c>
      <c r="B55" s="34" t="str">
        <v>CA</v>
      </c>
      <c r="C55" s="35">
        <f>SUM(Jul!C55, Aug!C55, Sep!C55)</f>
        <v>83761</v>
      </c>
      <c r="D55" s="36">
        <f>SUM(Jul!D55, Aug!D55, Sep!D55)</f>
        <v>117821.25</v>
      </c>
      <c r="E55" s="36">
        <f t="shared" si="6"/>
        <v>-34060.25</v>
      </c>
      <c r="F55" s="71">
        <f t="shared" si="7"/>
        <v>-0.28908409985465272</v>
      </c>
      <c r="G55" s="72">
        <f>SUM(Jul!G55,Aug!G55,Sep!G55)</f>
        <v>123804.87</v>
      </c>
      <c r="H55" s="72">
        <f>SUM(Jul!H55, Aug!H55, Sep!H55)</f>
        <v>-40043.870000000003</v>
      </c>
      <c r="I55" s="71">
        <f t="shared" si="8"/>
        <v>-0.32344341543268856</v>
      </c>
    </row>
    <row r="56" spans="1:9" ht="15.6">
      <c r="A56" s="47" t="str">
        <v>CA: Stockton - SUSD - Chavez HS - Large</v>
      </c>
      <c r="B56" s="27" t="str">
        <v>CA</v>
      </c>
      <c r="C56" s="28">
        <f>SUM(Jul!C56, Aug!C56, Sep!C56)</f>
        <v>75810</v>
      </c>
      <c r="D56" s="29">
        <f>SUM(Jul!D56, Aug!D56, Sep!D56)</f>
        <v>262636.79999999999</v>
      </c>
      <c r="E56" s="29">
        <f t="shared" si="6"/>
        <v>-186826.8</v>
      </c>
      <c r="F56" s="30">
        <f t="shared" si="7"/>
        <v>-0.71135042766284085</v>
      </c>
      <c r="G56" s="31">
        <f>SUM(Jul!G56,Aug!G56,Sep!G56)</f>
        <v>258603.6</v>
      </c>
      <c r="H56" s="31">
        <f>SUM(Jul!H56, Aug!H56, Sep!H56)</f>
        <v>-182793.60000000001</v>
      </c>
      <c r="I56" s="32">
        <f t="shared" si="8"/>
        <v>-0.70684862855737507</v>
      </c>
    </row>
    <row r="57" spans="1:9" ht="15.6">
      <c r="A57" s="48" t="str">
        <v>CA: San Jose - GE Mobile Water</v>
      </c>
      <c r="B57" s="34" t="str">
        <v>CA</v>
      </c>
      <c r="C57" s="35">
        <f>SUM(Jul!C57, Aug!C57, Sep!C57)</f>
        <v>57420</v>
      </c>
      <c r="D57" s="36">
        <f>SUM(Jul!D57, Aug!D57, Sep!D57)</f>
        <v>65611.95</v>
      </c>
      <c r="E57" s="36">
        <f t="shared" si="6"/>
        <v>-8191.9499999999971</v>
      </c>
      <c r="F57" s="71">
        <f t="shared" si="7"/>
        <v>-0.12485454250330918</v>
      </c>
      <c r="G57" s="72">
        <f>SUM(Jul!G57,Aug!G57,Sep!G57)</f>
        <v>66798.64</v>
      </c>
      <c r="H57" s="72">
        <f>SUM(Jul!H57, Aug!H57, Sep!H57)</f>
        <v>-9378.64</v>
      </c>
      <c r="I57" s="71">
        <f t="shared" si="8"/>
        <v>-0.14040166087213751</v>
      </c>
    </row>
    <row r="58" spans="1:9" ht="15.6">
      <c r="A58" s="47" t="str">
        <v>CA: San Marcos - Vallecitos Water - Lift Station</v>
      </c>
      <c r="B58" s="27" t="str">
        <v>CA</v>
      </c>
      <c r="C58" s="28">
        <f>SUM(Jul!C58, Aug!C58, Sep!C58)</f>
        <v>82472.999999999796</v>
      </c>
      <c r="D58" s="29">
        <f>SUM(Jul!D58, Aug!D58, Sep!D58)</f>
        <v>85232.320000000007</v>
      </c>
      <c r="E58" s="29">
        <f t="shared" si="6"/>
        <v>-2759.3200000002107</v>
      </c>
      <c r="F58" s="30">
        <f t="shared" si="7"/>
        <v>-3.2374104095725782E-2</v>
      </c>
      <c r="G58" s="31">
        <f>SUM(Jul!G58,Aug!G58,Sep!G58)</f>
        <v>80609.33</v>
      </c>
      <c r="H58" s="31">
        <f>SUM(Jul!H58, Aug!H58, Sep!H58)</f>
        <v>1863.6699999998018</v>
      </c>
      <c r="I58" s="32">
        <f t="shared" si="8"/>
        <v>2.3119780303344561E-2</v>
      </c>
    </row>
    <row r="59" spans="1:9" ht="15.6">
      <c r="A59" s="48" t="str">
        <v>CA: San Marcos - Vallecitos Water - Twin Oaks Reservoir</v>
      </c>
      <c r="B59" s="34" t="str">
        <v>CA</v>
      </c>
      <c r="C59" s="35">
        <f>SUM(Jul!C59, Aug!C59, Sep!C59)</f>
        <v>620939</v>
      </c>
      <c r="D59" s="36">
        <f>SUM(Jul!D59, Aug!D59, Sep!D59)</f>
        <v>675586.3</v>
      </c>
      <c r="E59" s="36">
        <f t="shared" si="6"/>
        <v>-54647.300000000047</v>
      </c>
      <c r="F59" s="71">
        <f t="shared" si="7"/>
        <v>-8.0888703634161979E-2</v>
      </c>
      <c r="G59" s="72">
        <f>SUM(Jul!G59,Aug!G59,Sep!G59)</f>
        <v>523422</v>
      </c>
      <c r="H59" s="72">
        <f>SUM(Jul!H59, Aug!H59, Sep!H59)</f>
        <v>97517</v>
      </c>
      <c r="I59" s="71">
        <f t="shared" si="8"/>
        <v>0.18630665122979165</v>
      </c>
    </row>
    <row r="60" spans="1:9" ht="15.6">
      <c r="A60" s="47" t="str">
        <v>CA: Stockton - SUSD - Wilhelmina Henry ES</v>
      </c>
      <c r="B60" s="27" t="str">
        <v>CA</v>
      </c>
      <c r="C60" s="28">
        <f>SUM(Jul!C60, Aug!C60, Sep!C60)</f>
        <v>16672.25</v>
      </c>
      <c r="D60" s="29">
        <f>SUM(Jul!D60, Aug!D60, Sep!D60)</f>
        <v>100928.5</v>
      </c>
      <c r="E60" s="29">
        <f t="shared" si="6"/>
        <v>-84256.25</v>
      </c>
      <c r="F60" s="30">
        <f t="shared" si="7"/>
        <v>-0.83481127729035898</v>
      </c>
      <c r="G60" s="31">
        <f>SUM(Jul!G60,Aug!G60,Sep!G60)</f>
        <v>83259.899999999994</v>
      </c>
      <c r="H60" s="31">
        <f>SUM(Jul!H60, Aug!H60, Sep!H60)</f>
        <v>-66587.649999999994</v>
      </c>
      <c r="I60" s="32">
        <f t="shared" si="8"/>
        <v>-0.79975654546786623</v>
      </c>
    </row>
    <row r="61" spans="1:9" ht="15.6">
      <c r="A61" s="48" t="str">
        <v>Stockton Unified School Dist. - Franklin (North)</v>
      </c>
      <c r="B61" s="34" t="str">
        <v>CA</v>
      </c>
      <c r="C61" s="35">
        <f>SUM(Jul!C61, Aug!C61, Sep!C61)</f>
        <v>32153.200000000001</v>
      </c>
      <c r="D61" s="36">
        <f>SUM(Jul!D61, Aug!D61, Sep!D61)</f>
        <v>101097.1</v>
      </c>
      <c r="E61" s="36">
        <f t="shared" si="6"/>
        <v>-68943.900000000009</v>
      </c>
      <c r="F61" s="71">
        <f t="shared" si="7"/>
        <v>-0.68195724704269467</v>
      </c>
      <c r="G61" s="72">
        <f>SUM(Jul!G61,Aug!G61,Sep!G61)</f>
        <v>61549.4</v>
      </c>
      <c r="H61" s="72">
        <f>SUM(Jul!H61, Aug!H61, Sep!H61)</f>
        <v>-29396.2</v>
      </c>
      <c r="I61" s="71">
        <f t="shared" si="8"/>
        <v>-0.47760335600347037</v>
      </c>
    </row>
    <row r="62" spans="1:9" ht="15.6">
      <c r="A62" s="47" t="str">
        <v>CA: Stockton - SUSD - Franklin - South</v>
      </c>
      <c r="B62" s="27" t="str">
        <v>CA</v>
      </c>
      <c r="C62" s="28">
        <f>SUM(Jul!C62, Aug!C62, Sep!C62)</f>
        <v>77292</v>
      </c>
      <c r="D62" s="29">
        <f>SUM(Jul!D62, Aug!D62, Sep!D62)</f>
        <v>196958.84999999998</v>
      </c>
      <c r="E62" s="29">
        <f t="shared" si="6"/>
        <v>-119666.84999999998</v>
      </c>
      <c r="F62" s="30">
        <f t="shared" si="7"/>
        <v>-0.60757285087722634</v>
      </c>
      <c r="G62" s="31">
        <f>SUM(Jul!G62,Aug!G62,Sep!G62)</f>
        <v>193217.23</v>
      </c>
      <c r="H62" s="31">
        <f>SUM(Jul!H62, Aug!H62, Sep!H62)</f>
        <v>-115925.23000000001</v>
      </c>
      <c r="I62" s="32">
        <f t="shared" si="8"/>
        <v>-0.59997356343427555</v>
      </c>
    </row>
    <row r="63" spans="1:9" ht="15.6">
      <c r="A63" s="48" t="str">
        <v>CA: Stockton - SUSD - Chavez HS - Small</v>
      </c>
      <c r="B63" s="34" t="str">
        <v>CA</v>
      </c>
      <c r="C63" s="35">
        <f>SUM(Jul!C63, Aug!C63, Sep!C63)</f>
        <v>47756.25</v>
      </c>
      <c r="D63" s="36">
        <f>SUM(Jul!D63, Aug!D63, Sep!D63)</f>
        <v>49809.42</v>
      </c>
      <c r="E63" s="36">
        <f t="shared" si="6"/>
        <v>-2053.1699999999983</v>
      </c>
      <c r="F63" s="71">
        <f t="shared" si="7"/>
        <v>-4.1220516119240061E-2</v>
      </c>
      <c r="G63" s="72">
        <f>SUM(Jul!G63,Aug!G63,Sep!G63)</f>
        <v>73013.61</v>
      </c>
      <c r="H63" s="72">
        <f>SUM(Jul!H63, Aug!H63, Sep!H63)</f>
        <v>-25257.360000000001</v>
      </c>
      <c r="I63" s="71">
        <f t="shared" si="8"/>
        <v>-0.3459267388641652</v>
      </c>
    </row>
    <row r="64" spans="1:9" ht="15.6">
      <c r="A64" s="47" t="str">
        <v>CA: Stockton - SUSD - Facilities</v>
      </c>
      <c r="B64" s="27" t="str">
        <v>CA</v>
      </c>
      <c r="C64" s="28">
        <f>SUM(Jul!C64, Aug!C64, Sep!C64)</f>
        <v>42083.5</v>
      </c>
      <c r="D64" s="29">
        <f>SUM(Jul!D64, Aug!D64, Sep!D64)</f>
        <v>112045.95999999999</v>
      </c>
      <c r="E64" s="29">
        <f t="shared" si="6"/>
        <v>-69962.459999999992</v>
      </c>
      <c r="F64" s="30">
        <f t="shared" si="7"/>
        <v>-0.62440859090323286</v>
      </c>
      <c r="G64" s="31">
        <f>SUM(Jul!G64,Aug!G64,Sep!G64)</f>
        <v>124481.41</v>
      </c>
      <c r="H64" s="31">
        <f>SUM(Jul!H64, Aug!H64, Sep!H64)</f>
        <v>-82397.91</v>
      </c>
      <c r="I64" s="32">
        <f t="shared" si="8"/>
        <v>-0.66192943990592656</v>
      </c>
    </row>
    <row r="65" spans="1:9" ht="15.6">
      <c r="A65" s="48" t="str">
        <v>CA: Stockton - SUSD - Harrison</v>
      </c>
      <c r="B65" s="34" t="str">
        <v>CA</v>
      </c>
      <c r="C65" s="35">
        <f>SUM(Jul!C65, Aug!C65, Sep!C65)</f>
        <v>29984</v>
      </c>
      <c r="D65" s="36">
        <f>SUM(Jul!D65, Aug!D65, Sep!D65)</f>
        <v>44534.740000000005</v>
      </c>
      <c r="E65" s="36">
        <f t="shared" si="6"/>
        <v>-14550.740000000005</v>
      </c>
      <c r="F65" s="71">
        <f t="shared" si="7"/>
        <v>-0.32672785335672788</v>
      </c>
      <c r="G65" s="72">
        <f>SUM(Jul!G65,Aug!G65,Sep!G65)</f>
        <v>44527.03</v>
      </c>
      <c r="H65" s="72">
        <f>SUM(Jul!H65, Aug!H65, Sep!H65)</f>
        <v>-14543.030000000002</v>
      </c>
      <c r="I65" s="71">
        <f t="shared" si="8"/>
        <v>-0.32661127409575719</v>
      </c>
    </row>
    <row r="66" spans="1:9" ht="15.6">
      <c r="A66" s="47" t="str">
        <v>CA: Stockton - SUSD - Commodore Skills School</v>
      </c>
      <c r="B66" s="27" t="str">
        <v>CA</v>
      </c>
      <c r="C66" s="28">
        <f>SUM(Jul!C66, Aug!C66, Sep!C66)</f>
        <v>13794.75</v>
      </c>
      <c r="D66" s="29">
        <f>SUM(Jul!D66, Aug!D66, Sep!D66)</f>
        <v>89052.58</v>
      </c>
      <c r="E66" s="29">
        <f t="shared" si="6"/>
        <v>-75257.83</v>
      </c>
      <c r="F66" s="30">
        <f t="shared" si="7"/>
        <v>-0.84509432517283611</v>
      </c>
      <c r="G66" s="31">
        <f>SUM(Jul!G66,Aug!G66,Sep!G66)</f>
        <v>96962.55</v>
      </c>
      <c r="H66" s="31">
        <f>SUM(Jul!H66, Aug!H66, Sep!H66)</f>
        <v>-83167.8</v>
      </c>
      <c r="I66" s="32">
        <f t="shared" si="8"/>
        <v>-0.85773115496653085</v>
      </c>
    </row>
    <row r="67" spans="1:9" ht="15.6">
      <c r="A67" s="48" t="str">
        <v>CA: Stockton - SUSD - Nightingale ES</v>
      </c>
      <c r="B67" s="34" t="str">
        <v>CA</v>
      </c>
      <c r="C67" s="35">
        <f>SUM(Jul!C67, Aug!C67, Sep!C67)</f>
        <v>38020</v>
      </c>
      <c r="D67" s="36">
        <f>SUM(Jul!D67, Aug!D67, Sep!D67)</f>
        <v>43444.639999999999</v>
      </c>
      <c r="E67" s="36">
        <f t="shared" si="6"/>
        <v>-5424.6399999999994</v>
      </c>
      <c r="F67" s="71">
        <f t="shared" si="7"/>
        <v>-0.1248632742727296</v>
      </c>
      <c r="G67" s="72">
        <f>SUM(Jul!G67,Aug!G67,Sep!G67)</f>
        <v>44897.03</v>
      </c>
      <c r="H67" s="72">
        <f>SUM(Jul!H67, Aug!H67, Sep!H67)</f>
        <v>-6877.0299999999988</v>
      </c>
      <c r="I67" s="71">
        <f t="shared" si="8"/>
        <v>-0.15317338362916208</v>
      </c>
    </row>
    <row r="68" spans="1:9" ht="15.6">
      <c r="A68" s="47" t="str">
        <v>CA: Stockton - SUSD - Weber Institute</v>
      </c>
      <c r="B68" s="27" t="str">
        <v>CA</v>
      </c>
      <c r="C68" s="28">
        <f>SUM(Jul!C68, Aug!C68, Sep!C68)</f>
        <v>16635.75</v>
      </c>
      <c r="D68" s="29">
        <f>SUM(Jul!D68, Aug!D68, Sep!D68)</f>
        <v>89411.73000000001</v>
      </c>
      <c r="E68" s="29">
        <f t="shared" si="6"/>
        <v>-72775.98000000001</v>
      </c>
      <c r="F68" s="30">
        <f t="shared" si="7"/>
        <v>-0.81394219751703722</v>
      </c>
      <c r="G68" s="31">
        <f>SUM(Jul!G68,Aug!G68,Sep!G68)</f>
        <v>92935.95</v>
      </c>
      <c r="H68" s="31">
        <f>SUM(Jul!H68, Aug!H68, Sep!H68)</f>
        <v>-76300.2</v>
      </c>
      <c r="I68" s="32">
        <f t="shared" si="8"/>
        <v>-0.82099768711677235</v>
      </c>
    </row>
    <row r="69" spans="1:9" ht="15.6">
      <c r="A69" s="48" t="str">
        <v>CA: Stockton - SUSD - Warehouse</v>
      </c>
      <c r="B69" s="34" t="str">
        <v>CA</v>
      </c>
      <c r="C69" s="35">
        <f>SUM(Jul!C69, Aug!C69, Sep!C69)</f>
        <v>38778.25</v>
      </c>
      <c r="D69" s="36">
        <f>SUM(Jul!D69, Aug!D69, Sep!D69)</f>
        <v>77935.16</v>
      </c>
      <c r="E69" s="36">
        <f t="shared" si="6"/>
        <v>-39156.910000000003</v>
      </c>
      <c r="F69" s="71">
        <f t="shared" si="7"/>
        <v>-0.50242932714836286</v>
      </c>
      <c r="G69" s="72">
        <f>SUM(Jul!G69,Aug!G69,Sep!G69)</f>
        <v>87755.64</v>
      </c>
      <c r="H69" s="72">
        <f>SUM(Jul!H69, Aug!H69, Sep!H69)</f>
        <v>-48977.39</v>
      </c>
      <c r="I69" s="71">
        <f t="shared" si="8"/>
        <v>-0.55811102283568326</v>
      </c>
    </row>
    <row r="70" spans="1:9" ht="15.6">
      <c r="A70" s="47" t="str">
        <v>CA: Stockton - SUSD - Walton Special Center</v>
      </c>
      <c r="B70" s="27" t="str">
        <v>CA</v>
      </c>
      <c r="C70" s="28">
        <f>SUM(Jul!C70, Aug!C70, Sep!C70)</f>
        <v>28422.25</v>
      </c>
      <c r="D70" s="29">
        <f>SUM(Jul!D70, Aug!D70, Sep!D70)</f>
        <v>61796.72</v>
      </c>
      <c r="E70" s="29">
        <f t="shared" si="6"/>
        <v>-33374.47</v>
      </c>
      <c r="F70" s="30">
        <f t="shared" si="7"/>
        <v>-0.54006863147429185</v>
      </c>
      <c r="G70" s="31">
        <f>SUM(Jul!G70,Aug!G70,Sep!G70)</f>
        <v>64154.619999999995</v>
      </c>
      <c r="H70" s="31">
        <f>SUM(Jul!H70, Aug!H70, Sep!H70)</f>
        <v>-35732.369999999995</v>
      </c>
      <c r="I70" s="32">
        <f t="shared" si="8"/>
        <v>-0.55697267008985474</v>
      </c>
    </row>
    <row r="71" spans="1:9" ht="15.6">
      <c r="A71" s="48" t="str">
        <v>CA: Stockton - SUSD - Stagg HS</v>
      </c>
      <c r="B71" s="34" t="str">
        <v>CA</v>
      </c>
      <c r="C71" s="35">
        <f>SUM(Jul!C71, Aug!C71, Sep!C71)</f>
        <v>160339</v>
      </c>
      <c r="D71" s="36">
        <f>SUM(Jul!D71, Aug!D71, Sep!D71)</f>
        <v>239836.6</v>
      </c>
      <c r="E71" s="36">
        <f t="shared" si="6"/>
        <v>-79497.600000000006</v>
      </c>
      <c r="F71" s="71">
        <f t="shared" si="7"/>
        <v>-0.33146567287895179</v>
      </c>
      <c r="G71" s="72">
        <f>SUM(Jul!G71,Aug!G71,Sep!G71)</f>
        <v>243344.59999999998</v>
      </c>
      <c r="H71" s="72">
        <f>SUM(Jul!H71, Aug!H71, Sep!H71)</f>
        <v>-83005.599999999991</v>
      </c>
      <c r="I71" s="71">
        <f t="shared" si="8"/>
        <v>-0.34110311056830517</v>
      </c>
    </row>
    <row r="72" spans="1:9" ht="15.6">
      <c r="A72" s="47" t="str">
        <v>CA: Stockton - SUSD - School for Adults</v>
      </c>
      <c r="B72" s="27" t="str">
        <v>CA</v>
      </c>
      <c r="C72" s="28">
        <f>SUM(Jul!C72, Aug!C72, Sep!C72)</f>
        <v>18919.25</v>
      </c>
      <c r="D72" s="29">
        <f>SUM(Jul!D72, Aug!D72, Sep!D72)</f>
        <v>52078.22</v>
      </c>
      <c r="E72" s="29">
        <f t="shared" si="6"/>
        <v>-33158.97</v>
      </c>
      <c r="F72" s="30">
        <f t="shared" si="7"/>
        <v>-0.63671473410573554</v>
      </c>
      <c r="G72" s="31">
        <f>SUM(Jul!G72,Aug!G72,Sep!G72)</f>
        <v>52617.69</v>
      </c>
      <c r="H72" s="31">
        <f>SUM(Jul!H72, Aug!H72, Sep!H72)</f>
        <v>-33698.44</v>
      </c>
      <c r="I72" s="32">
        <f t="shared" si="8"/>
        <v>-0.64043936554417347</v>
      </c>
    </row>
    <row r="73" spans="1:9" ht="15.6">
      <c r="A73" s="48" t="str">
        <v>CA: Stockton - SUSD - San Joaquin</v>
      </c>
      <c r="B73" s="34" t="str">
        <v>CA</v>
      </c>
      <c r="C73" s="35">
        <f>SUM(Jul!C73, Aug!C73, Sep!C73)</f>
        <v>24525.625</v>
      </c>
      <c r="D73" s="36">
        <f>SUM(Jul!D73, Aug!D73, Sep!D73)</f>
        <v>46987.22</v>
      </c>
      <c r="E73" s="36">
        <f t="shared" si="6"/>
        <v>-22461.595000000001</v>
      </c>
      <c r="F73" s="71">
        <f t="shared" si="7"/>
        <v>-0.47803626177501035</v>
      </c>
      <c r="G73" s="72">
        <f>SUM(Jul!G73,Aug!G73,Sep!G73)</f>
        <v>50026.29</v>
      </c>
      <c r="H73" s="72">
        <f>SUM(Jul!H73, Aug!H73, Sep!H73)</f>
        <v>-25500.665000000001</v>
      </c>
      <c r="I73" s="71">
        <f t="shared" si="8"/>
        <v>-0.50974527593391394</v>
      </c>
    </row>
    <row r="74" spans="1:9" ht="15.6">
      <c r="A74" s="47" t="str">
        <v>CA: Stockton - SUSD - Rio Calaveras</v>
      </c>
      <c r="B74" s="27" t="str">
        <v>CA</v>
      </c>
      <c r="C74" s="28">
        <f>SUM(Jul!C74, Aug!C74, Sep!C74)</f>
        <v>12069.375</v>
      </c>
      <c r="D74" s="29">
        <f>SUM(Jul!D74, Aug!D74, Sep!D74)</f>
        <v>51182.239999999998</v>
      </c>
      <c r="E74" s="29">
        <f t="shared" si="6"/>
        <v>-39112.864999999998</v>
      </c>
      <c r="F74" s="30">
        <f t="shared" si="7"/>
        <v>-0.76418822232086758</v>
      </c>
      <c r="G74" s="31">
        <f>SUM(Jul!G74,Aug!G74,Sep!G74)</f>
        <v>0</v>
      </c>
      <c r="H74" s="31">
        <f>SUM(Jul!H74, Aug!H74, Sep!H74)</f>
        <v>12069.375</v>
      </c>
      <c r="I74" s="32" t="str">
        <f t="shared" si="8"/>
        <v/>
      </c>
    </row>
    <row r="75" spans="1:9" ht="15.6">
      <c r="A75" s="48" t="str">
        <v>CA: Stockton - SUSD - Peyton</v>
      </c>
      <c r="B75" s="34" t="str">
        <v>CA</v>
      </c>
      <c r="C75" s="35">
        <f>SUM(Jul!C75, Aug!C75, Sep!C75)</f>
        <v>87735</v>
      </c>
      <c r="D75" s="36">
        <f>SUM(Jul!D75, Aug!D75, Sep!D75)</f>
        <v>108215.48999999999</v>
      </c>
      <c r="E75" s="36">
        <f t="shared" si="6"/>
        <v>-20480.489999999991</v>
      </c>
      <c r="F75" s="71">
        <f t="shared" si="7"/>
        <v>-0.18925654728357275</v>
      </c>
      <c r="G75" s="72">
        <f>SUM(Jul!G75,Aug!G75,Sep!G75)</f>
        <v>108100.14</v>
      </c>
      <c r="H75" s="72">
        <f>SUM(Jul!H75, Aug!H75, Sep!H75)</f>
        <v>-20365.14</v>
      </c>
      <c r="I75" s="71">
        <f t="shared" si="8"/>
        <v>-0.18839143039037692</v>
      </c>
    </row>
    <row r="76" spans="1:9" ht="15.6">
      <c r="A76" s="47" t="str">
        <v>TX: Barnhart - 42917 Ranch RD 2469</v>
      </c>
      <c r="B76" s="27" t="str">
        <v>TX</v>
      </c>
      <c r="C76" s="28">
        <f>SUM(Jul!C76, Aug!C76, Sep!C76)</f>
        <v>491040</v>
      </c>
      <c r="D76" s="29">
        <f>SUM(Jul!D76, Aug!D76, Sep!D76)</f>
        <v>556014.4</v>
      </c>
      <c r="E76" s="29">
        <f t="shared" si="6"/>
        <v>-64974.400000000023</v>
      </c>
      <c r="F76" s="30">
        <f t="shared" si="7"/>
        <v>-0.11685740513195346</v>
      </c>
      <c r="G76" s="31">
        <f>SUM(Jul!G76,Aug!G76,Sep!G76)</f>
        <v>547750</v>
      </c>
      <c r="H76" s="31">
        <f>SUM(Jul!H76, Aug!H76, Sep!H76)</f>
        <v>-56710</v>
      </c>
      <c r="I76" s="32">
        <f t="shared" si="8"/>
        <v>-0.10353263350068462</v>
      </c>
    </row>
    <row r="77" spans="1:9" ht="15.6">
      <c r="A77" s="48" t="str">
        <v>AZ: San Manuel - Senior &amp; Junior HS</v>
      </c>
      <c r="B77" s="34" t="str">
        <v>AZ</v>
      </c>
      <c r="C77" s="35">
        <f>SUM(Jul!C77, Aug!C77, Sep!C77)</f>
        <v>69319</v>
      </c>
      <c r="D77" s="36">
        <f>SUM(Jul!D77, Aug!D77, Sep!D77)</f>
        <v>0</v>
      </c>
      <c r="E77" s="36">
        <f t="shared" si="6"/>
        <v>69319</v>
      </c>
      <c r="F77" s="71" t="str">
        <f t="shared" si="7"/>
        <v/>
      </c>
      <c r="G77" s="72">
        <f>SUM(Jul!G77,Aug!G77,Sep!G77)</f>
        <v>96665</v>
      </c>
      <c r="H77" s="72">
        <f>SUM(Jul!H77, Aug!H77, Sep!H77)</f>
        <v>-27346</v>
      </c>
      <c r="I77" s="71">
        <f t="shared" si="8"/>
        <v>-0.28289453266435627</v>
      </c>
    </row>
    <row r="78" spans="1:9" ht="15.6">
      <c r="A78" s="47" t="str">
        <v>AZ: Sierra Vista - Colonel Smith MS</v>
      </c>
      <c r="B78" s="27" t="str">
        <v>AZ</v>
      </c>
      <c r="C78" s="28">
        <f>SUM(Jul!C78, Aug!C78, Sep!C78)</f>
        <v>81170</v>
      </c>
      <c r="D78" s="29">
        <f>SUM(Jul!D78, Aug!D78, Sep!D78)</f>
        <v>132407.10999999999</v>
      </c>
      <c r="E78" s="29">
        <f t="shared" si="6"/>
        <v>-51237.109999999986</v>
      </c>
      <c r="F78" s="30">
        <f t="shared" si="7"/>
        <v>-0.38696645520017764</v>
      </c>
      <c r="G78" s="31">
        <f>SUM(Jul!G78,Aug!G78,Sep!G78)</f>
        <v>114988.34</v>
      </c>
      <c r="H78" s="31">
        <f>SUM(Jul!H78, Aug!H78, Sep!H78)</f>
        <v>-33818.340000000004</v>
      </c>
      <c r="I78" s="32">
        <f t="shared" si="8"/>
        <v>-0.29410234115911232</v>
      </c>
    </row>
    <row r="79" spans="1:9" ht="15.6">
      <c r="A79" s="48" t="str">
        <v>AZ: Sierra Vista - Colonel Johnston ES</v>
      </c>
      <c r="B79" s="34" t="str">
        <v>AZ</v>
      </c>
      <c r="C79" s="35">
        <f>SUM(Jul!C79, Aug!C79, Sep!C79)</f>
        <v>26280</v>
      </c>
      <c r="D79" s="36">
        <f>SUM(Jul!D79, Aug!D79, Sep!D79)</f>
        <v>44165.229999999996</v>
      </c>
      <c r="E79" s="36">
        <f t="shared" si="6"/>
        <v>-17885.229999999996</v>
      </c>
      <c r="F79" s="71">
        <f t="shared" si="7"/>
        <v>-0.4049617764925032</v>
      </c>
      <c r="G79" s="72">
        <f>SUM(Jul!G79,Aug!G79,Sep!G79)</f>
        <v>37746.759999999995</v>
      </c>
      <c r="H79" s="72">
        <f>SUM(Jul!H79, Aug!H79, Sep!H79)</f>
        <v>-11466.759999999998</v>
      </c>
      <c r="I79" s="71">
        <f t="shared" si="8"/>
        <v>-0.30378130467356668</v>
      </c>
    </row>
    <row r="80" spans="1:9" ht="15.6">
      <c r="A80" s="47" t="str">
        <v>NH: Dover - Dover HS</v>
      </c>
      <c r="B80" s="27" t="str">
        <v>NH</v>
      </c>
      <c r="C80" s="28">
        <f>SUM(Jul!C80, Aug!C80, Sep!C80)</f>
        <v>200629.5</v>
      </c>
      <c r="D80" s="29">
        <f>SUM(Jul!D80, Aug!D80, Sep!D80)</f>
        <v>299025.90000000002</v>
      </c>
      <c r="E80" s="29">
        <f t="shared" si="6"/>
        <v>-98396.400000000023</v>
      </c>
      <c r="F80" s="30">
        <f t="shared" si="7"/>
        <v>-0.32905644628107472</v>
      </c>
      <c r="G80" s="31">
        <f>SUM(Jul!G80,Aug!G80,Sep!G80)</f>
        <v>264576.40000000002</v>
      </c>
      <c r="H80" s="31">
        <f>SUM(Jul!H80, Aug!H80, Sep!H80)</f>
        <v>-63946.900000000009</v>
      </c>
      <c r="I80" s="32">
        <f t="shared" si="8"/>
        <v>-0.24169540442760579</v>
      </c>
    </row>
    <row r="81" spans="1:9" ht="15.6">
      <c r="A81" s="48" t="str">
        <v>MA: Somerville - 30 Inner Belt Rd</v>
      </c>
      <c r="B81" s="34" t="str">
        <v>MA</v>
      </c>
      <c r="C81" s="35">
        <f>SUM(Jul!C81, Aug!C81, Sep!C81)</f>
        <v>213164</v>
      </c>
      <c r="D81" s="36">
        <f>SUM(Jul!D81, Aug!D81, Sep!D81)</f>
        <v>206360.4</v>
      </c>
      <c r="E81" s="36">
        <f t="shared" si="6"/>
        <v>6803.6000000000058</v>
      </c>
      <c r="F81" s="71">
        <f t="shared" si="7"/>
        <v>3.2969503838914858E-2</v>
      </c>
      <c r="G81" s="72">
        <f>SUM(Jul!G81,Aug!G81,Sep!G81)</f>
        <v>376996.69999999995</v>
      </c>
      <c r="H81" s="72">
        <f>SUM(Jul!H81, Aug!H81, Sep!H81)</f>
        <v>-163832.69999999998</v>
      </c>
      <c r="I81" s="71">
        <f t="shared" si="8"/>
        <v>-0.43457329997848787</v>
      </c>
    </row>
    <row r="82" spans="1:9" ht="15.6">
      <c r="A82" s="47" t="str">
        <v>MA: Boxborough - 1414 Massachusetts Ave</v>
      </c>
      <c r="B82" s="27" t="str">
        <v>MA</v>
      </c>
      <c r="C82" s="28">
        <f>SUM(Jul!C82, Aug!C82, Sep!C82)</f>
        <v>1459190.845062362</v>
      </c>
      <c r="D82" s="29">
        <f>SUM(Jul!D82, Aug!D82, Sep!D82)</f>
        <v>354506.5</v>
      </c>
      <c r="E82" s="29">
        <f t="shared" si="6"/>
        <v>1104684.345062362</v>
      </c>
      <c r="F82" s="30">
        <f t="shared" si="7"/>
        <v>3.1161187314262562</v>
      </c>
      <c r="G82" s="31">
        <f>SUM(Jul!G82,Aug!G82,Sep!G82)</f>
        <v>1479700</v>
      </c>
      <c r="H82" s="31">
        <f>SUM(Jul!H82, Aug!H82, Sep!H82)</f>
        <v>-20509.154937638086</v>
      </c>
      <c r="I82" s="32">
        <f t="shared" si="8"/>
        <v>-1.3860346649752034E-2</v>
      </c>
    </row>
    <row r="83" spans="1:9" ht="15.6">
      <c r="A83" s="48" t="str">
        <v>NY: Amsterdam - 153 NY Route 67</v>
      </c>
      <c r="B83" s="34" t="str">
        <v>NY</v>
      </c>
      <c r="C83" s="35">
        <f>SUM(Jul!C83, Aug!C83, Sep!C83)</f>
        <v>807456</v>
      </c>
      <c r="D83" s="36">
        <f>SUM(Jul!D83, Aug!D83, Sep!D83)</f>
        <v>624174.10000000009</v>
      </c>
      <c r="E83" s="36">
        <f t="shared" si="6"/>
        <v>183281.89999999991</v>
      </c>
      <c r="F83" s="71">
        <f t="shared" si="7"/>
        <v>0.29363906640791387</v>
      </c>
      <c r="G83" s="72">
        <f>SUM(Jul!G83,Aug!G83,Sep!G83)</f>
        <v>775640.8</v>
      </c>
      <c r="H83" s="72">
        <f>SUM(Jul!H83, Aug!H83, Sep!H83)</f>
        <v>31815.200000000012</v>
      </c>
      <c r="I83" s="71">
        <f t="shared" si="8"/>
        <v>4.1017955734149118E-2</v>
      </c>
    </row>
    <row r="84" spans="1:9" ht="15.6">
      <c r="A84" s="47" t="str">
        <v>CA: San Jose - GE Mobile Water</v>
      </c>
      <c r="B84" s="27" t="str">
        <v>CA</v>
      </c>
      <c r="C84" s="28">
        <f>SUM(Jul!C84, Aug!C84, Sep!C84)</f>
        <v>57420</v>
      </c>
      <c r="D84" s="29">
        <f>SUM(Jul!D84, Aug!D84, Sep!D84)</f>
        <v>65611.955000000002</v>
      </c>
      <c r="E84" s="29">
        <f t="shared" si="6"/>
        <v>-8191.9550000000017</v>
      </c>
      <c r="F84" s="30">
        <f t="shared" si="7"/>
        <v>-0.12485460919431529</v>
      </c>
      <c r="G84" s="31">
        <f>SUM(Jul!G84,Aug!G84,Sep!G84)</f>
        <v>66502.432000000001</v>
      </c>
      <c r="H84" s="31">
        <f>SUM(Jul!H84, Aug!H84, Sep!H84)</f>
        <v>-9082.4320000000007</v>
      </c>
      <c r="I84" s="32">
        <f t="shared" si="8"/>
        <v>-0.13657293014487051</v>
      </c>
    </row>
    <row r="85" spans="1:9" ht="15.6">
      <c r="A85" s="48" t="str">
        <v>NY: Rome - 7776 Tannery RD</v>
      </c>
      <c r="B85" s="34" t="str">
        <v>NY</v>
      </c>
      <c r="C85" s="35">
        <f>SUM(Jul!C85, Aug!C85, Sep!C85)</f>
        <v>738517.45442715997</v>
      </c>
      <c r="D85" s="36">
        <f>SUM(Jul!D85, Aug!D85, Sep!D85)</f>
        <v>821817.8</v>
      </c>
      <c r="E85" s="36">
        <f t="shared" si="6"/>
        <v>-83300.345572840073</v>
      </c>
      <c r="F85" s="71">
        <f t="shared" si="7"/>
        <v>-0.10136108705949186</v>
      </c>
      <c r="G85" s="72">
        <f>SUM(Jul!G85,Aug!G85,Sep!G85)</f>
        <v>823779.1</v>
      </c>
      <c r="H85" s="72">
        <f>SUM(Jul!H85, Aug!H85, Sep!H85)</f>
        <v>-85261.645572840003</v>
      </c>
      <c r="I85" s="71">
        <f t="shared" si="8"/>
        <v>-0.10350061754764112</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row r="321" spans="1:9" ht="13.9">
      <c r="A321" s="8"/>
      <c r="B321" s="8"/>
      <c r="C321" s="8"/>
      <c r="D321" s="8"/>
      <c r="E321" s="8"/>
      <c r="F321" s="9"/>
      <c r="G321" s="8"/>
      <c r="H321" s="8"/>
      <c r="I321" s="9"/>
    </row>
  </sheetData>
  <mergeCells count="4">
    <mergeCell ref="G1:I1"/>
    <mergeCell ref="A1:C1"/>
    <mergeCell ref="D1:F1"/>
    <mergeCell ref="A2:B2"/>
  </mergeCells>
  <conditionalFormatting sqref="F2 I2 F4:F85 I4:I85">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0"/>
  <sheetViews>
    <sheetView workbookViewId="0">
      <pane xSplit="2" ySplit="3" topLeftCell="C58" activePane="bottomRight" state="frozen"/>
      <selection pane="bottomRight" activeCell="L15" sqref="L15"/>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106" t="str" cm="1">
        <f t="array" ref="A1">portfolio</f>
        <v>Clean Capital</v>
      </c>
      <c r="B1" s="106"/>
      <c r="C1" s="106"/>
      <c r="D1" s="107" t="s">
        <v>16</v>
      </c>
      <c r="E1" s="107"/>
      <c r="F1" s="107"/>
      <c r="G1" s="105" t="s">
        <v>17</v>
      </c>
      <c r="H1" s="105"/>
      <c r="I1" s="105"/>
    </row>
    <row r="2" spans="1:9" ht="19.5" customHeight="1">
      <c r="A2" s="108" t="s">
        <v>2</v>
      </c>
      <c r="B2" s="108"/>
      <c r="C2" s="5">
        <f>SUM(C4:C78)</f>
        <v>0</v>
      </c>
      <c r="D2" s="5">
        <f>SUM(D4:D78)</f>
        <v>0</v>
      </c>
      <c r="E2" s="5">
        <f>C2-D2</f>
        <v>0</v>
      </c>
      <c r="F2" s="6">
        <f>IFERROR(E2/D2, 0)</f>
        <v>0</v>
      </c>
      <c r="G2" s="5">
        <f>SUM(G4:G78)</f>
        <v>0</v>
      </c>
      <c r="H2" s="7">
        <f>C2-G2</f>
        <v>0</v>
      </c>
      <c r="I2" s="6">
        <f>IFERROR(H2/G2, 0)</f>
        <v>0</v>
      </c>
    </row>
    <row r="3" spans="1:9" ht="14.25" customHeight="1">
      <c r="A3" s="12" t="s">
        <v>3</v>
      </c>
      <c r="B3" s="12" t="s">
        <v>4</v>
      </c>
      <c r="C3" s="19" t="s">
        <v>5</v>
      </c>
      <c r="D3" s="20" t="s">
        <v>6</v>
      </c>
      <c r="E3" s="20" t="s">
        <v>7</v>
      </c>
      <c r="F3" s="21" t="s">
        <v>8</v>
      </c>
      <c r="G3" s="22" t="s">
        <v>9</v>
      </c>
      <c r="H3" s="23" t="s">
        <v>7</v>
      </c>
      <c r="I3" s="24" t="s">
        <v>8</v>
      </c>
    </row>
    <row r="4" spans="1:9" ht="15.6">
      <c r="A4" s="47" t="str" cm="1">
        <f t="array" ref="A4:A85">Sites[Site]</f>
        <v>Lexington - Cotting School</v>
      </c>
      <c r="B4" s="27" t="str" cm="1">
        <f t="array" ref="B4:B85">Sites[State]</f>
        <v>MA</v>
      </c>
      <c r="C4" s="28">
        <f>SUM(Oct!C4, Nov!C4, Dec!C4)</f>
        <v>0</v>
      </c>
      <c r="D4" s="29">
        <f>SUM(Oct!D4, Nov!D4, Dec!D4)</f>
        <v>0</v>
      </c>
      <c r="E4" s="29">
        <f>IF(AND(ISNUMBER(C4),ISNUMBER(D4)), C4-D4, "")</f>
        <v>0</v>
      </c>
      <c r="F4" s="30" t="str">
        <f>IFERROR(E4/D4, "")</f>
        <v/>
      </c>
      <c r="G4" s="31">
        <f>SUM(Oct!G4,Nov!G4,Dec!G4)</f>
        <v>0</v>
      </c>
      <c r="H4" s="31">
        <f>SUM(Oct!H4, Nov!H4, Dec!H4)</f>
        <v>0</v>
      </c>
      <c r="I4" s="32" t="str">
        <f>IFERROR(H4/G4, "")</f>
        <v/>
      </c>
    </row>
    <row r="5" spans="1:9" ht="15.6">
      <c r="A5" s="48" t="str">
        <v>Pacoima - Whiteman Airport</v>
      </c>
      <c r="B5" s="34" t="str">
        <v>CA</v>
      </c>
      <c r="C5" s="35">
        <f>SUM(Oct!C5, Nov!C5, Dec!C5)</f>
        <v>0</v>
      </c>
      <c r="D5" s="36">
        <f>SUM(Oct!D5, Nov!D5, Dec!D5)</f>
        <v>0</v>
      </c>
      <c r="E5" s="36">
        <f t="shared" ref="E5:E7" si="0">IF(AND(ISNUMBER(C5),ISNUMBER(D5)), C5-D5, "")</f>
        <v>0</v>
      </c>
      <c r="F5" s="37" t="str">
        <f>IFERROR(E5/D5, "")</f>
        <v/>
      </c>
      <c r="G5" s="36">
        <f>SUM(Oct!G5,Nov!G5,Dec!G5)</f>
        <v>0</v>
      </c>
      <c r="H5" s="38">
        <f>SUM(Oct!H5, Nov!H5, Dec!H5)</f>
        <v>0</v>
      </c>
      <c r="I5" s="37" t="str">
        <f>IFERROR(H5/G5, "")</f>
        <v/>
      </c>
    </row>
    <row r="6" spans="1:9" ht="15.6">
      <c r="A6" s="47" t="str">
        <v>Hyannis - Sturgis Charter School</v>
      </c>
      <c r="B6" s="27" t="str">
        <v>MA</v>
      </c>
      <c r="C6" s="28">
        <f>SUM(Oct!C6, Nov!C6, Dec!C6)</f>
        <v>0</v>
      </c>
      <c r="D6" s="29">
        <f>SUM(Oct!D6, Nov!D6, Dec!D6)</f>
        <v>0</v>
      </c>
      <c r="E6" s="29">
        <f t="shared" si="0"/>
        <v>0</v>
      </c>
      <c r="F6" s="30" t="str">
        <f t="shared" ref="F6:F7" si="1">IFERROR(E6/D6, "")</f>
        <v/>
      </c>
      <c r="G6" s="31">
        <f>SUM(Oct!G6,Nov!G6,Dec!G6)</f>
        <v>0</v>
      </c>
      <c r="H6" s="31">
        <f>SUM(Oct!H6, Nov!H6, Dec!H6)</f>
        <v>0</v>
      </c>
      <c r="I6" s="32" t="str">
        <f t="shared" ref="I6:I7" si="2">IFERROR(H6/G6, "")</f>
        <v/>
      </c>
    </row>
    <row r="7" spans="1:9" ht="15.6">
      <c r="A7" s="48" t="str">
        <v>South Dennis - Tony Kent Arena</v>
      </c>
      <c r="B7" s="34" t="str">
        <v>MA</v>
      </c>
      <c r="C7" s="35">
        <f>SUM(Oct!C7, Nov!C7, Dec!C7)</f>
        <v>0</v>
      </c>
      <c r="D7" s="36">
        <f>SUM(Oct!D7, Nov!D7, Dec!D7)</f>
        <v>0</v>
      </c>
      <c r="E7" s="36">
        <f t="shared" si="0"/>
        <v>0</v>
      </c>
      <c r="F7" s="37" t="str">
        <f t="shared" si="1"/>
        <v/>
      </c>
      <c r="G7" s="36">
        <f>SUM(Oct!G7,Nov!G7,Dec!G7)</f>
        <v>0</v>
      </c>
      <c r="H7" s="38">
        <f>SUM(Oct!H7, Nov!H7, Dec!H7)</f>
        <v>0</v>
      </c>
      <c r="I7" s="37" t="str">
        <f t="shared" si="2"/>
        <v/>
      </c>
    </row>
    <row r="8" spans="1:9" ht="15.6">
      <c r="A8" s="47" t="str">
        <v xml:space="preserve"> Caropolis - Felician Sisters</v>
      </c>
      <c r="B8" s="27" t="str">
        <v>PA</v>
      </c>
      <c r="C8" s="28">
        <f>SUM(Oct!C8, Nov!C8, Dec!C8)</f>
        <v>0</v>
      </c>
      <c r="D8" s="29">
        <f>SUM(Oct!D8, Nov!D8, Dec!D8)</f>
        <v>0</v>
      </c>
      <c r="E8" s="29">
        <f t="shared" ref="E8:E24" si="3">IF(AND(ISNUMBER(C8),ISNUMBER(D8)), C8-D8, "")</f>
        <v>0</v>
      </c>
      <c r="F8" s="30" t="str">
        <f t="shared" ref="F8:F24" si="4">IFERROR(E8/D8, "")</f>
        <v/>
      </c>
      <c r="G8" s="31">
        <f>SUM(Oct!G8,Nov!G8,Dec!G8)</f>
        <v>0</v>
      </c>
      <c r="H8" s="31">
        <f>SUM(Oct!H8, Nov!H8, Dec!H8)</f>
        <v>0</v>
      </c>
      <c r="I8" s="32" t="str">
        <f t="shared" ref="I8:I24" si="5">IFERROR(H8/G8, "")</f>
        <v/>
      </c>
    </row>
    <row r="9" spans="1:9" ht="15.6">
      <c r="A9" s="48" t="str">
        <v>Clear Lake - Eastlake Gohman</v>
      </c>
      <c r="B9" s="34" t="str">
        <v>MN</v>
      </c>
      <c r="C9" s="35">
        <f>SUM(Oct!C9, Nov!C9, Dec!C9)</f>
        <v>0</v>
      </c>
      <c r="D9" s="36">
        <f>SUM(Oct!D9, Nov!D9, Dec!D9)</f>
        <v>0</v>
      </c>
      <c r="E9" s="36">
        <f t="shared" si="3"/>
        <v>0</v>
      </c>
      <c r="F9" s="71" t="str">
        <f t="shared" si="4"/>
        <v/>
      </c>
      <c r="G9" s="36">
        <f>SUM(Oct!G9,Nov!G9,Dec!G9)</f>
        <v>0</v>
      </c>
      <c r="H9" s="72">
        <f>SUM(Oct!H9, Nov!H9, Dec!H9)</f>
        <v>0</v>
      </c>
      <c r="I9" s="71" t="str">
        <f t="shared" si="5"/>
        <v/>
      </c>
    </row>
    <row r="10" spans="1:9" ht="15.6">
      <c r="A10" s="47" t="str">
        <v>Zumbrota - Eastlake Brenda Luhman</v>
      </c>
      <c r="B10" s="27" t="str">
        <v>MN</v>
      </c>
      <c r="C10" s="28">
        <f>SUM(Oct!C10, Nov!C10, Dec!C10)</f>
        <v>0</v>
      </c>
      <c r="D10" s="29">
        <f>SUM(Oct!D10, Nov!D10, Dec!D10)</f>
        <v>0</v>
      </c>
      <c r="E10" s="29">
        <f t="shared" si="3"/>
        <v>0</v>
      </c>
      <c r="F10" s="30" t="str">
        <f t="shared" si="4"/>
        <v/>
      </c>
      <c r="G10" s="31">
        <f>SUM(Oct!G10,Nov!G10,Dec!G10)</f>
        <v>0</v>
      </c>
      <c r="H10" s="31">
        <f>SUM(Oct!H10, Nov!H10, Dec!H10)</f>
        <v>0</v>
      </c>
      <c r="I10" s="32" t="str">
        <f t="shared" si="5"/>
        <v/>
      </c>
    </row>
    <row r="11" spans="1:9" ht="15.6">
      <c r="A11" s="48" t="str">
        <v>Cokato - Eastlake Carlson</v>
      </c>
      <c r="B11" s="34" t="str">
        <v>MN</v>
      </c>
      <c r="C11" s="35">
        <f>SUM(Oct!C11, Nov!C11, Dec!C11)</f>
        <v>0</v>
      </c>
      <c r="D11" s="36">
        <f>SUM(Oct!D11, Nov!D11, Dec!D11)</f>
        <v>0</v>
      </c>
      <c r="E11" s="36">
        <f t="shared" si="3"/>
        <v>0</v>
      </c>
      <c r="F11" s="71" t="str">
        <f t="shared" si="4"/>
        <v/>
      </c>
      <c r="G11" s="36">
        <f>SUM(Oct!G11,Nov!G11,Dec!G11)</f>
        <v>0</v>
      </c>
      <c r="H11" s="72">
        <f>SUM(Oct!H11, Nov!H11, Dec!H11)</f>
        <v>0</v>
      </c>
      <c r="I11" s="71" t="str">
        <f t="shared" si="5"/>
        <v/>
      </c>
    </row>
    <row r="12" spans="1:9" ht="15.6">
      <c r="A12" s="47" t="str">
        <v>North Branch - Cornille 2</v>
      </c>
      <c r="B12" s="27" t="str">
        <v>MN</v>
      </c>
      <c r="C12" s="28">
        <f>SUM(Oct!C12, Nov!C12, Dec!C12)</f>
        <v>0</v>
      </c>
      <c r="D12" s="29">
        <f>SUM(Oct!D12, Nov!D12, Dec!D12)</f>
        <v>0</v>
      </c>
      <c r="E12" s="29">
        <f t="shared" si="3"/>
        <v>0</v>
      </c>
      <c r="F12" s="30" t="str">
        <f t="shared" si="4"/>
        <v/>
      </c>
      <c r="G12" s="31">
        <f>SUM(Oct!G12,Nov!G12,Dec!G12)</f>
        <v>0</v>
      </c>
      <c r="H12" s="31">
        <f>SUM(Oct!H12, Nov!H12, Dec!H12)</f>
        <v>0</v>
      </c>
      <c r="I12" s="32" t="str">
        <f t="shared" si="5"/>
        <v/>
      </c>
    </row>
    <row r="13" spans="1:9" ht="15.6">
      <c r="A13" s="48" t="str">
        <v>Clear Lake - Eastlake Hammer</v>
      </c>
      <c r="B13" s="34" t="str">
        <v>MN</v>
      </c>
      <c r="C13" s="35">
        <f>SUM(Oct!C13, Nov!C13, Dec!C13)</f>
        <v>0</v>
      </c>
      <c r="D13" s="36">
        <f>SUM(Oct!D13, Nov!D13, Dec!D13)</f>
        <v>0</v>
      </c>
      <c r="E13" s="36">
        <f t="shared" si="3"/>
        <v>0</v>
      </c>
      <c r="F13" s="71" t="str">
        <f t="shared" si="4"/>
        <v/>
      </c>
      <c r="G13" s="36">
        <f>SUM(Oct!G13,Nov!G13,Dec!G13)</f>
        <v>0</v>
      </c>
      <c r="H13" s="72">
        <f>SUM(Oct!H13, Nov!H13, Dec!H13)</f>
        <v>0</v>
      </c>
      <c r="I13" s="71" t="str">
        <f t="shared" si="5"/>
        <v/>
      </c>
    </row>
    <row r="14" spans="1:9" ht="15.6">
      <c r="A14" s="47" t="str">
        <v>Eastlake - Hertzberg CSG 1</v>
      </c>
      <c r="B14" s="27" t="str">
        <v>MN</v>
      </c>
      <c r="C14" s="28">
        <f>SUM(Oct!C14, Nov!C14, Dec!C14)</f>
        <v>0</v>
      </c>
      <c r="D14" s="29">
        <f>SUM(Oct!D14, Nov!D14, Dec!D14)</f>
        <v>0</v>
      </c>
      <c r="E14" s="29">
        <f t="shared" si="3"/>
        <v>0</v>
      </c>
      <c r="F14" s="30" t="str">
        <f t="shared" si="4"/>
        <v/>
      </c>
      <c r="G14" s="31">
        <f>SUM(Oct!G14,Nov!G14,Dec!G14)</f>
        <v>0</v>
      </c>
      <c r="H14" s="31">
        <f>SUM(Oct!H14, Nov!H14, Dec!H14)</f>
        <v>0</v>
      </c>
      <c r="I14" s="32" t="str">
        <f t="shared" si="5"/>
        <v/>
      </c>
    </row>
    <row r="15" spans="1:9" ht="15.6">
      <c r="A15" s="48" t="str">
        <v>Cokato - Eastlake Laurel Village</v>
      </c>
      <c r="B15" s="34" t="str">
        <v>MN</v>
      </c>
      <c r="C15" s="35">
        <f>SUM(Oct!C15, Nov!C15, Dec!C15)</f>
        <v>0</v>
      </c>
      <c r="D15" s="36">
        <f>SUM(Oct!D15, Nov!D15, Dec!D15)</f>
        <v>0</v>
      </c>
      <c r="E15" s="36">
        <f t="shared" si="3"/>
        <v>0</v>
      </c>
      <c r="F15" s="71" t="str">
        <f t="shared" si="4"/>
        <v/>
      </c>
      <c r="G15" s="36">
        <f>SUM(Oct!G15,Nov!G15,Dec!G15)</f>
        <v>0</v>
      </c>
      <c r="H15" s="72">
        <f>SUM(Oct!H15, Nov!H15, Dec!H15)</f>
        <v>0</v>
      </c>
      <c r="I15" s="71" t="str">
        <f t="shared" si="5"/>
        <v/>
      </c>
    </row>
    <row r="16" spans="1:9" ht="15.6">
      <c r="A16" s="47" t="str">
        <v>St. Peter - Eastlake Paulson</v>
      </c>
      <c r="B16" s="27" t="str">
        <v>MN</v>
      </c>
      <c r="C16" s="28">
        <f>SUM(Oct!C16, Nov!C16, Dec!C16)</f>
        <v>0</v>
      </c>
      <c r="D16" s="29">
        <f>SUM(Oct!D16, Nov!D16, Dec!D16)</f>
        <v>0</v>
      </c>
      <c r="E16" s="29">
        <f t="shared" si="3"/>
        <v>0</v>
      </c>
      <c r="F16" s="30" t="str">
        <f t="shared" si="4"/>
        <v/>
      </c>
      <c r="G16" s="31">
        <f>SUM(Oct!G16,Nov!G16,Dec!G16)</f>
        <v>0</v>
      </c>
      <c r="H16" s="31">
        <f>SUM(Oct!H16, Nov!H16, Dec!H16)</f>
        <v>0</v>
      </c>
      <c r="I16" s="32" t="str">
        <f t="shared" si="5"/>
        <v/>
      </c>
    </row>
    <row r="17" spans="1:9" ht="15.6">
      <c r="A17" s="48" t="str">
        <v>Felician Sisters Convent</v>
      </c>
      <c r="B17" s="34" t="str">
        <v>NJ</v>
      </c>
      <c r="C17" s="35">
        <f>SUM(Oct!C17, Nov!C17, Dec!C17)</f>
        <v>0</v>
      </c>
      <c r="D17" s="36">
        <f>SUM(Oct!D17, Nov!D17, Dec!D17)</f>
        <v>0</v>
      </c>
      <c r="E17" s="36">
        <f t="shared" si="3"/>
        <v>0</v>
      </c>
      <c r="F17" s="71" t="str">
        <f t="shared" si="4"/>
        <v/>
      </c>
      <c r="G17" s="36">
        <f>SUM(Oct!G17,Nov!G17,Dec!G17)</f>
        <v>0</v>
      </c>
      <c r="H17" s="72">
        <f>SUM(Oct!H17, Nov!H17, Dec!H17)</f>
        <v>0</v>
      </c>
      <c r="I17" s="71" t="str">
        <f t="shared" si="5"/>
        <v/>
      </c>
    </row>
    <row r="18" spans="1:9" ht="15.6">
      <c r="A18" s="47" t="str">
        <v>Sussex County Fairgrounds</v>
      </c>
      <c r="B18" s="27" t="str">
        <v>NJ</v>
      </c>
      <c r="C18" s="28">
        <f>SUM(Oct!C18, Nov!C18, Dec!C18)</f>
        <v>0</v>
      </c>
      <c r="D18" s="29">
        <f>SUM(Oct!D18, Nov!D18, Dec!D18)</f>
        <v>0</v>
      </c>
      <c r="E18" s="29">
        <f t="shared" si="3"/>
        <v>0</v>
      </c>
      <c r="F18" s="30" t="str">
        <f t="shared" si="4"/>
        <v/>
      </c>
      <c r="G18" s="31">
        <f>SUM(Oct!G18,Nov!G18,Dec!G18)</f>
        <v>0</v>
      </c>
      <c r="H18" s="31">
        <f>SUM(Oct!H18, Nov!H18, Dec!H18)</f>
        <v>0</v>
      </c>
      <c r="I18" s="32" t="str">
        <f t="shared" si="5"/>
        <v/>
      </c>
    </row>
    <row r="19" spans="1:9" ht="15.6">
      <c r="A19" s="48" t="str">
        <v>Gateway Church</v>
      </c>
      <c r="B19" s="34" t="str">
        <v>NJ</v>
      </c>
      <c r="C19" s="35">
        <f>SUM(Oct!C19, Nov!C19, Dec!C19)</f>
        <v>0</v>
      </c>
      <c r="D19" s="36">
        <f>SUM(Oct!D19, Nov!D19, Dec!D19)</f>
        <v>0</v>
      </c>
      <c r="E19" s="36">
        <f t="shared" si="3"/>
        <v>0</v>
      </c>
      <c r="F19" s="71" t="str">
        <f t="shared" si="4"/>
        <v/>
      </c>
      <c r="G19" s="36">
        <f>SUM(Oct!G19,Nov!G19,Dec!G19)</f>
        <v>0</v>
      </c>
      <c r="H19" s="72">
        <f>SUM(Oct!H19, Nov!H19, Dec!H19)</f>
        <v>0</v>
      </c>
      <c r="I19" s="71" t="str">
        <f t="shared" si="5"/>
        <v/>
      </c>
    </row>
    <row r="20" spans="1:9" ht="15.6">
      <c r="A20" s="47" t="str">
        <v>Beaver Falls - Felician Sisters</v>
      </c>
      <c r="B20" s="27" t="str">
        <v>PA</v>
      </c>
      <c r="C20" s="28">
        <f>SUM(Oct!C20, Nov!C20, Dec!C20)</f>
        <v>0</v>
      </c>
      <c r="D20" s="29">
        <f>SUM(Oct!D20, Nov!D20, Dec!D20)</f>
        <v>0</v>
      </c>
      <c r="E20" s="29">
        <f t="shared" si="3"/>
        <v>0</v>
      </c>
      <c r="F20" s="30" t="str">
        <f t="shared" si="4"/>
        <v/>
      </c>
      <c r="G20" s="31">
        <f>SUM(Oct!G20,Nov!G20,Dec!G20)</f>
        <v>0</v>
      </c>
      <c r="H20" s="31">
        <f>SUM(Oct!H20, Nov!H20, Dec!H20)</f>
        <v>0</v>
      </c>
      <c r="I20" s="32" t="str">
        <f t="shared" si="5"/>
        <v/>
      </c>
    </row>
    <row r="21" spans="1:9" ht="15.6">
      <c r="A21" s="48" t="str">
        <v>Livonia - Felician Sisters Ground</v>
      </c>
      <c r="B21" s="34" t="str">
        <v>MI</v>
      </c>
      <c r="C21" s="35">
        <f>SUM(Oct!C21, Nov!C21, Dec!C21)</f>
        <v>0</v>
      </c>
      <c r="D21" s="36">
        <f>SUM(Oct!D21, Nov!D21, Dec!D21)</f>
        <v>0</v>
      </c>
      <c r="E21" s="36">
        <f t="shared" si="3"/>
        <v>0</v>
      </c>
      <c r="F21" s="71" t="str">
        <f t="shared" si="4"/>
        <v/>
      </c>
      <c r="G21" s="36">
        <f>SUM(Oct!G21,Nov!G21,Dec!G21)</f>
        <v>0</v>
      </c>
      <c r="H21" s="72">
        <f>SUM(Oct!H21, Nov!H21, Dec!H21)</f>
        <v>0</v>
      </c>
      <c r="I21" s="71" t="str">
        <f t="shared" si="5"/>
        <v/>
      </c>
    </row>
    <row r="22" spans="1:9" ht="15.6">
      <c r="A22" s="47" t="str">
        <v>Livonia - Felician Sisters Roof</v>
      </c>
      <c r="B22" s="27" t="str">
        <v>MI</v>
      </c>
      <c r="C22" s="28">
        <f>SUM(Oct!C22, Nov!C22, Dec!C22)</f>
        <v>0</v>
      </c>
      <c r="D22" s="29">
        <f>SUM(Oct!D22, Nov!D22, Dec!D22)</f>
        <v>0</v>
      </c>
      <c r="E22" s="29">
        <f t="shared" si="3"/>
        <v>0</v>
      </c>
      <c r="F22" s="30" t="str">
        <f t="shared" si="4"/>
        <v/>
      </c>
      <c r="G22" s="31">
        <f>SUM(Oct!G22,Nov!G22,Dec!G22)</f>
        <v>0</v>
      </c>
      <c r="H22" s="31">
        <f>SUM(Oct!H22, Nov!H22, Dec!H22)</f>
        <v>0</v>
      </c>
      <c r="I22" s="32" t="str">
        <f t="shared" si="5"/>
        <v/>
      </c>
    </row>
    <row r="23" spans="1:9" ht="15.6">
      <c r="A23" s="48" t="str">
        <v>Monmouth Worship Ctr</v>
      </c>
      <c r="B23" s="34" t="str">
        <v>NJ</v>
      </c>
      <c r="C23" s="35">
        <f>SUM(Oct!C23, Nov!C23, Dec!C23)</f>
        <v>0</v>
      </c>
      <c r="D23" s="36">
        <f>SUM(Oct!D23, Nov!D23, Dec!D23)</f>
        <v>0</v>
      </c>
      <c r="E23" s="36">
        <f t="shared" si="3"/>
        <v>0</v>
      </c>
      <c r="F23" s="71" t="str">
        <f t="shared" si="4"/>
        <v/>
      </c>
      <c r="G23" s="36">
        <f>SUM(Oct!G23,Nov!G23,Dec!G23)</f>
        <v>0</v>
      </c>
      <c r="H23" s="72">
        <f>SUM(Oct!H23, Nov!H23, Dec!H23)</f>
        <v>0</v>
      </c>
      <c r="I23" s="71" t="str">
        <f t="shared" si="5"/>
        <v/>
      </c>
    </row>
    <row r="24" spans="1:9" ht="15.6">
      <c r="A24" s="47" t="str">
        <v xml:space="preserve"> Audubon - Senior Citizens United</v>
      </c>
      <c r="B24" s="27" t="str">
        <v>NJ</v>
      </c>
      <c r="C24" s="28">
        <f>SUM(Oct!C24, Nov!C24, Dec!C24)</f>
        <v>0</v>
      </c>
      <c r="D24" s="29">
        <f>SUM(Oct!D24, Nov!D24, Dec!D24)</f>
        <v>0</v>
      </c>
      <c r="E24" s="29">
        <f t="shared" si="3"/>
        <v>0</v>
      </c>
      <c r="F24" s="30" t="str">
        <f t="shared" si="4"/>
        <v/>
      </c>
      <c r="G24" s="31">
        <f>SUM(Oct!G24,Nov!G24,Dec!G24)</f>
        <v>0</v>
      </c>
      <c r="H24" s="31">
        <f>SUM(Oct!H24, Nov!H24, Dec!H24)</f>
        <v>0</v>
      </c>
      <c r="I24" s="32" t="str">
        <f t="shared" si="5"/>
        <v/>
      </c>
    </row>
    <row r="25" spans="1:9" ht="15.6">
      <c r="A25" s="48" t="str">
        <v>Hollister - PG&amp;E (Enerparc)</v>
      </c>
      <c r="B25" s="34" t="str">
        <v>CA</v>
      </c>
      <c r="C25" s="35">
        <f>SUM(Oct!C25, Nov!C25, Dec!C25)</f>
        <v>0</v>
      </c>
      <c r="D25" s="36">
        <f>SUM(Oct!D25, Nov!D25, Dec!D25)</f>
        <v>0</v>
      </c>
      <c r="E25" s="36">
        <f t="shared" ref="E25:E56" si="6">IF(AND(ISNUMBER(C25),ISNUMBER(D25)), C25-D25, "")</f>
        <v>0</v>
      </c>
      <c r="F25" s="71" t="str">
        <f t="shared" ref="F25:F56" si="7">IFERROR(E25/D25, "")</f>
        <v/>
      </c>
      <c r="G25" s="36">
        <f>SUM(Oct!G25,Nov!G25,Dec!G25)</f>
        <v>0</v>
      </c>
      <c r="H25" s="72">
        <f>SUM(Oct!H25, Nov!H25, Dec!H25)</f>
        <v>0</v>
      </c>
      <c r="I25" s="71" t="str">
        <f t="shared" ref="I25:I56" si="8">IFERROR(H25/G25, "")</f>
        <v/>
      </c>
    </row>
    <row r="26" spans="1:9" ht="15.6">
      <c r="A26" s="47" t="str">
        <v>Taos County - Kit Carson Electric Co-Op</v>
      </c>
      <c r="B26" s="27" t="str">
        <v>NM</v>
      </c>
      <c r="C26" s="28">
        <f>SUM(Oct!C26, Nov!C26, Dec!C26)</f>
        <v>0</v>
      </c>
      <c r="D26" s="29">
        <f>SUM(Oct!D26, Nov!D26, Dec!D26)</f>
        <v>0</v>
      </c>
      <c r="E26" s="29">
        <f t="shared" si="6"/>
        <v>0</v>
      </c>
      <c r="F26" s="30" t="str">
        <f t="shared" si="7"/>
        <v/>
      </c>
      <c r="G26" s="31">
        <f>SUM(Oct!G26,Nov!G26,Dec!G26)</f>
        <v>0</v>
      </c>
      <c r="H26" s="31">
        <f>SUM(Oct!H26, Nov!H26, Dec!H26)</f>
        <v>0</v>
      </c>
      <c r="I26" s="32" t="str">
        <f t="shared" si="8"/>
        <v/>
      </c>
    </row>
    <row r="27" spans="1:9" ht="15.6">
      <c r="A27" s="48" t="str">
        <v>Commerce City - Adams City HS</v>
      </c>
      <c r="B27" s="34" t="str">
        <v>CO</v>
      </c>
      <c r="C27" s="35">
        <f>SUM(Oct!C27, Nov!C27, Dec!C27)</f>
        <v>0</v>
      </c>
      <c r="D27" s="36">
        <f>SUM(Oct!D27, Nov!D27, Dec!D27)</f>
        <v>0</v>
      </c>
      <c r="E27" s="36">
        <f t="shared" si="6"/>
        <v>0</v>
      </c>
      <c r="F27" s="71" t="str">
        <f t="shared" si="7"/>
        <v/>
      </c>
      <c r="G27" s="36">
        <f>SUM(Oct!G27,Nov!G27,Dec!G27)</f>
        <v>0</v>
      </c>
      <c r="H27" s="72">
        <f>SUM(Oct!H27, Nov!H27, Dec!H27)</f>
        <v>0</v>
      </c>
      <c r="I27" s="71" t="str">
        <f t="shared" si="8"/>
        <v/>
      </c>
    </row>
    <row r="28" spans="1:9" ht="15.6">
      <c r="A28" s="47" t="str">
        <v>Commerce City - Adams City MS</v>
      </c>
      <c r="B28" s="27" t="str">
        <v>CO</v>
      </c>
      <c r="C28" s="28">
        <f>SUM(Oct!C28, Nov!C28, Dec!C28)</f>
        <v>0</v>
      </c>
      <c r="D28" s="29">
        <f>SUM(Oct!D28, Nov!D28, Dec!D28)</f>
        <v>0</v>
      </c>
      <c r="E28" s="29">
        <f t="shared" si="6"/>
        <v>0</v>
      </c>
      <c r="F28" s="30" t="str">
        <f t="shared" si="7"/>
        <v/>
      </c>
      <c r="G28" s="31">
        <f>SUM(Oct!G28,Nov!G28,Dec!G28)</f>
        <v>0</v>
      </c>
      <c r="H28" s="31">
        <f>SUM(Oct!H28, Nov!H28, Dec!H28)</f>
        <v>0</v>
      </c>
      <c r="I28" s="32" t="str">
        <f t="shared" si="8"/>
        <v/>
      </c>
    </row>
    <row r="29" spans="1:9" ht="15.6">
      <c r="A29" s="48" t="str">
        <v>Commerce City - Central ES</v>
      </c>
      <c r="B29" s="34" t="str">
        <v>CO</v>
      </c>
      <c r="C29" s="35">
        <f>SUM(Oct!C29, Nov!C29, Dec!C29)</f>
        <v>0</v>
      </c>
      <c r="D29" s="36">
        <f>SUM(Oct!D29, Nov!D29, Dec!D29)</f>
        <v>0</v>
      </c>
      <c r="E29" s="36">
        <f t="shared" si="6"/>
        <v>0</v>
      </c>
      <c r="F29" s="71" t="str">
        <f t="shared" si="7"/>
        <v/>
      </c>
      <c r="G29" s="36">
        <f>SUM(Oct!G29,Nov!G29,Dec!G29)</f>
        <v>0</v>
      </c>
      <c r="H29" s="72">
        <f>SUM(Oct!H29, Nov!H29, Dec!H29)</f>
        <v>0</v>
      </c>
      <c r="I29" s="71" t="str">
        <f t="shared" si="8"/>
        <v/>
      </c>
    </row>
    <row r="30" spans="1:9" ht="15.6">
      <c r="A30" s="47" t="str">
        <v>Commerce City - Dupont ES</v>
      </c>
      <c r="B30" s="27" t="str">
        <v>CO</v>
      </c>
      <c r="C30" s="28">
        <f>SUM(Oct!C30, Nov!C30, Dec!C30)</f>
        <v>0</v>
      </c>
      <c r="D30" s="29">
        <f>SUM(Oct!D30, Nov!D30, Dec!D30)</f>
        <v>0</v>
      </c>
      <c r="E30" s="29">
        <f t="shared" si="6"/>
        <v>0</v>
      </c>
      <c r="F30" s="30" t="str">
        <f t="shared" si="7"/>
        <v/>
      </c>
      <c r="G30" s="31">
        <f>SUM(Oct!G30,Nov!G30,Dec!G30)</f>
        <v>0</v>
      </c>
      <c r="H30" s="31">
        <f>SUM(Oct!H30, Nov!H30, Dec!H30)</f>
        <v>0</v>
      </c>
      <c r="I30" s="32" t="str">
        <f t="shared" si="8"/>
        <v/>
      </c>
    </row>
    <row r="31" spans="1:9" ht="15.6">
      <c r="A31" s="48" t="str">
        <v>Commerce City - Educational Support Services</v>
      </c>
      <c r="B31" s="34" t="str">
        <v>CO</v>
      </c>
      <c r="C31" s="35">
        <f>SUM(Oct!C31, Nov!C31, Dec!C31)</f>
        <v>0</v>
      </c>
      <c r="D31" s="36">
        <f>SUM(Oct!D31, Nov!D31, Dec!D31)</f>
        <v>0</v>
      </c>
      <c r="E31" s="36">
        <f t="shared" si="6"/>
        <v>0</v>
      </c>
      <c r="F31" s="71" t="str">
        <f t="shared" si="7"/>
        <v/>
      </c>
      <c r="G31" s="36">
        <f>SUM(Oct!G31,Nov!G31,Dec!G31)</f>
        <v>0</v>
      </c>
      <c r="H31" s="72">
        <f>SUM(Oct!H31, Nov!H31, Dec!H31)</f>
        <v>0</v>
      </c>
      <c r="I31" s="71" t="str">
        <f t="shared" si="8"/>
        <v/>
      </c>
    </row>
    <row r="32" spans="1:9" ht="15.6">
      <c r="A32" s="47" t="str">
        <v>Commerce City - Hanson ES</v>
      </c>
      <c r="B32" s="27" t="str">
        <v>CO</v>
      </c>
      <c r="C32" s="28">
        <f>SUM(Oct!C32, Nov!C32, Dec!C32)</f>
        <v>0</v>
      </c>
      <c r="D32" s="29">
        <f>SUM(Oct!D32, Nov!D32, Dec!D32)</f>
        <v>0</v>
      </c>
      <c r="E32" s="29">
        <f t="shared" si="6"/>
        <v>0</v>
      </c>
      <c r="F32" s="30" t="str">
        <f t="shared" si="7"/>
        <v/>
      </c>
      <c r="G32" s="31">
        <f>SUM(Oct!G32,Nov!G32,Dec!G32)</f>
        <v>0</v>
      </c>
      <c r="H32" s="31">
        <f>SUM(Oct!H32, Nov!H32, Dec!H32)</f>
        <v>0</v>
      </c>
      <c r="I32" s="32" t="str">
        <f t="shared" si="8"/>
        <v/>
      </c>
    </row>
    <row r="33" spans="1:9" ht="15.6">
      <c r="A33" s="48" t="str">
        <v>Commerce City - Kemp ES</v>
      </c>
      <c r="B33" s="34" t="str">
        <v>CO</v>
      </c>
      <c r="C33" s="35">
        <f>SUM(Oct!C33, Nov!C33, Dec!C33)</f>
        <v>0</v>
      </c>
      <c r="D33" s="36">
        <f>SUM(Oct!D33, Nov!D33, Dec!D33)</f>
        <v>0</v>
      </c>
      <c r="E33" s="36">
        <f t="shared" si="6"/>
        <v>0</v>
      </c>
      <c r="F33" s="71" t="str">
        <f t="shared" si="7"/>
        <v/>
      </c>
      <c r="G33" s="36">
        <f>SUM(Oct!G33,Nov!G33,Dec!G33)</f>
        <v>0</v>
      </c>
      <c r="H33" s="72">
        <f>SUM(Oct!H33, Nov!H33, Dec!H33)</f>
        <v>0</v>
      </c>
      <c r="I33" s="71" t="str">
        <f t="shared" si="8"/>
        <v/>
      </c>
    </row>
    <row r="34" spans="1:9" ht="15.6">
      <c r="A34" s="47" t="str">
        <v>Commerce City -  Lester Arnold HS</v>
      </c>
      <c r="B34" s="27" t="str">
        <v>CO</v>
      </c>
      <c r="C34" s="28">
        <f>SUM(Oct!C34, Nov!C34, Dec!C34)</f>
        <v>0</v>
      </c>
      <c r="D34" s="29">
        <f>SUM(Oct!D34, Nov!D34, Dec!D34)</f>
        <v>0</v>
      </c>
      <c r="E34" s="29">
        <f t="shared" si="6"/>
        <v>0</v>
      </c>
      <c r="F34" s="30" t="str">
        <f t="shared" si="7"/>
        <v/>
      </c>
      <c r="G34" s="31">
        <f>SUM(Oct!G34,Nov!G34,Dec!G34)</f>
        <v>0</v>
      </c>
      <c r="H34" s="31">
        <f>SUM(Oct!H34, Nov!H34, Dec!H34)</f>
        <v>0</v>
      </c>
      <c r="I34" s="32" t="str">
        <f t="shared" si="8"/>
        <v/>
      </c>
    </row>
    <row r="35" spans="1:9" ht="15.6">
      <c r="A35" s="48" t="str">
        <v>Commerce City - Monaco ES</v>
      </c>
      <c r="B35" s="34" t="str">
        <v>CO</v>
      </c>
      <c r="C35" s="35">
        <f>SUM(Oct!C35, Nov!C35, Dec!C35)</f>
        <v>0</v>
      </c>
      <c r="D35" s="36">
        <f>SUM(Oct!D35, Nov!D35, Dec!D35)</f>
        <v>0</v>
      </c>
      <c r="E35" s="36">
        <f t="shared" si="6"/>
        <v>0</v>
      </c>
      <c r="F35" s="71" t="str">
        <f t="shared" si="7"/>
        <v/>
      </c>
      <c r="G35" s="36">
        <f>SUM(Oct!G35,Nov!G35,Dec!G35)</f>
        <v>0</v>
      </c>
      <c r="H35" s="72">
        <f>SUM(Oct!H35, Nov!H35, Dec!H35)</f>
        <v>0</v>
      </c>
      <c r="I35" s="71" t="str">
        <f t="shared" si="8"/>
        <v/>
      </c>
    </row>
    <row r="36" spans="1:9" ht="15.6">
      <c r="A36" s="47" t="str">
        <v>Denver - Northgate / Old Fort Logan ES</v>
      </c>
      <c r="B36" s="27" t="str">
        <v>CO</v>
      </c>
      <c r="C36" s="28">
        <f>SUM(Oct!C36, Nov!C36, Dec!C36)</f>
        <v>0</v>
      </c>
      <c r="D36" s="29">
        <f>SUM(Oct!D36, Nov!D36, Dec!D36)</f>
        <v>0</v>
      </c>
      <c r="E36" s="29">
        <f t="shared" si="6"/>
        <v>0</v>
      </c>
      <c r="F36" s="30" t="str">
        <f t="shared" si="7"/>
        <v/>
      </c>
      <c r="G36" s="31">
        <f>SUM(Oct!G36,Nov!G36,Dec!G36)</f>
        <v>0</v>
      </c>
      <c r="H36" s="31">
        <f>SUM(Oct!H36, Nov!H36, Dec!H36)</f>
        <v>0</v>
      </c>
      <c r="I36" s="32" t="str">
        <f t="shared" si="8"/>
        <v/>
      </c>
    </row>
    <row r="37" spans="1:9" ht="15.6">
      <c r="A37" s="48" t="str">
        <v>Denver - Sheridan High School</v>
      </c>
      <c r="B37" s="34" t="str">
        <v>CO</v>
      </c>
      <c r="C37" s="35">
        <f>SUM(Oct!C37, Nov!C37, Dec!C37)</f>
        <v>0</v>
      </c>
      <c r="D37" s="36">
        <f>SUM(Oct!D37, Nov!D37, Dec!D37)</f>
        <v>0</v>
      </c>
      <c r="E37" s="36">
        <f t="shared" si="6"/>
        <v>0</v>
      </c>
      <c r="F37" s="71" t="str">
        <f t="shared" si="7"/>
        <v/>
      </c>
      <c r="G37" s="36">
        <f>SUM(Oct!G37,Nov!G37,Dec!G37)</f>
        <v>0</v>
      </c>
      <c r="H37" s="72">
        <f>SUM(Oct!H37, Nov!H37, Dec!H37)</f>
        <v>0</v>
      </c>
      <c r="I37" s="71" t="str">
        <f t="shared" si="8"/>
        <v/>
      </c>
    </row>
    <row r="38" spans="1:9" ht="15.6">
      <c r="A38" s="47" t="str">
        <v>Englewood -  Alice Terry Elementary</v>
      </c>
      <c r="B38" s="27" t="str">
        <v>CO</v>
      </c>
      <c r="C38" s="28">
        <f>SUM(Oct!C38, Nov!C38, Dec!C38)</f>
        <v>0</v>
      </c>
      <c r="D38" s="29">
        <f>SUM(Oct!D38, Nov!D38, Dec!D38)</f>
        <v>0</v>
      </c>
      <c r="E38" s="29">
        <f t="shared" si="6"/>
        <v>0</v>
      </c>
      <c r="F38" s="30" t="str">
        <f t="shared" si="7"/>
        <v/>
      </c>
      <c r="G38" s="31">
        <f>SUM(Oct!G38,Nov!G38,Dec!G38)</f>
        <v>0</v>
      </c>
      <c r="H38" s="31">
        <f>SUM(Oct!H38, Nov!H38, Dec!H38)</f>
        <v>0</v>
      </c>
      <c r="I38" s="32" t="str">
        <f t="shared" si="8"/>
        <v/>
      </c>
    </row>
    <row r="39" spans="1:9" ht="15.6">
      <c r="A39" s="48" t="str">
        <v>Englewood - Sheridan Middle School</v>
      </c>
      <c r="B39" s="34" t="str">
        <v>CO</v>
      </c>
      <c r="C39" s="35">
        <f>SUM(Oct!C39, Nov!C39, Dec!C39)</f>
        <v>0</v>
      </c>
      <c r="D39" s="36">
        <f>SUM(Oct!D39, Nov!D39, Dec!D39)</f>
        <v>0</v>
      </c>
      <c r="E39" s="36">
        <f t="shared" si="6"/>
        <v>0</v>
      </c>
      <c r="F39" s="71" t="str">
        <f t="shared" si="7"/>
        <v/>
      </c>
      <c r="G39" s="36">
        <f>SUM(Oct!G39,Nov!G39,Dec!G39)</f>
        <v>0</v>
      </c>
      <c r="H39" s="72">
        <f>SUM(Oct!H39, Nov!H39, Dec!H39)</f>
        <v>0</v>
      </c>
      <c r="I39" s="71" t="str">
        <f t="shared" si="8"/>
        <v/>
      </c>
    </row>
    <row r="40" spans="1:9" ht="15.6">
      <c r="A40" s="47" t="str">
        <v>Goshen - NIPSCO</v>
      </c>
      <c r="B40" s="27" t="str">
        <v>IN</v>
      </c>
      <c r="C40" s="28">
        <f>SUM(Oct!C40, Nov!C40, Dec!C40)</f>
        <v>0</v>
      </c>
      <c r="D40" s="29">
        <f>SUM(Oct!D40, Nov!D40, Dec!D40)</f>
        <v>0</v>
      </c>
      <c r="E40" s="29">
        <f t="shared" si="6"/>
        <v>0</v>
      </c>
      <c r="F40" s="30" t="str">
        <f t="shared" si="7"/>
        <v/>
      </c>
      <c r="G40" s="31">
        <f>SUM(Oct!G40,Nov!G40,Dec!G40)</f>
        <v>0</v>
      </c>
      <c r="H40" s="31">
        <f>SUM(Oct!H40, Nov!H40, Dec!H40)</f>
        <v>0</v>
      </c>
      <c r="I40" s="32" t="str">
        <f t="shared" si="8"/>
        <v/>
      </c>
    </row>
    <row r="41" spans="1:9" ht="15.6">
      <c r="A41" s="48" t="str">
        <v>Alamogordo - City of Alamogordo - Effluent</v>
      </c>
      <c r="B41" s="34" t="str">
        <v>NM</v>
      </c>
      <c r="C41" s="35">
        <f>SUM(Oct!C41, Nov!C41, Dec!C41)</f>
        <v>0</v>
      </c>
      <c r="D41" s="36">
        <f>SUM(Oct!D41, Nov!D41, Dec!D41)</f>
        <v>0</v>
      </c>
      <c r="E41" s="36">
        <f t="shared" si="6"/>
        <v>0</v>
      </c>
      <c r="F41" s="71" t="str">
        <f t="shared" si="7"/>
        <v/>
      </c>
      <c r="G41" s="36">
        <f>SUM(Oct!G41,Nov!G41,Dec!G41)</f>
        <v>0</v>
      </c>
      <c r="H41" s="72">
        <f>SUM(Oct!H41, Nov!H41, Dec!H41)</f>
        <v>0</v>
      </c>
      <c r="I41" s="71" t="str">
        <f t="shared" si="8"/>
        <v/>
      </c>
    </row>
    <row r="42" spans="1:9" ht="15.6">
      <c r="A42" s="47" t="str">
        <v>Alamogordo - City of Alamogordo - WWTP</v>
      </c>
      <c r="B42" s="27" t="str">
        <v>NM</v>
      </c>
      <c r="C42" s="28">
        <f>SUM(Oct!C42, Nov!C42, Dec!C42)</f>
        <v>0</v>
      </c>
      <c r="D42" s="29">
        <f>SUM(Oct!D42, Nov!D42, Dec!D42)</f>
        <v>0</v>
      </c>
      <c r="E42" s="29">
        <f t="shared" si="6"/>
        <v>0</v>
      </c>
      <c r="F42" s="30" t="str">
        <f t="shared" si="7"/>
        <v/>
      </c>
      <c r="G42" s="31">
        <f>SUM(Oct!G42,Nov!G42,Dec!G42)</f>
        <v>0</v>
      </c>
      <c r="H42" s="31">
        <f>SUM(Oct!H42, Nov!H42, Dec!H42)</f>
        <v>0</v>
      </c>
      <c r="I42" s="32" t="str">
        <f t="shared" si="8"/>
        <v/>
      </c>
    </row>
    <row r="43" spans="1:9" ht="15.6">
      <c r="A43" s="48" t="str">
        <v>Deming - Bilbo Booster</v>
      </c>
      <c r="B43" s="34" t="str">
        <v>NM</v>
      </c>
      <c r="C43" s="35">
        <f>SUM(Oct!C43, Nov!C43, Dec!C43)</f>
        <v>0</v>
      </c>
      <c r="D43" s="36">
        <f>SUM(Oct!D43, Nov!D43, Dec!D43)</f>
        <v>0</v>
      </c>
      <c r="E43" s="36">
        <f t="shared" si="6"/>
        <v>0</v>
      </c>
      <c r="F43" s="71" t="str">
        <f t="shared" si="7"/>
        <v/>
      </c>
      <c r="G43" s="36">
        <f>SUM(Oct!G43,Nov!G43,Dec!G43)</f>
        <v>0</v>
      </c>
      <c r="H43" s="72">
        <f>SUM(Oct!H43, Nov!H43, Dec!H43)</f>
        <v>0</v>
      </c>
      <c r="I43" s="71" t="str">
        <f t="shared" si="8"/>
        <v/>
      </c>
    </row>
    <row r="44" spans="1:9" ht="15.6">
      <c r="A44" s="47" t="str">
        <v>Deming - Bilbo Well</v>
      </c>
      <c r="B44" s="27" t="str">
        <v>NM</v>
      </c>
      <c r="C44" s="28">
        <f>SUM(Oct!C44, Nov!C44, Dec!C44)</f>
        <v>0</v>
      </c>
      <c r="D44" s="29">
        <f>SUM(Oct!D44, Nov!D44, Dec!D44)</f>
        <v>0</v>
      </c>
      <c r="E44" s="29">
        <f t="shared" si="6"/>
        <v>0</v>
      </c>
      <c r="F44" s="30" t="str">
        <f t="shared" si="7"/>
        <v/>
      </c>
      <c r="G44" s="31">
        <f>SUM(Oct!G44,Nov!G44,Dec!G44)</f>
        <v>0</v>
      </c>
      <c r="H44" s="31">
        <f>SUM(Oct!H44, Nov!H44, Dec!H44)</f>
        <v>0</v>
      </c>
      <c r="I44" s="32" t="str">
        <f t="shared" si="8"/>
        <v/>
      </c>
    </row>
    <row r="45" spans="1:9" ht="15.6">
      <c r="A45" s="48" t="str">
        <v>Deming - WWTP</v>
      </c>
      <c r="B45" s="34" t="str">
        <v>NM</v>
      </c>
      <c r="C45" s="35">
        <f>SUM(Oct!C45, Nov!C45, Dec!C45)</f>
        <v>0</v>
      </c>
      <c r="D45" s="36">
        <f>SUM(Oct!D45, Nov!D45, Dec!D45)</f>
        <v>0</v>
      </c>
      <c r="E45" s="36">
        <f t="shared" si="6"/>
        <v>0</v>
      </c>
      <c r="F45" s="71" t="str">
        <f t="shared" si="7"/>
        <v/>
      </c>
      <c r="G45" s="36">
        <f>SUM(Oct!G45,Nov!G45,Dec!G45)</f>
        <v>0</v>
      </c>
      <c r="H45" s="72">
        <f>SUM(Oct!H45, Nov!H45, Dec!H45)</f>
        <v>0</v>
      </c>
      <c r="I45" s="71" t="str">
        <f t="shared" si="8"/>
        <v/>
      </c>
    </row>
    <row r="46" spans="1:9" ht="15.6">
      <c r="A46" s="47" t="str">
        <v>Truth or Consequences - Walmart</v>
      </c>
      <c r="B46" s="27" t="str">
        <v>NM</v>
      </c>
      <c r="C46" s="28">
        <f>SUM(Oct!C46, Nov!C46, Dec!C46)</f>
        <v>0</v>
      </c>
      <c r="D46" s="29">
        <f>SUM(Oct!D46, Nov!D46, Dec!D46)</f>
        <v>0</v>
      </c>
      <c r="E46" s="29">
        <f t="shared" si="6"/>
        <v>0</v>
      </c>
      <c r="F46" s="30" t="str">
        <f t="shared" si="7"/>
        <v/>
      </c>
      <c r="G46" s="31">
        <f>SUM(Oct!G46,Nov!G46,Dec!G46)</f>
        <v>0</v>
      </c>
      <c r="H46" s="31">
        <f>SUM(Oct!H46, Nov!H46, Dec!H46)</f>
        <v>0</v>
      </c>
      <c r="I46" s="32" t="str">
        <f t="shared" si="8"/>
        <v/>
      </c>
    </row>
    <row r="47" spans="1:9" ht="15.6">
      <c r="A47" s="48" t="str">
        <v>CA: Stockton - SUSD - Merlo</v>
      </c>
      <c r="B47" s="34" t="str">
        <v>CA</v>
      </c>
      <c r="C47" s="35">
        <f>SUM(Oct!C47, Nov!C47, Dec!C47)</f>
        <v>0</v>
      </c>
      <c r="D47" s="36">
        <f>SUM(Oct!D47, Nov!D47, Dec!D47)</f>
        <v>0</v>
      </c>
      <c r="E47" s="36">
        <f t="shared" si="6"/>
        <v>0</v>
      </c>
      <c r="F47" s="71" t="str">
        <f t="shared" si="7"/>
        <v/>
      </c>
      <c r="G47" s="36">
        <f>SUM(Oct!G47,Nov!G47,Dec!G47)</f>
        <v>0</v>
      </c>
      <c r="H47" s="72">
        <f>SUM(Oct!H47, Nov!H47, Dec!H47)</f>
        <v>0</v>
      </c>
      <c r="I47" s="71" t="str">
        <f t="shared" si="8"/>
        <v/>
      </c>
    </row>
    <row r="48" spans="1:9" ht="15.6">
      <c r="A48" s="47" t="str">
        <v>Stockton Unified School Dist. - Bush Elementary</v>
      </c>
      <c r="B48" s="27" t="str">
        <v>CA</v>
      </c>
      <c r="C48" s="28">
        <f>SUM(Oct!C48, Nov!C48, Dec!C48)</f>
        <v>0</v>
      </c>
      <c r="D48" s="29">
        <f>SUM(Oct!D48, Nov!D48, Dec!D48)</f>
        <v>0</v>
      </c>
      <c r="E48" s="29">
        <f t="shared" si="6"/>
        <v>0</v>
      </c>
      <c r="F48" s="30" t="str">
        <f t="shared" si="7"/>
        <v/>
      </c>
      <c r="G48" s="31">
        <f>SUM(Oct!G48,Nov!G48,Dec!G48)</f>
        <v>0</v>
      </c>
      <c r="H48" s="31">
        <f>SUM(Oct!H48, Nov!H48, Dec!H48)</f>
        <v>0</v>
      </c>
      <c r="I48" s="32" t="str">
        <f t="shared" si="8"/>
        <v/>
      </c>
    </row>
    <row r="49" spans="1:9" ht="15.6">
      <c r="A49" s="48" t="str">
        <v>CA: Stockton - SUSD - Marshall JHS</v>
      </c>
      <c r="B49" s="34" t="str">
        <v>CA</v>
      </c>
      <c r="C49" s="35">
        <f>SUM(Oct!C49, Nov!C49, Dec!C49)</f>
        <v>0</v>
      </c>
      <c r="D49" s="36">
        <f>SUM(Oct!D49, Nov!D49, Dec!D49)</f>
        <v>0</v>
      </c>
      <c r="E49" s="36">
        <f t="shared" si="6"/>
        <v>0</v>
      </c>
      <c r="F49" s="71" t="str">
        <f t="shared" si="7"/>
        <v/>
      </c>
      <c r="G49" s="36">
        <f>SUM(Oct!G49,Nov!G49,Dec!G49)</f>
        <v>0</v>
      </c>
      <c r="H49" s="72">
        <f>SUM(Oct!H49, Nov!H49, Dec!H49)</f>
        <v>0</v>
      </c>
      <c r="I49" s="71" t="str">
        <f t="shared" si="8"/>
        <v/>
      </c>
    </row>
    <row r="50" spans="1:9" ht="15.6">
      <c r="A50" s="47" t="str">
        <v>CA: Stockton - SUSD - Hong-Kingston ES</v>
      </c>
      <c r="B50" s="27" t="str">
        <v>CA</v>
      </c>
      <c r="C50" s="28">
        <f>SUM(Oct!C50, Nov!C50, Dec!C50)</f>
        <v>0</v>
      </c>
      <c r="D50" s="29">
        <f>SUM(Oct!D50, Nov!D50, Dec!D50)</f>
        <v>0</v>
      </c>
      <c r="E50" s="29">
        <f t="shared" si="6"/>
        <v>0</v>
      </c>
      <c r="F50" s="30" t="str">
        <f t="shared" si="7"/>
        <v/>
      </c>
      <c r="G50" s="31">
        <f>SUM(Oct!G50,Nov!G50,Dec!G50)</f>
        <v>0</v>
      </c>
      <c r="H50" s="31">
        <f>SUM(Oct!H50, Nov!H50, Dec!H50)</f>
        <v>0</v>
      </c>
      <c r="I50" s="32" t="str">
        <f t="shared" si="8"/>
        <v/>
      </c>
    </row>
    <row r="51" spans="1:9" ht="15.6">
      <c r="A51" s="48" t="str">
        <v>CA: Stockton - SUSD - Hamilton ES</v>
      </c>
      <c r="B51" s="34" t="str">
        <v>CA</v>
      </c>
      <c r="C51" s="35">
        <f>SUM(Oct!C51, Nov!C51, Dec!C51)</f>
        <v>0</v>
      </c>
      <c r="D51" s="36">
        <f>SUM(Oct!D51, Nov!D51, Dec!D51)</f>
        <v>0</v>
      </c>
      <c r="E51" s="36">
        <f t="shared" si="6"/>
        <v>0</v>
      </c>
      <c r="F51" s="71" t="str">
        <f t="shared" si="7"/>
        <v/>
      </c>
      <c r="G51" s="36">
        <f>SUM(Oct!G51,Nov!G51,Dec!G51)</f>
        <v>0</v>
      </c>
      <c r="H51" s="72">
        <f>SUM(Oct!H51, Nov!H51, Dec!H51)</f>
        <v>0</v>
      </c>
      <c r="I51" s="71" t="str">
        <f t="shared" si="8"/>
        <v/>
      </c>
    </row>
    <row r="52" spans="1:9" ht="15.6">
      <c r="A52" s="47" t="str">
        <v>CA: Stockton - SUSD - Franklin - North</v>
      </c>
      <c r="B52" s="27" t="str">
        <v>CA</v>
      </c>
      <c r="C52" s="28">
        <f>SUM(Oct!C52, Nov!C52, Dec!C52)</f>
        <v>0</v>
      </c>
      <c r="D52" s="29">
        <f>SUM(Oct!D52, Nov!D52, Dec!D52)</f>
        <v>0</v>
      </c>
      <c r="E52" s="29">
        <f t="shared" si="6"/>
        <v>0</v>
      </c>
      <c r="F52" s="30" t="str">
        <f t="shared" si="7"/>
        <v/>
      </c>
      <c r="G52" s="31">
        <f>SUM(Oct!G52,Nov!G52,Dec!G52)</f>
        <v>0</v>
      </c>
      <c r="H52" s="31">
        <f>SUM(Oct!H52, Nov!H52, Dec!H52)</f>
        <v>0</v>
      </c>
      <c r="I52" s="32" t="str">
        <f t="shared" si="8"/>
        <v/>
      </c>
    </row>
    <row r="53" spans="1:9" ht="15.6">
      <c r="A53" s="48" t="str">
        <v>Stockton Unified School Dist. - Fillmore Elementary</v>
      </c>
      <c r="B53" s="34" t="str">
        <v>CA</v>
      </c>
      <c r="C53" s="35">
        <f>SUM(Oct!C53, Nov!C53, Dec!C53)</f>
        <v>0</v>
      </c>
      <c r="D53" s="36">
        <f>SUM(Oct!D53, Nov!D53, Dec!D53)</f>
        <v>0</v>
      </c>
      <c r="E53" s="36">
        <f t="shared" si="6"/>
        <v>0</v>
      </c>
      <c r="F53" s="71" t="str">
        <f t="shared" si="7"/>
        <v/>
      </c>
      <c r="G53" s="36">
        <f>SUM(Oct!G53,Nov!G53,Dec!G53)</f>
        <v>0</v>
      </c>
      <c r="H53" s="72">
        <f>SUM(Oct!H53, Nov!H53, Dec!H53)</f>
        <v>0</v>
      </c>
      <c r="I53" s="71" t="str">
        <f t="shared" si="8"/>
        <v/>
      </c>
    </row>
    <row r="54" spans="1:9" ht="15.6">
      <c r="A54" s="47" t="str">
        <v>CA: Stockton - SUSD - El Dorado ES</v>
      </c>
      <c r="B54" s="27" t="str">
        <v>CA</v>
      </c>
      <c r="C54" s="28">
        <f>SUM(Oct!C54, Nov!C54, Dec!C54)</f>
        <v>0</v>
      </c>
      <c r="D54" s="29">
        <f>SUM(Oct!D54, Nov!D54, Dec!D54)</f>
        <v>0</v>
      </c>
      <c r="E54" s="29">
        <f t="shared" si="6"/>
        <v>0</v>
      </c>
      <c r="F54" s="30" t="str">
        <f t="shared" si="7"/>
        <v/>
      </c>
      <c r="G54" s="31">
        <f>SUM(Oct!G54,Nov!G54,Dec!G54)</f>
        <v>0</v>
      </c>
      <c r="H54" s="31">
        <f>SUM(Oct!H54, Nov!H54, Dec!H54)</f>
        <v>0</v>
      </c>
      <c r="I54" s="32" t="str">
        <f t="shared" si="8"/>
        <v/>
      </c>
    </row>
    <row r="55" spans="1:9" ht="15.6">
      <c r="A55" s="48" t="str">
        <v>CA: Stockton - SUSD - Edison HS</v>
      </c>
      <c r="B55" s="34" t="str">
        <v>CA</v>
      </c>
      <c r="C55" s="35">
        <f>SUM(Oct!C55, Nov!C55, Dec!C55)</f>
        <v>0</v>
      </c>
      <c r="D55" s="36">
        <f>SUM(Oct!D55, Nov!D55, Dec!D55)</f>
        <v>0</v>
      </c>
      <c r="E55" s="36">
        <f t="shared" si="6"/>
        <v>0</v>
      </c>
      <c r="F55" s="71" t="str">
        <f t="shared" si="7"/>
        <v/>
      </c>
      <c r="G55" s="36">
        <f>SUM(Oct!G55,Nov!G55,Dec!G55)</f>
        <v>0</v>
      </c>
      <c r="H55" s="72">
        <f>SUM(Oct!H55, Nov!H55, Dec!H55)</f>
        <v>0</v>
      </c>
      <c r="I55" s="71" t="str">
        <f t="shared" si="8"/>
        <v/>
      </c>
    </row>
    <row r="56" spans="1:9" ht="15.6">
      <c r="A56" s="47" t="str">
        <v>CA: Stockton - SUSD - Chavez HS - Large</v>
      </c>
      <c r="B56" s="27" t="str">
        <v>CA</v>
      </c>
      <c r="C56" s="28">
        <f>SUM(Oct!C56, Nov!C56, Dec!C56)</f>
        <v>0</v>
      </c>
      <c r="D56" s="29">
        <f>SUM(Oct!D56, Nov!D56, Dec!D56)</f>
        <v>0</v>
      </c>
      <c r="E56" s="29">
        <f t="shared" si="6"/>
        <v>0</v>
      </c>
      <c r="F56" s="30" t="str">
        <f t="shared" si="7"/>
        <v/>
      </c>
      <c r="G56" s="31">
        <f>SUM(Oct!G56,Nov!G56,Dec!G56)</f>
        <v>0</v>
      </c>
      <c r="H56" s="31">
        <f>SUM(Oct!H56, Nov!H56, Dec!H56)</f>
        <v>0</v>
      </c>
      <c r="I56" s="32" t="str">
        <f t="shared" si="8"/>
        <v/>
      </c>
    </row>
    <row r="57" spans="1:9" ht="15.6">
      <c r="A57" s="48" t="str">
        <v>CA: San Jose - GE Mobile Water</v>
      </c>
      <c r="B57" s="34" t="str">
        <v>CA</v>
      </c>
      <c r="C57" s="35">
        <f>SUM(Oct!C57, Nov!C57, Dec!C57)</f>
        <v>0</v>
      </c>
      <c r="D57" s="36">
        <f>SUM(Oct!D57, Nov!D57, Dec!D57)</f>
        <v>0</v>
      </c>
      <c r="E57" s="36">
        <f t="shared" ref="E57:E85" si="9">IF(AND(ISNUMBER(C57),ISNUMBER(D57)), C57-D57, "")</f>
        <v>0</v>
      </c>
      <c r="F57" s="71" t="str">
        <f t="shared" ref="F57:F85" si="10">IFERROR(E57/D57, "")</f>
        <v/>
      </c>
      <c r="G57" s="36">
        <f>SUM(Oct!G57,Nov!G57,Dec!G57)</f>
        <v>0</v>
      </c>
      <c r="H57" s="72">
        <f>SUM(Oct!H57, Nov!H57, Dec!H57)</f>
        <v>0</v>
      </c>
      <c r="I57" s="71" t="str">
        <f t="shared" ref="I57:I85" si="11">IFERROR(H57/G57, "")</f>
        <v/>
      </c>
    </row>
    <row r="58" spans="1:9" ht="15.6">
      <c r="A58" s="47" t="str">
        <v>CA: San Marcos - Vallecitos Water - Lift Station</v>
      </c>
      <c r="B58" s="27" t="str">
        <v>CA</v>
      </c>
      <c r="C58" s="28">
        <f>SUM(Oct!C58, Nov!C58, Dec!C58)</f>
        <v>0</v>
      </c>
      <c r="D58" s="29">
        <f>SUM(Oct!D58, Nov!D58, Dec!D58)</f>
        <v>0</v>
      </c>
      <c r="E58" s="29">
        <f t="shared" si="9"/>
        <v>0</v>
      </c>
      <c r="F58" s="30" t="str">
        <f t="shared" si="10"/>
        <v/>
      </c>
      <c r="G58" s="31">
        <f>SUM(Oct!G58,Nov!G58,Dec!G58)</f>
        <v>0</v>
      </c>
      <c r="H58" s="31">
        <f>SUM(Oct!H58, Nov!H58, Dec!H58)</f>
        <v>0</v>
      </c>
      <c r="I58" s="32" t="str">
        <f t="shared" si="11"/>
        <v/>
      </c>
    </row>
    <row r="59" spans="1:9" ht="15.6">
      <c r="A59" s="48" t="str">
        <v>CA: San Marcos - Vallecitos Water - Twin Oaks Reservoir</v>
      </c>
      <c r="B59" s="34" t="str">
        <v>CA</v>
      </c>
      <c r="C59" s="35">
        <f>SUM(Oct!C59, Nov!C59, Dec!C59)</f>
        <v>0</v>
      </c>
      <c r="D59" s="36">
        <f>SUM(Oct!D59, Nov!D59, Dec!D59)</f>
        <v>0</v>
      </c>
      <c r="E59" s="36">
        <f t="shared" si="9"/>
        <v>0</v>
      </c>
      <c r="F59" s="71" t="str">
        <f t="shared" si="10"/>
        <v/>
      </c>
      <c r="G59" s="36">
        <f>SUM(Oct!G59,Nov!G59,Dec!G59)</f>
        <v>0</v>
      </c>
      <c r="H59" s="72">
        <f>SUM(Oct!H59, Nov!H59, Dec!H59)</f>
        <v>0</v>
      </c>
      <c r="I59" s="71" t="str">
        <f t="shared" si="11"/>
        <v/>
      </c>
    </row>
    <row r="60" spans="1:9" ht="15.6">
      <c r="A60" s="47" t="str">
        <v>CA: Stockton - SUSD - Wilhelmina Henry ES</v>
      </c>
      <c r="B60" s="27" t="str">
        <v>CA</v>
      </c>
      <c r="C60" s="28">
        <f>SUM(Oct!C60, Nov!C60, Dec!C60)</f>
        <v>0</v>
      </c>
      <c r="D60" s="29">
        <f>SUM(Oct!D60, Nov!D60, Dec!D60)</f>
        <v>0</v>
      </c>
      <c r="E60" s="29">
        <f t="shared" si="9"/>
        <v>0</v>
      </c>
      <c r="F60" s="30" t="str">
        <f t="shared" si="10"/>
        <v/>
      </c>
      <c r="G60" s="31">
        <f>SUM(Oct!G60,Nov!G60,Dec!G60)</f>
        <v>0</v>
      </c>
      <c r="H60" s="31">
        <f>SUM(Oct!H60, Nov!H60, Dec!H60)</f>
        <v>0</v>
      </c>
      <c r="I60" s="32" t="str">
        <f t="shared" si="11"/>
        <v/>
      </c>
    </row>
    <row r="61" spans="1:9" ht="15.6">
      <c r="A61" s="48" t="str">
        <v>Stockton Unified School Dist. - Franklin (North)</v>
      </c>
      <c r="B61" s="34" t="str">
        <v>CA</v>
      </c>
      <c r="C61" s="35">
        <f>SUM(Oct!C61, Nov!C61, Dec!C61)</f>
        <v>0</v>
      </c>
      <c r="D61" s="36">
        <f>SUM(Oct!D61, Nov!D61, Dec!D61)</f>
        <v>0</v>
      </c>
      <c r="E61" s="36">
        <f t="shared" si="9"/>
        <v>0</v>
      </c>
      <c r="F61" s="71" t="str">
        <f t="shared" si="10"/>
        <v/>
      </c>
      <c r="G61" s="36">
        <f>SUM(Oct!G61,Nov!G61,Dec!G61)</f>
        <v>0</v>
      </c>
      <c r="H61" s="72">
        <f>SUM(Oct!H61, Nov!H61, Dec!H61)</f>
        <v>0</v>
      </c>
      <c r="I61" s="71" t="str">
        <f t="shared" si="11"/>
        <v/>
      </c>
    </row>
    <row r="62" spans="1:9" ht="15.6">
      <c r="A62" s="47" t="str">
        <v>CA: Stockton - SUSD - Franklin - South</v>
      </c>
      <c r="B62" s="27" t="str">
        <v>CA</v>
      </c>
      <c r="C62" s="28">
        <f>SUM(Oct!C62, Nov!C62, Dec!C62)</f>
        <v>0</v>
      </c>
      <c r="D62" s="29">
        <f>SUM(Oct!D62, Nov!D62, Dec!D62)</f>
        <v>0</v>
      </c>
      <c r="E62" s="29">
        <f t="shared" si="9"/>
        <v>0</v>
      </c>
      <c r="F62" s="30" t="str">
        <f t="shared" si="10"/>
        <v/>
      </c>
      <c r="G62" s="31">
        <f>SUM(Oct!G62,Nov!G62,Dec!G62)</f>
        <v>0</v>
      </c>
      <c r="H62" s="31">
        <f>SUM(Oct!H62, Nov!H62, Dec!H62)</f>
        <v>0</v>
      </c>
      <c r="I62" s="32" t="str">
        <f t="shared" si="11"/>
        <v/>
      </c>
    </row>
    <row r="63" spans="1:9" ht="15.6">
      <c r="A63" s="48" t="str">
        <v>CA: Stockton - SUSD - Chavez HS - Small</v>
      </c>
      <c r="B63" s="34" t="str">
        <v>CA</v>
      </c>
      <c r="C63" s="35">
        <f>SUM(Oct!C63, Nov!C63, Dec!C63)</f>
        <v>0</v>
      </c>
      <c r="D63" s="36">
        <f>SUM(Oct!D63, Nov!D63, Dec!D63)</f>
        <v>0</v>
      </c>
      <c r="E63" s="36">
        <f t="shared" si="9"/>
        <v>0</v>
      </c>
      <c r="F63" s="71" t="str">
        <f t="shared" si="10"/>
        <v/>
      </c>
      <c r="G63" s="36">
        <f>SUM(Oct!G63,Nov!G63,Dec!G63)</f>
        <v>0</v>
      </c>
      <c r="H63" s="72">
        <f>SUM(Oct!H63, Nov!H63, Dec!H63)</f>
        <v>0</v>
      </c>
      <c r="I63" s="71" t="str">
        <f t="shared" si="11"/>
        <v/>
      </c>
    </row>
    <row r="64" spans="1:9" ht="15.6">
      <c r="A64" s="47" t="str">
        <v>CA: Stockton - SUSD - Facilities</v>
      </c>
      <c r="B64" s="27" t="str">
        <v>CA</v>
      </c>
      <c r="C64" s="28">
        <f>SUM(Oct!C64, Nov!C64, Dec!C64)</f>
        <v>0</v>
      </c>
      <c r="D64" s="29">
        <f>SUM(Oct!D64, Nov!D64, Dec!D64)</f>
        <v>0</v>
      </c>
      <c r="E64" s="29">
        <f t="shared" si="9"/>
        <v>0</v>
      </c>
      <c r="F64" s="30" t="str">
        <f t="shared" si="10"/>
        <v/>
      </c>
      <c r="G64" s="31">
        <f>SUM(Oct!G64,Nov!G64,Dec!G64)</f>
        <v>0</v>
      </c>
      <c r="H64" s="31">
        <f>SUM(Oct!H64, Nov!H64, Dec!H64)</f>
        <v>0</v>
      </c>
      <c r="I64" s="32" t="str">
        <f t="shared" si="11"/>
        <v/>
      </c>
    </row>
    <row r="65" spans="1:9" ht="15.6">
      <c r="A65" s="48" t="str">
        <v>CA: Stockton - SUSD - Harrison</v>
      </c>
      <c r="B65" s="34" t="str">
        <v>CA</v>
      </c>
      <c r="C65" s="35">
        <f>SUM(Oct!C65, Nov!C65, Dec!C65)</f>
        <v>0</v>
      </c>
      <c r="D65" s="36">
        <f>SUM(Oct!D65, Nov!D65, Dec!D65)</f>
        <v>0</v>
      </c>
      <c r="E65" s="36">
        <f t="shared" si="9"/>
        <v>0</v>
      </c>
      <c r="F65" s="71" t="str">
        <f t="shared" si="10"/>
        <v/>
      </c>
      <c r="G65" s="36">
        <f>SUM(Oct!G65,Nov!G65,Dec!G65)</f>
        <v>0</v>
      </c>
      <c r="H65" s="72">
        <f>SUM(Oct!H65, Nov!H65, Dec!H65)</f>
        <v>0</v>
      </c>
      <c r="I65" s="71" t="str">
        <f t="shared" si="11"/>
        <v/>
      </c>
    </row>
    <row r="66" spans="1:9" ht="15.6">
      <c r="A66" s="47" t="str">
        <v>CA: Stockton - SUSD - Commodore Skills School</v>
      </c>
      <c r="B66" s="27" t="str">
        <v>CA</v>
      </c>
      <c r="C66" s="28">
        <f>SUM(Oct!C66, Nov!C66, Dec!C66)</f>
        <v>0</v>
      </c>
      <c r="D66" s="29">
        <f>SUM(Oct!D66, Nov!D66, Dec!D66)</f>
        <v>0</v>
      </c>
      <c r="E66" s="29">
        <f t="shared" si="9"/>
        <v>0</v>
      </c>
      <c r="F66" s="30" t="str">
        <f t="shared" si="10"/>
        <v/>
      </c>
      <c r="G66" s="31">
        <f>SUM(Oct!G66,Nov!G66,Dec!G66)</f>
        <v>0</v>
      </c>
      <c r="H66" s="31">
        <f>SUM(Oct!H66, Nov!H66, Dec!H66)</f>
        <v>0</v>
      </c>
      <c r="I66" s="32" t="str">
        <f t="shared" si="11"/>
        <v/>
      </c>
    </row>
    <row r="67" spans="1:9" ht="15.6">
      <c r="A67" s="48" t="str">
        <v>CA: Stockton - SUSD - Nightingale ES</v>
      </c>
      <c r="B67" s="34" t="str">
        <v>CA</v>
      </c>
      <c r="C67" s="35">
        <f>SUM(Oct!C67, Nov!C67, Dec!C67)</f>
        <v>0</v>
      </c>
      <c r="D67" s="36">
        <f>SUM(Oct!D67, Nov!D67, Dec!D67)</f>
        <v>0</v>
      </c>
      <c r="E67" s="36">
        <f t="shared" si="9"/>
        <v>0</v>
      </c>
      <c r="F67" s="71" t="str">
        <f t="shared" si="10"/>
        <v/>
      </c>
      <c r="G67" s="36">
        <f>SUM(Oct!G67,Nov!G67,Dec!G67)</f>
        <v>0</v>
      </c>
      <c r="H67" s="72">
        <f>SUM(Oct!H67, Nov!H67, Dec!H67)</f>
        <v>0</v>
      </c>
      <c r="I67" s="71" t="str">
        <f t="shared" si="11"/>
        <v/>
      </c>
    </row>
    <row r="68" spans="1:9" ht="15.6">
      <c r="A68" s="47" t="str">
        <v>CA: Stockton - SUSD - Weber Institute</v>
      </c>
      <c r="B68" s="27" t="str">
        <v>CA</v>
      </c>
      <c r="C68" s="28">
        <f>SUM(Oct!C68, Nov!C68, Dec!C68)</f>
        <v>0</v>
      </c>
      <c r="D68" s="29">
        <f>SUM(Oct!D68, Nov!D68, Dec!D68)</f>
        <v>0</v>
      </c>
      <c r="E68" s="29">
        <f t="shared" si="9"/>
        <v>0</v>
      </c>
      <c r="F68" s="30" t="str">
        <f t="shared" si="10"/>
        <v/>
      </c>
      <c r="G68" s="31">
        <f>SUM(Oct!G68,Nov!G68,Dec!G68)</f>
        <v>0</v>
      </c>
      <c r="H68" s="31">
        <f>SUM(Oct!H68, Nov!H68, Dec!H68)</f>
        <v>0</v>
      </c>
      <c r="I68" s="32" t="str">
        <f t="shared" si="11"/>
        <v/>
      </c>
    </row>
    <row r="69" spans="1:9" ht="15.6">
      <c r="A69" s="48" t="str">
        <v>CA: Stockton - SUSD - Warehouse</v>
      </c>
      <c r="B69" s="34" t="str">
        <v>CA</v>
      </c>
      <c r="C69" s="35">
        <f>SUM(Oct!C69, Nov!C69, Dec!C69)</f>
        <v>0</v>
      </c>
      <c r="D69" s="36">
        <f>SUM(Oct!D69, Nov!D69, Dec!D69)</f>
        <v>0</v>
      </c>
      <c r="E69" s="36">
        <f t="shared" si="9"/>
        <v>0</v>
      </c>
      <c r="F69" s="71" t="str">
        <f t="shared" si="10"/>
        <v/>
      </c>
      <c r="G69" s="36">
        <f>SUM(Oct!G69,Nov!G69,Dec!G69)</f>
        <v>0</v>
      </c>
      <c r="H69" s="72">
        <f>SUM(Oct!H69, Nov!H69, Dec!H69)</f>
        <v>0</v>
      </c>
      <c r="I69" s="71" t="str">
        <f t="shared" si="11"/>
        <v/>
      </c>
    </row>
    <row r="70" spans="1:9" ht="15.6">
      <c r="A70" s="47" t="str">
        <v>CA: Stockton - SUSD - Walton Special Center</v>
      </c>
      <c r="B70" s="27" t="str">
        <v>CA</v>
      </c>
      <c r="C70" s="28">
        <f>SUM(Oct!C70, Nov!C70, Dec!C70)</f>
        <v>0</v>
      </c>
      <c r="D70" s="29">
        <f>SUM(Oct!D70, Nov!D70, Dec!D70)</f>
        <v>0</v>
      </c>
      <c r="E70" s="29">
        <f t="shared" si="9"/>
        <v>0</v>
      </c>
      <c r="F70" s="30" t="str">
        <f t="shared" si="10"/>
        <v/>
      </c>
      <c r="G70" s="31">
        <f>SUM(Oct!G70,Nov!G70,Dec!G70)</f>
        <v>0</v>
      </c>
      <c r="H70" s="31">
        <f>SUM(Oct!H70, Nov!H70, Dec!H70)</f>
        <v>0</v>
      </c>
      <c r="I70" s="32" t="str">
        <f t="shared" si="11"/>
        <v/>
      </c>
    </row>
    <row r="71" spans="1:9" ht="15.6">
      <c r="A71" s="48" t="str">
        <v>CA: Stockton - SUSD - Stagg HS</v>
      </c>
      <c r="B71" s="34" t="str">
        <v>CA</v>
      </c>
      <c r="C71" s="35">
        <f>SUM(Oct!C71, Nov!C71, Dec!C71)</f>
        <v>0</v>
      </c>
      <c r="D71" s="36">
        <f>SUM(Oct!D71, Nov!D71, Dec!D71)</f>
        <v>0</v>
      </c>
      <c r="E71" s="36">
        <f t="shared" si="9"/>
        <v>0</v>
      </c>
      <c r="F71" s="71" t="str">
        <f t="shared" si="10"/>
        <v/>
      </c>
      <c r="G71" s="36">
        <f>SUM(Oct!G71,Nov!G71,Dec!G71)</f>
        <v>0</v>
      </c>
      <c r="H71" s="72">
        <f>SUM(Oct!H71, Nov!H71, Dec!H71)</f>
        <v>0</v>
      </c>
      <c r="I71" s="71" t="str">
        <f t="shared" si="11"/>
        <v/>
      </c>
    </row>
    <row r="72" spans="1:9" ht="15.6">
      <c r="A72" s="47" t="str">
        <v>CA: Stockton - SUSD - School for Adults</v>
      </c>
      <c r="B72" s="27" t="str">
        <v>CA</v>
      </c>
      <c r="C72" s="28">
        <f>SUM(Oct!C72, Nov!C72, Dec!C72)</f>
        <v>0</v>
      </c>
      <c r="D72" s="29">
        <f>SUM(Oct!D72, Nov!D72, Dec!D72)</f>
        <v>0</v>
      </c>
      <c r="E72" s="29">
        <f t="shared" si="9"/>
        <v>0</v>
      </c>
      <c r="F72" s="30" t="str">
        <f t="shared" si="10"/>
        <v/>
      </c>
      <c r="G72" s="31">
        <f>SUM(Oct!G72,Nov!G72,Dec!G72)</f>
        <v>0</v>
      </c>
      <c r="H72" s="31">
        <f>SUM(Oct!H72, Nov!H72, Dec!H72)</f>
        <v>0</v>
      </c>
      <c r="I72" s="32" t="str">
        <f t="shared" si="11"/>
        <v/>
      </c>
    </row>
    <row r="73" spans="1:9" ht="15.6">
      <c r="A73" s="48" t="str">
        <v>CA: Stockton - SUSD - San Joaquin</v>
      </c>
      <c r="B73" s="34" t="str">
        <v>CA</v>
      </c>
      <c r="C73" s="35">
        <f>SUM(Oct!C73, Nov!C73, Dec!C73)</f>
        <v>0</v>
      </c>
      <c r="D73" s="36">
        <f>SUM(Oct!D73, Nov!D73, Dec!D73)</f>
        <v>0</v>
      </c>
      <c r="E73" s="36">
        <f t="shared" si="9"/>
        <v>0</v>
      </c>
      <c r="F73" s="71" t="str">
        <f t="shared" si="10"/>
        <v/>
      </c>
      <c r="G73" s="36">
        <f>SUM(Oct!G73,Nov!G73,Dec!G73)</f>
        <v>0</v>
      </c>
      <c r="H73" s="72">
        <f>SUM(Oct!H73, Nov!H73, Dec!H73)</f>
        <v>0</v>
      </c>
      <c r="I73" s="71" t="str">
        <f t="shared" si="11"/>
        <v/>
      </c>
    </row>
    <row r="74" spans="1:9" ht="15.6">
      <c r="A74" s="47" t="str">
        <v>CA: Stockton - SUSD - Rio Calaveras</v>
      </c>
      <c r="B74" s="27" t="str">
        <v>CA</v>
      </c>
      <c r="C74" s="28">
        <f>SUM(Oct!C74, Nov!C74, Dec!C74)</f>
        <v>0</v>
      </c>
      <c r="D74" s="29">
        <f>SUM(Oct!D74, Nov!D74, Dec!D74)</f>
        <v>0</v>
      </c>
      <c r="E74" s="29">
        <f t="shared" si="9"/>
        <v>0</v>
      </c>
      <c r="F74" s="30" t="str">
        <f t="shared" si="10"/>
        <v/>
      </c>
      <c r="G74" s="31">
        <f>SUM(Oct!G74,Nov!G74,Dec!G74)</f>
        <v>0</v>
      </c>
      <c r="H74" s="31">
        <f>SUM(Oct!H74, Nov!H74, Dec!H74)</f>
        <v>0</v>
      </c>
      <c r="I74" s="32" t="str">
        <f t="shared" si="11"/>
        <v/>
      </c>
    </row>
    <row r="75" spans="1:9" ht="15.6">
      <c r="A75" s="48" t="str">
        <v>CA: Stockton - SUSD - Peyton</v>
      </c>
      <c r="B75" s="34" t="str">
        <v>CA</v>
      </c>
      <c r="C75" s="35">
        <f>SUM(Oct!C75, Nov!C75, Dec!C75)</f>
        <v>0</v>
      </c>
      <c r="D75" s="36">
        <f>SUM(Oct!D75, Nov!D75, Dec!D75)</f>
        <v>0</v>
      </c>
      <c r="E75" s="36">
        <f t="shared" si="9"/>
        <v>0</v>
      </c>
      <c r="F75" s="71" t="str">
        <f t="shared" si="10"/>
        <v/>
      </c>
      <c r="G75" s="36">
        <f>SUM(Oct!G75,Nov!G75,Dec!G75)</f>
        <v>0</v>
      </c>
      <c r="H75" s="72">
        <f>SUM(Oct!H75, Nov!H75, Dec!H75)</f>
        <v>0</v>
      </c>
      <c r="I75" s="71" t="str">
        <f t="shared" si="11"/>
        <v/>
      </c>
    </row>
    <row r="76" spans="1:9" ht="15.6">
      <c r="A76" s="47" t="str">
        <v>TX: Barnhart - 42917 Ranch RD 2469</v>
      </c>
      <c r="B76" s="27" t="str">
        <v>TX</v>
      </c>
      <c r="C76" s="28">
        <f>SUM(Oct!C76, Nov!C76, Dec!C76)</f>
        <v>0</v>
      </c>
      <c r="D76" s="29">
        <f>SUM(Oct!D76, Nov!D76, Dec!D76)</f>
        <v>0</v>
      </c>
      <c r="E76" s="29">
        <f t="shared" si="9"/>
        <v>0</v>
      </c>
      <c r="F76" s="30" t="str">
        <f t="shared" si="10"/>
        <v/>
      </c>
      <c r="G76" s="31">
        <f>SUM(Oct!G76,Nov!G76,Dec!G76)</f>
        <v>0</v>
      </c>
      <c r="H76" s="31">
        <f>SUM(Oct!H76, Nov!H76, Dec!H76)</f>
        <v>0</v>
      </c>
      <c r="I76" s="32" t="str">
        <f t="shared" si="11"/>
        <v/>
      </c>
    </row>
    <row r="77" spans="1:9" ht="15.6">
      <c r="A77" s="48" t="str">
        <v>AZ: San Manuel - Senior &amp; Junior HS</v>
      </c>
      <c r="B77" s="34" t="str">
        <v>AZ</v>
      </c>
      <c r="C77" s="35">
        <f>SUM(Oct!C77, Nov!C77, Dec!C77)</f>
        <v>0</v>
      </c>
      <c r="D77" s="36">
        <f>SUM(Oct!D77, Nov!D77, Dec!D77)</f>
        <v>0</v>
      </c>
      <c r="E77" s="36">
        <f t="shared" si="9"/>
        <v>0</v>
      </c>
      <c r="F77" s="71" t="str">
        <f t="shared" si="10"/>
        <v/>
      </c>
      <c r="G77" s="36">
        <f>SUM(Oct!G77,Nov!G77,Dec!G77)</f>
        <v>0</v>
      </c>
      <c r="H77" s="72">
        <f>SUM(Oct!H77, Nov!H77, Dec!H77)</f>
        <v>0</v>
      </c>
      <c r="I77" s="71" t="str">
        <f t="shared" si="11"/>
        <v/>
      </c>
    </row>
    <row r="78" spans="1:9" ht="15.6">
      <c r="A78" s="47" t="str">
        <v>AZ: Sierra Vista - Colonel Smith MS</v>
      </c>
      <c r="B78" s="27" t="str">
        <v>AZ</v>
      </c>
      <c r="C78" s="28">
        <f>SUM(Oct!C78, Nov!C78, Dec!C78)</f>
        <v>0</v>
      </c>
      <c r="D78" s="29">
        <f>SUM(Oct!D78, Nov!D78, Dec!D78)</f>
        <v>0</v>
      </c>
      <c r="E78" s="29">
        <f t="shared" si="9"/>
        <v>0</v>
      </c>
      <c r="F78" s="30" t="str">
        <f t="shared" si="10"/>
        <v/>
      </c>
      <c r="G78" s="31">
        <f>SUM(Oct!G78,Nov!G78,Dec!G78)</f>
        <v>0</v>
      </c>
      <c r="H78" s="31">
        <f>SUM(Oct!H78, Nov!H78, Dec!H78)</f>
        <v>0</v>
      </c>
      <c r="I78" s="32" t="str">
        <f t="shared" si="11"/>
        <v/>
      </c>
    </row>
    <row r="79" spans="1:9" ht="15.6">
      <c r="A79" s="48" t="str">
        <v>AZ: Sierra Vista - Colonel Johnston ES</v>
      </c>
      <c r="B79" s="34" t="str">
        <v>AZ</v>
      </c>
      <c r="C79" s="35">
        <f>SUM(Oct!C79, Nov!C79, Dec!C79)</f>
        <v>0</v>
      </c>
      <c r="D79" s="36">
        <f>SUM(Oct!D79, Nov!D79, Dec!D79)</f>
        <v>0</v>
      </c>
      <c r="E79" s="36">
        <f t="shared" si="9"/>
        <v>0</v>
      </c>
      <c r="F79" s="71" t="str">
        <f t="shared" si="10"/>
        <v/>
      </c>
      <c r="G79" s="36">
        <f>SUM(Oct!G79,Nov!G79,Dec!G79)</f>
        <v>0</v>
      </c>
      <c r="H79" s="72">
        <f>SUM(Oct!H79, Nov!H79, Dec!H79)</f>
        <v>0</v>
      </c>
      <c r="I79" s="71" t="str">
        <f t="shared" si="11"/>
        <v/>
      </c>
    </row>
    <row r="80" spans="1:9" ht="15.6">
      <c r="A80" s="47" t="str">
        <v>NH: Dover - Dover HS</v>
      </c>
      <c r="B80" s="27" t="str">
        <v>NH</v>
      </c>
      <c r="C80" s="28">
        <f>SUM(Oct!C80, Nov!C80, Dec!C80)</f>
        <v>0</v>
      </c>
      <c r="D80" s="29">
        <f>SUM(Oct!D80, Nov!D80, Dec!D80)</f>
        <v>0</v>
      </c>
      <c r="E80" s="29">
        <f t="shared" si="9"/>
        <v>0</v>
      </c>
      <c r="F80" s="30" t="str">
        <f t="shared" si="10"/>
        <v/>
      </c>
      <c r="G80" s="31">
        <f>SUM(Oct!G80,Nov!G80,Dec!G80)</f>
        <v>0</v>
      </c>
      <c r="H80" s="31">
        <f>SUM(Oct!H80, Nov!H80, Dec!H80)</f>
        <v>0</v>
      </c>
      <c r="I80" s="32" t="str">
        <f t="shared" si="11"/>
        <v/>
      </c>
    </row>
    <row r="81" spans="1:9" ht="15.6">
      <c r="A81" s="48" t="str">
        <v>MA: Somerville - 30 Inner Belt Rd</v>
      </c>
      <c r="B81" s="34" t="str">
        <v>MA</v>
      </c>
      <c r="C81" s="35">
        <f>SUM(Oct!C81, Nov!C81, Dec!C81)</f>
        <v>0</v>
      </c>
      <c r="D81" s="36">
        <f>SUM(Oct!D81, Nov!D81, Dec!D81)</f>
        <v>0</v>
      </c>
      <c r="E81" s="36">
        <f t="shared" si="9"/>
        <v>0</v>
      </c>
      <c r="F81" s="71" t="str">
        <f t="shared" si="10"/>
        <v/>
      </c>
      <c r="G81" s="36">
        <f>SUM(Oct!G81,Nov!G81,Dec!G81)</f>
        <v>0</v>
      </c>
      <c r="H81" s="72">
        <f>SUM(Oct!H81, Nov!H81, Dec!H81)</f>
        <v>0</v>
      </c>
      <c r="I81" s="71" t="str">
        <f t="shared" si="11"/>
        <v/>
      </c>
    </row>
    <row r="82" spans="1:9" ht="15.6">
      <c r="A82" s="47" t="str">
        <v>MA: Boxborough - 1414 Massachusetts Ave</v>
      </c>
      <c r="B82" s="27" t="str">
        <v>MA</v>
      </c>
      <c r="C82" s="28">
        <f>SUM(Oct!C82, Nov!C82, Dec!C82)</f>
        <v>0</v>
      </c>
      <c r="D82" s="29">
        <f>SUM(Oct!D82, Nov!D82, Dec!D82)</f>
        <v>0</v>
      </c>
      <c r="E82" s="29">
        <f t="shared" si="9"/>
        <v>0</v>
      </c>
      <c r="F82" s="30" t="str">
        <f t="shared" si="10"/>
        <v/>
      </c>
      <c r="G82" s="31">
        <f>SUM(Oct!G82,Nov!G82,Dec!G82)</f>
        <v>0</v>
      </c>
      <c r="H82" s="31">
        <f>SUM(Oct!H82, Nov!H82, Dec!H82)</f>
        <v>0</v>
      </c>
      <c r="I82" s="32" t="str">
        <f t="shared" si="11"/>
        <v/>
      </c>
    </row>
    <row r="83" spans="1:9" ht="15.6">
      <c r="A83" s="48" t="str">
        <v>NY: Amsterdam - 153 NY Route 67</v>
      </c>
      <c r="B83" s="34" t="str">
        <v>NY</v>
      </c>
      <c r="C83" s="35">
        <f>SUM(Oct!C83, Nov!C83, Dec!C83)</f>
        <v>0</v>
      </c>
      <c r="D83" s="36">
        <f>SUM(Oct!D83, Nov!D83, Dec!D83)</f>
        <v>0</v>
      </c>
      <c r="E83" s="36">
        <f t="shared" si="9"/>
        <v>0</v>
      </c>
      <c r="F83" s="71" t="str">
        <f t="shared" si="10"/>
        <v/>
      </c>
      <c r="G83" s="36">
        <f>SUM(Oct!G83,Nov!G83,Dec!G83)</f>
        <v>0</v>
      </c>
      <c r="H83" s="72">
        <f>SUM(Oct!H83, Nov!H83, Dec!H83)</f>
        <v>0</v>
      </c>
      <c r="I83" s="71" t="str">
        <f t="shared" si="11"/>
        <v/>
      </c>
    </row>
    <row r="84" spans="1:9" ht="15.6">
      <c r="A84" s="47" t="str">
        <v>CA: San Jose - GE Mobile Water</v>
      </c>
      <c r="B84" s="27" t="str">
        <v>CA</v>
      </c>
      <c r="C84" s="28">
        <f>SUM(Oct!C84, Nov!C84, Dec!C84)</f>
        <v>0</v>
      </c>
      <c r="D84" s="29">
        <f>SUM(Oct!D84, Nov!D84, Dec!D84)</f>
        <v>0</v>
      </c>
      <c r="E84" s="29">
        <f t="shared" si="9"/>
        <v>0</v>
      </c>
      <c r="F84" s="30" t="str">
        <f t="shared" si="10"/>
        <v/>
      </c>
      <c r="G84" s="31">
        <f>SUM(Oct!G84,Nov!G84,Dec!G84)</f>
        <v>0</v>
      </c>
      <c r="H84" s="31">
        <f>SUM(Oct!H84, Nov!H84, Dec!H84)</f>
        <v>0</v>
      </c>
      <c r="I84" s="32" t="str">
        <f t="shared" si="11"/>
        <v/>
      </c>
    </row>
    <row r="85" spans="1:9" ht="15.6">
      <c r="A85" s="48" t="str">
        <v>NY: Rome - 7776 Tannery RD</v>
      </c>
      <c r="B85" s="34" t="str">
        <v>NY</v>
      </c>
      <c r="C85" s="35">
        <f>SUM(Oct!C85, Nov!C85, Dec!C85)</f>
        <v>0</v>
      </c>
      <c r="D85" s="36">
        <f>SUM(Oct!D85, Nov!D85, Dec!D85)</f>
        <v>0</v>
      </c>
      <c r="E85" s="36">
        <f t="shared" si="9"/>
        <v>0</v>
      </c>
      <c r="F85" s="71" t="str">
        <f t="shared" si="10"/>
        <v/>
      </c>
      <c r="G85" s="36">
        <f>SUM(Oct!G85,Nov!G85,Dec!G85)</f>
        <v>0</v>
      </c>
      <c r="H85" s="72">
        <f>SUM(Oct!H85, Nov!H85, Dec!H85)</f>
        <v>0</v>
      </c>
      <c r="I85" s="71" t="str">
        <f t="shared" si="11"/>
        <v/>
      </c>
    </row>
    <row r="86" spans="1:9" ht="13.9">
      <c r="A86" s="8"/>
      <c r="B86" s="8"/>
      <c r="C86" s="8"/>
      <c r="D86" s="8"/>
      <c r="E86" s="8"/>
      <c r="F86" s="9"/>
      <c r="G86" s="8"/>
      <c r="H86" s="8"/>
      <c r="I86" s="9"/>
    </row>
    <row r="87" spans="1:9" ht="13.9">
      <c r="A87" s="8"/>
      <c r="B87" s="8"/>
      <c r="C87" s="8"/>
      <c r="D87" s="8"/>
      <c r="E87" s="8"/>
      <c r="F87" s="9"/>
      <c r="G87" s="8"/>
      <c r="H87" s="8"/>
      <c r="I87" s="9"/>
    </row>
    <row r="88" spans="1:9" ht="13.9">
      <c r="A88" s="8"/>
      <c r="B88" s="8"/>
      <c r="C88" s="8"/>
      <c r="D88" s="8"/>
      <c r="E88" s="8"/>
      <c r="F88" s="9"/>
      <c r="G88" s="8"/>
      <c r="H88" s="8"/>
      <c r="I88" s="9"/>
    </row>
    <row r="89" spans="1:9" ht="13.9">
      <c r="A89" s="8"/>
      <c r="B89" s="8"/>
      <c r="C89" s="8"/>
      <c r="D89" s="8"/>
      <c r="E89" s="8"/>
      <c r="F89" s="9"/>
      <c r="G89" s="8"/>
      <c r="H89" s="8"/>
      <c r="I89" s="9"/>
    </row>
    <row r="90" spans="1:9" ht="13.9">
      <c r="A90" s="8"/>
      <c r="B90" s="8"/>
      <c r="C90" s="8"/>
      <c r="D90" s="8"/>
      <c r="E90" s="8"/>
      <c r="F90" s="9"/>
      <c r="G90" s="8"/>
      <c r="H90" s="8"/>
      <c r="I90" s="9"/>
    </row>
    <row r="91" spans="1:9" ht="13.9">
      <c r="A91" s="8"/>
      <c r="B91" s="8"/>
      <c r="C91" s="8"/>
      <c r="D91" s="8"/>
      <c r="E91" s="8"/>
      <c r="F91" s="9"/>
      <c r="G91" s="8"/>
      <c r="H91" s="8"/>
      <c r="I91" s="9"/>
    </row>
    <row r="92" spans="1:9" ht="13.9">
      <c r="A92" s="8"/>
      <c r="B92" s="8"/>
      <c r="C92" s="8"/>
      <c r="D92" s="8"/>
      <c r="E92" s="8"/>
      <c r="F92" s="9"/>
      <c r="G92" s="8"/>
      <c r="H92" s="8"/>
      <c r="I92" s="9"/>
    </row>
    <row r="93" spans="1:9" ht="13.9">
      <c r="A93" s="8"/>
      <c r="B93" s="8"/>
      <c r="C93" s="8"/>
      <c r="D93" s="8"/>
      <c r="E93" s="8"/>
      <c r="F93" s="9"/>
      <c r="G93" s="8"/>
      <c r="H93" s="8"/>
      <c r="I93" s="9"/>
    </row>
    <row r="94" spans="1:9" ht="13.9">
      <c r="A94" s="8"/>
      <c r="B94" s="8"/>
      <c r="C94" s="8"/>
      <c r="D94" s="8"/>
      <c r="E94" s="8"/>
      <c r="F94" s="9"/>
      <c r="G94" s="8"/>
      <c r="H94" s="8"/>
      <c r="I94" s="9"/>
    </row>
    <row r="95" spans="1:9" ht="13.9">
      <c r="A95" s="8"/>
      <c r="B95" s="8"/>
      <c r="C95" s="8"/>
      <c r="D95" s="8"/>
      <c r="E95" s="8"/>
      <c r="F95" s="9"/>
      <c r="G95" s="8"/>
      <c r="H95" s="8"/>
      <c r="I95" s="9"/>
    </row>
    <row r="96" spans="1:9" ht="13.9">
      <c r="A96" s="8"/>
      <c r="B96" s="8"/>
      <c r="C96" s="8"/>
      <c r="D96" s="8"/>
      <c r="E96" s="8"/>
      <c r="F96" s="9"/>
      <c r="G96" s="8"/>
      <c r="H96" s="8"/>
      <c r="I96" s="9"/>
    </row>
    <row r="97" spans="1:9" ht="13.9">
      <c r="A97" s="8"/>
      <c r="B97" s="8"/>
      <c r="C97" s="8"/>
      <c r="D97" s="8"/>
      <c r="E97" s="8"/>
      <c r="F97" s="9"/>
      <c r="G97" s="8"/>
      <c r="H97" s="8"/>
      <c r="I97" s="9"/>
    </row>
    <row r="98" spans="1:9" ht="13.9">
      <c r="A98" s="8"/>
      <c r="B98" s="8"/>
      <c r="C98" s="8"/>
      <c r="D98" s="8"/>
      <c r="E98" s="8"/>
      <c r="F98" s="9"/>
      <c r="G98" s="8"/>
      <c r="H98" s="8"/>
      <c r="I98" s="9"/>
    </row>
    <row r="99" spans="1:9" ht="13.9">
      <c r="A99" s="8"/>
      <c r="B99" s="8"/>
      <c r="C99" s="8"/>
      <c r="D99" s="8"/>
      <c r="E99" s="8"/>
      <c r="F99" s="9"/>
      <c r="G99" s="8"/>
      <c r="H99" s="8"/>
      <c r="I99" s="9"/>
    </row>
    <row r="100" spans="1:9" ht="13.9">
      <c r="A100" s="8"/>
      <c r="B100" s="8"/>
      <c r="C100" s="8"/>
      <c r="D100" s="8"/>
      <c r="E100" s="8"/>
      <c r="F100" s="9"/>
      <c r="G100" s="8"/>
      <c r="H100" s="8"/>
      <c r="I100" s="9"/>
    </row>
    <row r="101" spans="1:9" ht="13.9">
      <c r="A101" s="8"/>
      <c r="B101" s="8"/>
      <c r="C101" s="8"/>
      <c r="D101" s="8"/>
      <c r="E101" s="8"/>
      <c r="F101" s="9"/>
      <c r="G101" s="8"/>
      <c r="H101" s="8"/>
      <c r="I101" s="9"/>
    </row>
    <row r="102" spans="1:9" ht="13.9">
      <c r="A102" s="8"/>
      <c r="B102" s="8"/>
      <c r="C102" s="8"/>
      <c r="D102" s="8"/>
      <c r="E102" s="8"/>
      <c r="F102" s="9"/>
      <c r="G102" s="8"/>
      <c r="H102" s="8"/>
      <c r="I102" s="9"/>
    </row>
    <row r="103" spans="1:9" ht="13.9">
      <c r="A103" s="8"/>
      <c r="B103" s="8"/>
      <c r="C103" s="8"/>
      <c r="D103" s="8"/>
      <c r="E103" s="8"/>
      <c r="F103" s="9"/>
      <c r="G103" s="8"/>
      <c r="H103" s="8"/>
      <c r="I103" s="9"/>
    </row>
    <row r="104" spans="1:9" ht="13.9">
      <c r="A104" s="8"/>
      <c r="B104" s="8"/>
      <c r="C104" s="8"/>
      <c r="D104" s="8"/>
      <c r="E104" s="8"/>
      <c r="F104" s="9"/>
      <c r="G104" s="8"/>
      <c r="H104" s="8"/>
      <c r="I104" s="9"/>
    </row>
    <row r="105" spans="1:9" ht="13.9">
      <c r="A105" s="8"/>
      <c r="B105" s="8"/>
      <c r="C105" s="8"/>
      <c r="D105" s="8"/>
      <c r="E105" s="8"/>
      <c r="F105" s="9"/>
      <c r="G105" s="8"/>
      <c r="H105" s="8"/>
      <c r="I105" s="9"/>
    </row>
    <row r="106" spans="1:9" ht="13.9">
      <c r="A106" s="8"/>
      <c r="B106" s="8"/>
      <c r="C106" s="8"/>
      <c r="D106" s="8"/>
      <c r="E106" s="8"/>
      <c r="F106" s="9"/>
      <c r="G106" s="8"/>
      <c r="H106" s="8"/>
      <c r="I106" s="9"/>
    </row>
    <row r="107" spans="1:9" ht="13.9">
      <c r="A107" s="8"/>
      <c r="B107" s="8"/>
      <c r="C107" s="8"/>
      <c r="D107" s="8"/>
      <c r="E107" s="8"/>
      <c r="F107" s="9"/>
      <c r="G107" s="8"/>
      <c r="H107" s="8"/>
      <c r="I107" s="9"/>
    </row>
    <row r="108" spans="1:9" ht="13.9">
      <c r="A108" s="8"/>
      <c r="B108" s="8"/>
      <c r="C108" s="8"/>
      <c r="D108" s="8"/>
      <c r="E108" s="8"/>
      <c r="F108" s="9"/>
      <c r="G108" s="8"/>
      <c r="H108" s="8"/>
      <c r="I108" s="9"/>
    </row>
    <row r="109" spans="1:9" ht="13.9">
      <c r="A109" s="8"/>
      <c r="B109" s="8"/>
      <c r="C109" s="8"/>
      <c r="D109" s="8"/>
      <c r="E109" s="8"/>
      <c r="F109" s="9"/>
      <c r="G109" s="8"/>
      <c r="H109" s="8"/>
      <c r="I109" s="9"/>
    </row>
    <row r="110" spans="1:9" ht="13.9">
      <c r="A110" s="8"/>
      <c r="B110" s="8"/>
      <c r="C110" s="8"/>
      <c r="D110" s="8"/>
      <c r="E110" s="8"/>
      <c r="F110" s="9"/>
      <c r="G110" s="8"/>
      <c r="H110" s="8"/>
      <c r="I110" s="9"/>
    </row>
    <row r="111" spans="1:9" ht="13.9">
      <c r="A111" s="8"/>
      <c r="B111" s="8"/>
      <c r="C111" s="8"/>
      <c r="D111" s="8"/>
      <c r="E111" s="8"/>
      <c r="F111" s="9"/>
      <c r="G111" s="8"/>
      <c r="H111" s="8"/>
      <c r="I111" s="9"/>
    </row>
    <row r="112" spans="1:9" ht="13.9">
      <c r="A112" s="8"/>
      <c r="B112" s="8"/>
      <c r="C112" s="8"/>
      <c r="D112" s="8"/>
      <c r="E112" s="8"/>
      <c r="F112" s="9"/>
      <c r="G112" s="8"/>
      <c r="H112" s="8"/>
      <c r="I112" s="9"/>
    </row>
    <row r="113" spans="1:9" ht="13.9">
      <c r="A113" s="8"/>
      <c r="B113" s="8"/>
      <c r="C113" s="8"/>
      <c r="D113" s="8"/>
      <c r="E113" s="8"/>
      <c r="F113" s="9"/>
      <c r="G113" s="8"/>
      <c r="H113" s="8"/>
      <c r="I113" s="9"/>
    </row>
    <row r="114" spans="1:9" ht="13.9">
      <c r="A114" s="8"/>
      <c r="B114" s="8"/>
      <c r="C114" s="8"/>
      <c r="D114" s="8"/>
      <c r="E114" s="8"/>
      <c r="F114" s="9"/>
      <c r="G114" s="8"/>
      <c r="H114" s="8"/>
      <c r="I114" s="9"/>
    </row>
    <row r="115" spans="1:9" ht="13.9">
      <c r="A115" s="8"/>
      <c r="B115" s="8"/>
      <c r="C115" s="8"/>
      <c r="D115" s="8"/>
      <c r="E115" s="8"/>
      <c r="F115" s="9"/>
      <c r="G115" s="8"/>
      <c r="H115" s="8"/>
      <c r="I115" s="9"/>
    </row>
    <row r="116" spans="1:9" ht="13.9">
      <c r="A116" s="8"/>
      <c r="B116" s="8"/>
      <c r="C116" s="8"/>
      <c r="D116" s="8"/>
      <c r="E116" s="8"/>
      <c r="F116" s="9"/>
      <c r="G116" s="8"/>
      <c r="H116" s="8"/>
      <c r="I116" s="9"/>
    </row>
    <row r="117" spans="1:9" ht="13.9">
      <c r="A117" s="8"/>
      <c r="B117" s="8"/>
      <c r="C117" s="8"/>
      <c r="D117" s="8"/>
      <c r="E117" s="8"/>
      <c r="F117" s="9"/>
      <c r="G117" s="8"/>
      <c r="H117" s="8"/>
      <c r="I117" s="9"/>
    </row>
    <row r="118" spans="1:9" ht="13.9">
      <c r="A118" s="8"/>
      <c r="B118" s="8"/>
      <c r="C118" s="8"/>
      <c r="D118" s="8"/>
      <c r="E118" s="8"/>
      <c r="F118" s="9"/>
      <c r="G118" s="8"/>
      <c r="H118" s="8"/>
      <c r="I118" s="9"/>
    </row>
    <row r="119" spans="1:9" ht="13.9">
      <c r="A119" s="8"/>
      <c r="B119" s="8"/>
      <c r="C119" s="8"/>
      <c r="D119" s="8"/>
      <c r="E119" s="8"/>
      <c r="F119" s="9"/>
      <c r="G119" s="8"/>
      <c r="H119" s="8"/>
      <c r="I119" s="9"/>
    </row>
    <row r="120" spans="1:9" ht="13.9">
      <c r="A120" s="8"/>
      <c r="B120" s="8"/>
      <c r="C120" s="8"/>
      <c r="D120" s="8"/>
      <c r="E120" s="8"/>
      <c r="F120" s="9"/>
      <c r="G120" s="8"/>
      <c r="H120" s="8"/>
      <c r="I120" s="9"/>
    </row>
    <row r="121" spans="1:9" ht="13.9">
      <c r="A121" s="8"/>
      <c r="B121" s="8"/>
      <c r="C121" s="8"/>
      <c r="D121" s="8"/>
      <c r="E121" s="8"/>
      <c r="F121" s="9"/>
      <c r="G121" s="8"/>
      <c r="H121" s="8"/>
      <c r="I121" s="9"/>
    </row>
    <row r="122" spans="1:9" ht="13.9">
      <c r="A122" s="8"/>
      <c r="B122" s="8"/>
      <c r="C122" s="8"/>
      <c r="D122" s="8"/>
      <c r="E122" s="8"/>
      <c r="F122" s="9"/>
      <c r="G122" s="8"/>
      <c r="H122" s="8"/>
      <c r="I122" s="9"/>
    </row>
    <row r="123" spans="1:9" ht="13.9">
      <c r="A123" s="8"/>
      <c r="B123" s="8"/>
      <c r="C123" s="8"/>
      <c r="D123" s="8"/>
      <c r="E123" s="8"/>
      <c r="F123" s="9"/>
      <c r="G123" s="8"/>
      <c r="H123" s="8"/>
      <c r="I123" s="9"/>
    </row>
    <row r="124" spans="1:9" ht="13.9">
      <c r="A124" s="8"/>
      <c r="B124" s="8"/>
      <c r="C124" s="8"/>
      <c r="D124" s="8"/>
      <c r="E124" s="8"/>
      <c r="F124" s="9"/>
      <c r="G124" s="8"/>
      <c r="H124" s="8"/>
      <c r="I124" s="9"/>
    </row>
    <row r="125" spans="1:9" ht="13.9">
      <c r="A125" s="8"/>
      <c r="B125" s="8"/>
      <c r="C125" s="8"/>
      <c r="D125" s="8"/>
      <c r="E125" s="8"/>
      <c r="F125" s="9"/>
      <c r="G125" s="8"/>
      <c r="H125" s="8"/>
      <c r="I125" s="9"/>
    </row>
    <row r="126" spans="1:9" ht="13.9">
      <c r="A126" s="8"/>
      <c r="B126" s="8"/>
      <c r="C126" s="8"/>
      <c r="D126" s="8"/>
      <c r="E126" s="8"/>
      <c r="F126" s="9"/>
      <c r="G126" s="8"/>
      <c r="H126" s="8"/>
      <c r="I126" s="9"/>
    </row>
    <row r="127" spans="1:9" ht="13.9">
      <c r="A127" s="8"/>
      <c r="B127" s="8"/>
      <c r="C127" s="8"/>
      <c r="D127" s="8"/>
      <c r="E127" s="8"/>
      <c r="F127" s="9"/>
      <c r="G127" s="8"/>
      <c r="H127" s="8"/>
      <c r="I127" s="9"/>
    </row>
    <row r="128" spans="1:9" ht="13.9">
      <c r="A128" s="8"/>
      <c r="B128" s="8"/>
      <c r="C128" s="8"/>
      <c r="D128" s="8"/>
      <c r="E128" s="8"/>
      <c r="F128" s="9"/>
      <c r="G128" s="8"/>
      <c r="H128" s="8"/>
      <c r="I128" s="9"/>
    </row>
    <row r="129" spans="1:9" ht="13.9">
      <c r="A129" s="8"/>
      <c r="B129" s="8"/>
      <c r="C129" s="8"/>
      <c r="D129" s="8"/>
      <c r="E129" s="8"/>
      <c r="F129" s="9"/>
      <c r="G129" s="8"/>
      <c r="H129" s="8"/>
      <c r="I129" s="9"/>
    </row>
    <row r="130" spans="1:9" ht="13.9">
      <c r="A130" s="8"/>
      <c r="B130" s="8"/>
      <c r="C130" s="8"/>
      <c r="D130" s="8"/>
      <c r="E130" s="8"/>
      <c r="F130" s="9"/>
      <c r="G130" s="8"/>
      <c r="H130" s="8"/>
      <c r="I130" s="9"/>
    </row>
    <row r="131" spans="1:9" ht="13.9">
      <c r="A131" s="8"/>
      <c r="B131" s="8"/>
      <c r="C131" s="8"/>
      <c r="D131" s="8"/>
      <c r="E131" s="8"/>
      <c r="F131" s="9"/>
      <c r="G131" s="8"/>
      <c r="H131" s="8"/>
      <c r="I131" s="9"/>
    </row>
    <row r="132" spans="1:9" ht="13.9">
      <c r="A132" s="8"/>
      <c r="B132" s="8"/>
      <c r="C132" s="8"/>
      <c r="D132" s="8"/>
      <c r="E132" s="8"/>
      <c r="F132" s="9"/>
      <c r="G132" s="8"/>
      <c r="H132" s="8"/>
      <c r="I132" s="9"/>
    </row>
    <row r="133" spans="1:9" ht="13.9">
      <c r="A133" s="8"/>
      <c r="B133" s="8"/>
      <c r="C133" s="8"/>
      <c r="D133" s="8"/>
      <c r="E133" s="8"/>
      <c r="F133" s="9"/>
      <c r="G133" s="8"/>
      <c r="H133" s="8"/>
      <c r="I133" s="9"/>
    </row>
    <row r="134" spans="1:9" ht="13.9">
      <c r="A134" s="8"/>
      <c r="B134" s="8"/>
      <c r="C134" s="8"/>
      <c r="D134" s="8"/>
      <c r="E134" s="8"/>
      <c r="F134" s="9"/>
      <c r="G134" s="8"/>
      <c r="H134" s="8"/>
      <c r="I134" s="9"/>
    </row>
    <row r="135" spans="1:9" ht="13.9">
      <c r="A135" s="8"/>
      <c r="B135" s="8"/>
      <c r="C135" s="8"/>
      <c r="D135" s="8"/>
      <c r="E135" s="8"/>
      <c r="F135" s="9"/>
      <c r="G135" s="8"/>
      <c r="H135" s="8"/>
      <c r="I135" s="9"/>
    </row>
    <row r="136" spans="1:9" ht="13.9">
      <c r="A136" s="8"/>
      <c r="B136" s="8"/>
      <c r="C136" s="8"/>
      <c r="D136" s="8"/>
      <c r="E136" s="8"/>
      <c r="F136" s="9"/>
      <c r="G136" s="8"/>
      <c r="H136" s="8"/>
      <c r="I136" s="9"/>
    </row>
    <row r="137" spans="1:9" ht="13.9">
      <c r="A137" s="8"/>
      <c r="B137" s="8"/>
      <c r="C137" s="8"/>
      <c r="D137" s="8"/>
      <c r="E137" s="8"/>
      <c r="F137" s="9"/>
      <c r="G137" s="8"/>
      <c r="H137" s="8"/>
      <c r="I137" s="9"/>
    </row>
    <row r="138" spans="1:9" ht="13.9">
      <c r="A138" s="8"/>
      <c r="B138" s="8"/>
      <c r="C138" s="8"/>
      <c r="D138" s="8"/>
      <c r="E138" s="8"/>
      <c r="F138" s="9"/>
      <c r="G138" s="8"/>
      <c r="H138" s="8"/>
      <c r="I138" s="9"/>
    </row>
    <row r="139" spans="1:9" ht="13.9">
      <c r="A139" s="8"/>
      <c r="B139" s="8"/>
      <c r="C139" s="8"/>
      <c r="D139" s="8"/>
      <c r="E139" s="8"/>
      <c r="F139" s="9"/>
      <c r="G139" s="8"/>
      <c r="H139" s="8"/>
      <c r="I139" s="9"/>
    </row>
    <row r="140" spans="1:9" ht="13.9">
      <c r="A140" s="8"/>
      <c r="B140" s="8"/>
      <c r="C140" s="8"/>
      <c r="D140" s="8"/>
      <c r="E140" s="8"/>
      <c r="F140" s="9"/>
      <c r="G140" s="8"/>
      <c r="H140" s="8"/>
      <c r="I140" s="9"/>
    </row>
    <row r="141" spans="1:9" ht="13.9">
      <c r="A141" s="8"/>
      <c r="B141" s="8"/>
      <c r="C141" s="8"/>
      <c r="D141" s="8"/>
      <c r="E141" s="8"/>
      <c r="F141" s="9"/>
      <c r="G141" s="8"/>
      <c r="H141" s="8"/>
      <c r="I141" s="9"/>
    </row>
    <row r="142" spans="1:9" ht="13.9">
      <c r="A142" s="8"/>
      <c r="B142" s="8"/>
      <c r="C142" s="8"/>
      <c r="D142" s="8"/>
      <c r="E142" s="8"/>
      <c r="F142" s="9"/>
      <c r="G142" s="8"/>
      <c r="H142" s="8"/>
      <c r="I142" s="9"/>
    </row>
    <row r="143" spans="1:9" ht="13.9">
      <c r="A143" s="8"/>
      <c r="B143" s="8"/>
      <c r="C143" s="8"/>
      <c r="D143" s="8"/>
      <c r="E143" s="8"/>
      <c r="F143" s="9"/>
      <c r="G143" s="8"/>
      <c r="H143" s="8"/>
      <c r="I143" s="9"/>
    </row>
    <row r="144" spans="1:9" ht="13.9">
      <c r="A144" s="8"/>
      <c r="B144" s="8"/>
      <c r="C144" s="8"/>
      <c r="D144" s="8"/>
      <c r="E144" s="8"/>
      <c r="F144" s="9"/>
      <c r="G144" s="8"/>
      <c r="H144" s="8"/>
      <c r="I144" s="9"/>
    </row>
    <row r="145" spans="1:9" ht="13.9">
      <c r="A145" s="8"/>
      <c r="B145" s="8"/>
      <c r="C145" s="8"/>
      <c r="D145" s="8"/>
      <c r="E145" s="8"/>
      <c r="F145" s="9"/>
      <c r="G145" s="8"/>
      <c r="H145" s="8"/>
      <c r="I145" s="9"/>
    </row>
    <row r="146" spans="1:9" ht="13.9">
      <c r="A146" s="8"/>
      <c r="B146" s="8"/>
      <c r="C146" s="8"/>
      <c r="D146" s="8"/>
      <c r="E146" s="8"/>
      <c r="F146" s="9"/>
      <c r="G146" s="8"/>
      <c r="H146" s="8"/>
      <c r="I146" s="9"/>
    </row>
    <row r="147" spans="1:9" ht="13.9">
      <c r="A147" s="8"/>
      <c r="B147" s="8"/>
      <c r="C147" s="8"/>
      <c r="D147" s="8"/>
      <c r="E147" s="8"/>
      <c r="F147" s="9"/>
      <c r="G147" s="8"/>
      <c r="H147" s="8"/>
      <c r="I147" s="9"/>
    </row>
    <row r="148" spans="1:9" ht="13.9">
      <c r="A148" s="8"/>
      <c r="B148" s="8"/>
      <c r="C148" s="8"/>
      <c r="D148" s="8"/>
      <c r="E148" s="8"/>
      <c r="F148" s="9"/>
      <c r="G148" s="8"/>
      <c r="H148" s="8"/>
      <c r="I148" s="9"/>
    </row>
    <row r="149" spans="1:9" ht="13.9">
      <c r="A149" s="8"/>
      <c r="B149" s="8"/>
      <c r="C149" s="8"/>
      <c r="D149" s="8"/>
      <c r="E149" s="8"/>
      <c r="F149" s="9"/>
      <c r="G149" s="8"/>
      <c r="H149" s="8"/>
      <c r="I149" s="9"/>
    </row>
    <row r="150" spans="1:9" ht="13.9">
      <c r="A150" s="8"/>
      <c r="B150" s="8"/>
      <c r="C150" s="8"/>
      <c r="D150" s="8"/>
      <c r="E150" s="8"/>
      <c r="F150" s="9"/>
      <c r="G150" s="8"/>
      <c r="H150" s="8"/>
      <c r="I150" s="9"/>
    </row>
    <row r="151" spans="1:9" ht="13.9">
      <c r="A151" s="8"/>
      <c r="B151" s="8"/>
      <c r="C151" s="8"/>
      <c r="D151" s="8"/>
      <c r="E151" s="8"/>
      <c r="F151" s="9"/>
      <c r="G151" s="8"/>
      <c r="H151" s="8"/>
      <c r="I151" s="9"/>
    </row>
    <row r="152" spans="1:9" ht="13.9">
      <c r="A152" s="8"/>
      <c r="B152" s="8"/>
      <c r="C152" s="8"/>
      <c r="D152" s="8"/>
      <c r="E152" s="8"/>
      <c r="F152" s="9"/>
      <c r="G152" s="8"/>
      <c r="H152" s="8"/>
      <c r="I152" s="9"/>
    </row>
    <row r="153" spans="1:9" ht="13.9">
      <c r="A153" s="8"/>
      <c r="B153" s="8"/>
      <c r="C153" s="8"/>
      <c r="D153" s="8"/>
      <c r="E153" s="8"/>
      <c r="F153" s="9"/>
      <c r="G153" s="8"/>
      <c r="H153" s="8"/>
      <c r="I153" s="9"/>
    </row>
    <row r="154" spans="1:9" ht="13.9">
      <c r="A154" s="8"/>
      <c r="B154" s="8"/>
      <c r="C154" s="8"/>
      <c r="D154" s="8"/>
      <c r="E154" s="8"/>
      <c r="F154" s="9"/>
      <c r="G154" s="8"/>
      <c r="H154" s="8"/>
      <c r="I154" s="9"/>
    </row>
    <row r="155" spans="1:9" ht="13.9">
      <c r="A155" s="8"/>
      <c r="B155" s="8"/>
      <c r="C155" s="8"/>
      <c r="D155" s="8"/>
      <c r="E155" s="8"/>
      <c r="F155" s="9"/>
      <c r="G155" s="8"/>
      <c r="H155" s="8"/>
      <c r="I155" s="9"/>
    </row>
    <row r="156" spans="1:9" ht="13.9">
      <c r="A156" s="8"/>
      <c r="B156" s="8"/>
      <c r="C156" s="8"/>
      <c r="D156" s="8"/>
      <c r="E156" s="8"/>
      <c r="F156" s="9"/>
      <c r="G156" s="8"/>
      <c r="H156" s="8"/>
      <c r="I156" s="9"/>
    </row>
    <row r="157" spans="1:9" ht="13.9">
      <c r="A157" s="8"/>
      <c r="B157" s="8"/>
      <c r="C157" s="8"/>
      <c r="D157" s="8"/>
      <c r="E157" s="8"/>
      <c r="F157" s="9"/>
      <c r="G157" s="8"/>
      <c r="H157" s="8"/>
      <c r="I157" s="9"/>
    </row>
    <row r="158" spans="1:9" ht="13.9">
      <c r="A158" s="8"/>
      <c r="B158" s="8"/>
      <c r="C158" s="8"/>
      <c r="D158" s="8"/>
      <c r="E158" s="8"/>
      <c r="F158" s="9"/>
      <c r="G158" s="8"/>
      <c r="H158" s="8"/>
      <c r="I158" s="9"/>
    </row>
    <row r="159" spans="1:9" ht="13.9">
      <c r="A159" s="8"/>
      <c r="B159" s="8"/>
      <c r="C159" s="8"/>
      <c r="D159" s="8"/>
      <c r="E159" s="8"/>
      <c r="F159" s="9"/>
      <c r="G159" s="8"/>
      <c r="H159" s="8"/>
      <c r="I159" s="9"/>
    </row>
    <row r="160" spans="1:9" ht="13.9">
      <c r="A160" s="8"/>
      <c r="B160" s="8"/>
      <c r="C160" s="8"/>
      <c r="D160" s="8"/>
      <c r="E160" s="8"/>
      <c r="F160" s="9"/>
      <c r="G160" s="8"/>
      <c r="H160" s="8"/>
      <c r="I160" s="9"/>
    </row>
    <row r="161" spans="1:9" ht="13.9">
      <c r="A161" s="8"/>
      <c r="B161" s="8"/>
      <c r="C161" s="8"/>
      <c r="D161" s="8"/>
      <c r="E161" s="8"/>
      <c r="F161" s="9"/>
      <c r="G161" s="8"/>
      <c r="H161" s="8"/>
      <c r="I161" s="9"/>
    </row>
    <row r="162" spans="1:9" ht="13.9">
      <c r="A162" s="8"/>
      <c r="B162" s="8"/>
      <c r="C162" s="8"/>
      <c r="D162" s="8"/>
      <c r="E162" s="8"/>
      <c r="F162" s="9"/>
      <c r="G162" s="8"/>
      <c r="H162" s="8"/>
      <c r="I162" s="9"/>
    </row>
    <row r="163" spans="1:9" ht="13.9">
      <c r="A163" s="8"/>
      <c r="B163" s="8"/>
      <c r="C163" s="8"/>
      <c r="D163" s="8"/>
      <c r="E163" s="8"/>
      <c r="F163" s="9"/>
      <c r="G163" s="8"/>
      <c r="H163" s="8"/>
      <c r="I163" s="9"/>
    </row>
    <row r="164" spans="1:9" ht="13.9">
      <c r="A164" s="8"/>
      <c r="B164" s="8"/>
      <c r="C164" s="8"/>
      <c r="D164" s="8"/>
      <c r="E164" s="8"/>
      <c r="F164" s="9"/>
      <c r="G164" s="8"/>
      <c r="H164" s="8"/>
      <c r="I164" s="9"/>
    </row>
    <row r="165" spans="1:9" ht="13.9">
      <c r="A165" s="8"/>
      <c r="B165" s="8"/>
      <c r="C165" s="8"/>
      <c r="D165" s="8"/>
      <c r="E165" s="8"/>
      <c r="F165" s="9"/>
      <c r="G165" s="8"/>
      <c r="H165" s="8"/>
      <c r="I165" s="9"/>
    </row>
    <row r="166" spans="1:9" ht="13.9">
      <c r="A166" s="8"/>
      <c r="B166" s="8"/>
      <c r="C166" s="8"/>
      <c r="D166" s="8"/>
      <c r="E166" s="8"/>
      <c r="F166" s="9"/>
      <c r="G166" s="8"/>
      <c r="H166" s="8"/>
      <c r="I166" s="9"/>
    </row>
    <row r="167" spans="1:9" ht="13.9">
      <c r="A167" s="8"/>
      <c r="B167" s="8"/>
      <c r="C167" s="8"/>
      <c r="D167" s="8"/>
      <c r="E167" s="8"/>
      <c r="F167" s="9"/>
      <c r="G167" s="8"/>
      <c r="H167" s="8"/>
      <c r="I167" s="9"/>
    </row>
    <row r="168" spans="1:9" ht="13.9">
      <c r="A168" s="8"/>
      <c r="B168" s="8"/>
      <c r="C168" s="8"/>
      <c r="D168" s="8"/>
      <c r="E168" s="8"/>
      <c r="F168" s="9"/>
      <c r="G168" s="8"/>
      <c r="H168" s="8"/>
      <c r="I168" s="9"/>
    </row>
    <row r="169" spans="1:9" ht="13.9">
      <c r="A169" s="8"/>
      <c r="B169" s="8"/>
      <c r="C169" s="8"/>
      <c r="D169" s="8"/>
      <c r="E169" s="8"/>
      <c r="F169" s="9"/>
      <c r="G169" s="8"/>
      <c r="H169" s="8"/>
      <c r="I169" s="9"/>
    </row>
    <row r="170" spans="1:9" ht="13.9">
      <c r="A170" s="8"/>
      <c r="B170" s="8"/>
      <c r="C170" s="8"/>
      <c r="D170" s="8"/>
      <c r="E170" s="8"/>
      <c r="F170" s="9"/>
      <c r="G170" s="8"/>
      <c r="H170" s="8"/>
      <c r="I170" s="9"/>
    </row>
    <row r="171" spans="1:9" ht="13.9">
      <c r="A171" s="8"/>
      <c r="B171" s="8"/>
      <c r="C171" s="8"/>
      <c r="D171" s="8"/>
      <c r="E171" s="8"/>
      <c r="F171" s="9"/>
      <c r="G171" s="8"/>
      <c r="H171" s="8"/>
      <c r="I171" s="9"/>
    </row>
    <row r="172" spans="1:9" ht="13.9">
      <c r="A172" s="8"/>
      <c r="B172" s="8"/>
      <c r="C172" s="8"/>
      <c r="D172" s="8"/>
      <c r="E172" s="8"/>
      <c r="F172" s="9"/>
      <c r="G172" s="8"/>
      <c r="H172" s="8"/>
      <c r="I172" s="9"/>
    </row>
    <row r="173" spans="1:9" ht="13.9">
      <c r="A173" s="8"/>
      <c r="B173" s="8"/>
      <c r="C173" s="8"/>
      <c r="D173" s="8"/>
      <c r="E173" s="8"/>
      <c r="F173" s="9"/>
      <c r="G173" s="8"/>
      <c r="H173" s="8"/>
      <c r="I173" s="9"/>
    </row>
    <row r="174" spans="1:9" ht="13.9">
      <c r="A174" s="8"/>
      <c r="B174" s="8"/>
      <c r="C174" s="8"/>
      <c r="D174" s="8"/>
      <c r="E174" s="8"/>
      <c r="F174" s="9"/>
      <c r="G174" s="8"/>
      <c r="H174" s="8"/>
      <c r="I174" s="9"/>
    </row>
    <row r="175" spans="1:9" ht="13.9">
      <c r="A175" s="8"/>
      <c r="B175" s="8"/>
      <c r="C175" s="8"/>
      <c r="D175" s="8"/>
      <c r="E175" s="8"/>
      <c r="F175" s="9"/>
      <c r="G175" s="8"/>
      <c r="H175" s="8"/>
      <c r="I175" s="9"/>
    </row>
    <row r="176" spans="1:9" ht="13.9">
      <c r="A176" s="8"/>
      <c r="B176" s="8"/>
      <c r="C176" s="8"/>
      <c r="D176" s="8"/>
      <c r="E176" s="8"/>
      <c r="F176" s="9"/>
      <c r="G176" s="8"/>
      <c r="H176" s="8"/>
      <c r="I176" s="9"/>
    </row>
    <row r="177" spans="1:9" ht="13.9">
      <c r="A177" s="8"/>
      <c r="B177" s="8"/>
      <c r="C177" s="8"/>
      <c r="D177" s="8"/>
      <c r="E177" s="8"/>
      <c r="F177" s="9"/>
      <c r="G177" s="8"/>
      <c r="H177" s="8"/>
      <c r="I177" s="9"/>
    </row>
    <row r="178" spans="1:9" ht="13.9">
      <c r="A178" s="8"/>
      <c r="B178" s="8"/>
      <c r="C178" s="8"/>
      <c r="D178" s="8"/>
      <c r="E178" s="8"/>
      <c r="F178" s="9"/>
      <c r="G178" s="8"/>
      <c r="H178" s="8"/>
      <c r="I178" s="9"/>
    </row>
    <row r="179" spans="1:9" ht="13.9">
      <c r="A179" s="8"/>
      <c r="B179" s="8"/>
      <c r="C179" s="8"/>
      <c r="D179" s="8"/>
      <c r="E179" s="8"/>
      <c r="F179" s="9"/>
      <c r="G179" s="8"/>
      <c r="H179" s="8"/>
      <c r="I179" s="9"/>
    </row>
    <row r="180" spans="1:9" ht="13.9">
      <c r="A180" s="8"/>
      <c r="B180" s="8"/>
      <c r="C180" s="8"/>
      <c r="D180" s="8"/>
      <c r="E180" s="8"/>
      <c r="F180" s="9"/>
      <c r="G180" s="8"/>
      <c r="H180" s="8"/>
      <c r="I180" s="9"/>
    </row>
    <row r="181" spans="1:9" ht="13.9">
      <c r="A181" s="8"/>
      <c r="B181" s="8"/>
      <c r="C181" s="8"/>
      <c r="D181" s="8"/>
      <c r="E181" s="8"/>
      <c r="F181" s="9"/>
      <c r="G181" s="8"/>
      <c r="H181" s="8"/>
      <c r="I181" s="9"/>
    </row>
    <row r="182" spans="1:9" ht="13.9">
      <c r="A182" s="8"/>
      <c r="B182" s="8"/>
      <c r="C182" s="8"/>
      <c r="D182" s="8"/>
      <c r="E182" s="8"/>
      <c r="F182" s="9"/>
      <c r="G182" s="8"/>
      <c r="H182" s="8"/>
      <c r="I182" s="9"/>
    </row>
    <row r="183" spans="1:9" ht="13.9">
      <c r="A183" s="8"/>
      <c r="B183" s="8"/>
      <c r="C183" s="8"/>
      <c r="D183" s="8"/>
      <c r="E183" s="8"/>
      <c r="F183" s="9"/>
      <c r="G183" s="8"/>
      <c r="H183" s="8"/>
      <c r="I183" s="9"/>
    </row>
    <row r="184" spans="1:9" ht="13.9">
      <c r="A184" s="8"/>
      <c r="B184" s="8"/>
      <c r="C184" s="8"/>
      <c r="D184" s="8"/>
      <c r="E184" s="8"/>
      <c r="F184" s="9"/>
      <c r="G184" s="8"/>
      <c r="H184" s="8"/>
      <c r="I184" s="9"/>
    </row>
    <row r="185" spans="1:9" ht="13.9">
      <c r="A185" s="8"/>
      <c r="B185" s="8"/>
      <c r="C185" s="8"/>
      <c r="D185" s="8"/>
      <c r="E185" s="8"/>
      <c r="F185" s="9"/>
      <c r="G185" s="8"/>
      <c r="H185" s="8"/>
      <c r="I185" s="9"/>
    </row>
    <row r="186" spans="1:9" ht="13.9">
      <c r="A186" s="8"/>
      <c r="B186" s="8"/>
      <c r="C186" s="8"/>
      <c r="D186" s="8"/>
      <c r="E186" s="8"/>
      <c r="F186" s="9"/>
      <c r="G186" s="8"/>
      <c r="H186" s="8"/>
      <c r="I186" s="9"/>
    </row>
    <row r="187" spans="1:9" ht="13.9">
      <c r="A187" s="8"/>
      <c r="B187" s="8"/>
      <c r="C187" s="8"/>
      <c r="D187" s="8"/>
      <c r="E187" s="8"/>
      <c r="F187" s="9"/>
      <c r="G187" s="8"/>
      <c r="H187" s="8"/>
      <c r="I187" s="9"/>
    </row>
    <row r="188" spans="1:9" ht="13.9">
      <c r="A188" s="8"/>
      <c r="B188" s="8"/>
      <c r="C188" s="8"/>
      <c r="D188" s="8"/>
      <c r="E188" s="8"/>
      <c r="F188" s="9"/>
      <c r="G188" s="8"/>
      <c r="H188" s="8"/>
      <c r="I188" s="9"/>
    </row>
    <row r="189" spans="1:9" ht="13.9">
      <c r="A189" s="8"/>
      <c r="B189" s="8"/>
      <c r="C189" s="8"/>
      <c r="D189" s="8"/>
      <c r="E189" s="8"/>
      <c r="F189" s="9"/>
      <c r="G189" s="8"/>
      <c r="H189" s="8"/>
      <c r="I189" s="9"/>
    </row>
    <row r="190" spans="1:9" ht="13.9">
      <c r="A190" s="8"/>
      <c r="B190" s="8"/>
      <c r="C190" s="8"/>
      <c r="D190" s="8"/>
      <c r="E190" s="8"/>
      <c r="F190" s="9"/>
      <c r="G190" s="8"/>
      <c r="H190" s="8"/>
      <c r="I190" s="9"/>
    </row>
    <row r="191" spans="1:9" ht="13.9">
      <c r="A191" s="8"/>
      <c r="B191" s="8"/>
      <c r="C191" s="8"/>
      <c r="D191" s="8"/>
      <c r="E191" s="8"/>
      <c r="F191" s="9"/>
      <c r="G191" s="8"/>
      <c r="H191" s="8"/>
      <c r="I191" s="9"/>
    </row>
    <row r="192" spans="1:9" ht="13.9">
      <c r="A192" s="8"/>
      <c r="B192" s="8"/>
      <c r="C192" s="8"/>
      <c r="D192" s="8"/>
      <c r="E192" s="8"/>
      <c r="F192" s="9"/>
      <c r="G192" s="8"/>
      <c r="H192" s="8"/>
      <c r="I192" s="9"/>
    </row>
    <row r="193" spans="1:9" ht="13.9">
      <c r="A193" s="8"/>
      <c r="B193" s="8"/>
      <c r="C193" s="8"/>
      <c r="D193" s="8"/>
      <c r="E193" s="8"/>
      <c r="F193" s="9"/>
      <c r="G193" s="8"/>
      <c r="H193" s="8"/>
      <c r="I193" s="9"/>
    </row>
    <row r="194" spans="1:9" ht="13.9">
      <c r="A194" s="8"/>
      <c r="B194" s="8"/>
      <c r="C194" s="8"/>
      <c r="D194" s="8"/>
      <c r="E194" s="8"/>
      <c r="F194" s="9"/>
      <c r="G194" s="8"/>
      <c r="H194" s="8"/>
      <c r="I194" s="9"/>
    </row>
    <row r="195" spans="1:9" ht="13.9">
      <c r="A195" s="8"/>
      <c r="B195" s="8"/>
      <c r="C195" s="8"/>
      <c r="D195" s="8"/>
      <c r="E195" s="8"/>
      <c r="F195" s="9"/>
      <c r="G195" s="8"/>
      <c r="H195" s="8"/>
      <c r="I195" s="9"/>
    </row>
    <row r="196" spans="1:9" ht="13.9">
      <c r="A196" s="8"/>
      <c r="B196" s="8"/>
      <c r="C196" s="8"/>
      <c r="D196" s="8"/>
      <c r="E196" s="8"/>
      <c r="F196" s="9"/>
      <c r="G196" s="8"/>
      <c r="H196" s="8"/>
      <c r="I196" s="9"/>
    </row>
    <row r="197" spans="1:9" ht="13.9">
      <c r="A197" s="8"/>
      <c r="B197" s="8"/>
      <c r="C197" s="8"/>
      <c r="D197" s="8"/>
      <c r="E197" s="8"/>
      <c r="F197" s="9"/>
      <c r="G197" s="8"/>
      <c r="H197" s="8"/>
      <c r="I197" s="9"/>
    </row>
    <row r="198" spans="1:9" ht="13.9">
      <c r="A198" s="8"/>
      <c r="B198" s="8"/>
      <c r="C198" s="8"/>
      <c r="D198" s="8"/>
      <c r="E198" s="8"/>
      <c r="F198" s="9"/>
      <c r="G198" s="8"/>
      <c r="H198" s="8"/>
      <c r="I198" s="9"/>
    </row>
    <row r="199" spans="1:9" ht="13.9">
      <c r="A199" s="8"/>
      <c r="B199" s="8"/>
      <c r="C199" s="8"/>
      <c r="D199" s="8"/>
      <c r="E199" s="8"/>
      <c r="F199" s="9"/>
      <c r="G199" s="8"/>
      <c r="H199" s="8"/>
      <c r="I199" s="9"/>
    </row>
    <row r="200" spans="1:9" ht="13.9">
      <c r="A200" s="8"/>
      <c r="B200" s="8"/>
      <c r="C200" s="8"/>
      <c r="D200" s="8"/>
      <c r="E200" s="8"/>
      <c r="F200" s="9"/>
      <c r="G200" s="8"/>
      <c r="H200" s="8"/>
      <c r="I200" s="9"/>
    </row>
    <row r="201" spans="1:9" ht="13.9">
      <c r="A201" s="8"/>
      <c r="B201" s="8"/>
      <c r="C201" s="8"/>
      <c r="D201" s="8"/>
      <c r="E201" s="8"/>
      <c r="F201" s="9"/>
      <c r="G201" s="8"/>
      <c r="H201" s="8"/>
      <c r="I201" s="9"/>
    </row>
    <row r="202" spans="1:9" ht="13.9">
      <c r="A202" s="8"/>
      <c r="B202" s="8"/>
      <c r="C202" s="8"/>
      <c r="D202" s="8"/>
      <c r="E202" s="8"/>
      <c r="F202" s="9"/>
      <c r="G202" s="8"/>
      <c r="H202" s="8"/>
      <c r="I202" s="9"/>
    </row>
    <row r="203" spans="1:9" ht="13.9">
      <c r="A203" s="8"/>
      <c r="B203" s="8"/>
      <c r="C203" s="8"/>
      <c r="D203" s="8"/>
      <c r="E203" s="8"/>
      <c r="F203" s="9"/>
      <c r="G203" s="8"/>
      <c r="H203" s="8"/>
      <c r="I203" s="9"/>
    </row>
    <row r="204" spans="1:9" ht="13.9">
      <c r="A204" s="8"/>
      <c r="B204" s="8"/>
      <c r="C204" s="8"/>
      <c r="D204" s="8"/>
      <c r="E204" s="8"/>
      <c r="F204" s="9"/>
      <c r="G204" s="8"/>
      <c r="H204" s="8"/>
      <c r="I204" s="9"/>
    </row>
    <row r="205" spans="1:9" ht="13.9">
      <c r="A205" s="8"/>
      <c r="B205" s="8"/>
      <c r="C205" s="8"/>
      <c r="D205" s="8"/>
      <c r="E205" s="8"/>
      <c r="F205" s="9"/>
      <c r="G205" s="8"/>
      <c r="H205" s="8"/>
      <c r="I205" s="9"/>
    </row>
    <row r="206" spans="1:9" ht="13.9">
      <c r="A206" s="8"/>
      <c r="B206" s="8"/>
      <c r="C206" s="8"/>
      <c r="D206" s="8"/>
      <c r="E206" s="8"/>
      <c r="F206" s="9"/>
      <c r="G206" s="8"/>
      <c r="H206" s="8"/>
      <c r="I206" s="9"/>
    </row>
    <row r="207" spans="1:9" ht="13.9">
      <c r="A207" s="8"/>
      <c r="B207" s="8"/>
      <c r="C207" s="8"/>
      <c r="D207" s="8"/>
      <c r="E207" s="8"/>
      <c r="F207" s="9"/>
      <c r="G207" s="8"/>
      <c r="H207" s="8"/>
      <c r="I207" s="9"/>
    </row>
    <row r="208" spans="1:9" ht="13.9">
      <c r="A208" s="8"/>
      <c r="B208" s="8"/>
      <c r="C208" s="8"/>
      <c r="D208" s="8"/>
      <c r="E208" s="8"/>
      <c r="F208" s="9"/>
      <c r="G208" s="8"/>
      <c r="H208" s="8"/>
      <c r="I208" s="9"/>
    </row>
    <row r="209" spans="1:9" ht="13.9">
      <c r="A209" s="8"/>
      <c r="B209" s="8"/>
      <c r="C209" s="8"/>
      <c r="D209" s="8"/>
      <c r="E209" s="8"/>
      <c r="F209" s="9"/>
      <c r="G209" s="8"/>
      <c r="H209" s="8"/>
      <c r="I209" s="9"/>
    </row>
    <row r="210" spans="1:9" ht="13.9">
      <c r="A210" s="8"/>
      <c r="B210" s="8"/>
      <c r="C210" s="8"/>
      <c r="D210" s="8"/>
      <c r="E210" s="8"/>
      <c r="F210" s="9"/>
      <c r="G210" s="8"/>
      <c r="H210" s="8"/>
      <c r="I210" s="9"/>
    </row>
    <row r="211" spans="1:9" ht="13.9">
      <c r="A211" s="8"/>
      <c r="B211" s="8"/>
      <c r="C211" s="8"/>
      <c r="D211" s="8"/>
      <c r="E211" s="8"/>
      <c r="F211" s="9"/>
      <c r="G211" s="8"/>
      <c r="H211" s="8"/>
      <c r="I211" s="9"/>
    </row>
    <row r="212" spans="1:9" ht="13.9">
      <c r="A212" s="8"/>
      <c r="B212" s="8"/>
      <c r="C212" s="8"/>
      <c r="D212" s="8"/>
      <c r="E212" s="8"/>
      <c r="F212" s="9"/>
      <c r="G212" s="8"/>
      <c r="H212" s="8"/>
      <c r="I212" s="9"/>
    </row>
    <row r="213" spans="1:9" ht="13.9">
      <c r="A213" s="8"/>
      <c r="B213" s="8"/>
      <c r="C213" s="8"/>
      <c r="D213" s="8"/>
      <c r="E213" s="8"/>
      <c r="F213" s="9"/>
      <c r="G213" s="8"/>
      <c r="H213" s="8"/>
      <c r="I213" s="9"/>
    </row>
    <row r="214" spans="1:9" ht="13.9">
      <c r="A214" s="8"/>
      <c r="B214" s="8"/>
      <c r="C214" s="8"/>
      <c r="D214" s="8"/>
      <c r="E214" s="8"/>
      <c r="F214" s="9"/>
      <c r="G214" s="8"/>
      <c r="H214" s="8"/>
      <c r="I214" s="9"/>
    </row>
    <row r="215" spans="1:9" ht="13.9">
      <c r="A215" s="8"/>
      <c r="B215" s="8"/>
      <c r="C215" s="8"/>
      <c r="D215" s="8"/>
      <c r="E215" s="8"/>
      <c r="F215" s="9"/>
      <c r="G215" s="8"/>
      <c r="H215" s="8"/>
      <c r="I215" s="9"/>
    </row>
    <row r="216" spans="1:9" ht="13.9">
      <c r="A216" s="8"/>
      <c r="B216" s="8"/>
      <c r="C216" s="8"/>
      <c r="D216" s="8"/>
      <c r="E216" s="8"/>
      <c r="F216" s="9"/>
      <c r="G216" s="8"/>
      <c r="H216" s="8"/>
      <c r="I216" s="9"/>
    </row>
    <row r="217" spans="1:9" ht="13.9">
      <c r="A217" s="8"/>
      <c r="B217" s="8"/>
      <c r="C217" s="8"/>
      <c r="D217" s="8"/>
      <c r="E217" s="8"/>
      <c r="F217" s="9"/>
      <c r="G217" s="8"/>
      <c r="H217" s="8"/>
      <c r="I217" s="9"/>
    </row>
    <row r="218" spans="1:9" ht="13.9">
      <c r="A218" s="8"/>
      <c r="B218" s="8"/>
      <c r="C218" s="8"/>
      <c r="D218" s="8"/>
      <c r="E218" s="8"/>
      <c r="F218" s="9"/>
      <c r="G218" s="8"/>
      <c r="H218" s="8"/>
      <c r="I218" s="9"/>
    </row>
    <row r="219" spans="1:9" ht="13.9">
      <c r="A219" s="8"/>
      <c r="B219" s="8"/>
      <c r="C219" s="8"/>
      <c r="D219" s="8"/>
      <c r="E219" s="8"/>
      <c r="F219" s="9"/>
      <c r="G219" s="8"/>
      <c r="H219" s="8"/>
      <c r="I219" s="9"/>
    </row>
    <row r="220" spans="1:9" ht="13.9">
      <c r="A220" s="8"/>
      <c r="B220" s="8"/>
      <c r="C220" s="8"/>
      <c r="D220" s="8"/>
      <c r="E220" s="8"/>
      <c r="F220" s="9"/>
      <c r="G220" s="8"/>
      <c r="H220" s="8"/>
      <c r="I220" s="9"/>
    </row>
    <row r="221" spans="1:9" ht="13.9">
      <c r="A221" s="8"/>
      <c r="B221" s="8"/>
      <c r="C221" s="8"/>
      <c r="D221" s="8"/>
      <c r="E221" s="8"/>
      <c r="F221" s="9"/>
      <c r="G221" s="8"/>
      <c r="H221" s="8"/>
      <c r="I221" s="9"/>
    </row>
    <row r="222" spans="1:9" ht="13.9">
      <c r="A222" s="8"/>
      <c r="B222" s="8"/>
      <c r="C222" s="8"/>
      <c r="D222" s="8"/>
      <c r="E222" s="8"/>
      <c r="F222" s="9"/>
      <c r="G222" s="8"/>
      <c r="H222" s="8"/>
      <c r="I222" s="9"/>
    </row>
    <row r="223" spans="1:9" ht="13.9">
      <c r="A223" s="8"/>
      <c r="B223" s="8"/>
      <c r="C223" s="8"/>
      <c r="D223" s="8"/>
      <c r="E223" s="8"/>
      <c r="F223" s="9"/>
      <c r="G223" s="8"/>
      <c r="H223" s="8"/>
      <c r="I223" s="9"/>
    </row>
    <row r="224" spans="1:9" ht="13.9">
      <c r="A224" s="8"/>
      <c r="B224" s="8"/>
      <c r="C224" s="8"/>
      <c r="D224" s="8"/>
      <c r="E224" s="8"/>
      <c r="F224" s="9"/>
      <c r="G224" s="8"/>
      <c r="H224" s="8"/>
      <c r="I224" s="9"/>
    </row>
    <row r="225" spans="1:9" ht="13.9">
      <c r="A225" s="8"/>
      <c r="B225" s="8"/>
      <c r="C225" s="8"/>
      <c r="D225" s="8"/>
      <c r="E225" s="8"/>
      <c r="F225" s="9"/>
      <c r="G225" s="8"/>
      <c r="H225" s="8"/>
      <c r="I225" s="9"/>
    </row>
    <row r="226" spans="1:9" ht="13.9">
      <c r="A226" s="8"/>
      <c r="B226" s="8"/>
      <c r="C226" s="8"/>
      <c r="D226" s="8"/>
      <c r="E226" s="8"/>
      <c r="F226" s="9"/>
      <c r="G226" s="8"/>
      <c r="H226" s="8"/>
      <c r="I226" s="9"/>
    </row>
    <row r="227" spans="1:9" ht="13.9">
      <c r="A227" s="8"/>
      <c r="B227" s="8"/>
      <c r="C227" s="8"/>
      <c r="D227" s="8"/>
      <c r="E227" s="8"/>
      <c r="F227" s="9"/>
      <c r="G227" s="8"/>
      <c r="H227" s="8"/>
      <c r="I227" s="9"/>
    </row>
    <row r="228" spans="1:9" ht="13.9">
      <c r="A228" s="8"/>
      <c r="B228" s="8"/>
      <c r="C228" s="8"/>
      <c r="D228" s="8"/>
      <c r="E228" s="8"/>
      <c r="F228" s="9"/>
      <c r="G228" s="8"/>
      <c r="H228" s="8"/>
      <c r="I228" s="9"/>
    </row>
    <row r="229" spans="1:9" ht="13.9">
      <c r="A229" s="8"/>
      <c r="B229" s="8"/>
      <c r="C229" s="8"/>
      <c r="D229" s="8"/>
      <c r="E229" s="8"/>
      <c r="F229" s="9"/>
      <c r="G229" s="8"/>
      <c r="H229" s="8"/>
      <c r="I229" s="9"/>
    </row>
    <row r="230" spans="1:9" ht="13.9">
      <c r="A230" s="8"/>
      <c r="B230" s="8"/>
      <c r="C230" s="8"/>
      <c r="D230" s="8"/>
      <c r="E230" s="8"/>
      <c r="F230" s="9"/>
      <c r="G230" s="8"/>
      <c r="H230" s="8"/>
      <c r="I230" s="9"/>
    </row>
    <row r="231" spans="1:9" ht="13.9">
      <c r="A231" s="8"/>
      <c r="B231" s="8"/>
      <c r="C231" s="8"/>
      <c r="D231" s="8"/>
      <c r="E231" s="8"/>
      <c r="F231" s="9"/>
      <c r="G231" s="8"/>
      <c r="H231" s="8"/>
      <c r="I231" s="9"/>
    </row>
    <row r="232" spans="1:9" ht="13.9">
      <c r="A232" s="8"/>
      <c r="B232" s="8"/>
      <c r="C232" s="8"/>
      <c r="D232" s="8"/>
      <c r="E232" s="8"/>
      <c r="F232" s="9"/>
      <c r="G232" s="8"/>
      <c r="H232" s="8"/>
      <c r="I232" s="9"/>
    </row>
    <row r="233" spans="1:9" ht="13.9">
      <c r="A233" s="8"/>
      <c r="B233" s="8"/>
      <c r="C233" s="8"/>
      <c r="D233" s="8"/>
      <c r="E233" s="8"/>
      <c r="F233" s="9"/>
      <c r="G233" s="8"/>
      <c r="H233" s="8"/>
      <c r="I233" s="9"/>
    </row>
    <row r="234" spans="1:9" ht="13.9">
      <c r="A234" s="8"/>
      <c r="B234" s="8"/>
      <c r="C234" s="8"/>
      <c r="D234" s="8"/>
      <c r="E234" s="8"/>
      <c r="F234" s="9"/>
      <c r="G234" s="8"/>
      <c r="H234" s="8"/>
      <c r="I234" s="9"/>
    </row>
    <row r="235" spans="1:9" ht="13.9">
      <c r="A235" s="8"/>
      <c r="B235" s="8"/>
      <c r="C235" s="8"/>
      <c r="D235" s="8"/>
      <c r="E235" s="8"/>
      <c r="F235" s="9"/>
      <c r="G235" s="8"/>
      <c r="H235" s="8"/>
      <c r="I235" s="9"/>
    </row>
    <row r="236" spans="1:9" ht="13.9">
      <c r="A236" s="8"/>
      <c r="B236" s="8"/>
      <c r="C236" s="8"/>
      <c r="D236" s="8"/>
      <c r="E236" s="8"/>
      <c r="F236" s="9"/>
      <c r="G236" s="8"/>
      <c r="H236" s="8"/>
      <c r="I236" s="9"/>
    </row>
    <row r="237" spans="1:9" ht="13.9">
      <c r="A237" s="8"/>
      <c r="B237" s="8"/>
      <c r="C237" s="8"/>
      <c r="D237" s="8"/>
      <c r="E237" s="8"/>
      <c r="F237" s="9"/>
      <c r="G237" s="8"/>
      <c r="H237" s="8"/>
      <c r="I237" s="9"/>
    </row>
    <row r="238" spans="1:9" ht="13.9">
      <c r="A238" s="8"/>
      <c r="B238" s="8"/>
      <c r="C238" s="8"/>
      <c r="D238" s="8"/>
      <c r="E238" s="8"/>
      <c r="F238" s="9"/>
      <c r="G238" s="8"/>
      <c r="H238" s="8"/>
      <c r="I238" s="9"/>
    </row>
    <row r="239" spans="1:9" ht="13.9">
      <c r="A239" s="8"/>
      <c r="B239" s="8"/>
      <c r="C239" s="8"/>
      <c r="D239" s="8"/>
      <c r="E239" s="8"/>
      <c r="F239" s="9"/>
      <c r="G239" s="8"/>
      <c r="H239" s="8"/>
      <c r="I239" s="9"/>
    </row>
    <row r="240" spans="1:9" ht="13.9">
      <c r="A240" s="8"/>
      <c r="B240" s="8"/>
      <c r="C240" s="8"/>
      <c r="D240" s="8"/>
      <c r="E240" s="8"/>
      <c r="F240" s="9"/>
      <c r="G240" s="8"/>
      <c r="H240" s="8"/>
      <c r="I240" s="9"/>
    </row>
    <row r="241" spans="1:9" ht="13.9">
      <c r="A241" s="8"/>
      <c r="B241" s="8"/>
      <c r="C241" s="8"/>
      <c r="D241" s="8"/>
      <c r="E241" s="8"/>
      <c r="F241" s="9"/>
      <c r="G241" s="8"/>
      <c r="H241" s="8"/>
      <c r="I241" s="9"/>
    </row>
    <row r="242" spans="1:9" ht="13.9">
      <c r="A242" s="8"/>
      <c r="B242" s="8"/>
      <c r="C242" s="8"/>
      <c r="D242" s="8"/>
      <c r="E242" s="8"/>
      <c r="F242" s="9"/>
      <c r="G242" s="8"/>
      <c r="H242" s="8"/>
      <c r="I242" s="9"/>
    </row>
    <row r="243" spans="1:9" ht="13.9">
      <c r="A243" s="8"/>
      <c r="B243" s="8"/>
      <c r="C243" s="8"/>
      <c r="D243" s="8"/>
      <c r="E243" s="8"/>
      <c r="F243" s="9"/>
      <c r="G243" s="8"/>
      <c r="H243" s="8"/>
      <c r="I243" s="9"/>
    </row>
    <row r="244" spans="1:9" ht="13.9">
      <c r="A244" s="8"/>
      <c r="B244" s="8"/>
      <c r="C244" s="8"/>
      <c r="D244" s="8"/>
      <c r="E244" s="8"/>
      <c r="F244" s="9"/>
      <c r="G244" s="8"/>
      <c r="H244" s="8"/>
      <c r="I244" s="9"/>
    </row>
    <row r="245" spans="1:9" ht="13.9">
      <c r="A245" s="8"/>
      <c r="B245" s="8"/>
      <c r="C245" s="8"/>
      <c r="D245" s="8"/>
      <c r="E245" s="8"/>
      <c r="F245" s="9"/>
      <c r="G245" s="8"/>
      <c r="H245" s="8"/>
      <c r="I245" s="9"/>
    </row>
    <row r="246" spans="1:9" ht="13.9">
      <c r="A246" s="8"/>
      <c r="B246" s="8"/>
      <c r="C246" s="8"/>
      <c r="D246" s="8"/>
      <c r="E246" s="8"/>
      <c r="F246" s="9"/>
      <c r="G246" s="8"/>
      <c r="H246" s="8"/>
      <c r="I246" s="9"/>
    </row>
    <row r="247" spans="1:9" ht="13.9">
      <c r="A247" s="8"/>
      <c r="B247" s="8"/>
      <c r="C247" s="8"/>
      <c r="D247" s="8"/>
      <c r="E247" s="8"/>
      <c r="F247" s="9"/>
      <c r="G247" s="8"/>
      <c r="H247" s="8"/>
      <c r="I247" s="9"/>
    </row>
    <row r="248" spans="1:9" ht="13.9">
      <c r="A248" s="8"/>
      <c r="B248" s="8"/>
      <c r="C248" s="8"/>
      <c r="D248" s="8"/>
      <c r="E248" s="8"/>
      <c r="F248" s="9"/>
      <c r="G248" s="8"/>
      <c r="H248" s="8"/>
      <c r="I248" s="9"/>
    </row>
    <row r="249" spans="1:9" ht="13.9">
      <c r="A249" s="8"/>
      <c r="B249" s="8"/>
      <c r="C249" s="8"/>
      <c r="D249" s="8"/>
      <c r="E249" s="8"/>
      <c r="F249" s="9"/>
      <c r="G249" s="8"/>
      <c r="H249" s="8"/>
      <c r="I249" s="9"/>
    </row>
    <row r="250" spans="1:9" ht="13.9">
      <c r="A250" s="8"/>
      <c r="B250" s="8"/>
      <c r="C250" s="8"/>
      <c r="D250" s="8"/>
      <c r="E250" s="8"/>
      <c r="F250" s="9"/>
      <c r="G250" s="8"/>
      <c r="H250" s="8"/>
      <c r="I250" s="9"/>
    </row>
    <row r="251" spans="1:9" ht="13.9">
      <c r="A251" s="8"/>
      <c r="B251" s="8"/>
      <c r="C251" s="8"/>
      <c r="D251" s="8"/>
      <c r="E251" s="8"/>
      <c r="F251" s="9"/>
      <c r="G251" s="8"/>
      <c r="H251" s="8"/>
      <c r="I251" s="9"/>
    </row>
    <row r="252" spans="1:9" ht="13.9">
      <c r="A252" s="8"/>
      <c r="B252" s="8"/>
      <c r="C252" s="8"/>
      <c r="D252" s="8"/>
      <c r="E252" s="8"/>
      <c r="F252" s="9"/>
      <c r="G252" s="8"/>
      <c r="H252" s="8"/>
      <c r="I252" s="9"/>
    </row>
    <row r="253" spans="1:9" ht="13.9">
      <c r="A253" s="8"/>
      <c r="B253" s="8"/>
      <c r="C253" s="8"/>
      <c r="D253" s="8"/>
      <c r="E253" s="8"/>
      <c r="F253" s="9"/>
      <c r="G253" s="8"/>
      <c r="H253" s="8"/>
      <c r="I253" s="9"/>
    </row>
    <row r="254" spans="1:9" ht="13.9">
      <c r="A254" s="8"/>
      <c r="B254" s="8"/>
      <c r="C254" s="8"/>
      <c r="D254" s="8"/>
      <c r="E254" s="8"/>
      <c r="F254" s="9"/>
      <c r="G254" s="8"/>
      <c r="H254" s="8"/>
      <c r="I254" s="9"/>
    </row>
    <row r="255" spans="1:9" ht="13.9">
      <c r="A255" s="8"/>
      <c r="B255" s="8"/>
      <c r="C255" s="8"/>
      <c r="D255" s="8"/>
      <c r="E255" s="8"/>
      <c r="F255" s="9"/>
      <c r="G255" s="8"/>
      <c r="H255" s="8"/>
      <c r="I255" s="9"/>
    </row>
    <row r="256" spans="1:9" ht="13.9">
      <c r="A256" s="8"/>
      <c r="B256" s="8"/>
      <c r="C256" s="8"/>
      <c r="D256" s="8"/>
      <c r="E256" s="8"/>
      <c r="F256" s="9"/>
      <c r="G256" s="8"/>
      <c r="H256" s="8"/>
      <c r="I256" s="9"/>
    </row>
    <row r="257" spans="1:9" ht="13.9">
      <c r="A257" s="8"/>
      <c r="B257" s="8"/>
      <c r="C257" s="8"/>
      <c r="D257" s="8"/>
      <c r="E257" s="8"/>
      <c r="F257" s="9"/>
      <c r="G257" s="8"/>
      <c r="H257" s="8"/>
      <c r="I257" s="9"/>
    </row>
    <row r="258" spans="1:9" ht="13.9">
      <c r="A258" s="8"/>
      <c r="B258" s="8"/>
      <c r="C258" s="8"/>
      <c r="D258" s="8"/>
      <c r="E258" s="8"/>
      <c r="F258" s="9"/>
      <c r="G258" s="8"/>
      <c r="H258" s="8"/>
      <c r="I258" s="9"/>
    </row>
    <row r="259" spans="1:9" ht="13.9">
      <c r="A259" s="8"/>
      <c r="B259" s="8"/>
      <c r="C259" s="8"/>
      <c r="D259" s="8"/>
      <c r="E259" s="8"/>
      <c r="F259" s="9"/>
      <c r="G259" s="8"/>
      <c r="H259" s="8"/>
      <c r="I259" s="9"/>
    </row>
    <row r="260" spans="1:9" ht="13.9">
      <c r="A260" s="8"/>
      <c r="B260" s="8"/>
      <c r="C260" s="8"/>
      <c r="D260" s="8"/>
      <c r="E260" s="8"/>
      <c r="F260" s="9"/>
      <c r="G260" s="8"/>
      <c r="H260" s="8"/>
      <c r="I260" s="9"/>
    </row>
    <row r="261" spans="1:9" ht="13.9">
      <c r="A261" s="8"/>
      <c r="B261" s="8"/>
      <c r="C261" s="8"/>
      <c r="D261" s="8"/>
      <c r="E261" s="8"/>
      <c r="F261" s="9"/>
      <c r="G261" s="8"/>
      <c r="H261" s="8"/>
      <c r="I261" s="9"/>
    </row>
    <row r="262" spans="1:9" ht="13.9">
      <c r="A262" s="8"/>
      <c r="B262" s="8"/>
      <c r="C262" s="8"/>
      <c r="D262" s="8"/>
      <c r="E262" s="8"/>
      <c r="F262" s="9"/>
      <c r="G262" s="8"/>
      <c r="H262" s="8"/>
      <c r="I262" s="9"/>
    </row>
    <row r="263" spans="1:9" ht="13.9">
      <c r="A263" s="8"/>
      <c r="B263" s="8"/>
      <c r="C263" s="8"/>
      <c r="D263" s="8"/>
      <c r="E263" s="8"/>
      <c r="F263" s="9"/>
      <c r="G263" s="8"/>
      <c r="H263" s="8"/>
      <c r="I263" s="9"/>
    </row>
    <row r="264" spans="1:9" ht="13.9">
      <c r="A264" s="8"/>
      <c r="B264" s="8"/>
      <c r="C264" s="8"/>
      <c r="D264" s="8"/>
      <c r="E264" s="8"/>
      <c r="F264" s="9"/>
      <c r="G264" s="8"/>
      <c r="H264" s="8"/>
      <c r="I264" s="9"/>
    </row>
    <row r="265" spans="1:9" ht="13.9">
      <c r="A265" s="8"/>
      <c r="B265" s="8"/>
      <c r="C265" s="8"/>
      <c r="D265" s="8"/>
      <c r="E265" s="8"/>
      <c r="F265" s="9"/>
      <c r="G265" s="8"/>
      <c r="H265" s="8"/>
      <c r="I265" s="9"/>
    </row>
    <row r="266" spans="1:9" ht="13.9">
      <c r="A266" s="8"/>
      <c r="B266" s="8"/>
      <c r="C266" s="8"/>
      <c r="D266" s="8"/>
      <c r="E266" s="8"/>
      <c r="F266" s="9"/>
      <c r="G266" s="8"/>
      <c r="H266" s="8"/>
      <c r="I266" s="9"/>
    </row>
    <row r="267" spans="1:9" ht="13.9">
      <c r="A267" s="8"/>
      <c r="B267" s="8"/>
      <c r="C267" s="8"/>
      <c r="D267" s="8"/>
      <c r="E267" s="8"/>
      <c r="F267" s="9"/>
      <c r="G267" s="8"/>
      <c r="H267" s="8"/>
      <c r="I267" s="9"/>
    </row>
    <row r="268" spans="1:9" ht="13.9">
      <c r="A268" s="8"/>
      <c r="B268" s="8"/>
      <c r="C268" s="8"/>
      <c r="D268" s="8"/>
      <c r="E268" s="8"/>
      <c r="F268" s="9"/>
      <c r="G268" s="8"/>
      <c r="H268" s="8"/>
      <c r="I268" s="9"/>
    </row>
    <row r="269" spans="1:9" ht="13.9">
      <c r="A269" s="8"/>
      <c r="B269" s="8"/>
      <c r="C269" s="8"/>
      <c r="D269" s="8"/>
      <c r="E269" s="8"/>
      <c r="F269" s="9"/>
      <c r="G269" s="8"/>
      <c r="H269" s="8"/>
      <c r="I269" s="9"/>
    </row>
    <row r="270" spans="1:9" ht="13.9">
      <c r="A270" s="8"/>
      <c r="B270" s="8"/>
      <c r="C270" s="8"/>
      <c r="D270" s="8"/>
      <c r="E270" s="8"/>
      <c r="F270" s="9"/>
      <c r="G270" s="8"/>
      <c r="H270" s="8"/>
      <c r="I270" s="9"/>
    </row>
    <row r="271" spans="1:9" ht="13.9">
      <c r="A271" s="8"/>
      <c r="B271" s="8"/>
      <c r="C271" s="8"/>
      <c r="D271" s="8"/>
      <c r="E271" s="8"/>
      <c r="F271" s="9"/>
      <c r="G271" s="8"/>
      <c r="H271" s="8"/>
      <c r="I271" s="9"/>
    </row>
    <row r="272" spans="1:9" ht="13.9">
      <c r="A272" s="8"/>
      <c r="B272" s="8"/>
      <c r="C272" s="8"/>
      <c r="D272" s="8"/>
      <c r="E272" s="8"/>
      <c r="F272" s="9"/>
      <c r="G272" s="8"/>
      <c r="H272" s="8"/>
      <c r="I272" s="9"/>
    </row>
    <row r="273" spans="1:9" ht="13.9">
      <c r="A273" s="8"/>
      <c r="B273" s="8"/>
      <c r="C273" s="8"/>
      <c r="D273" s="8"/>
      <c r="E273" s="8"/>
      <c r="F273" s="9"/>
      <c r="G273" s="8"/>
      <c r="H273" s="8"/>
      <c r="I273" s="9"/>
    </row>
    <row r="274" spans="1:9" ht="13.9">
      <c r="A274" s="8"/>
      <c r="B274" s="8"/>
      <c r="C274" s="8"/>
      <c r="D274" s="8"/>
      <c r="E274" s="8"/>
      <c r="F274" s="9"/>
      <c r="G274" s="8"/>
      <c r="H274" s="8"/>
      <c r="I274" s="9"/>
    </row>
    <row r="275" spans="1:9" ht="13.9">
      <c r="A275" s="8"/>
      <c r="B275" s="8"/>
      <c r="C275" s="8"/>
      <c r="D275" s="8"/>
      <c r="E275" s="8"/>
      <c r="F275" s="9"/>
      <c r="G275" s="8"/>
      <c r="H275" s="8"/>
      <c r="I275" s="9"/>
    </row>
    <row r="276" spans="1:9" ht="13.9">
      <c r="A276" s="8"/>
      <c r="B276" s="8"/>
      <c r="C276" s="8"/>
      <c r="D276" s="8"/>
      <c r="E276" s="8"/>
      <c r="F276" s="9"/>
      <c r="G276" s="8"/>
      <c r="H276" s="8"/>
      <c r="I276" s="9"/>
    </row>
    <row r="277" spans="1:9" ht="13.9">
      <c r="A277" s="8"/>
      <c r="B277" s="8"/>
      <c r="C277" s="8"/>
      <c r="D277" s="8"/>
      <c r="E277" s="8"/>
      <c r="F277" s="9"/>
      <c r="G277" s="8"/>
      <c r="H277" s="8"/>
      <c r="I277" s="9"/>
    </row>
    <row r="278" spans="1:9" ht="13.9">
      <c r="A278" s="8"/>
      <c r="B278" s="8"/>
      <c r="C278" s="8"/>
      <c r="D278" s="8"/>
      <c r="E278" s="8"/>
      <c r="F278" s="9"/>
      <c r="G278" s="8"/>
      <c r="H278" s="8"/>
      <c r="I278" s="9"/>
    </row>
    <row r="279" spans="1:9" ht="13.9">
      <c r="A279" s="8"/>
      <c r="B279" s="8"/>
      <c r="C279" s="8"/>
      <c r="D279" s="8"/>
      <c r="E279" s="8"/>
      <c r="F279" s="9"/>
      <c r="G279" s="8"/>
      <c r="H279" s="8"/>
      <c r="I279" s="9"/>
    </row>
    <row r="280" spans="1:9" ht="13.9">
      <c r="A280" s="8"/>
      <c r="B280" s="8"/>
      <c r="C280" s="8"/>
      <c r="D280" s="8"/>
      <c r="E280" s="8"/>
      <c r="F280" s="9"/>
      <c r="G280" s="8"/>
      <c r="H280" s="8"/>
      <c r="I280" s="9"/>
    </row>
    <row r="281" spans="1:9" ht="13.9">
      <c r="A281" s="8"/>
      <c r="B281" s="8"/>
      <c r="C281" s="8"/>
      <c r="D281" s="8"/>
      <c r="E281" s="8"/>
      <c r="F281" s="9"/>
      <c r="G281" s="8"/>
      <c r="H281" s="8"/>
      <c r="I281" s="9"/>
    </row>
    <row r="282" spans="1:9" ht="13.9">
      <c r="A282" s="8"/>
      <c r="B282" s="8"/>
      <c r="C282" s="8"/>
      <c r="D282" s="8"/>
      <c r="E282" s="8"/>
      <c r="F282" s="9"/>
      <c r="G282" s="8"/>
      <c r="H282" s="8"/>
      <c r="I282" s="9"/>
    </row>
    <row r="283" spans="1:9" ht="13.9">
      <c r="A283" s="8"/>
      <c r="B283" s="8"/>
      <c r="C283" s="8"/>
      <c r="D283" s="8"/>
      <c r="E283" s="8"/>
      <c r="F283" s="9"/>
      <c r="G283" s="8"/>
      <c r="H283" s="8"/>
      <c r="I283" s="9"/>
    </row>
    <row r="284" spans="1:9" ht="13.9">
      <c r="A284" s="8"/>
      <c r="B284" s="8"/>
      <c r="C284" s="8"/>
      <c r="D284" s="8"/>
      <c r="E284" s="8"/>
      <c r="F284" s="9"/>
      <c r="G284" s="8"/>
      <c r="H284" s="8"/>
      <c r="I284" s="9"/>
    </row>
    <row r="285" spans="1:9" ht="13.9">
      <c r="A285" s="8"/>
      <c r="B285" s="8"/>
      <c r="C285" s="8"/>
      <c r="D285" s="8"/>
      <c r="E285" s="8"/>
      <c r="F285" s="9"/>
      <c r="G285" s="8"/>
      <c r="H285" s="8"/>
      <c r="I285" s="9"/>
    </row>
    <row r="286" spans="1:9" ht="13.9">
      <c r="A286" s="8"/>
      <c r="B286" s="8"/>
      <c r="C286" s="8"/>
      <c r="D286" s="8"/>
      <c r="E286" s="8"/>
      <c r="F286" s="9"/>
      <c r="G286" s="8"/>
      <c r="H286" s="8"/>
      <c r="I286" s="9"/>
    </row>
    <row r="287" spans="1:9" ht="13.9">
      <c r="A287" s="8"/>
      <c r="B287" s="8"/>
      <c r="C287" s="8"/>
      <c r="D287" s="8"/>
      <c r="E287" s="8"/>
      <c r="F287" s="9"/>
      <c r="G287" s="8"/>
      <c r="H287" s="8"/>
      <c r="I287" s="9"/>
    </row>
    <row r="288" spans="1:9" ht="13.9">
      <c r="A288" s="8"/>
      <c r="B288" s="8"/>
      <c r="C288" s="8"/>
      <c r="D288" s="8"/>
      <c r="E288" s="8"/>
      <c r="F288" s="9"/>
      <c r="G288" s="8"/>
      <c r="H288" s="8"/>
      <c r="I288" s="9"/>
    </row>
    <row r="289" spans="1:9" ht="13.9">
      <c r="A289" s="8"/>
      <c r="B289" s="8"/>
      <c r="C289" s="8"/>
      <c r="D289" s="8"/>
      <c r="E289" s="8"/>
      <c r="F289" s="9"/>
      <c r="G289" s="8"/>
      <c r="H289" s="8"/>
      <c r="I289" s="9"/>
    </row>
    <row r="290" spans="1:9" ht="13.9">
      <c r="A290" s="8"/>
      <c r="B290" s="8"/>
      <c r="C290" s="8"/>
      <c r="D290" s="8"/>
      <c r="E290" s="8"/>
      <c r="F290" s="9"/>
      <c r="G290" s="8"/>
      <c r="H290" s="8"/>
      <c r="I290" s="9"/>
    </row>
    <row r="291" spans="1:9" ht="13.9">
      <c r="A291" s="8"/>
      <c r="B291" s="8"/>
      <c r="C291" s="8"/>
      <c r="D291" s="8"/>
      <c r="E291" s="8"/>
      <c r="F291" s="9"/>
      <c r="G291" s="8"/>
      <c r="H291" s="8"/>
      <c r="I291" s="9"/>
    </row>
    <row r="292" spans="1:9" ht="13.9">
      <c r="A292" s="8"/>
      <c r="B292" s="8"/>
      <c r="C292" s="8"/>
      <c r="D292" s="8"/>
      <c r="E292" s="8"/>
      <c r="F292" s="9"/>
      <c r="G292" s="8"/>
      <c r="H292" s="8"/>
      <c r="I292" s="9"/>
    </row>
    <row r="293" spans="1:9" ht="13.9">
      <c r="A293" s="8"/>
      <c r="B293" s="8"/>
      <c r="C293" s="8"/>
      <c r="D293" s="8"/>
      <c r="E293" s="8"/>
      <c r="F293" s="9"/>
      <c r="G293" s="8"/>
      <c r="H293" s="8"/>
      <c r="I293" s="9"/>
    </row>
    <row r="294" spans="1:9" ht="13.9">
      <c r="A294" s="8"/>
      <c r="B294" s="8"/>
      <c r="C294" s="8"/>
      <c r="D294" s="8"/>
      <c r="E294" s="8"/>
      <c r="F294" s="9"/>
      <c r="G294" s="8"/>
      <c r="H294" s="8"/>
      <c r="I294" s="9"/>
    </row>
    <row r="295" spans="1:9" ht="13.9">
      <c r="A295" s="8"/>
      <c r="B295" s="8"/>
      <c r="C295" s="8"/>
      <c r="D295" s="8"/>
      <c r="E295" s="8"/>
      <c r="F295" s="9"/>
      <c r="G295" s="8"/>
      <c r="H295" s="8"/>
      <c r="I295" s="9"/>
    </row>
    <row r="296" spans="1:9" ht="13.9">
      <c r="A296" s="8"/>
      <c r="B296" s="8"/>
      <c r="C296" s="8"/>
      <c r="D296" s="8"/>
      <c r="E296" s="8"/>
      <c r="F296" s="9"/>
      <c r="G296" s="8"/>
      <c r="H296" s="8"/>
      <c r="I296" s="9"/>
    </row>
    <row r="297" spans="1:9" ht="13.9">
      <c r="A297" s="8"/>
      <c r="B297" s="8"/>
      <c r="C297" s="8"/>
      <c r="D297" s="8"/>
      <c r="E297" s="8"/>
      <c r="F297" s="9"/>
      <c r="G297" s="8"/>
      <c r="H297" s="8"/>
      <c r="I297" s="9"/>
    </row>
    <row r="298" spans="1:9" ht="13.9">
      <c r="A298" s="8"/>
      <c r="B298" s="8"/>
      <c r="C298" s="8"/>
      <c r="D298" s="8"/>
      <c r="E298" s="8"/>
      <c r="F298" s="9"/>
      <c r="G298" s="8"/>
      <c r="H298" s="8"/>
      <c r="I298" s="9"/>
    </row>
    <row r="299" spans="1:9" ht="13.9">
      <c r="A299" s="8"/>
      <c r="B299" s="8"/>
      <c r="C299" s="8"/>
      <c r="D299" s="8"/>
      <c r="E299" s="8"/>
      <c r="F299" s="9"/>
      <c r="G299" s="8"/>
      <c r="H299" s="8"/>
      <c r="I299" s="9"/>
    </row>
    <row r="300" spans="1:9" ht="13.9">
      <c r="A300" s="8"/>
      <c r="B300" s="8"/>
      <c r="C300" s="8"/>
      <c r="D300" s="8"/>
      <c r="E300" s="8"/>
      <c r="F300" s="9"/>
      <c r="G300" s="8"/>
      <c r="H300" s="8"/>
      <c r="I300" s="9"/>
    </row>
    <row r="301" spans="1:9" ht="13.9">
      <c r="A301" s="8"/>
      <c r="B301" s="8"/>
      <c r="C301" s="8"/>
      <c r="D301" s="8"/>
      <c r="E301" s="8"/>
      <c r="F301" s="9"/>
      <c r="G301" s="8"/>
      <c r="H301" s="8"/>
      <c r="I301" s="9"/>
    </row>
    <row r="302" spans="1:9" ht="13.9">
      <c r="A302" s="8"/>
      <c r="B302" s="8"/>
      <c r="C302" s="8"/>
      <c r="D302" s="8"/>
      <c r="E302" s="8"/>
      <c r="F302" s="9"/>
      <c r="G302" s="8"/>
      <c r="H302" s="8"/>
      <c r="I302" s="9"/>
    </row>
    <row r="303" spans="1:9" ht="13.9">
      <c r="A303" s="8"/>
      <c r="B303" s="8"/>
      <c r="C303" s="8"/>
      <c r="D303" s="8"/>
      <c r="E303" s="8"/>
      <c r="F303" s="9"/>
      <c r="G303" s="8"/>
      <c r="H303" s="8"/>
      <c r="I303" s="9"/>
    </row>
    <row r="304" spans="1:9" ht="13.9">
      <c r="A304" s="8"/>
      <c r="B304" s="8"/>
      <c r="C304" s="8"/>
      <c r="D304" s="8"/>
      <c r="E304" s="8"/>
      <c r="F304" s="9"/>
      <c r="G304" s="8"/>
      <c r="H304" s="8"/>
      <c r="I304" s="9"/>
    </row>
    <row r="305" spans="1:9" ht="13.9">
      <c r="A305" s="8"/>
      <c r="B305" s="8"/>
      <c r="C305" s="8"/>
      <c r="D305" s="8"/>
      <c r="E305" s="8"/>
      <c r="F305" s="9"/>
      <c r="G305" s="8"/>
      <c r="H305" s="8"/>
      <c r="I305" s="9"/>
    </row>
    <row r="306" spans="1:9" ht="13.9">
      <c r="A306" s="8"/>
      <c r="B306" s="8"/>
      <c r="C306" s="8"/>
      <c r="D306" s="8"/>
      <c r="E306" s="8"/>
      <c r="F306" s="9"/>
      <c r="G306" s="8"/>
      <c r="H306" s="8"/>
      <c r="I306" s="9"/>
    </row>
    <row r="307" spans="1:9" ht="13.9">
      <c r="A307" s="8"/>
      <c r="B307" s="8"/>
      <c r="C307" s="8"/>
      <c r="D307" s="8"/>
      <c r="E307" s="8"/>
      <c r="F307" s="9"/>
      <c r="G307" s="8"/>
      <c r="H307" s="8"/>
      <c r="I307" s="9"/>
    </row>
    <row r="308" spans="1:9" ht="13.9">
      <c r="A308" s="8"/>
      <c r="B308" s="8"/>
      <c r="C308" s="8"/>
      <c r="D308" s="8"/>
      <c r="E308" s="8"/>
      <c r="F308" s="9"/>
      <c r="G308" s="8"/>
      <c r="H308" s="8"/>
      <c r="I308" s="9"/>
    </row>
    <row r="309" spans="1:9" ht="13.9">
      <c r="A309" s="8"/>
      <c r="B309" s="8"/>
      <c r="C309" s="8"/>
      <c r="D309" s="8"/>
      <c r="E309" s="8"/>
      <c r="F309" s="9"/>
      <c r="G309" s="8"/>
      <c r="H309" s="8"/>
      <c r="I309" s="9"/>
    </row>
    <row r="310" spans="1:9" ht="13.9">
      <c r="A310" s="8"/>
      <c r="B310" s="8"/>
      <c r="C310" s="8"/>
      <c r="D310" s="8"/>
      <c r="E310" s="8"/>
      <c r="F310" s="9"/>
      <c r="G310" s="8"/>
      <c r="H310" s="8"/>
      <c r="I310" s="9"/>
    </row>
    <row r="311" spans="1:9" ht="13.9">
      <c r="A311" s="8"/>
      <c r="B311" s="8"/>
      <c r="C311" s="8"/>
      <c r="D311" s="8"/>
      <c r="E311" s="8"/>
      <c r="F311" s="9"/>
      <c r="G311" s="8"/>
      <c r="H311" s="8"/>
      <c r="I311" s="9"/>
    </row>
    <row r="312" spans="1:9" ht="13.9">
      <c r="A312" s="8"/>
      <c r="B312" s="8"/>
      <c r="C312" s="8"/>
      <c r="D312" s="8"/>
      <c r="E312" s="8"/>
      <c r="F312" s="9"/>
      <c r="G312" s="8"/>
      <c r="H312" s="8"/>
      <c r="I312" s="9"/>
    </row>
    <row r="313" spans="1:9" ht="13.9">
      <c r="A313" s="8"/>
      <c r="B313" s="8"/>
      <c r="C313" s="8"/>
      <c r="D313" s="8"/>
      <c r="E313" s="8"/>
      <c r="F313" s="9"/>
      <c r="G313" s="8"/>
      <c r="H313" s="8"/>
      <c r="I313" s="9"/>
    </row>
    <row r="314" spans="1:9" ht="13.9">
      <c r="A314" s="8"/>
      <c r="B314" s="8"/>
      <c r="C314" s="8"/>
      <c r="D314" s="8"/>
      <c r="E314" s="8"/>
      <c r="F314" s="9"/>
      <c r="G314" s="8"/>
      <c r="H314" s="8"/>
      <c r="I314" s="9"/>
    </row>
    <row r="315" spans="1:9" ht="13.9">
      <c r="A315" s="8"/>
      <c r="B315" s="8"/>
      <c r="C315" s="8"/>
      <c r="D315" s="8"/>
      <c r="E315" s="8"/>
      <c r="F315" s="9"/>
      <c r="G315" s="8"/>
      <c r="H315" s="8"/>
      <c r="I315" s="9"/>
    </row>
    <row r="316" spans="1:9" ht="13.9">
      <c r="A316" s="8"/>
      <c r="B316" s="8"/>
      <c r="C316" s="8"/>
      <c r="D316" s="8"/>
      <c r="E316" s="8"/>
      <c r="F316" s="9"/>
      <c r="G316" s="8"/>
      <c r="H316" s="8"/>
      <c r="I316" s="9"/>
    </row>
    <row r="317" spans="1:9" ht="13.9">
      <c r="A317" s="8"/>
      <c r="B317" s="8"/>
      <c r="C317" s="8"/>
      <c r="D317" s="8"/>
      <c r="E317" s="8"/>
      <c r="F317" s="9"/>
      <c r="G317" s="8"/>
      <c r="H317" s="8"/>
      <c r="I317" s="9"/>
    </row>
    <row r="318" spans="1:9" ht="13.9">
      <c r="A318" s="8"/>
      <c r="B318" s="8"/>
      <c r="C318" s="8"/>
      <c r="D318" s="8"/>
      <c r="E318" s="8"/>
      <c r="F318" s="9"/>
      <c r="G318" s="8"/>
      <c r="H318" s="8"/>
      <c r="I318" s="9"/>
    </row>
    <row r="319" spans="1:9" ht="13.9">
      <c r="A319" s="8"/>
      <c r="B319" s="8"/>
      <c r="C319" s="8"/>
      <c r="D319" s="8"/>
      <c r="E319" s="8"/>
      <c r="F319" s="9"/>
      <c r="G319" s="8"/>
      <c r="H319" s="8"/>
      <c r="I319" s="9"/>
    </row>
    <row r="320" spans="1:9" ht="13.9">
      <c r="A320" s="8"/>
      <c r="B320" s="8"/>
      <c r="C320" s="8"/>
      <c r="D320" s="8"/>
      <c r="E320" s="8"/>
      <c r="F320" s="9"/>
      <c r="G320" s="8"/>
      <c r="H320" s="8"/>
      <c r="I320" s="9"/>
    </row>
  </sheetData>
  <mergeCells count="4">
    <mergeCell ref="G1:I1"/>
    <mergeCell ref="A1:C1"/>
    <mergeCell ref="D1:F1"/>
    <mergeCell ref="A2:B2"/>
  </mergeCells>
  <conditionalFormatting sqref="F2 I2 F4:F85 I4:I85">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0"/>
  <sheetViews>
    <sheetView zoomScale="85" zoomScaleNormal="85" workbookViewId="0">
      <pane xSplit="2" ySplit="3" topLeftCell="G20" activePane="bottomRight" state="frozen"/>
      <selection pane="bottomRight" activeCell="G31" sqref="G31:G32"/>
      <selection pane="bottomLeft" activeCell="E11" sqref="E11"/>
      <selection pane="topRight" activeCell="E11" sqref="E11"/>
    </sheetView>
  </sheetViews>
  <sheetFormatPr defaultRowHeight="13.9"/>
  <cols>
    <col min="1" max="1" width="36" customWidth="1"/>
    <col min="2" max="2" width="14.5703125" style="14" customWidth="1"/>
    <col min="3" max="5" width="14.5703125" customWidth="1"/>
    <col min="6" max="6" width="14.5703125" style="1" customWidth="1"/>
    <col min="7" max="8" width="14.5703125" customWidth="1"/>
    <col min="9" max="9" width="14.5703125" style="1" customWidth="1"/>
    <col min="10" max="10" width="96.140625" bestFit="1" customWidth="1"/>
    <col min="11" max="11" width="19.28515625" bestFit="1" customWidth="1"/>
  </cols>
  <sheetData>
    <row r="1" spans="1:11" ht="15.6">
      <c r="A1" s="106" t="str" cm="1">
        <f t="array" ref="A1">portfolio</f>
        <v>Clean Capital</v>
      </c>
      <c r="B1" s="106"/>
      <c r="C1" s="106"/>
      <c r="D1" s="107" t="s">
        <v>18</v>
      </c>
      <c r="E1" s="107"/>
      <c r="F1" s="107"/>
      <c r="G1" s="105" t="s">
        <v>19</v>
      </c>
      <c r="H1" s="105"/>
      <c r="I1" s="105"/>
      <c r="J1" s="4"/>
      <c r="K1" s="4"/>
    </row>
    <row r="2" spans="1:11" ht="15.6">
      <c r="A2" s="108" t="s">
        <v>2</v>
      </c>
      <c r="B2" s="108"/>
      <c r="C2" s="5">
        <f>SUM(C4:C78)</f>
        <v>52388.975010000002</v>
      </c>
      <c r="D2" s="5">
        <f>SUM(D4:D78)</f>
        <v>0</v>
      </c>
      <c r="E2" s="5">
        <f>C2-D2</f>
        <v>52388.975010000002</v>
      </c>
      <c r="F2" s="6">
        <f>IFERROR(E2/D2, 0)</f>
        <v>0</v>
      </c>
      <c r="G2" s="5">
        <f>SUM(G4:G78)</f>
        <v>40330</v>
      </c>
      <c r="H2" s="7">
        <f>C2-G2</f>
        <v>12058.975010000002</v>
      </c>
      <c r="I2" s="6">
        <f>IFERROR(H2/G2, 0)</f>
        <v>0.29900756285643448</v>
      </c>
      <c r="J2" s="11"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5.6">
      <c r="A3" s="12" t="s">
        <v>3</v>
      </c>
      <c r="B3" s="12" t="s">
        <v>4</v>
      </c>
      <c r="C3" s="19" t="s">
        <v>5</v>
      </c>
      <c r="D3" s="20" t="s">
        <v>6</v>
      </c>
      <c r="E3" s="20" t="s">
        <v>7</v>
      </c>
      <c r="F3" s="21" t="s">
        <v>8</v>
      </c>
      <c r="G3" s="25" t="s">
        <v>9</v>
      </c>
      <c r="H3" s="23" t="s">
        <v>7</v>
      </c>
      <c r="I3" s="24" t="s">
        <v>8</v>
      </c>
      <c r="J3" s="10" t="s">
        <v>20</v>
      </c>
      <c r="K3" s="10" t="s">
        <v>21</v>
      </c>
    </row>
    <row r="4" spans="1:11" ht="15.6">
      <c r="A4" s="44" t="str" cm="1">
        <f t="array" ref="A4:A85">Sites[Site]</f>
        <v>Lexington - Cotting School</v>
      </c>
      <c r="B4" s="40" t="str" cm="1">
        <f t="array" ref="B4:B85">Sites[State]</f>
        <v>MA</v>
      </c>
      <c r="C4" s="28">
        <v>10561.04</v>
      </c>
      <c r="D4" s="29">
        <v>0</v>
      </c>
      <c r="E4" s="29">
        <f>IF(AND(ISNUMBER(C4),ISNUMBER(D4)), C4-D4, "")</f>
        <v>10561.04</v>
      </c>
      <c r="F4" s="32" t="str">
        <f>IFERROR(E4/D4, "")</f>
        <v/>
      </c>
      <c r="G4" s="31">
        <v>0</v>
      </c>
      <c r="H4" s="31">
        <f>IF(AND(ISNUMBER(C4),ISNUMBER(G4)), C4-G4, "")</f>
        <v>10561.04</v>
      </c>
      <c r="I4" s="32" t="str">
        <f>IFERROR(H4/G4, "")</f>
        <v/>
      </c>
      <c r="J4" s="49" t="s">
        <v>22</v>
      </c>
      <c r="K4" s="67" t="s">
        <v>23</v>
      </c>
    </row>
    <row r="5" spans="1:11" ht="75" customHeight="1">
      <c r="A5" s="45" t="str">
        <v>Pacoima - Whiteman Airport</v>
      </c>
      <c r="B5" s="42" t="str">
        <v>CA</v>
      </c>
      <c r="C5" s="36">
        <v>14475.1</v>
      </c>
      <c r="D5" s="36">
        <v>0</v>
      </c>
      <c r="E5" s="36">
        <f t="shared" ref="E5:E7" si="0">IF(AND(ISNUMBER(C5),ISNUMBER(D5)), C5-D5, "")</f>
        <v>14475.1</v>
      </c>
      <c r="F5" s="37" t="str">
        <f t="shared" ref="F5:F7" si="1">IFERROR(E5/D5, "")</f>
        <v/>
      </c>
      <c r="G5" s="38">
        <v>28600</v>
      </c>
      <c r="H5" s="38">
        <f t="shared" ref="H5:H6" si="2">IF(AND(ISNUMBER(C5),ISNUMBER(G5)), C5-G5, "")</f>
        <v>-14124.9</v>
      </c>
      <c r="I5" s="37">
        <f t="shared" ref="I5:I6" si="3">IFERROR(H5/G5, "")</f>
        <v>-0.49387762237762234</v>
      </c>
      <c r="J5" s="66" t="s">
        <v>24</v>
      </c>
      <c r="K5" s="68" t="s">
        <v>25</v>
      </c>
    </row>
    <row r="6" spans="1:11" ht="15.6">
      <c r="A6" s="46" t="str">
        <v>Hyannis - Sturgis Charter School</v>
      </c>
      <c r="B6" s="40" t="str">
        <v>MA</v>
      </c>
      <c r="C6" s="28">
        <v>13994.515009999999</v>
      </c>
      <c r="D6" s="29">
        <v>0</v>
      </c>
      <c r="E6" s="29">
        <f t="shared" si="0"/>
        <v>13994.515009999999</v>
      </c>
      <c r="F6" s="32" t="str">
        <f t="shared" si="1"/>
        <v/>
      </c>
      <c r="G6" s="31">
        <v>11730</v>
      </c>
      <c r="H6" s="31">
        <f t="shared" si="2"/>
        <v>2264.5150099999992</v>
      </c>
      <c r="I6" s="32">
        <f t="shared" si="3"/>
        <v>0.19305328303495303</v>
      </c>
      <c r="J6" s="49"/>
      <c r="K6" s="49"/>
    </row>
    <row r="7" spans="1:11" ht="15.6">
      <c r="A7" s="45" t="str">
        <v>South Dennis - Tony Kent Arena</v>
      </c>
      <c r="B7" s="42" t="str">
        <v>MA</v>
      </c>
      <c r="C7" s="36">
        <v>13358.32</v>
      </c>
      <c r="D7" s="36">
        <v>0</v>
      </c>
      <c r="E7" s="36">
        <f t="shared" si="0"/>
        <v>13358.32</v>
      </c>
      <c r="F7" s="37" t="str">
        <f t="shared" si="1"/>
        <v/>
      </c>
      <c r="G7" s="38">
        <v>0</v>
      </c>
      <c r="H7" s="38">
        <f t="shared" ref="H7" si="4">IF(AND(ISNUMBER(C7),ISNUMBER(G7)), C7-G7, "")</f>
        <v>13358.32</v>
      </c>
      <c r="I7" s="37" t="str">
        <f t="shared" ref="I7" si="5">IFERROR(H7/G7, "")</f>
        <v/>
      </c>
      <c r="J7" s="50" t="s">
        <v>26</v>
      </c>
      <c r="K7" s="69" t="s">
        <v>27</v>
      </c>
    </row>
    <row r="8" spans="1:11" ht="15.6">
      <c r="A8" s="44" t="str">
        <v xml:space="preserve"> Caropolis - Felician Sisters</v>
      </c>
      <c r="B8" s="40" t="str">
        <v>PA</v>
      </c>
      <c r="C8" s="28"/>
      <c r="D8" s="29"/>
      <c r="E8" s="29"/>
      <c r="F8" s="32"/>
      <c r="G8" s="31"/>
      <c r="H8" s="31"/>
      <c r="I8" s="32"/>
      <c r="J8" s="49"/>
      <c r="K8" s="67"/>
    </row>
    <row r="9" spans="1:11" ht="15.6">
      <c r="A9" s="45" t="str">
        <v>Clear Lake - Eastlake Gohman</v>
      </c>
      <c r="B9" s="42" t="str">
        <v>MN</v>
      </c>
      <c r="C9" s="36"/>
      <c r="D9" s="36"/>
      <c r="E9" s="36"/>
      <c r="F9" s="37"/>
      <c r="G9" s="38"/>
      <c r="H9" s="38"/>
      <c r="I9" s="37"/>
      <c r="J9" s="66"/>
      <c r="K9" s="68"/>
    </row>
    <row r="10" spans="1:11" ht="15.6">
      <c r="A10" s="46" t="str">
        <v>Zumbrota - Eastlake Brenda Luhman</v>
      </c>
      <c r="B10" s="40" t="str">
        <v>MN</v>
      </c>
      <c r="C10" s="28"/>
      <c r="D10" s="29"/>
      <c r="E10" s="29"/>
      <c r="F10" s="32"/>
      <c r="G10" s="31"/>
      <c r="H10" s="31"/>
      <c r="I10" s="32"/>
      <c r="J10" s="49"/>
      <c r="K10" s="49"/>
    </row>
    <row r="11" spans="1:11" ht="15.6">
      <c r="A11" s="45" t="str">
        <v>Cokato - Eastlake Carlson</v>
      </c>
      <c r="B11" s="42" t="str">
        <v>MN</v>
      </c>
      <c r="C11" s="36"/>
      <c r="D11" s="36"/>
      <c r="E11" s="36"/>
      <c r="F11" s="37"/>
      <c r="G11" s="38"/>
      <c r="H11" s="38"/>
      <c r="I11" s="37"/>
      <c r="J11" s="50"/>
      <c r="K11" s="69"/>
    </row>
    <row r="12" spans="1:11" ht="15.6">
      <c r="A12" s="44" t="str">
        <v>North Branch - Cornille 2</v>
      </c>
      <c r="B12" s="40" t="str">
        <v>MN</v>
      </c>
      <c r="C12" s="28"/>
      <c r="D12" s="29"/>
      <c r="E12" s="29"/>
      <c r="F12" s="32"/>
      <c r="G12" s="31"/>
      <c r="H12" s="31"/>
      <c r="I12" s="32"/>
      <c r="J12" s="49"/>
      <c r="K12" s="67"/>
    </row>
    <row r="13" spans="1:11" ht="15.6">
      <c r="A13" s="45" t="str">
        <v>Clear Lake - Eastlake Hammer</v>
      </c>
      <c r="B13" s="42" t="str">
        <v>MN</v>
      </c>
      <c r="C13" s="36"/>
      <c r="D13" s="36"/>
      <c r="E13" s="36"/>
      <c r="F13" s="37"/>
      <c r="G13" s="38"/>
      <c r="H13" s="38"/>
      <c r="I13" s="37"/>
      <c r="J13" s="66"/>
      <c r="K13" s="68"/>
    </row>
    <row r="14" spans="1:11" ht="15.6">
      <c r="A14" s="46" t="str">
        <v>Eastlake - Hertzberg CSG 1</v>
      </c>
      <c r="B14" s="40" t="str">
        <v>MN</v>
      </c>
      <c r="C14" s="28"/>
      <c r="D14" s="29"/>
      <c r="E14" s="29"/>
      <c r="F14" s="32"/>
      <c r="G14" s="31"/>
      <c r="H14" s="31"/>
      <c r="I14" s="32"/>
      <c r="J14" s="49"/>
      <c r="K14" s="49"/>
    </row>
    <row r="15" spans="1:11" ht="15.6">
      <c r="A15" s="45" t="str">
        <v>Cokato - Eastlake Laurel Village</v>
      </c>
      <c r="B15" s="42" t="str">
        <v>MN</v>
      </c>
      <c r="C15" s="36"/>
      <c r="D15" s="36"/>
      <c r="E15" s="36"/>
      <c r="F15" s="37"/>
      <c r="G15" s="38"/>
      <c r="H15" s="38"/>
      <c r="I15" s="37"/>
      <c r="J15" s="50"/>
      <c r="K15" s="69"/>
    </row>
    <row r="16" spans="1:11" ht="15.6">
      <c r="A16" s="44" t="str">
        <v>St. Peter - Eastlake Paulson</v>
      </c>
      <c r="B16" s="40" t="str">
        <v>MN</v>
      </c>
      <c r="C16" s="28"/>
      <c r="D16" s="29"/>
      <c r="E16" s="29"/>
      <c r="F16" s="32"/>
      <c r="G16" s="31"/>
      <c r="H16" s="31"/>
      <c r="I16" s="32"/>
      <c r="J16" s="49"/>
      <c r="K16" s="67"/>
    </row>
    <row r="17" spans="1:11" ht="15.6">
      <c r="A17" s="45" t="str">
        <v>Felician Sisters Convent</v>
      </c>
      <c r="B17" s="42" t="str">
        <v>NJ</v>
      </c>
      <c r="C17" s="36"/>
      <c r="D17" s="36"/>
      <c r="E17" s="36"/>
      <c r="F17" s="37"/>
      <c r="G17" s="38"/>
      <c r="H17" s="38"/>
      <c r="I17" s="37"/>
      <c r="J17" s="66"/>
      <c r="K17" s="68"/>
    </row>
    <row r="18" spans="1:11" ht="15.6">
      <c r="A18" s="46" t="str">
        <v>Sussex County Fairgrounds</v>
      </c>
      <c r="B18" s="40" t="str">
        <v>NJ</v>
      </c>
      <c r="C18" s="28"/>
      <c r="D18" s="29"/>
      <c r="E18" s="29"/>
      <c r="F18" s="32"/>
      <c r="G18" s="31"/>
      <c r="H18" s="31"/>
      <c r="I18" s="32"/>
      <c r="J18" s="49"/>
      <c r="K18" s="49"/>
    </row>
    <row r="19" spans="1:11" ht="15.6">
      <c r="A19" s="45" t="str">
        <v>Gateway Church</v>
      </c>
      <c r="B19" s="42" t="str">
        <v>NJ</v>
      </c>
      <c r="C19" s="36"/>
      <c r="D19" s="36"/>
      <c r="E19" s="36"/>
      <c r="F19" s="37"/>
      <c r="G19" s="38"/>
      <c r="H19" s="38"/>
      <c r="I19" s="37"/>
      <c r="J19" s="50"/>
      <c r="K19" s="69"/>
    </row>
    <row r="20" spans="1:11" ht="15.6">
      <c r="A20" s="44" t="str">
        <v>Beaver Falls - Felician Sisters</v>
      </c>
      <c r="B20" s="40" t="str">
        <v>PA</v>
      </c>
      <c r="C20" s="28"/>
      <c r="D20" s="29"/>
      <c r="E20" s="29"/>
      <c r="F20" s="32"/>
      <c r="G20" s="31"/>
      <c r="H20" s="31"/>
      <c r="I20" s="32"/>
      <c r="J20" s="49"/>
      <c r="K20" s="67"/>
    </row>
    <row r="21" spans="1:11" ht="15.6">
      <c r="A21" s="45" t="str">
        <v>Livonia - Felician Sisters Ground</v>
      </c>
      <c r="B21" s="42" t="str">
        <v>MI</v>
      </c>
      <c r="C21" s="36"/>
      <c r="D21" s="36"/>
      <c r="E21" s="36"/>
      <c r="F21" s="37"/>
      <c r="G21" s="38"/>
      <c r="H21" s="38"/>
      <c r="I21" s="37"/>
      <c r="J21" s="66"/>
      <c r="K21" s="68"/>
    </row>
    <row r="22" spans="1:11" ht="15.6">
      <c r="A22" s="46" t="str">
        <v>Livonia - Felician Sisters Roof</v>
      </c>
      <c r="B22" s="40" t="str">
        <v>MI</v>
      </c>
      <c r="C22" s="28"/>
      <c r="D22" s="29"/>
      <c r="E22" s="29"/>
      <c r="F22" s="32"/>
      <c r="G22" s="31"/>
      <c r="H22" s="31"/>
      <c r="I22" s="32"/>
      <c r="J22" s="49"/>
      <c r="K22" s="49"/>
    </row>
    <row r="23" spans="1:11" ht="15.6">
      <c r="A23" s="45" t="str">
        <v>Monmouth Worship Ctr</v>
      </c>
      <c r="B23" s="42" t="str">
        <v>NJ</v>
      </c>
      <c r="C23" s="36"/>
      <c r="D23" s="36"/>
      <c r="E23" s="36"/>
      <c r="F23" s="37"/>
      <c r="G23" s="38"/>
      <c r="H23" s="38"/>
      <c r="I23" s="37"/>
      <c r="J23" s="50"/>
      <c r="K23" s="69"/>
    </row>
    <row r="24" spans="1:11" ht="15.6">
      <c r="A24" s="44" t="str">
        <v xml:space="preserve"> Audubon - Senior Citizens United</v>
      </c>
      <c r="B24" s="40" t="str">
        <v>NJ</v>
      </c>
      <c r="C24" s="28"/>
      <c r="D24" s="29"/>
      <c r="E24" s="29"/>
      <c r="F24" s="32"/>
      <c r="G24" s="31"/>
      <c r="H24" s="31"/>
      <c r="I24" s="32"/>
      <c r="J24" s="49"/>
      <c r="K24" s="67"/>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sheetData>
  <mergeCells count="4">
    <mergeCell ref="D1:F1"/>
    <mergeCell ref="A1:C1"/>
    <mergeCell ref="G1:I1"/>
    <mergeCell ref="A2:B2"/>
  </mergeCells>
  <conditionalFormatting sqref="F2 I2 F4:F78 I4:I78">
    <cfRule type="cellIs" dxfId="26" priority="8" stopIfTrue="1" operator="lessThanOrEqual">
      <formula>-0.1</formula>
    </cfRule>
    <cfRule type="expression" dxfId="25" priority="9">
      <formula>AND(ISNUMBER(F2), F2&gt;=0.1)</formula>
    </cfRule>
  </conditionalFormatting>
  <hyperlinks>
    <hyperlink ref="K4" r:id="rId1" display="https://us3.assetplanner.com/service_request?ID=095368" xr:uid="{B5207AF9-0E3D-4996-A55E-2E1A85C6F34D}"/>
    <hyperlink ref="K5" r:id="rId2" display="https://us3.assetplanner.com/service_request?ID=095501" xr:uid="{B81C90BE-9F0E-4FC5-A606-3FA6193536EC}"/>
    <hyperlink ref="K7" r:id="rId3" display="https://us3.assetplanner.com/service_request?ID=096179" xr:uid="{E3B1486E-D9D5-4C6D-94C2-1FA026C7161E}"/>
  </hyperlinks>
  <pageMargins left="0.4" right="0.7" top="0.25" bottom="0.25" header="0.3" footer="0.3"/>
  <pageSetup fitToHeight="99" orientation="landscape"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workbookViewId="0">
      <pane xSplit="2" ySplit="3" topLeftCell="G27" activePane="bottomRight" state="frozen"/>
      <selection pane="bottomRight" activeCell="G27" sqref="G27"/>
      <selection pane="bottomLeft" activeCell="A14" sqref="A14"/>
      <selection pane="topRight" activeCell="A14" sqref="A14"/>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80.28515625" customWidth="1"/>
    <col min="11" max="11" width="20.5703125" bestFit="1" customWidth="1"/>
  </cols>
  <sheetData>
    <row r="1" spans="1:14" ht="19.5" customHeight="1">
      <c r="A1" s="106" t="str" cm="1">
        <f t="array" ref="A1">portfolio</f>
        <v>Clean Capital</v>
      </c>
      <c r="B1" s="106"/>
      <c r="C1" s="106"/>
      <c r="D1" s="107" t="s">
        <v>28</v>
      </c>
      <c r="E1" s="107"/>
      <c r="F1" s="107"/>
      <c r="G1" s="105" t="s">
        <v>29</v>
      </c>
      <c r="H1" s="105"/>
      <c r="I1" s="105"/>
      <c r="J1" s="4"/>
      <c r="K1" s="4"/>
    </row>
    <row r="2" spans="1:14" ht="19.5" customHeight="1">
      <c r="A2" s="108" t="s">
        <v>2</v>
      </c>
      <c r="B2" s="108"/>
      <c r="C2" s="5">
        <f>SUM(C4:C80)</f>
        <v>65342.145815429685</v>
      </c>
      <c r="D2" s="5">
        <f>SUM(D4:D80)</f>
        <v>0</v>
      </c>
      <c r="E2" s="5">
        <f>C2-D2</f>
        <v>65342.145815429685</v>
      </c>
      <c r="F2" s="6">
        <f>IFERROR(E2/D2, 0)</f>
        <v>0</v>
      </c>
      <c r="G2" s="5">
        <f>SUM(G4:G80)</f>
        <v>50120</v>
      </c>
      <c r="H2" s="7">
        <f>C2-G2</f>
        <v>15222.145815429685</v>
      </c>
      <c r="I2" s="6">
        <f>IFERROR(H2/G2, 0)</f>
        <v>0.30371400270210863</v>
      </c>
      <c r="J2" s="11"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12" t="s">
        <v>3</v>
      </c>
      <c r="B3" s="12" t="s">
        <v>4</v>
      </c>
      <c r="C3" s="19" t="s">
        <v>5</v>
      </c>
      <c r="D3" s="20" t="s">
        <v>6</v>
      </c>
      <c r="E3" s="20" t="s">
        <v>7</v>
      </c>
      <c r="F3" s="21" t="s">
        <v>8</v>
      </c>
      <c r="G3" s="22" t="s">
        <v>9</v>
      </c>
      <c r="H3" s="23" t="s">
        <v>7</v>
      </c>
      <c r="I3" s="24" t="s">
        <v>8</v>
      </c>
      <c r="J3" s="49"/>
      <c r="K3" s="10" t="s">
        <v>21</v>
      </c>
    </row>
    <row r="4" spans="1:14" ht="28.9">
      <c r="A4" s="44" t="str" cm="1">
        <f t="array" ref="A4:A85">Sites[Site]</f>
        <v>Lexington - Cotting School</v>
      </c>
      <c r="B4" s="40" t="str" cm="1">
        <f t="array" ref="B4:B85">Sites[State]</f>
        <v>MA</v>
      </c>
      <c r="C4" s="28">
        <v>7512.56</v>
      </c>
      <c r="D4" s="29">
        <v>0</v>
      </c>
      <c r="E4" s="29">
        <f>IF(AND(ISNUMBER(C4),ISNUMBER(D4)), C4-D4, "")</f>
        <v>7512.56</v>
      </c>
      <c r="F4" s="30" t="str">
        <f>IFERROR(E4/D4, "")</f>
        <v/>
      </c>
      <c r="G4" s="31">
        <v>0</v>
      </c>
      <c r="H4" s="31">
        <f>IF(AND(ISNUMBER(C4),ISNUMBER(G4)), C4-G4, "")</f>
        <v>7512.56</v>
      </c>
      <c r="I4" s="32" t="str">
        <f>IFERROR(H4/G4, "")</f>
        <v/>
      </c>
      <c r="J4" s="49" t="s">
        <v>30</v>
      </c>
      <c r="K4" s="67" t="s">
        <v>31</v>
      </c>
      <c r="L4" s="76" t="s">
        <v>32</v>
      </c>
      <c r="M4" s="77"/>
      <c r="N4" s="77"/>
    </row>
    <row r="5" spans="1:14" ht="100.9">
      <c r="A5" s="45" t="str">
        <v>Pacoima - Whiteman Airport</v>
      </c>
      <c r="B5" s="42" t="str">
        <v>CA</v>
      </c>
      <c r="C5" s="35">
        <v>23461.7</v>
      </c>
      <c r="D5" s="36">
        <v>0</v>
      </c>
      <c r="E5" s="36">
        <f t="shared" ref="E5:E7" si="0">IF(AND(ISNUMBER(C5),ISNUMBER(D5)), C5-D5, "")</f>
        <v>23461.7</v>
      </c>
      <c r="F5" s="37" t="str">
        <f>IFERROR(E5/D5, "")</f>
        <v/>
      </c>
      <c r="G5" s="38">
        <v>34320</v>
      </c>
      <c r="H5" s="38">
        <f t="shared" ref="H5:H7" si="1">IF(AND(ISNUMBER(C5),ISNUMBER(G5)), C5-G5, "")</f>
        <v>-10858.3</v>
      </c>
      <c r="I5" s="37">
        <f t="shared" ref="I5:I7" si="2">IFERROR(H5/G5, "")</f>
        <v>-0.31638403263403259</v>
      </c>
      <c r="J5" s="50" t="s">
        <v>33</v>
      </c>
      <c r="K5" s="75" t="s">
        <v>34</v>
      </c>
      <c r="L5" s="76" t="s">
        <v>35</v>
      </c>
      <c r="M5" s="76" t="s">
        <v>36</v>
      </c>
      <c r="N5" s="77"/>
    </row>
    <row r="6" spans="1:14" ht="15.6">
      <c r="A6" s="44" t="str">
        <v>Hyannis - Sturgis Charter School</v>
      </c>
      <c r="B6" s="40" t="str">
        <v>MA</v>
      </c>
      <c r="C6" s="28">
        <v>16727.085815429688</v>
      </c>
      <c r="D6" s="29">
        <v>0</v>
      </c>
      <c r="E6" s="29">
        <f t="shared" si="0"/>
        <v>16727.085815429688</v>
      </c>
      <c r="F6" s="30" t="str">
        <f t="shared" ref="F6:F7" si="3">IFERROR(E6/D6, "")</f>
        <v/>
      </c>
      <c r="G6" s="31">
        <v>15800</v>
      </c>
      <c r="H6" s="31">
        <f t="shared" si="1"/>
        <v>927.0858154296875</v>
      </c>
      <c r="I6" s="32">
        <f t="shared" si="2"/>
        <v>5.86763174322587E-2</v>
      </c>
      <c r="J6" s="49"/>
      <c r="K6" s="49"/>
      <c r="L6" s="77"/>
      <c r="M6" s="77"/>
      <c r="N6" s="77"/>
    </row>
    <row r="7" spans="1:14" ht="57.6">
      <c r="A7" s="45" t="str">
        <v>South Dennis - Tony Kent Arena</v>
      </c>
      <c r="B7" s="42" t="str">
        <v>MA</v>
      </c>
      <c r="C7" s="35">
        <v>17640.8</v>
      </c>
      <c r="D7" s="36">
        <v>0</v>
      </c>
      <c r="E7" s="36">
        <f t="shared" si="0"/>
        <v>17640.8</v>
      </c>
      <c r="F7" s="37" t="str">
        <f t="shared" si="3"/>
        <v/>
      </c>
      <c r="G7" s="38">
        <v>0</v>
      </c>
      <c r="H7" s="38">
        <f t="shared" si="1"/>
        <v>17640.8</v>
      </c>
      <c r="I7" s="37" t="str">
        <f t="shared" si="2"/>
        <v/>
      </c>
      <c r="J7" s="50" t="s">
        <v>37</v>
      </c>
      <c r="K7" s="68" t="s">
        <v>38</v>
      </c>
      <c r="L7" s="76" t="s">
        <v>39</v>
      </c>
      <c r="M7" s="77"/>
      <c r="N7" s="77"/>
    </row>
    <row r="8" spans="1:14" ht="15.6">
      <c r="A8" s="44" t="str">
        <v xml:space="preserve"> Caropolis - Felician Sisters</v>
      </c>
      <c r="B8" s="40" t="str">
        <v>PA</v>
      </c>
      <c r="C8" s="28"/>
      <c r="D8" s="29"/>
      <c r="E8" s="29"/>
      <c r="F8" s="30"/>
      <c r="G8" s="31"/>
      <c r="H8" s="31"/>
      <c r="I8" s="32"/>
      <c r="J8" s="49"/>
      <c r="K8" s="49"/>
    </row>
    <row r="9" spans="1:14" ht="15.6">
      <c r="A9" s="45" t="str">
        <v>Clear Lake - Eastlake Gohman</v>
      </c>
      <c r="B9" s="42" t="str">
        <v>MN</v>
      </c>
      <c r="C9" s="35"/>
      <c r="D9" s="36"/>
      <c r="E9" s="36"/>
      <c r="F9" s="37"/>
      <c r="G9" s="38"/>
      <c r="H9" s="38"/>
      <c r="I9" s="37"/>
      <c r="J9" s="50"/>
      <c r="K9" s="66"/>
    </row>
    <row r="10" spans="1:14" ht="15.6">
      <c r="A10" s="44" t="str">
        <v>Zumbrota - Eastlake Brenda Luhman</v>
      </c>
      <c r="B10" s="40" t="str">
        <v>MN</v>
      </c>
      <c r="C10" s="28"/>
      <c r="D10" s="29"/>
      <c r="E10" s="29"/>
      <c r="F10" s="30"/>
      <c r="G10" s="31"/>
      <c r="H10" s="31"/>
      <c r="I10" s="32"/>
      <c r="J10" s="49"/>
      <c r="K10" s="49"/>
    </row>
    <row r="11" spans="1:14" ht="15.6">
      <c r="A11" s="45" t="str">
        <v>Cokato - Eastlake Carlson</v>
      </c>
      <c r="B11" s="42" t="str">
        <v>MN</v>
      </c>
      <c r="C11" s="35"/>
      <c r="D11" s="36"/>
      <c r="E11" s="36"/>
      <c r="F11" s="37"/>
      <c r="G11" s="38"/>
      <c r="H11" s="38"/>
      <c r="I11" s="37"/>
      <c r="J11" s="50"/>
      <c r="K11" s="66"/>
    </row>
    <row r="12" spans="1:14" ht="15.6">
      <c r="A12" s="44" t="str">
        <v>North Branch - Cornille 2</v>
      </c>
      <c r="B12" s="40" t="str">
        <v>MN</v>
      </c>
      <c r="C12" s="28"/>
      <c r="D12" s="29"/>
      <c r="E12" s="29"/>
      <c r="F12" s="30"/>
      <c r="G12" s="31"/>
      <c r="H12" s="31"/>
      <c r="I12" s="32"/>
      <c r="J12" s="49"/>
      <c r="K12" s="49"/>
    </row>
    <row r="13" spans="1:14" ht="15.6">
      <c r="A13" s="45" t="str">
        <v>Clear Lake - Eastlake Hammer</v>
      </c>
      <c r="B13" s="42" t="str">
        <v>MN</v>
      </c>
      <c r="C13" s="35"/>
      <c r="D13" s="36"/>
      <c r="E13" s="36"/>
      <c r="F13" s="37"/>
      <c r="G13" s="38"/>
      <c r="H13" s="38"/>
      <c r="I13" s="37"/>
      <c r="J13" s="50"/>
      <c r="K13" s="66"/>
    </row>
    <row r="14" spans="1:14" ht="15.6">
      <c r="A14" s="44" t="str">
        <v>Eastlake - Hertzberg CSG 1</v>
      </c>
      <c r="B14" s="40" t="str">
        <v>MN</v>
      </c>
      <c r="C14" s="28"/>
      <c r="D14" s="29"/>
      <c r="E14" s="29"/>
      <c r="F14" s="30"/>
      <c r="G14" s="31"/>
      <c r="H14" s="31"/>
      <c r="I14" s="32"/>
      <c r="J14" s="49"/>
      <c r="K14" s="49"/>
    </row>
    <row r="15" spans="1:14" ht="15.6">
      <c r="A15" s="45" t="str">
        <v>Cokato - Eastlake Laurel Village</v>
      </c>
      <c r="B15" s="42" t="str">
        <v>MN</v>
      </c>
      <c r="C15" s="35"/>
      <c r="D15" s="36"/>
      <c r="E15" s="36"/>
      <c r="F15" s="37"/>
      <c r="G15" s="38"/>
      <c r="H15" s="38"/>
      <c r="I15" s="37"/>
      <c r="J15" s="50"/>
      <c r="K15" s="66"/>
    </row>
    <row r="16" spans="1:14" ht="15.6">
      <c r="A16" s="44" t="str">
        <v>St. Peter - Eastlake Paulson</v>
      </c>
      <c r="B16" s="40" t="str">
        <v>MN</v>
      </c>
      <c r="C16" s="28"/>
      <c r="D16" s="29"/>
      <c r="E16" s="29"/>
      <c r="F16" s="30"/>
      <c r="G16" s="31"/>
      <c r="H16" s="31"/>
      <c r="I16" s="32"/>
      <c r="J16" s="49"/>
      <c r="K16" s="49"/>
    </row>
    <row r="17" spans="1:11" ht="15.6">
      <c r="A17" s="45" t="str">
        <v>Felician Sisters Convent</v>
      </c>
      <c r="B17" s="42" t="str">
        <v>NJ</v>
      </c>
      <c r="C17" s="35"/>
      <c r="D17" s="36"/>
      <c r="E17" s="36"/>
      <c r="F17" s="37"/>
      <c r="G17" s="38"/>
      <c r="H17" s="38"/>
      <c r="I17" s="37"/>
      <c r="J17" s="50"/>
      <c r="K17" s="66"/>
    </row>
    <row r="18" spans="1:11" ht="15.6">
      <c r="A18" s="44" t="str">
        <v>Sussex County Fairgrounds</v>
      </c>
      <c r="B18" s="40" t="str">
        <v>NJ</v>
      </c>
      <c r="C18" s="28"/>
      <c r="D18" s="29"/>
      <c r="E18" s="29"/>
      <c r="F18" s="30"/>
      <c r="G18" s="31"/>
      <c r="H18" s="31"/>
      <c r="I18" s="32"/>
      <c r="J18" s="49"/>
      <c r="K18" s="49"/>
    </row>
    <row r="19" spans="1:11" ht="15.6">
      <c r="A19" s="45" t="str">
        <v>Gateway Church</v>
      </c>
      <c r="B19" s="42" t="str">
        <v>NJ</v>
      </c>
      <c r="C19" s="35"/>
      <c r="D19" s="36"/>
      <c r="E19" s="36"/>
      <c r="F19" s="37"/>
      <c r="G19" s="38"/>
      <c r="H19" s="38"/>
      <c r="I19" s="37"/>
      <c r="J19" s="50"/>
      <c r="K19" s="66"/>
    </row>
    <row r="20" spans="1:11" ht="15.6">
      <c r="A20" s="44" t="str">
        <v>Beaver Falls - Felician Sisters</v>
      </c>
      <c r="B20" s="40" t="str">
        <v>PA</v>
      </c>
      <c r="C20" s="28"/>
      <c r="D20" s="29"/>
      <c r="E20" s="29"/>
      <c r="F20" s="30"/>
      <c r="G20" s="31"/>
      <c r="H20" s="31"/>
      <c r="I20" s="32"/>
      <c r="J20" s="49"/>
      <c r="K20" s="49"/>
    </row>
    <row r="21" spans="1:11" ht="15.6">
      <c r="A21" s="45" t="str">
        <v>Livonia - Felician Sisters Ground</v>
      </c>
      <c r="B21" s="42" t="str">
        <v>MI</v>
      </c>
      <c r="C21" s="35"/>
      <c r="D21" s="36"/>
      <c r="E21" s="36"/>
      <c r="F21" s="37"/>
      <c r="G21" s="38"/>
      <c r="H21" s="38"/>
      <c r="I21" s="37"/>
      <c r="J21" s="50"/>
      <c r="K21" s="66"/>
    </row>
    <row r="22" spans="1:11" ht="15.6">
      <c r="A22" s="44" t="str">
        <v>Livonia - Felician Sisters Roof</v>
      </c>
      <c r="B22" s="40" t="str">
        <v>MI</v>
      </c>
      <c r="C22" s="28"/>
      <c r="D22" s="29"/>
      <c r="E22" s="29"/>
      <c r="F22" s="30"/>
      <c r="G22" s="31"/>
      <c r="H22" s="31"/>
      <c r="I22" s="32"/>
      <c r="J22" s="49"/>
      <c r="K22" s="49"/>
    </row>
    <row r="23" spans="1:11" ht="15.6">
      <c r="A23" s="45" t="str">
        <v>Monmouth Worship Ctr</v>
      </c>
      <c r="B23" s="42" t="str">
        <v>NJ</v>
      </c>
      <c r="C23" s="35"/>
      <c r="D23" s="36"/>
      <c r="E23" s="36"/>
      <c r="F23" s="37"/>
      <c r="G23" s="38"/>
      <c r="H23" s="38"/>
      <c r="I23" s="37"/>
      <c r="J23" s="50"/>
      <c r="K23" s="66"/>
    </row>
    <row r="24" spans="1:11" ht="15.6">
      <c r="A24" s="44" t="str">
        <v xml:space="preserve"> Audubon - Senior Citizens United</v>
      </c>
      <c r="B24" s="40" t="str">
        <v>NJ</v>
      </c>
      <c r="C24" s="28"/>
      <c r="D24" s="29"/>
      <c r="E24" s="29"/>
      <c r="F24" s="30"/>
      <c r="G24" s="31"/>
      <c r="H24" s="31"/>
      <c r="I24" s="32"/>
      <c r="J24" s="49"/>
      <c r="K24" s="49"/>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C322" s="8"/>
      <c r="D322" s="8"/>
      <c r="E322" s="8"/>
      <c r="F322" s="9"/>
      <c r="G322" s="8"/>
      <c r="H322" s="8"/>
      <c r="I322" s="9"/>
      <c r="J322" s="8"/>
      <c r="K322" s="8"/>
    </row>
  </sheetData>
  <mergeCells count="4">
    <mergeCell ref="G1:I1"/>
    <mergeCell ref="A1:C1"/>
    <mergeCell ref="D1:F1"/>
    <mergeCell ref="A2:B2"/>
  </mergeCells>
  <phoneticPr fontId="5" type="noConversion"/>
  <conditionalFormatting sqref="F2 I2 F4:F80 I4:I80">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5368" xr:uid="{53DB68D7-5E05-4603-B061-9F52F8E02F18}"/>
    <hyperlink ref="L4" r:id="rId2" display="https://us3.assetplanner.com/service_request?ID=097850" xr:uid="{C9F325E2-3281-4180-938D-C43389948958}"/>
    <hyperlink ref="K5" r:id="rId3" display="https://us3.assetplanner.com/service_request?ID=096409" xr:uid="{5802BF7E-22DA-43ED-8E60-D4085977B190}"/>
    <hyperlink ref="L5" r:id="rId4" display="https://us3.assetplanner.com/service_request?ID=097783" xr:uid="{AA14C007-EAF5-4092-A648-1083FCA42634}"/>
    <hyperlink ref="M5" r:id="rId5" display="https://us3.assetplanner.com/service_request?ID=095501" xr:uid="{0A2AA9BB-E8C3-4BC5-A2C5-9CC8B3BC0DA4}"/>
    <hyperlink ref="K7" r:id="rId6" display="https://us3.assetplanner.com/service_request?ID=096179" xr:uid="{311FA8EB-4318-4390-91BD-F9EAC4391EC3}"/>
    <hyperlink ref="L7" r:id="rId7" display="https://us3.assetplanner.com/service_request?ID=096262" xr:uid="{451301DD-CBD4-4BE0-BB9D-B0B746A0FBBA}"/>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27"/>
  <sheetViews>
    <sheetView zoomScale="80" zoomScaleNormal="80" workbookViewId="0">
      <pane xSplit="2" ySplit="3" topLeftCell="C19" activePane="bottomRight" state="frozen"/>
      <selection pane="bottomRight" activeCell="C21" sqref="C21"/>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bestFit="1" customWidth="1"/>
    <col min="11" max="11" width="20.5703125" bestFit="1" customWidth="1"/>
  </cols>
  <sheetData>
    <row r="1" spans="1:16" ht="19.5" customHeight="1">
      <c r="A1" s="106" t="str" cm="1">
        <f t="array" ref="A1">portfolio</f>
        <v>Clean Capital</v>
      </c>
      <c r="B1" s="106"/>
      <c r="C1" s="106"/>
      <c r="D1" s="107" t="s">
        <v>40</v>
      </c>
      <c r="E1" s="107"/>
      <c r="F1" s="107"/>
      <c r="G1" s="105" t="s">
        <v>41</v>
      </c>
      <c r="H1" s="105"/>
      <c r="I1" s="105"/>
      <c r="J1" s="4"/>
      <c r="K1" s="4"/>
    </row>
    <row r="2" spans="1:16" ht="19.5" customHeight="1">
      <c r="A2" s="108" t="s">
        <v>2</v>
      </c>
      <c r="B2" s="108"/>
      <c r="C2" s="5">
        <f>SUM(C4:C85)</f>
        <v>1710215.56534</v>
      </c>
      <c r="D2" s="5">
        <f>SUM(D4:D85)</f>
        <v>0</v>
      </c>
      <c r="E2" s="5">
        <f>C2-D2</f>
        <v>1710215.56534</v>
      </c>
      <c r="F2" s="6">
        <f>IFERROR(E2/D2, 0)</f>
        <v>0</v>
      </c>
      <c r="G2" s="5">
        <f>SUM(G4:G85)</f>
        <v>1440240.2</v>
      </c>
      <c r="H2" s="7">
        <f>C2-G2</f>
        <v>269975.36534000002</v>
      </c>
      <c r="I2" s="6">
        <f>IFERROR(H2/G2, 0)</f>
        <v>0.18745162462483692</v>
      </c>
      <c r="J2" s="11"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43.15">
      <c r="A4" s="44" t="str" cm="1">
        <f t="array" ref="A4:A85">Sites[Site]</f>
        <v>Lexington - Cotting School</v>
      </c>
      <c r="B4" s="40" t="str" cm="1">
        <f t="array" ref="B4:B85">Sites[State]</f>
        <v>MA</v>
      </c>
      <c r="C4" s="28">
        <v>27815.040000000001</v>
      </c>
      <c r="D4" s="29" t="s">
        <v>43</v>
      </c>
      <c r="E4" s="29" t="str">
        <f>IF(AND(ISNUMBER(C4),ISNUMBER(D4)), C4-D4, "")</f>
        <v/>
      </c>
      <c r="F4" s="30" t="str">
        <f>IFERROR(E4/D4, "")</f>
        <v/>
      </c>
      <c r="G4" s="73" t="s">
        <v>43</v>
      </c>
      <c r="H4" s="31" t="str">
        <f>IF(AND(ISNUMBER(C4),ISNUMBER(G4)), C4-G4, "")</f>
        <v/>
      </c>
      <c r="I4" s="32" t="str">
        <f>IFERROR(H4/G4, "")</f>
        <v/>
      </c>
      <c r="J4" s="53" t="s">
        <v>44</v>
      </c>
      <c r="K4" s="78" t="s">
        <v>31</v>
      </c>
      <c r="L4" s="76" t="s">
        <v>32</v>
      </c>
      <c r="M4" s="81"/>
      <c r="N4" s="77"/>
      <c r="O4" s="77"/>
      <c r="P4" s="77"/>
    </row>
    <row r="5" spans="1:16" ht="178.5" customHeight="1">
      <c r="A5" s="45" t="str">
        <v>Pacoima - Whiteman Airport</v>
      </c>
      <c r="B5" s="42" t="str">
        <v>CA</v>
      </c>
      <c r="C5" s="35">
        <v>20209.2</v>
      </c>
      <c r="D5" s="36" t="s">
        <v>43</v>
      </c>
      <c r="E5" s="36" t="str">
        <f t="shared" ref="E5:E11" si="0">IF(AND(ISNUMBER(C5),ISNUMBER(D5)), C5-D5, "")</f>
        <v/>
      </c>
      <c r="F5" s="37" t="str">
        <f>IFERROR(E5/D5, "")</f>
        <v/>
      </c>
      <c r="G5" s="38">
        <v>45760</v>
      </c>
      <c r="H5" s="38">
        <f t="shared" ref="H5:H11" si="1">IF(AND(ISNUMBER(C5),ISNUMBER(G5)), C5-G5, "")</f>
        <v>-25550.799999999999</v>
      </c>
      <c r="I5" s="37">
        <f t="shared" ref="I5:I11" si="2">IFERROR(H5/G5, "")</f>
        <v>-0.55836538461538465</v>
      </c>
      <c r="J5" s="54" t="s">
        <v>45</v>
      </c>
      <c r="K5" s="75" t="s">
        <v>46</v>
      </c>
      <c r="L5" s="76" t="s">
        <v>47</v>
      </c>
      <c r="M5" s="82" t="s">
        <v>48</v>
      </c>
      <c r="N5" s="76" t="s">
        <v>49</v>
      </c>
      <c r="O5" s="76" t="s">
        <v>35</v>
      </c>
      <c r="P5" s="76" t="s">
        <v>50</v>
      </c>
    </row>
    <row r="6" spans="1:16" ht="15.6">
      <c r="A6" s="46" t="str">
        <v>Hyannis - Sturgis Charter School</v>
      </c>
      <c r="B6" s="40" t="str">
        <v>MA</v>
      </c>
      <c r="C6" s="28">
        <v>26110.79394</v>
      </c>
      <c r="D6" s="29" t="s">
        <v>43</v>
      </c>
      <c r="E6" s="29" t="str">
        <f t="shared" si="0"/>
        <v/>
      </c>
      <c r="F6" s="30" t="str">
        <f t="shared" ref="F6:F11" si="3">IFERROR(E6/D6, "")</f>
        <v/>
      </c>
      <c r="G6" s="31">
        <v>27010</v>
      </c>
      <c r="H6" s="31">
        <f t="shared" si="1"/>
        <v>-899.20606000000043</v>
      </c>
      <c r="I6" s="32">
        <f t="shared" si="2"/>
        <v>-3.3291597926693832E-2</v>
      </c>
      <c r="J6" s="53"/>
      <c r="K6" s="53"/>
      <c r="L6" s="77"/>
      <c r="M6" s="81"/>
      <c r="N6" s="77"/>
      <c r="O6" s="77"/>
      <c r="P6" s="77"/>
    </row>
    <row r="7" spans="1:16" ht="57.6">
      <c r="A7" s="45" t="str">
        <v>South Dennis - Tony Kent Arena</v>
      </c>
      <c r="B7" s="42" t="str">
        <v>MA</v>
      </c>
      <c r="C7" s="35">
        <v>30514.080000000002</v>
      </c>
      <c r="D7" s="36" t="s">
        <v>43</v>
      </c>
      <c r="E7" s="36" t="str">
        <f t="shared" si="0"/>
        <v/>
      </c>
      <c r="F7" s="37" t="str">
        <f t="shared" si="3"/>
        <v/>
      </c>
      <c r="G7" s="74" t="s">
        <v>43</v>
      </c>
      <c r="H7" s="38" t="str">
        <f t="shared" si="1"/>
        <v/>
      </c>
      <c r="I7" s="37" t="str">
        <f t="shared" si="2"/>
        <v/>
      </c>
      <c r="J7" s="60" t="s">
        <v>51</v>
      </c>
      <c r="K7" s="75" t="s">
        <v>52</v>
      </c>
      <c r="L7" s="76" t="s">
        <v>53</v>
      </c>
      <c r="M7" s="81"/>
      <c r="N7" s="77"/>
      <c r="O7" s="77"/>
      <c r="P7" s="77"/>
    </row>
    <row r="8" spans="1:16" ht="15.6">
      <c r="A8" s="46" t="str">
        <v xml:space="preserve"> Caropolis - Felician Sisters</v>
      </c>
      <c r="B8" s="40" t="str">
        <v>PA</v>
      </c>
      <c r="C8" s="28">
        <v>51053.4</v>
      </c>
      <c r="D8" s="29" t="s">
        <v>43</v>
      </c>
      <c r="E8" s="29" t="str">
        <f t="shared" si="0"/>
        <v/>
      </c>
      <c r="F8" s="30" t="str">
        <f t="shared" si="3"/>
        <v/>
      </c>
      <c r="G8" s="31"/>
      <c r="H8" s="31" t="str">
        <f t="shared" si="1"/>
        <v/>
      </c>
      <c r="I8" s="32" t="str">
        <f t="shared" si="2"/>
        <v/>
      </c>
      <c r="J8" s="53" t="s">
        <v>54</v>
      </c>
      <c r="K8" s="79" t="s">
        <v>55</v>
      </c>
      <c r="L8" s="77"/>
      <c r="M8" s="81"/>
      <c r="N8" s="77"/>
      <c r="O8" s="77"/>
      <c r="P8" s="77"/>
    </row>
    <row r="9" spans="1:16" ht="15.6">
      <c r="A9" s="45" t="str">
        <v>Clear Lake - Eastlake Gohman</v>
      </c>
      <c r="B9" s="42" t="str">
        <v>MN</v>
      </c>
      <c r="C9" s="35">
        <v>174810</v>
      </c>
      <c r="D9" s="36" t="s">
        <v>43</v>
      </c>
      <c r="E9" s="36" t="str">
        <f t="shared" si="0"/>
        <v/>
      </c>
      <c r="F9" s="37" t="str">
        <f t="shared" si="3"/>
        <v/>
      </c>
      <c r="G9" s="38">
        <v>155938.5</v>
      </c>
      <c r="H9" s="38">
        <f t="shared" si="1"/>
        <v>18871.5</v>
      </c>
      <c r="I9" s="37">
        <f t="shared" si="2"/>
        <v>0.12101886320568686</v>
      </c>
      <c r="J9" s="54"/>
      <c r="K9" s="55"/>
      <c r="L9" s="77"/>
      <c r="M9" s="81"/>
      <c r="N9" s="77"/>
      <c r="O9" s="77"/>
      <c r="P9" s="77"/>
    </row>
    <row r="10" spans="1:16" ht="21" customHeight="1">
      <c r="A10" s="46" t="str">
        <v>Zumbrota - Eastlake Brenda Luhman</v>
      </c>
      <c r="B10" s="40" t="str">
        <v>MN</v>
      </c>
      <c r="C10" s="28">
        <v>179285.1269</v>
      </c>
      <c r="D10" s="29" t="s">
        <v>43</v>
      </c>
      <c r="E10" s="29" t="str">
        <f t="shared" si="0"/>
        <v/>
      </c>
      <c r="F10" s="30" t="str">
        <f t="shared" si="3"/>
        <v/>
      </c>
      <c r="G10" s="31">
        <v>161850.1</v>
      </c>
      <c r="H10" s="31">
        <f t="shared" si="1"/>
        <v>17435.026899999997</v>
      </c>
      <c r="I10" s="32">
        <f t="shared" si="2"/>
        <v>0.10772330014006785</v>
      </c>
      <c r="J10" s="53"/>
      <c r="K10" s="53"/>
      <c r="L10" s="77"/>
      <c r="M10" s="81"/>
      <c r="N10" s="77"/>
      <c r="O10" s="77"/>
      <c r="P10" s="77"/>
    </row>
    <row r="11" spans="1:16" ht="68.25" customHeight="1">
      <c r="A11" s="45" t="str">
        <v>Cokato - Eastlake Carlson</v>
      </c>
      <c r="B11" s="42" t="str">
        <v>MN</v>
      </c>
      <c r="C11" s="35">
        <v>147025.48420000001</v>
      </c>
      <c r="D11" s="36" t="s">
        <v>43</v>
      </c>
      <c r="E11" s="36" t="str">
        <f t="shared" si="0"/>
        <v/>
      </c>
      <c r="F11" s="37" t="str">
        <f t="shared" si="3"/>
        <v/>
      </c>
      <c r="G11" s="38">
        <v>189506</v>
      </c>
      <c r="H11" s="38">
        <f t="shared" si="1"/>
        <v>-42480.515799999994</v>
      </c>
      <c r="I11" s="37">
        <f t="shared" si="2"/>
        <v>-0.22416448977868772</v>
      </c>
      <c r="J11" s="60" t="s">
        <v>56</v>
      </c>
      <c r="K11" s="75" t="s">
        <v>57</v>
      </c>
      <c r="L11" s="76" t="s">
        <v>58</v>
      </c>
      <c r="M11" s="81"/>
      <c r="N11" s="77"/>
      <c r="O11" s="77"/>
      <c r="P11" s="77"/>
    </row>
    <row r="12" spans="1:16" ht="87.75" customHeight="1">
      <c r="A12" s="46" t="str">
        <v>North Branch - Cornille 2</v>
      </c>
      <c r="B12" s="40" t="str">
        <v>MN</v>
      </c>
      <c r="C12" s="28">
        <v>142625</v>
      </c>
      <c r="D12" s="29" t="s">
        <v>43</v>
      </c>
      <c r="E12" s="29" t="str">
        <f t="shared" ref="E12:E24" si="4">IF(AND(ISNUMBER(C12),ISNUMBER(D12)), C12-D12, "")</f>
        <v/>
      </c>
      <c r="F12" s="30" t="str">
        <f t="shared" ref="F12:F24" si="5">IFERROR(E12/D12, "")</f>
        <v/>
      </c>
      <c r="G12" s="31">
        <v>156749.79999999999</v>
      </c>
      <c r="H12" s="31">
        <f t="shared" ref="H12:H24" si="6">IF(AND(ISNUMBER(C12),ISNUMBER(G12)), C12-G12, "")</f>
        <v>-14124.799999999988</v>
      </c>
      <c r="I12" s="32">
        <f t="shared" ref="I12:I24" si="7">IFERROR(H12/G12, "")</f>
        <v>-9.0110481799657735E-2</v>
      </c>
      <c r="J12" s="62" t="s">
        <v>59</v>
      </c>
      <c r="K12" s="78" t="s">
        <v>60</v>
      </c>
      <c r="L12" s="76" t="s">
        <v>61</v>
      </c>
      <c r="M12" s="82" t="s">
        <v>62</v>
      </c>
      <c r="N12" s="77"/>
      <c r="O12" s="77"/>
      <c r="P12" s="77"/>
    </row>
    <row r="13" spans="1:16" ht="64.5" customHeight="1">
      <c r="A13" s="45" t="str">
        <v>Clear Lake - Eastlake Hammer</v>
      </c>
      <c r="B13" s="42" t="str">
        <v>MN</v>
      </c>
      <c r="C13" s="35">
        <v>196603.0325</v>
      </c>
      <c r="D13" s="36" t="s">
        <v>43</v>
      </c>
      <c r="E13" s="36" t="str">
        <f t="shared" si="4"/>
        <v/>
      </c>
      <c r="F13" s="37" t="str">
        <f t="shared" si="5"/>
        <v/>
      </c>
      <c r="G13" s="38">
        <v>181153.8</v>
      </c>
      <c r="H13" s="38">
        <f t="shared" si="6"/>
        <v>15449.232500000013</v>
      </c>
      <c r="I13" s="37">
        <f t="shared" si="7"/>
        <v>8.5282409201463141E-2</v>
      </c>
      <c r="J13" s="54" t="s">
        <v>63</v>
      </c>
      <c r="K13" s="75" t="s">
        <v>64</v>
      </c>
      <c r="L13" s="76" t="s">
        <v>65</v>
      </c>
      <c r="M13" s="81"/>
      <c r="N13" s="77"/>
      <c r="O13" s="77"/>
      <c r="P13" s="77"/>
    </row>
    <row r="14" spans="1:16" ht="27.75" customHeight="1">
      <c r="A14" s="46" t="str">
        <v>Eastlake - Hertzberg CSG 1</v>
      </c>
      <c r="B14" s="40" t="str">
        <v>MN</v>
      </c>
      <c r="C14" s="28">
        <v>178773.26439999999</v>
      </c>
      <c r="D14" s="29" t="s">
        <v>43</v>
      </c>
      <c r="E14" s="29" t="str">
        <f t="shared" si="4"/>
        <v/>
      </c>
      <c r="F14" s="30" t="str">
        <f t="shared" si="5"/>
        <v/>
      </c>
      <c r="G14" s="31">
        <v>179090.7</v>
      </c>
      <c r="H14" s="31">
        <f t="shared" si="6"/>
        <v>-317.43560000002617</v>
      </c>
      <c r="I14" s="32">
        <f t="shared" si="7"/>
        <v>-1.7724851150842905E-3</v>
      </c>
      <c r="J14" s="62" t="s">
        <v>66</v>
      </c>
      <c r="K14" s="78" t="s">
        <v>67</v>
      </c>
      <c r="L14" s="77"/>
      <c r="M14" s="81"/>
      <c r="N14" s="77"/>
      <c r="O14" s="77"/>
      <c r="P14" s="77"/>
    </row>
    <row r="15" spans="1:16" ht="51" customHeight="1">
      <c r="A15" s="45" t="str">
        <v>Cokato - Eastlake Laurel Village</v>
      </c>
      <c r="B15" s="42" t="str">
        <v>MN</v>
      </c>
      <c r="C15" s="35">
        <v>192745.31390000001</v>
      </c>
      <c r="D15" s="36" t="s">
        <v>43</v>
      </c>
      <c r="E15" s="36" t="str">
        <f t="shared" si="4"/>
        <v/>
      </c>
      <c r="F15" s="37" t="str">
        <f t="shared" si="5"/>
        <v/>
      </c>
      <c r="G15" s="38">
        <v>177944.7</v>
      </c>
      <c r="H15" s="38">
        <f t="shared" si="6"/>
        <v>14800.613899999997</v>
      </c>
      <c r="I15" s="37">
        <f t="shared" si="7"/>
        <v>8.3175356725994062E-2</v>
      </c>
      <c r="J15" s="60" t="s">
        <v>68</v>
      </c>
      <c r="K15" s="75" t="s">
        <v>69</v>
      </c>
      <c r="L15" s="76" t="s">
        <v>70</v>
      </c>
      <c r="M15" s="81"/>
      <c r="N15" s="77"/>
      <c r="O15" s="77"/>
      <c r="P15" s="77"/>
    </row>
    <row r="16" spans="1:16" ht="21" customHeight="1">
      <c r="A16" s="46" t="str">
        <v>St. Peter - Eastlake Paulson</v>
      </c>
      <c r="B16" s="40" t="str">
        <v>MN</v>
      </c>
      <c r="C16" s="28">
        <v>167620.9295</v>
      </c>
      <c r="D16" s="29" t="s">
        <v>43</v>
      </c>
      <c r="E16" s="29" t="str">
        <f t="shared" si="4"/>
        <v/>
      </c>
      <c r="F16" s="30" t="str">
        <f t="shared" si="5"/>
        <v/>
      </c>
      <c r="G16" s="31">
        <v>165236.6</v>
      </c>
      <c r="H16" s="31">
        <f t="shared" si="6"/>
        <v>2384.3294999999925</v>
      </c>
      <c r="I16" s="32">
        <f t="shared" si="7"/>
        <v>1.4429790373319182E-2</v>
      </c>
      <c r="J16" s="62"/>
      <c r="K16" s="53"/>
      <c r="L16" s="77"/>
      <c r="M16" s="81"/>
      <c r="N16" s="77"/>
      <c r="O16" s="77"/>
      <c r="P16" s="77"/>
    </row>
    <row r="17" spans="1:16" ht="16.5" customHeight="1">
      <c r="A17" s="45" t="str">
        <v>Felician Sisters Convent</v>
      </c>
      <c r="B17" s="42" t="str">
        <v>NJ</v>
      </c>
      <c r="C17" s="35">
        <v>34597.199999999997</v>
      </c>
      <c r="D17" s="36" t="s">
        <v>43</v>
      </c>
      <c r="E17" s="36" t="str">
        <f t="shared" si="4"/>
        <v/>
      </c>
      <c r="F17" s="37" t="str">
        <f t="shared" si="5"/>
        <v/>
      </c>
      <c r="G17" s="38"/>
      <c r="H17" s="38" t="str">
        <f t="shared" si="6"/>
        <v/>
      </c>
      <c r="I17" s="37" t="str">
        <f t="shared" si="7"/>
        <v/>
      </c>
      <c r="J17" s="54" t="s">
        <v>71</v>
      </c>
      <c r="K17" s="80" t="s">
        <v>72</v>
      </c>
      <c r="L17" s="77"/>
      <c r="M17" s="81"/>
      <c r="N17" s="77"/>
      <c r="O17" s="77"/>
      <c r="P17" s="77"/>
    </row>
    <row r="18" spans="1:16" ht="59.25" customHeight="1">
      <c r="A18" s="46" t="str">
        <v>Sussex County Fairgrounds</v>
      </c>
      <c r="B18" s="40" t="str">
        <v>NJ</v>
      </c>
      <c r="C18" s="28">
        <v>44370</v>
      </c>
      <c r="D18" s="29" t="s">
        <v>43</v>
      </c>
      <c r="E18" s="29" t="str">
        <f t="shared" si="4"/>
        <v/>
      </c>
      <c r="F18" s="30" t="str">
        <f t="shared" si="5"/>
        <v/>
      </c>
      <c r="G18" s="73" t="s">
        <v>43</v>
      </c>
      <c r="H18" s="31" t="str">
        <f t="shared" si="6"/>
        <v/>
      </c>
      <c r="I18" s="32" t="str">
        <f t="shared" si="7"/>
        <v/>
      </c>
      <c r="J18" s="62" t="s">
        <v>73</v>
      </c>
      <c r="K18" s="78" t="s">
        <v>74</v>
      </c>
      <c r="L18" s="77"/>
      <c r="M18" s="81"/>
      <c r="N18" s="77"/>
      <c r="O18" s="77"/>
      <c r="P18" s="77"/>
    </row>
    <row r="19" spans="1:16" ht="85.5" customHeight="1">
      <c r="A19" s="45" t="str">
        <v>Gateway Church</v>
      </c>
      <c r="B19" s="42" t="str">
        <v>NJ</v>
      </c>
      <c r="C19" s="35">
        <v>26234</v>
      </c>
      <c r="D19" s="36" t="s">
        <v>43</v>
      </c>
      <c r="E19" s="36" t="str">
        <f t="shared" si="4"/>
        <v/>
      </c>
      <c r="F19" s="37" t="str">
        <f t="shared" si="5"/>
        <v/>
      </c>
      <c r="G19" s="74" t="s">
        <v>43</v>
      </c>
      <c r="H19" s="38" t="str">
        <f t="shared" si="6"/>
        <v/>
      </c>
      <c r="I19" s="37" t="str">
        <f t="shared" si="7"/>
        <v/>
      </c>
      <c r="J19" s="60" t="s">
        <v>75</v>
      </c>
      <c r="K19" s="75" t="s">
        <v>76</v>
      </c>
      <c r="L19" s="76" t="s">
        <v>77</v>
      </c>
      <c r="M19" s="81"/>
      <c r="N19" s="77"/>
      <c r="O19" s="77"/>
      <c r="P19" s="77"/>
    </row>
    <row r="20" spans="1:16" ht="21" customHeight="1">
      <c r="A20" s="46" t="str">
        <v>Beaver Falls - Felician Sisters</v>
      </c>
      <c r="B20" s="40" t="str">
        <v>PA</v>
      </c>
      <c r="C20" s="28">
        <v>36640</v>
      </c>
      <c r="D20" s="29" t="s">
        <v>43</v>
      </c>
      <c r="E20" s="29" t="str">
        <f t="shared" si="4"/>
        <v/>
      </c>
      <c r="F20" s="30" t="str">
        <f t="shared" si="5"/>
        <v/>
      </c>
      <c r="G20" s="73" t="s">
        <v>43</v>
      </c>
      <c r="H20" s="31" t="str">
        <f t="shared" si="6"/>
        <v/>
      </c>
      <c r="I20" s="32" t="str">
        <f t="shared" si="7"/>
        <v/>
      </c>
      <c r="J20" s="53"/>
      <c r="K20" s="53"/>
      <c r="L20" s="77"/>
      <c r="M20" s="81"/>
      <c r="N20" s="77"/>
      <c r="O20" s="77"/>
      <c r="P20" s="77"/>
    </row>
    <row r="21" spans="1:16" ht="36.75" customHeight="1">
      <c r="A21" s="45" t="str">
        <v>Livonia - Felician Sisters Ground</v>
      </c>
      <c r="B21" s="42" t="str">
        <v>MI</v>
      </c>
      <c r="C21" s="35">
        <v>0</v>
      </c>
      <c r="D21" s="36" t="s">
        <v>43</v>
      </c>
      <c r="E21" s="36" t="str">
        <f t="shared" si="4"/>
        <v/>
      </c>
      <c r="F21" s="37" t="str">
        <f t="shared" si="5"/>
        <v/>
      </c>
      <c r="G21" s="74" t="s">
        <v>43</v>
      </c>
      <c r="H21" s="38" t="str">
        <f t="shared" si="6"/>
        <v/>
      </c>
      <c r="I21" s="37" t="str">
        <f t="shared" si="7"/>
        <v/>
      </c>
      <c r="J21" s="54" t="s">
        <v>78</v>
      </c>
      <c r="K21" s="80" t="s">
        <v>79</v>
      </c>
      <c r="L21" s="76" t="s">
        <v>80</v>
      </c>
      <c r="M21" s="81"/>
      <c r="N21" s="77"/>
      <c r="O21" s="77"/>
      <c r="P21" s="77"/>
    </row>
    <row r="22" spans="1:16" ht="21" customHeight="1">
      <c r="A22" s="46" t="str">
        <v>Livonia - Felician Sisters Roof</v>
      </c>
      <c r="B22" s="40" t="str">
        <v>MI</v>
      </c>
      <c r="C22" s="28">
        <v>12782</v>
      </c>
      <c r="D22" s="29" t="s">
        <v>43</v>
      </c>
      <c r="E22" s="29" t="str">
        <f t="shared" si="4"/>
        <v/>
      </c>
      <c r="F22" s="30" t="str">
        <f t="shared" si="5"/>
        <v/>
      </c>
      <c r="G22" s="73" t="s">
        <v>43</v>
      </c>
      <c r="H22" s="31" t="str">
        <f t="shared" si="6"/>
        <v/>
      </c>
      <c r="I22" s="32" t="str">
        <f t="shared" si="7"/>
        <v/>
      </c>
      <c r="J22" s="53"/>
      <c r="K22" s="53"/>
      <c r="M22" s="52"/>
    </row>
    <row r="23" spans="1:16" ht="21" customHeight="1">
      <c r="A23" s="45" t="str">
        <v>Monmouth Worship Ctr</v>
      </c>
      <c r="B23" s="42" t="str">
        <v>NJ</v>
      </c>
      <c r="C23" s="35">
        <v>11687.5</v>
      </c>
      <c r="D23" s="36" t="s">
        <v>43</v>
      </c>
      <c r="E23" s="36" t="str">
        <f t="shared" si="4"/>
        <v/>
      </c>
      <c r="F23" s="37" t="str">
        <f t="shared" si="5"/>
        <v/>
      </c>
      <c r="G23" s="74" t="s">
        <v>43</v>
      </c>
      <c r="H23" s="38" t="str">
        <f t="shared" si="6"/>
        <v/>
      </c>
      <c r="I23" s="37" t="str">
        <f t="shared" si="7"/>
        <v/>
      </c>
      <c r="J23" s="54"/>
      <c r="K23" s="55"/>
      <c r="M23" s="52"/>
    </row>
    <row r="24" spans="1:16" ht="21" customHeight="1">
      <c r="A24" s="46" t="str">
        <v xml:space="preserve"> Audubon - Senior Citizens United</v>
      </c>
      <c r="B24" s="40" t="str">
        <v>NJ</v>
      </c>
      <c r="C24" s="28">
        <v>8714.2000000000007</v>
      </c>
      <c r="D24" s="29" t="s">
        <v>43</v>
      </c>
      <c r="E24" s="29" t="str">
        <f t="shared" si="4"/>
        <v/>
      </c>
      <c r="F24" s="30" t="str">
        <f t="shared" si="5"/>
        <v/>
      </c>
      <c r="G24" s="73" t="s">
        <v>43</v>
      </c>
      <c r="H24" s="31" t="str">
        <f t="shared" si="6"/>
        <v/>
      </c>
      <c r="I24" s="32" t="str">
        <f t="shared" si="7"/>
        <v/>
      </c>
      <c r="J24" s="53"/>
      <c r="K24" s="53"/>
      <c r="M24" s="52"/>
    </row>
    <row r="25" spans="1:16" ht="14.45">
      <c r="A25" s="8" t="str">
        <v>Hollister - PG&amp;E (Enerparc)</v>
      </c>
      <c r="B25" s="13" t="str">
        <v>CA</v>
      </c>
      <c r="C25" s="8"/>
      <c r="D25" s="8"/>
      <c r="E25" s="8"/>
      <c r="F25" s="9"/>
      <c r="G25" s="8"/>
      <c r="H25" s="8"/>
      <c r="I25" s="9"/>
      <c r="J25" s="8"/>
      <c r="K25" s="8"/>
      <c r="M25" s="52"/>
    </row>
    <row r="26" spans="1:16" ht="14.45">
      <c r="A26" s="8" t="str">
        <v>Taos County - Kit Carson Electric Co-Op</v>
      </c>
      <c r="B26" s="13" t="str">
        <v>NM</v>
      </c>
      <c r="C26" s="8"/>
      <c r="D26" s="8"/>
      <c r="E26" s="8"/>
      <c r="F26" s="9"/>
      <c r="G26" s="8"/>
      <c r="H26" s="8"/>
      <c r="I26" s="9"/>
      <c r="J26" s="8"/>
      <c r="K26" s="8"/>
      <c r="M26" s="52"/>
    </row>
    <row r="27" spans="1:16" ht="14.45">
      <c r="A27" s="8" t="str">
        <v>Commerce City - Adams City HS</v>
      </c>
      <c r="B27" s="13" t="str">
        <v>CO</v>
      </c>
      <c r="C27" s="8"/>
      <c r="D27" s="8"/>
      <c r="E27" s="8"/>
      <c r="F27" s="9"/>
      <c r="G27" s="8"/>
      <c r="H27" s="8"/>
      <c r="I27" s="9"/>
      <c r="J27" s="8"/>
      <c r="K27" s="8"/>
      <c r="M27" s="52"/>
    </row>
    <row r="28" spans="1:16" ht="14.45">
      <c r="A28" s="8" t="str">
        <v>Commerce City - Adams City MS</v>
      </c>
      <c r="B28" s="13" t="str">
        <v>CO</v>
      </c>
      <c r="C28" s="8"/>
      <c r="D28" s="8"/>
      <c r="E28" s="8"/>
      <c r="F28" s="9"/>
      <c r="G28" s="8"/>
      <c r="H28" s="8"/>
      <c r="I28" s="9"/>
      <c r="J28" s="8"/>
      <c r="K28" s="8"/>
      <c r="M28" s="52"/>
    </row>
    <row r="29" spans="1:16" ht="14.45">
      <c r="A29" s="8" t="str">
        <v>Commerce City - Central ES</v>
      </c>
      <c r="B29" s="13" t="str">
        <v>CO</v>
      </c>
      <c r="C29" s="8"/>
      <c r="D29" s="8"/>
      <c r="E29" s="8"/>
      <c r="F29" s="9"/>
      <c r="G29" s="8"/>
      <c r="H29" s="8"/>
      <c r="I29" s="9"/>
      <c r="J29" s="8"/>
      <c r="K29" s="8"/>
      <c r="M29" s="52"/>
    </row>
    <row r="30" spans="1:16" ht="14.45">
      <c r="A30" s="8" t="str">
        <v>Commerce City - Dupont ES</v>
      </c>
      <c r="B30" s="13" t="str">
        <v>CO</v>
      </c>
      <c r="C30" s="8"/>
      <c r="D30" s="8"/>
      <c r="E30" s="8"/>
      <c r="F30" s="9"/>
      <c r="G30" s="8"/>
      <c r="H30" s="8"/>
      <c r="I30" s="9"/>
      <c r="J30" s="8"/>
      <c r="K30" s="8"/>
      <c r="M30" s="52"/>
    </row>
    <row r="31" spans="1:16" ht="14.45">
      <c r="A31" s="8" t="str">
        <v>Commerce City - Educational Support Services</v>
      </c>
      <c r="B31" s="13" t="str">
        <v>CO</v>
      </c>
      <c r="C31" s="8"/>
      <c r="D31" s="8"/>
      <c r="E31" s="8"/>
      <c r="F31" s="9"/>
      <c r="G31" s="8"/>
      <c r="H31" s="8"/>
      <c r="I31" s="9"/>
      <c r="J31" s="8"/>
      <c r="K31" s="8"/>
      <c r="M31" s="52"/>
    </row>
    <row r="32" spans="1:16" ht="14.45">
      <c r="A32" s="8" t="str">
        <v>Commerce City - Hanson ES</v>
      </c>
      <c r="B32" s="13" t="str">
        <v>CO</v>
      </c>
      <c r="C32" s="8"/>
      <c r="D32" s="8"/>
      <c r="E32" s="8"/>
      <c r="F32" s="9"/>
      <c r="G32" s="8"/>
      <c r="H32" s="8"/>
      <c r="I32" s="9"/>
      <c r="J32" s="8"/>
      <c r="K32" s="8"/>
      <c r="M32" s="52"/>
    </row>
    <row r="33" spans="1:13" ht="14.45">
      <c r="A33" s="8" t="str">
        <v>Commerce City - Kemp ES</v>
      </c>
      <c r="B33" s="13" t="str">
        <v>CO</v>
      </c>
      <c r="C33" s="8"/>
      <c r="D33" s="8"/>
      <c r="E33" s="8"/>
      <c r="F33" s="9"/>
      <c r="G33" s="8"/>
      <c r="H33" s="8"/>
      <c r="I33" s="9"/>
      <c r="J33" s="8"/>
      <c r="K33" s="8"/>
      <c r="M33" s="52"/>
    </row>
    <row r="34" spans="1:13" ht="14.45">
      <c r="A34" s="8" t="str">
        <v>Commerce City -  Lester Arnold HS</v>
      </c>
      <c r="B34" s="13" t="str">
        <v>CO</v>
      </c>
      <c r="C34" s="8"/>
      <c r="D34" s="8"/>
      <c r="E34" s="8"/>
      <c r="F34" s="9"/>
      <c r="G34" s="8"/>
      <c r="H34" s="8"/>
      <c r="I34" s="9"/>
      <c r="J34" s="8"/>
      <c r="K34" s="8"/>
      <c r="M34" s="52"/>
    </row>
    <row r="35" spans="1:13" ht="14.45">
      <c r="A35" s="8" t="str">
        <v>Commerce City - Monaco ES</v>
      </c>
      <c r="B35" s="13" t="str">
        <v>CO</v>
      </c>
      <c r="C35" s="8"/>
      <c r="D35" s="8"/>
      <c r="E35" s="8"/>
      <c r="F35" s="9"/>
      <c r="G35" s="8"/>
      <c r="H35" s="8"/>
      <c r="I35" s="9"/>
      <c r="J35" s="8"/>
      <c r="K35" s="8"/>
    </row>
    <row r="36" spans="1:13" ht="14.45">
      <c r="A36" s="8" t="str">
        <v>Denver - Northgate / Old Fort Logan ES</v>
      </c>
      <c r="B36" s="13" t="str">
        <v>CO</v>
      </c>
      <c r="C36" s="8"/>
      <c r="D36" s="8"/>
      <c r="E36" s="8"/>
      <c r="F36" s="9"/>
      <c r="G36" s="8"/>
      <c r="H36" s="8"/>
      <c r="I36" s="9"/>
      <c r="J36" s="8"/>
      <c r="K36" s="8"/>
    </row>
    <row r="37" spans="1:13" ht="14.45">
      <c r="A37" s="8" t="str">
        <v>Denver - Sheridan High School</v>
      </c>
      <c r="B37" s="13" t="str">
        <v>CO</v>
      </c>
      <c r="C37" s="8"/>
      <c r="D37" s="8"/>
      <c r="E37" s="8"/>
      <c r="F37" s="9"/>
      <c r="G37" s="8"/>
      <c r="H37" s="8"/>
      <c r="I37" s="9"/>
      <c r="J37" s="8"/>
      <c r="K37" s="8"/>
    </row>
    <row r="38" spans="1:13" ht="14.45">
      <c r="A38" s="8" t="str">
        <v>Englewood -  Alice Terry Elementary</v>
      </c>
      <c r="B38" s="13" t="str">
        <v>CO</v>
      </c>
      <c r="C38" s="8"/>
      <c r="D38" s="8"/>
      <c r="E38" s="8"/>
      <c r="F38" s="9"/>
      <c r="G38" s="8"/>
      <c r="H38" s="8"/>
      <c r="I38" s="9"/>
      <c r="J38" s="8"/>
      <c r="K38" s="8"/>
    </row>
    <row r="39" spans="1:13" ht="14.45">
      <c r="A39" s="8" t="str">
        <v>Englewood - Sheridan Middle School</v>
      </c>
      <c r="B39" s="13" t="str">
        <v>CO</v>
      </c>
      <c r="C39" s="8"/>
      <c r="D39" s="8"/>
      <c r="E39" s="8"/>
      <c r="F39" s="9"/>
      <c r="G39" s="8"/>
      <c r="H39" s="8"/>
      <c r="I39" s="9"/>
      <c r="J39" s="8"/>
      <c r="K39" s="8"/>
    </row>
    <row r="40" spans="1:13" ht="14.45">
      <c r="A40" s="8" t="str">
        <v>Goshen - NIPSCO</v>
      </c>
      <c r="B40" s="13" t="str">
        <v>IN</v>
      </c>
      <c r="C40" s="8"/>
      <c r="D40" s="8"/>
      <c r="E40" s="8"/>
      <c r="F40" s="9"/>
      <c r="G40" s="8"/>
      <c r="H40" s="8"/>
      <c r="I40" s="9"/>
      <c r="J40" s="8"/>
      <c r="K40" s="8"/>
    </row>
    <row r="41" spans="1:13" ht="14.45">
      <c r="A41" s="8" t="str">
        <v>Alamogordo - City of Alamogordo - Effluent</v>
      </c>
      <c r="B41" s="13" t="str">
        <v>NM</v>
      </c>
      <c r="C41" s="8"/>
      <c r="D41" s="8"/>
      <c r="E41" s="8"/>
      <c r="F41" s="9"/>
      <c r="G41" s="8"/>
      <c r="H41" s="8"/>
      <c r="I41" s="9"/>
      <c r="J41" s="8"/>
      <c r="K41" s="8"/>
    </row>
    <row r="42" spans="1:13" ht="14.45">
      <c r="A42" s="8" t="str">
        <v>Alamogordo - City of Alamogordo - WWTP</v>
      </c>
      <c r="B42" s="13" t="str">
        <v>NM</v>
      </c>
      <c r="C42" s="8"/>
      <c r="D42" s="8"/>
      <c r="E42" s="8"/>
      <c r="F42" s="9"/>
      <c r="G42" s="8"/>
      <c r="H42" s="8"/>
      <c r="I42" s="9"/>
      <c r="J42" s="8"/>
      <c r="K42" s="8"/>
    </row>
    <row r="43" spans="1:13" ht="14.45">
      <c r="A43" s="8" t="str">
        <v>Deming - Bilbo Booster</v>
      </c>
      <c r="B43" s="13" t="str">
        <v>NM</v>
      </c>
      <c r="C43" s="8"/>
      <c r="D43" s="8"/>
      <c r="E43" s="8"/>
      <c r="F43" s="9"/>
      <c r="G43" s="8"/>
      <c r="H43" s="8"/>
      <c r="I43" s="9"/>
      <c r="J43" s="8"/>
      <c r="K43" s="8"/>
    </row>
    <row r="44" spans="1:13" ht="14.45">
      <c r="A44" s="8" t="str">
        <v>Deming - Bilbo Well</v>
      </c>
      <c r="B44" s="13" t="str">
        <v>NM</v>
      </c>
      <c r="C44" s="8"/>
      <c r="D44" s="8"/>
      <c r="E44" s="8"/>
      <c r="F44" s="9"/>
      <c r="G44" s="8"/>
      <c r="H44" s="8"/>
      <c r="I44" s="9"/>
      <c r="J44" s="8"/>
      <c r="K44" s="8"/>
    </row>
    <row r="45" spans="1:13" ht="14.45">
      <c r="A45" s="8" t="str">
        <v>Deming - WWTP</v>
      </c>
      <c r="B45" s="13" t="str">
        <v>NM</v>
      </c>
      <c r="C45" s="8"/>
      <c r="D45" s="8"/>
      <c r="E45" s="8"/>
      <c r="F45" s="9"/>
      <c r="G45" s="8"/>
      <c r="H45" s="8"/>
      <c r="I45" s="9"/>
      <c r="J45" s="8"/>
      <c r="K45" s="8"/>
    </row>
    <row r="46" spans="1:13" ht="14.45">
      <c r="A46" s="8" t="str">
        <v>Truth or Consequences - Walmart</v>
      </c>
      <c r="B46" s="13" t="str">
        <v>NM</v>
      </c>
      <c r="C46" s="8"/>
      <c r="D46" s="8"/>
      <c r="E46" s="8"/>
      <c r="F46" s="9"/>
      <c r="G46" s="8"/>
      <c r="H46" s="8"/>
      <c r="I46" s="9"/>
      <c r="J46" s="8"/>
      <c r="K46" s="8"/>
    </row>
    <row r="47" spans="1:13" ht="14.45">
      <c r="A47" s="8" t="str">
        <v>CA: Stockton - SUSD - Merlo</v>
      </c>
      <c r="B47" s="13" t="str">
        <v>CA</v>
      </c>
      <c r="C47" s="8"/>
      <c r="D47" s="8"/>
      <c r="E47" s="8"/>
      <c r="F47" s="9"/>
      <c r="G47" s="8"/>
      <c r="H47" s="8"/>
      <c r="I47" s="9"/>
      <c r="J47" s="8"/>
      <c r="K47" s="8"/>
    </row>
    <row r="48" spans="1:13"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2" priority="5" stopIfTrue="1" operator="lessThanOrEqual">
      <formula>-0.1</formula>
    </cfRule>
    <cfRule type="expression" dxfId="21" priority="6">
      <formula>AND(ISNUMBER(F2), F2&gt;=0.1)</formula>
    </cfRule>
  </conditionalFormatting>
  <hyperlinks>
    <hyperlink ref="K4" r:id="rId1" display="https://us3.assetplanner.com/service_request?ID=095368" xr:uid="{297E6928-4B4A-4EF0-8C71-9190C691A012}"/>
    <hyperlink ref="L4" r:id="rId2" display="https://us3.assetplanner.com/service_request?ID=097850" xr:uid="{BD76DBF8-E6F0-4048-88B5-9B261BC50F53}"/>
    <hyperlink ref="K5" r:id="rId3" display="https://us3.assetplanner.com/service_request?ID=097975" xr:uid="{EA604493-7104-40A2-8D93-4615D7D26EAC}"/>
    <hyperlink ref="L5" r:id="rId4" display="https://us3.assetplanner.com/service_request?ID=097975" xr:uid="{34513E3A-55F7-4F79-AC43-3F49463E1F40}"/>
    <hyperlink ref="M5" r:id="rId5" display="https://us3.assetplanner.com/service_request?ID=098262" xr:uid="{EE95123B-89E9-4FD6-AB16-1D9B6076CDA5}"/>
    <hyperlink ref="N5" r:id="rId6" display="https://us3.assetplanner.com/service_request?ID=098783" xr:uid="{3992E0A8-790F-45CB-BF37-B840C9C6B54F}"/>
    <hyperlink ref="O5" r:id="rId7" display="https://us3.assetplanner.com/service_request?ID=097783" xr:uid="{12AEBADB-14FE-47FA-BF5B-8871A9CC0B93}"/>
    <hyperlink ref="P5" r:id="rId8" display="https://us3.assetplanner.com/service_request?ID=098428" xr:uid="{E1604669-0B9F-452C-93D5-29A71E902974}"/>
    <hyperlink ref="K7" r:id="rId9" display="https://us3.assetplanner.com/service_request?ID=096262" xr:uid="{EA02246F-49C4-4229-A7FA-8B022E22A617}"/>
    <hyperlink ref="L7" r:id="rId10" display="https://us3.assetplanner.com/service_request?ID=099066" xr:uid="{20FFCEC8-4064-40FF-96C0-23D325901C42}"/>
    <hyperlink ref="K8" r:id="rId11" display="https://us3.assetplanner.com/service_request?ID=098870" xr:uid="{9F56D8F7-1732-499B-B614-82B5E57641C4}"/>
    <hyperlink ref="K11" r:id="rId12" display="https://us3.assetplanner.com/service_request?ID=098497" xr:uid="{FEB79FFB-DFE5-4FE6-AA78-C684A579F7B7}"/>
    <hyperlink ref="L11" r:id="rId13" display="https://us3.assetplanner.com/service_request?ID=098613" xr:uid="{B8678B24-0FB9-4EEE-81F5-EA904E65107F}"/>
    <hyperlink ref="K12" r:id="rId14" display="https://us3.assetplanner.com/service_request?ID=098046" xr:uid="{68D40A0B-418D-4660-9534-1D5BBCAD1B66}"/>
    <hyperlink ref="L12" r:id="rId15" display="https://us3.assetplanner.com/service_request?ID=098496" xr:uid="{0452EBD7-0703-41F8-BC34-A6E20529AB8A}"/>
    <hyperlink ref="M12" r:id="rId16" display="https://us3.assetplanner.com/service_request?ID=098614" xr:uid="{D173FE29-D87F-40B3-B1E7-36789A3C527C}"/>
    <hyperlink ref="K13" r:id="rId17" display="https://us3.assetplanner.com/service_request?ID=098047" xr:uid="{4C1A18D9-8D1F-4895-9BA8-AE5E51CCAD62}"/>
    <hyperlink ref="L13" r:id="rId18" display="https://us3.assetplanner.com/service_request?ID=099230" xr:uid="{F4413B6D-8E54-4F64-A68D-3DBE4C7E237B}"/>
    <hyperlink ref="K14" r:id="rId19" display="https://us3.assetplanner.com/service_request?ID=099167" xr:uid="{45B76ED4-79F3-40E1-A5B2-760240A8C90D}"/>
    <hyperlink ref="K15" r:id="rId20" display="https://us3.assetplanner.com/service_request?ID=098048" xr:uid="{6CBF1DDF-6EA0-41BA-A7A5-289DF983572A}"/>
    <hyperlink ref="L15" r:id="rId21" display="https://us3.assetplanner.com/service_request?ID=099150" xr:uid="{693E4E51-6818-4415-876E-C9558C0AFB90}"/>
    <hyperlink ref="K17" r:id="rId22" display="https://us3.assetplanner.com/service_request?ID=098818" xr:uid="{3F961D29-09A0-4AE3-BCC9-6A84B2748D09}"/>
    <hyperlink ref="K18" r:id="rId23" display="https://us3.assetplanner.com/service_request?ID=098819" xr:uid="{23CDDFAF-9E30-405A-81AE-4FADF06B91F9}"/>
    <hyperlink ref="K19" r:id="rId24" display="https://us3.assetplanner.com/service_request?ID=098076" xr:uid="{970D6C1E-D7BA-4AF7-85A4-E26322488E91}"/>
    <hyperlink ref="L19" r:id="rId25" display="https://us3.assetplanner.com/service_request?ID=098231" xr:uid="{AC4198AD-8D30-4B0A-9791-8141268A9F7B}"/>
    <hyperlink ref="K21" r:id="rId26" display="https://us3.assetplanner.com/service_request?ID=098015" xr:uid="{A87533E8-CD30-4D28-84B7-E0AEB2059298}"/>
    <hyperlink ref="L21" r:id="rId27" display="https://us3.assetplanner.com/service_request?ID=098016" xr:uid="{84EB6EFC-8990-480C-8FF3-FA88A715AEB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7"/>
  <sheetViews>
    <sheetView zoomScale="80" zoomScaleNormal="80" workbookViewId="0">
      <pane xSplit="2" ySplit="3" topLeftCell="H17" activePane="bottomRight" state="frozen"/>
      <selection pane="bottomRight" activeCell="H30" sqref="H30"/>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5" width="8.85546875" style="77"/>
  </cols>
  <sheetData>
    <row r="1" spans="1:15" ht="19.5" customHeight="1">
      <c r="A1" s="106" t="str" cm="1">
        <f t="array" ref="A1">portfolio</f>
        <v>Clean Capital</v>
      </c>
      <c r="B1" s="106"/>
      <c r="C1" s="106"/>
      <c r="D1" s="107" t="s">
        <v>81</v>
      </c>
      <c r="E1" s="107"/>
      <c r="F1" s="107"/>
      <c r="G1" s="105" t="s">
        <v>82</v>
      </c>
      <c r="H1" s="105"/>
      <c r="I1" s="105"/>
      <c r="J1" s="4"/>
      <c r="K1" s="4"/>
    </row>
    <row r="2" spans="1:15" ht="19.5" customHeight="1">
      <c r="A2" s="108" t="s">
        <v>2</v>
      </c>
      <c r="B2" s="108"/>
      <c r="C2" s="5">
        <f>SUM(C4:C85)</f>
        <v>1758365.2870908768</v>
      </c>
      <c r="D2" s="5">
        <f>SUM(D4:D85)</f>
        <v>0</v>
      </c>
      <c r="E2" s="5">
        <f>C2-D2</f>
        <v>1758365.2870908768</v>
      </c>
      <c r="F2" s="6">
        <f>IFERROR(E2/D2, 0)</f>
        <v>0</v>
      </c>
      <c r="G2" s="5">
        <f>SUM(G4:G85)</f>
        <v>1632050.7</v>
      </c>
      <c r="H2" s="7">
        <f>C2-G2</f>
        <v>126314.58709087688</v>
      </c>
      <c r="I2" s="6">
        <f>IFERROR(H2/G2, 0)</f>
        <v>7.7396239645543416E-2</v>
      </c>
      <c r="J2" s="11"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12" t="s">
        <v>3</v>
      </c>
      <c r="B3" s="12" t="s">
        <v>4</v>
      </c>
      <c r="C3" s="19" t="s">
        <v>5</v>
      </c>
      <c r="D3" s="20" t="s">
        <v>6</v>
      </c>
      <c r="E3" s="20" t="s">
        <v>7</v>
      </c>
      <c r="F3" s="21" t="s">
        <v>8</v>
      </c>
      <c r="G3" s="22" t="s">
        <v>9</v>
      </c>
      <c r="H3" s="23" t="s">
        <v>7</v>
      </c>
      <c r="I3" s="24" t="s">
        <v>8</v>
      </c>
      <c r="J3" s="10" t="s">
        <v>42</v>
      </c>
      <c r="K3" s="10" t="s">
        <v>21</v>
      </c>
    </row>
    <row r="4" spans="1:15" ht="72">
      <c r="A4" s="85" t="str" cm="1">
        <f t="array" ref="A4:A85">Sites[Site]</f>
        <v>Lexington - Cotting School</v>
      </c>
      <c r="B4" s="40" t="str" cm="1">
        <f t="array" ref="B4:B85">Sites[State]</f>
        <v>MA</v>
      </c>
      <c r="C4" s="28">
        <v>3263.0479999999998</v>
      </c>
      <c r="D4" s="29" t="s">
        <v>43</v>
      </c>
      <c r="E4" s="29" t="str">
        <f>IF(AND(ISNUMBER(C4),ISNUMBER(D4)), C4-D4, "")</f>
        <v/>
      </c>
      <c r="F4" s="30" t="str">
        <f>IFERROR(E4/D4, "")</f>
        <v/>
      </c>
      <c r="G4" s="73" t="s">
        <v>43</v>
      </c>
      <c r="H4" s="31" t="str">
        <f>IF(AND(ISNUMBER(C4),ISNUMBER(G4)), C4-G4, "")</f>
        <v/>
      </c>
      <c r="I4" s="32" t="str">
        <f>IFERROR(H4/G4, "")</f>
        <v/>
      </c>
      <c r="J4" s="62" t="s">
        <v>83</v>
      </c>
      <c r="K4" s="67" t="s">
        <v>84</v>
      </c>
      <c r="L4" s="76" t="s">
        <v>85</v>
      </c>
      <c r="M4" s="76" t="s">
        <v>86</v>
      </c>
    </row>
    <row r="5" spans="1:15" ht="158.44999999999999">
      <c r="A5" s="41" t="str">
        <v>Pacoima - Whiteman Airport</v>
      </c>
      <c r="B5" s="42" t="str">
        <v>CA</v>
      </c>
      <c r="C5" s="35">
        <v>38033.5</v>
      </c>
      <c r="D5" s="36" t="s">
        <v>43</v>
      </c>
      <c r="E5" s="36" t="str">
        <f t="shared" ref="E5:E12" si="0">IF(AND(ISNUMBER(C5),ISNUMBER(D5)), C5-D5, "")</f>
        <v/>
      </c>
      <c r="F5" s="37" t="str">
        <f>IFERROR(E5/D5, "")</f>
        <v/>
      </c>
      <c r="G5" s="56">
        <v>57200</v>
      </c>
      <c r="H5" s="38">
        <f t="shared" ref="H5:H24" si="1">IF(AND(ISNUMBER(C5),ISNUMBER(G5)), C5-G5, "")</f>
        <v>-19166.5</v>
      </c>
      <c r="I5" s="37">
        <f t="shared" ref="I5:I24" si="2">IFERROR(H5/G5, "")</f>
        <v>-0.33507867132867131</v>
      </c>
      <c r="J5" s="86" t="s">
        <v>87</v>
      </c>
      <c r="K5" s="68" t="s">
        <v>88</v>
      </c>
      <c r="L5" s="76" t="s">
        <v>47</v>
      </c>
      <c r="M5" s="76" t="s">
        <v>89</v>
      </c>
      <c r="N5" s="76" t="s">
        <v>90</v>
      </c>
      <c r="O5" s="76" t="s">
        <v>35</v>
      </c>
    </row>
    <row r="6" spans="1:15" ht="30" customHeight="1">
      <c r="A6" s="43" t="str">
        <v>Hyannis - Sturgis Charter School</v>
      </c>
      <c r="B6" s="40" t="str">
        <v>MA</v>
      </c>
      <c r="C6" s="28">
        <v>31798.899536132802</v>
      </c>
      <c r="D6" s="29" t="s">
        <v>43</v>
      </c>
      <c r="E6" s="29" t="str">
        <f t="shared" si="0"/>
        <v/>
      </c>
      <c r="F6" s="30" t="str">
        <f t="shared" ref="F6:F12" si="3">IFERROR(E6/D6, "")</f>
        <v/>
      </c>
      <c r="G6" s="31">
        <v>32170</v>
      </c>
      <c r="H6" s="31">
        <f t="shared" si="1"/>
        <v>-371.10046386719841</v>
      </c>
      <c r="I6" s="32">
        <f t="shared" si="2"/>
        <v>-1.1535606585862555E-2</v>
      </c>
      <c r="J6" s="62"/>
      <c r="K6" s="49"/>
    </row>
    <row r="7" spans="1:15" ht="54.75" customHeight="1">
      <c r="A7" s="41" t="str">
        <v>South Dennis - Tony Kent Arena</v>
      </c>
      <c r="B7" s="42" t="str">
        <v>MA</v>
      </c>
      <c r="C7" s="35">
        <v>36670.400000000001</v>
      </c>
      <c r="D7" s="36" t="s">
        <v>43</v>
      </c>
      <c r="E7" s="36" t="str">
        <f t="shared" si="0"/>
        <v/>
      </c>
      <c r="F7" s="37" t="str">
        <f t="shared" si="3"/>
        <v/>
      </c>
      <c r="G7" s="74" t="s">
        <v>43</v>
      </c>
      <c r="H7" s="38" t="str">
        <f t="shared" si="1"/>
        <v/>
      </c>
      <c r="I7" s="37" t="str">
        <f t="shared" si="2"/>
        <v/>
      </c>
      <c r="J7" s="86" t="s">
        <v>91</v>
      </c>
      <c r="K7" s="75" t="s">
        <v>92</v>
      </c>
      <c r="L7" s="76" t="s">
        <v>53</v>
      </c>
    </row>
    <row r="8" spans="1:15" ht="72">
      <c r="A8" s="43" t="str">
        <v xml:space="preserve"> Caropolis - Felician Sisters</v>
      </c>
      <c r="B8" s="40" t="str">
        <v>PA</v>
      </c>
      <c r="C8" s="28">
        <v>56484</v>
      </c>
      <c r="D8" s="29" t="s">
        <v>43</v>
      </c>
      <c r="E8" s="29" t="str">
        <f t="shared" si="0"/>
        <v/>
      </c>
      <c r="F8" s="30" t="str">
        <f t="shared" si="3"/>
        <v/>
      </c>
      <c r="G8" s="73" t="s">
        <v>43</v>
      </c>
      <c r="H8" s="31" t="str">
        <f t="shared" si="1"/>
        <v/>
      </c>
      <c r="I8" s="32" t="str">
        <f t="shared" si="2"/>
        <v/>
      </c>
      <c r="J8" s="62" t="s">
        <v>93</v>
      </c>
      <c r="K8" s="78" t="s">
        <v>94</v>
      </c>
      <c r="L8" s="76" t="s">
        <v>95</v>
      </c>
    </row>
    <row r="9" spans="1:15" ht="28.9">
      <c r="A9" s="41" t="str">
        <v>Clear Lake - Eastlake Gohman</v>
      </c>
      <c r="B9" s="42" t="str">
        <v>MN</v>
      </c>
      <c r="C9" s="35">
        <v>166857</v>
      </c>
      <c r="D9" s="36" t="s">
        <v>43</v>
      </c>
      <c r="E9" s="36" t="str">
        <f t="shared" si="0"/>
        <v/>
      </c>
      <c r="F9" s="37" t="str">
        <f t="shared" si="3"/>
        <v/>
      </c>
      <c r="G9" s="38">
        <v>175953.3</v>
      </c>
      <c r="H9" s="38">
        <f t="shared" si="1"/>
        <v>-9096.2999999999884</v>
      </c>
      <c r="I9" s="37">
        <f t="shared" si="2"/>
        <v>-5.1697240119963586E-2</v>
      </c>
      <c r="J9" s="86" t="s">
        <v>96</v>
      </c>
      <c r="K9" s="75" t="s">
        <v>97</v>
      </c>
    </row>
    <row r="10" spans="1:15" ht="15.6">
      <c r="A10" s="43" t="str">
        <v>Zumbrota - Eastlake Brenda Luhman</v>
      </c>
      <c r="B10" s="40" t="str">
        <v>MN</v>
      </c>
      <c r="C10" s="28">
        <v>171462</v>
      </c>
      <c r="D10" s="29" t="s">
        <v>43</v>
      </c>
      <c r="E10" s="29" t="str">
        <f t="shared" si="0"/>
        <v/>
      </c>
      <c r="F10" s="30" t="str">
        <f t="shared" si="3"/>
        <v/>
      </c>
      <c r="G10" s="31">
        <v>177314.6</v>
      </c>
      <c r="H10" s="31">
        <f t="shared" si="1"/>
        <v>-5852.6000000000058</v>
      </c>
      <c r="I10" s="32">
        <f t="shared" si="2"/>
        <v>-3.3006870274641824E-2</v>
      </c>
      <c r="J10" s="62"/>
      <c r="K10" s="62"/>
    </row>
    <row r="11" spans="1:15" ht="129.6">
      <c r="A11" s="41" t="str">
        <v>Cokato - Eastlake Carlson</v>
      </c>
      <c r="B11" s="42" t="str">
        <v>MN</v>
      </c>
      <c r="C11" s="35">
        <v>155585</v>
      </c>
      <c r="D11" s="36" t="s">
        <v>43</v>
      </c>
      <c r="E11" s="36" t="str">
        <f t="shared" si="0"/>
        <v/>
      </c>
      <c r="F11" s="37" t="str">
        <f t="shared" si="3"/>
        <v/>
      </c>
      <c r="G11" s="38">
        <v>195439.7</v>
      </c>
      <c r="H11" s="38">
        <f t="shared" si="1"/>
        <v>-39854.700000000012</v>
      </c>
      <c r="I11" s="37">
        <f t="shared" si="2"/>
        <v>-0.20392325612452336</v>
      </c>
      <c r="J11" s="86" t="s">
        <v>98</v>
      </c>
      <c r="K11" s="75" t="s">
        <v>99</v>
      </c>
      <c r="L11" s="76" t="s">
        <v>100</v>
      </c>
      <c r="M11" s="76" t="s">
        <v>101</v>
      </c>
    </row>
    <row r="12" spans="1:15" ht="72">
      <c r="A12" s="43" t="str">
        <v>North Branch - Cornille 2</v>
      </c>
      <c r="B12" s="40" t="str">
        <v>MN</v>
      </c>
      <c r="C12" s="28">
        <v>147463</v>
      </c>
      <c r="D12" s="29" t="s">
        <v>43</v>
      </c>
      <c r="E12" s="29" t="str">
        <f t="shared" si="0"/>
        <v/>
      </c>
      <c r="F12" s="30" t="str">
        <f t="shared" si="3"/>
        <v/>
      </c>
      <c r="G12" s="31">
        <v>178898.6</v>
      </c>
      <c r="H12" s="31">
        <f t="shared" si="1"/>
        <v>-31435.600000000006</v>
      </c>
      <c r="I12" s="32">
        <f t="shared" si="2"/>
        <v>-0.17571741757621359</v>
      </c>
      <c r="J12" s="62" t="s">
        <v>102</v>
      </c>
      <c r="K12" s="78" t="s">
        <v>103</v>
      </c>
      <c r="L12" s="76" t="s">
        <v>104</v>
      </c>
      <c r="M12" s="76" t="s">
        <v>105</v>
      </c>
    </row>
    <row r="13" spans="1:15" ht="86.45">
      <c r="A13" s="41" t="str">
        <v>Clear Lake - Eastlake Hammer</v>
      </c>
      <c r="B13" s="42" t="str">
        <v>MN</v>
      </c>
      <c r="C13" s="35">
        <v>193331.15</v>
      </c>
      <c r="D13" s="36" t="s">
        <v>43</v>
      </c>
      <c r="E13" s="36"/>
      <c r="F13" s="37"/>
      <c r="G13" s="38">
        <v>209933.6</v>
      </c>
      <c r="H13" s="38">
        <f t="shared" si="1"/>
        <v>-16602.450000000012</v>
      </c>
      <c r="I13" s="37">
        <f t="shared" si="2"/>
        <v>-7.9084291414047159E-2</v>
      </c>
      <c r="J13" s="86" t="s">
        <v>106</v>
      </c>
      <c r="K13" s="75" t="s">
        <v>107</v>
      </c>
      <c r="L13" s="76" t="s">
        <v>65</v>
      </c>
    </row>
    <row r="14" spans="1:15" ht="144">
      <c r="A14" s="43" t="str">
        <v>Eastlake - Hertzberg CSG 1</v>
      </c>
      <c r="B14" s="40" t="str">
        <v>MN</v>
      </c>
      <c r="C14" s="28">
        <v>202083.10312617201</v>
      </c>
      <c r="D14" s="29" t="s">
        <v>43</v>
      </c>
      <c r="E14" s="29"/>
      <c r="F14" s="30"/>
      <c r="G14" s="31">
        <v>204889.7</v>
      </c>
      <c r="H14" s="31">
        <f t="shared" si="1"/>
        <v>-2806.5968738280062</v>
      </c>
      <c r="I14" s="32">
        <f t="shared" si="2"/>
        <v>-1.369808669653968E-2</v>
      </c>
      <c r="J14" s="62" t="s">
        <v>108</v>
      </c>
      <c r="K14" s="78" t="s">
        <v>109</v>
      </c>
      <c r="L14" s="76" t="s">
        <v>110</v>
      </c>
      <c r="M14" s="76" t="s">
        <v>111</v>
      </c>
      <c r="N14" s="76" t="s">
        <v>112</v>
      </c>
    </row>
    <row r="15" spans="1:15" ht="15.6">
      <c r="A15" s="41" t="str">
        <v>Cokato - Eastlake Laurel Village</v>
      </c>
      <c r="B15" s="42" t="str">
        <v>MN</v>
      </c>
      <c r="C15" s="35">
        <v>212645</v>
      </c>
      <c r="D15" s="36" t="s">
        <v>43</v>
      </c>
      <c r="E15" s="36"/>
      <c r="F15" s="37"/>
      <c r="G15" s="38">
        <v>213345</v>
      </c>
      <c r="H15" s="38">
        <f t="shared" si="1"/>
        <v>-700</v>
      </c>
      <c r="I15" s="37">
        <f t="shared" si="2"/>
        <v>-3.2810705664533973E-3</v>
      </c>
      <c r="J15" s="86" t="s">
        <v>113</v>
      </c>
      <c r="K15" s="88" t="s">
        <v>114</v>
      </c>
    </row>
    <row r="16" spans="1:15" ht="15.6">
      <c r="A16" s="43" t="str">
        <v>St. Peter - Eastlake Paulson</v>
      </c>
      <c r="B16" s="40" t="str">
        <v>MN</v>
      </c>
      <c r="C16" s="28">
        <v>170931.53142857199</v>
      </c>
      <c r="D16" s="29" t="s">
        <v>43</v>
      </c>
      <c r="E16" s="29"/>
      <c r="F16" s="30"/>
      <c r="G16" s="31">
        <v>186906.2</v>
      </c>
      <c r="H16" s="31">
        <f t="shared" si="1"/>
        <v>-15974.668571428017</v>
      </c>
      <c r="I16" s="32">
        <f t="shared" si="2"/>
        <v>-8.5468906710574694E-2</v>
      </c>
      <c r="J16" s="62"/>
      <c r="K16" s="62"/>
    </row>
    <row r="17" spans="1:14" ht="98.25" customHeight="1">
      <c r="A17" s="41" t="str">
        <v>Felician Sisters Convent</v>
      </c>
      <c r="B17" s="42" t="str">
        <v>NJ</v>
      </c>
      <c r="C17" s="35">
        <v>36712.300000000003</v>
      </c>
      <c r="D17" s="36" t="s">
        <v>43</v>
      </c>
      <c r="E17" s="36"/>
      <c r="F17" s="37"/>
      <c r="G17" s="74" t="s">
        <v>43</v>
      </c>
      <c r="H17" s="38" t="str">
        <f t="shared" si="1"/>
        <v/>
      </c>
      <c r="I17" s="37" t="str">
        <f t="shared" si="2"/>
        <v/>
      </c>
      <c r="J17" s="86" t="s">
        <v>115</v>
      </c>
      <c r="K17" s="75" t="s">
        <v>116</v>
      </c>
      <c r="L17" s="76" t="s">
        <v>117</v>
      </c>
    </row>
    <row r="18" spans="1:14" ht="143.25" customHeight="1">
      <c r="A18" s="43" t="str">
        <v>Sussex County Fairgrounds</v>
      </c>
      <c r="B18" s="40" t="str">
        <v>NJ</v>
      </c>
      <c r="C18" s="28">
        <v>32793.699999999997</v>
      </c>
      <c r="D18" s="29" t="s">
        <v>43</v>
      </c>
      <c r="E18" s="29"/>
      <c r="F18" s="30"/>
      <c r="G18" s="84" t="s">
        <v>43</v>
      </c>
      <c r="H18" s="31" t="str">
        <f t="shared" si="1"/>
        <v/>
      </c>
      <c r="I18" s="32" t="str">
        <f t="shared" si="2"/>
        <v/>
      </c>
      <c r="J18" s="62" t="s">
        <v>118</v>
      </c>
      <c r="K18" s="78" t="s">
        <v>119</v>
      </c>
      <c r="L18" s="76" t="s">
        <v>120</v>
      </c>
      <c r="M18" s="76" t="s">
        <v>121</v>
      </c>
    </row>
    <row r="19" spans="1:14" ht="237.75" customHeight="1">
      <c r="A19" s="41" t="str">
        <v>Gateway Church</v>
      </c>
      <c r="B19" s="42" t="str">
        <v>NJ</v>
      </c>
      <c r="C19" s="35">
        <v>25984</v>
      </c>
      <c r="D19" s="36" t="s">
        <v>43</v>
      </c>
      <c r="E19" s="36"/>
      <c r="F19" s="37"/>
      <c r="G19" s="83" t="s">
        <v>43</v>
      </c>
      <c r="H19" s="38" t="str">
        <f t="shared" si="1"/>
        <v/>
      </c>
      <c r="I19" s="37" t="str">
        <f t="shared" si="2"/>
        <v/>
      </c>
      <c r="J19" s="60" t="s">
        <v>122</v>
      </c>
      <c r="K19" s="75" t="s">
        <v>123</v>
      </c>
      <c r="L19" s="76" t="s">
        <v>77</v>
      </c>
      <c r="M19" s="76" t="s">
        <v>124</v>
      </c>
    </row>
    <row r="20" spans="1:14" ht="15.6">
      <c r="A20" s="43" t="str">
        <v>Beaver Falls - Felician Sisters</v>
      </c>
      <c r="B20" s="40" t="str">
        <v>PA</v>
      </c>
      <c r="C20" s="28">
        <v>39677</v>
      </c>
      <c r="D20" s="29" t="s">
        <v>43</v>
      </c>
      <c r="E20" s="29"/>
      <c r="F20" s="30"/>
      <c r="G20" s="84" t="s">
        <v>43</v>
      </c>
      <c r="H20" s="31" t="str">
        <f t="shared" si="1"/>
        <v/>
      </c>
      <c r="I20" s="32" t="str">
        <f t="shared" si="2"/>
        <v/>
      </c>
      <c r="J20" s="62"/>
      <c r="K20" s="62"/>
    </row>
    <row r="21" spans="1:14" ht="72">
      <c r="A21" s="41" t="str">
        <v>Livonia - Felician Sisters Ground</v>
      </c>
      <c r="B21" s="42" t="str">
        <v>MI</v>
      </c>
      <c r="C21" s="35">
        <v>0</v>
      </c>
      <c r="D21" s="36" t="s">
        <v>43</v>
      </c>
      <c r="E21" s="36"/>
      <c r="F21" s="37"/>
      <c r="G21" s="83" t="s">
        <v>43</v>
      </c>
      <c r="H21" s="38" t="str">
        <f t="shared" si="1"/>
        <v/>
      </c>
      <c r="I21" s="37" t="str">
        <f t="shared" si="2"/>
        <v/>
      </c>
      <c r="J21" s="86" t="s">
        <v>125</v>
      </c>
      <c r="K21" s="75" t="s">
        <v>126</v>
      </c>
      <c r="L21" s="76" t="s">
        <v>80</v>
      </c>
      <c r="M21" s="76" t="s">
        <v>127</v>
      </c>
      <c r="N21" s="76" t="s">
        <v>80</v>
      </c>
    </row>
    <row r="22" spans="1:14" ht="15.6">
      <c r="A22" s="43" t="str">
        <v>Livonia - Felician Sisters Roof</v>
      </c>
      <c r="B22" s="40" t="str">
        <v>MI</v>
      </c>
      <c r="C22" s="28">
        <v>16168</v>
      </c>
      <c r="D22" s="29" t="s">
        <v>43</v>
      </c>
      <c r="E22" s="29"/>
      <c r="F22" s="30"/>
      <c r="G22" s="84" t="s">
        <v>43</v>
      </c>
      <c r="H22" s="31" t="str">
        <f t="shared" si="1"/>
        <v/>
      </c>
      <c r="I22" s="32" t="str">
        <f t="shared" si="2"/>
        <v/>
      </c>
      <c r="J22" s="62"/>
      <c r="K22" s="62"/>
    </row>
    <row r="23" spans="1:14" ht="15.6">
      <c r="A23" s="41" t="str">
        <v>Monmouth Worship Ctr</v>
      </c>
      <c r="B23" s="42" t="str">
        <v>NJ</v>
      </c>
      <c r="C23" s="35">
        <v>11787.28000000003</v>
      </c>
      <c r="D23" s="36" t="s">
        <v>43</v>
      </c>
      <c r="E23" s="36"/>
      <c r="F23" s="37"/>
      <c r="G23" s="83" t="s">
        <v>43</v>
      </c>
      <c r="H23" s="38" t="str">
        <f t="shared" si="1"/>
        <v/>
      </c>
      <c r="I23" s="37" t="str">
        <f t="shared" si="2"/>
        <v/>
      </c>
      <c r="J23" s="86"/>
      <c r="K23" s="87"/>
    </row>
    <row r="24" spans="1:14" ht="15.6">
      <c r="A24" s="43" t="str">
        <v xml:space="preserve"> Audubon - Senior Citizens United</v>
      </c>
      <c r="B24" s="40" t="str">
        <v>NJ</v>
      </c>
      <c r="C24" s="28">
        <v>8635.375</v>
      </c>
      <c r="D24" s="29" t="s">
        <v>43</v>
      </c>
      <c r="E24" s="29"/>
      <c r="F24" s="30"/>
      <c r="G24" s="84" t="s">
        <v>43</v>
      </c>
      <c r="H24" s="31" t="str">
        <f t="shared" si="1"/>
        <v/>
      </c>
      <c r="I24" s="32" t="str">
        <f t="shared" si="2"/>
        <v/>
      </c>
      <c r="J24" s="62"/>
      <c r="K24" s="62"/>
    </row>
    <row r="25" spans="1:14" ht="14.45">
      <c r="A25" s="8" t="str">
        <v>Hollister - PG&amp;E (Enerparc)</v>
      </c>
      <c r="B25" s="13" t="str">
        <v>CA</v>
      </c>
      <c r="C25" s="8"/>
      <c r="D25" s="8"/>
      <c r="E25" s="8"/>
      <c r="F25" s="9"/>
      <c r="G25" s="8"/>
      <c r="H25" s="8"/>
      <c r="I25" s="9"/>
      <c r="J25" s="8"/>
      <c r="K25" s="8"/>
    </row>
    <row r="26" spans="1:14" ht="14.45">
      <c r="A26" s="8" t="str">
        <v>Taos County - Kit Carson Electric Co-Op</v>
      </c>
      <c r="B26" s="13" t="str">
        <v>NM</v>
      </c>
      <c r="C26" s="8"/>
      <c r="D26" s="8"/>
      <c r="E26" s="8"/>
      <c r="F26" s="9"/>
      <c r="G26" s="8"/>
      <c r="H26" s="8"/>
      <c r="I26" s="9"/>
      <c r="J26" s="8"/>
      <c r="K26" s="8"/>
    </row>
    <row r="27" spans="1:14" ht="14.45">
      <c r="A27" s="8" t="str">
        <v>Commerce City - Adams City HS</v>
      </c>
      <c r="B27" s="13" t="str">
        <v>CO</v>
      </c>
      <c r="C27" s="8"/>
      <c r="D27" s="8"/>
      <c r="E27" s="8"/>
      <c r="F27" s="9"/>
      <c r="G27" s="8"/>
      <c r="H27" s="8"/>
      <c r="I27" s="9"/>
      <c r="J27" s="8"/>
      <c r="K27" s="8"/>
    </row>
    <row r="28" spans="1:14" ht="14.45">
      <c r="A28" s="8" t="str">
        <v>Commerce City - Adams City MS</v>
      </c>
      <c r="B28" s="13" t="str">
        <v>CO</v>
      </c>
      <c r="C28" s="8"/>
      <c r="D28" s="8"/>
      <c r="E28" s="8"/>
      <c r="F28" s="9"/>
      <c r="G28" s="8"/>
      <c r="H28" s="8"/>
      <c r="I28" s="9"/>
      <c r="J28" s="8"/>
      <c r="K28" s="8"/>
    </row>
    <row r="29" spans="1:14" ht="14.45">
      <c r="A29" s="8" t="str">
        <v>Commerce City - Central ES</v>
      </c>
      <c r="B29" s="13" t="str">
        <v>CO</v>
      </c>
      <c r="C29" s="8"/>
      <c r="D29" s="8"/>
      <c r="E29" s="8"/>
      <c r="F29" s="9"/>
      <c r="G29" s="8"/>
      <c r="H29" s="8"/>
      <c r="I29" s="9"/>
      <c r="J29" s="8"/>
      <c r="K29" s="8"/>
    </row>
    <row r="30" spans="1:14" ht="14.45">
      <c r="A30" s="8" t="str">
        <v>Commerce City - Dupont ES</v>
      </c>
      <c r="B30" s="13" t="str">
        <v>CO</v>
      </c>
      <c r="C30" s="8"/>
      <c r="D30" s="8"/>
      <c r="E30" s="8"/>
      <c r="F30" s="9"/>
      <c r="G30" s="8"/>
      <c r="H30" s="8"/>
      <c r="I30" s="9"/>
      <c r="J30" s="8"/>
      <c r="K30" s="8"/>
    </row>
    <row r="31" spans="1:14" ht="14.45">
      <c r="A31" s="8" t="str">
        <v>Commerce City - Educational Support Services</v>
      </c>
      <c r="B31" s="13" t="str">
        <v>CO</v>
      </c>
      <c r="C31" s="8"/>
      <c r="D31" s="8"/>
      <c r="E31" s="8"/>
      <c r="F31" s="9"/>
      <c r="G31" s="8"/>
      <c r="H31" s="8"/>
      <c r="I31" s="9"/>
      <c r="J31" s="8"/>
      <c r="K31" s="8"/>
    </row>
    <row r="32" spans="1:14"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20" priority="5" stopIfTrue="1" operator="lessThanOrEqual">
      <formula>-0.1</formula>
    </cfRule>
    <cfRule type="expression" dxfId="19" priority="6">
      <formula>AND(ISNUMBER(F2), F2&gt;=0.1)</formula>
    </cfRule>
  </conditionalFormatting>
  <hyperlinks>
    <hyperlink ref="K4" r:id="rId1" display="https://us3.assetplanner.com/service_request?ID=097850" xr:uid="{BE7DCD54-7901-4825-ADF1-D2306D6AC759}"/>
    <hyperlink ref="L4" r:id="rId2" display="https://us3.assetplanner.com/service_request?ID=095368" xr:uid="{07286541-05F5-4C1E-94A2-59A216F51208}"/>
    <hyperlink ref="M4" r:id="rId3" display="https://us3.assetplanner.com/service_request?ID=099290" xr:uid="{2BCCF8DF-5376-461F-B2E0-955F44511786}"/>
    <hyperlink ref="K5" r:id="rId4" display="https://us3.assetplanner.com/service_request?ID=097975" xr:uid="{8F43903F-8D72-42F3-9517-E4D6FC44998D}"/>
    <hyperlink ref="L5" r:id="rId5" display="https://us3.assetplanner.com/service_request?ID=097975" xr:uid="{D1005FAC-A6B1-4BDD-9C87-35D02BC75335}"/>
    <hyperlink ref="M5" r:id="rId6" display="https://us3.assetplanner.com/service_request?ID=099501" xr:uid="{B7080889-EA9A-404B-86A8-85A37740D859}"/>
    <hyperlink ref="N5" r:id="rId7" display="https://us3.assetplanner.com/service_request?ID=099508" xr:uid="{EA0DFC10-B90B-4249-8C76-B4E91F65C75E}"/>
    <hyperlink ref="O5" r:id="rId8" display="https://us3.assetplanner.com/service_request?ID=097783" xr:uid="{9C53DF09-1C9A-4C11-A0B8-3A6419FBAD73}"/>
    <hyperlink ref="K7" r:id="rId9" display="https://us3.assetplanner.com/service_request?ID=096262" xr:uid="{2100C41D-583C-4E8C-B812-6A068FC39851}"/>
    <hyperlink ref="L7" r:id="rId10" display="https://us3.assetplanner.com/service_request?ID=099066" xr:uid="{1BBDB912-EF4D-4269-9FDD-598D15480018}"/>
    <hyperlink ref="K8" r:id="rId11" display="https://us3.assetplanner.com/service_request?ID=098870" xr:uid="{F9FDE7A5-4B1A-4B72-BC07-2E3B089A9DE5}"/>
    <hyperlink ref="L8" r:id="rId12" display="https://us3.assetplanner.com/service_request?ID=099461" xr:uid="{B0B849F0-5AF8-44E7-9572-85F406DAB67F}"/>
    <hyperlink ref="K9" r:id="rId13" display="https://us3.assetplanner.com/service_request?ID=100445" xr:uid="{EA7E0885-0787-4AF4-BDD1-69FFFCBDE494}"/>
    <hyperlink ref="K11" r:id="rId14" display="https://us3.assetplanner.com/service_request?ID=100131" xr:uid="{AD914194-840F-4C0A-BD08-3A0D87844E4A}"/>
    <hyperlink ref="L11" r:id="rId15" display="https://us3.assetplanner.com/service_request?ID=100417" xr:uid="{F78C8A4A-DD8E-46F3-B81C-2E480F067524}"/>
    <hyperlink ref="M11" r:id="rId16" display="https://us3.assetplanner.com/service_request?ID=100617" xr:uid="{5C952256-4313-4790-BB0F-1861BC139E54}"/>
    <hyperlink ref="K12" r:id="rId17" display="https://us3.assetplanner.com/service_request?ID=099457" xr:uid="{4E905212-3C02-42D4-B97F-E73BB8E1EF14}"/>
    <hyperlink ref="L12" r:id="rId18" display="https://us3.assetplanner.com/service_request?ID=100618" xr:uid="{F74DD3DC-D9BC-4A96-B357-32AB6E6B59CE}"/>
    <hyperlink ref="M12" r:id="rId19" display="https://us3.assetplanner.com/service_request?ID=098046" xr:uid="{A9E6212E-0771-4839-B54D-8349394292BA}"/>
    <hyperlink ref="K13" r:id="rId20" display="https://us3.assetplanner.com/service_request?ID=098047" xr:uid="{C682C554-2381-4B67-98E8-AE95C05D2E9E}"/>
    <hyperlink ref="L13" r:id="rId21" display="https://us3.assetplanner.com/service_request?ID=099230" xr:uid="{424B386B-31D3-40E1-8EB4-09214F5497D4}"/>
    <hyperlink ref="K14" r:id="rId22" display="https://us3.assetplanner.com/service_request?ID=099167" xr:uid="{208C404D-541F-4148-927D-50616181A8B8}"/>
    <hyperlink ref="L14" r:id="rId23" display="https://us3.assetplanner.com/service_request?ID=099789" xr:uid="{C6DD9109-C21A-4D5F-9288-AEDDEA00832F}"/>
    <hyperlink ref="M14" r:id="rId24" display="https://us3.assetplanner.com/service_request?ID=100621" xr:uid="{890D57B9-F0F4-4454-8D02-E1923166B472}"/>
    <hyperlink ref="N14" r:id="rId25" display="https://us3.assetplanner.com/service_request?ID=099110" xr:uid="{A887106B-D2FE-47C9-AB52-64708D3983C8}"/>
    <hyperlink ref="K15" r:id="rId26" display="https://us3.assetplanner.com/service_request?ID=098048" xr:uid="{CAFB54BD-C979-40C1-8FAA-C0BE279C8213}"/>
    <hyperlink ref="K17" r:id="rId27" display="https://us3.assetplanner.com/service_request?ID=098818" xr:uid="{9EACFAF0-0E8E-4280-B475-DC5A5031EC1A}"/>
    <hyperlink ref="L17" r:id="rId28" display="https://us3.assetplanner.com/service_request?ID=099746" xr:uid="{BF66982E-2E73-41F7-A5A5-500CF32F3880}"/>
    <hyperlink ref="K18" r:id="rId29" display="https://us3.assetplanner.com/service_request?ID=098819" xr:uid="{55247E6D-CB0F-4BC9-80D4-B270C45AB548}"/>
    <hyperlink ref="L18" r:id="rId30" display="https://us3.assetplanner.com/service_request?ID=099691" xr:uid="{75DFF452-B723-478D-B8D6-8EA9D016F0B6}"/>
    <hyperlink ref="M18" r:id="rId31" display="https://us3.assetplanner.com/service_request?ID=101068" xr:uid="{62DA8944-F67F-4F70-B3D8-5CE3E16208B8}"/>
    <hyperlink ref="K19" r:id="rId32" display="https://us3.assetplanner.com/service_request?ID=098076" xr:uid="{1F5E7AB2-2CF2-4FEA-89B7-E23D22CB2BFB}"/>
    <hyperlink ref="L19" r:id="rId33" display="https://us3.assetplanner.com/service_request?ID=098231" xr:uid="{3CF58C1B-3924-4F28-89C3-3D2ECA65AA11}"/>
    <hyperlink ref="M19" r:id="rId34" display="https://us3.assetplanner.com/service_request?ID=099730" xr:uid="{DC1F240B-EE21-4D9C-BB9A-CFF9690664B2}"/>
    <hyperlink ref="K21" r:id="rId35" display="https://us3.assetplanner.com/service_request?ID=098015" xr:uid="{8726E27A-7B45-4F77-9FF2-7DD68F2E6A40}"/>
    <hyperlink ref="L21" r:id="rId36" display="https://us3.assetplanner.com/service_request?ID=098016" xr:uid="{8682D32A-12FB-44BD-B7AC-CF9D53213355}"/>
    <hyperlink ref="M21" r:id="rId37" display="https://us3.assetplanner.com/service_request?ID=099500" xr:uid="{08FBD7B1-401E-4DAE-AC09-6D65A7702800}"/>
    <hyperlink ref="N21" r:id="rId38" display="https://us3.assetplanner.com/service_request?ID=098016" xr:uid="{7FF8A864-CACE-4D85-8CE1-745730A9261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P327"/>
  <sheetViews>
    <sheetView zoomScale="70" zoomScaleNormal="70" workbookViewId="0">
      <pane xSplit="2" ySplit="3" topLeftCell="C5" activePane="bottomRight" state="frozen"/>
      <selection pane="bottomRight" activeCell="J46" sqref="J46"/>
      <selection pane="bottomLeft" activeCell="H13" sqref="H13"/>
      <selection pane="topRight" activeCell="H13" sqref="H13"/>
    </sheetView>
  </sheetViews>
  <sheetFormatPr defaultRowHeight="13.9"/>
  <cols>
    <col min="1" max="1" width="47.1406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6" ht="19.5" customHeight="1">
      <c r="A1" s="106" t="str" cm="1">
        <f t="array" ref="A1">portfolio</f>
        <v>Clean Capital</v>
      </c>
      <c r="B1" s="106"/>
      <c r="C1" s="106"/>
      <c r="D1" s="107" t="s">
        <v>128</v>
      </c>
      <c r="E1" s="107"/>
      <c r="F1" s="107"/>
      <c r="G1" s="105" t="s">
        <v>129</v>
      </c>
      <c r="H1" s="105"/>
      <c r="I1" s="105"/>
      <c r="J1" s="4"/>
      <c r="K1" s="4"/>
    </row>
    <row r="2" spans="1:16" ht="19.5" customHeight="1">
      <c r="A2" s="108" t="s">
        <v>2</v>
      </c>
      <c r="B2" s="108"/>
      <c r="C2" s="5">
        <f>SUM(C4:C85)</f>
        <v>2827723.5569098927</v>
      </c>
      <c r="D2" s="5">
        <f>SUM(D4:D85)</f>
        <v>943768.39424758288</v>
      </c>
      <c r="E2" s="5">
        <f>C2-D2</f>
        <v>1883955.1626623098</v>
      </c>
      <c r="F2" s="6">
        <f>IFERROR(E2/D2, 0)</f>
        <v>1.9962049737470693</v>
      </c>
      <c r="G2" s="5">
        <f>SUM(G4:G85)</f>
        <v>3193582.9870000007</v>
      </c>
      <c r="H2" s="7">
        <f>C2-G2</f>
        <v>-365859.43009010796</v>
      </c>
      <c r="I2" s="6">
        <f>IFERROR(H2/G2, 0)</f>
        <v>-0.11456080257798164</v>
      </c>
      <c r="J2" s="11"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121.5" customHeight="1">
      <c r="A4" s="39" t="str" cm="1">
        <f t="array" ref="A4:A85">Sites[Site]</f>
        <v>Lexington - Cotting School</v>
      </c>
      <c r="B4" s="40" t="str" cm="1">
        <f t="array" ref="B4:B85">Sites[State]</f>
        <v>MA</v>
      </c>
      <c r="C4" s="28">
        <v>35088</v>
      </c>
      <c r="D4" s="29" t="s">
        <v>43</v>
      </c>
      <c r="E4" s="29" t="str">
        <f>IF(AND(ISNUMBER(C4),ISNUMBER(D4)), C4-D4, "")</f>
        <v/>
      </c>
      <c r="F4" s="30" t="str">
        <f>IFERROR(E4/D4, "")</f>
        <v/>
      </c>
      <c r="G4" s="73" t="s">
        <v>43</v>
      </c>
      <c r="H4" s="31" t="str">
        <f>IF(AND(ISNUMBER(C4),ISNUMBER(G4)), C4-G4, "")</f>
        <v/>
      </c>
      <c r="I4" s="32" t="str">
        <f>IFERROR(H4/G4, "")</f>
        <v/>
      </c>
      <c r="J4" s="49" t="s">
        <v>130</v>
      </c>
      <c r="K4" s="67" t="s">
        <v>131</v>
      </c>
      <c r="L4" s="95" t="s">
        <v>32</v>
      </c>
      <c r="M4" s="95" t="s">
        <v>86</v>
      </c>
      <c r="N4" s="95" t="s">
        <v>132</v>
      </c>
    </row>
    <row r="5" spans="1:16" ht="232.5" customHeight="1">
      <c r="A5" s="41" t="str">
        <v>Pacoima - Whiteman Airport</v>
      </c>
      <c r="B5" s="42" t="str">
        <v>CA</v>
      </c>
      <c r="C5" s="35">
        <v>2023</v>
      </c>
      <c r="D5" s="36" t="s">
        <v>43</v>
      </c>
      <c r="E5" s="36" t="str">
        <f>IF(AND(ISNUMBER(C5),ISNUMBER(D5)), C5-D5, "")</f>
        <v/>
      </c>
      <c r="F5" s="37" t="str">
        <f>IFERROR(E5/D5, "")</f>
        <v/>
      </c>
      <c r="G5" s="38">
        <v>4608.7</v>
      </c>
      <c r="H5" s="38">
        <f t="shared" ref="H5:H46" si="0">IF(AND(ISNUMBER(C5),ISNUMBER(G5)), C5-G5, "")</f>
        <v>-2585.6999999999998</v>
      </c>
      <c r="I5" s="37">
        <f t="shared" ref="I5:I46" si="1">IFERROR(H5/G5, "")</f>
        <v>-0.56104758391737364</v>
      </c>
      <c r="J5" s="50" t="s">
        <v>133</v>
      </c>
      <c r="K5" s="75" t="s">
        <v>134</v>
      </c>
      <c r="L5" s="95" t="s">
        <v>135</v>
      </c>
      <c r="M5" s="95" t="s">
        <v>135</v>
      </c>
      <c r="N5" s="95" t="s">
        <v>135</v>
      </c>
      <c r="O5" s="95" t="s">
        <v>136</v>
      </c>
    </row>
    <row r="6" spans="1:16" ht="15.6">
      <c r="A6" s="43" t="str">
        <v>Hyannis - Sturgis Charter School</v>
      </c>
      <c r="B6" s="40" t="str">
        <v>MA</v>
      </c>
      <c r="C6" s="28">
        <v>35801.705320000001</v>
      </c>
      <c r="D6" s="29" t="s">
        <v>43</v>
      </c>
      <c r="E6" s="29" t="str">
        <f t="shared" ref="E6:E46" si="2">IF(AND(ISNUMBER(C6),ISNUMBER(D6)), C6-D6, "")</f>
        <v/>
      </c>
      <c r="F6" s="30" t="str">
        <f t="shared" ref="F6:F47" si="3">IFERROR(E6/D6, "")</f>
        <v/>
      </c>
      <c r="G6" s="31">
        <v>31250</v>
      </c>
      <c r="H6" s="31">
        <f t="shared" si="0"/>
        <v>4551.7053200000009</v>
      </c>
      <c r="I6" s="32">
        <f t="shared" si="1"/>
        <v>0.14565457024000003</v>
      </c>
      <c r="J6" s="49"/>
      <c r="K6" s="49"/>
    </row>
    <row r="7" spans="1:16" ht="57.6">
      <c r="A7" s="41" t="str">
        <v>South Dennis - Tony Kent Arena</v>
      </c>
      <c r="B7" s="42" t="str">
        <v>MA</v>
      </c>
      <c r="C7" s="35">
        <v>40411.9</v>
      </c>
      <c r="D7" s="36" t="s">
        <v>43</v>
      </c>
      <c r="E7" s="36" t="str">
        <f t="shared" si="2"/>
        <v/>
      </c>
      <c r="F7" s="37" t="str">
        <f t="shared" si="3"/>
        <v/>
      </c>
      <c r="G7" s="83" t="s">
        <v>43</v>
      </c>
      <c r="H7" s="38" t="str">
        <f t="shared" si="0"/>
        <v/>
      </c>
      <c r="I7" s="37" t="str">
        <f t="shared" si="1"/>
        <v/>
      </c>
      <c r="J7" s="50" t="s">
        <v>91</v>
      </c>
      <c r="K7" s="68" t="s">
        <v>137</v>
      </c>
      <c r="L7" s="95" t="s">
        <v>53</v>
      </c>
    </row>
    <row r="8" spans="1:16" ht="72">
      <c r="A8" s="43" t="str">
        <v xml:space="preserve"> Caropolis - Felician Sisters</v>
      </c>
      <c r="B8" s="40" t="str">
        <v>PA</v>
      </c>
      <c r="C8" s="28">
        <v>56475.3</v>
      </c>
      <c r="D8" s="29" t="s">
        <v>43</v>
      </c>
      <c r="E8" s="29" t="str">
        <f t="shared" si="2"/>
        <v/>
      </c>
      <c r="F8" s="30" t="str">
        <f t="shared" si="3"/>
        <v/>
      </c>
      <c r="G8" s="84" t="s">
        <v>43</v>
      </c>
      <c r="H8" s="31" t="str">
        <f t="shared" si="0"/>
        <v/>
      </c>
      <c r="I8" s="32" t="str">
        <f t="shared" si="1"/>
        <v/>
      </c>
      <c r="J8" s="49" t="s">
        <v>138</v>
      </c>
      <c r="K8" s="67" t="s">
        <v>94</v>
      </c>
      <c r="L8" s="95" t="s">
        <v>95</v>
      </c>
    </row>
    <row r="9" spans="1:16" ht="158.44999999999999">
      <c r="A9" s="41" t="str">
        <v>Clear Lake - Eastlake Gohman</v>
      </c>
      <c r="B9" s="42" t="str">
        <v>MN</v>
      </c>
      <c r="C9" s="35">
        <v>198397</v>
      </c>
      <c r="D9" s="36" t="s">
        <v>43</v>
      </c>
      <c r="E9" s="36" t="str">
        <f t="shared" si="2"/>
        <v/>
      </c>
      <c r="F9" s="37" t="str">
        <f t="shared" si="3"/>
        <v/>
      </c>
      <c r="G9" s="38">
        <v>199753.9</v>
      </c>
      <c r="H9" s="38">
        <f t="shared" si="0"/>
        <v>-1356.8999999999942</v>
      </c>
      <c r="I9" s="37">
        <f t="shared" si="1"/>
        <v>-6.7928586125226799E-3</v>
      </c>
      <c r="J9" s="50" t="s">
        <v>139</v>
      </c>
      <c r="K9" s="75" t="s">
        <v>140</v>
      </c>
      <c r="L9" s="95" t="s">
        <v>141</v>
      </c>
    </row>
    <row r="10" spans="1:16" ht="15.6">
      <c r="A10" s="43" t="str">
        <v>Zumbrota - Eastlake Brenda Luhman</v>
      </c>
      <c r="B10" s="40" t="str">
        <v>MN</v>
      </c>
      <c r="C10" s="28">
        <v>205051</v>
      </c>
      <c r="D10" s="29" t="s">
        <v>43</v>
      </c>
      <c r="E10" s="29" t="str">
        <f t="shared" si="2"/>
        <v/>
      </c>
      <c r="F10" s="30" t="str">
        <f t="shared" si="3"/>
        <v/>
      </c>
      <c r="G10" s="31">
        <v>194233.4</v>
      </c>
      <c r="H10" s="31">
        <f t="shared" si="0"/>
        <v>10817.600000000006</v>
      </c>
      <c r="I10" s="32">
        <f t="shared" si="1"/>
        <v>5.5693819909449181E-2</v>
      </c>
      <c r="J10" s="49"/>
      <c r="K10" s="49"/>
    </row>
    <row r="11" spans="1:16" ht="115.15">
      <c r="A11" s="41" t="str">
        <v>Cokato - Eastlake Carlson</v>
      </c>
      <c r="B11" s="42" t="str">
        <v>MN</v>
      </c>
      <c r="C11" s="35">
        <v>188253</v>
      </c>
      <c r="D11" s="36" t="s">
        <v>43</v>
      </c>
      <c r="E11" s="36" t="str">
        <f t="shared" si="2"/>
        <v/>
      </c>
      <c r="F11" s="37" t="str">
        <f t="shared" si="3"/>
        <v/>
      </c>
      <c r="G11" s="38">
        <v>198830.9</v>
      </c>
      <c r="H11" s="38">
        <f t="shared" si="0"/>
        <v>-10577.899999999994</v>
      </c>
      <c r="I11" s="37">
        <f t="shared" si="1"/>
        <v>-5.320048342586587E-2</v>
      </c>
      <c r="J11" s="60" t="s">
        <v>142</v>
      </c>
      <c r="K11" s="75" t="s">
        <v>143</v>
      </c>
      <c r="L11" s="95" t="s">
        <v>144</v>
      </c>
      <c r="M11" s="95" t="s">
        <v>145</v>
      </c>
    </row>
    <row r="12" spans="1:16" ht="244.9">
      <c r="A12" s="43" t="str">
        <v>North Branch - Cornille 2</v>
      </c>
      <c r="B12" s="40" t="str">
        <v>MN</v>
      </c>
      <c r="C12" s="28">
        <v>185597</v>
      </c>
      <c r="D12" s="29" t="s">
        <v>43</v>
      </c>
      <c r="E12" s="29" t="str">
        <f t="shared" si="2"/>
        <v/>
      </c>
      <c r="F12" s="30" t="str">
        <f t="shared" si="3"/>
        <v/>
      </c>
      <c r="G12" s="31">
        <v>204259.6</v>
      </c>
      <c r="H12" s="31">
        <f t="shared" si="0"/>
        <v>-18662.600000000006</v>
      </c>
      <c r="I12" s="32">
        <f t="shared" si="1"/>
        <v>-9.1367064265278131E-2</v>
      </c>
      <c r="J12" s="49" t="s">
        <v>146</v>
      </c>
      <c r="K12" s="67" t="s">
        <v>147</v>
      </c>
      <c r="L12" s="95" t="s">
        <v>148</v>
      </c>
      <c r="M12" s="95" t="s">
        <v>149</v>
      </c>
      <c r="N12" s="95" t="s">
        <v>150</v>
      </c>
      <c r="O12" s="95" t="s">
        <v>151</v>
      </c>
      <c r="P12" s="95" t="s">
        <v>152</v>
      </c>
    </row>
    <row r="13" spans="1:16" ht="15.6">
      <c r="A13" s="41" t="str">
        <v>Clear Lake - Eastlake Hammer</v>
      </c>
      <c r="B13" s="42" t="str">
        <v>MN</v>
      </c>
      <c r="C13" s="35">
        <v>260043.817499998</v>
      </c>
      <c r="D13" s="36" t="s">
        <v>43</v>
      </c>
      <c r="E13" s="36" t="str">
        <f t="shared" si="2"/>
        <v/>
      </c>
      <c r="F13" s="37" t="str">
        <f t="shared" si="3"/>
        <v/>
      </c>
      <c r="G13" s="38">
        <v>246556.3</v>
      </c>
      <c r="H13" s="38">
        <f t="shared" si="0"/>
        <v>13487.517499998008</v>
      </c>
      <c r="I13" s="37">
        <f t="shared" si="1"/>
        <v>5.4703601165324141E-2</v>
      </c>
      <c r="J13" s="50"/>
      <c r="K13" s="51"/>
    </row>
    <row r="14" spans="1:16" ht="91.5" customHeight="1">
      <c r="A14" s="43" t="str">
        <v>Eastlake - Hertzberg CSG 1</v>
      </c>
      <c r="B14" s="40" t="str">
        <v>MN</v>
      </c>
      <c r="C14" s="28">
        <v>254551.63250000001</v>
      </c>
      <c r="D14" s="29" t="s">
        <v>43</v>
      </c>
      <c r="E14" s="29" t="str">
        <f t="shared" si="2"/>
        <v/>
      </c>
      <c r="F14" s="30" t="str">
        <f t="shared" si="3"/>
        <v/>
      </c>
      <c r="G14" s="31">
        <v>255012.1</v>
      </c>
      <c r="H14" s="31">
        <f t="shared" si="0"/>
        <v>-460.46749999999884</v>
      </c>
      <c r="I14" s="32">
        <f t="shared" si="1"/>
        <v>-1.8056692211859706E-3</v>
      </c>
      <c r="J14" s="49" t="s">
        <v>153</v>
      </c>
      <c r="K14" s="67" t="s">
        <v>154</v>
      </c>
      <c r="L14" s="95" t="s">
        <v>112</v>
      </c>
    </row>
    <row r="15" spans="1:16" ht="106.5" customHeight="1">
      <c r="A15" s="41" t="str">
        <v>Cokato - Eastlake Laurel Village</v>
      </c>
      <c r="B15" s="42" t="str">
        <v>MN</v>
      </c>
      <c r="C15" s="35">
        <v>242819.80499999999</v>
      </c>
      <c r="D15" s="36" t="s">
        <v>43</v>
      </c>
      <c r="E15" s="36" t="str">
        <f t="shared" si="2"/>
        <v/>
      </c>
      <c r="F15" s="37" t="str">
        <f t="shared" si="3"/>
        <v/>
      </c>
      <c r="G15" s="38">
        <v>258683</v>
      </c>
      <c r="H15" s="38">
        <f t="shared" si="0"/>
        <v>-15863.195000000007</v>
      </c>
      <c r="I15" s="37">
        <f t="shared" si="1"/>
        <v>-6.132291259959103E-2</v>
      </c>
      <c r="J15" s="50" t="s">
        <v>155</v>
      </c>
      <c r="K15" s="75" t="s">
        <v>156</v>
      </c>
      <c r="L15" s="95" t="s">
        <v>157</v>
      </c>
    </row>
    <row r="16" spans="1:16" ht="28.9">
      <c r="A16" s="43" t="str">
        <v>St. Peter - Eastlake Paulson</v>
      </c>
      <c r="B16" s="40" t="str">
        <v>MN</v>
      </c>
      <c r="C16" s="28">
        <v>201936.795220895</v>
      </c>
      <c r="D16" s="29" t="s">
        <v>43</v>
      </c>
      <c r="E16" s="29" t="str">
        <f t="shared" si="2"/>
        <v/>
      </c>
      <c r="F16" s="30" t="str">
        <f t="shared" si="3"/>
        <v/>
      </c>
      <c r="G16" s="31">
        <v>210220.3</v>
      </c>
      <c r="H16" s="31">
        <f t="shared" si="0"/>
        <v>-8283.5047791049874</v>
      </c>
      <c r="I16" s="32">
        <f t="shared" si="1"/>
        <v>-3.9403924259954856E-2</v>
      </c>
      <c r="J16" s="49" t="s">
        <v>158</v>
      </c>
      <c r="K16" s="67" t="s">
        <v>159</v>
      </c>
    </row>
    <row r="17" spans="1:14" ht="115.15">
      <c r="A17" s="41" t="str">
        <v>Felician Sisters Convent</v>
      </c>
      <c r="B17" s="42" t="str">
        <v>NJ</v>
      </c>
      <c r="C17" s="35">
        <v>3676.9</v>
      </c>
      <c r="D17" s="36" t="s">
        <v>43</v>
      </c>
      <c r="E17" s="36" t="str">
        <f t="shared" si="2"/>
        <v/>
      </c>
      <c r="F17" s="37" t="str">
        <f t="shared" si="3"/>
        <v/>
      </c>
      <c r="G17" s="83" t="s">
        <v>43</v>
      </c>
      <c r="H17" s="38" t="str">
        <f t="shared" si="0"/>
        <v/>
      </c>
      <c r="I17" s="37" t="str">
        <f t="shared" si="1"/>
        <v/>
      </c>
      <c r="J17" s="50" t="s">
        <v>160</v>
      </c>
      <c r="K17" s="75" t="s">
        <v>161</v>
      </c>
      <c r="L17" s="95" t="s">
        <v>117</v>
      </c>
      <c r="M17" s="95" t="s">
        <v>162</v>
      </c>
    </row>
    <row r="18" spans="1:14" ht="100.9">
      <c r="A18" s="43" t="str">
        <v>Sussex County Fairgrounds</v>
      </c>
      <c r="B18" s="40" t="str">
        <v>NJ</v>
      </c>
      <c r="C18" s="28">
        <v>38854.14</v>
      </c>
      <c r="D18" s="29" t="s">
        <v>43</v>
      </c>
      <c r="E18" s="29" t="str">
        <f t="shared" si="2"/>
        <v/>
      </c>
      <c r="F18" s="30" t="str">
        <f t="shared" si="3"/>
        <v/>
      </c>
      <c r="G18" s="84" t="s">
        <v>43</v>
      </c>
      <c r="H18" s="31" t="str">
        <f t="shared" si="0"/>
        <v/>
      </c>
      <c r="I18" s="32" t="str">
        <f t="shared" si="1"/>
        <v/>
      </c>
      <c r="J18" s="49" t="s">
        <v>163</v>
      </c>
      <c r="K18" s="67" t="s">
        <v>164</v>
      </c>
      <c r="L18" s="95" t="s">
        <v>121</v>
      </c>
    </row>
    <row r="19" spans="1:14" ht="172.9">
      <c r="A19" s="41" t="str">
        <v>Gateway Church</v>
      </c>
      <c r="B19" s="42" t="str">
        <v>NJ</v>
      </c>
      <c r="C19" s="35">
        <v>26806</v>
      </c>
      <c r="D19" s="36" t="s">
        <v>43</v>
      </c>
      <c r="E19" s="36" t="str">
        <f t="shared" si="2"/>
        <v/>
      </c>
      <c r="F19" s="37" t="str">
        <f t="shared" si="3"/>
        <v/>
      </c>
      <c r="G19" s="83" t="s">
        <v>43</v>
      </c>
      <c r="H19" s="38" t="str">
        <f t="shared" si="0"/>
        <v/>
      </c>
      <c r="I19" s="37" t="str">
        <f t="shared" si="1"/>
        <v/>
      </c>
      <c r="J19" s="60" t="s">
        <v>165</v>
      </c>
      <c r="K19" s="75" t="s">
        <v>166</v>
      </c>
      <c r="L19" s="95" t="s">
        <v>124</v>
      </c>
      <c r="M19" s="95" t="s">
        <v>167</v>
      </c>
    </row>
    <row r="20" spans="1:14" ht="15.6">
      <c r="A20" s="43" t="str">
        <v>Beaver Falls - Felician Sisters</v>
      </c>
      <c r="B20" s="40" t="str">
        <v>PA</v>
      </c>
      <c r="C20" s="28">
        <v>39310</v>
      </c>
      <c r="D20" s="29" t="s">
        <v>43</v>
      </c>
      <c r="E20" s="29" t="str">
        <f t="shared" si="2"/>
        <v/>
      </c>
      <c r="F20" s="30" t="str">
        <f t="shared" si="3"/>
        <v/>
      </c>
      <c r="G20" s="84" t="s">
        <v>43</v>
      </c>
      <c r="H20" s="31" t="str">
        <f t="shared" si="0"/>
        <v/>
      </c>
      <c r="I20" s="32" t="str">
        <f t="shared" si="1"/>
        <v/>
      </c>
      <c r="J20" s="49"/>
      <c r="K20" s="49"/>
    </row>
    <row r="21" spans="1:14" ht="72">
      <c r="A21" s="41" t="str">
        <v>Livonia - Felician Sisters Ground</v>
      </c>
      <c r="B21" s="42" t="str">
        <v>MI</v>
      </c>
      <c r="C21" s="35">
        <v>0</v>
      </c>
      <c r="D21" s="36" t="s">
        <v>43</v>
      </c>
      <c r="E21" s="36" t="str">
        <f t="shared" si="2"/>
        <v/>
      </c>
      <c r="F21" s="37" t="str">
        <f t="shared" si="3"/>
        <v/>
      </c>
      <c r="G21" s="83" t="s">
        <v>43</v>
      </c>
      <c r="H21" s="38" t="str">
        <f t="shared" si="0"/>
        <v/>
      </c>
      <c r="I21" s="37" t="str">
        <f t="shared" si="1"/>
        <v/>
      </c>
      <c r="J21" s="50" t="s">
        <v>125</v>
      </c>
      <c r="K21" s="75" t="s">
        <v>126</v>
      </c>
      <c r="L21" s="95" t="s">
        <v>80</v>
      </c>
      <c r="M21" s="95" t="s">
        <v>127</v>
      </c>
      <c r="N21" s="95" t="s">
        <v>80</v>
      </c>
    </row>
    <row r="22" spans="1:14" ht="15.6">
      <c r="A22" s="43" t="str">
        <v>Livonia - Felician Sisters Roof</v>
      </c>
      <c r="B22" s="40" t="str">
        <v>MI</v>
      </c>
      <c r="C22" s="28">
        <v>16092</v>
      </c>
      <c r="D22" s="29" t="s">
        <v>43</v>
      </c>
      <c r="E22" s="29" t="str">
        <f t="shared" si="2"/>
        <v/>
      </c>
      <c r="F22" s="30" t="str">
        <f t="shared" si="3"/>
        <v/>
      </c>
      <c r="G22" s="84" t="s">
        <v>43</v>
      </c>
      <c r="H22" s="31" t="str">
        <f t="shared" si="0"/>
        <v/>
      </c>
      <c r="I22" s="32" t="str">
        <f t="shared" si="1"/>
        <v/>
      </c>
      <c r="J22" s="49"/>
      <c r="K22" s="49"/>
    </row>
    <row r="23" spans="1:14" ht="15.6">
      <c r="A23" s="41" t="str">
        <v>Monmouth Worship Ctr</v>
      </c>
      <c r="B23" s="42" t="str">
        <v>NJ</v>
      </c>
      <c r="C23" s="35">
        <v>12020.5</v>
      </c>
      <c r="D23" s="36" t="s">
        <v>43</v>
      </c>
      <c r="E23" s="36" t="str">
        <f t="shared" si="2"/>
        <v/>
      </c>
      <c r="F23" s="37" t="str">
        <f t="shared" si="3"/>
        <v/>
      </c>
      <c r="G23" s="83" t="s">
        <v>43</v>
      </c>
      <c r="H23" s="38" t="str">
        <f t="shared" si="0"/>
        <v/>
      </c>
      <c r="I23" s="37" t="str">
        <f t="shared" si="1"/>
        <v/>
      </c>
      <c r="J23" s="50"/>
      <c r="K23" s="51"/>
    </row>
    <row r="24" spans="1:14" ht="15.6">
      <c r="A24" s="43" t="str">
        <v xml:space="preserve"> Audubon - Senior Citizens United</v>
      </c>
      <c r="B24" s="40" t="str">
        <v>NJ</v>
      </c>
      <c r="C24" s="28">
        <v>8373.4</v>
      </c>
      <c r="D24" s="29" t="s">
        <v>43</v>
      </c>
      <c r="E24" s="29" t="str">
        <f t="shared" si="2"/>
        <v/>
      </c>
      <c r="F24" s="30" t="str">
        <f t="shared" si="3"/>
        <v/>
      </c>
      <c r="G24" s="84" t="s">
        <v>43</v>
      </c>
      <c r="H24" s="31" t="str">
        <f t="shared" si="0"/>
        <v/>
      </c>
      <c r="I24" s="32" t="str">
        <f t="shared" si="1"/>
        <v/>
      </c>
      <c r="J24" s="49"/>
      <c r="K24" s="49"/>
    </row>
    <row r="25" spans="1:14" ht="104.25" customHeight="1">
      <c r="A25" s="41" t="str">
        <v>Hollister - PG&amp;E (Enerparc)</v>
      </c>
      <c r="B25" s="42" t="str">
        <v>CA</v>
      </c>
      <c r="C25" s="35">
        <v>0</v>
      </c>
      <c r="D25" s="36">
        <v>0</v>
      </c>
      <c r="E25" s="36">
        <f t="shared" si="2"/>
        <v>0</v>
      </c>
      <c r="F25" s="37" t="str">
        <f t="shared" si="3"/>
        <v/>
      </c>
      <c r="G25" s="72">
        <v>378519.7</v>
      </c>
      <c r="H25" s="38">
        <f t="shared" si="0"/>
        <v>-378519.7</v>
      </c>
      <c r="I25" s="37">
        <f t="shared" si="1"/>
        <v>-1</v>
      </c>
      <c r="J25" s="50" t="s">
        <v>168</v>
      </c>
      <c r="K25" s="75" t="s">
        <v>169</v>
      </c>
      <c r="L25" s="95" t="s">
        <v>170</v>
      </c>
      <c r="M25" s="95" t="s">
        <v>171</v>
      </c>
    </row>
    <row r="26" spans="1:14" ht="28.9">
      <c r="A26" s="43" t="str">
        <v>Taos County - Kit Carson Electric Co-Op</v>
      </c>
      <c r="B26" s="40" t="str">
        <v>NM</v>
      </c>
      <c r="C26" s="28">
        <v>208950</v>
      </c>
      <c r="D26" s="29">
        <v>262727.8</v>
      </c>
      <c r="E26" s="29">
        <f t="shared" si="2"/>
        <v>-53777.799999999988</v>
      </c>
      <c r="F26" s="30">
        <f t="shared" si="3"/>
        <v>-0.20469017743839818</v>
      </c>
      <c r="G26" s="31">
        <v>222002.7</v>
      </c>
      <c r="H26" s="31">
        <f t="shared" si="0"/>
        <v>-13052.700000000012</v>
      </c>
      <c r="I26" s="32">
        <f t="shared" si="1"/>
        <v>-5.8795230868813809E-2</v>
      </c>
      <c r="J26" s="49" t="s">
        <v>172</v>
      </c>
      <c r="K26" s="67" t="s">
        <v>173</v>
      </c>
    </row>
    <row r="27" spans="1:14" ht="15.6">
      <c r="A27" s="41" t="str">
        <v>Commerce City - Adams City HS</v>
      </c>
      <c r="B27" s="42" t="str">
        <v>CO</v>
      </c>
      <c r="C27" s="35">
        <v>16933</v>
      </c>
      <c r="D27" s="36">
        <v>13265.67</v>
      </c>
      <c r="E27" s="36">
        <f t="shared" si="2"/>
        <v>3667.33</v>
      </c>
      <c r="F27" s="37">
        <f t="shared" si="3"/>
        <v>0.27645267822884179</v>
      </c>
      <c r="G27" s="72">
        <v>14930.87</v>
      </c>
      <c r="H27" s="38">
        <f t="shared" si="0"/>
        <v>2002.1299999999992</v>
      </c>
      <c r="I27" s="37">
        <f t="shared" si="1"/>
        <v>0.1340933247694206</v>
      </c>
      <c r="J27" s="50" t="s">
        <v>174</v>
      </c>
      <c r="K27" s="75" t="s">
        <v>175</v>
      </c>
    </row>
    <row r="28" spans="1:14" ht="15.6">
      <c r="A28" s="43" t="str">
        <v>Commerce City - Adams City MS</v>
      </c>
      <c r="B28" s="40" t="str">
        <v>CO</v>
      </c>
      <c r="C28" s="28">
        <v>14198</v>
      </c>
      <c r="D28" s="29">
        <v>12047.05</v>
      </c>
      <c r="E28" s="29">
        <f t="shared" si="2"/>
        <v>2150.9500000000007</v>
      </c>
      <c r="F28" s="30">
        <f t="shared" si="3"/>
        <v>0.17854578506771374</v>
      </c>
      <c r="G28" s="31">
        <v>13139.15</v>
      </c>
      <c r="H28" s="31">
        <f t="shared" si="0"/>
        <v>1058.8500000000004</v>
      </c>
      <c r="I28" s="32">
        <f t="shared" si="1"/>
        <v>8.0587404816902186E-2</v>
      </c>
      <c r="J28" s="49"/>
      <c r="K28" s="49"/>
    </row>
    <row r="29" spans="1:14" ht="15.6">
      <c r="A29" s="41" t="str">
        <v>Commerce City - Central ES</v>
      </c>
      <c r="B29" s="42" t="str">
        <v>CO</v>
      </c>
      <c r="C29" s="35">
        <v>3710.2</v>
      </c>
      <c r="D29" s="36">
        <v>3461.8870000000002</v>
      </c>
      <c r="E29" s="36">
        <f t="shared" si="2"/>
        <v>248.31299999999965</v>
      </c>
      <c r="F29" s="37">
        <f t="shared" si="3"/>
        <v>7.1727644489840259E-2</v>
      </c>
      <c r="G29" s="72">
        <v>3842.98</v>
      </c>
      <c r="H29" s="38">
        <f t="shared" si="0"/>
        <v>-132.7800000000002</v>
      </c>
      <c r="I29" s="37">
        <f t="shared" si="1"/>
        <v>-3.4551311742449922E-2</v>
      </c>
      <c r="J29" s="50"/>
      <c r="K29" s="51"/>
    </row>
    <row r="30" spans="1:14" ht="28.9">
      <c r="A30" s="43" t="str">
        <v>Commerce City - Dupont ES</v>
      </c>
      <c r="B30" s="40" t="str">
        <v>CO</v>
      </c>
      <c r="C30" s="28">
        <v>11670</v>
      </c>
      <c r="D30" s="29">
        <v>9782.4249999999993</v>
      </c>
      <c r="E30" s="29">
        <f t="shared" si="2"/>
        <v>1887.5750000000007</v>
      </c>
      <c r="F30" s="30">
        <f t="shared" si="3"/>
        <v>0.19295573439101255</v>
      </c>
      <c r="G30" s="31">
        <v>10978.82</v>
      </c>
      <c r="H30" s="31">
        <f t="shared" si="0"/>
        <v>691.18000000000029</v>
      </c>
      <c r="I30" s="32">
        <f t="shared" si="1"/>
        <v>6.2955763916340765E-2</v>
      </c>
      <c r="J30" s="49" t="s">
        <v>176</v>
      </c>
      <c r="K30" s="67" t="s">
        <v>177</v>
      </c>
    </row>
    <row r="31" spans="1:14" ht="15.6">
      <c r="A31" s="41" t="str">
        <v>Commerce City - Educational Support Services</v>
      </c>
      <c r="B31" s="42" t="str">
        <v>CO</v>
      </c>
      <c r="C31" s="35">
        <v>11891</v>
      </c>
      <c r="D31" s="36">
        <v>10164.36</v>
      </c>
      <c r="E31" s="36">
        <f t="shared" si="2"/>
        <v>1726.6399999999994</v>
      </c>
      <c r="F31" s="37">
        <f t="shared" si="3"/>
        <v>0.16987198406982823</v>
      </c>
      <c r="G31" s="72">
        <v>11375.6</v>
      </c>
      <c r="H31" s="38">
        <f t="shared" si="0"/>
        <v>515.39999999999964</v>
      </c>
      <c r="I31" s="37">
        <f t="shared" si="1"/>
        <v>4.5307500263722322E-2</v>
      </c>
      <c r="J31" s="50"/>
      <c r="K31" s="60"/>
    </row>
    <row r="32" spans="1:14" ht="15.6">
      <c r="A32" s="43" t="str">
        <v>Commerce City - Hanson ES</v>
      </c>
      <c r="B32" s="40" t="str">
        <v>CO</v>
      </c>
      <c r="C32" s="28">
        <v>14925</v>
      </c>
      <c r="D32" s="29">
        <v>13253.54</v>
      </c>
      <c r="E32" s="29">
        <f t="shared" si="2"/>
        <v>1671.4599999999991</v>
      </c>
      <c r="F32" s="30">
        <f t="shared" si="3"/>
        <v>0.12611423061310403</v>
      </c>
      <c r="G32" s="31">
        <v>14873.58</v>
      </c>
      <c r="H32" s="31">
        <f t="shared" si="0"/>
        <v>51.420000000000073</v>
      </c>
      <c r="I32" s="32">
        <f t="shared" si="1"/>
        <v>3.4571367485165018E-3</v>
      </c>
      <c r="J32" s="49" t="s">
        <v>178</v>
      </c>
      <c r="K32" s="67" t="s">
        <v>179</v>
      </c>
    </row>
    <row r="33" spans="1:12" ht="28.9">
      <c r="A33" s="41" t="str">
        <v>Commerce City - Kemp ES</v>
      </c>
      <c r="B33" s="42" t="str">
        <v>CO</v>
      </c>
      <c r="C33" s="35">
        <v>5886.4613689999996</v>
      </c>
      <c r="D33" s="36">
        <v>13247.98</v>
      </c>
      <c r="E33" s="36">
        <f t="shared" si="2"/>
        <v>-7361.5186309999999</v>
      </c>
      <c r="F33" s="37">
        <f t="shared" si="3"/>
        <v>-0.5556710253940601</v>
      </c>
      <c r="G33" s="72">
        <v>14866.23</v>
      </c>
      <c r="H33" s="38">
        <f t="shared" si="0"/>
        <v>-8979.768630999999</v>
      </c>
      <c r="I33" s="37">
        <f t="shared" si="1"/>
        <v>-0.6040380534271298</v>
      </c>
      <c r="J33" s="60" t="s">
        <v>180</v>
      </c>
      <c r="K33" s="75" t="s">
        <v>181</v>
      </c>
    </row>
    <row r="34" spans="1:12" ht="86.45">
      <c r="A34" s="43" t="str">
        <v>Commerce City -  Lester Arnold HS</v>
      </c>
      <c r="B34" s="40" t="str">
        <v>CO</v>
      </c>
      <c r="C34" s="28">
        <v>4738</v>
      </c>
      <c r="D34" s="29">
        <v>12807.06</v>
      </c>
      <c r="E34" s="29">
        <f t="shared" si="2"/>
        <v>-8069.0599999999995</v>
      </c>
      <c r="F34" s="30">
        <f t="shared" si="3"/>
        <v>-0.63004780175934205</v>
      </c>
      <c r="G34" s="31">
        <v>14432.74</v>
      </c>
      <c r="H34" s="31">
        <f t="shared" si="0"/>
        <v>-9694.74</v>
      </c>
      <c r="I34" s="32">
        <f t="shared" si="1"/>
        <v>-0.6717186064461772</v>
      </c>
      <c r="J34" s="62" t="s">
        <v>182</v>
      </c>
      <c r="K34" s="78" t="s">
        <v>183</v>
      </c>
    </row>
    <row r="35" spans="1:12" ht="72">
      <c r="A35" s="41" t="str">
        <v>Commerce City - Monaco ES</v>
      </c>
      <c r="B35" s="42" t="str">
        <v>CO</v>
      </c>
      <c r="C35" s="35">
        <v>7723</v>
      </c>
      <c r="D35" s="36">
        <v>13255.17</v>
      </c>
      <c r="E35" s="36">
        <f t="shared" si="2"/>
        <v>-5532.17</v>
      </c>
      <c r="F35" s="37">
        <f t="shared" si="3"/>
        <v>-0.41735941523194348</v>
      </c>
      <c r="G35" s="72">
        <v>14873.58</v>
      </c>
      <c r="H35" s="38">
        <f t="shared" si="0"/>
        <v>-7150.58</v>
      </c>
      <c r="I35" s="37">
        <f t="shared" si="1"/>
        <v>-0.48075715463257668</v>
      </c>
      <c r="J35" s="60" t="s">
        <v>184</v>
      </c>
      <c r="K35" s="75" t="s">
        <v>185</v>
      </c>
      <c r="L35" s="95" t="s">
        <v>186</v>
      </c>
    </row>
    <row r="36" spans="1:12" ht="15.6">
      <c r="A36" s="43" t="str">
        <v>Denver - Northgate / Old Fort Logan ES</v>
      </c>
      <c r="B36" s="40" t="str">
        <v>CO</v>
      </c>
      <c r="C36" s="28">
        <v>14110</v>
      </c>
      <c r="D36" s="29">
        <v>11489.7</v>
      </c>
      <c r="E36" s="29">
        <f t="shared" si="2"/>
        <v>2620.2999999999993</v>
      </c>
      <c r="F36" s="30">
        <f t="shared" si="3"/>
        <v>0.22805643315317189</v>
      </c>
      <c r="G36" s="31">
        <v>14384.82</v>
      </c>
      <c r="H36" s="31">
        <f t="shared" si="0"/>
        <v>-274.81999999999971</v>
      </c>
      <c r="I36" s="32">
        <f t="shared" si="1"/>
        <v>-1.9104861930840964E-2</v>
      </c>
      <c r="J36" s="62"/>
      <c r="K36" s="62"/>
    </row>
    <row r="37" spans="1:12" ht="15.6">
      <c r="A37" s="41" t="str">
        <v>Denver - Sheridan High School</v>
      </c>
      <c r="B37" s="42" t="str">
        <v>CO</v>
      </c>
      <c r="C37" s="35">
        <v>16526</v>
      </c>
      <c r="D37" s="36">
        <v>13256.88</v>
      </c>
      <c r="E37" s="36">
        <f t="shared" si="2"/>
        <v>3269.1200000000008</v>
      </c>
      <c r="F37" s="37">
        <f t="shared" si="3"/>
        <v>0.24659799289123843</v>
      </c>
      <c r="G37" s="72">
        <v>14317.74</v>
      </c>
      <c r="H37" s="38">
        <f t="shared" si="0"/>
        <v>2208.2600000000002</v>
      </c>
      <c r="I37" s="37">
        <f t="shared" si="1"/>
        <v>0.15423244171216968</v>
      </c>
      <c r="J37" s="60"/>
      <c r="K37" s="59"/>
    </row>
    <row r="38" spans="1:12" ht="15.6">
      <c r="A38" s="43" t="str">
        <v>Englewood -  Alice Terry Elementary</v>
      </c>
      <c r="B38" s="40" t="str">
        <v>CO</v>
      </c>
      <c r="C38" s="28">
        <v>15679</v>
      </c>
      <c r="D38" s="29">
        <v>13257.15</v>
      </c>
      <c r="E38" s="29">
        <f t="shared" si="2"/>
        <v>2421.8500000000004</v>
      </c>
      <c r="F38" s="30">
        <f t="shared" si="3"/>
        <v>0.18268255243396964</v>
      </c>
      <c r="G38" s="31">
        <v>14384.82</v>
      </c>
      <c r="H38" s="31">
        <f t="shared" si="0"/>
        <v>1294.1800000000003</v>
      </c>
      <c r="I38" s="32">
        <f t="shared" si="1"/>
        <v>8.9968452855162612E-2</v>
      </c>
      <c r="J38" s="62"/>
      <c r="K38" s="62"/>
    </row>
    <row r="39" spans="1:12" ht="28.9">
      <c r="A39" s="41" t="str">
        <v>Englewood - Sheridan Middle School</v>
      </c>
      <c r="B39" s="42" t="str">
        <v>CO</v>
      </c>
      <c r="C39" s="35">
        <v>6542</v>
      </c>
      <c r="D39" s="36">
        <v>7855.0709999999999</v>
      </c>
      <c r="E39" s="36">
        <f t="shared" si="2"/>
        <v>-1313.0709999999999</v>
      </c>
      <c r="F39" s="37">
        <f t="shared" si="3"/>
        <v>-0.16716220642690563</v>
      </c>
      <c r="G39" s="72">
        <v>8423.277</v>
      </c>
      <c r="H39" s="38">
        <f t="shared" si="0"/>
        <v>-1881.277</v>
      </c>
      <c r="I39" s="37">
        <f t="shared" si="1"/>
        <v>-0.22334264918510932</v>
      </c>
      <c r="J39" s="60" t="s">
        <v>187</v>
      </c>
      <c r="K39" s="75" t="s">
        <v>188</v>
      </c>
    </row>
    <row r="40" spans="1:12" ht="57.6">
      <c r="A40" s="43" t="str">
        <v>Goshen - NIPSCO</v>
      </c>
      <c r="B40" s="40" t="str">
        <v>IN</v>
      </c>
      <c r="C40" s="28">
        <v>49128</v>
      </c>
      <c r="D40" s="29">
        <v>54524.15</v>
      </c>
      <c r="E40" s="29">
        <f t="shared" si="2"/>
        <v>-5396.1500000000015</v>
      </c>
      <c r="F40" s="30">
        <f t="shared" si="3"/>
        <v>-9.8968071946100966E-2</v>
      </c>
      <c r="G40" s="31">
        <v>71872.850000000006</v>
      </c>
      <c r="H40" s="31">
        <f t="shared" si="0"/>
        <v>-22744.850000000006</v>
      </c>
      <c r="I40" s="32">
        <f t="shared" si="1"/>
        <v>-0.31645955322489649</v>
      </c>
      <c r="J40" s="62" t="s">
        <v>189</v>
      </c>
      <c r="K40" s="78" t="s">
        <v>190</v>
      </c>
    </row>
    <row r="41" spans="1:12" ht="26.45">
      <c r="A41" s="41" t="str">
        <v>Alamogordo - City of Alamogordo - Effluent</v>
      </c>
      <c r="B41" s="42" t="str">
        <v>NM</v>
      </c>
      <c r="C41" s="35">
        <v>26336</v>
      </c>
      <c r="D41" s="36">
        <v>31408.3</v>
      </c>
      <c r="E41" s="36">
        <f t="shared" si="2"/>
        <v>-5072.2999999999993</v>
      </c>
      <c r="F41" s="37">
        <f t="shared" si="3"/>
        <v>-0.16149552825208621</v>
      </c>
      <c r="G41" s="72">
        <v>35349.800000000003</v>
      </c>
      <c r="H41" s="38">
        <f t="shared" si="0"/>
        <v>-9013.8000000000029</v>
      </c>
      <c r="I41" s="37">
        <f t="shared" si="1"/>
        <v>-0.25498871280742752</v>
      </c>
      <c r="J41" s="60" t="s">
        <v>191</v>
      </c>
      <c r="K41" s="75" t="s">
        <v>192</v>
      </c>
      <c r="L41" s="95" t="s">
        <v>193</v>
      </c>
    </row>
    <row r="42" spans="1:12" ht="72">
      <c r="A42" s="43" t="str">
        <v>Alamogordo - City of Alamogordo - WWTP</v>
      </c>
      <c r="B42" s="40" t="str">
        <v>NM</v>
      </c>
      <c r="C42" s="28">
        <v>33510</v>
      </c>
      <c r="D42" s="29">
        <v>1.247583E-3</v>
      </c>
      <c r="E42" s="29">
        <f t="shared" si="2"/>
        <v>33509.998752416999</v>
      </c>
      <c r="F42" s="30">
        <f t="shared" si="3"/>
        <v>26859935.372970775</v>
      </c>
      <c r="G42" s="31">
        <v>149913.1</v>
      </c>
      <c r="H42" s="31">
        <f t="shared" si="0"/>
        <v>-116403.1</v>
      </c>
      <c r="I42" s="32">
        <f t="shared" si="1"/>
        <v>-0.7764705019107736</v>
      </c>
      <c r="J42" s="62" t="s">
        <v>194</v>
      </c>
      <c r="K42" s="78" t="s">
        <v>195</v>
      </c>
      <c r="L42" s="95" t="s">
        <v>196</v>
      </c>
    </row>
    <row r="43" spans="1:12" ht="15.6">
      <c r="A43" s="41" t="str">
        <v>Deming - Bilbo Booster</v>
      </c>
      <c r="B43" s="42" t="str">
        <v>NM</v>
      </c>
      <c r="C43" s="35">
        <v>13955</v>
      </c>
      <c r="D43" s="36">
        <v>0</v>
      </c>
      <c r="E43" s="36">
        <f t="shared" si="2"/>
        <v>13955</v>
      </c>
      <c r="F43" s="37" t="str">
        <f t="shared" si="3"/>
        <v/>
      </c>
      <c r="G43" s="72">
        <v>14175</v>
      </c>
      <c r="H43" s="38">
        <f t="shared" si="0"/>
        <v>-220</v>
      </c>
      <c r="I43" s="37">
        <f t="shared" si="1"/>
        <v>-1.5520282186948854E-2</v>
      </c>
      <c r="J43" s="60"/>
      <c r="K43" s="59"/>
    </row>
    <row r="44" spans="1:12" ht="43.15">
      <c r="A44" s="43" t="str">
        <v>Deming - Bilbo Well</v>
      </c>
      <c r="B44" s="40" t="str">
        <v>NM</v>
      </c>
      <c r="C44" s="28">
        <v>25230</v>
      </c>
      <c r="D44" s="29">
        <v>0</v>
      </c>
      <c r="E44" s="29">
        <f t="shared" si="2"/>
        <v>25230</v>
      </c>
      <c r="F44" s="30" t="str">
        <f t="shared" si="3"/>
        <v/>
      </c>
      <c r="G44" s="31">
        <v>25624.43</v>
      </c>
      <c r="H44" s="31">
        <f t="shared" si="0"/>
        <v>-394.43000000000029</v>
      </c>
      <c r="I44" s="32">
        <f t="shared" si="1"/>
        <v>-1.5392732638345527E-2</v>
      </c>
      <c r="J44" s="62" t="s">
        <v>197</v>
      </c>
      <c r="K44" s="78" t="s">
        <v>198</v>
      </c>
    </row>
    <row r="45" spans="1:12" ht="57.6">
      <c r="A45" s="41" t="str">
        <v>Deming - WWTP</v>
      </c>
      <c r="B45" s="42" t="str">
        <v>NM</v>
      </c>
      <c r="C45" s="35">
        <v>89500</v>
      </c>
      <c r="D45" s="36">
        <v>72718</v>
      </c>
      <c r="E45" s="36">
        <f t="shared" si="2"/>
        <v>16782</v>
      </c>
      <c r="F45" s="93">
        <f t="shared" si="3"/>
        <v>0.23078192469539865</v>
      </c>
      <c r="G45" s="72">
        <v>102941.5</v>
      </c>
      <c r="H45" s="38">
        <f t="shared" si="0"/>
        <v>-13441.5</v>
      </c>
      <c r="I45" s="37">
        <f t="shared" si="1"/>
        <v>-0.13057416105263669</v>
      </c>
      <c r="J45" s="60" t="s">
        <v>199</v>
      </c>
      <c r="K45" s="75" t="s">
        <v>200</v>
      </c>
    </row>
    <row r="46" spans="1:12" ht="109.5" customHeight="1">
      <c r="A46" s="43" t="str">
        <v>Truth or Consequences - Walmart</v>
      </c>
      <c r="B46" s="40" t="str">
        <v>NM</v>
      </c>
      <c r="C46" s="28">
        <v>185000</v>
      </c>
      <c r="D46" s="29">
        <v>375246.2</v>
      </c>
      <c r="E46" s="91">
        <f t="shared" si="2"/>
        <v>-190246.2</v>
      </c>
      <c r="F46" s="90">
        <f t="shared" si="3"/>
        <v>-0.50699034393952558</v>
      </c>
      <c r="G46" s="92">
        <v>224951.5</v>
      </c>
      <c r="H46" s="31">
        <f t="shared" si="0"/>
        <v>-39951.5</v>
      </c>
      <c r="I46" s="32">
        <f t="shared" si="1"/>
        <v>-0.17760050499774396</v>
      </c>
      <c r="J46" s="62" t="s">
        <v>201</v>
      </c>
      <c r="K46" s="78" t="s">
        <v>202</v>
      </c>
      <c r="L46" s="95" t="s">
        <v>203</v>
      </c>
    </row>
    <row r="47" spans="1:12" ht="14.45">
      <c r="A47" s="8" t="str">
        <v>CA: Stockton - SUSD - Merlo</v>
      </c>
      <c r="B47" s="13" t="str">
        <v>CA</v>
      </c>
      <c r="C47" s="8"/>
      <c r="D47" s="8"/>
      <c r="E47" s="8"/>
      <c r="F47" s="89" t="str">
        <f t="shared" si="3"/>
        <v/>
      </c>
      <c r="G47" s="8"/>
      <c r="H47" s="8"/>
      <c r="I47" s="9"/>
      <c r="J47" s="94"/>
      <c r="K47" s="94"/>
    </row>
    <row r="48" spans="1:12"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8" priority="5" stopIfTrue="1" operator="lessThanOrEqual">
      <formula>-0.1</formula>
    </cfRule>
    <cfRule type="expression" dxfId="17" priority="6">
      <formula>AND(ISNUMBER(F2), F2&gt;=0.1)</formula>
    </cfRule>
  </conditionalFormatting>
  <hyperlinks>
    <hyperlink ref="K4" r:id="rId1" display="https://us3.assetplanner.com/service_request?ID=095368" xr:uid="{DCAE6B13-345B-4B44-9C37-99AAE33CB13C}"/>
    <hyperlink ref="L4" r:id="rId2" display="https://us3.assetplanner.com/service_request?ID=097850" xr:uid="{AF379E99-5ACF-4627-8CEC-8331704C8EB1}"/>
    <hyperlink ref="M4" r:id="rId3" display="https://us3.assetplanner.com/service_request?ID=099290" xr:uid="{ABC80F1C-128B-470A-8899-F60875031240}"/>
    <hyperlink ref="N4" r:id="rId4" display="https://us3.assetplanner.com/service_request?ID=101343" xr:uid="{2603D974-4721-480F-AAFC-FB9E191CB2B6}"/>
    <hyperlink ref="K5" r:id="rId5" display="https://us3.assetplanner.com/service_request?ID=101243" xr:uid="{48A0E50E-CB87-4D09-B78B-FAF0A2A7C24F}"/>
    <hyperlink ref="L5" r:id="rId6" display="https://us3.assetplanner.com/service_request?ID=101243" xr:uid="{2A89D2A7-1656-4DCE-A190-9566085395C8}"/>
    <hyperlink ref="M5" r:id="rId7" display="https://us3.assetplanner.com/service_request?ID=101243" xr:uid="{665E4074-5831-4ED1-9BE8-49AB2153A006}"/>
    <hyperlink ref="N5" r:id="rId8" display="https://us3.assetplanner.com/service_request?ID=101243" xr:uid="{9AA680E0-9146-4083-BA65-01AFE3EF4527}"/>
    <hyperlink ref="O5" r:id="rId9" display="https://us3.assetplanner.com/service_request?ID=101245" xr:uid="{2524CAE2-6790-4C8A-8742-34F22BC4E220}"/>
    <hyperlink ref="K7" r:id="rId10" display="https://us3.assetplanner.com/service_request?ID=096262" xr:uid="{EBED6F70-AC5C-40E9-9D03-1987BED83858}"/>
    <hyperlink ref="L7" r:id="rId11" display="https://us3.assetplanner.com/service_request?ID=099066" xr:uid="{8A70A606-9A31-40D3-8563-8CD422ED456B}"/>
    <hyperlink ref="K8" r:id="rId12" display="https://us3.assetplanner.com/service_request?ID=098870" xr:uid="{F3B8B6B3-FA1D-47D8-8072-93912FA004FC}"/>
    <hyperlink ref="L8" r:id="rId13" display="https://us3.assetplanner.com/service_request?ID=099461" xr:uid="{C4CFD1D8-8939-4485-80C9-9109EC4C3F03}"/>
    <hyperlink ref="K9" r:id="rId14" display="https://us3.assetplanner.com/service_request?ID=101286" xr:uid="{F4E5BADC-5C41-4419-A871-C74AED476E8C}"/>
    <hyperlink ref="L9" r:id="rId15" display="https://us3.assetplanner.com/service_request?ID=101468" xr:uid="{8B3B8071-B41C-434B-8343-39AFD83E53C1}"/>
    <hyperlink ref="K11" r:id="rId16" display="https://us3.assetplanner.com/service_request?ID=100903" xr:uid="{20350F32-1E00-499E-923D-98AD328E31A2}"/>
    <hyperlink ref="L11" r:id="rId17" display="https://us3.assetplanner.com/service_request?ID=101277" xr:uid="{FCF67153-D4BE-42E5-9D2D-98FA762ADC0A}"/>
    <hyperlink ref="M11" r:id="rId18" display="https://us3.assetplanner.com/service_request?ID=101563" xr:uid="{DF89CF93-B819-4A18-80A5-557B1529A507}"/>
    <hyperlink ref="K12" r:id="rId19" display="https://us3.assetplanner.com/service_request?ID=100902" xr:uid="{16DC8D6A-1ADA-4F66-BD56-D9AC2F51CA0B}"/>
    <hyperlink ref="L12" r:id="rId20" display="https://us3.assetplanner.com/service_request?ID=101276" xr:uid="{A407A25B-E061-4054-A951-94B21242DC13}"/>
    <hyperlink ref="M12" r:id="rId21" display="https://us3.assetplanner.com/service_request?ID=101564" xr:uid="{9428DFF8-D143-41DC-A60E-2121AB492460}"/>
    <hyperlink ref="N12" r:id="rId22" display="https://us3.assetplanner.com/service_request?ID=101628" xr:uid="{2271C070-A310-49C2-B91A-DA9FDA53FCC0}"/>
    <hyperlink ref="O12" r:id="rId23" display="https://us3.assetplanner.com/service_request?ID=101867" xr:uid="{9CFD9937-A3C9-4514-B27D-6397103EC5CF}"/>
    <hyperlink ref="P12" r:id="rId24" display="https://us3.assetplanner.com/service_request?ID=102209" xr:uid="{DF3911C7-A352-4E1F-8926-A5DC92069B6D}"/>
    <hyperlink ref="K14" r:id="rId25" display="https://us3.assetplanner.com/service_request?ID=101470" xr:uid="{D490BA08-BB31-4F5E-80BC-E00146D39509}"/>
    <hyperlink ref="L14" r:id="rId26" display="https://us3.assetplanner.com/service_request?ID=099110" xr:uid="{2A1C21F8-237D-4771-A9E1-CBC9033BDE08}"/>
    <hyperlink ref="K15" r:id="rId27" display="https://us3.assetplanner.com/service_request?ID=101919" xr:uid="{8FE785D9-91CF-4D8C-B1FF-A82224A6191B}"/>
    <hyperlink ref="L15" r:id="rId28" display="https://us3.assetplanner.com/service_request?ID=102140" xr:uid="{AC241A7A-EB20-4E4C-8086-A2EA082B7620}"/>
    <hyperlink ref="K16" r:id="rId29" display="https://us3.assetplanner.com/service_request?ID=101596" xr:uid="{B9D0E94B-009F-450D-9E9E-3F8FEE4AB812}"/>
    <hyperlink ref="K17" r:id="rId30" display="https://us3.assetplanner.com/service_request?ID=099746" xr:uid="{8CEC4411-762B-4AA1-88D8-6FF55A21FD7A}"/>
    <hyperlink ref="L17" r:id="rId31" display="https://us3.assetplanner.com/service_request?ID=099746" xr:uid="{C302FC1A-BDF7-4AA9-B1E1-A5625FEE132B}"/>
    <hyperlink ref="M17" r:id="rId32" display="https://us3.assetplanner.com/service_request?ID=100930" xr:uid="{640C85DC-9DB9-46D7-81D5-A1458EFB1A56}"/>
    <hyperlink ref="K18" r:id="rId33" display="https://us3.assetplanner.com/service_request?ID=101068" xr:uid="{12D19595-BFBE-4471-BFEA-F497540A5EFD}"/>
    <hyperlink ref="L18" r:id="rId34" display="https://us3.assetplanner.com/service_request?ID=101068" xr:uid="{85CAF707-35C2-4B67-9B6D-3A05DF7C62E8}"/>
    <hyperlink ref="K19" r:id="rId35" display="https://us3.assetplanner.com/service_request?ID=098231" xr:uid="{68639C07-126C-4444-85FC-593BC29AA161}"/>
    <hyperlink ref="L19" r:id="rId36" display="https://us3.assetplanner.com/service_request?ID=099730" xr:uid="{46D9BCE5-5061-47C2-AEB8-F9D653416486}"/>
    <hyperlink ref="M19" r:id="rId37" display="https://us3.assetplanner.com/service_request?ID=098076" xr:uid="{732E3DE3-DAA8-4271-97EB-902FE1372F03}"/>
    <hyperlink ref="K21" r:id="rId38" display="https://us3.assetplanner.com/service_request?ID=098015" xr:uid="{DEBB15A5-9116-4075-9754-809887D51B9F}"/>
    <hyperlink ref="L21" r:id="rId39" display="https://us3.assetplanner.com/service_request?ID=098016" xr:uid="{2AF1B0B6-0D80-4986-AF0D-20C55B96B758}"/>
    <hyperlink ref="M21" r:id="rId40" display="https://us3.assetplanner.com/service_request?ID=099500" xr:uid="{42B9BBDD-FF7C-489E-9A65-627FAB398D84}"/>
    <hyperlink ref="N21" r:id="rId41" display="https://us3.assetplanner.com/service_request?ID=098016" xr:uid="{44C76CEB-A815-4214-823D-DC8A1ED4F29D}"/>
    <hyperlink ref="K25" r:id="rId42" display="https://us3.assetplanner.com/service_request?ID=101017" xr:uid="{FFA40B69-FFA6-4685-BA0B-D0EBA1CDE067}"/>
    <hyperlink ref="L25" r:id="rId43" display="https://us3.assetplanner.com/service_request?ID=101372" xr:uid="{4ADE7035-F222-4B10-B807-45E9F0EE1311}"/>
    <hyperlink ref="M25" r:id="rId44" display="https://us3.assetplanner.com/service_request?ID=102011" xr:uid="{7B530C22-6EE4-4C96-A9F3-FFC8B82D5166}"/>
    <hyperlink ref="K26" r:id="rId45" display="https://us3.assetplanner.com/service_request?ID=100843" xr:uid="{1C53C713-9B2A-4BAC-9C31-4FC282AC30B2}"/>
    <hyperlink ref="K27" r:id="rId46" display="https://us3.assetplanner.com/service_request?ID=101040" xr:uid="{773C69B9-BE07-4BB2-87D9-E2340D549453}"/>
    <hyperlink ref="K30" r:id="rId47" display="https://us3.assetplanner.com/service_request?ID=102137" xr:uid="{047F6E64-364D-4215-8362-B6B29E3359C6}"/>
    <hyperlink ref="K32" r:id="rId48" display="https://us3.assetplanner.com/service_request?ID=101917" xr:uid="{75E604CA-AA4A-41AA-BE8F-8A0DD11EC1A6}"/>
    <hyperlink ref="K33" r:id="rId49" display="https://us3.assetplanner.com/service_request?ID=100833" xr:uid="{0561FFE8-6BE2-4999-A3D5-434372D208F8}"/>
    <hyperlink ref="K34" r:id="rId50" display="https://us3.assetplanner.com/service_request?ID=100883" xr:uid="{31D34E5A-F849-40DD-8E53-A357355CE87B}"/>
    <hyperlink ref="K35" r:id="rId51" display="https://us3.assetplanner.com/service_request?ID=101936" xr:uid="{0147B273-1668-4238-A4B8-451CB8FE1556}"/>
    <hyperlink ref="L35" r:id="rId52" display="https://us3.assetplanner.com/service_request?ID=100884" xr:uid="{42E27904-21B7-4CC0-AA68-7A383605D4B6}"/>
    <hyperlink ref="K39" r:id="rId53" display="https://us3.assetplanner.com/service_request?ID=100857" xr:uid="{41316D24-1B95-4352-BD87-285FFCA1063A}"/>
    <hyperlink ref="K40" r:id="rId54" display="https://us3.assetplanner.com/service_request?ID=101963" xr:uid="{C1D3A211-56CD-48BB-8A63-99704FD45E12}"/>
    <hyperlink ref="K41" r:id="rId55" display="https://us3.assetplanner.com/service_request?ID=101818" xr:uid="{96364904-9355-4FDC-9A9A-9F9678F7CFF5}"/>
    <hyperlink ref="L41" r:id="rId56" display="https://us3.assetplanner.com/service_request?ID=101668" xr:uid="{FDD973FA-C8CC-483B-8E9F-15E1D08906ED}"/>
    <hyperlink ref="K42" r:id="rId57" display="https://us3.assetplanner.com/service_request?ID=100834" xr:uid="{1638DDC5-39AE-4690-A4E9-F9125F977AA6}"/>
    <hyperlink ref="L42" r:id="rId58" display="https://us3.assetplanner.com/service_request?ID=101034" xr:uid="{6C5DBD08-1B36-41E6-A377-CDEE8531E060}"/>
    <hyperlink ref="K44" r:id="rId59" display="https://us3.assetplanner.com/service_request?ID=100915" xr:uid="{EFC83C48-B761-463A-9EF6-B9AC451FD5B0}"/>
    <hyperlink ref="K45" r:id="rId60" display="https://us3.assetplanner.com/service_request?ID=101100" xr:uid="{7C757554-9A99-4959-91A2-5F506BE49D91}"/>
    <hyperlink ref="K46" r:id="rId61" display="https://us3.assetplanner.com/service_request?ID=100906" xr:uid="{B1E432F8-532D-4D81-A521-3799119722CE}"/>
    <hyperlink ref="L46" r:id="rId62" display="https://us3.assetplanner.com/service_request?ID=101057" xr:uid="{552A528C-03CD-495B-AC52-6309752BDD11}"/>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327"/>
  <sheetViews>
    <sheetView zoomScale="85" zoomScaleNormal="85" workbookViewId="0">
      <pane xSplit="2" ySplit="3" topLeftCell="C4" activePane="bottomRight" state="frozen"/>
      <selection pane="bottomRight" activeCell="I6" sqref="I6"/>
      <selection pane="bottomLeft" activeCell="H13" sqref="H13"/>
      <selection pane="topRight" activeCell="H13" sqref="H13"/>
    </sheetView>
  </sheetViews>
  <sheetFormatPr defaultRowHeight="13.9"/>
  <cols>
    <col min="1" max="1" width="55.42578125"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8" width="8.85546875" style="77"/>
  </cols>
  <sheetData>
    <row r="1" spans="1:15" ht="19.5" customHeight="1">
      <c r="A1" s="106" t="str" cm="1">
        <f t="array" ref="A1">portfolio</f>
        <v>Clean Capital</v>
      </c>
      <c r="B1" s="106"/>
      <c r="C1" s="106"/>
      <c r="D1" s="107" t="s">
        <v>204</v>
      </c>
      <c r="E1" s="107"/>
      <c r="F1" s="107"/>
      <c r="G1" s="105" t="s">
        <v>205</v>
      </c>
      <c r="H1" s="105"/>
      <c r="I1" s="105"/>
      <c r="J1" s="4"/>
      <c r="K1" s="4"/>
    </row>
    <row r="2" spans="1:15" ht="19.5" customHeight="1">
      <c r="A2" s="108" t="s">
        <v>2</v>
      </c>
      <c r="B2" s="108"/>
      <c r="C2" s="5">
        <f>SUM(C4:C85)</f>
        <v>3527879.3081983938</v>
      </c>
      <c r="D2" s="5">
        <f>SUM(D4:D85)</f>
        <v>2547933.5273502115</v>
      </c>
      <c r="E2" s="5">
        <f>C2-D2</f>
        <v>979945.78084818227</v>
      </c>
      <c r="F2" s="6">
        <f>IFERROR(E2/D2, 0)</f>
        <v>0.38460413913046698</v>
      </c>
      <c r="G2" s="5">
        <f>SUM(G4:G85)</f>
        <v>4815603.813000001</v>
      </c>
      <c r="H2" s="7">
        <f>C2-G2</f>
        <v>-1287724.5048016072</v>
      </c>
      <c r="I2" s="6">
        <f>IFERROR(H2/G2, 0)</f>
        <v>-0.26740665445220396</v>
      </c>
      <c r="J2" s="11"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5" ht="14.25" customHeight="1">
      <c r="A3" s="12" t="s">
        <v>3</v>
      </c>
      <c r="B3" s="12" t="s">
        <v>4</v>
      </c>
      <c r="C3" s="19" t="s">
        <v>5</v>
      </c>
      <c r="D3" s="20" t="s">
        <v>6</v>
      </c>
      <c r="E3" s="20" t="s">
        <v>7</v>
      </c>
      <c r="F3" s="21" t="s">
        <v>8</v>
      </c>
      <c r="G3" s="22" t="s">
        <v>9</v>
      </c>
      <c r="H3" s="23" t="s">
        <v>7</v>
      </c>
      <c r="I3" s="24" t="s">
        <v>8</v>
      </c>
      <c r="J3" s="10" t="s">
        <v>42</v>
      </c>
      <c r="K3" s="10" t="s">
        <v>21</v>
      </c>
    </row>
    <row r="4" spans="1:15" ht="43.15">
      <c r="A4" s="39" t="str" cm="1">
        <f t="array" ref="A4:A85">Sites[Site]</f>
        <v>Lexington - Cotting School</v>
      </c>
      <c r="B4" s="40" t="str" cm="1">
        <f t="array" ref="B4:B85">Sites[State]</f>
        <v>MA</v>
      </c>
      <c r="C4" s="28">
        <v>41561.199999999997</v>
      </c>
      <c r="D4" s="97" t="s">
        <v>43</v>
      </c>
      <c r="E4" s="29" t="str">
        <f>IF(AND(ISNUMBER(C4),ISNUMBER(D4)), C4-D4, "")</f>
        <v/>
      </c>
      <c r="F4" s="30" t="str">
        <f>IFERROR(E4/D4, "")</f>
        <v/>
      </c>
      <c r="G4" s="84" t="s">
        <v>43</v>
      </c>
      <c r="H4" s="31" t="str">
        <f>IF(AND(ISNUMBER(C4),ISNUMBER(G4)), C4-G4, "")</f>
        <v/>
      </c>
      <c r="I4" s="32" t="str">
        <f>IFERROR(H4/G4, "")</f>
        <v/>
      </c>
      <c r="J4" s="57" t="s">
        <v>206</v>
      </c>
      <c r="K4" s="78" t="s">
        <v>207</v>
      </c>
    </row>
    <row r="5" spans="1:15" ht="209.25" customHeight="1">
      <c r="A5" s="41" t="str">
        <v>Pacoima - Whiteman Airport</v>
      </c>
      <c r="B5" s="42" t="str">
        <v>CA</v>
      </c>
      <c r="C5" s="35">
        <v>34810</v>
      </c>
      <c r="D5" s="98" t="s">
        <v>43</v>
      </c>
      <c r="E5" s="36" t="str">
        <f t="shared" ref="E5:E12" si="0">IF(AND(ISNUMBER(C5),ISNUMBER(D5)), C5-D5, "")</f>
        <v/>
      </c>
      <c r="F5" s="37" t="str">
        <f>IFERROR(E5/D5, "")</f>
        <v/>
      </c>
      <c r="G5" s="58">
        <v>62920</v>
      </c>
      <c r="H5" s="38">
        <f t="shared" ref="H5:H12" si="1">IF(AND(ISNUMBER(C5),ISNUMBER(G5)), C5-G5, "")</f>
        <v>-28110</v>
      </c>
      <c r="I5" s="37">
        <f t="shared" ref="I5:I68" si="2">IFERROR(H5/G5, "")</f>
        <v>-0.44675778766687857</v>
      </c>
      <c r="J5" s="99" t="s">
        <v>208</v>
      </c>
      <c r="K5" s="75" t="s">
        <v>134</v>
      </c>
      <c r="L5" s="76" t="s">
        <v>135</v>
      </c>
      <c r="M5" s="76" t="s">
        <v>135</v>
      </c>
      <c r="N5" s="76" t="s">
        <v>135</v>
      </c>
      <c r="O5" s="76" t="s">
        <v>136</v>
      </c>
    </row>
    <row r="6" spans="1:15" ht="15.6">
      <c r="A6" s="43" t="str">
        <v>Hyannis - Sturgis Charter School</v>
      </c>
      <c r="B6" s="40" t="str">
        <v>MA</v>
      </c>
      <c r="C6" s="28">
        <v>37285.945679999997</v>
      </c>
      <c r="D6" s="29" t="s">
        <v>43</v>
      </c>
      <c r="E6" s="29" t="str">
        <f t="shared" si="0"/>
        <v/>
      </c>
      <c r="F6" s="30" t="str">
        <f t="shared" ref="F6:F8" si="3">IFERROR(E6/D6, "")</f>
        <v/>
      </c>
      <c r="G6" s="31">
        <v>37520</v>
      </c>
      <c r="H6" s="31">
        <f t="shared" si="1"/>
        <v>-234.05432000000292</v>
      </c>
      <c r="I6" s="32">
        <f t="shared" si="2"/>
        <v>-6.2381215351813143E-3</v>
      </c>
      <c r="J6" s="57"/>
      <c r="K6" s="57"/>
    </row>
    <row r="7" spans="1:15" ht="57.6">
      <c r="A7" s="41" t="str">
        <v>South Dennis - Tony Kent Arena</v>
      </c>
      <c r="B7" s="42" t="str">
        <v>MA</v>
      </c>
      <c r="C7" s="35">
        <v>44360.88</v>
      </c>
      <c r="D7" s="96" t="s">
        <v>43</v>
      </c>
      <c r="E7" s="36" t="str">
        <f t="shared" si="0"/>
        <v/>
      </c>
      <c r="F7" s="37" t="str">
        <f t="shared" si="3"/>
        <v/>
      </c>
      <c r="G7" s="83" t="s">
        <v>43</v>
      </c>
      <c r="H7" s="38" t="str">
        <f t="shared" si="1"/>
        <v/>
      </c>
      <c r="I7" s="37" t="str">
        <f t="shared" si="2"/>
        <v/>
      </c>
      <c r="J7" s="100" t="s">
        <v>91</v>
      </c>
      <c r="K7" s="75" t="s">
        <v>137</v>
      </c>
      <c r="L7" s="76" t="s">
        <v>53</v>
      </c>
    </row>
    <row r="8" spans="1:15" ht="86.45">
      <c r="A8" s="43" t="str">
        <v xml:space="preserve"> Caropolis - Felician Sisters</v>
      </c>
      <c r="B8" s="40" t="str">
        <v>PA</v>
      </c>
      <c r="C8" s="28">
        <v>63673.2</v>
      </c>
      <c r="D8" s="29" t="s">
        <v>43</v>
      </c>
      <c r="E8" s="29" t="str">
        <f t="shared" si="0"/>
        <v/>
      </c>
      <c r="F8" s="30" t="str">
        <f t="shared" si="3"/>
        <v/>
      </c>
      <c r="G8" s="84" t="s">
        <v>43</v>
      </c>
      <c r="H8" s="31" t="str">
        <f t="shared" si="1"/>
        <v/>
      </c>
      <c r="I8" s="32" t="str">
        <f t="shared" si="2"/>
        <v/>
      </c>
      <c r="J8" s="57" t="s">
        <v>209</v>
      </c>
      <c r="K8" s="78" t="s">
        <v>210</v>
      </c>
      <c r="L8" s="76" t="s">
        <v>95</v>
      </c>
    </row>
    <row r="9" spans="1:15" ht="57" customHeight="1">
      <c r="A9" s="41" t="str">
        <v>Clear Lake - Eastlake Gohman</v>
      </c>
      <c r="B9" s="42" t="str">
        <v>MN</v>
      </c>
      <c r="C9" s="35">
        <v>161402</v>
      </c>
      <c r="D9" s="96" t="s">
        <v>43</v>
      </c>
      <c r="E9" s="36" t="str">
        <f t="shared" si="0"/>
        <v/>
      </c>
      <c r="F9" s="37" t="str">
        <f t="shared" ref="F9:F40" si="4">IFERROR(E9/D9, "")</f>
        <v/>
      </c>
      <c r="G9" s="38">
        <v>194604.2</v>
      </c>
      <c r="H9" s="38">
        <f t="shared" si="1"/>
        <v>-33202.200000000012</v>
      </c>
      <c r="I9" s="37">
        <f t="shared" si="2"/>
        <v>-0.17061399497030388</v>
      </c>
      <c r="J9" s="100" t="s">
        <v>211</v>
      </c>
      <c r="K9" s="88" t="s">
        <v>212</v>
      </c>
    </row>
    <row r="10" spans="1:15" ht="15.6">
      <c r="A10" s="43" t="str">
        <v>Zumbrota - Eastlake Brenda Luhman</v>
      </c>
      <c r="B10" s="40" t="str">
        <v>MN</v>
      </c>
      <c r="C10" s="28">
        <v>175506</v>
      </c>
      <c r="D10" s="29" t="s">
        <v>43</v>
      </c>
      <c r="E10" s="29" t="str">
        <f t="shared" si="0"/>
        <v/>
      </c>
      <c r="F10" s="30" t="str">
        <f t="shared" si="4"/>
        <v/>
      </c>
      <c r="G10" s="31">
        <v>196103</v>
      </c>
      <c r="H10" s="31">
        <f t="shared" si="1"/>
        <v>-20597</v>
      </c>
      <c r="I10" s="32">
        <f t="shared" si="2"/>
        <v>-0.10503153954809462</v>
      </c>
      <c r="J10" s="57" t="s">
        <v>213</v>
      </c>
      <c r="K10" s="57"/>
    </row>
    <row r="11" spans="1:15" ht="86.45">
      <c r="A11" s="41" t="str">
        <v>Cokato - Eastlake Carlson</v>
      </c>
      <c r="B11" s="42" t="str">
        <v>MN</v>
      </c>
      <c r="C11" s="35">
        <v>158746</v>
      </c>
      <c r="D11" s="96" t="s">
        <v>43</v>
      </c>
      <c r="E11" s="36" t="str">
        <f t="shared" si="0"/>
        <v/>
      </c>
      <c r="F11" s="37" t="str">
        <f t="shared" si="4"/>
        <v/>
      </c>
      <c r="G11" s="38">
        <v>211689.7</v>
      </c>
      <c r="H11" s="38">
        <f t="shared" si="1"/>
        <v>-52943.700000000012</v>
      </c>
      <c r="I11" s="37">
        <f t="shared" si="2"/>
        <v>-0.25010050087462926</v>
      </c>
      <c r="J11" s="100" t="s">
        <v>214</v>
      </c>
      <c r="K11" s="75" t="s">
        <v>215</v>
      </c>
      <c r="L11" s="76" t="s">
        <v>216</v>
      </c>
    </row>
    <row r="12" spans="1:15" ht="100.9">
      <c r="A12" s="43" t="str">
        <v>North Branch - Cornille 2</v>
      </c>
      <c r="B12" s="40" t="str">
        <v>MN</v>
      </c>
      <c r="C12" s="28">
        <v>157249</v>
      </c>
      <c r="D12" s="29" t="s">
        <v>43</v>
      </c>
      <c r="E12" s="29" t="str">
        <f t="shared" si="0"/>
        <v/>
      </c>
      <c r="F12" s="30" t="str">
        <f t="shared" si="4"/>
        <v/>
      </c>
      <c r="G12" s="31">
        <v>207595.1</v>
      </c>
      <c r="H12" s="31">
        <f t="shared" si="1"/>
        <v>-50346.100000000006</v>
      </c>
      <c r="I12" s="32">
        <f t="shared" si="2"/>
        <v>-0.24252065679777607</v>
      </c>
      <c r="J12" s="57" t="s">
        <v>217</v>
      </c>
      <c r="K12" s="78" t="s">
        <v>218</v>
      </c>
      <c r="L12" s="76" t="s">
        <v>152</v>
      </c>
      <c r="M12" s="76" t="s">
        <v>219</v>
      </c>
    </row>
    <row r="13" spans="1:15" ht="80.25" customHeight="1">
      <c r="A13" s="41" t="str">
        <v>Clear Lake - Eastlake Hammer</v>
      </c>
      <c r="B13" s="42" t="str">
        <v>MN</v>
      </c>
      <c r="C13" s="35">
        <v>183906.00000000099</v>
      </c>
      <c r="D13" s="96" t="s">
        <v>43</v>
      </c>
      <c r="E13" s="36" t="str">
        <f t="shared" ref="E13:E44" si="5">IF(AND(ISNUMBER(C13),ISNUMBER(D13)), C13-D13, "")</f>
        <v/>
      </c>
      <c r="F13" s="37" t="str">
        <f t="shared" si="4"/>
        <v/>
      </c>
      <c r="G13" s="38">
        <v>258377.7</v>
      </c>
      <c r="H13" s="38">
        <f t="shared" ref="H13:H44" si="6">IF(AND(ISNUMBER(C13),ISNUMBER(G13)), C13-G13, "")</f>
        <v>-74471.699999999022</v>
      </c>
      <c r="I13" s="37">
        <f t="shared" si="2"/>
        <v>-0.288228047544347</v>
      </c>
      <c r="J13" s="99" t="s">
        <v>220</v>
      </c>
      <c r="K13" s="88" t="s">
        <v>221</v>
      </c>
      <c r="L13" s="76" t="s">
        <v>222</v>
      </c>
      <c r="M13" s="76" t="s">
        <v>223</v>
      </c>
    </row>
    <row r="14" spans="1:15" ht="160.5" customHeight="1">
      <c r="A14" s="43" t="str">
        <v>Eastlake - Hertzberg CSG 1</v>
      </c>
      <c r="B14" s="40" t="str">
        <v>MN</v>
      </c>
      <c r="C14" s="28">
        <v>188383</v>
      </c>
      <c r="D14" s="29" t="s">
        <v>43</v>
      </c>
      <c r="E14" s="29" t="str">
        <f t="shared" si="5"/>
        <v/>
      </c>
      <c r="F14" s="30" t="str">
        <f t="shared" si="4"/>
        <v/>
      </c>
      <c r="G14" s="31">
        <v>255160.50599999999</v>
      </c>
      <c r="H14" s="31">
        <f t="shared" si="6"/>
        <v>-66777.505999999994</v>
      </c>
      <c r="I14" s="32">
        <f t="shared" si="2"/>
        <v>-0.26170784439500994</v>
      </c>
      <c r="J14" s="57" t="s">
        <v>224</v>
      </c>
      <c r="K14" s="78" t="s">
        <v>225</v>
      </c>
      <c r="L14" s="76" t="s">
        <v>226</v>
      </c>
      <c r="M14" s="76" t="s">
        <v>227</v>
      </c>
      <c r="N14" s="76" t="s">
        <v>228</v>
      </c>
      <c r="O14" s="76" t="s">
        <v>112</v>
      </c>
    </row>
    <row r="15" spans="1:15" ht="48.75" customHeight="1">
      <c r="A15" s="41" t="str">
        <v>Cokato - Eastlake Laurel Village</v>
      </c>
      <c r="B15" s="42" t="str">
        <v>MN</v>
      </c>
      <c r="C15" s="35">
        <v>204106.19500000001</v>
      </c>
      <c r="D15" s="96" t="s">
        <v>43</v>
      </c>
      <c r="E15" s="36" t="str">
        <f t="shared" si="5"/>
        <v/>
      </c>
      <c r="F15" s="37" t="str">
        <f t="shared" si="4"/>
        <v/>
      </c>
      <c r="G15" s="38">
        <v>276345</v>
      </c>
      <c r="H15" s="38">
        <f t="shared" si="6"/>
        <v>-72238.804999999993</v>
      </c>
      <c r="I15" s="37">
        <f t="shared" si="2"/>
        <v>-0.26140804067379542</v>
      </c>
      <c r="J15" s="99" t="s">
        <v>229</v>
      </c>
      <c r="K15" s="75" t="s">
        <v>230</v>
      </c>
    </row>
    <row r="16" spans="1:15" ht="48.75" customHeight="1">
      <c r="A16" s="43" t="str">
        <v>St. Peter - Eastlake Paulson</v>
      </c>
      <c r="B16" s="40" t="str">
        <v>MN</v>
      </c>
      <c r="C16" s="28">
        <v>172142.707001328</v>
      </c>
      <c r="D16" s="29" t="s">
        <v>43</v>
      </c>
      <c r="E16" s="29" t="str">
        <f t="shared" si="5"/>
        <v/>
      </c>
      <c r="F16" s="30" t="str">
        <f t="shared" si="4"/>
        <v/>
      </c>
      <c r="G16" s="31">
        <v>213267.1</v>
      </c>
      <c r="H16" s="31">
        <f t="shared" si="6"/>
        <v>-41124.392998672003</v>
      </c>
      <c r="I16" s="32">
        <f t="shared" si="2"/>
        <v>-0.19283046001315721</v>
      </c>
      <c r="J16" s="57" t="s">
        <v>231</v>
      </c>
      <c r="K16" s="78" t="s">
        <v>232</v>
      </c>
      <c r="L16" s="76" t="s">
        <v>233</v>
      </c>
    </row>
    <row r="17" spans="1:14" ht="43.15">
      <c r="A17" s="41" t="str">
        <v>Felician Sisters Convent</v>
      </c>
      <c r="B17" s="42" t="str">
        <v>NJ</v>
      </c>
      <c r="C17" s="35">
        <v>13468.4</v>
      </c>
      <c r="D17" s="96" t="s">
        <v>43</v>
      </c>
      <c r="E17" s="36" t="str">
        <f t="shared" si="5"/>
        <v/>
      </c>
      <c r="F17" s="37" t="str">
        <f t="shared" si="4"/>
        <v/>
      </c>
      <c r="G17" s="83" t="s">
        <v>43</v>
      </c>
      <c r="H17" s="38" t="str">
        <f t="shared" si="6"/>
        <v/>
      </c>
      <c r="I17" s="37" t="str">
        <f t="shared" si="2"/>
        <v/>
      </c>
      <c r="J17" s="99" t="s">
        <v>234</v>
      </c>
      <c r="K17" s="75" t="s">
        <v>235</v>
      </c>
    </row>
    <row r="18" spans="1:14" ht="86.45">
      <c r="A18" s="43" t="str">
        <v>Sussex County Fairgrounds</v>
      </c>
      <c r="B18" s="40" t="str">
        <v>NJ</v>
      </c>
      <c r="C18" s="28">
        <v>52922.52</v>
      </c>
      <c r="D18" s="29" t="s">
        <v>43</v>
      </c>
      <c r="E18" s="29" t="str">
        <f t="shared" si="5"/>
        <v/>
      </c>
      <c r="F18" s="30" t="str">
        <f t="shared" si="4"/>
        <v/>
      </c>
      <c r="G18" s="84" t="s">
        <v>43</v>
      </c>
      <c r="H18" s="31" t="str">
        <f t="shared" si="6"/>
        <v/>
      </c>
      <c r="I18" s="32" t="str">
        <f t="shared" si="2"/>
        <v/>
      </c>
      <c r="J18" s="57" t="s">
        <v>236</v>
      </c>
      <c r="K18" s="78" t="s">
        <v>237</v>
      </c>
      <c r="L18" s="76" t="s">
        <v>238</v>
      </c>
      <c r="M18" s="76" t="s">
        <v>121</v>
      </c>
    </row>
    <row r="19" spans="1:14" ht="60" customHeight="1">
      <c r="A19" s="41" t="str">
        <v>Gateway Church</v>
      </c>
      <c r="B19" s="42" t="str">
        <v>NJ</v>
      </c>
      <c r="C19" s="35">
        <v>29163</v>
      </c>
      <c r="D19" s="96" t="s">
        <v>43</v>
      </c>
      <c r="E19" s="36" t="str">
        <f t="shared" si="5"/>
        <v/>
      </c>
      <c r="F19" s="37" t="str">
        <f t="shared" si="4"/>
        <v/>
      </c>
      <c r="G19" s="83" t="s">
        <v>43</v>
      </c>
      <c r="H19" s="38" t="str">
        <f t="shared" si="6"/>
        <v/>
      </c>
      <c r="I19" s="37" t="str">
        <f t="shared" si="2"/>
        <v/>
      </c>
      <c r="J19" s="99" t="s">
        <v>239</v>
      </c>
      <c r="K19" s="75" t="s">
        <v>240</v>
      </c>
    </row>
    <row r="20" spans="1:14" ht="58.9" customHeight="1">
      <c r="A20" s="43" t="str">
        <v>Beaver Falls - Felician Sisters</v>
      </c>
      <c r="B20" s="40" t="str">
        <v>PA</v>
      </c>
      <c r="C20" s="28">
        <v>44457</v>
      </c>
      <c r="D20" s="29" t="s">
        <v>43</v>
      </c>
      <c r="E20" s="29" t="str">
        <f t="shared" si="5"/>
        <v/>
      </c>
      <c r="F20" s="30" t="str">
        <f t="shared" si="4"/>
        <v/>
      </c>
      <c r="G20" s="84" t="s">
        <v>43</v>
      </c>
      <c r="H20" s="31" t="str">
        <f t="shared" si="6"/>
        <v/>
      </c>
      <c r="I20" s="32" t="str">
        <f t="shared" si="2"/>
        <v/>
      </c>
      <c r="J20" s="57" t="s">
        <v>241</v>
      </c>
      <c r="K20" s="78" t="s">
        <v>242</v>
      </c>
    </row>
    <row r="21" spans="1:14" ht="84.75" customHeight="1">
      <c r="A21" s="41" t="str">
        <v>Livonia - Felician Sisters Ground</v>
      </c>
      <c r="B21" s="42" t="str">
        <v>MI</v>
      </c>
      <c r="C21" s="35">
        <v>0</v>
      </c>
      <c r="D21" s="96" t="s">
        <v>43</v>
      </c>
      <c r="E21" s="36" t="str">
        <f t="shared" si="5"/>
        <v/>
      </c>
      <c r="F21" s="37" t="str">
        <f t="shared" si="4"/>
        <v/>
      </c>
      <c r="G21" s="83" t="s">
        <v>43</v>
      </c>
      <c r="H21" s="38" t="str">
        <f t="shared" si="6"/>
        <v/>
      </c>
      <c r="I21" s="37" t="str">
        <f t="shared" si="2"/>
        <v/>
      </c>
      <c r="J21" s="99" t="s">
        <v>243</v>
      </c>
      <c r="K21" s="75" t="s">
        <v>244</v>
      </c>
      <c r="L21" s="76" t="s">
        <v>127</v>
      </c>
      <c r="M21" s="76" t="s">
        <v>80</v>
      </c>
    </row>
    <row r="22" spans="1:14" ht="15.6">
      <c r="A22" s="43" t="str">
        <v>Livonia - Felician Sisters Roof</v>
      </c>
      <c r="B22" s="40" t="str">
        <v>MI</v>
      </c>
      <c r="C22" s="28">
        <v>17856</v>
      </c>
      <c r="D22" s="29" t="s">
        <v>43</v>
      </c>
      <c r="E22" s="29" t="str">
        <f t="shared" si="5"/>
        <v/>
      </c>
      <c r="F22" s="30" t="str">
        <f t="shared" si="4"/>
        <v/>
      </c>
      <c r="G22" s="84" t="s">
        <v>43</v>
      </c>
      <c r="H22" s="31" t="str">
        <f t="shared" si="6"/>
        <v/>
      </c>
      <c r="I22" s="32" t="str">
        <f t="shared" si="2"/>
        <v/>
      </c>
      <c r="J22" s="57" t="s">
        <v>245</v>
      </c>
      <c r="K22" s="78" t="s">
        <v>246</v>
      </c>
    </row>
    <row r="23" spans="1:14" ht="15.6">
      <c r="A23" s="41" t="str">
        <v>Monmouth Worship Ctr</v>
      </c>
      <c r="B23" s="42" t="str">
        <v>NJ</v>
      </c>
      <c r="C23" s="35">
        <v>11746.2</v>
      </c>
      <c r="D23" s="96" t="s">
        <v>43</v>
      </c>
      <c r="E23" s="36" t="str">
        <f t="shared" si="5"/>
        <v/>
      </c>
      <c r="F23" s="37" t="str">
        <f t="shared" si="4"/>
        <v/>
      </c>
      <c r="G23" s="83" t="s">
        <v>43</v>
      </c>
      <c r="H23" s="38" t="str">
        <f t="shared" si="6"/>
        <v/>
      </c>
      <c r="I23" s="37" t="str">
        <f t="shared" si="2"/>
        <v/>
      </c>
      <c r="J23" s="100"/>
      <c r="K23" s="100"/>
    </row>
    <row r="24" spans="1:14" ht="15.6">
      <c r="A24" s="43" t="str">
        <v xml:space="preserve"> Audubon - Senior Citizens United</v>
      </c>
      <c r="B24" s="40" t="str">
        <v>NJ</v>
      </c>
      <c r="C24" s="28">
        <v>9698.7000000000007</v>
      </c>
      <c r="D24" s="29" t="s">
        <v>43</v>
      </c>
      <c r="E24" s="29" t="str">
        <f t="shared" si="5"/>
        <v/>
      </c>
      <c r="F24" s="30" t="str">
        <f t="shared" si="4"/>
        <v/>
      </c>
      <c r="G24" s="84" t="s">
        <v>43</v>
      </c>
      <c r="H24" s="31" t="str">
        <f t="shared" si="6"/>
        <v/>
      </c>
      <c r="I24" s="32" t="str">
        <f t="shared" si="2"/>
        <v/>
      </c>
      <c r="J24" s="57" t="s">
        <v>247</v>
      </c>
      <c r="K24" s="78" t="s">
        <v>248</v>
      </c>
    </row>
    <row r="25" spans="1:14" ht="129.6">
      <c r="A25" s="41" t="str">
        <v>Hollister - PG&amp;E (Enerparc)</v>
      </c>
      <c r="B25" s="42" t="str">
        <v>CA</v>
      </c>
      <c r="C25" s="35">
        <v>0</v>
      </c>
      <c r="D25" s="36">
        <v>0</v>
      </c>
      <c r="E25" s="36">
        <f t="shared" si="5"/>
        <v>0</v>
      </c>
      <c r="F25" s="37" t="str">
        <f t="shared" si="4"/>
        <v/>
      </c>
      <c r="G25" s="38">
        <v>380851.9</v>
      </c>
      <c r="H25" s="38">
        <f t="shared" si="6"/>
        <v>-380851.9</v>
      </c>
      <c r="I25" s="37">
        <f t="shared" si="2"/>
        <v>-1</v>
      </c>
      <c r="J25" s="99" t="s">
        <v>249</v>
      </c>
      <c r="K25" s="75" t="s">
        <v>250</v>
      </c>
      <c r="L25" s="76" t="s">
        <v>251</v>
      </c>
      <c r="M25" s="76" t="s">
        <v>252</v>
      </c>
      <c r="N25" s="76" t="s">
        <v>171</v>
      </c>
    </row>
    <row r="26" spans="1:14" ht="15.6">
      <c r="A26" s="43" t="str">
        <v>Taos County - Kit Carson Electric Co-Op</v>
      </c>
      <c r="B26" s="40" t="str">
        <v>NM</v>
      </c>
      <c r="C26" s="28">
        <v>223650</v>
      </c>
      <c r="D26" s="29">
        <v>245538.7</v>
      </c>
      <c r="E26" s="29">
        <f t="shared" si="5"/>
        <v>-21888.700000000012</v>
      </c>
      <c r="F26" s="30">
        <f t="shared" si="4"/>
        <v>-8.9145621443788736E-2</v>
      </c>
      <c r="G26" s="31">
        <v>226498.4</v>
      </c>
      <c r="H26" s="31">
        <f t="shared" si="6"/>
        <v>-2848.3999999999942</v>
      </c>
      <c r="I26" s="32">
        <f t="shared" si="2"/>
        <v>-1.2575806275011189E-2</v>
      </c>
      <c r="J26" s="57"/>
      <c r="K26" s="57"/>
    </row>
    <row r="27" spans="1:14" ht="15.6">
      <c r="A27" s="41" t="str">
        <v>Commerce City - Adams City HS</v>
      </c>
      <c r="B27" s="42" t="str">
        <v>CO</v>
      </c>
      <c r="C27" s="35">
        <v>16571</v>
      </c>
      <c r="D27" s="36">
        <v>13824.62</v>
      </c>
      <c r="E27" s="36">
        <f t="shared" si="5"/>
        <v>2746.3799999999992</v>
      </c>
      <c r="F27" s="37">
        <f t="shared" si="4"/>
        <v>0.19865862497486361</v>
      </c>
      <c r="G27" s="38">
        <v>15719.6</v>
      </c>
      <c r="H27" s="38">
        <f t="shared" si="6"/>
        <v>851.39999999999964</v>
      </c>
      <c r="I27" s="37">
        <f t="shared" si="2"/>
        <v>5.4161683503397007E-2</v>
      </c>
      <c r="J27" s="100"/>
      <c r="K27" s="100"/>
    </row>
    <row r="28" spans="1:14" ht="15.6">
      <c r="A28" s="43" t="str">
        <v>Commerce City - Adams City MS</v>
      </c>
      <c r="B28" s="40" t="str">
        <v>CO</v>
      </c>
      <c r="C28" s="28">
        <v>13731</v>
      </c>
      <c r="D28" s="29">
        <v>12560.58</v>
      </c>
      <c r="E28" s="29">
        <f t="shared" si="5"/>
        <v>1170.42</v>
      </c>
      <c r="F28" s="30">
        <f t="shared" si="4"/>
        <v>9.3182002741911601E-2</v>
      </c>
      <c r="G28" s="31">
        <v>13823.29</v>
      </c>
      <c r="H28" s="31">
        <f t="shared" si="6"/>
        <v>-92.290000000000873</v>
      </c>
      <c r="I28" s="32">
        <f t="shared" si="2"/>
        <v>-6.6764135021402911E-3</v>
      </c>
      <c r="J28" s="57"/>
      <c r="K28" s="57"/>
    </row>
    <row r="29" spans="1:14" ht="15.6">
      <c r="A29" s="41" t="str">
        <v>Commerce City - Central ES</v>
      </c>
      <c r="B29" s="42" t="str">
        <v>CO</v>
      </c>
      <c r="C29" s="35">
        <v>3601</v>
      </c>
      <c r="D29" s="36">
        <v>3595.8879999999999</v>
      </c>
      <c r="E29" s="36">
        <f t="shared" si="5"/>
        <v>5.11200000000008</v>
      </c>
      <c r="F29" s="37">
        <f t="shared" si="4"/>
        <v>1.421623810307796E-3</v>
      </c>
      <c r="G29" s="38">
        <v>4056.8820000000001</v>
      </c>
      <c r="H29" s="38">
        <f t="shared" si="6"/>
        <v>-455.88200000000006</v>
      </c>
      <c r="I29" s="37">
        <f t="shared" si="2"/>
        <v>-0.11237250676751261</v>
      </c>
      <c r="J29" s="100" t="s">
        <v>253</v>
      </c>
      <c r="K29" s="100"/>
    </row>
    <row r="30" spans="1:14" ht="57.6">
      <c r="A30" s="43" t="str">
        <v>Commerce City - Dupont ES</v>
      </c>
      <c r="B30" s="40" t="str">
        <v>CO</v>
      </c>
      <c r="C30" s="28">
        <v>6581</v>
      </c>
      <c r="D30" s="29">
        <v>10176.84</v>
      </c>
      <c r="E30" s="29">
        <f t="shared" si="5"/>
        <v>-3595.84</v>
      </c>
      <c r="F30" s="30">
        <f t="shared" si="4"/>
        <v>-0.35333561301936556</v>
      </c>
      <c r="G30" s="31">
        <v>11635.48</v>
      </c>
      <c r="H30" s="31">
        <f t="shared" si="6"/>
        <v>-5054.4799999999996</v>
      </c>
      <c r="I30" s="32">
        <f t="shared" si="2"/>
        <v>-0.43440236242939695</v>
      </c>
      <c r="J30" s="57" t="s">
        <v>254</v>
      </c>
      <c r="K30" s="78" t="s">
        <v>255</v>
      </c>
      <c r="L30" s="76" t="s">
        <v>256</v>
      </c>
      <c r="M30" s="76" t="s">
        <v>257</v>
      </c>
    </row>
    <row r="31" spans="1:14" ht="15.6">
      <c r="A31" s="41" t="str">
        <v>Commerce City - Educational Support Services</v>
      </c>
      <c r="B31" s="42" t="str">
        <v>CO</v>
      </c>
      <c r="C31" s="35">
        <v>11571</v>
      </c>
      <c r="D31" s="36">
        <v>10568.61</v>
      </c>
      <c r="E31" s="36">
        <f t="shared" si="5"/>
        <v>1002.3899999999994</v>
      </c>
      <c r="F31" s="37">
        <f t="shared" si="4"/>
        <v>9.4845963660310992E-2</v>
      </c>
      <c r="G31" s="38">
        <v>11983.85</v>
      </c>
      <c r="H31" s="38">
        <f t="shared" si="6"/>
        <v>-412.85000000000036</v>
      </c>
      <c r="I31" s="37">
        <f t="shared" si="2"/>
        <v>-3.4450531340095243E-2</v>
      </c>
      <c r="J31" s="100"/>
      <c r="K31" s="100"/>
    </row>
    <row r="32" spans="1:14" ht="15.6">
      <c r="A32" s="43" t="str">
        <v>Commerce City - Hanson ES</v>
      </c>
      <c r="B32" s="40" t="str">
        <v>CO</v>
      </c>
      <c r="C32" s="28">
        <v>14653</v>
      </c>
      <c r="D32" s="29">
        <v>13781.65</v>
      </c>
      <c r="E32" s="29">
        <f t="shared" si="5"/>
        <v>871.35000000000036</v>
      </c>
      <c r="F32" s="30">
        <f t="shared" si="4"/>
        <v>6.3225375771406203E-2</v>
      </c>
      <c r="G32" s="31">
        <v>15662.34</v>
      </c>
      <c r="H32" s="31">
        <f t="shared" si="6"/>
        <v>-1009.3400000000001</v>
      </c>
      <c r="I32" s="32">
        <f t="shared" si="2"/>
        <v>-6.4443754892308566E-2</v>
      </c>
      <c r="J32" s="57"/>
      <c r="K32" s="57"/>
    </row>
    <row r="33" spans="1:13" ht="69" customHeight="1">
      <c r="A33" s="41" t="str">
        <v>Commerce City - Kemp ES</v>
      </c>
      <c r="B33" s="42" t="str">
        <v>CO</v>
      </c>
      <c r="C33" s="35">
        <v>18786.861130000001</v>
      </c>
      <c r="D33" s="36">
        <v>13774.61</v>
      </c>
      <c r="E33" s="36">
        <f t="shared" si="5"/>
        <v>5012.2511300000006</v>
      </c>
      <c r="F33" s="37">
        <f t="shared" si="4"/>
        <v>0.36387608288002349</v>
      </c>
      <c r="G33" s="38">
        <v>15654.61</v>
      </c>
      <c r="H33" s="38">
        <f t="shared" si="6"/>
        <v>3132.2511300000006</v>
      </c>
      <c r="I33" s="37">
        <f t="shared" si="2"/>
        <v>0.20008490342461424</v>
      </c>
      <c r="J33" s="99" t="s">
        <v>258</v>
      </c>
      <c r="K33" s="75" t="s">
        <v>259</v>
      </c>
      <c r="L33" s="76" t="s">
        <v>260</v>
      </c>
      <c r="M33" s="76" t="s">
        <v>261</v>
      </c>
    </row>
    <row r="34" spans="1:13" ht="26.45">
      <c r="A34" s="43" t="str">
        <v>Commerce City -  Lester Arnold HS</v>
      </c>
      <c r="B34" s="40" t="str">
        <v>CO</v>
      </c>
      <c r="C34" s="28">
        <v>237.99938706681101</v>
      </c>
      <c r="D34" s="29">
        <v>13316.23</v>
      </c>
      <c r="E34" s="29">
        <f t="shared" si="5"/>
        <v>-13078.230612933188</v>
      </c>
      <c r="F34" s="30">
        <f t="shared" si="4"/>
        <v>-0.98212711953256959</v>
      </c>
      <c r="G34" s="31">
        <v>15202.53</v>
      </c>
      <c r="H34" s="31">
        <f t="shared" si="6"/>
        <v>-14964.530612933189</v>
      </c>
      <c r="I34" s="32">
        <f t="shared" si="2"/>
        <v>-0.98434475136264743</v>
      </c>
      <c r="J34" s="57" t="s">
        <v>262</v>
      </c>
      <c r="K34" s="78" t="s">
        <v>263</v>
      </c>
      <c r="L34" s="76" t="s">
        <v>264</v>
      </c>
      <c r="M34" s="76" t="s">
        <v>265</v>
      </c>
    </row>
    <row r="35" spans="1:13" ht="15.6">
      <c r="A35" s="41" t="str">
        <v>Commerce City - Monaco ES</v>
      </c>
      <c r="B35" s="42" t="str">
        <v>CO</v>
      </c>
      <c r="C35" s="35">
        <v>13502</v>
      </c>
      <c r="D35" s="36">
        <v>13782.19</v>
      </c>
      <c r="E35" s="36">
        <f t="shared" si="5"/>
        <v>-280.19000000000051</v>
      </c>
      <c r="F35" s="37">
        <f t="shared" si="4"/>
        <v>-2.0329860493869298E-2</v>
      </c>
      <c r="G35" s="38">
        <v>15662.34</v>
      </c>
      <c r="H35" s="38">
        <f t="shared" si="6"/>
        <v>-2160.34</v>
      </c>
      <c r="I35" s="37">
        <f t="shared" si="2"/>
        <v>-0.13793213530034465</v>
      </c>
      <c r="J35" s="100" t="s">
        <v>266</v>
      </c>
      <c r="K35" s="88" t="s">
        <v>267</v>
      </c>
    </row>
    <row r="36" spans="1:13" ht="15.6">
      <c r="A36" s="43" t="str">
        <v>Denver - Northgate / Old Fort Logan ES</v>
      </c>
      <c r="B36" s="40" t="str">
        <v>CO</v>
      </c>
      <c r="C36" s="28">
        <v>13219</v>
      </c>
      <c r="D36" s="29">
        <v>11978.36</v>
      </c>
      <c r="E36" s="29">
        <f t="shared" si="5"/>
        <v>1240.6399999999994</v>
      </c>
      <c r="F36" s="30">
        <f t="shared" si="4"/>
        <v>0.1035734441108799</v>
      </c>
      <c r="G36" s="31">
        <v>13861.41</v>
      </c>
      <c r="H36" s="31">
        <f t="shared" si="6"/>
        <v>-642.40999999999985</v>
      </c>
      <c r="I36" s="32">
        <f t="shared" si="2"/>
        <v>-4.6345213077168906E-2</v>
      </c>
      <c r="J36" s="57"/>
      <c r="K36" s="57"/>
    </row>
    <row r="37" spans="1:13" ht="15.6">
      <c r="A37" s="41" t="str">
        <v>Denver - Sheridan High School</v>
      </c>
      <c r="B37" s="42" t="str">
        <v>CO</v>
      </c>
      <c r="C37" s="35">
        <v>15416</v>
      </c>
      <c r="D37" s="36">
        <v>13814.97</v>
      </c>
      <c r="E37" s="36">
        <f t="shared" si="5"/>
        <v>1601.0300000000007</v>
      </c>
      <c r="F37" s="37">
        <f t="shared" si="4"/>
        <v>0.11589095017940688</v>
      </c>
      <c r="G37" s="38">
        <v>13803.94</v>
      </c>
      <c r="H37" s="38">
        <f t="shared" si="6"/>
        <v>1612.0599999999995</v>
      </c>
      <c r="I37" s="37">
        <f t="shared" si="2"/>
        <v>0.11678259975050598</v>
      </c>
      <c r="J37" s="100"/>
      <c r="K37" s="100"/>
    </row>
    <row r="38" spans="1:13" ht="15.6">
      <c r="A38" s="43" t="str">
        <v>Englewood -  Alice Terry Elementary</v>
      </c>
      <c r="B38" s="40" t="str">
        <v>CO</v>
      </c>
      <c r="C38" s="28">
        <v>14582</v>
      </c>
      <c r="D38" s="29">
        <v>13815.06</v>
      </c>
      <c r="E38" s="29">
        <f t="shared" si="5"/>
        <v>766.94000000000051</v>
      </c>
      <c r="F38" s="30">
        <f t="shared" si="4"/>
        <v>5.5514778799368267E-2</v>
      </c>
      <c r="G38" s="31">
        <v>13861.41</v>
      </c>
      <c r="H38" s="31">
        <f t="shared" si="6"/>
        <v>720.59000000000015</v>
      </c>
      <c r="I38" s="32">
        <f t="shared" si="2"/>
        <v>5.1985331939535744E-2</v>
      </c>
      <c r="J38" s="57"/>
      <c r="K38" s="57"/>
    </row>
    <row r="39" spans="1:13" ht="15.6">
      <c r="A39" s="41" t="str">
        <v>Englewood - Sheridan Middle School</v>
      </c>
      <c r="B39" s="42" t="str">
        <v>CO</v>
      </c>
      <c r="C39" s="35">
        <v>8599</v>
      </c>
      <c r="D39" s="36">
        <v>8327.8539999999994</v>
      </c>
      <c r="E39" s="36">
        <f t="shared" si="5"/>
        <v>271.14600000000064</v>
      </c>
      <c r="F39" s="37">
        <f t="shared" si="4"/>
        <v>3.2558928146434921E-2</v>
      </c>
      <c r="G39" s="38">
        <v>8116.0150000000003</v>
      </c>
      <c r="H39" s="38">
        <f t="shared" si="6"/>
        <v>482.98499999999967</v>
      </c>
      <c r="I39" s="37">
        <f t="shared" si="2"/>
        <v>5.9510116726004036E-2</v>
      </c>
      <c r="J39" s="100"/>
      <c r="K39" s="100"/>
    </row>
    <row r="40" spans="1:13" ht="54" customHeight="1">
      <c r="A40" s="43" t="str">
        <v>Goshen - NIPSCO</v>
      </c>
      <c r="B40" s="40" t="str">
        <v>IN</v>
      </c>
      <c r="C40" s="28">
        <v>53223</v>
      </c>
      <c r="D40" s="29">
        <v>57754.22</v>
      </c>
      <c r="E40" s="29">
        <f t="shared" si="5"/>
        <v>-4531.2200000000012</v>
      </c>
      <c r="F40" s="30">
        <f t="shared" si="4"/>
        <v>-7.8456950851383697E-2</v>
      </c>
      <c r="G40" s="31">
        <v>73745.61</v>
      </c>
      <c r="H40" s="31">
        <f t="shared" si="6"/>
        <v>-20522.61</v>
      </c>
      <c r="I40" s="32">
        <f t="shared" si="2"/>
        <v>-0.27828924325122539</v>
      </c>
      <c r="J40" s="57" t="s">
        <v>268</v>
      </c>
      <c r="K40" s="78" t="s">
        <v>190</v>
      </c>
    </row>
    <row r="41" spans="1:13" ht="28.9">
      <c r="A41" s="41" t="str">
        <v>Alamogordo - City of Alamogordo - Effluent</v>
      </c>
      <c r="B41" s="42" t="str">
        <v>NM</v>
      </c>
      <c r="C41" s="35">
        <v>23847</v>
      </c>
      <c r="D41" s="36">
        <v>28652.400000000001</v>
      </c>
      <c r="E41" s="36">
        <f t="shared" si="5"/>
        <v>-4805.4000000000015</v>
      </c>
      <c r="F41" s="37">
        <f t="shared" ref="F41:F72" si="7">IFERROR(E41/D41, "")</f>
        <v>-0.16771369937596856</v>
      </c>
      <c r="G41" s="38">
        <v>35207.360000000001</v>
      </c>
      <c r="H41" s="38">
        <f t="shared" si="6"/>
        <v>-11360.36</v>
      </c>
      <c r="I41" s="37">
        <f t="shared" si="2"/>
        <v>-0.32267003262954108</v>
      </c>
      <c r="J41" s="99" t="s">
        <v>269</v>
      </c>
      <c r="K41" s="75" t="s">
        <v>270</v>
      </c>
    </row>
    <row r="42" spans="1:13" ht="39.6">
      <c r="A42" s="43" t="str">
        <v>Alamogordo - City of Alamogordo - WWTP</v>
      </c>
      <c r="B42" s="40" t="str">
        <v>NM</v>
      </c>
      <c r="C42" s="28">
        <v>53120</v>
      </c>
      <c r="D42" s="29">
        <v>5.350212E-3</v>
      </c>
      <c r="E42" s="29">
        <f t="shared" si="5"/>
        <v>53119.994649788001</v>
      </c>
      <c r="F42" s="30">
        <f t="shared" si="7"/>
        <v>9928577.5310937222</v>
      </c>
      <c r="G42" s="31">
        <v>149309.6</v>
      </c>
      <c r="H42" s="31">
        <f t="shared" si="6"/>
        <v>-96189.6</v>
      </c>
      <c r="I42" s="32">
        <f t="shared" si="2"/>
        <v>-0.64422917213628594</v>
      </c>
      <c r="J42" s="57" t="s">
        <v>271</v>
      </c>
      <c r="K42" s="78" t="s">
        <v>272</v>
      </c>
      <c r="L42" s="76" t="s">
        <v>273</v>
      </c>
      <c r="M42" s="76" t="s">
        <v>274</v>
      </c>
    </row>
    <row r="43" spans="1:13" ht="15.6">
      <c r="A43" s="41" t="str">
        <v>Deming - Bilbo Booster</v>
      </c>
      <c r="B43" s="42" t="str">
        <v>NM</v>
      </c>
      <c r="C43" s="35">
        <v>12401</v>
      </c>
      <c r="D43" s="36">
        <v>0</v>
      </c>
      <c r="E43" s="36">
        <f t="shared" si="5"/>
        <v>12401</v>
      </c>
      <c r="F43" s="37" t="str">
        <f t="shared" si="7"/>
        <v/>
      </c>
      <c r="G43" s="38">
        <v>14116.31</v>
      </c>
      <c r="H43" s="38">
        <f t="shared" si="6"/>
        <v>-1715.3099999999995</v>
      </c>
      <c r="I43" s="37">
        <f t="shared" si="2"/>
        <v>-0.12151263325897486</v>
      </c>
      <c r="J43" s="100" t="s">
        <v>275</v>
      </c>
      <c r="K43" s="88" t="s">
        <v>276</v>
      </c>
    </row>
    <row r="44" spans="1:13" ht="28.9">
      <c r="A44" s="43" t="str">
        <v>Deming - Bilbo Well</v>
      </c>
      <c r="B44" s="40" t="str">
        <v>NM</v>
      </c>
      <c r="C44" s="28">
        <v>22539</v>
      </c>
      <c r="D44" s="29">
        <v>0</v>
      </c>
      <c r="E44" s="29">
        <f t="shared" si="5"/>
        <v>22539</v>
      </c>
      <c r="F44" s="30" t="str">
        <f t="shared" si="7"/>
        <v/>
      </c>
      <c r="G44" s="31">
        <v>25517.47</v>
      </c>
      <c r="H44" s="31">
        <f t="shared" si="6"/>
        <v>-2978.4700000000012</v>
      </c>
      <c r="I44" s="32">
        <f t="shared" si="2"/>
        <v>-0.11672277855132193</v>
      </c>
      <c r="J44" s="57" t="s">
        <v>277</v>
      </c>
      <c r="K44" s="78" t="s">
        <v>278</v>
      </c>
    </row>
    <row r="45" spans="1:13" ht="15.6">
      <c r="A45" s="41" t="str">
        <v>Deming - WWTP</v>
      </c>
      <c r="B45" s="42" t="str">
        <v>NM</v>
      </c>
      <c r="C45" s="35">
        <v>82740</v>
      </c>
      <c r="D45" s="36">
        <v>75801.73</v>
      </c>
      <c r="E45" s="36">
        <f t="shared" ref="E45:E75" si="8">IF(AND(ISNUMBER(C45),ISNUMBER(D45)), C45-D45, "")</f>
        <v>6938.2700000000041</v>
      </c>
      <c r="F45" s="37">
        <f t="shared" si="7"/>
        <v>9.1531815962511726E-2</v>
      </c>
      <c r="G45" s="38">
        <v>100567.3</v>
      </c>
      <c r="H45" s="38">
        <f t="shared" ref="H45:H75" si="9">IF(AND(ISNUMBER(C45),ISNUMBER(G45)), C45-G45, "")</f>
        <v>-17827.300000000003</v>
      </c>
      <c r="I45" s="37">
        <f t="shared" si="2"/>
        <v>-0.17726736225393347</v>
      </c>
      <c r="J45" s="100" t="s">
        <v>279</v>
      </c>
      <c r="K45" s="88" t="s">
        <v>200</v>
      </c>
    </row>
    <row r="46" spans="1:13" ht="94.5" customHeight="1">
      <c r="A46" s="43" t="str">
        <v>Truth or Consequences - Walmart</v>
      </c>
      <c r="B46" s="40" t="str">
        <v>NM</v>
      </c>
      <c r="C46" s="28">
        <v>150200</v>
      </c>
      <c r="D46" s="29">
        <v>313720.40000000002</v>
      </c>
      <c r="E46" s="29">
        <f t="shared" si="8"/>
        <v>-163520.40000000002</v>
      </c>
      <c r="F46" s="30">
        <f t="shared" si="7"/>
        <v>-0.52122973195240097</v>
      </c>
      <c r="G46" s="31">
        <v>216035.6</v>
      </c>
      <c r="H46" s="31">
        <f t="shared" si="9"/>
        <v>-65835.600000000006</v>
      </c>
      <c r="I46" s="32">
        <f t="shared" si="2"/>
        <v>-0.30474421808257529</v>
      </c>
      <c r="J46" s="57" t="s">
        <v>280</v>
      </c>
      <c r="K46" s="78" t="s">
        <v>281</v>
      </c>
      <c r="L46" s="76" t="s">
        <v>282</v>
      </c>
      <c r="M46" s="76" t="s">
        <v>283</v>
      </c>
    </row>
    <row r="47" spans="1:13" ht="43.5" customHeight="1">
      <c r="A47" s="41" t="str">
        <v>CA: Stockton - SUSD - Merlo</v>
      </c>
      <c r="B47" s="42" t="str">
        <v>CA</v>
      </c>
      <c r="C47" s="35">
        <v>0</v>
      </c>
      <c r="D47" s="36">
        <v>0</v>
      </c>
      <c r="E47" s="36">
        <f t="shared" si="8"/>
        <v>0</v>
      </c>
      <c r="F47" s="37" t="str">
        <f t="shared" si="7"/>
        <v/>
      </c>
      <c r="G47" s="38">
        <v>0</v>
      </c>
      <c r="H47" s="38">
        <f t="shared" si="9"/>
        <v>0</v>
      </c>
      <c r="I47" s="37" t="str">
        <f t="shared" si="2"/>
        <v/>
      </c>
      <c r="J47" s="100" t="s">
        <v>284</v>
      </c>
      <c r="K47" s="75" t="s">
        <v>285</v>
      </c>
    </row>
    <row r="48" spans="1:13" ht="72">
      <c r="A48" s="43" t="str">
        <v>Stockton Unified School Dist. - Bush Elementary</v>
      </c>
      <c r="B48" s="40" t="str">
        <v>CA</v>
      </c>
      <c r="C48" s="28">
        <v>28518.75</v>
      </c>
      <c r="D48" s="29">
        <v>41029.64</v>
      </c>
      <c r="E48" s="29">
        <f t="shared" si="8"/>
        <v>-12510.89</v>
      </c>
      <c r="F48" s="30">
        <f t="shared" si="7"/>
        <v>-0.30492322135899802</v>
      </c>
      <c r="G48" s="31">
        <v>41223.449999999997</v>
      </c>
      <c r="H48" s="31">
        <f t="shared" si="9"/>
        <v>-12704.699999999997</v>
      </c>
      <c r="I48" s="32">
        <f t="shared" si="2"/>
        <v>-0.30819109026537073</v>
      </c>
      <c r="J48" s="57" t="s">
        <v>286</v>
      </c>
      <c r="K48" s="78" t="s">
        <v>287</v>
      </c>
      <c r="L48" s="76" t="s">
        <v>288</v>
      </c>
    </row>
    <row r="49" spans="1:14" ht="43.15">
      <c r="A49" s="41" t="str">
        <v>CA: Stockton - SUSD - Marshall JHS</v>
      </c>
      <c r="B49" s="42" t="str">
        <v>CA</v>
      </c>
      <c r="C49" s="35">
        <v>9336.75</v>
      </c>
      <c r="D49" s="36">
        <v>26671.02</v>
      </c>
      <c r="E49" s="36">
        <f t="shared" si="8"/>
        <v>-17334.27</v>
      </c>
      <c r="F49" s="37">
        <f t="shared" si="7"/>
        <v>-0.64992902408681785</v>
      </c>
      <c r="G49" s="38">
        <v>27196.61</v>
      </c>
      <c r="H49" s="38">
        <f t="shared" si="9"/>
        <v>-17859.86</v>
      </c>
      <c r="I49" s="37">
        <f t="shared" si="2"/>
        <v>-0.65669434536142557</v>
      </c>
      <c r="J49" s="99" t="s">
        <v>289</v>
      </c>
      <c r="K49" s="75" t="s">
        <v>290</v>
      </c>
    </row>
    <row r="50" spans="1:14" ht="28.9">
      <c r="A50" s="43" t="str">
        <v>CA: Stockton - SUSD - Hong-Kingston ES</v>
      </c>
      <c r="B50" s="40" t="str">
        <v>CA</v>
      </c>
      <c r="C50" s="28">
        <v>14926.5</v>
      </c>
      <c r="D50" s="29">
        <v>44733.39</v>
      </c>
      <c r="E50" s="29">
        <f t="shared" si="8"/>
        <v>-29806.89</v>
      </c>
      <c r="F50" s="30">
        <f t="shared" si="7"/>
        <v>-0.666323075447669</v>
      </c>
      <c r="G50" s="31">
        <v>44081.08</v>
      </c>
      <c r="H50" s="31">
        <f t="shared" si="9"/>
        <v>-29154.58</v>
      </c>
      <c r="I50" s="32">
        <f t="shared" si="2"/>
        <v>-0.66138533810877598</v>
      </c>
      <c r="J50" s="57" t="s">
        <v>291</v>
      </c>
      <c r="K50" s="78" t="s">
        <v>292</v>
      </c>
    </row>
    <row r="51" spans="1:14" ht="28.9">
      <c r="A51" s="41" t="str">
        <v>CA: Stockton - SUSD - Hamilton ES</v>
      </c>
      <c r="B51" s="42" t="str">
        <v>CA</v>
      </c>
      <c r="C51" s="35">
        <v>7429.75</v>
      </c>
      <c r="D51" s="36">
        <v>23069.73</v>
      </c>
      <c r="E51" s="36">
        <f t="shared" si="8"/>
        <v>-15639.98</v>
      </c>
      <c r="F51" s="37">
        <f t="shared" si="7"/>
        <v>-0.67794378174343606</v>
      </c>
      <c r="G51" s="38">
        <v>23358.81</v>
      </c>
      <c r="H51" s="38">
        <f t="shared" si="9"/>
        <v>-15929.060000000001</v>
      </c>
      <c r="I51" s="37">
        <f t="shared" si="2"/>
        <v>-0.68192943048040544</v>
      </c>
      <c r="J51" s="99" t="s">
        <v>293</v>
      </c>
      <c r="K51" s="75" t="s">
        <v>294</v>
      </c>
    </row>
    <row r="52" spans="1:14" ht="57.6">
      <c r="A52" s="43" t="str">
        <v>CA: Stockton - SUSD - Franklin - North</v>
      </c>
      <c r="B52" s="40" t="str">
        <v>CA</v>
      </c>
      <c r="C52" s="28">
        <v>38561.5</v>
      </c>
      <c r="D52" s="29">
        <v>107498.1</v>
      </c>
      <c r="E52" s="29">
        <f t="shared" si="8"/>
        <v>-68936.600000000006</v>
      </c>
      <c r="F52" s="30">
        <f t="shared" si="7"/>
        <v>-0.64128203196149514</v>
      </c>
      <c r="G52" s="31">
        <v>61870.89</v>
      </c>
      <c r="H52" s="31">
        <f t="shared" si="9"/>
        <v>-23309.39</v>
      </c>
      <c r="I52" s="32">
        <f t="shared" si="2"/>
        <v>-0.37674243897251197</v>
      </c>
      <c r="J52" s="57" t="s">
        <v>295</v>
      </c>
      <c r="K52" s="78" t="s">
        <v>296</v>
      </c>
      <c r="L52" s="76" t="s">
        <v>297</v>
      </c>
      <c r="M52" s="76" t="s">
        <v>298</v>
      </c>
    </row>
    <row r="53" spans="1:14" ht="28.9">
      <c r="A53" s="41" t="str">
        <v>Stockton Unified School Dist. - Fillmore Elementary</v>
      </c>
      <c r="B53" s="42" t="str">
        <v>CA</v>
      </c>
      <c r="C53" s="35">
        <v>5137.75</v>
      </c>
      <c r="D53" s="36">
        <v>18622.43</v>
      </c>
      <c r="E53" s="36">
        <f t="shared" si="8"/>
        <v>-13484.68</v>
      </c>
      <c r="F53" s="37">
        <f t="shared" si="7"/>
        <v>-0.7241095818322314</v>
      </c>
      <c r="G53" s="38">
        <v>18734.84</v>
      </c>
      <c r="H53" s="38">
        <f t="shared" si="9"/>
        <v>-13597.09</v>
      </c>
      <c r="I53" s="37">
        <f t="shared" si="2"/>
        <v>-0.72576493847825763</v>
      </c>
      <c r="J53" s="99" t="s">
        <v>299</v>
      </c>
      <c r="K53" s="75" t="s">
        <v>300</v>
      </c>
    </row>
    <row r="54" spans="1:14" ht="28.9">
      <c r="A54" s="43" t="str">
        <v>CA: Stockton - SUSD - El Dorado ES</v>
      </c>
      <c r="B54" s="40" t="str">
        <v>CA</v>
      </c>
      <c r="C54" s="28">
        <v>6179.375</v>
      </c>
      <c r="D54" s="29">
        <v>24531.64</v>
      </c>
      <c r="E54" s="29">
        <f t="shared" si="8"/>
        <v>-18352.264999999999</v>
      </c>
      <c r="F54" s="30">
        <f t="shared" si="7"/>
        <v>-0.74810591546264338</v>
      </c>
      <c r="G54" s="31">
        <v>0</v>
      </c>
      <c r="H54" s="31">
        <f t="shared" si="9"/>
        <v>6179.375</v>
      </c>
      <c r="I54" s="32" t="str">
        <f t="shared" si="2"/>
        <v/>
      </c>
      <c r="J54" s="57" t="s">
        <v>301</v>
      </c>
      <c r="K54" s="78" t="s">
        <v>302</v>
      </c>
    </row>
    <row r="55" spans="1:14" ht="115.15">
      <c r="A55" s="41" t="str">
        <v>CA: Stockton - SUSD - Edison HS</v>
      </c>
      <c r="B55" s="42" t="str">
        <v>CA</v>
      </c>
      <c r="C55" s="35">
        <v>38415.5</v>
      </c>
      <c r="D55" s="36">
        <v>63384.38</v>
      </c>
      <c r="E55" s="36">
        <f t="shared" si="8"/>
        <v>-24968.879999999997</v>
      </c>
      <c r="F55" s="37">
        <f t="shared" si="7"/>
        <v>-0.39392796774221028</v>
      </c>
      <c r="G55" s="38">
        <v>63941.16</v>
      </c>
      <c r="H55" s="38">
        <f t="shared" si="9"/>
        <v>-25525.660000000003</v>
      </c>
      <c r="I55" s="37">
        <f t="shared" si="2"/>
        <v>-0.39920545701704507</v>
      </c>
      <c r="J55" s="100" t="s">
        <v>303</v>
      </c>
      <c r="K55" s="75" t="s">
        <v>304</v>
      </c>
      <c r="L55" s="76" t="s">
        <v>305</v>
      </c>
    </row>
    <row r="56" spans="1:14" ht="129.6">
      <c r="A56" s="43" t="str">
        <v>CA: Stockton - SUSD - Chavez HS - Large</v>
      </c>
      <c r="B56" s="40" t="str">
        <v>CA</v>
      </c>
      <c r="C56" s="28">
        <v>47486</v>
      </c>
      <c r="D56" s="29">
        <v>136295.4</v>
      </c>
      <c r="E56" s="29">
        <f t="shared" si="8"/>
        <v>-88809.4</v>
      </c>
      <c r="F56" s="30">
        <f t="shared" si="7"/>
        <v>-0.65159499146706346</v>
      </c>
      <c r="G56" s="31">
        <v>133980.29999999999</v>
      </c>
      <c r="H56" s="31">
        <f t="shared" si="9"/>
        <v>-86494.299999999988</v>
      </c>
      <c r="I56" s="32">
        <f t="shared" si="2"/>
        <v>-0.64557475987141388</v>
      </c>
      <c r="J56" s="57" t="s">
        <v>306</v>
      </c>
      <c r="K56" s="78" t="s">
        <v>307</v>
      </c>
      <c r="L56" s="76" t="s">
        <v>308</v>
      </c>
    </row>
    <row r="57" spans="1:14" ht="28.9">
      <c r="A57" s="41" t="str">
        <v>CA: San Jose - GE Mobile Water</v>
      </c>
      <c r="B57" s="42" t="str">
        <v>CA</v>
      </c>
      <c r="C57" s="35">
        <v>32358</v>
      </c>
      <c r="D57" s="36">
        <v>35744.620000000003</v>
      </c>
      <c r="E57" s="36">
        <f t="shared" si="8"/>
        <v>-3386.6200000000026</v>
      </c>
      <c r="F57" s="37">
        <f t="shared" si="7"/>
        <v>-9.4744887482368048E-2</v>
      </c>
      <c r="G57" s="38">
        <v>35095.11</v>
      </c>
      <c r="H57" s="38">
        <f t="shared" si="9"/>
        <v>-2737.1100000000006</v>
      </c>
      <c r="I57" s="37">
        <f t="shared" si="2"/>
        <v>-7.799120732204573E-2</v>
      </c>
      <c r="J57" s="100" t="s">
        <v>309</v>
      </c>
      <c r="K57" s="75" t="s">
        <v>310</v>
      </c>
    </row>
    <row r="58" spans="1:14" ht="15.6">
      <c r="A58" s="43" t="str">
        <v>CA: San Marcos - Vallecitos Water - Lift Station</v>
      </c>
      <c r="B58" s="40" t="str">
        <v>CA</v>
      </c>
      <c r="C58" s="28">
        <v>37845.750000000196</v>
      </c>
      <c r="D58" s="29">
        <v>36334.620000000003</v>
      </c>
      <c r="E58" s="29">
        <f t="shared" si="8"/>
        <v>1511.1300000001938</v>
      </c>
      <c r="F58" s="30">
        <f t="shared" si="7"/>
        <v>4.1589261150940721E-2</v>
      </c>
      <c r="G58" s="31">
        <v>41212.51</v>
      </c>
      <c r="H58" s="31">
        <f t="shared" si="9"/>
        <v>-3366.7599999998056</v>
      </c>
      <c r="I58" s="32">
        <f t="shared" si="2"/>
        <v>-8.1692670502228698E-2</v>
      </c>
      <c r="J58" s="57"/>
      <c r="K58" s="57"/>
    </row>
    <row r="59" spans="1:14" ht="28.9">
      <c r="A59" s="41" t="str">
        <v>CA: San Marcos - Vallecitos Water - Twin Oaks Reservoir</v>
      </c>
      <c r="B59" s="42" t="str">
        <v>CA</v>
      </c>
      <c r="C59" s="35">
        <v>279329.99999999802</v>
      </c>
      <c r="D59" s="36">
        <v>287665.90000000002</v>
      </c>
      <c r="E59" s="36">
        <f t="shared" si="8"/>
        <v>-8335.9000000020023</v>
      </c>
      <c r="F59" s="37">
        <f t="shared" si="7"/>
        <v>-2.8977713382093609E-2</v>
      </c>
      <c r="G59" s="38">
        <v>256482</v>
      </c>
      <c r="H59" s="38">
        <f t="shared" si="9"/>
        <v>22847.999999998021</v>
      </c>
      <c r="I59" s="37">
        <f t="shared" si="2"/>
        <v>8.9082274779508974E-2</v>
      </c>
      <c r="J59" s="100" t="s">
        <v>311</v>
      </c>
      <c r="K59" s="75" t="s">
        <v>312</v>
      </c>
    </row>
    <row r="60" spans="1:14" ht="28.9">
      <c r="A60" s="43" t="str">
        <v>CA: Stockton - SUSD - Wilhelmina Henry ES</v>
      </c>
      <c r="B60" s="40" t="str">
        <v>CA</v>
      </c>
      <c r="C60" s="28">
        <v>9373.75</v>
      </c>
      <c r="D60" s="29">
        <v>52210.21</v>
      </c>
      <c r="E60" s="29">
        <f t="shared" si="8"/>
        <v>-42836.46</v>
      </c>
      <c r="F60" s="30">
        <f t="shared" si="7"/>
        <v>-0.82046136186772667</v>
      </c>
      <c r="G60" s="31">
        <v>43120.46</v>
      </c>
      <c r="H60" s="31">
        <f t="shared" si="9"/>
        <v>-33746.71</v>
      </c>
      <c r="I60" s="32">
        <f t="shared" si="2"/>
        <v>-0.78261479585329097</v>
      </c>
      <c r="J60" s="57" t="s">
        <v>313</v>
      </c>
      <c r="K60" s="78" t="s">
        <v>314</v>
      </c>
    </row>
    <row r="61" spans="1:14" ht="115.15">
      <c r="A61" s="41" t="str">
        <v>Stockton Unified School Dist. - Franklin (North)</v>
      </c>
      <c r="B61" s="42" t="str">
        <v>CA</v>
      </c>
      <c r="C61" s="35">
        <v>38561.5</v>
      </c>
      <c r="D61" s="36">
        <v>107498.1</v>
      </c>
      <c r="E61" s="36">
        <f t="shared" si="8"/>
        <v>-68936.600000000006</v>
      </c>
      <c r="F61" s="37">
        <f t="shared" si="7"/>
        <v>-0.64128203196149514</v>
      </c>
      <c r="G61" s="38">
        <v>61870.89</v>
      </c>
      <c r="H61" s="38">
        <f t="shared" si="9"/>
        <v>-23309.39</v>
      </c>
      <c r="I61" s="37">
        <f t="shared" si="2"/>
        <v>-0.37674243897251197</v>
      </c>
      <c r="J61" s="100" t="s">
        <v>315</v>
      </c>
      <c r="K61" s="75" t="s">
        <v>316</v>
      </c>
      <c r="L61" s="76" t="s">
        <v>317</v>
      </c>
      <c r="M61" s="76" t="s">
        <v>298</v>
      </c>
    </row>
    <row r="62" spans="1:14" ht="183.4" customHeight="1">
      <c r="A62" s="43" t="str">
        <v>CA: Stockton - SUSD - Franklin - South</v>
      </c>
      <c r="B62" s="40" t="str">
        <v>CA</v>
      </c>
      <c r="C62" s="28">
        <v>46797.75</v>
      </c>
      <c r="D62" s="29">
        <v>103691.9</v>
      </c>
      <c r="E62" s="29">
        <f t="shared" si="8"/>
        <v>-56894.149999999994</v>
      </c>
      <c r="F62" s="30">
        <f t="shared" si="7"/>
        <v>-0.54868461278074754</v>
      </c>
      <c r="G62" s="31">
        <v>99884.52</v>
      </c>
      <c r="H62" s="31">
        <f t="shared" si="9"/>
        <v>-53086.770000000004</v>
      </c>
      <c r="I62" s="32">
        <f t="shared" si="2"/>
        <v>-0.53148145478398456</v>
      </c>
      <c r="J62" s="57" t="s">
        <v>318</v>
      </c>
      <c r="K62" s="78" t="s">
        <v>319</v>
      </c>
      <c r="L62" s="76" t="s">
        <v>320</v>
      </c>
      <c r="M62" s="76" t="s">
        <v>320</v>
      </c>
      <c r="N62" s="76" t="s">
        <v>320</v>
      </c>
    </row>
    <row r="63" spans="1:14" ht="28.9">
      <c r="A63" s="41" t="str">
        <v>CA: Stockton - SUSD - Chavez HS - Small</v>
      </c>
      <c r="B63" s="42" t="str">
        <v>CA</v>
      </c>
      <c r="C63" s="35">
        <v>27596.5</v>
      </c>
      <c r="D63" s="36">
        <v>25880.94</v>
      </c>
      <c r="E63" s="36">
        <f t="shared" si="8"/>
        <v>1715.5600000000013</v>
      </c>
      <c r="F63" s="37">
        <f t="shared" si="7"/>
        <v>6.6286618646772544E-2</v>
      </c>
      <c r="G63" s="38">
        <v>37889.96</v>
      </c>
      <c r="H63" s="38">
        <f t="shared" si="9"/>
        <v>-10293.459999999999</v>
      </c>
      <c r="I63" s="37">
        <f t="shared" si="2"/>
        <v>-0.27166721738423583</v>
      </c>
      <c r="J63" s="100" t="s">
        <v>321</v>
      </c>
      <c r="K63" s="88" t="s">
        <v>322</v>
      </c>
    </row>
    <row r="64" spans="1:14" ht="86.45">
      <c r="A64" s="43" t="str">
        <v>CA: Stockton - SUSD - Facilities</v>
      </c>
      <c r="B64" s="40" t="str">
        <v>CA</v>
      </c>
      <c r="C64" s="28">
        <v>21223.5</v>
      </c>
      <c r="D64" s="29">
        <v>58946.07</v>
      </c>
      <c r="E64" s="29">
        <f t="shared" si="8"/>
        <v>-37722.57</v>
      </c>
      <c r="F64" s="30">
        <f t="shared" si="7"/>
        <v>-0.63995055141080648</v>
      </c>
      <c r="G64" s="31">
        <v>64262.86</v>
      </c>
      <c r="H64" s="31">
        <f t="shared" si="9"/>
        <v>-43039.360000000001</v>
      </c>
      <c r="I64" s="32">
        <f t="shared" si="2"/>
        <v>-0.66973925530236278</v>
      </c>
      <c r="J64" s="57" t="s">
        <v>323</v>
      </c>
      <c r="K64" s="78" t="s">
        <v>324</v>
      </c>
    </row>
    <row r="65" spans="1:11" ht="43.15">
      <c r="A65" s="41" t="str">
        <v>CA: Stockton - SUSD - Harrison</v>
      </c>
      <c r="B65" s="42" t="str">
        <v>CA</v>
      </c>
      <c r="C65" s="35">
        <v>15057.125</v>
      </c>
      <c r="D65" s="36">
        <v>23600.42</v>
      </c>
      <c r="E65" s="36">
        <f t="shared" si="8"/>
        <v>-8543.2949999999983</v>
      </c>
      <c r="F65" s="37">
        <f t="shared" si="7"/>
        <v>-0.36199758309386015</v>
      </c>
      <c r="G65" s="38">
        <v>23028.240000000002</v>
      </c>
      <c r="H65" s="38">
        <f t="shared" si="9"/>
        <v>-7971.1150000000016</v>
      </c>
      <c r="I65" s="37">
        <f t="shared" si="2"/>
        <v>-0.34614521127103076</v>
      </c>
      <c r="J65" s="100" t="s">
        <v>325</v>
      </c>
      <c r="K65" s="88" t="s">
        <v>326</v>
      </c>
    </row>
    <row r="66" spans="1:11" ht="28.9">
      <c r="A66" s="43" t="str">
        <v>CA: Stockton - SUSD - Commodore Skills School</v>
      </c>
      <c r="B66" s="40" t="str">
        <v>CA</v>
      </c>
      <c r="C66" s="28">
        <v>7851</v>
      </c>
      <c r="D66" s="29">
        <v>47473.79</v>
      </c>
      <c r="E66" s="29">
        <f t="shared" si="8"/>
        <v>-39622.79</v>
      </c>
      <c r="F66" s="30">
        <f t="shared" si="7"/>
        <v>-0.83462453703401396</v>
      </c>
      <c r="G66" s="31">
        <v>50004.5</v>
      </c>
      <c r="H66" s="31">
        <f t="shared" si="9"/>
        <v>-42153.5</v>
      </c>
      <c r="I66" s="32">
        <f t="shared" si="2"/>
        <v>-0.84299413052825245</v>
      </c>
      <c r="J66" s="57" t="s">
        <v>327</v>
      </c>
      <c r="K66" s="78" t="s">
        <v>328</v>
      </c>
    </row>
    <row r="67" spans="1:11" ht="15.6">
      <c r="A67" s="41" t="str">
        <v>CA: Stockton - SUSD - Nightingale ES</v>
      </c>
      <c r="B67" s="42" t="str">
        <v>CA</v>
      </c>
      <c r="C67" s="35">
        <v>21480</v>
      </c>
      <c r="D67" s="36">
        <v>23211.94</v>
      </c>
      <c r="E67" s="36">
        <f t="shared" si="8"/>
        <v>-1731.9399999999987</v>
      </c>
      <c r="F67" s="37">
        <f t="shared" si="7"/>
        <v>-7.4614185630326416E-2</v>
      </c>
      <c r="G67" s="38">
        <v>23168.91</v>
      </c>
      <c r="H67" s="38">
        <f t="shared" si="9"/>
        <v>-1688.9099999999999</v>
      </c>
      <c r="I67" s="37">
        <f t="shared" si="2"/>
        <v>-7.2895531123389049E-2</v>
      </c>
      <c r="J67" s="100"/>
      <c r="K67" s="100"/>
    </row>
    <row r="68" spans="1:11" ht="57.6">
      <c r="A68" s="43" t="str">
        <v>CA: Stockton - SUSD - Weber Institute</v>
      </c>
      <c r="B68" s="40" t="str">
        <v>CA</v>
      </c>
      <c r="C68" s="28">
        <v>9225.25</v>
      </c>
      <c r="D68" s="29">
        <v>47274.77</v>
      </c>
      <c r="E68" s="29">
        <f t="shared" si="8"/>
        <v>-38049.519999999997</v>
      </c>
      <c r="F68" s="30">
        <f t="shared" si="7"/>
        <v>-0.80485891311581204</v>
      </c>
      <c r="G68" s="31">
        <v>47822.98</v>
      </c>
      <c r="H68" s="31">
        <f t="shared" si="9"/>
        <v>-38597.730000000003</v>
      </c>
      <c r="I68" s="32">
        <f t="shared" si="2"/>
        <v>-0.80709587733763144</v>
      </c>
      <c r="J68" s="57" t="s">
        <v>329</v>
      </c>
      <c r="K68" s="78" t="s">
        <v>330</v>
      </c>
    </row>
    <row r="69" spans="1:11" ht="57.6">
      <c r="A69" s="41" t="str">
        <v>CA: Stockton - SUSD - Warehouse</v>
      </c>
      <c r="B69" s="42" t="str">
        <v>CA</v>
      </c>
      <c r="C69" s="35">
        <v>15367.5</v>
      </c>
      <c r="D69" s="36">
        <v>40420.620000000003</v>
      </c>
      <c r="E69" s="36">
        <f t="shared" si="8"/>
        <v>-25053.120000000003</v>
      </c>
      <c r="F69" s="37">
        <f t="shared" si="7"/>
        <v>-0.61981038390801524</v>
      </c>
      <c r="G69" s="38">
        <v>45356.66</v>
      </c>
      <c r="H69" s="38">
        <f t="shared" si="9"/>
        <v>-29989.160000000003</v>
      </c>
      <c r="I69" s="37">
        <f t="shared" ref="I69:I75" si="10">IFERROR(H69/G69, "")</f>
        <v>-0.66118536946944506</v>
      </c>
      <c r="J69" s="100" t="s">
        <v>331</v>
      </c>
      <c r="K69" s="75" t="s">
        <v>332</v>
      </c>
    </row>
    <row r="70" spans="1:11" ht="43.15">
      <c r="A70" s="43" t="str">
        <v>CA: Stockton - SUSD - Walton Special Center</v>
      </c>
      <c r="B70" s="40" t="str">
        <v>CA</v>
      </c>
      <c r="C70" s="28">
        <v>16659.5</v>
      </c>
      <c r="D70" s="29">
        <v>32950.04</v>
      </c>
      <c r="E70" s="29">
        <f t="shared" si="8"/>
        <v>-16290.54</v>
      </c>
      <c r="F70" s="30">
        <f t="shared" si="7"/>
        <v>-0.49440122075724341</v>
      </c>
      <c r="G70" s="31">
        <v>33380.559999999998</v>
      </c>
      <c r="H70" s="31">
        <f t="shared" si="9"/>
        <v>-16721.059999999998</v>
      </c>
      <c r="I70" s="32">
        <f t="shared" si="10"/>
        <v>-0.50092209357781892</v>
      </c>
      <c r="J70" s="57" t="s">
        <v>333</v>
      </c>
      <c r="K70" s="78" t="s">
        <v>334</v>
      </c>
    </row>
    <row r="71" spans="1:11" ht="43.15">
      <c r="A71" s="41" t="str">
        <v>CA: Stockton - SUSD - Stagg HS</v>
      </c>
      <c r="B71" s="42" t="str">
        <v>CA</v>
      </c>
      <c r="C71" s="35">
        <v>96454</v>
      </c>
      <c r="D71" s="36">
        <v>127090.1</v>
      </c>
      <c r="E71" s="36">
        <f t="shared" si="8"/>
        <v>-30636.100000000006</v>
      </c>
      <c r="F71" s="37">
        <f t="shared" si="7"/>
        <v>-0.24105811546296685</v>
      </c>
      <c r="G71" s="38">
        <v>125207</v>
      </c>
      <c r="H71" s="38">
        <f t="shared" si="9"/>
        <v>-28753</v>
      </c>
      <c r="I71" s="37">
        <f t="shared" si="10"/>
        <v>-0.22964371001621314</v>
      </c>
      <c r="J71" s="100" t="s">
        <v>335</v>
      </c>
      <c r="K71" s="75" t="s">
        <v>336</v>
      </c>
    </row>
    <row r="72" spans="1:11" ht="28.9">
      <c r="A72" s="43" t="str">
        <v>CA: Stockton - SUSD - School for Adults</v>
      </c>
      <c r="B72" s="40" t="str">
        <v>CA</v>
      </c>
      <c r="C72" s="28">
        <v>10459.25</v>
      </c>
      <c r="D72" s="29">
        <v>27419.35</v>
      </c>
      <c r="E72" s="29">
        <f t="shared" si="8"/>
        <v>-16960.099999999999</v>
      </c>
      <c r="F72" s="30">
        <f t="shared" si="7"/>
        <v>-0.61854493268439992</v>
      </c>
      <c r="G72" s="31">
        <v>27045.040000000001</v>
      </c>
      <c r="H72" s="31">
        <f t="shared" si="9"/>
        <v>-16585.79</v>
      </c>
      <c r="I72" s="32">
        <f t="shared" si="10"/>
        <v>-0.61326550080902087</v>
      </c>
      <c r="J72" s="57" t="s">
        <v>337</v>
      </c>
      <c r="K72" s="78" t="s">
        <v>338</v>
      </c>
    </row>
    <row r="73" spans="1:11" ht="28.9">
      <c r="A73" s="41" t="str">
        <v>CA: Stockton - SUSD - San Joaquin</v>
      </c>
      <c r="B73" s="42" t="str">
        <v>CA</v>
      </c>
      <c r="C73" s="35">
        <v>14177.875</v>
      </c>
      <c r="D73" s="36">
        <v>25583.21</v>
      </c>
      <c r="E73" s="36">
        <f t="shared" si="8"/>
        <v>-11405.334999999999</v>
      </c>
      <c r="F73" s="37">
        <f t="shared" ref="F73:F75" si="11">IFERROR(E73/D73, "")</f>
        <v>-0.44581328926276254</v>
      </c>
      <c r="G73" s="38">
        <v>25981.17</v>
      </c>
      <c r="H73" s="38">
        <f t="shared" si="9"/>
        <v>-11803.294999999998</v>
      </c>
      <c r="I73" s="37">
        <f t="shared" si="10"/>
        <v>-0.45430190403280524</v>
      </c>
      <c r="J73" s="100" t="s">
        <v>339</v>
      </c>
      <c r="K73" s="75" t="s">
        <v>340</v>
      </c>
    </row>
    <row r="74" spans="1:11" ht="28.9">
      <c r="A74" s="43" t="str">
        <v>CA: Stockton - SUSD - Rio Calaveras</v>
      </c>
      <c r="B74" s="40" t="str">
        <v>CA</v>
      </c>
      <c r="C74" s="28">
        <v>6763.375</v>
      </c>
      <c r="D74" s="29">
        <v>27488.51</v>
      </c>
      <c r="E74" s="29">
        <f t="shared" si="8"/>
        <v>-20725.134999999998</v>
      </c>
      <c r="F74" s="30">
        <f t="shared" si="11"/>
        <v>-0.75395628937326908</v>
      </c>
      <c r="G74" s="31">
        <v>0</v>
      </c>
      <c r="H74" s="31">
        <f t="shared" si="9"/>
        <v>6763.375</v>
      </c>
      <c r="I74" s="32" t="str">
        <f t="shared" si="10"/>
        <v/>
      </c>
      <c r="J74" s="57" t="s">
        <v>341</v>
      </c>
      <c r="K74" s="78" t="s">
        <v>342</v>
      </c>
    </row>
    <row r="75" spans="1:11" ht="15.6">
      <c r="A75" s="41" t="str">
        <v>CA: Stockton - SUSD - Peyton</v>
      </c>
      <c r="B75" s="42" t="str">
        <v>CA</v>
      </c>
      <c r="C75" s="35">
        <v>50091</v>
      </c>
      <c r="D75" s="36">
        <v>56827.77</v>
      </c>
      <c r="E75" s="36">
        <f t="shared" si="8"/>
        <v>-6736.7699999999968</v>
      </c>
      <c r="F75" s="37">
        <f t="shared" si="11"/>
        <v>-0.1185471469318609</v>
      </c>
      <c r="G75" s="38">
        <v>55927.75</v>
      </c>
      <c r="H75" s="38">
        <f t="shared" si="9"/>
        <v>-5836.75</v>
      </c>
      <c r="I75" s="37">
        <f t="shared" si="10"/>
        <v>-0.10436232460630009</v>
      </c>
      <c r="J75" s="100" t="s">
        <v>343</v>
      </c>
      <c r="K75" s="88" t="s">
        <v>344</v>
      </c>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6" priority="5" stopIfTrue="1" operator="lessThanOrEqual">
      <formula>-0.1</formula>
    </cfRule>
    <cfRule type="expression" dxfId="15" priority="6">
      <formula>AND(ISNUMBER(F2), F2&gt;=0.1)</formula>
    </cfRule>
  </conditionalFormatting>
  <hyperlinks>
    <hyperlink ref="K4" r:id="rId1" display="https://us3.assetplanner.com/service_request?ID=099290" xr:uid="{0A79EF1A-EDF4-4690-B1BE-89BD45C215C9}"/>
    <hyperlink ref="K5" r:id="rId2" display="https://us3.assetplanner.com/service_request?ID=101243" xr:uid="{49BC767F-3462-4DCE-8C28-3F368E6DAD3E}"/>
    <hyperlink ref="L5" r:id="rId3" display="https://us3.assetplanner.com/service_request?ID=101243" xr:uid="{053B4268-1411-4856-BE11-1A98C9BAB504}"/>
    <hyperlink ref="M5" r:id="rId4" display="https://us3.assetplanner.com/service_request?ID=101243" xr:uid="{191A006B-5CE0-4846-A490-93A541528C2C}"/>
    <hyperlink ref="N5" r:id="rId5" display="https://us3.assetplanner.com/service_request?ID=101243" xr:uid="{88811748-A9BD-4465-85F6-FE103DAB93DC}"/>
    <hyperlink ref="O5" r:id="rId6" display="https://us3.assetplanner.com/service_request?ID=101245" xr:uid="{881A92D5-3765-4049-B86A-C8593561BEA4}"/>
    <hyperlink ref="K7" r:id="rId7" display="https://us3.assetplanner.com/service_request?ID=096262" xr:uid="{4602221B-C6AE-463C-BC6F-DC9B9A55FA26}"/>
    <hyperlink ref="L7" r:id="rId8" display="https://us3.assetplanner.com/service_request?ID=099066" xr:uid="{6463A1F5-7A84-4363-98FC-D44BA443FC75}"/>
    <hyperlink ref="K8" r:id="rId9" display="https://us3.assetplanner.com/service_request?ID=098870" xr:uid="{3D65654F-4899-47E2-8F20-572320EF0B91}"/>
    <hyperlink ref="L8" r:id="rId10" display="https://us3.assetplanner.com/service_request?ID=099461" xr:uid="{6F1AAFA7-F8DD-40C3-B29B-231DE6A4A760}"/>
    <hyperlink ref="K9" r:id="rId11" display="https://us3.assetplanner.com/service_request?ID=102343" xr:uid="{1E4371B2-15C6-4701-A837-842D9DD6A8B7}"/>
    <hyperlink ref="K11" r:id="rId12" display="https://us3.assetplanner.com/service_request?ID=102384" xr:uid="{8E357DE2-A9B6-4B42-A7D0-502E57130B27}"/>
    <hyperlink ref="L11" r:id="rId13" display="https://us3.assetplanner.com/service_request?ID=102998" xr:uid="{736D1C7B-8779-4316-ACD0-212AEA8D77EA}"/>
    <hyperlink ref="K12" r:id="rId14" display="https://us3.assetplanner.com/service_request?ID=102644" xr:uid="{9D8F8BCB-4AE6-46B6-B139-14A4E6A5DE96}"/>
    <hyperlink ref="L12" r:id="rId15" display="https://us3.assetplanner.com/service_request?ID=102209" xr:uid="{9F567B18-8EB5-49B4-8C28-1CDF2821AA8B}"/>
    <hyperlink ref="M12" r:id="rId16" display="https://us3.assetplanner.com/service_request?ID=102644" xr:uid="{16603A38-241B-4277-A9AE-7194EFE84A99}"/>
    <hyperlink ref="K13" r:id="rId17" display="https://us3.assetplanner.com/service_request?ID=102557" xr:uid="{F8F21707-FB5A-43A3-91AE-A6D388D1FDA7}"/>
    <hyperlink ref="L13" r:id="rId18" display="https://us3.assetplanner.com/service_request?ID=102982" xr:uid="{3A35CD78-04AF-458A-9E0D-8CD8300331FA}"/>
    <hyperlink ref="M13" r:id="rId19" display="https://us3.assetplanner.com/service_request?ID=103184" xr:uid="{EAAF0CBD-F972-4613-963B-3ECD0E9FF3D4}"/>
    <hyperlink ref="K14" r:id="rId20" display="https://us3.assetplanner.com/service_request?ID=102296" xr:uid="{21652B61-1455-469A-AA39-906E732A00CE}"/>
    <hyperlink ref="L14" r:id="rId21" display="https://us3.assetplanner.com/service_request?ID=102296" xr:uid="{4B5B04CB-2351-4E08-BC2C-41C4E3AC6889}"/>
    <hyperlink ref="M14" r:id="rId22" display="https://us3.assetplanner.com/service_request?ID=102336" xr:uid="{BC628534-437D-4952-B56C-BC04EB9EFAD0}"/>
    <hyperlink ref="N14" r:id="rId23" display="https://us3.assetplanner.com/service_request?ID=103740" xr:uid="{391C3BA2-4BAC-4501-B615-CD1FF521A73B}"/>
    <hyperlink ref="O14" r:id="rId24" display="https://us3.assetplanner.com/service_request?ID=099110" xr:uid="{71434F4E-C9AF-4CD5-B124-D44258D69B77}"/>
    <hyperlink ref="K15" r:id="rId25" display="https://us3.assetplanner.com/service_request?ID=101919" xr:uid="{FDAA594C-5DD2-425E-B6D9-4CFA5644724A}"/>
    <hyperlink ref="K16" r:id="rId26" display="https://us3.assetplanner.com/service_request?ID=103239" xr:uid="{61EDB9F4-8765-4C76-97C2-C9BD5D8D4B94}"/>
    <hyperlink ref="L16" r:id="rId27" display="https://us3.assetplanner.com/service_request?ID=103324" xr:uid="{F1A122CE-13DF-4702-8076-DF5AC9226B7D}"/>
    <hyperlink ref="K17" r:id="rId28" display="https://us3.assetplanner.com/service_request?ID=103048" xr:uid="{B7FAD80A-3448-40F9-BB5C-48CA6E09525A}"/>
    <hyperlink ref="K18" r:id="rId29" display="https://us3.assetplanner.com/service_request?ID=103686" xr:uid="{73324B53-2ED5-4640-80CB-AC98962BB2AE}"/>
    <hyperlink ref="L18" r:id="rId30" display="https://us3.assetplanner.com/service_request?ID=102669" xr:uid="{58A3FE8D-B0F5-4AD3-BEF2-2EB8E4FA3952}"/>
    <hyperlink ref="M18" r:id="rId31" display="https://us3.assetplanner.com/service_request?ID=101068" xr:uid="{A96549DC-0331-4F2D-873B-101BCFC31628}"/>
    <hyperlink ref="K19" r:id="rId32" display="https://us3.assetplanner.com/service_request?ID=099730" xr:uid="{99847A9D-6F33-43AE-A82F-647EFA6442A9}"/>
    <hyperlink ref="K20" r:id="rId33" display="https://us3.assetplanner.com/service_request?ID=103950" xr:uid="{BFE56F99-198C-45FC-B3ED-016B22DB4A81}"/>
    <hyperlink ref="K21" r:id="rId34" display="https://us3.assetplanner.com/service_request?ID=102316" xr:uid="{5C9BBDFB-3F38-4977-826E-16C73BCD6D8F}"/>
    <hyperlink ref="L21" r:id="rId35" display="https://us3.assetplanner.com/service_request?ID=099500" xr:uid="{67F05C19-10FC-45D8-8129-6B9C56075608}"/>
    <hyperlink ref="M21" r:id="rId36" display="https://us3.assetplanner.com/service_request?ID=098016" xr:uid="{23F3EB99-6DF1-4219-90FF-D361C67F0456}"/>
    <hyperlink ref="K22" r:id="rId37" display="https://us3.assetplanner.com/service_request?ID=103914" xr:uid="{5B027E7B-65F1-4956-A4DC-9086394EBFA4}"/>
    <hyperlink ref="K24" r:id="rId38" display="https://us3.assetplanner.com/service_request?ID=103124" xr:uid="{AE5EC2B1-AEC0-49FC-AC52-49E7CF2ED994}"/>
    <hyperlink ref="K25" r:id="rId39" display="https://us3.assetplanner.com/service_request?ID=104147" xr:uid="{8CC03F84-447A-47B0-8B37-14A2524E0EBA}"/>
    <hyperlink ref="L25" r:id="rId40" display="https://us3.assetplanner.com/service_request?ID=102794" xr:uid="{BD3B59EC-26B7-42D0-822C-0C6FB9668F79}"/>
    <hyperlink ref="M25" r:id="rId41" display="https://us3.assetplanner.com/service_request?ID=103335" xr:uid="{2A795D0A-6E13-4B1B-A458-442CAC65A92D}"/>
    <hyperlink ref="N25" r:id="rId42" display="https://us3.assetplanner.com/service_request?ID=102011" xr:uid="{6ED92836-AF77-48B0-A4D9-00897C4BFF07}"/>
    <hyperlink ref="K30" r:id="rId43" display="https://us3.assetplanner.com/service_request?ID=103561" xr:uid="{B130CD06-5980-4207-B776-57D51A499B5B}"/>
    <hyperlink ref="L30" r:id="rId44" display="https://us3.assetplanner.com/service_request?ID=102760" xr:uid="{B677505D-6888-4063-8AF7-B028D1E3DE66}"/>
    <hyperlink ref="M30" r:id="rId45" display="https://us3.assetplanner.com/service_request?ID=102137" xr:uid="{3982E84E-D720-4A7C-A66E-887BE4A9B209}"/>
    <hyperlink ref="K33" r:id="rId46" display="https://us3.assetplanner.com/service_request?ID=100833" xr:uid="{078EF5EC-4D7E-47C1-8826-12ADBFADB583}"/>
    <hyperlink ref="L33" r:id="rId47" display="https://us3.assetplanner.com/service_request?ID=102723" xr:uid="{8A758EEA-F1CF-4819-B3C9-B09C08161C4A}"/>
    <hyperlink ref="M33" r:id="rId48" display="https://us3.assetplanner.com/service_request?ID=103597" xr:uid="{539BF507-AA9B-4BF7-9EED-FD589953BBFC}"/>
    <hyperlink ref="K34" r:id="rId49" display="https://us3.assetplanner.com/service_request?ID=103375" xr:uid="{4A22A2E0-2134-437E-9194-5DB97FBC035B}"/>
    <hyperlink ref="L34" r:id="rId50" display="https://us3.assetplanner.com/service_request?ID=100883" xr:uid="{4C5F3696-BB5F-4F20-BA3A-CB93120A8D64}"/>
    <hyperlink ref="M34" r:id="rId51" display="https://us3.assetplanner.com/service_request?ID=103638" xr:uid="{9F7E33E1-C54D-4A30-8E7B-DF262E6CF1AB}"/>
    <hyperlink ref="K35" r:id="rId52" display="https://us3.assetplanner.com/service_request?ID=101936" xr:uid="{B4C82FFF-61A1-422D-BE01-024316CF74C1}"/>
    <hyperlink ref="K40" r:id="rId53" display="https://us3.assetplanner.com/service_request?ID=101963" xr:uid="{39726E4E-3937-424B-BBA0-ABC7AE35E2CB}"/>
    <hyperlink ref="K41" r:id="rId54" display="https://us3.assetplanner.com/service_request?ID=101818" xr:uid="{D44F76DF-2830-458C-A205-7E559A990D7C}"/>
    <hyperlink ref="K42" r:id="rId55" display="https://us3.assetplanner.com/service_request?ID=101034" xr:uid="{86A6B533-832D-4470-B487-56533AF1F5DF}"/>
    <hyperlink ref="L42" r:id="rId56" display="https://us3.assetplanner.com/service_request?ID=103779" xr:uid="{55E3AE85-E0A5-478E-BE51-5034C6062B92}"/>
    <hyperlink ref="M42" r:id="rId57" display="https://us3.assetplanner.com/service_request?ID=102621" xr:uid="{2BA36E10-7080-42FD-A44B-56424A40F8FC}"/>
    <hyperlink ref="K43" r:id="rId58" display="https://us3.assetplanner.com/service_request?ID=101021" xr:uid="{315280F5-4C39-4484-A021-EA498925C344}"/>
    <hyperlink ref="K44" r:id="rId59" display="https://us3.assetplanner.com/service_request?ID=100915" xr:uid="{32C77D1F-17D8-4F7E-8019-566B28CC5CAC}"/>
    <hyperlink ref="K45" r:id="rId60" display="https://us3.assetplanner.com/service_request?ID=101100" xr:uid="{B30067FC-F696-487E-A8D7-034C81999B2F}"/>
    <hyperlink ref="K46" r:id="rId61" display="https://us3.assetplanner.com/service_request?ID=100906" xr:uid="{31907AC6-B3BC-415B-B8AF-35F86347C4E1}"/>
    <hyperlink ref="L46" r:id="rId62" display="https://us3.assetplanner.com/service_request?ID=100906" xr:uid="{182972A8-D62C-45F3-9B9B-C286A4B528A0}"/>
    <hyperlink ref="M46" r:id="rId63" display="https://us3.assetplanner.com/service_request?ID=103517" xr:uid="{A77634AC-4E7F-42C5-8C5B-C76409F1FB09}"/>
    <hyperlink ref="K47" r:id="rId64" display="https://us3.assetplanner.com/service_request?ID=102419" xr:uid="{798179CD-B699-4E77-A8DE-BC6D09481185}"/>
    <hyperlink ref="K48" r:id="rId65" display="https://us3.assetplanner.com/service_request?ID=103160" xr:uid="{91D73C0F-F814-499D-8BCF-CC3C6F3FB2CD}"/>
    <hyperlink ref="L48" r:id="rId66" display="https://us3.assetplanner.com/service_request?ID=102283" xr:uid="{4E8A7AA4-EF2F-446E-9369-62B1E96F2F5C}"/>
    <hyperlink ref="K49" r:id="rId67" display="https://us3.assetplanner.com/service_request?ID=102418" xr:uid="{9ADD6E5A-2836-4538-8787-1FF50431B345}"/>
    <hyperlink ref="K50" r:id="rId68" display="https://us3.assetplanner.com/service_request?ID=102416" xr:uid="{F5553325-6912-49B8-917A-1B6DF36DEB01}"/>
    <hyperlink ref="K51" r:id="rId69" display="https://us3.assetplanner.com/service_request?ID=102392" xr:uid="{3E07AF59-0F50-4DC5-ACA8-D5734FBE9D70}"/>
    <hyperlink ref="K52" r:id="rId70" display="https://us3.assetplanner.com/service_request?ID=102539" xr:uid="{A6793CC7-3F16-4A42-8F86-19EA46B5295F}"/>
    <hyperlink ref="L52" r:id="rId71" display="https://us3.assetplanner.com/service_request?ID=102321" xr:uid="{94C42E1D-8DB5-4D90-8D06-6EB05E2C671D}"/>
    <hyperlink ref="M52" r:id="rId72" display="https://us3.assetplanner.com/service_request?ID=103636" xr:uid="{E01E2F53-2E99-4772-9EAC-B829AE1E37AB}"/>
    <hyperlink ref="K53" r:id="rId73" display="https://us3.assetplanner.com/service_request?ID=102320" xr:uid="{65C39B8D-CCE1-4633-AB8D-73DBD5441327}"/>
    <hyperlink ref="K54" r:id="rId74" display="https://us3.assetplanner.com/service_request?ID=102317" xr:uid="{F324D5A6-C50E-48E8-959A-BFD61FCD2BC1}"/>
    <hyperlink ref="K55" r:id="rId75" display="https://us3.assetplanner.com/service_request?ID=102315" xr:uid="{8E788402-4DB5-4CCB-B667-932634FC9DE8}"/>
    <hyperlink ref="L55" r:id="rId76" display="https://us3.assetplanner.com/service_request?ID=102315" xr:uid="{23EFB232-91D1-4294-B351-71ADF3CD9CD6}"/>
    <hyperlink ref="K56" r:id="rId77" display="https://us3.assetplanner.com/service_request?ID=102286" xr:uid="{B944F912-2EBC-4758-841B-DA3A194D4E6B}"/>
    <hyperlink ref="L56" r:id="rId78" display="https://us3.assetplanner.com/service_request?ID=102286" xr:uid="{24D797AD-6789-41CE-AEA3-CBFA16294193}"/>
    <hyperlink ref="K57" r:id="rId79" display="https://us3.assetplanner.com/service_request?ID=102281" xr:uid="{36886C06-2446-4393-B4CC-7F06DB0060F1}"/>
    <hyperlink ref="K59" r:id="rId80" display="https://us3.assetplanner.com/service_request?ID=102503" xr:uid="{A363345C-DD1E-4D80-874A-06C493CABC58}"/>
    <hyperlink ref="K60" r:id="rId81" display="https://us3.assetplanner.com/service_request?ID=102451" xr:uid="{A0FDC0A5-1E25-40B7-84C6-BD437CC46E17}"/>
    <hyperlink ref="K61" r:id="rId82" display="https://us3.assetplanner.com/service_request?ID=102321" xr:uid="{7937FFA6-DA85-46E6-A0F1-018214E92575}"/>
    <hyperlink ref="L61" r:id="rId83" display="https://us3.assetplanner.com/service_request?ID=102539" xr:uid="{F41007E6-6280-4100-BDEB-F81D6D3C46FE}"/>
    <hyperlink ref="M61" r:id="rId84" display="https://us3.assetplanner.com/service_request?ID=103636" xr:uid="{295FBD20-71C5-4C68-912F-9AABEC1A866D}"/>
    <hyperlink ref="K62" r:id="rId85" display="https://us3.assetplanner.com/service_request?ID=102329" xr:uid="{8DCB856F-AB42-4A9C-84CB-13631E34373E}"/>
    <hyperlink ref="L62" r:id="rId86" display="https://us3.assetplanner.com/service_request?ID=102329" xr:uid="{778848D7-451C-46EB-B6D5-6FBF7217AF5A}"/>
    <hyperlink ref="M62" r:id="rId87" display="https://us3.assetplanner.com/service_request?ID=102329" xr:uid="{AD46389D-570D-4AC4-BF85-2F864AECC43C}"/>
    <hyperlink ref="N62" r:id="rId88" display="https://us3.assetplanner.com/service_request?ID=102329" xr:uid="{E37E7D0A-E2C5-4E85-A336-610506BE672D}"/>
    <hyperlink ref="K63" r:id="rId89" display="https://us3.assetplanner.com/service_request?ID=102303" xr:uid="{6518BAFC-70E8-4E4B-A0F6-7EA1F3116373}"/>
    <hyperlink ref="K64" r:id="rId90" display="https://us3.assetplanner.com/service_request?ID=102411" xr:uid="{06C04538-9656-42A0-92A4-B05F6D30D66D}"/>
    <hyperlink ref="K65" r:id="rId91" display="https://us3.assetplanner.com/service_request?ID=102403" xr:uid="{650D4C53-4850-4DF9-A7A5-693DB0A4BB50}"/>
    <hyperlink ref="K66" r:id="rId92" display="https://us3.assetplanner.com/service_request?ID=102310" xr:uid="{187B3806-307F-4CBE-A696-97B75C4E4BC0}"/>
    <hyperlink ref="K68" r:id="rId93" display="https://us3.assetplanner.com/service_request?ID=102450" xr:uid="{F09CD124-5629-451E-8D30-295D5D678858}"/>
    <hyperlink ref="K69" r:id="rId94" display="https://us3.assetplanner.com/service_request?ID=102413" xr:uid="{6755C33F-F247-43AC-B38E-83617D093611}"/>
    <hyperlink ref="K70" r:id="rId95" display="https://us3.assetplanner.com/service_request?ID=102425" xr:uid="{498B0BAF-9DBB-48F7-8521-7EC05F7FC7AB}"/>
    <hyperlink ref="K71" r:id="rId96" display="https://us3.assetplanner.com/service_request?ID=102820" xr:uid="{84A3C0B6-83B4-4AFA-B232-9660C7FAFFED}"/>
    <hyperlink ref="K72" r:id="rId97" display="https://us3.assetplanner.com/service_request?ID=102424" xr:uid="{5D8E9743-E101-4ED5-A3D0-0EEF152A21CA}"/>
    <hyperlink ref="K73" r:id="rId98" display="https://us3.assetplanner.com/service_request?ID=102423" xr:uid="{AD13C978-B938-4A1C-BBE7-94AC0DBB0F6F}"/>
    <hyperlink ref="K74" r:id="rId99" display="https://us3.assetplanner.com/service_request?ID=102421" xr:uid="{BABF87F8-497B-4E5F-955A-28755C61A147}"/>
    <hyperlink ref="K75" r:id="rId100" display="https://us3.assetplanner.com/service_request?ID=102420" xr:uid="{E712F7BF-A380-40BE-A106-39B70EFB8A0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P327"/>
  <sheetViews>
    <sheetView zoomScale="70" zoomScaleNormal="70" workbookViewId="0">
      <pane xSplit="2" ySplit="3" topLeftCell="C5" activePane="bottomRight" state="frozen"/>
      <selection pane="bottomRight" activeCell="I6" sqref="I6"/>
      <selection pane="bottomLeft" activeCell="H13" sqref="H13"/>
      <selection pane="topRight" activeCell="H13" sqref="H13"/>
    </sheetView>
  </sheetViews>
  <sheetFormatPr defaultRowHeight="13.9"/>
  <cols>
    <col min="1" max="1" width="52.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6" width="9.140625" style="104"/>
  </cols>
  <sheetData>
    <row r="1" spans="1:16" ht="19.5" customHeight="1">
      <c r="A1" s="106" t="str" cm="1">
        <f t="array" ref="A1">portfolio</f>
        <v>Clean Capital</v>
      </c>
      <c r="B1" s="106"/>
      <c r="C1" s="106"/>
      <c r="D1" s="107" t="s">
        <v>345</v>
      </c>
      <c r="E1" s="107"/>
      <c r="F1" s="107"/>
      <c r="G1" s="105" t="s">
        <v>346</v>
      </c>
      <c r="H1" s="105"/>
      <c r="I1" s="105"/>
      <c r="J1" s="4"/>
      <c r="K1" s="4"/>
    </row>
    <row r="2" spans="1:16" ht="19.5" customHeight="1">
      <c r="A2" s="108" t="s">
        <v>2</v>
      </c>
      <c r="B2" s="108"/>
      <c r="C2" s="5">
        <f>SUM(C4:C85)</f>
        <v>6188915.652209864</v>
      </c>
      <c r="D2" s="5">
        <f>SUM(D4:D85)</f>
        <v>4213786.7369083203</v>
      </c>
      <c r="E2" s="5">
        <f>C2-D2</f>
        <v>1975128.9153015437</v>
      </c>
      <c r="F2" s="6">
        <f>IFERROR(E2/D2, 0)</f>
        <v>0.46873015618030711</v>
      </c>
      <c r="G2" s="5">
        <f>SUM(G4:G85)</f>
        <v>7276054.1450000023</v>
      </c>
      <c r="H2" s="7">
        <f>C2-G2</f>
        <v>-1087138.4927901383</v>
      </c>
      <c r="I2" s="6">
        <f>IFERROR(H2/G2, 0)</f>
        <v>-0.14941319444924747</v>
      </c>
      <c r="J2" s="11" t="str">
        <f ca="1">IF(AND(TODAY()&gt;DATE(2024, 7, 1), COUNTA(Sites[Site])&lt;&gt;(COUNT(C:C)-1)), "Some sites are missing actual data; if new sites were added, make sure they are aligned correctly (including prior months!)", "")</f>
        <v/>
      </c>
      <c r="K2" s="4"/>
    </row>
    <row r="3" spans="1:16" ht="14.25" customHeight="1">
      <c r="A3" s="12" t="s">
        <v>3</v>
      </c>
      <c r="B3" s="12" t="s">
        <v>4</v>
      </c>
      <c r="C3" s="19" t="s">
        <v>5</v>
      </c>
      <c r="D3" s="20" t="s">
        <v>6</v>
      </c>
      <c r="E3" s="20" t="s">
        <v>7</v>
      </c>
      <c r="F3" s="21" t="s">
        <v>8</v>
      </c>
      <c r="G3" s="22" t="s">
        <v>9</v>
      </c>
      <c r="H3" s="23" t="s">
        <v>7</v>
      </c>
      <c r="I3" s="24" t="s">
        <v>8</v>
      </c>
      <c r="J3" s="10" t="s">
        <v>42</v>
      </c>
      <c r="K3" s="10" t="s">
        <v>21</v>
      </c>
    </row>
    <row r="4" spans="1:16" ht="57" customHeight="1">
      <c r="A4" s="39" t="str" cm="1">
        <f t="array" ref="A4:A85">Sites[Site]</f>
        <v>Lexington - Cotting School</v>
      </c>
      <c r="B4" s="40" t="str" cm="1">
        <f t="array" ref="B4:B85">Sites[State]</f>
        <v>MA</v>
      </c>
      <c r="C4" s="28">
        <v>45160</v>
      </c>
      <c r="D4" s="29" t="s">
        <v>43</v>
      </c>
      <c r="E4" s="29" t="str">
        <f>IF(AND(ISNUMBER(C4),ISNUMBER(D4)), C4-D4, "")</f>
        <v/>
      </c>
      <c r="F4" s="30" t="str">
        <f t="shared" ref="F4:F35" si="0">IFERROR(E4/D4, "")</f>
        <v/>
      </c>
      <c r="G4" s="73" t="s">
        <v>43</v>
      </c>
      <c r="H4" s="31" t="str">
        <f>IF(AND(ISNUMBER(C4),ISNUMBER(G4)), C4-G4, "")</f>
        <v/>
      </c>
      <c r="I4" s="32" t="str">
        <f>IFERROR(H4/G4, "")</f>
        <v/>
      </c>
      <c r="J4" s="49" t="s">
        <v>206</v>
      </c>
      <c r="K4" s="67" t="s">
        <v>207</v>
      </c>
    </row>
    <row r="5" spans="1:16" ht="248.25" customHeight="1">
      <c r="A5" s="41" t="str">
        <v>Pacoima - Whiteman Airport</v>
      </c>
      <c r="B5" s="42" t="str">
        <v>CA</v>
      </c>
      <c r="C5" s="35">
        <v>33959.1</v>
      </c>
      <c r="D5" s="36" t="s">
        <v>43</v>
      </c>
      <c r="E5" s="36" t="str">
        <f t="shared" ref="E5" si="1">IF(AND(ISNUMBER(C5),ISNUMBER(D5)), C5-D5, "")</f>
        <v/>
      </c>
      <c r="F5" s="37" t="str">
        <f t="shared" si="0"/>
        <v/>
      </c>
      <c r="G5" s="38">
        <v>68640</v>
      </c>
      <c r="H5" s="38">
        <f t="shared" ref="H5:H12" si="2">IF(AND(ISNUMBER(C5),ISNUMBER(G5)), C5-G5, "")</f>
        <v>-34680.9</v>
      </c>
      <c r="I5" s="37">
        <f t="shared" ref="I5:I12" si="3">IFERROR(H5/G5, "")</f>
        <v>-0.50525786713286713</v>
      </c>
      <c r="J5" s="60" t="s">
        <v>347</v>
      </c>
      <c r="K5" s="68" t="s">
        <v>348</v>
      </c>
      <c r="L5" s="95" t="s">
        <v>135</v>
      </c>
      <c r="M5" s="95" t="s">
        <v>135</v>
      </c>
      <c r="N5" s="95" t="s">
        <v>135</v>
      </c>
      <c r="O5" s="95" t="s">
        <v>136</v>
      </c>
      <c r="P5" s="95" t="s">
        <v>349</v>
      </c>
    </row>
    <row r="6" spans="1:16" ht="15.6">
      <c r="A6" s="43" t="str">
        <v>Hyannis - Sturgis Charter School</v>
      </c>
      <c r="B6" s="40" t="str">
        <v>MA</v>
      </c>
      <c r="C6" s="28">
        <v>38047.875</v>
      </c>
      <c r="D6" s="29" t="s">
        <v>43</v>
      </c>
      <c r="E6" s="29" t="str">
        <f t="shared" ref="E6:E37" si="4">IF(AND(ISNUMBER(C6),ISNUMBER(D6)), C6-D6, "")</f>
        <v/>
      </c>
      <c r="F6" s="30" t="str">
        <f t="shared" si="0"/>
        <v/>
      </c>
      <c r="G6" s="31">
        <v>36029.08</v>
      </c>
      <c r="H6" s="31">
        <f>IF(AND(ISNUMBER(C6),ISNUMBER(G6)), C6-G6, "")</f>
        <v>2018.7949999999983</v>
      </c>
      <c r="I6" s="32">
        <f>IFERROR(H6/G6, "")</f>
        <v>5.603237717976696E-2</v>
      </c>
      <c r="J6" s="49" t="s">
        <v>350</v>
      </c>
      <c r="K6" s="67" t="s">
        <v>351</v>
      </c>
    </row>
    <row r="7" spans="1:16" ht="57.6">
      <c r="A7" s="41" t="str">
        <v>South Dennis - Tony Kent Arena</v>
      </c>
      <c r="B7" s="42" t="str">
        <v>MA</v>
      </c>
      <c r="C7" s="35">
        <v>45190</v>
      </c>
      <c r="D7" s="36" t="s">
        <v>43</v>
      </c>
      <c r="E7" s="36" t="str">
        <f t="shared" si="4"/>
        <v/>
      </c>
      <c r="F7" s="37" t="str">
        <f t="shared" si="0"/>
        <v/>
      </c>
      <c r="G7" s="102" t="s">
        <v>43</v>
      </c>
      <c r="H7" s="38" t="str">
        <f t="shared" si="2"/>
        <v/>
      </c>
      <c r="I7" s="37" t="str">
        <f>IFERROR(H7/G7, "")</f>
        <v/>
      </c>
      <c r="J7" s="50" t="s">
        <v>91</v>
      </c>
      <c r="K7" s="68" t="s">
        <v>137</v>
      </c>
      <c r="L7" s="95" t="s">
        <v>53</v>
      </c>
    </row>
    <row r="8" spans="1:16" ht="86.45">
      <c r="A8" s="43" t="str">
        <v xml:space="preserve"> Caropolis - Felician Sisters</v>
      </c>
      <c r="B8" s="40" t="str">
        <v>PA</v>
      </c>
      <c r="C8" s="28">
        <v>67944.600000000006</v>
      </c>
      <c r="D8" s="29" t="s">
        <v>43</v>
      </c>
      <c r="E8" s="29" t="str">
        <f t="shared" si="4"/>
        <v/>
      </c>
      <c r="F8" s="30" t="str">
        <f t="shared" si="0"/>
        <v/>
      </c>
      <c r="G8" s="73" t="s">
        <v>43</v>
      </c>
      <c r="H8" s="31" t="str">
        <f t="shared" si="2"/>
        <v/>
      </c>
      <c r="I8" s="32" t="str">
        <f t="shared" si="3"/>
        <v/>
      </c>
      <c r="J8" s="49" t="s">
        <v>209</v>
      </c>
      <c r="K8" s="67" t="s">
        <v>210</v>
      </c>
      <c r="L8" s="95" t="s">
        <v>95</v>
      </c>
    </row>
    <row r="9" spans="1:16" ht="65.45" customHeight="1">
      <c r="A9" s="41" t="str">
        <v>Clear Lake - Eastlake Gohman</v>
      </c>
      <c r="B9" s="42" t="str">
        <v>MN</v>
      </c>
      <c r="C9" s="35">
        <v>194116</v>
      </c>
      <c r="D9" s="36" t="s">
        <v>43</v>
      </c>
      <c r="E9" s="36" t="str">
        <f t="shared" si="4"/>
        <v/>
      </c>
      <c r="F9" s="37" t="str">
        <f t="shared" si="0"/>
        <v/>
      </c>
      <c r="G9" s="38">
        <v>211756.7</v>
      </c>
      <c r="H9" s="38">
        <f t="shared" si="2"/>
        <v>-17640.700000000012</v>
      </c>
      <c r="I9" s="37">
        <f t="shared" si="3"/>
        <v>-8.3306455002368329E-2</v>
      </c>
      <c r="J9" s="66" t="s">
        <v>352</v>
      </c>
      <c r="K9" s="68" t="s">
        <v>353</v>
      </c>
      <c r="L9" s="95" t="s">
        <v>354</v>
      </c>
      <c r="M9" s="95" t="s">
        <v>355</v>
      </c>
    </row>
    <row r="10" spans="1:16" ht="15.6">
      <c r="A10" s="43" t="str">
        <v>Zumbrota - Eastlake Brenda Luhman</v>
      </c>
      <c r="B10" s="40" t="str">
        <v>MN</v>
      </c>
      <c r="C10" s="28">
        <v>217797</v>
      </c>
      <c r="D10" s="29" t="s">
        <v>43</v>
      </c>
      <c r="E10" s="29" t="str">
        <f t="shared" si="4"/>
        <v/>
      </c>
      <c r="F10" s="30" t="str">
        <f t="shared" si="0"/>
        <v/>
      </c>
      <c r="G10" s="31">
        <v>207047.9</v>
      </c>
      <c r="H10" s="31">
        <f t="shared" si="2"/>
        <v>10749.100000000006</v>
      </c>
      <c r="I10" s="32">
        <f t="shared" si="3"/>
        <v>5.1916005909743622E-2</v>
      </c>
      <c r="J10" s="49"/>
      <c r="K10" s="49"/>
    </row>
    <row r="11" spans="1:16" ht="28.9">
      <c r="A11" s="41" t="str">
        <v>Cokato - Eastlake Carlson</v>
      </c>
      <c r="B11" s="42" t="str">
        <v>MN</v>
      </c>
      <c r="C11" s="35">
        <v>209302</v>
      </c>
      <c r="D11" s="36" t="s">
        <v>43</v>
      </c>
      <c r="E11" s="36" t="str">
        <f t="shared" si="4"/>
        <v/>
      </c>
      <c r="F11" s="37" t="str">
        <f t="shared" si="0"/>
        <v/>
      </c>
      <c r="G11" s="38">
        <v>222404</v>
      </c>
      <c r="H11" s="38">
        <f t="shared" si="2"/>
        <v>-13102</v>
      </c>
      <c r="I11" s="37">
        <f t="shared" si="3"/>
        <v>-5.8910810956637472E-2</v>
      </c>
      <c r="J11" s="50" t="s">
        <v>356</v>
      </c>
      <c r="K11" s="68" t="s">
        <v>357</v>
      </c>
    </row>
    <row r="12" spans="1:16" ht="72">
      <c r="A12" s="43" t="str">
        <v>North Branch - Cornille 2</v>
      </c>
      <c r="B12" s="40" t="str">
        <v>MN</v>
      </c>
      <c r="C12" s="28">
        <v>213975</v>
      </c>
      <c r="D12" s="29" t="s">
        <v>43</v>
      </c>
      <c r="E12" s="29" t="str">
        <f t="shared" si="4"/>
        <v/>
      </c>
      <c r="F12" s="30" t="str">
        <f t="shared" si="0"/>
        <v/>
      </c>
      <c r="G12" s="31">
        <v>208780.4</v>
      </c>
      <c r="H12" s="31">
        <f t="shared" si="2"/>
        <v>5194.6000000000058</v>
      </c>
      <c r="I12" s="32">
        <f t="shared" si="3"/>
        <v>2.4880688033934249E-2</v>
      </c>
      <c r="J12" s="49" t="s">
        <v>358</v>
      </c>
      <c r="K12" s="67" t="s">
        <v>359</v>
      </c>
      <c r="L12" s="95" t="s">
        <v>152</v>
      </c>
    </row>
    <row r="13" spans="1:16" ht="28.9">
      <c r="A13" s="41" t="str">
        <v>Clear Lake - Eastlake Hammer</v>
      </c>
      <c r="B13" s="42" t="str">
        <v>MN</v>
      </c>
      <c r="C13" s="35">
        <v>260364.685323382</v>
      </c>
      <c r="D13" s="36" t="s">
        <v>43</v>
      </c>
      <c r="E13" s="36" t="str">
        <f t="shared" si="4"/>
        <v/>
      </c>
      <c r="F13" s="37" t="str">
        <f t="shared" si="0"/>
        <v/>
      </c>
      <c r="G13" s="38">
        <v>272073.8</v>
      </c>
      <c r="H13" s="38">
        <f t="shared" ref="H13:H44" si="5">IF(AND(ISNUMBER(C13),ISNUMBER(G13)), C13-G13, "")</f>
        <v>-11709.114676617988</v>
      </c>
      <c r="I13" s="37">
        <f t="shared" ref="I13:I44" si="6">IFERROR(H13/G13, "")</f>
        <v>-4.3036538897232988E-2</v>
      </c>
      <c r="J13" s="50" t="s">
        <v>360</v>
      </c>
      <c r="K13" s="68" t="s">
        <v>361</v>
      </c>
    </row>
    <row r="14" spans="1:16" ht="83.25" customHeight="1">
      <c r="A14" s="43" t="str">
        <v>Eastlake - Hertzberg CSG 1</v>
      </c>
      <c r="B14" s="40" t="str">
        <v>MN</v>
      </c>
      <c r="C14" s="28">
        <v>227610.99400000001</v>
      </c>
      <c r="D14" s="29" t="s">
        <v>43</v>
      </c>
      <c r="E14" s="29" t="str">
        <f t="shared" si="4"/>
        <v/>
      </c>
      <c r="F14" s="30" t="str">
        <f t="shared" si="0"/>
        <v/>
      </c>
      <c r="G14" s="31">
        <v>268893.815</v>
      </c>
      <c r="H14" s="31">
        <f t="shared" si="5"/>
        <v>-41282.820999999996</v>
      </c>
      <c r="I14" s="32">
        <f t="shared" si="6"/>
        <v>-0.15352833980208877</v>
      </c>
      <c r="J14" s="49" t="s">
        <v>362</v>
      </c>
      <c r="K14" s="67" t="s">
        <v>363</v>
      </c>
      <c r="L14" s="95" t="s">
        <v>364</v>
      </c>
    </row>
    <row r="15" spans="1:16" ht="28.9">
      <c r="A15" s="41" t="str">
        <v>Cokato - Eastlake Laurel Village</v>
      </c>
      <c r="B15" s="42" t="str">
        <v>MN</v>
      </c>
      <c r="C15" s="35">
        <v>276621</v>
      </c>
      <c r="D15" s="36" t="s">
        <v>43</v>
      </c>
      <c r="E15" s="36" t="str">
        <f t="shared" si="4"/>
        <v/>
      </c>
      <c r="F15" s="37" t="str">
        <f t="shared" si="0"/>
        <v/>
      </c>
      <c r="G15" s="38">
        <v>273010.2</v>
      </c>
      <c r="H15" s="38">
        <f t="shared" si="5"/>
        <v>3610.7999999999884</v>
      </c>
      <c r="I15" s="37">
        <f t="shared" si="6"/>
        <v>1.3225879472635045E-2</v>
      </c>
      <c r="J15" s="50" t="s">
        <v>365</v>
      </c>
      <c r="K15" s="68" t="s">
        <v>366</v>
      </c>
    </row>
    <row r="16" spans="1:16" ht="43.15">
      <c r="A16" s="43" t="str">
        <v>St. Peter - Eastlake Paulson</v>
      </c>
      <c r="B16" s="40" t="str">
        <v>MN</v>
      </c>
      <c r="C16" s="28">
        <v>221361.14769025601</v>
      </c>
      <c r="D16" s="29" t="s">
        <v>43</v>
      </c>
      <c r="E16" s="29" t="str">
        <f t="shared" si="4"/>
        <v/>
      </c>
      <c r="F16" s="30" t="str">
        <f t="shared" si="0"/>
        <v/>
      </c>
      <c r="G16" s="31">
        <v>232603</v>
      </c>
      <c r="H16" s="31">
        <f t="shared" si="5"/>
        <v>-11241.85230974399</v>
      </c>
      <c r="I16" s="32">
        <f t="shared" si="6"/>
        <v>-4.8330641951066795E-2</v>
      </c>
      <c r="J16" s="49" t="s">
        <v>367</v>
      </c>
      <c r="K16" s="67" t="s">
        <v>368</v>
      </c>
      <c r="L16" s="95" t="s">
        <v>369</v>
      </c>
    </row>
    <row r="17" spans="1:14" ht="57.6">
      <c r="A17" s="41" t="str">
        <v>Felician Sisters Convent</v>
      </c>
      <c r="B17" s="42" t="str">
        <v>NJ</v>
      </c>
      <c r="C17" s="35">
        <v>4559.3999999999996</v>
      </c>
      <c r="D17" s="36" t="s">
        <v>43</v>
      </c>
      <c r="E17" s="36" t="str">
        <f t="shared" si="4"/>
        <v/>
      </c>
      <c r="F17" s="37" t="str">
        <f t="shared" si="0"/>
        <v/>
      </c>
      <c r="G17" s="74" t="s">
        <v>43</v>
      </c>
      <c r="H17" s="38" t="str">
        <f t="shared" si="5"/>
        <v/>
      </c>
      <c r="I17" s="37" t="str">
        <f t="shared" si="6"/>
        <v/>
      </c>
      <c r="J17" s="50" t="s">
        <v>370</v>
      </c>
      <c r="K17" s="68" t="s">
        <v>235</v>
      </c>
    </row>
    <row r="18" spans="1:14" ht="72">
      <c r="A18" s="43" t="str">
        <v>Sussex County Fairgrounds</v>
      </c>
      <c r="B18" s="40" t="str">
        <v>NJ</v>
      </c>
      <c r="C18" s="28">
        <v>63906.8</v>
      </c>
      <c r="D18" s="29" t="s">
        <v>43</v>
      </c>
      <c r="E18" s="29" t="str">
        <f t="shared" si="4"/>
        <v/>
      </c>
      <c r="F18" s="30" t="str">
        <f t="shared" si="0"/>
        <v/>
      </c>
      <c r="G18" s="73" t="s">
        <v>43</v>
      </c>
      <c r="H18" s="31" t="str">
        <f t="shared" si="5"/>
        <v/>
      </c>
      <c r="I18" s="32" t="str">
        <f t="shared" si="6"/>
        <v/>
      </c>
      <c r="J18" s="49" t="s">
        <v>371</v>
      </c>
      <c r="K18" s="67" t="s">
        <v>372</v>
      </c>
      <c r="L18" s="95" t="s">
        <v>121</v>
      </c>
    </row>
    <row r="19" spans="1:14" ht="57.6">
      <c r="A19" s="41" t="str">
        <v>Gateway Church</v>
      </c>
      <c r="B19" s="42" t="str">
        <v>NJ</v>
      </c>
      <c r="C19" s="35">
        <v>35865</v>
      </c>
      <c r="D19" s="36" t="s">
        <v>43</v>
      </c>
      <c r="E19" s="36" t="str">
        <f t="shared" si="4"/>
        <v/>
      </c>
      <c r="F19" s="37" t="str">
        <f t="shared" si="0"/>
        <v/>
      </c>
      <c r="G19" s="74" t="s">
        <v>43</v>
      </c>
      <c r="H19" s="38" t="str">
        <f t="shared" si="5"/>
        <v/>
      </c>
      <c r="I19" s="37" t="str">
        <f t="shared" si="6"/>
        <v/>
      </c>
      <c r="J19" s="50" t="s">
        <v>373</v>
      </c>
      <c r="K19" s="68" t="s">
        <v>374</v>
      </c>
    </row>
    <row r="20" spans="1:14" ht="57.6">
      <c r="A20" s="43" t="str">
        <v>Beaver Falls - Felician Sisters</v>
      </c>
      <c r="B20" s="40" t="str">
        <v>PA</v>
      </c>
      <c r="C20" s="28">
        <v>48534</v>
      </c>
      <c r="D20" s="29" t="s">
        <v>43</v>
      </c>
      <c r="E20" s="29" t="str">
        <f t="shared" si="4"/>
        <v/>
      </c>
      <c r="F20" s="30" t="str">
        <f t="shared" si="0"/>
        <v/>
      </c>
      <c r="G20" s="73" t="s">
        <v>43</v>
      </c>
      <c r="H20" s="31" t="str">
        <f t="shared" si="5"/>
        <v/>
      </c>
      <c r="I20" s="32" t="str">
        <f t="shared" si="6"/>
        <v/>
      </c>
      <c r="J20" s="49" t="s">
        <v>375</v>
      </c>
      <c r="K20" s="67" t="s">
        <v>242</v>
      </c>
    </row>
    <row r="21" spans="1:14" ht="72">
      <c r="A21" s="41" t="str">
        <v>Livonia - Felician Sisters Ground</v>
      </c>
      <c r="B21" s="42" t="str">
        <v>MI</v>
      </c>
      <c r="C21" s="35">
        <v>0</v>
      </c>
      <c r="D21" s="36" t="s">
        <v>43</v>
      </c>
      <c r="E21" s="36" t="str">
        <f t="shared" si="4"/>
        <v/>
      </c>
      <c r="F21" s="37" t="str">
        <f t="shared" si="0"/>
        <v/>
      </c>
      <c r="G21" s="74" t="s">
        <v>43</v>
      </c>
      <c r="H21" s="38" t="str">
        <f t="shared" si="5"/>
        <v/>
      </c>
      <c r="I21" s="37" t="str">
        <f t="shared" si="6"/>
        <v/>
      </c>
      <c r="J21" s="50" t="s">
        <v>376</v>
      </c>
      <c r="K21" s="68" t="s">
        <v>244</v>
      </c>
      <c r="L21" s="95" t="s">
        <v>127</v>
      </c>
      <c r="M21" s="95" t="s">
        <v>80</v>
      </c>
    </row>
    <row r="22" spans="1:14" ht="15.6">
      <c r="A22" s="43" t="str">
        <v>Livonia - Felician Sisters Roof</v>
      </c>
      <c r="B22" s="40" t="str">
        <v>MI</v>
      </c>
      <c r="C22" s="28">
        <v>17462</v>
      </c>
      <c r="D22" s="29" t="s">
        <v>43</v>
      </c>
      <c r="E22" s="29" t="str">
        <f t="shared" si="4"/>
        <v/>
      </c>
      <c r="F22" s="30" t="str">
        <f t="shared" si="0"/>
        <v/>
      </c>
      <c r="G22" s="73" t="s">
        <v>43</v>
      </c>
      <c r="H22" s="31" t="str">
        <f t="shared" si="5"/>
        <v/>
      </c>
      <c r="I22" s="32" t="str">
        <f t="shared" si="6"/>
        <v/>
      </c>
      <c r="J22" s="49" t="s">
        <v>377</v>
      </c>
      <c r="K22" s="67" t="s">
        <v>378</v>
      </c>
      <c r="L22" s="95" t="s">
        <v>379</v>
      </c>
    </row>
    <row r="23" spans="1:14" ht="15.6">
      <c r="A23" s="41" t="str">
        <v>Monmouth Worship Ctr</v>
      </c>
      <c r="B23" s="42" t="str">
        <v>NJ</v>
      </c>
      <c r="C23" s="35">
        <v>12364</v>
      </c>
      <c r="D23" s="36" t="s">
        <v>43</v>
      </c>
      <c r="E23" s="36" t="str">
        <f t="shared" si="4"/>
        <v/>
      </c>
      <c r="F23" s="37" t="str">
        <f t="shared" si="0"/>
        <v/>
      </c>
      <c r="G23" s="74" t="s">
        <v>43</v>
      </c>
      <c r="H23" s="38" t="str">
        <f t="shared" si="5"/>
        <v/>
      </c>
      <c r="I23" s="37" t="str">
        <f t="shared" si="6"/>
        <v/>
      </c>
      <c r="J23" s="50"/>
      <c r="K23" s="51"/>
    </row>
    <row r="24" spans="1:14" ht="57.6">
      <c r="A24" s="43" t="str">
        <v xml:space="preserve"> Audubon - Senior Citizens United</v>
      </c>
      <c r="B24" s="40" t="str">
        <v>NJ</v>
      </c>
      <c r="C24" s="28">
        <v>14095</v>
      </c>
      <c r="D24" s="29" t="s">
        <v>43</v>
      </c>
      <c r="E24" s="29" t="str">
        <f t="shared" si="4"/>
        <v/>
      </c>
      <c r="F24" s="30" t="str">
        <f t="shared" si="0"/>
        <v/>
      </c>
      <c r="G24" s="73" t="s">
        <v>43</v>
      </c>
      <c r="H24" s="31" t="str">
        <f t="shared" si="5"/>
        <v/>
      </c>
      <c r="I24" s="32" t="str">
        <f t="shared" si="6"/>
        <v/>
      </c>
      <c r="J24" s="49" t="s">
        <v>380</v>
      </c>
      <c r="K24" s="67" t="s">
        <v>248</v>
      </c>
    </row>
    <row r="25" spans="1:14" ht="124.5" customHeight="1">
      <c r="A25" s="41" t="str">
        <v>Hollister - PG&amp;E (Enerparc)</v>
      </c>
      <c r="B25" s="42" t="str">
        <v>CA</v>
      </c>
      <c r="C25" s="35">
        <v>0</v>
      </c>
      <c r="D25" s="36">
        <v>0</v>
      </c>
      <c r="E25" s="36">
        <f t="shared" si="4"/>
        <v>0</v>
      </c>
      <c r="F25" s="37" t="str">
        <f t="shared" si="0"/>
        <v/>
      </c>
      <c r="G25" s="38">
        <v>418819.3</v>
      </c>
      <c r="H25" s="38">
        <f t="shared" si="5"/>
        <v>-418819.3</v>
      </c>
      <c r="I25" s="37">
        <f t="shared" si="6"/>
        <v>-1</v>
      </c>
      <c r="J25" s="50" t="s">
        <v>381</v>
      </c>
      <c r="K25" s="68" t="s">
        <v>382</v>
      </c>
      <c r="L25" s="95" t="s">
        <v>383</v>
      </c>
      <c r="M25" s="95" t="s">
        <v>251</v>
      </c>
      <c r="N25" s="95" t="s">
        <v>252</v>
      </c>
    </row>
    <row r="26" spans="1:14" ht="28.9">
      <c r="A26" s="43" t="str">
        <v>Taos County - Kit Carson Electric Co-Op</v>
      </c>
      <c r="B26" s="40" t="str">
        <v>NM</v>
      </c>
      <c r="C26" s="28">
        <v>318620</v>
      </c>
      <c r="D26" s="29">
        <v>232697.4</v>
      </c>
      <c r="E26" s="29">
        <f t="shared" si="4"/>
        <v>85922.6</v>
      </c>
      <c r="F26" s="30">
        <f t="shared" si="0"/>
        <v>0.36924606806951865</v>
      </c>
      <c r="G26" s="31">
        <v>212995</v>
      </c>
      <c r="H26" s="31">
        <f t="shared" si="5"/>
        <v>105625</v>
      </c>
      <c r="I26" s="32">
        <f t="shared" si="6"/>
        <v>0.49590365971032185</v>
      </c>
      <c r="J26" s="49" t="s">
        <v>384</v>
      </c>
      <c r="K26" s="49"/>
    </row>
    <row r="27" spans="1:14" ht="28.9">
      <c r="A27" s="41" t="str">
        <v>Commerce City - Adams City HS</v>
      </c>
      <c r="B27" s="42" t="str">
        <v>CO</v>
      </c>
      <c r="C27" s="35">
        <v>16174</v>
      </c>
      <c r="D27" s="36">
        <v>13789.06</v>
      </c>
      <c r="E27" s="36">
        <f t="shared" si="4"/>
        <v>2384.9400000000005</v>
      </c>
      <c r="F27" s="37">
        <f t="shared" si="0"/>
        <v>0.17295885288772408</v>
      </c>
      <c r="G27" s="38">
        <v>15090.74</v>
      </c>
      <c r="H27" s="38">
        <f t="shared" si="5"/>
        <v>1083.2600000000002</v>
      </c>
      <c r="I27" s="37">
        <f t="shared" si="6"/>
        <v>7.1783093473216042E-2</v>
      </c>
      <c r="J27" s="50" t="s">
        <v>385</v>
      </c>
      <c r="K27" s="51"/>
    </row>
    <row r="28" spans="1:14" ht="15.6">
      <c r="A28" s="43" t="str">
        <v>Commerce City - Adams City MS</v>
      </c>
      <c r="B28" s="40" t="str">
        <v>CO</v>
      </c>
      <c r="C28" s="28">
        <v>13401</v>
      </c>
      <c r="D28" s="29">
        <v>12529.32</v>
      </c>
      <c r="E28" s="29">
        <f t="shared" si="4"/>
        <v>871.68000000000029</v>
      </c>
      <c r="F28" s="30">
        <f t="shared" si="0"/>
        <v>6.9571213761002212E-2</v>
      </c>
      <c r="G28" s="31">
        <v>13271.79</v>
      </c>
      <c r="H28" s="31">
        <f t="shared" si="5"/>
        <v>129.20999999999913</v>
      </c>
      <c r="I28" s="32">
        <f t="shared" si="6"/>
        <v>9.7356874995761025E-3</v>
      </c>
      <c r="J28" s="49"/>
      <c r="K28" s="49"/>
    </row>
    <row r="29" spans="1:14" ht="15.6">
      <c r="A29" s="41" t="str">
        <v>Commerce City - Central ES</v>
      </c>
      <c r="B29" s="42" t="str">
        <v>CO</v>
      </c>
      <c r="C29" s="35">
        <v>3542.3</v>
      </c>
      <c r="D29" s="36">
        <v>3602.3339999999998</v>
      </c>
      <c r="E29" s="36">
        <f t="shared" si="4"/>
        <v>-60.033999999999651</v>
      </c>
      <c r="F29" s="37">
        <f t="shared" si="0"/>
        <v>-1.666530643743741E-2</v>
      </c>
      <c r="G29" s="38">
        <v>3901.3209999999999</v>
      </c>
      <c r="H29" s="38">
        <f t="shared" si="5"/>
        <v>-359.02099999999973</v>
      </c>
      <c r="I29" s="37">
        <f t="shared" si="6"/>
        <v>-9.2025495979438696E-2</v>
      </c>
      <c r="J29" s="50"/>
      <c r="K29" s="51"/>
    </row>
    <row r="30" spans="1:14" ht="15.6">
      <c r="A30" s="43" t="str">
        <v>Commerce City - Dupont ES</v>
      </c>
      <c r="B30" s="40" t="str">
        <v>CO</v>
      </c>
      <c r="C30" s="28">
        <v>10965</v>
      </c>
      <c r="D30" s="29">
        <v>10210.219999999999</v>
      </c>
      <c r="E30" s="29">
        <f t="shared" si="4"/>
        <v>754.78000000000065</v>
      </c>
      <c r="F30" s="30">
        <f t="shared" si="0"/>
        <v>7.3923970296428554E-2</v>
      </c>
      <c r="G30" s="31">
        <v>11266.63</v>
      </c>
      <c r="H30" s="31">
        <f t="shared" si="5"/>
        <v>-301.6299999999992</v>
      </c>
      <c r="I30" s="32">
        <f t="shared" si="6"/>
        <v>-2.6771980618871767E-2</v>
      </c>
      <c r="J30" s="49"/>
      <c r="K30" s="49"/>
    </row>
    <row r="31" spans="1:14" ht="15.6">
      <c r="A31" s="41" t="str">
        <v>Commerce City - Educational Support Services</v>
      </c>
      <c r="B31" s="42" t="str">
        <v>CO</v>
      </c>
      <c r="C31" s="35">
        <v>11410</v>
      </c>
      <c r="D31" s="36">
        <v>10530.03</v>
      </c>
      <c r="E31" s="36">
        <f t="shared" si="4"/>
        <v>879.96999999999935</v>
      </c>
      <c r="F31" s="37">
        <f t="shared" si="0"/>
        <v>8.3567663150057439E-2</v>
      </c>
      <c r="G31" s="38">
        <v>11500.14</v>
      </c>
      <c r="H31" s="38">
        <f t="shared" si="5"/>
        <v>-90.139999999999418</v>
      </c>
      <c r="I31" s="37">
        <f t="shared" si="6"/>
        <v>-7.8381654484205778E-3</v>
      </c>
      <c r="J31" s="50"/>
      <c r="K31" s="51"/>
    </row>
    <row r="32" spans="1:14" ht="15.6">
      <c r="A32" s="43" t="str">
        <v>Commerce City - Hanson ES</v>
      </c>
      <c r="B32" s="40" t="str">
        <v>CO</v>
      </c>
      <c r="C32" s="28">
        <v>14359</v>
      </c>
      <c r="D32" s="29">
        <v>13731.56</v>
      </c>
      <c r="E32" s="29">
        <f t="shared" si="4"/>
        <v>627.44000000000051</v>
      </c>
      <c r="F32" s="30">
        <f t="shared" si="0"/>
        <v>4.5693278840860073E-2</v>
      </c>
      <c r="G32" s="31">
        <v>15033.49</v>
      </c>
      <c r="H32" s="31">
        <f t="shared" si="5"/>
        <v>-674.48999999999978</v>
      </c>
      <c r="I32" s="32">
        <f t="shared" si="6"/>
        <v>-4.4865829557873771E-2</v>
      </c>
      <c r="J32" s="49"/>
      <c r="K32" s="49"/>
    </row>
    <row r="33" spans="1:15" ht="38.25" customHeight="1">
      <c r="A33" s="41" t="str">
        <v>Commerce City - Kemp ES</v>
      </c>
      <c r="B33" s="42" t="str">
        <v>CO</v>
      </c>
      <c r="C33" s="35">
        <v>12990</v>
      </c>
      <c r="D33" s="36">
        <v>13724.519</v>
      </c>
      <c r="E33" s="36">
        <f t="shared" si="4"/>
        <v>-734.51900000000023</v>
      </c>
      <c r="F33" s="37">
        <f t="shared" si="0"/>
        <v>-5.3518742624058459E-2</v>
      </c>
      <c r="G33" s="38">
        <v>14983.057000000001</v>
      </c>
      <c r="H33" s="38">
        <f t="shared" si="5"/>
        <v>-1993.0570000000007</v>
      </c>
      <c r="I33" s="37">
        <f t="shared" si="6"/>
        <v>-0.13302071800167353</v>
      </c>
      <c r="J33" s="50" t="s">
        <v>386</v>
      </c>
      <c r="K33" s="69" t="s">
        <v>387</v>
      </c>
      <c r="L33" s="95" t="s">
        <v>388</v>
      </c>
    </row>
    <row r="34" spans="1:15" ht="33.75" customHeight="1">
      <c r="A34" s="43" t="str">
        <v>Commerce City -  Lester Arnold HS</v>
      </c>
      <c r="B34" s="40" t="str">
        <v>CO</v>
      </c>
      <c r="C34" s="28">
        <v>6913.9989674151902</v>
      </c>
      <c r="D34" s="29">
        <v>13267.75</v>
      </c>
      <c r="E34" s="29">
        <f t="shared" si="4"/>
        <v>-6353.7510325848098</v>
      </c>
      <c r="F34" s="30">
        <f t="shared" si="0"/>
        <v>-0.47888685214786303</v>
      </c>
      <c r="G34" s="31">
        <v>14593.02</v>
      </c>
      <c r="H34" s="31">
        <f t="shared" si="5"/>
        <v>-7679.0210325848102</v>
      </c>
      <c r="I34" s="32">
        <f t="shared" si="6"/>
        <v>-0.52621191724432703</v>
      </c>
      <c r="J34" s="49" t="s">
        <v>389</v>
      </c>
      <c r="K34" s="67" t="s">
        <v>263</v>
      </c>
      <c r="L34" s="95" t="s">
        <v>264</v>
      </c>
      <c r="M34" s="95" t="s">
        <v>265</v>
      </c>
    </row>
    <row r="35" spans="1:15" ht="15.6">
      <c r="A35" s="41" t="str">
        <v>Commerce City - Monaco ES</v>
      </c>
      <c r="B35" s="42" t="str">
        <v>CO</v>
      </c>
      <c r="C35" s="35">
        <v>14801</v>
      </c>
      <c r="D35" s="36">
        <v>13731.98</v>
      </c>
      <c r="E35" s="36">
        <f t="shared" si="4"/>
        <v>1069.0200000000004</v>
      </c>
      <c r="F35" s="37">
        <f t="shared" si="0"/>
        <v>7.7848933657054586E-2</v>
      </c>
      <c r="G35" s="38">
        <v>15033.49</v>
      </c>
      <c r="H35" s="38">
        <f t="shared" si="5"/>
        <v>-232.48999999999978</v>
      </c>
      <c r="I35" s="37">
        <f t="shared" si="6"/>
        <v>-1.5464805577414146E-2</v>
      </c>
      <c r="J35" s="50"/>
      <c r="K35" s="51"/>
    </row>
    <row r="36" spans="1:15" ht="15.6">
      <c r="A36" s="43" t="str">
        <v>Denver - Northgate / Old Fort Logan ES</v>
      </c>
      <c r="B36" s="40" t="str">
        <v>CO</v>
      </c>
      <c r="C36" s="28">
        <v>13060.0000000002</v>
      </c>
      <c r="D36" s="29">
        <v>11944.08</v>
      </c>
      <c r="E36" s="29">
        <f t="shared" si="4"/>
        <v>1115.9200000002002</v>
      </c>
      <c r="F36" s="30">
        <f t="shared" ref="F36:F67" si="7">IFERROR(E36/D36, "")</f>
        <v>9.3428711127202774E-2</v>
      </c>
      <c r="G36" s="31">
        <v>13903.58</v>
      </c>
      <c r="H36" s="31">
        <f t="shared" si="5"/>
        <v>-843.57999999979984</v>
      </c>
      <c r="I36" s="32">
        <f t="shared" si="6"/>
        <v>-6.0673581911982369E-2</v>
      </c>
      <c r="J36" s="49"/>
      <c r="K36" s="49"/>
    </row>
    <row r="37" spans="1:15" ht="15.6">
      <c r="A37" s="41" t="str">
        <v>Denver - Sheridan High School</v>
      </c>
      <c r="B37" s="42" t="str">
        <v>CO</v>
      </c>
      <c r="C37" s="35">
        <v>15216</v>
      </c>
      <c r="D37" s="36">
        <v>13779.41</v>
      </c>
      <c r="E37" s="36">
        <f t="shared" si="4"/>
        <v>1436.5900000000001</v>
      </c>
      <c r="F37" s="37">
        <f t="shared" si="7"/>
        <v>0.1042562780264177</v>
      </c>
      <c r="G37" s="38">
        <v>13836.56</v>
      </c>
      <c r="H37" s="38">
        <f t="shared" si="5"/>
        <v>1379.4400000000005</v>
      </c>
      <c r="I37" s="37">
        <f t="shared" si="6"/>
        <v>9.9695299987858296E-2</v>
      </c>
      <c r="J37" s="50"/>
      <c r="K37" s="51"/>
    </row>
    <row r="38" spans="1:15" ht="15.6">
      <c r="A38" s="43" t="str">
        <v>Englewood -  Alice Terry Elementary</v>
      </c>
      <c r="B38" s="40" t="str">
        <v>CO</v>
      </c>
      <c r="C38" s="28">
        <v>14253</v>
      </c>
      <c r="D38" s="29">
        <v>13779.63</v>
      </c>
      <c r="E38" s="29">
        <f t="shared" ref="E38:E69" si="8">IF(AND(ISNUMBER(C38),ISNUMBER(D38)), C38-D38, "")</f>
        <v>473.3700000000008</v>
      </c>
      <c r="F38" s="30">
        <f t="shared" si="7"/>
        <v>3.4352881753719137E-2</v>
      </c>
      <c r="G38" s="31">
        <v>13903.58</v>
      </c>
      <c r="H38" s="31">
        <f t="shared" si="5"/>
        <v>349.42000000000007</v>
      </c>
      <c r="I38" s="32">
        <f t="shared" si="6"/>
        <v>2.5131656738768007E-2</v>
      </c>
      <c r="J38" s="49"/>
      <c r="K38" s="49"/>
    </row>
    <row r="39" spans="1:15" ht="15.6">
      <c r="A39" s="41" t="str">
        <v>Englewood - Sheridan Middle School</v>
      </c>
      <c r="B39" s="42" t="str">
        <v>CO</v>
      </c>
      <c r="C39" s="35">
        <v>8499</v>
      </c>
      <c r="D39" s="36">
        <v>8247.7080000000005</v>
      </c>
      <c r="E39" s="36">
        <f t="shared" si="8"/>
        <v>251.29199999999946</v>
      </c>
      <c r="F39" s="37">
        <f t="shared" si="7"/>
        <v>3.0468100956047357E-2</v>
      </c>
      <c r="G39" s="38">
        <v>8142.3590000000004</v>
      </c>
      <c r="H39" s="38">
        <f t="shared" si="5"/>
        <v>356.64099999999962</v>
      </c>
      <c r="I39" s="37">
        <f t="shared" si="6"/>
        <v>4.3800697070713733E-2</v>
      </c>
      <c r="J39" s="50"/>
      <c r="K39" s="51"/>
    </row>
    <row r="40" spans="1:15" ht="43.15">
      <c r="A40" s="43" t="str">
        <v>Goshen - NIPSCO</v>
      </c>
      <c r="B40" s="40" t="str">
        <v>IN</v>
      </c>
      <c r="C40" s="28">
        <v>53669</v>
      </c>
      <c r="D40" s="29">
        <v>58710.61</v>
      </c>
      <c r="E40" s="29">
        <f t="shared" si="8"/>
        <v>-5041.6100000000006</v>
      </c>
      <c r="F40" s="30">
        <f t="shared" si="7"/>
        <v>-8.5872212876003176E-2</v>
      </c>
      <c r="G40" s="31">
        <v>73604.12</v>
      </c>
      <c r="H40" s="31">
        <f t="shared" si="5"/>
        <v>-19935.119999999995</v>
      </c>
      <c r="I40" s="32">
        <f t="shared" si="6"/>
        <v>-0.27084244740647667</v>
      </c>
      <c r="J40" s="49" t="s">
        <v>390</v>
      </c>
      <c r="K40" s="67" t="s">
        <v>190</v>
      </c>
    </row>
    <row r="41" spans="1:15" ht="57.6">
      <c r="A41" s="41" t="str">
        <v>Alamogordo - City of Alamogordo - Effluent</v>
      </c>
      <c r="B41" s="42" t="str">
        <v>NM</v>
      </c>
      <c r="C41" s="35">
        <v>22995</v>
      </c>
      <c r="D41" s="36">
        <v>26789.919999999998</v>
      </c>
      <c r="E41" s="36">
        <f t="shared" si="8"/>
        <v>-3794.9199999999983</v>
      </c>
      <c r="F41" s="37">
        <f t="shared" si="7"/>
        <v>-0.14165477164545465</v>
      </c>
      <c r="G41" s="38">
        <v>33158.93</v>
      </c>
      <c r="H41" s="38">
        <f t="shared" si="5"/>
        <v>-10163.93</v>
      </c>
      <c r="I41" s="37">
        <f t="shared" si="6"/>
        <v>-0.30652165193508957</v>
      </c>
      <c r="J41" s="50" t="s">
        <v>391</v>
      </c>
      <c r="K41" s="68" t="s">
        <v>392</v>
      </c>
      <c r="L41" s="95" t="s">
        <v>393</v>
      </c>
    </row>
    <row r="42" spans="1:15" ht="39.6">
      <c r="A42" s="43" t="str">
        <v>Alamogordo - City of Alamogordo - WWTP</v>
      </c>
      <c r="B42" s="40" t="str">
        <v>NM</v>
      </c>
      <c r="C42" s="28">
        <v>85320</v>
      </c>
      <c r="D42" s="29">
        <v>1.390832E-2</v>
      </c>
      <c r="E42" s="29">
        <f t="shared" si="8"/>
        <v>85319.986091679995</v>
      </c>
      <c r="F42" s="30">
        <f t="shared" si="7"/>
        <v>6134456.648371622</v>
      </c>
      <c r="G42" s="31">
        <v>140619.9</v>
      </c>
      <c r="H42" s="31">
        <f t="shared" si="5"/>
        <v>-55299.899999999994</v>
      </c>
      <c r="I42" s="32">
        <f t="shared" si="6"/>
        <v>-0.39325799548996976</v>
      </c>
      <c r="J42" s="49" t="s">
        <v>271</v>
      </c>
      <c r="K42" s="67" t="s">
        <v>272</v>
      </c>
      <c r="L42" s="95" t="s">
        <v>273</v>
      </c>
      <c r="M42" s="95" t="s">
        <v>274</v>
      </c>
    </row>
    <row r="43" spans="1:15" ht="43.15">
      <c r="A43" s="41" t="str">
        <v>Deming - Bilbo Booster</v>
      </c>
      <c r="B43" s="42" t="str">
        <v>NM</v>
      </c>
      <c r="C43" s="35">
        <v>10162</v>
      </c>
      <c r="D43" s="36">
        <v>0</v>
      </c>
      <c r="E43" s="36">
        <f t="shared" si="8"/>
        <v>10162</v>
      </c>
      <c r="F43" s="37" t="str">
        <f t="shared" si="7"/>
        <v/>
      </c>
      <c r="G43" s="38">
        <v>13292.43</v>
      </c>
      <c r="H43" s="38">
        <f t="shared" si="5"/>
        <v>-3130.4300000000003</v>
      </c>
      <c r="I43" s="37">
        <f t="shared" si="6"/>
        <v>-0.23550471960356384</v>
      </c>
      <c r="J43" s="50" t="s">
        <v>394</v>
      </c>
      <c r="K43" s="68" t="s">
        <v>395</v>
      </c>
      <c r="L43" s="95" t="s">
        <v>396</v>
      </c>
    </row>
    <row r="44" spans="1:15" ht="28.9">
      <c r="A44" s="43" t="str">
        <v>Deming - Bilbo Well</v>
      </c>
      <c r="B44" s="40" t="str">
        <v>NM</v>
      </c>
      <c r="C44" s="28">
        <v>22028</v>
      </c>
      <c r="D44" s="29">
        <v>0</v>
      </c>
      <c r="E44" s="29">
        <f t="shared" si="8"/>
        <v>22028</v>
      </c>
      <c r="F44" s="30" t="str">
        <f t="shared" si="7"/>
        <v/>
      </c>
      <c r="G44" s="31">
        <v>24028.99</v>
      </c>
      <c r="H44" s="31">
        <f t="shared" si="5"/>
        <v>-2000.9900000000016</v>
      </c>
      <c r="I44" s="32">
        <f t="shared" si="6"/>
        <v>-8.3273995286526875E-2</v>
      </c>
      <c r="J44" s="49" t="s">
        <v>277</v>
      </c>
      <c r="K44" s="67" t="s">
        <v>278</v>
      </c>
    </row>
    <row r="45" spans="1:15" ht="39.6">
      <c r="A45" s="41" t="str">
        <v>Deming - WWTP</v>
      </c>
      <c r="B45" s="42" t="str">
        <v>NM</v>
      </c>
      <c r="C45" s="35">
        <v>81020</v>
      </c>
      <c r="D45" s="36">
        <v>74196.2</v>
      </c>
      <c r="E45" s="36">
        <f t="shared" si="8"/>
        <v>6823.8000000000029</v>
      </c>
      <c r="F45" s="37">
        <f t="shared" si="7"/>
        <v>9.1969669605721088E-2</v>
      </c>
      <c r="G45" s="38">
        <v>96020.479999999996</v>
      </c>
      <c r="H45" s="38">
        <f t="shared" ref="H45:H76" si="9">IF(AND(ISNUMBER(C45),ISNUMBER(G45)), C45-G45, "")</f>
        <v>-15000.479999999996</v>
      </c>
      <c r="I45" s="37">
        <f t="shared" ref="I45:I76" si="10">IFERROR(H45/G45, "")</f>
        <v>-0.15622167270982187</v>
      </c>
      <c r="J45" s="60" t="s">
        <v>397</v>
      </c>
      <c r="K45" s="69" t="s">
        <v>398</v>
      </c>
      <c r="L45" s="95" t="s">
        <v>399</v>
      </c>
    </row>
    <row r="46" spans="1:15" ht="129.6">
      <c r="A46" s="43" t="str">
        <v>Truth or Consequences - Walmart</v>
      </c>
      <c r="B46" s="40" t="str">
        <v>NM</v>
      </c>
      <c r="C46" s="28">
        <v>162900</v>
      </c>
      <c r="D46" s="29">
        <v>362661.9</v>
      </c>
      <c r="E46" s="29">
        <f t="shared" si="8"/>
        <v>-199761.90000000002</v>
      </c>
      <c r="F46" s="30">
        <f t="shared" si="7"/>
        <v>-0.55082130215498237</v>
      </c>
      <c r="G46" s="31">
        <v>202400.8</v>
      </c>
      <c r="H46" s="31">
        <f t="shared" si="9"/>
        <v>-39500.799999999988</v>
      </c>
      <c r="I46" s="32">
        <f t="shared" si="10"/>
        <v>-0.19516128394749424</v>
      </c>
      <c r="J46" s="49" t="s">
        <v>400</v>
      </c>
      <c r="K46" s="67" t="s">
        <v>401</v>
      </c>
      <c r="L46" s="95" t="s">
        <v>402</v>
      </c>
      <c r="M46" s="95" t="s">
        <v>403</v>
      </c>
      <c r="N46" s="95" t="s">
        <v>283</v>
      </c>
      <c r="O46" s="95" t="s">
        <v>203</v>
      </c>
    </row>
    <row r="47" spans="1:15" ht="43.15">
      <c r="A47" s="41" t="str">
        <v>CA: Stockton - SUSD - Merlo</v>
      </c>
      <c r="B47" s="42" t="str">
        <v>CA</v>
      </c>
      <c r="C47" s="35">
        <v>758.37481208867405</v>
      </c>
      <c r="D47" s="36">
        <v>12488.86</v>
      </c>
      <c r="E47" s="36">
        <f t="shared" si="8"/>
        <v>-11730.485187911327</v>
      </c>
      <c r="F47" s="37">
        <f t="shared" si="7"/>
        <v>-0.93927589771294784</v>
      </c>
      <c r="G47" s="38">
        <v>19393.2</v>
      </c>
      <c r="H47" s="38">
        <f t="shared" si="9"/>
        <v>-18634.825187911327</v>
      </c>
      <c r="I47" s="37">
        <f t="shared" si="10"/>
        <v>-0.96089480786622761</v>
      </c>
      <c r="J47" s="60" t="s">
        <v>284</v>
      </c>
      <c r="K47" s="75" t="s">
        <v>285</v>
      </c>
    </row>
    <row r="48" spans="1:15" ht="57.6">
      <c r="A48" s="43" t="str">
        <v>Stockton Unified School Dist. - Bush Elementary</v>
      </c>
      <c r="B48" s="40" t="str">
        <v>CA</v>
      </c>
      <c r="C48" s="28">
        <v>27159</v>
      </c>
      <c r="D48" s="29">
        <v>40520.576999999997</v>
      </c>
      <c r="E48" s="29">
        <f t="shared" si="8"/>
        <v>-13361.576999999997</v>
      </c>
      <c r="F48" s="30">
        <f t="shared" si="7"/>
        <v>-0.32974794509959715</v>
      </c>
      <c r="G48" s="31">
        <v>41018.271000000001</v>
      </c>
      <c r="H48" s="31">
        <f t="shared" si="9"/>
        <v>-13859.271000000001</v>
      </c>
      <c r="I48" s="32">
        <f t="shared" si="10"/>
        <v>-0.3378804289434823</v>
      </c>
      <c r="J48" s="49" t="s">
        <v>404</v>
      </c>
      <c r="K48" s="67" t="s">
        <v>287</v>
      </c>
      <c r="L48" s="95" t="s">
        <v>288</v>
      </c>
    </row>
    <row r="49" spans="1:14" ht="43.15">
      <c r="A49" s="41" t="str">
        <v>CA: Stockton - SUSD - Marshall JHS</v>
      </c>
      <c r="B49" s="42" t="str">
        <v>CA</v>
      </c>
      <c r="C49" s="35">
        <v>8862.875</v>
      </c>
      <c r="D49" s="36">
        <v>26362.83</v>
      </c>
      <c r="E49" s="36">
        <f t="shared" si="8"/>
        <v>-17499.955000000002</v>
      </c>
      <c r="F49" s="37">
        <f t="shared" si="7"/>
        <v>-0.6638117000337217</v>
      </c>
      <c r="G49" s="38">
        <v>27213.82</v>
      </c>
      <c r="H49" s="38">
        <f t="shared" si="9"/>
        <v>-18350.945</v>
      </c>
      <c r="I49" s="37">
        <f t="shared" si="10"/>
        <v>-0.67432447925355576</v>
      </c>
      <c r="J49" s="60" t="s">
        <v>405</v>
      </c>
      <c r="K49" s="75" t="s">
        <v>290</v>
      </c>
    </row>
    <row r="50" spans="1:14" ht="57.6">
      <c r="A50" s="43" t="str">
        <v>CA: Stockton - SUSD - Hong-Kingston ES</v>
      </c>
      <c r="B50" s="40" t="str">
        <v>CA</v>
      </c>
      <c r="C50" s="28">
        <v>12004</v>
      </c>
      <c r="D50" s="29">
        <v>44134.75</v>
      </c>
      <c r="E50" s="29">
        <f t="shared" si="8"/>
        <v>-32130.75</v>
      </c>
      <c r="F50" s="30">
        <f t="shared" si="7"/>
        <v>-0.72801477293969041</v>
      </c>
      <c r="G50" s="31">
        <v>44138.66</v>
      </c>
      <c r="H50" s="31">
        <f t="shared" si="9"/>
        <v>-32134.660000000003</v>
      </c>
      <c r="I50" s="32">
        <f t="shared" si="10"/>
        <v>-0.72803886660809369</v>
      </c>
      <c r="J50" s="49" t="s">
        <v>406</v>
      </c>
      <c r="K50" s="67" t="s">
        <v>292</v>
      </c>
    </row>
    <row r="51" spans="1:14" ht="15.6">
      <c r="A51" s="41" t="str">
        <v>CA: Stockton - SUSD - Hamilton ES</v>
      </c>
      <c r="B51" s="42" t="str">
        <v>CA</v>
      </c>
      <c r="C51" s="35">
        <v>7114.625</v>
      </c>
      <c r="D51" s="36">
        <v>22870.41</v>
      </c>
      <c r="E51" s="36">
        <f t="shared" si="8"/>
        <v>-15755.785</v>
      </c>
      <c r="F51" s="37">
        <f t="shared" si="7"/>
        <v>-0.68891572123105793</v>
      </c>
      <c r="G51" s="38">
        <v>23396.54</v>
      </c>
      <c r="H51" s="38">
        <f t="shared" si="9"/>
        <v>-16281.915000000001</v>
      </c>
      <c r="I51" s="37">
        <f t="shared" si="10"/>
        <v>-0.69591123302847346</v>
      </c>
      <c r="J51" s="50" t="s">
        <v>407</v>
      </c>
      <c r="K51" s="69" t="s">
        <v>294</v>
      </c>
    </row>
    <row r="52" spans="1:14" ht="100.9">
      <c r="A52" s="43" t="str">
        <v>CA: Stockton - SUSD - Franklin - North</v>
      </c>
      <c r="B52" s="40" t="str">
        <v>CA</v>
      </c>
      <c r="C52" s="28">
        <v>32153.25</v>
      </c>
      <c r="D52" s="29">
        <v>101097.1</v>
      </c>
      <c r="E52" s="29">
        <f t="shared" si="8"/>
        <v>-68943.850000000006</v>
      </c>
      <c r="F52" s="30">
        <f t="shared" si="7"/>
        <v>-0.68195675246866627</v>
      </c>
      <c r="G52" s="31">
        <v>61943.14</v>
      </c>
      <c r="H52" s="31">
        <f t="shared" si="9"/>
        <v>-29789.89</v>
      </c>
      <c r="I52" s="32">
        <f t="shared" si="10"/>
        <v>-0.48092314984355006</v>
      </c>
      <c r="J52" s="49" t="s">
        <v>408</v>
      </c>
      <c r="K52" s="67" t="s">
        <v>409</v>
      </c>
      <c r="L52" s="95" t="s">
        <v>298</v>
      </c>
      <c r="M52" s="95" t="s">
        <v>297</v>
      </c>
      <c r="N52" s="95" t="s">
        <v>317</v>
      </c>
    </row>
    <row r="53" spans="1:14" ht="15.6">
      <c r="A53" s="41" t="str">
        <v>Stockton Unified School Dist. - Fillmore Elementary</v>
      </c>
      <c r="B53" s="42" t="str">
        <v>CA</v>
      </c>
      <c r="C53" s="35">
        <v>4989.5</v>
      </c>
      <c r="D53" s="36">
        <v>18516.7</v>
      </c>
      <c r="E53" s="36">
        <f t="shared" si="8"/>
        <v>-13527.2</v>
      </c>
      <c r="F53" s="37">
        <f t="shared" si="7"/>
        <v>-0.73054053908093775</v>
      </c>
      <c r="G53" s="38">
        <v>18704.5</v>
      </c>
      <c r="H53" s="38">
        <f t="shared" si="9"/>
        <v>-13715</v>
      </c>
      <c r="I53" s="37">
        <f t="shared" si="10"/>
        <v>-0.73324601031837255</v>
      </c>
      <c r="J53" s="50" t="s">
        <v>410</v>
      </c>
      <c r="K53" s="69" t="s">
        <v>300</v>
      </c>
    </row>
    <row r="54" spans="1:14" ht="28.9">
      <c r="A54" s="43" t="str">
        <v>CA: Stockton - SUSD - El Dorado ES</v>
      </c>
      <c r="B54" s="40" t="str">
        <v>CA</v>
      </c>
      <c r="C54" s="28">
        <v>5944.75</v>
      </c>
      <c r="D54" s="29">
        <v>24303.11</v>
      </c>
      <c r="E54" s="29">
        <f t="shared" si="8"/>
        <v>-18358.36</v>
      </c>
      <c r="F54" s="30">
        <f t="shared" si="7"/>
        <v>-0.75539138818036045</v>
      </c>
      <c r="G54" s="31">
        <v>0</v>
      </c>
      <c r="H54" s="31">
        <f t="shared" si="9"/>
        <v>5944.75</v>
      </c>
      <c r="I54" s="32" t="str">
        <f t="shared" si="10"/>
        <v/>
      </c>
      <c r="J54" s="49" t="s">
        <v>411</v>
      </c>
      <c r="K54" s="67" t="s">
        <v>412</v>
      </c>
    </row>
    <row r="55" spans="1:14" ht="43.15">
      <c r="A55" s="41" t="str">
        <v>CA: Stockton - SUSD - Edison HS</v>
      </c>
      <c r="B55" s="42" t="str">
        <v>CA</v>
      </c>
      <c r="C55" s="35">
        <v>46049.5</v>
      </c>
      <c r="D55" s="36">
        <v>62768.43</v>
      </c>
      <c r="E55" s="36">
        <f t="shared" si="8"/>
        <v>-16718.93</v>
      </c>
      <c r="F55" s="37">
        <f t="shared" si="7"/>
        <v>-0.26635890048548289</v>
      </c>
      <c r="G55" s="38">
        <v>64104.39</v>
      </c>
      <c r="H55" s="38">
        <f t="shared" si="9"/>
        <v>-18054.89</v>
      </c>
      <c r="I55" s="37">
        <f t="shared" si="10"/>
        <v>-0.28164826153091854</v>
      </c>
      <c r="J55" s="60" t="s">
        <v>413</v>
      </c>
      <c r="K55" s="75" t="s">
        <v>414</v>
      </c>
    </row>
    <row r="56" spans="1:14" ht="57.6">
      <c r="A56" s="43" t="str">
        <v>CA: Stockton - SUSD - Chavez HS - Large</v>
      </c>
      <c r="B56" s="40" t="str">
        <v>CA</v>
      </c>
      <c r="C56" s="28">
        <v>42316</v>
      </c>
      <c r="D56" s="29">
        <v>137020.79999999999</v>
      </c>
      <c r="E56" s="29">
        <f t="shared" si="8"/>
        <v>-94704.799999999988</v>
      </c>
      <c r="F56" s="30">
        <f t="shared" si="7"/>
        <v>-0.69117097550152962</v>
      </c>
      <c r="G56" s="31">
        <v>134209.5</v>
      </c>
      <c r="H56" s="31">
        <f t="shared" si="9"/>
        <v>-91893.5</v>
      </c>
      <c r="I56" s="32">
        <f t="shared" si="10"/>
        <v>-0.68470190262239261</v>
      </c>
      <c r="J56" s="49" t="s">
        <v>415</v>
      </c>
      <c r="K56" s="67" t="s">
        <v>416</v>
      </c>
    </row>
    <row r="57" spans="1:14" ht="28.9">
      <c r="A57" s="41" t="str">
        <v>CA: San Jose - GE Mobile Water</v>
      </c>
      <c r="B57" s="42" t="str">
        <v>CA</v>
      </c>
      <c r="C57" s="35">
        <v>30650</v>
      </c>
      <c r="D57" s="36">
        <v>34545</v>
      </c>
      <c r="E57" s="36">
        <f t="shared" si="8"/>
        <v>-3895</v>
      </c>
      <c r="F57" s="37">
        <f t="shared" si="7"/>
        <v>-0.11275148357215227</v>
      </c>
      <c r="G57" s="38">
        <v>34995.040000000001</v>
      </c>
      <c r="H57" s="38">
        <f t="shared" si="9"/>
        <v>-4345.0400000000009</v>
      </c>
      <c r="I57" s="37">
        <f t="shared" si="10"/>
        <v>-0.12416159547181546</v>
      </c>
      <c r="J57" s="60" t="s">
        <v>417</v>
      </c>
      <c r="K57" s="75" t="s">
        <v>310</v>
      </c>
    </row>
    <row r="58" spans="1:14" ht="15.6">
      <c r="A58" s="43" t="str">
        <v>CA: San Marcos - Vallecitos Water - Lift Station</v>
      </c>
      <c r="B58" s="40" t="str">
        <v>CA</v>
      </c>
      <c r="C58" s="28">
        <v>43839.374999999804</v>
      </c>
      <c r="D58" s="29">
        <v>44822.83</v>
      </c>
      <c r="E58" s="29">
        <f t="shared" si="8"/>
        <v>-983.4550000001982</v>
      </c>
      <c r="F58" s="30">
        <f t="shared" si="7"/>
        <v>-2.1940939472143952E-2</v>
      </c>
      <c r="G58" s="31">
        <v>40781.5</v>
      </c>
      <c r="H58" s="31">
        <f t="shared" si="9"/>
        <v>3057.8749999998035</v>
      </c>
      <c r="I58" s="32">
        <f t="shared" si="10"/>
        <v>7.4981915819668316E-2</v>
      </c>
      <c r="J58" s="49"/>
      <c r="K58" s="49"/>
    </row>
    <row r="59" spans="1:14" ht="43.15">
      <c r="A59" s="41" t="str">
        <v>CA: San Marcos - Vallecitos Water - Twin Oaks Reservoir</v>
      </c>
      <c r="B59" s="42" t="str">
        <v>CA</v>
      </c>
      <c r="C59" s="35">
        <v>322309</v>
      </c>
      <c r="D59" s="36">
        <v>342298.7</v>
      </c>
      <c r="E59" s="36">
        <f t="shared" si="8"/>
        <v>-19989.700000000012</v>
      </c>
      <c r="F59" s="37">
        <f t="shared" si="7"/>
        <v>-5.8398410511053683E-2</v>
      </c>
      <c r="G59" s="38">
        <v>265194</v>
      </c>
      <c r="H59" s="38">
        <f t="shared" si="9"/>
        <v>57115</v>
      </c>
      <c r="I59" s="37">
        <f t="shared" si="10"/>
        <v>0.21537063432807679</v>
      </c>
      <c r="J59" s="60" t="s">
        <v>418</v>
      </c>
      <c r="K59" s="75" t="s">
        <v>419</v>
      </c>
      <c r="L59" s="95" t="s">
        <v>420</v>
      </c>
    </row>
    <row r="60" spans="1:14" ht="28.9">
      <c r="A60" s="43" t="str">
        <v>CA: Stockton - SUSD - Wilhelmina Henry ES</v>
      </c>
      <c r="B60" s="40" t="str">
        <v>CA</v>
      </c>
      <c r="C60" s="28">
        <v>9050</v>
      </c>
      <c r="D60" s="29">
        <v>52630.76</v>
      </c>
      <c r="E60" s="29">
        <f t="shared" si="8"/>
        <v>-43580.76</v>
      </c>
      <c r="F60" s="30">
        <f t="shared" si="7"/>
        <v>-0.82804732441636797</v>
      </c>
      <c r="G60" s="31">
        <v>43197.49</v>
      </c>
      <c r="H60" s="31">
        <f t="shared" si="9"/>
        <v>-34147.49</v>
      </c>
      <c r="I60" s="32">
        <f t="shared" si="10"/>
        <v>-0.79049708675203123</v>
      </c>
      <c r="J60" s="49" t="s">
        <v>421</v>
      </c>
      <c r="K60" s="67" t="s">
        <v>314</v>
      </c>
    </row>
    <row r="61" spans="1:14" ht="15.6" hidden="1">
      <c r="A61" s="41" t="str">
        <v>Stockton Unified School Dist. - Franklin (North)</v>
      </c>
      <c r="B61" s="42" t="str">
        <v>CA</v>
      </c>
      <c r="C61" s="35">
        <v>32153.200000000001</v>
      </c>
      <c r="D61" s="36">
        <v>101097.1</v>
      </c>
      <c r="E61" s="36">
        <f t="shared" si="8"/>
        <v>-68943.900000000009</v>
      </c>
      <c r="F61" s="37">
        <f t="shared" si="7"/>
        <v>-0.68195724704269467</v>
      </c>
      <c r="G61" s="38">
        <v>61549.4</v>
      </c>
      <c r="H61" s="38">
        <f t="shared" si="9"/>
        <v>-29396.2</v>
      </c>
      <c r="I61" s="37">
        <f t="shared" si="10"/>
        <v>-0.47760335600347037</v>
      </c>
      <c r="J61" s="50"/>
      <c r="K61" s="51"/>
    </row>
    <row r="62" spans="1:14" ht="57.6">
      <c r="A62" s="43" t="str">
        <v>CA: Stockton - SUSD - Franklin - South</v>
      </c>
      <c r="B62" s="40" t="str">
        <v>CA</v>
      </c>
      <c r="C62" s="28">
        <v>44241</v>
      </c>
      <c r="D62" s="29">
        <v>103754.7</v>
      </c>
      <c r="E62" s="29">
        <f t="shared" si="8"/>
        <v>-59513.7</v>
      </c>
      <c r="F62" s="30">
        <f t="shared" si="7"/>
        <v>-0.57360003932351977</v>
      </c>
      <c r="G62" s="31">
        <v>100033.1</v>
      </c>
      <c r="H62" s="31">
        <f t="shared" si="9"/>
        <v>-55792.100000000006</v>
      </c>
      <c r="I62" s="32">
        <f t="shared" si="10"/>
        <v>-0.55773638925515656</v>
      </c>
      <c r="J62" s="49" t="s">
        <v>422</v>
      </c>
      <c r="K62" s="67" t="s">
        <v>423</v>
      </c>
      <c r="L62" s="95" t="s">
        <v>424</v>
      </c>
    </row>
    <row r="63" spans="1:14" ht="28.9">
      <c r="A63" s="41" t="str">
        <v>CA: Stockton - SUSD - Chavez HS - Small</v>
      </c>
      <c r="B63" s="42" t="str">
        <v>CA</v>
      </c>
      <c r="C63" s="35">
        <v>26171</v>
      </c>
      <c r="D63" s="36">
        <v>25981.72</v>
      </c>
      <c r="E63" s="36">
        <f t="shared" si="8"/>
        <v>189.27999999999884</v>
      </c>
      <c r="F63" s="37">
        <f t="shared" si="7"/>
        <v>7.2851220011607709E-3</v>
      </c>
      <c r="G63" s="38">
        <v>37931.24</v>
      </c>
      <c r="H63" s="38">
        <f t="shared" si="9"/>
        <v>-11760.239999999998</v>
      </c>
      <c r="I63" s="37">
        <f t="shared" si="10"/>
        <v>-0.3100410110505219</v>
      </c>
      <c r="J63" s="60" t="s">
        <v>425</v>
      </c>
      <c r="K63" s="75" t="s">
        <v>322</v>
      </c>
    </row>
    <row r="64" spans="1:14" ht="43.15">
      <c r="A64" s="43" t="str">
        <v>CA: Stockton - SUSD - Facilities</v>
      </c>
      <c r="B64" s="40" t="str">
        <v>CA</v>
      </c>
      <c r="C64" s="28">
        <v>23947.5</v>
      </c>
      <c r="D64" s="29">
        <v>58896.19</v>
      </c>
      <c r="E64" s="29">
        <f t="shared" si="8"/>
        <v>-34948.69</v>
      </c>
      <c r="F64" s="30">
        <f t="shared" si="7"/>
        <v>-0.59339475100172012</v>
      </c>
      <c r="G64" s="31">
        <v>64415.55</v>
      </c>
      <c r="H64" s="31">
        <f t="shared" si="9"/>
        <v>-40468.050000000003</v>
      </c>
      <c r="I64" s="32">
        <f t="shared" si="10"/>
        <v>-0.62823417637511436</v>
      </c>
      <c r="J64" s="49" t="s">
        <v>426</v>
      </c>
      <c r="K64" s="67" t="s">
        <v>427</v>
      </c>
    </row>
    <row r="65" spans="1:14" ht="15.6">
      <c r="A65" s="41" t="str">
        <v>CA: Stockton - SUSD - Harrison</v>
      </c>
      <c r="B65" s="42" t="str">
        <v>CA</v>
      </c>
      <c r="C65" s="35">
        <v>16318.875</v>
      </c>
      <c r="D65" s="36">
        <v>23563.83</v>
      </c>
      <c r="E65" s="36">
        <f t="shared" si="8"/>
        <v>-7244.9550000000017</v>
      </c>
      <c r="F65" s="37">
        <f t="shared" si="7"/>
        <v>-0.30746084146762226</v>
      </c>
      <c r="G65" s="38">
        <v>23068.04</v>
      </c>
      <c r="H65" s="38">
        <f t="shared" si="9"/>
        <v>-6749.1650000000009</v>
      </c>
      <c r="I65" s="37">
        <f t="shared" si="10"/>
        <v>-0.29257643909062064</v>
      </c>
      <c r="J65" s="50" t="s">
        <v>428</v>
      </c>
      <c r="K65" s="69" t="s">
        <v>326</v>
      </c>
    </row>
    <row r="66" spans="1:14" ht="15.6">
      <c r="A66" s="43" t="str">
        <v>CA: Stockton - SUSD - Commodore Skills School</v>
      </c>
      <c r="B66" s="40" t="str">
        <v>CA</v>
      </c>
      <c r="C66" s="28">
        <v>7429.25</v>
      </c>
      <c r="D66" s="29">
        <v>47012.17</v>
      </c>
      <c r="E66" s="29">
        <f t="shared" si="8"/>
        <v>-39582.92</v>
      </c>
      <c r="F66" s="30">
        <f t="shared" si="7"/>
        <v>-0.84197177028841685</v>
      </c>
      <c r="G66" s="31">
        <v>50211.37</v>
      </c>
      <c r="H66" s="31">
        <f t="shared" si="9"/>
        <v>-42782.12</v>
      </c>
      <c r="I66" s="32">
        <f t="shared" si="10"/>
        <v>-0.8520404840576945</v>
      </c>
      <c r="J66" s="49" t="s">
        <v>429</v>
      </c>
      <c r="K66" s="67" t="s">
        <v>328</v>
      </c>
    </row>
    <row r="67" spans="1:14" ht="15.6">
      <c r="A67" s="41" t="str">
        <v>CA: Stockton - SUSD - Nightingale ES</v>
      </c>
      <c r="B67" s="42" t="str">
        <v>CA</v>
      </c>
      <c r="C67" s="35">
        <v>20610</v>
      </c>
      <c r="D67" s="36">
        <v>22926.99</v>
      </c>
      <c r="E67" s="36">
        <f t="shared" si="8"/>
        <v>-2316.9900000000016</v>
      </c>
      <c r="F67" s="37">
        <f t="shared" si="7"/>
        <v>-0.10105949363610318</v>
      </c>
      <c r="G67" s="38">
        <v>23244.69</v>
      </c>
      <c r="H67" s="38">
        <f t="shared" si="9"/>
        <v>-2634.6899999999987</v>
      </c>
      <c r="I67" s="37">
        <f t="shared" si="10"/>
        <v>-0.11334588673800335</v>
      </c>
      <c r="J67" s="50" t="s">
        <v>430</v>
      </c>
      <c r="K67" s="69" t="s">
        <v>431</v>
      </c>
    </row>
    <row r="68" spans="1:14" ht="43.15">
      <c r="A68" s="43" t="str">
        <v>CA: Stockton - SUSD - Weber Institute</v>
      </c>
      <c r="B68" s="40" t="str">
        <v>CA</v>
      </c>
      <c r="C68" s="28">
        <v>8929</v>
      </c>
      <c r="D68" s="29">
        <v>46891.05</v>
      </c>
      <c r="E68" s="29">
        <f t="shared" si="8"/>
        <v>-37962.050000000003</v>
      </c>
      <c r="F68" s="30">
        <f t="shared" ref="F68:F85" si="11">IFERROR(E68/D68, "")</f>
        <v>-0.80957986652037006</v>
      </c>
      <c r="G68" s="31">
        <v>48030.57</v>
      </c>
      <c r="H68" s="31">
        <f t="shared" si="9"/>
        <v>-39101.57</v>
      </c>
      <c r="I68" s="32">
        <f t="shared" si="10"/>
        <v>-0.81409756328105209</v>
      </c>
      <c r="J68" s="49" t="s">
        <v>432</v>
      </c>
      <c r="K68" s="67" t="s">
        <v>330</v>
      </c>
    </row>
    <row r="69" spans="1:14" ht="28.9">
      <c r="A69" s="41" t="str">
        <v>CA: Stockton - SUSD - Warehouse</v>
      </c>
      <c r="B69" s="42" t="str">
        <v>CA</v>
      </c>
      <c r="C69" s="35">
        <v>21128.5</v>
      </c>
      <c r="D69" s="36">
        <v>40830.93</v>
      </c>
      <c r="E69" s="36">
        <f t="shared" si="8"/>
        <v>-19702.43</v>
      </c>
      <c r="F69" s="37">
        <f t="shared" si="11"/>
        <v>-0.48253689053861865</v>
      </c>
      <c r="G69" s="38">
        <v>45438.47</v>
      </c>
      <c r="H69" s="38">
        <f t="shared" si="9"/>
        <v>-24309.97</v>
      </c>
      <c r="I69" s="37">
        <f t="shared" si="10"/>
        <v>-0.53500855112419055</v>
      </c>
      <c r="J69" s="50" t="s">
        <v>433</v>
      </c>
      <c r="K69" s="68" t="s">
        <v>332</v>
      </c>
    </row>
    <row r="70" spans="1:14" ht="15.6">
      <c r="A70" s="43" t="str">
        <v>CA: Stockton - SUSD - Walton Special Center</v>
      </c>
      <c r="B70" s="40" t="str">
        <v>CA</v>
      </c>
      <c r="C70" s="28">
        <v>15581.75</v>
      </c>
      <c r="D70" s="29">
        <v>32541.88</v>
      </c>
      <c r="E70" s="29">
        <f t="shared" ref="E70:E85" si="12">IF(AND(ISNUMBER(C70),ISNUMBER(D70)), C70-D70, "")</f>
        <v>-16960.13</v>
      </c>
      <c r="F70" s="30">
        <f t="shared" si="11"/>
        <v>-0.5211785551418664</v>
      </c>
      <c r="G70" s="31">
        <v>33433.1</v>
      </c>
      <c r="H70" s="31">
        <f t="shared" si="9"/>
        <v>-17851.349999999999</v>
      </c>
      <c r="I70" s="32">
        <f t="shared" si="10"/>
        <v>-0.53394241036577517</v>
      </c>
      <c r="J70" s="49" t="s">
        <v>434</v>
      </c>
      <c r="K70" s="67" t="s">
        <v>334</v>
      </c>
    </row>
    <row r="71" spans="1:14" ht="57.6">
      <c r="A71" s="41" t="str">
        <v>CA: Stockton - SUSD - Stagg HS</v>
      </c>
      <c r="B71" s="42" t="str">
        <v>CA</v>
      </c>
      <c r="C71" s="35">
        <v>88074</v>
      </c>
      <c r="D71" s="36">
        <v>126185.60000000001</v>
      </c>
      <c r="E71" s="36">
        <f t="shared" si="12"/>
        <v>-38111.600000000006</v>
      </c>
      <c r="F71" s="37">
        <f t="shared" si="11"/>
        <v>-0.30202812365277815</v>
      </c>
      <c r="G71" s="38">
        <v>125723.9</v>
      </c>
      <c r="H71" s="38">
        <f t="shared" si="9"/>
        <v>-37649.899999999994</v>
      </c>
      <c r="I71" s="37">
        <f t="shared" si="10"/>
        <v>-0.29946493864730567</v>
      </c>
      <c r="J71" s="50" t="s">
        <v>435</v>
      </c>
      <c r="K71" s="75" t="s">
        <v>436</v>
      </c>
      <c r="L71" s="95" t="s">
        <v>437</v>
      </c>
    </row>
    <row r="72" spans="1:14" ht="28.9">
      <c r="A72" s="43" t="str">
        <v>CA: Stockton - SUSD - School for Adults</v>
      </c>
      <c r="B72" s="40" t="str">
        <v>CA</v>
      </c>
      <c r="C72" s="28">
        <v>10147.125</v>
      </c>
      <c r="D72" s="29">
        <v>27297.15</v>
      </c>
      <c r="E72" s="29">
        <f t="shared" si="12"/>
        <v>-17150.025000000001</v>
      </c>
      <c r="F72" s="30">
        <f t="shared" si="11"/>
        <v>-0.62827163275286979</v>
      </c>
      <c r="G72" s="31">
        <v>27157</v>
      </c>
      <c r="H72" s="31">
        <f t="shared" si="9"/>
        <v>-17009.875</v>
      </c>
      <c r="I72" s="32">
        <f t="shared" si="10"/>
        <v>-0.62635324225798139</v>
      </c>
      <c r="J72" s="49" t="s">
        <v>438</v>
      </c>
      <c r="K72" s="67" t="s">
        <v>338</v>
      </c>
    </row>
    <row r="73" spans="1:14" ht="28.9">
      <c r="A73" s="41" t="str">
        <v>CA: Stockton - SUSD - San Joaquin</v>
      </c>
      <c r="B73" s="42" t="str">
        <v>CA</v>
      </c>
      <c r="C73" s="35">
        <v>13454.25</v>
      </c>
      <c r="D73" s="36">
        <v>25185.05</v>
      </c>
      <c r="E73" s="36">
        <f t="shared" si="12"/>
        <v>-11730.8</v>
      </c>
      <c r="F73" s="37">
        <f t="shared" si="11"/>
        <v>-0.46578426487142172</v>
      </c>
      <c r="G73" s="38">
        <v>25998.9</v>
      </c>
      <c r="H73" s="38">
        <f t="shared" si="9"/>
        <v>-12544.650000000001</v>
      </c>
      <c r="I73" s="37">
        <f t="shared" si="10"/>
        <v>-0.48250695221720924</v>
      </c>
      <c r="J73" s="101" t="s">
        <v>439</v>
      </c>
      <c r="K73" s="95" t="s">
        <v>340</v>
      </c>
    </row>
    <row r="74" spans="1:14" ht="28.9">
      <c r="A74" s="43" t="str">
        <v>CA: Stockton - SUSD - Rio Calaveras</v>
      </c>
      <c r="B74" s="40" t="str">
        <v>CA</v>
      </c>
      <c r="C74" s="28">
        <v>6553.25</v>
      </c>
      <c r="D74" s="29">
        <v>27326.26</v>
      </c>
      <c r="E74" s="29">
        <f t="shared" si="12"/>
        <v>-20773.009999999998</v>
      </c>
      <c r="F74" s="30">
        <f t="shared" si="11"/>
        <v>-0.76018489174881598</v>
      </c>
      <c r="G74" s="31">
        <v>0</v>
      </c>
      <c r="H74" s="31">
        <f t="shared" si="9"/>
        <v>6553.25</v>
      </c>
      <c r="I74" s="32" t="str">
        <f t="shared" si="10"/>
        <v/>
      </c>
      <c r="J74" s="49" t="s">
        <v>440</v>
      </c>
      <c r="K74" s="67" t="s">
        <v>342</v>
      </c>
    </row>
    <row r="75" spans="1:14" ht="15.6">
      <c r="A75" s="41" t="str">
        <v>CA: Stockton - SUSD - Peyton</v>
      </c>
      <c r="B75" s="42" t="str">
        <v>CA</v>
      </c>
      <c r="C75" s="35">
        <v>47637.5</v>
      </c>
      <c r="D75" s="36">
        <v>56484.35</v>
      </c>
      <c r="E75" s="36">
        <f t="shared" si="12"/>
        <v>-8846.8499999999985</v>
      </c>
      <c r="F75" s="37">
        <f t="shared" si="11"/>
        <v>-0.15662479961263603</v>
      </c>
      <c r="G75" s="38">
        <v>56075.34</v>
      </c>
      <c r="H75" s="38">
        <f t="shared" si="9"/>
        <v>-8437.8399999999965</v>
      </c>
      <c r="I75" s="37">
        <f t="shared" si="10"/>
        <v>-0.15047327399174035</v>
      </c>
      <c r="J75" s="13" t="s">
        <v>441</v>
      </c>
      <c r="K75" s="103" t="s">
        <v>344</v>
      </c>
    </row>
    <row r="76" spans="1:14" ht="100.9">
      <c r="A76" s="43" t="str">
        <v>TX: Barnhart - 42917 Ranch RD 2469</v>
      </c>
      <c r="B76" s="40" t="str">
        <v>TX</v>
      </c>
      <c r="C76" s="28">
        <v>241800</v>
      </c>
      <c r="D76" s="29">
        <v>278659.20000000001</v>
      </c>
      <c r="E76" s="29">
        <f t="shared" si="12"/>
        <v>-36859.200000000012</v>
      </c>
      <c r="F76" s="30">
        <f t="shared" si="11"/>
        <v>-0.13227340062700249</v>
      </c>
      <c r="G76" s="31">
        <v>285140.40000000002</v>
      </c>
      <c r="H76" s="31">
        <f t="shared" si="9"/>
        <v>-43340.400000000023</v>
      </c>
      <c r="I76" s="32">
        <f t="shared" si="10"/>
        <v>-0.15199670057277054</v>
      </c>
      <c r="J76" s="49" t="s">
        <v>442</v>
      </c>
      <c r="K76" s="67" t="s">
        <v>443</v>
      </c>
      <c r="L76" s="95" t="s">
        <v>444</v>
      </c>
      <c r="M76" s="95" t="s">
        <v>444</v>
      </c>
      <c r="N76" s="95" t="s">
        <v>445</v>
      </c>
    </row>
    <row r="77" spans="1:14" ht="72">
      <c r="A77" s="41" t="str">
        <v>AZ: San Manuel - Senior &amp; Junior HS</v>
      </c>
      <c r="B77" s="42" t="str">
        <v>AZ</v>
      </c>
      <c r="C77" s="35">
        <v>36060</v>
      </c>
      <c r="D77" s="36" t="s">
        <v>43</v>
      </c>
      <c r="E77" s="36" t="str">
        <f t="shared" si="12"/>
        <v/>
      </c>
      <c r="F77" s="37" t="str">
        <f t="shared" si="11"/>
        <v/>
      </c>
      <c r="G77" s="38">
        <v>48892</v>
      </c>
      <c r="H77" s="38">
        <f t="shared" ref="H77:H85" si="13">IF(AND(ISNUMBER(C77),ISNUMBER(G77)), C77-G77, "")</f>
        <v>-12832</v>
      </c>
      <c r="I77" s="37">
        <f t="shared" ref="I77:I85" si="14">IFERROR(H77/G77, "")</f>
        <v>-0.2624560255256484</v>
      </c>
      <c r="J77" s="50" t="s">
        <v>446</v>
      </c>
      <c r="K77" s="68" t="s">
        <v>447</v>
      </c>
      <c r="L77" s="95" t="s">
        <v>448</v>
      </c>
    </row>
    <row r="78" spans="1:14" ht="72">
      <c r="A78" s="43" t="str">
        <v>AZ: Sierra Vista - Colonel Smith MS</v>
      </c>
      <c r="B78" s="40" t="str">
        <v>AZ</v>
      </c>
      <c r="C78" s="28">
        <v>41600</v>
      </c>
      <c r="D78" s="29">
        <v>66229.38</v>
      </c>
      <c r="E78" s="29">
        <f t="shared" si="12"/>
        <v>-24629.380000000005</v>
      </c>
      <c r="F78" s="30">
        <f t="shared" si="11"/>
        <v>-0.37187997230232267</v>
      </c>
      <c r="G78" s="31">
        <v>60155.22</v>
      </c>
      <c r="H78" s="31">
        <f t="shared" si="13"/>
        <v>-18555.22</v>
      </c>
      <c r="I78" s="32">
        <f t="shared" si="14"/>
        <v>-0.30845569179200077</v>
      </c>
      <c r="J78" s="49" t="s">
        <v>449</v>
      </c>
      <c r="K78" s="67" t="s">
        <v>450</v>
      </c>
    </row>
    <row r="79" spans="1:14" ht="43.15">
      <c r="A79" s="41" t="str">
        <v>AZ: Sierra Vista - Colonel Johnston ES</v>
      </c>
      <c r="B79" s="42" t="str">
        <v>AZ</v>
      </c>
      <c r="C79" s="35">
        <v>13160</v>
      </c>
      <c r="D79" s="36">
        <v>22045.48</v>
      </c>
      <c r="E79" s="36">
        <f t="shared" si="12"/>
        <v>-8885.48</v>
      </c>
      <c r="F79" s="37">
        <f t="shared" si="11"/>
        <v>-0.40305223565102688</v>
      </c>
      <c r="G79" s="38">
        <v>19695.87</v>
      </c>
      <c r="H79" s="38">
        <f t="shared" si="13"/>
        <v>-6535.869999999999</v>
      </c>
      <c r="I79" s="37">
        <f t="shared" si="14"/>
        <v>-0.33183961916889171</v>
      </c>
      <c r="J79" s="50" t="s">
        <v>451</v>
      </c>
      <c r="K79" s="68" t="s">
        <v>452</v>
      </c>
    </row>
    <row r="80" spans="1:14" ht="57.6">
      <c r="A80" s="43" t="str">
        <v>NH: Dover - Dover HS</v>
      </c>
      <c r="B80" s="40" t="str">
        <v>NH</v>
      </c>
      <c r="C80" s="28">
        <v>99181.5</v>
      </c>
      <c r="D80" s="29">
        <v>147489.60000000001</v>
      </c>
      <c r="E80" s="29">
        <f t="shared" si="12"/>
        <v>-48308.100000000006</v>
      </c>
      <c r="F80" s="30">
        <f t="shared" si="11"/>
        <v>-0.32753563641097411</v>
      </c>
      <c r="G80" s="31">
        <v>137072.1</v>
      </c>
      <c r="H80" s="31">
        <f t="shared" si="13"/>
        <v>-37890.600000000006</v>
      </c>
      <c r="I80" s="32">
        <f t="shared" si="14"/>
        <v>-0.27642824469749866</v>
      </c>
      <c r="J80" s="49" t="s">
        <v>453</v>
      </c>
      <c r="K80" s="67" t="s">
        <v>454</v>
      </c>
    </row>
    <row r="81" spans="1:13" ht="72">
      <c r="A81" s="41" t="str">
        <v>MA: Somerville - 30 Inner Belt Rd</v>
      </c>
      <c r="B81" s="42" t="str">
        <v>MA</v>
      </c>
      <c r="C81" s="35">
        <v>106125.5</v>
      </c>
      <c r="D81" s="36">
        <v>103334</v>
      </c>
      <c r="E81" s="36">
        <f t="shared" si="12"/>
        <v>2791.5</v>
      </c>
      <c r="F81" s="37">
        <f t="shared" si="11"/>
        <v>2.7014341842955852E-2</v>
      </c>
      <c r="G81" s="38">
        <v>197445.3</v>
      </c>
      <c r="H81" s="38">
        <f t="shared" si="13"/>
        <v>-91319.799999999988</v>
      </c>
      <c r="I81" s="37">
        <f t="shared" si="14"/>
        <v>-0.46250683100585321</v>
      </c>
      <c r="J81" s="50" t="s">
        <v>455</v>
      </c>
      <c r="K81" s="51"/>
    </row>
    <row r="82" spans="1:13" ht="100.9">
      <c r="A82" s="43" t="str">
        <v>MA: Boxborough - 1414 Massachusetts Ave</v>
      </c>
      <c r="B82" s="40" t="str">
        <v>MA</v>
      </c>
      <c r="C82" s="28">
        <v>709647.91685864795</v>
      </c>
      <c r="D82" s="29">
        <v>202302.4</v>
      </c>
      <c r="E82" s="29">
        <f t="shared" si="12"/>
        <v>507345.51685864793</v>
      </c>
      <c r="F82" s="30">
        <f t="shared" si="11"/>
        <v>2.5078571329783923</v>
      </c>
      <c r="G82" s="31">
        <v>751000</v>
      </c>
      <c r="H82" s="31">
        <f t="shared" si="13"/>
        <v>-41352.08314135205</v>
      </c>
      <c r="I82" s="32">
        <f t="shared" si="14"/>
        <v>-5.5062693929896205E-2</v>
      </c>
      <c r="J82" s="49" t="s">
        <v>456</v>
      </c>
      <c r="K82" s="67" t="s">
        <v>457</v>
      </c>
      <c r="L82" s="95" t="s">
        <v>458</v>
      </c>
    </row>
    <row r="83" spans="1:13" ht="72">
      <c r="A83" s="41" t="str">
        <v>NY: Amsterdam - 153 NY Route 67</v>
      </c>
      <c r="B83" s="42" t="str">
        <v>NY</v>
      </c>
      <c r="C83" s="35">
        <v>402490</v>
      </c>
      <c r="D83" s="36">
        <v>305334.7</v>
      </c>
      <c r="E83" s="36">
        <f t="shared" si="12"/>
        <v>97155.299999999988</v>
      </c>
      <c r="F83" s="37">
        <f t="shared" si="11"/>
        <v>0.31819278974843013</v>
      </c>
      <c r="G83" s="38">
        <v>390058.8</v>
      </c>
      <c r="H83" s="38">
        <f t="shared" si="13"/>
        <v>12431.200000000012</v>
      </c>
      <c r="I83" s="37">
        <f t="shared" si="14"/>
        <v>3.187006676942044E-2</v>
      </c>
      <c r="J83" s="50" t="s">
        <v>459</v>
      </c>
      <c r="K83" s="69" t="s">
        <v>460</v>
      </c>
      <c r="L83" s="95" t="s">
        <v>461</v>
      </c>
      <c r="M83" s="95" t="s">
        <v>462</v>
      </c>
    </row>
    <row r="84" spans="1:13" ht="15.6">
      <c r="A84" s="43" t="str">
        <v>CA: San Jose - GE Mobile Water</v>
      </c>
      <c r="B84" s="40" t="str">
        <v>CA</v>
      </c>
      <c r="C84" s="28">
        <v>30650</v>
      </c>
      <c r="D84" s="29">
        <v>34545.004999999997</v>
      </c>
      <c r="E84" s="29">
        <f t="shared" si="12"/>
        <v>-3895.0049999999974</v>
      </c>
      <c r="F84" s="30">
        <f t="shared" si="11"/>
        <v>-0.11275161199137176</v>
      </c>
      <c r="G84" s="31">
        <v>34698.832000000002</v>
      </c>
      <c r="H84" s="31">
        <f t="shared" si="13"/>
        <v>-4048.8320000000022</v>
      </c>
      <c r="I84" s="32">
        <f t="shared" si="14"/>
        <v>-0.11668496507317601</v>
      </c>
      <c r="J84" s="49" t="s">
        <v>463</v>
      </c>
      <c r="K84" s="67" t="s">
        <v>310</v>
      </c>
    </row>
    <row r="85" spans="1:13" ht="72">
      <c r="A85" s="41" t="str">
        <v>NY: Rome - 7776 Tannery RD</v>
      </c>
      <c r="B85" s="42" t="str">
        <v>NY</v>
      </c>
      <c r="C85" s="35">
        <v>372090.384558074</v>
      </c>
      <c r="D85" s="36">
        <v>415567.5</v>
      </c>
      <c r="E85" s="36">
        <f t="shared" si="12"/>
        <v>-43477.115441925998</v>
      </c>
      <c r="F85" s="37">
        <f t="shared" si="11"/>
        <v>-0.10462106743651993</v>
      </c>
      <c r="G85" s="38">
        <v>430656.3</v>
      </c>
      <c r="H85" s="38">
        <f t="shared" si="13"/>
        <v>-58565.915441925987</v>
      </c>
      <c r="I85" s="37">
        <f t="shared" si="14"/>
        <v>-0.13599224124185805</v>
      </c>
      <c r="J85" s="50" t="s">
        <v>464</v>
      </c>
      <c r="K85" s="75" t="s">
        <v>465</v>
      </c>
      <c r="L85" s="95" t="s">
        <v>466</v>
      </c>
      <c r="M85" s="95" t="s">
        <v>467</v>
      </c>
    </row>
    <row r="86" spans="1:13" ht="14.45">
      <c r="A86" s="8"/>
      <c r="B86" s="13"/>
      <c r="C86" s="8"/>
      <c r="D86" s="8"/>
      <c r="E86" s="8"/>
      <c r="F86" s="9"/>
      <c r="G86" s="8"/>
      <c r="H86" s="8"/>
      <c r="I86" s="9"/>
      <c r="J86" s="8"/>
      <c r="K86" s="8"/>
    </row>
    <row r="87" spans="1:13" ht="14.45">
      <c r="A87" s="8"/>
      <c r="B87" s="13"/>
      <c r="C87" s="8"/>
      <c r="D87" s="8"/>
      <c r="E87" s="8"/>
      <c r="F87" s="9"/>
      <c r="G87" s="8"/>
      <c r="H87" s="8"/>
      <c r="I87" s="9"/>
      <c r="J87" s="8"/>
      <c r="K87" s="8"/>
    </row>
    <row r="88" spans="1:13" ht="14.45">
      <c r="A88" s="8"/>
      <c r="B88" s="13"/>
      <c r="C88" s="8"/>
      <c r="D88" s="8"/>
      <c r="E88" s="8"/>
      <c r="F88" s="9"/>
      <c r="G88" s="8"/>
      <c r="H88" s="8"/>
      <c r="I88" s="9"/>
      <c r="J88" s="8"/>
      <c r="K88" s="8"/>
    </row>
    <row r="89" spans="1:13" ht="14.45">
      <c r="A89" s="8"/>
      <c r="B89" s="13"/>
      <c r="C89" s="8"/>
      <c r="D89" s="8"/>
      <c r="E89" s="8"/>
      <c r="F89" s="9"/>
      <c r="G89" s="8"/>
      <c r="H89" s="8"/>
      <c r="I89" s="9"/>
      <c r="J89" s="8"/>
      <c r="K89" s="8"/>
    </row>
    <row r="90" spans="1:13" ht="14.45">
      <c r="A90" s="8"/>
      <c r="B90" s="13"/>
      <c r="C90" s="8"/>
      <c r="D90" s="8"/>
      <c r="E90" s="8"/>
      <c r="F90" s="9"/>
      <c r="G90" s="8"/>
      <c r="H90" s="8"/>
      <c r="I90" s="9"/>
      <c r="J90" s="8"/>
      <c r="K90" s="8"/>
    </row>
    <row r="91" spans="1:13" ht="14.45">
      <c r="A91" s="8"/>
      <c r="B91" s="13"/>
      <c r="C91" s="8"/>
      <c r="D91" s="8"/>
      <c r="E91" s="8"/>
      <c r="F91" s="9"/>
      <c r="G91" s="8"/>
      <c r="H91" s="8"/>
      <c r="I91" s="9"/>
      <c r="J91" s="8"/>
      <c r="K91" s="8"/>
    </row>
    <row r="92" spans="1:13" ht="14.45">
      <c r="A92" s="8"/>
      <c r="B92" s="13"/>
      <c r="C92" s="8"/>
      <c r="D92" s="8"/>
      <c r="E92" s="8"/>
      <c r="F92" s="9"/>
      <c r="G92" s="8"/>
      <c r="H92" s="8"/>
      <c r="I92" s="9"/>
      <c r="J92" s="8"/>
      <c r="K92" s="8"/>
    </row>
    <row r="93" spans="1:13" ht="14.45">
      <c r="A93" s="8"/>
      <c r="B93" s="13"/>
      <c r="C93" s="8"/>
      <c r="D93" s="8"/>
      <c r="E93" s="8"/>
      <c r="F93" s="9"/>
      <c r="G93" s="8"/>
      <c r="H93" s="8"/>
      <c r="I93" s="9"/>
      <c r="J93" s="8"/>
      <c r="K93" s="8"/>
    </row>
    <row r="94" spans="1:13" ht="14.45">
      <c r="A94" s="8"/>
      <c r="B94" s="13"/>
      <c r="C94" s="8"/>
      <c r="D94" s="8"/>
      <c r="E94" s="8"/>
      <c r="F94" s="9"/>
      <c r="G94" s="8"/>
      <c r="H94" s="8"/>
      <c r="I94" s="9"/>
      <c r="J94" s="8"/>
      <c r="K94" s="8"/>
    </row>
    <row r="95" spans="1:13" ht="14.45">
      <c r="A95" s="8"/>
      <c r="B95" s="13"/>
      <c r="C95" s="8"/>
      <c r="D95" s="8"/>
      <c r="E95" s="8"/>
      <c r="F95" s="9"/>
      <c r="G95" s="8"/>
      <c r="H95" s="8"/>
      <c r="I95" s="9"/>
      <c r="J95" s="8"/>
      <c r="K95" s="8"/>
    </row>
    <row r="96" spans="1:13"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sortState xmlns:xlrd2="http://schemas.microsoft.com/office/spreadsheetml/2017/richdata2" ref="A3:K12">
    <sortCondition ref="A3:A12"/>
  </sortState>
  <mergeCells count="4">
    <mergeCell ref="G1:I1"/>
    <mergeCell ref="A1:C1"/>
    <mergeCell ref="D1:F1"/>
    <mergeCell ref="A2:B2"/>
  </mergeCells>
  <conditionalFormatting sqref="F2 I2 F4:F85 I4:I85">
    <cfRule type="cellIs" dxfId="14" priority="5" stopIfTrue="1" operator="lessThanOrEqual">
      <formula>-0.1</formula>
    </cfRule>
    <cfRule type="expression" dxfId="13" priority="6">
      <formula>AND(ISNUMBER(F2), F2&gt;=0.1)</formula>
    </cfRule>
  </conditionalFormatting>
  <hyperlinks>
    <hyperlink ref="K4" r:id="rId1" display="https://us3.assetplanner.com/service_request?ID=099290" xr:uid="{C42FE1D8-B412-4565-994A-3340F93D690D}"/>
    <hyperlink ref="K5" r:id="rId2" display="https://us3.assetplanner.com/service_request?ID=101243" xr:uid="{369679B9-8C0D-433C-AA5A-C37F4F5F52D3}"/>
    <hyperlink ref="L5" r:id="rId3" display="https://us3.assetplanner.com/service_request?ID=101243" xr:uid="{32FF4CA8-5E35-46CD-A36E-CA76E6647AE9}"/>
    <hyperlink ref="M5" r:id="rId4" display="https://us3.assetplanner.com/service_request?ID=101243" xr:uid="{4C5ADB48-ADF6-439A-91A1-91038128DB92}"/>
    <hyperlink ref="N5" r:id="rId5" display="https://us3.assetplanner.com/service_request?ID=101243" xr:uid="{3766B05D-0F64-47D9-936C-8A668C54081B}"/>
    <hyperlink ref="O5" r:id="rId6" display="https://us3.assetplanner.com/service_request?ID=101245" xr:uid="{EF2683E8-E8BA-4470-AE30-A218C826DEE7}"/>
    <hyperlink ref="P5" r:id="rId7" display="https://us3.assetplanner.com/service_request?ID=104647" xr:uid="{92757F62-D0BC-4CD1-B84E-9FF0937858B2}"/>
    <hyperlink ref="K6" r:id="rId8" display="https://us3.assetplanner.com/service_request?ID=103481" xr:uid="{B071CBAD-1FFA-48DB-8201-D4DC9FBCB5E6}"/>
    <hyperlink ref="K7" r:id="rId9" display="https://us3.assetplanner.com/service_request?ID=096262" xr:uid="{9B3A2A90-C292-46D9-B51C-62780BD2101B}"/>
    <hyperlink ref="L7" r:id="rId10" display="https://us3.assetplanner.com/service_request?ID=099066" xr:uid="{0067E70B-98B4-44D5-A8C8-35AB920FD079}"/>
    <hyperlink ref="K8" r:id="rId11" display="https://us3.assetplanner.com/service_request?ID=098870" xr:uid="{103F916B-2A58-40AC-A6E9-D62AD07EA1C5}"/>
    <hyperlink ref="L8" r:id="rId12" display="https://us3.assetplanner.com/service_request?ID=099461" xr:uid="{E1F37A72-2136-486C-9FA0-E362EA044CFE}"/>
    <hyperlink ref="K9" r:id="rId13" display="https://us3.assetplanner.com/service_request?ID=104023" xr:uid="{1DAC33BE-2B1E-4C6D-91E0-33A284627ECC}"/>
    <hyperlink ref="L9" r:id="rId14" display="https://us3.assetplanner.com/service_request?ID=104137" xr:uid="{4DA63ED2-3DA8-4BF8-AB90-DCB9E20B130D}"/>
    <hyperlink ref="M9" r:id="rId15" display="https://us3.assetplanner.com/service_request?ID=102343" xr:uid="{C7F46740-5919-4CE4-BE49-D71CB7091E42}"/>
    <hyperlink ref="K11" r:id="rId16" display="https://us3.assetplanner.com/service_request?ID=105212" xr:uid="{BC17F5E7-A9B5-4411-AE25-F41CEF1A2DB5}"/>
    <hyperlink ref="K12" r:id="rId17" display="https://us3.assetplanner.com/service_request?ID=102644" xr:uid="{28EC41EF-55DB-4EA4-8783-409308F687E8}"/>
    <hyperlink ref="L12" r:id="rId18" display="https://us3.assetplanner.com/service_request?ID=102209" xr:uid="{B0C2E597-CD04-4AA7-B241-CB76848E0375}"/>
    <hyperlink ref="K13" r:id="rId19" display="https://us3.assetplanner.com/service_request?ID=103184" xr:uid="{2FAF1BC3-A0CE-46B8-987E-ED5C284BFF57}"/>
    <hyperlink ref="K14" r:id="rId20" display="https://us3.assetplanner.com/service_request?ID=103740" xr:uid="{F6025F3D-6B62-40F7-BA16-C01809456BCA}"/>
    <hyperlink ref="L14" r:id="rId21" display="https://us3.assetplanner.com/service_request?ID=103900" xr:uid="{47793776-5CBE-42E5-9B3F-FDADC8E417B1}"/>
    <hyperlink ref="K15" r:id="rId22" display="https://us3.assetplanner.com/service_request?ID=101919" xr:uid="{6FB392D8-6AA0-42A5-907C-F47DE6F3A82A}"/>
    <hyperlink ref="K16" r:id="rId23" display="https://us3.assetplanner.com/service_request?ID=104742" xr:uid="{2FF17297-7FC8-4B0B-8CC6-084A9DB50013}"/>
    <hyperlink ref="L16" r:id="rId24" display="https://us3.assetplanner.com/service_request?ID=103239" xr:uid="{443B65DB-0F7B-4B00-961A-08341FADA1CB}"/>
    <hyperlink ref="K17" r:id="rId25" display="https://us3.assetplanner.com/service_request?ID=103048" xr:uid="{CC98913A-5C82-4F88-8E00-52BFDDF7EB93}"/>
    <hyperlink ref="K18" r:id="rId26" display="https://us3.assetplanner.com/service_request?ID=103686" xr:uid="{CE6EAEB6-16E3-454A-80EF-199B43504C3E}"/>
    <hyperlink ref="L18" r:id="rId27" display="https://us3.assetplanner.com/service_request?ID=101068" xr:uid="{C7430B0E-7A1A-4E96-961F-787F039F42F5}"/>
    <hyperlink ref="K19" r:id="rId28" display="https://us3.assetplanner.com/service_request?ID=099730" xr:uid="{2392DAD7-9F32-495D-8938-6925A4B0232A}"/>
    <hyperlink ref="K20" r:id="rId29" display="https://us3.assetplanner.com/service_request?ID=103950" xr:uid="{D1CB54FA-DED8-4748-ADEF-B5BF2B6C79E3}"/>
    <hyperlink ref="K21" r:id="rId30" display="https://us3.assetplanner.com/service_request?ID=102316" xr:uid="{7D53AB55-036F-4A0B-9679-E0B776822BD3}"/>
    <hyperlink ref="L21" r:id="rId31" display="https://us3.assetplanner.com/service_request?ID=099500" xr:uid="{B19C9E1D-6840-4206-8A55-4291EC10B3EF}"/>
    <hyperlink ref="M21" r:id="rId32" display="https://us3.assetplanner.com/service_request?ID=098016" xr:uid="{08055C8E-1CDB-404F-8255-96E66B7C3DE7}"/>
    <hyperlink ref="K22" r:id="rId33" display="https://us3.assetplanner.com/service_request?ID=103914" xr:uid="{8F79F0AA-01C0-47BD-B149-F2987C58F3EE}"/>
    <hyperlink ref="L22" r:id="rId34" display="https://us3.assetplanner.com/service_request?ID= 09801" xr:uid="{E2440381-12F0-49FF-B3C2-3FD3A77B68FB}"/>
    <hyperlink ref="K24" r:id="rId35" display="https://us3.assetplanner.com/service_request?ID=103124" xr:uid="{43CA431C-D91F-405D-9D7B-0CC742C19BFA}"/>
    <hyperlink ref="K25" r:id="rId36" display="https://us3.assetplanner.com/service_request?ID=104147" xr:uid="{AFD93A22-2294-4AD9-8964-067F6EF8AEB3}"/>
    <hyperlink ref="L25" r:id="rId37" display="https://us3.assetplanner.com/service_request?ID=104192" xr:uid="{E2A52ED8-CD3A-464A-9F45-DF3894C64D3B}"/>
    <hyperlink ref="M25" r:id="rId38" display="https://us3.assetplanner.com/service_request?ID=102794" xr:uid="{49784ACA-C994-4292-8DEE-444A3648BCD0}"/>
    <hyperlink ref="N25" r:id="rId39" display="https://us3.assetplanner.com/service_request?ID=103335" xr:uid="{5916FB34-9A26-441D-BD2F-F762CD470C25}"/>
    <hyperlink ref="K33" r:id="rId40" display="https://us3.assetplanner.com/service_request?ID=102723" xr:uid="{F1702514-C740-40A3-BDB8-86B9F32BAD79}"/>
    <hyperlink ref="L33" r:id="rId41" display="https://us3.assetplanner.com/service_request?ID=105641" xr:uid="{F88B700B-EEB4-40B4-9AF2-F6CD05A40572}"/>
    <hyperlink ref="K34" r:id="rId42" display="https://us3.assetplanner.com/service_request?ID=103375" xr:uid="{4E9F10AB-0172-4161-9665-A2824F363BFC}"/>
    <hyperlink ref="L34" r:id="rId43" display="https://us3.assetplanner.com/service_request?ID=100883" xr:uid="{2E79F873-7E3D-4891-873D-F76036652BC7}"/>
    <hyperlink ref="M34" r:id="rId44" display="https://us3.assetplanner.com/service_request?ID=103638" xr:uid="{B27D083B-324B-4753-B52D-559113922CF2}"/>
    <hyperlink ref="K40" r:id="rId45" display="https://us3.assetplanner.com/service_request?ID=101963" xr:uid="{D4EAC85F-822E-4651-8C24-504C4AD47489}"/>
    <hyperlink ref="K41" r:id="rId46" display="https://us3.assetplanner.com/service_request?ID=101818" xr:uid="{86AB9047-74BD-49CF-A25B-D51E67318A43}"/>
    <hyperlink ref="L41" r:id="rId47" display="https://us3.assetplanner.com/service_request?ID=105205" xr:uid="{3A903B06-1B5B-4FEC-8BA9-5B504963C316}"/>
    <hyperlink ref="K42" r:id="rId48" display="https://us3.assetplanner.com/service_request?ID=101034" xr:uid="{BDE6483C-95C2-4BE8-951B-882B3138FE41}"/>
    <hyperlink ref="L42" r:id="rId49" display="https://us3.assetplanner.com/service_request?ID=103779" xr:uid="{BEAC930D-0D28-4B07-8D72-0DA7052924BF}"/>
    <hyperlink ref="M42" r:id="rId50" display="https://us3.assetplanner.com/service_request?ID=102621" xr:uid="{A1B9BF50-867A-48EB-B544-5234438A5865}"/>
    <hyperlink ref="K43" r:id="rId51" display="https://us3.assetplanner.com/service_request?ID=101021" xr:uid="{45940EB9-4278-40C6-A1CC-C4E8E6E4FA69}"/>
    <hyperlink ref="L43" r:id="rId52" display="https://us3.assetplanner.com/service_request?ID=104390" xr:uid="{B2539259-1851-4416-8760-862484F7DB11}"/>
    <hyperlink ref="K44" r:id="rId53" display="https://us3.assetplanner.com/service_request?ID=100915" xr:uid="{BA7CB92F-38F4-4AE0-8DFB-00B8869E376B}"/>
    <hyperlink ref="K45" r:id="rId54" display="https://us3.assetplanner.com/service_request?ID=105366" xr:uid="{88F0E004-4F07-4EC2-833E-E0719AD2E4BB}"/>
    <hyperlink ref="L45" r:id="rId55" display="https://us3.assetplanner.com/service_request?ID=101100" xr:uid="{BE75CF64-62F2-49DC-905E-27314DECFE7F}"/>
    <hyperlink ref="K46" r:id="rId56" display="https://us3.assetplanner.com/service_request?ID=105192" xr:uid="{A43BCA30-1E08-4412-8F8A-8C1136773F92}"/>
    <hyperlink ref="L46" r:id="rId57" display="https://us3.assetplanner.com/service_request?ID=104170" xr:uid="{1DEF71D7-6F61-4633-8B57-831AC207AA5C}"/>
    <hyperlink ref="M46" r:id="rId58" display="https://us3.assetplanner.com/service_request?ID=104643" xr:uid="{6BF0E7E4-15A7-4116-A339-2A7BEA97677A}"/>
    <hyperlink ref="N46" r:id="rId59" display="https://us3.assetplanner.com/service_request?ID=103517" xr:uid="{B99BE8E3-47D2-41C2-B8E0-6F2A1087F0B2}"/>
    <hyperlink ref="O46" r:id="rId60" display="https://us3.assetplanner.com/service_request?ID=101057" xr:uid="{9DB7DDB5-1747-438B-8A7E-4939174D7D45}"/>
    <hyperlink ref="K47" r:id="rId61" display="https://us3.assetplanner.com/service_request?ID=102419" xr:uid="{565204F6-3B15-4FC1-89FB-D1C3E0382C10}"/>
    <hyperlink ref="K48" r:id="rId62" display="https://us3.assetplanner.com/service_request?ID=103160" xr:uid="{CD1B06C9-2D30-4557-AE41-F5FAB5260C5F}"/>
    <hyperlink ref="L48" r:id="rId63" display="https://us3.assetplanner.com/service_request?ID=102283" xr:uid="{FC4C003E-BFFB-4505-9786-CEBD996BB6D3}"/>
    <hyperlink ref="K49" r:id="rId64" display="https://us3.assetplanner.com/service_request?ID=102418" xr:uid="{588AE965-76B0-44CC-9E77-D0F0A91885CB}"/>
    <hyperlink ref="K50" r:id="rId65" display="https://us3.assetplanner.com/service_request?ID=102416" xr:uid="{53E8C285-82CC-4248-9BCE-7F5EE7F41C33}"/>
    <hyperlink ref="K51" r:id="rId66" display="https://us3.assetplanner.com/service_request?ID=102392" xr:uid="{72AE1CFF-B0D6-4A3C-A3B7-A35FC2EE8215}"/>
    <hyperlink ref="K52" r:id="rId67" display="https://us3.assetplanner.com/service_request?ID=104882" xr:uid="{DD4D8073-DEE3-4D1C-8629-9E166C6C7B71}"/>
    <hyperlink ref="L52" r:id="rId68" display="https://us3.assetplanner.com/service_request?ID=103636" xr:uid="{38BC84DC-0B5F-4CD4-8473-7DBD2B5AFA73}"/>
    <hyperlink ref="M52" r:id="rId69" display="https://us3.assetplanner.com/service_request?ID=102321" xr:uid="{701F6338-C714-4DCD-BA4B-F6E79F5E5D48}"/>
    <hyperlink ref="N52" r:id="rId70" display="https://us3.assetplanner.com/service_request?ID=102539" xr:uid="{5D56BA36-0BBB-41E9-AEF0-089FE5D34803}"/>
    <hyperlink ref="K53" r:id="rId71" display="https://us3.assetplanner.com/service_request?ID=102320" xr:uid="{96D9D2E3-C80D-4AF3-A1E0-9566A34CCC5B}"/>
    <hyperlink ref="K54" r:id="rId72" display="https://us3.assetplanner.com/service_request?ID=102317" xr:uid="{FC736E63-9DA5-448E-8423-BA1AA6FF0A90}"/>
    <hyperlink ref="K55" r:id="rId73" display="https://us3.assetplanner.com/service_request?ID=102315" xr:uid="{04987751-90EE-4AF7-B8BD-8DF1868BDB14}"/>
    <hyperlink ref="K56" r:id="rId74" display="https://us3.assetplanner.com/service_request?ID=102286" xr:uid="{DC71DDA4-38D4-4343-88C2-21655F4E2AC2}"/>
    <hyperlink ref="K57" r:id="rId75" display="https://us3.assetplanner.com/service_request?ID=102281" xr:uid="{C7D3AC0A-EDC3-4B6E-8688-3DF62553A041}"/>
    <hyperlink ref="K59" r:id="rId76" display="https://us3.assetplanner.com/service_request?ID=102503" xr:uid="{A8648C57-C715-4E44-B724-656633C88729}"/>
    <hyperlink ref="L59" r:id="rId77" display="https://us3.assetplanner.com/service_request?ID=101986" xr:uid="{752118AD-15CF-4A92-8AA6-A741CC57B99E}"/>
    <hyperlink ref="K60" r:id="rId78" display="https://us3.assetplanner.com/service_request?ID=102451" xr:uid="{71BEADC9-553D-4156-8CE0-FCD981FD16F3}"/>
    <hyperlink ref="K62" r:id="rId79" display="https://us3.assetplanner.com/service_request?ID=102329" xr:uid="{43F62831-84AF-4BBE-A955-57C7BA640745}"/>
    <hyperlink ref="L62" r:id="rId80" display="https://us3.assetplanner.com/service_request?ID=105139" xr:uid="{1570DCE7-0C60-4F61-84DB-32255EE79B73}"/>
    <hyperlink ref="K63" r:id="rId81" display="https://us3.assetplanner.com/service_request?ID=102303" xr:uid="{33BFE921-8B2E-40E0-93E8-AB0589E39F5A}"/>
    <hyperlink ref="K64" r:id="rId82" display="https://us3.assetplanner.com/service_request?ID=102411" xr:uid="{F534EE77-A62A-4F65-A95E-484E4E2E0B47}"/>
    <hyperlink ref="K65" r:id="rId83" display="https://us3.assetplanner.com/service_request?ID=102403" xr:uid="{E092EB80-4C65-495B-861A-40889786825B}"/>
    <hyperlink ref="K66" r:id="rId84" display="https://us3.assetplanner.com/service_request?ID=102310" xr:uid="{19F0399C-1785-457E-A1DF-D1F7F7DD0E40}"/>
    <hyperlink ref="K67" r:id="rId85" display="https://us3.assetplanner.com/service_request?ID=104289" xr:uid="{9E46EC2F-C3D8-47DE-955E-A21E2D0B1BF4}"/>
    <hyperlink ref="K68" r:id="rId86" display="https://us3.assetplanner.com/service_request?ID=102450" xr:uid="{1B2F005E-78AA-4C8C-8140-6EB56677DF27}"/>
    <hyperlink ref="K69" r:id="rId87" display="https://us3.assetplanner.com/service_request?ID=102413" xr:uid="{DBB639DE-1DFE-4981-B20D-9C878BE8A05A}"/>
    <hyperlink ref="K70" r:id="rId88" display="https://us3.assetplanner.com/service_request?ID=102425" xr:uid="{5239094B-B498-4D54-AB52-107C89B67358}"/>
    <hyperlink ref="K71" r:id="rId89" display="https://us3.assetplanner.com/service_request?ID=102820" xr:uid="{BE44DA6E-10FA-4B38-B710-F68059D45CB6}"/>
    <hyperlink ref="L71" r:id="rId90" display="https://us3.assetplanner.com/service_request?ID=104290" xr:uid="{AD97D7E9-2E5B-4F4E-9829-3AB59987DEB8}"/>
    <hyperlink ref="K72" r:id="rId91" display="https://us3.assetplanner.com/service_request?ID=102424" xr:uid="{5D7FCB8B-4C32-422C-88E0-06C23B253443}"/>
    <hyperlink ref="K73" r:id="rId92" display="https://us3.assetplanner.com/service_request?ID=102423" xr:uid="{F396D91B-DB7A-426F-BAA5-F55B2517929F}"/>
    <hyperlink ref="K74" r:id="rId93" display="https://us3.assetplanner.com/service_request?ID=102421" xr:uid="{A90F2C62-DCD6-426C-A5C0-9D769DA83B57}"/>
    <hyperlink ref="K75" r:id="rId94" display="https://us3.assetplanner.com/service_request?ID=102420" xr:uid="{583FE3D4-B4F3-4835-BBBB-A11D0B39A12D}"/>
    <hyperlink ref="K76" r:id="rId95" display="https://us3.assetplanner.com/service_request?ID=103869" xr:uid="{91E26792-5C09-4483-9205-3CDBDD3B8ACB}"/>
    <hyperlink ref="L76" r:id="rId96" display="https://us3.assetplanner.com/service_request?ID=104043" xr:uid="{00914C7F-5BC3-4063-B695-C3F576AA95A3}"/>
    <hyperlink ref="M76" r:id="rId97" display="https://us3.assetplanner.com/service_request?ID=104043" xr:uid="{49372C4A-3F8D-4E6F-BAFC-63E6A9641F5F}"/>
    <hyperlink ref="N76" r:id="rId98" display="https://us3.assetplanner.com/service_request?ID=104246" xr:uid="{FE939B1C-07C4-447A-BB32-7ED701DF22E2}"/>
    <hyperlink ref="K77" r:id="rId99" display="https://us3.assetplanner.com/service_request?ID=103868" xr:uid="{A24F3835-FA72-4845-A176-1B2090163736}"/>
    <hyperlink ref="L77" r:id="rId100" display="https://us3.assetplanner.com/service_request?ID=104231" xr:uid="{9A69D531-8DAA-4CA5-AD96-235CA03B0CFE}"/>
    <hyperlink ref="K78" r:id="rId101" display="https://us3.assetplanner.com/service_request?ID=103867" xr:uid="{F4E013DB-FDB1-461E-AF96-143E47B7A2F6}"/>
    <hyperlink ref="K79" r:id="rId102" display="https://us3.assetplanner.com/service_request?ID=103866" xr:uid="{6A21C96C-4716-4FFE-ACCF-C5CFFCBA28F4}"/>
    <hyperlink ref="K80" r:id="rId103" display="https://us3.assetplanner.com/service_request?ID=104456" xr:uid="{889135CA-1925-47FC-A383-87B61D0A8DD9}"/>
    <hyperlink ref="K82" r:id="rId104" display="https://us3.assetplanner.com/service_request?ID=103944" xr:uid="{04276BC6-9DA3-4A5C-B35D-D5C9B53EB565}"/>
    <hyperlink ref="L82" r:id="rId105" display="https://us3.assetplanner.com/service_request?ID=104776" xr:uid="{5A812944-4776-4693-9942-E431E3AB6591}"/>
    <hyperlink ref="K83" r:id="rId106" display="https://us3.assetplanner.com/service_request?ID=103946" xr:uid="{95CF8F49-17BB-4C55-AD8F-3FB0E2EDEEEA}"/>
    <hyperlink ref="L83" r:id="rId107" display="https://us3.assetplanner.com/service_request?ID=103946" xr:uid="{C4D4CC97-D4CF-487A-BC5C-FE367F07BBBA}"/>
    <hyperlink ref="M83" r:id="rId108" display="https://us3.assetplanner.com/service_request?ID=104855" xr:uid="{E08771F5-4153-4B40-BD2E-1E470583B1DA}"/>
    <hyperlink ref="K84" r:id="rId109" display="https://us3.assetplanner.com/service_request?ID=102281" xr:uid="{AB606213-91E4-461C-8356-DB0A2B4107A2}"/>
    <hyperlink ref="K85" r:id="rId110" display="https://us3.assetplanner.com/service_request?ID=103947" xr:uid="{6092C3D4-E306-4A6F-A2E8-502524E77976}"/>
    <hyperlink ref="L85" r:id="rId111" display="https://us3.assetplanner.com/service_request?ID=104665" xr:uid="{646EC2BB-DCE5-4929-97E7-3EAFBF284EC1}"/>
    <hyperlink ref="M85" r:id="rId112" display="https://us3.assetplanner.com/service_request?ID=105155" xr:uid="{D9B177FF-D1FA-43F0-924E-84D34C3E4B5F}"/>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U327"/>
  <sheetViews>
    <sheetView tabSelected="1" zoomScale="80" zoomScaleNormal="80" workbookViewId="0">
      <pane xSplit="2" ySplit="3" topLeftCell="H4" activePane="bottomRight" state="frozen"/>
      <selection pane="bottomRight" activeCell="M6" sqref="M6"/>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20" width="8.85546875" style="77"/>
  </cols>
  <sheetData>
    <row r="1" spans="1:13" ht="19.5" customHeight="1">
      <c r="A1" s="106" t="str" cm="1">
        <f t="array" ref="A1">portfolio</f>
        <v>Clean Capital</v>
      </c>
      <c r="B1" s="106"/>
      <c r="C1" s="106"/>
      <c r="D1" s="107" t="s">
        <v>468</v>
      </c>
      <c r="E1" s="107"/>
      <c r="F1" s="107"/>
      <c r="G1" s="105" t="s">
        <v>469</v>
      </c>
      <c r="H1" s="105"/>
      <c r="I1" s="105"/>
      <c r="J1" s="4"/>
      <c r="K1" s="4"/>
    </row>
    <row r="2" spans="1:13" ht="19.5" customHeight="1">
      <c r="A2" s="108" t="s">
        <v>2</v>
      </c>
      <c r="B2" s="108"/>
      <c r="C2" s="5">
        <f>SUM(C4:C85)</f>
        <v>5882310.2439786764</v>
      </c>
      <c r="D2" s="5">
        <f>SUM(D4:D85)</f>
        <v>3903144.4592646202</v>
      </c>
      <c r="E2" s="5">
        <f>C2-D2</f>
        <v>1979165.7847140562</v>
      </c>
      <c r="F2" s="6">
        <f>IFERROR(E2/D2, 0)</f>
        <v>0.50706957053978596</v>
      </c>
      <c r="G2" s="5">
        <f>SUM(G4:G85)</f>
        <v>6643965.4790000003</v>
      </c>
      <c r="H2" s="7">
        <f>C2-G2</f>
        <v>-761655.2350213239</v>
      </c>
      <c r="I2" s="6">
        <f>IFERROR(H2/G2, 0)</f>
        <v>-0.11463865028027848</v>
      </c>
      <c r="J2" s="11"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2" t="s">
        <v>3</v>
      </c>
      <c r="B3" s="12" t="s">
        <v>4</v>
      </c>
      <c r="C3" s="19" t="s">
        <v>5</v>
      </c>
      <c r="D3" s="20" t="s">
        <v>6</v>
      </c>
      <c r="E3" s="20" t="s">
        <v>7</v>
      </c>
      <c r="F3" s="21" t="s">
        <v>8</v>
      </c>
      <c r="G3" s="22" t="s">
        <v>9</v>
      </c>
      <c r="H3" s="23" t="s">
        <v>7</v>
      </c>
      <c r="I3" s="24" t="s">
        <v>8</v>
      </c>
      <c r="J3" s="10" t="s">
        <v>42</v>
      </c>
      <c r="K3" s="10" t="s">
        <v>21</v>
      </c>
    </row>
    <row r="4" spans="1:13" ht="43.15">
      <c r="A4" s="39" t="str" cm="1">
        <f t="array" ref="A4:A85">Sites[Site]</f>
        <v>Lexington - Cotting School</v>
      </c>
      <c r="B4" s="40" t="str" cm="1">
        <f t="array" ref="B4:B85">Sites[State]</f>
        <v>MA</v>
      </c>
      <c r="C4" s="28">
        <v>45808.800000000003</v>
      </c>
      <c r="D4" s="29" t="s">
        <v>43</v>
      </c>
      <c r="E4" s="29" t="str">
        <f>IF(AND(ISNUMBER(C4),ISNUMBER(D4)), C4-D4, "")</f>
        <v/>
      </c>
      <c r="F4" s="30" t="str">
        <f>IFERROR(E4/D4, "")</f>
        <v/>
      </c>
      <c r="G4" s="84" t="s">
        <v>43</v>
      </c>
      <c r="H4" s="31" t="str">
        <f>IF(AND(ISNUMBER(C4),ISNUMBER(G4)), C4-G4, "")</f>
        <v/>
      </c>
      <c r="I4" s="32" t="str">
        <f>IFERROR(H4/G4, "")</f>
        <v/>
      </c>
      <c r="J4" s="62" t="s">
        <v>470</v>
      </c>
      <c r="K4" s="78" t="s">
        <v>207</v>
      </c>
    </row>
    <row r="5" spans="1:13" ht="129.6">
      <c r="A5" s="41" t="str">
        <v>Pacoima - Whiteman Airport</v>
      </c>
      <c r="B5" s="42" t="str">
        <v>CA</v>
      </c>
      <c r="C5" s="35">
        <v>2803</v>
      </c>
      <c r="D5" s="36" t="s">
        <v>43</v>
      </c>
      <c r="E5" s="36" t="str">
        <f t="shared" ref="E5:E6" si="0">IF(AND(ISNUMBER(C5),ISNUMBER(D5)), C5-D5, "")</f>
        <v/>
      </c>
      <c r="F5" s="37" t="str">
        <f>IFERROR(E5/D5, "")</f>
        <v/>
      </c>
      <c r="G5" s="38">
        <v>4007.6</v>
      </c>
      <c r="H5" s="38">
        <f t="shared" ref="H5:H6" si="1">IF(AND(ISNUMBER(C5),ISNUMBER(G5)), C5-G5, "")</f>
        <v>-1204.5999999999999</v>
      </c>
      <c r="I5" s="37">
        <f t="shared" ref="I5:I6" si="2">IFERROR(H5/G5, "")</f>
        <v>-0.30057890008982929</v>
      </c>
      <c r="J5" s="60" t="s">
        <v>471</v>
      </c>
      <c r="K5" s="75" t="s">
        <v>472</v>
      </c>
      <c r="L5" s="76" t="s">
        <v>135</v>
      </c>
      <c r="M5" s="76" t="s">
        <v>136</v>
      </c>
    </row>
    <row r="6" spans="1:13" ht="15.6">
      <c r="A6" s="43" t="str">
        <v>Hyannis - Sturgis Charter School</v>
      </c>
      <c r="B6" s="40" t="str">
        <v>MA</v>
      </c>
      <c r="C6" s="28">
        <v>39438.369259999999</v>
      </c>
      <c r="D6" s="29" t="s">
        <v>43</v>
      </c>
      <c r="E6" s="29" t="str">
        <f t="shared" si="0"/>
        <v/>
      </c>
      <c r="F6" s="30" t="str">
        <f t="shared" ref="F6:F69" si="3">IFERROR(E6/D6, "")</f>
        <v/>
      </c>
      <c r="G6" s="31">
        <v>33890</v>
      </c>
      <c r="H6" s="31">
        <f t="shared" si="1"/>
        <v>5548.3692599999995</v>
      </c>
      <c r="I6" s="32">
        <f t="shared" si="2"/>
        <v>0.16371700383593979</v>
      </c>
      <c r="J6" s="62"/>
      <c r="K6" s="62"/>
    </row>
    <row r="7" spans="1:13" ht="57.6">
      <c r="A7" s="41" t="str">
        <v>South Dennis - Tony Kent Arena</v>
      </c>
      <c r="B7" s="42" t="str">
        <v>MA</v>
      </c>
      <c r="C7" s="35">
        <v>43650.6</v>
      </c>
      <c r="D7" s="36" t="s">
        <v>43</v>
      </c>
      <c r="E7" s="36" t="str">
        <f t="shared" ref="E7:E70" si="4">IF(AND(ISNUMBER(C7),ISNUMBER(D7)), C7-D7, "")</f>
        <v/>
      </c>
      <c r="F7" s="37" t="str">
        <f t="shared" si="3"/>
        <v/>
      </c>
      <c r="G7" s="83" t="s">
        <v>43</v>
      </c>
      <c r="H7" s="38" t="str">
        <f t="shared" ref="H7:H70" si="5">IF(AND(ISNUMBER(C7),ISNUMBER(G7)), C7-G7, "")</f>
        <v/>
      </c>
      <c r="I7" s="37" t="str">
        <f t="shared" ref="I7:I70" si="6">IFERROR(H7/G7, "")</f>
        <v/>
      </c>
      <c r="J7" s="60" t="s">
        <v>91</v>
      </c>
      <c r="K7" s="75" t="s">
        <v>473</v>
      </c>
      <c r="L7" s="76" t="s">
        <v>53</v>
      </c>
    </row>
    <row r="8" spans="1:13" ht="86.45">
      <c r="A8" s="43" t="str">
        <v xml:space="preserve"> Caropolis - Felician Sisters</v>
      </c>
      <c r="B8" s="40" t="str">
        <v>PA</v>
      </c>
      <c r="C8" s="28">
        <v>33772.699999999997</v>
      </c>
      <c r="D8" s="29" t="s">
        <v>43</v>
      </c>
      <c r="E8" s="29" t="str">
        <f t="shared" si="4"/>
        <v/>
      </c>
      <c r="F8" s="30" t="str">
        <f t="shared" si="3"/>
        <v/>
      </c>
      <c r="G8" s="73" t="s">
        <v>43</v>
      </c>
      <c r="H8" s="31" t="str">
        <f t="shared" si="5"/>
        <v/>
      </c>
      <c r="I8" s="32" t="str">
        <f t="shared" si="6"/>
        <v/>
      </c>
      <c r="J8" s="62" t="s">
        <v>209</v>
      </c>
      <c r="K8" s="78" t="s">
        <v>210</v>
      </c>
      <c r="L8" s="76" t="s">
        <v>95</v>
      </c>
    </row>
    <row r="9" spans="1:13" ht="57.6">
      <c r="A9" s="41" t="str">
        <v>Clear Lake - Eastlake Gohman</v>
      </c>
      <c r="B9" s="42" t="str">
        <v>MN</v>
      </c>
      <c r="C9" s="35">
        <v>49207</v>
      </c>
      <c r="D9" s="36" t="s">
        <v>43</v>
      </c>
      <c r="E9" s="36" t="str">
        <f t="shared" si="4"/>
        <v/>
      </c>
      <c r="F9" s="37" t="str">
        <f t="shared" si="3"/>
        <v/>
      </c>
      <c r="G9" s="38">
        <v>200183.1</v>
      </c>
      <c r="H9" s="38">
        <f t="shared" si="5"/>
        <v>-150976.1</v>
      </c>
      <c r="I9" s="37">
        <f t="shared" si="6"/>
        <v>-0.75419003901927784</v>
      </c>
      <c r="J9" s="60" t="s">
        <v>474</v>
      </c>
      <c r="K9" s="75" t="s">
        <v>475</v>
      </c>
      <c r="L9" s="76" t="s">
        <v>354</v>
      </c>
      <c r="M9" s="76" t="s">
        <v>476</v>
      </c>
    </row>
    <row r="10" spans="1:13" ht="15.6">
      <c r="A10" s="43" t="str">
        <v>Zumbrota - Eastlake Brenda Luhman</v>
      </c>
      <c r="B10" s="40" t="str">
        <v>MN</v>
      </c>
      <c r="C10" s="28">
        <v>187373</v>
      </c>
      <c r="D10" s="29" t="s">
        <v>43</v>
      </c>
      <c r="E10" s="29" t="str">
        <f t="shared" si="4"/>
        <v/>
      </c>
      <c r="F10" s="30" t="str">
        <f t="shared" si="3"/>
        <v/>
      </c>
      <c r="G10" s="31">
        <v>187551.3</v>
      </c>
      <c r="H10" s="31">
        <f t="shared" si="5"/>
        <v>-178.29999999998836</v>
      </c>
      <c r="I10" s="32">
        <f t="shared" si="6"/>
        <v>-9.5067322913777925E-4</v>
      </c>
      <c r="J10" s="62"/>
      <c r="K10" s="62"/>
    </row>
    <row r="11" spans="1:13" ht="57.6">
      <c r="A11" s="41" t="str">
        <v>Cokato - Eastlake Carlson</v>
      </c>
      <c r="B11" s="42" t="str">
        <v>MN</v>
      </c>
      <c r="C11" s="35">
        <v>174063</v>
      </c>
      <c r="D11" s="36" t="s">
        <v>43</v>
      </c>
      <c r="E11" s="36" t="str">
        <f t="shared" si="4"/>
        <v/>
      </c>
      <c r="F11" s="37" t="str">
        <f t="shared" si="3"/>
        <v/>
      </c>
      <c r="G11" s="38">
        <v>202940.3</v>
      </c>
      <c r="H11" s="38">
        <f t="shared" si="5"/>
        <v>-28877.299999999988</v>
      </c>
      <c r="I11" s="37">
        <f t="shared" si="6"/>
        <v>-0.14229455657649068</v>
      </c>
      <c r="J11" s="60" t="s">
        <v>477</v>
      </c>
      <c r="K11" s="75" t="s">
        <v>478</v>
      </c>
      <c r="L11" s="76" t="s">
        <v>479</v>
      </c>
      <c r="M11" s="76" t="s">
        <v>100</v>
      </c>
    </row>
    <row r="12" spans="1:13" ht="28.9">
      <c r="A12" s="43" t="str">
        <v>North Branch - Cornille 2</v>
      </c>
      <c r="B12" s="40" t="str">
        <v>MN</v>
      </c>
      <c r="C12" s="28">
        <v>183459</v>
      </c>
      <c r="D12" s="29" t="s">
        <v>43</v>
      </c>
      <c r="E12" s="29" t="str">
        <f t="shared" si="4"/>
        <v/>
      </c>
      <c r="F12" s="30" t="str">
        <f t="shared" si="3"/>
        <v/>
      </c>
      <c r="G12" s="31">
        <v>197065</v>
      </c>
      <c r="H12" s="31">
        <f t="shared" si="5"/>
        <v>-13606</v>
      </c>
      <c r="I12" s="32">
        <f t="shared" si="6"/>
        <v>-6.9043209093446328E-2</v>
      </c>
      <c r="J12" s="62" t="s">
        <v>480</v>
      </c>
      <c r="K12" s="78" t="s">
        <v>481</v>
      </c>
    </row>
    <row r="13" spans="1:13" ht="43.15">
      <c r="A13" s="41" t="str">
        <v>Clear Lake - Eastlake Hammer</v>
      </c>
      <c r="B13" s="42" t="str">
        <v>MN</v>
      </c>
      <c r="C13" s="35">
        <v>202837.314676618</v>
      </c>
      <c r="D13" s="36" t="s">
        <v>43</v>
      </c>
      <c r="E13" s="36" t="str">
        <f t="shared" si="4"/>
        <v/>
      </c>
      <c r="F13" s="37" t="str">
        <f t="shared" si="3"/>
        <v/>
      </c>
      <c r="G13" s="38">
        <v>246223.7</v>
      </c>
      <c r="H13" s="38">
        <f t="shared" si="5"/>
        <v>-43386.385323382012</v>
      </c>
      <c r="I13" s="37">
        <f t="shared" si="6"/>
        <v>-0.17620718608071445</v>
      </c>
      <c r="J13" s="60" t="s">
        <v>482</v>
      </c>
      <c r="K13" s="75" t="s">
        <v>361</v>
      </c>
    </row>
    <row r="14" spans="1:13" ht="57.6">
      <c r="A14" s="43" t="str">
        <v>Eastlake - Hertzberg CSG 1</v>
      </c>
      <c r="B14" s="40" t="str">
        <v>MN</v>
      </c>
      <c r="C14" s="28">
        <v>191655.00570000001</v>
      </c>
      <c r="D14" s="29" t="s">
        <v>43</v>
      </c>
      <c r="E14" s="29" t="str">
        <f t="shared" si="4"/>
        <v/>
      </c>
      <c r="F14" s="30" t="str">
        <f t="shared" si="3"/>
        <v/>
      </c>
      <c r="G14" s="31">
        <v>245960.4</v>
      </c>
      <c r="H14" s="31">
        <f t="shared" si="5"/>
        <v>-54305.394299999985</v>
      </c>
      <c r="I14" s="32">
        <f t="shared" si="6"/>
        <v>-0.22078917703825487</v>
      </c>
      <c r="J14" s="62" t="s">
        <v>483</v>
      </c>
      <c r="K14" s="78" t="s">
        <v>484</v>
      </c>
      <c r="L14" s="76" t="s">
        <v>485</v>
      </c>
    </row>
    <row r="15" spans="1:13" ht="15.6">
      <c r="A15" s="41" t="str">
        <v>Cokato - Eastlake Laurel Village</v>
      </c>
      <c r="B15" s="42" t="str">
        <v>MN</v>
      </c>
      <c r="C15" s="35">
        <v>214719</v>
      </c>
      <c r="D15" s="36" t="s">
        <v>43</v>
      </c>
      <c r="E15" s="36" t="str">
        <f t="shared" si="4"/>
        <v/>
      </c>
      <c r="F15" s="37" t="str">
        <f t="shared" si="3"/>
        <v/>
      </c>
      <c r="G15" s="38">
        <v>232306.3</v>
      </c>
      <c r="H15" s="38">
        <f t="shared" si="5"/>
        <v>-17587.299999999988</v>
      </c>
      <c r="I15" s="37">
        <f t="shared" si="6"/>
        <v>-7.5707374272673572E-2</v>
      </c>
      <c r="J15" s="60" t="s">
        <v>486</v>
      </c>
      <c r="K15" s="75" t="s">
        <v>487</v>
      </c>
    </row>
    <row r="16" spans="1:13" ht="15.6">
      <c r="A16" s="43" t="str">
        <v>St. Peter - Eastlake Paulson</v>
      </c>
      <c r="B16" s="40" t="str">
        <v>MN</v>
      </c>
      <c r="C16" s="28">
        <v>186643.950269258</v>
      </c>
      <c r="D16" s="29" t="s">
        <v>43</v>
      </c>
      <c r="E16" s="29" t="str">
        <f t="shared" si="4"/>
        <v/>
      </c>
      <c r="F16" s="30" t="str">
        <f t="shared" si="3"/>
        <v/>
      </c>
      <c r="G16" s="31">
        <v>207053.5</v>
      </c>
      <c r="H16" s="31">
        <f t="shared" si="5"/>
        <v>-20409.549730742001</v>
      </c>
      <c r="I16" s="32">
        <f t="shared" si="6"/>
        <v>-9.857138242406914E-2</v>
      </c>
      <c r="J16" s="62" t="s">
        <v>488</v>
      </c>
      <c r="K16" s="78" t="s">
        <v>489</v>
      </c>
    </row>
    <row r="17" spans="1:21" ht="57.6">
      <c r="A17" s="41" t="str">
        <v>Felician Sisters Convent</v>
      </c>
      <c r="B17" s="42" t="str">
        <v>NJ</v>
      </c>
      <c r="C17" s="35">
        <v>4488</v>
      </c>
      <c r="D17" s="36" t="s">
        <v>43</v>
      </c>
      <c r="E17" s="36" t="str">
        <f t="shared" si="4"/>
        <v/>
      </c>
      <c r="F17" s="37" t="str">
        <f t="shared" si="3"/>
        <v/>
      </c>
      <c r="G17" s="74" t="s">
        <v>43</v>
      </c>
      <c r="H17" s="38" t="str">
        <f t="shared" si="5"/>
        <v/>
      </c>
      <c r="I17" s="37" t="str">
        <f t="shared" si="6"/>
        <v/>
      </c>
      <c r="J17" s="60" t="s">
        <v>370</v>
      </c>
      <c r="K17" s="75" t="s">
        <v>490</v>
      </c>
    </row>
    <row r="18" spans="1:21" ht="72">
      <c r="A18" s="43" t="str">
        <v>Sussex County Fairgrounds</v>
      </c>
      <c r="B18" s="40" t="str">
        <v>NJ</v>
      </c>
      <c r="C18" s="28">
        <v>58853.64</v>
      </c>
      <c r="D18" s="29" t="s">
        <v>43</v>
      </c>
      <c r="E18" s="29" t="str">
        <f t="shared" si="4"/>
        <v/>
      </c>
      <c r="F18" s="30" t="str">
        <f t="shared" si="3"/>
        <v/>
      </c>
      <c r="G18" s="84" t="s">
        <v>43</v>
      </c>
      <c r="H18" s="31" t="str">
        <f t="shared" si="5"/>
        <v/>
      </c>
      <c r="I18" s="32" t="str">
        <f t="shared" si="6"/>
        <v/>
      </c>
      <c r="J18" s="62" t="s">
        <v>491</v>
      </c>
      <c r="K18" s="78" t="s">
        <v>492</v>
      </c>
      <c r="L18" s="76" t="s">
        <v>493</v>
      </c>
      <c r="M18" s="76" t="s">
        <v>494</v>
      </c>
    </row>
    <row r="19" spans="1:21" ht="158.44999999999999">
      <c r="A19" s="41" t="str">
        <v>Gateway Church</v>
      </c>
      <c r="B19" s="42" t="str">
        <v>NJ</v>
      </c>
      <c r="C19" s="35">
        <v>32387</v>
      </c>
      <c r="D19" s="36" t="s">
        <v>43</v>
      </c>
      <c r="E19" s="36" t="str">
        <f t="shared" si="4"/>
        <v/>
      </c>
      <c r="F19" s="37" t="str">
        <f t="shared" si="3"/>
        <v/>
      </c>
      <c r="G19" s="83" t="s">
        <v>43</v>
      </c>
      <c r="H19" s="38" t="str">
        <f t="shared" si="5"/>
        <v/>
      </c>
      <c r="I19" s="37" t="str">
        <f t="shared" si="6"/>
        <v/>
      </c>
      <c r="J19" s="60" t="s">
        <v>495</v>
      </c>
      <c r="K19" s="75" t="s">
        <v>496</v>
      </c>
      <c r="L19" s="76" t="s">
        <v>497</v>
      </c>
      <c r="M19" s="76" t="s">
        <v>498</v>
      </c>
      <c r="N19" s="76" t="s">
        <v>499</v>
      </c>
      <c r="O19" s="76" t="s">
        <v>500</v>
      </c>
      <c r="P19" s="76" t="s">
        <v>501</v>
      </c>
      <c r="Q19" s="76" t="s">
        <v>502</v>
      </c>
      <c r="R19" s="76" t="s">
        <v>503</v>
      </c>
      <c r="S19" s="76" t="s">
        <v>504</v>
      </c>
      <c r="T19" s="76" t="s">
        <v>505</v>
      </c>
      <c r="U19" s="103" t="s">
        <v>506</v>
      </c>
    </row>
    <row r="20" spans="1:21" ht="57.6">
      <c r="A20" s="43" t="str">
        <v>Beaver Falls - Felician Sisters</v>
      </c>
      <c r="B20" s="40" t="str">
        <v>PA</v>
      </c>
      <c r="C20" s="28">
        <v>20043</v>
      </c>
      <c r="D20" s="29" t="s">
        <v>43</v>
      </c>
      <c r="E20" s="29" t="str">
        <f t="shared" si="4"/>
        <v/>
      </c>
      <c r="F20" s="30" t="str">
        <f t="shared" si="3"/>
        <v/>
      </c>
      <c r="G20" s="84" t="s">
        <v>43</v>
      </c>
      <c r="H20" s="31" t="str">
        <f t="shared" si="5"/>
        <v/>
      </c>
      <c r="I20" s="32" t="str">
        <f t="shared" si="6"/>
        <v/>
      </c>
      <c r="J20" s="62" t="s">
        <v>507</v>
      </c>
      <c r="K20" s="78" t="s">
        <v>242</v>
      </c>
    </row>
    <row r="21" spans="1:21" ht="105.75" customHeight="1">
      <c r="A21" s="41" t="str">
        <v>Livonia - Felician Sisters Ground</v>
      </c>
      <c r="B21" s="42" t="str">
        <v>MI</v>
      </c>
      <c r="C21" s="35">
        <v>8556.9</v>
      </c>
      <c r="D21" s="36" t="s">
        <v>43</v>
      </c>
      <c r="E21" s="36" t="str">
        <f t="shared" si="4"/>
        <v/>
      </c>
      <c r="F21" s="37" t="str">
        <f t="shared" si="3"/>
        <v/>
      </c>
      <c r="G21" s="83" t="s">
        <v>43</v>
      </c>
      <c r="H21" s="38" t="str">
        <f t="shared" si="5"/>
        <v/>
      </c>
      <c r="I21" s="37" t="str">
        <f t="shared" si="6"/>
        <v/>
      </c>
      <c r="J21" s="60" t="s">
        <v>508</v>
      </c>
      <c r="K21" s="75" t="s">
        <v>509</v>
      </c>
      <c r="L21" s="76" t="s">
        <v>127</v>
      </c>
      <c r="M21" s="76" t="s">
        <v>80</v>
      </c>
    </row>
    <row r="22" spans="1:21" ht="15.6">
      <c r="A22" s="43" t="str">
        <v>Livonia - Felician Sisters Roof</v>
      </c>
      <c r="B22" s="40" t="str">
        <v>MI</v>
      </c>
      <c r="C22" s="28">
        <v>12851</v>
      </c>
      <c r="D22" s="29" t="s">
        <v>43</v>
      </c>
      <c r="E22" s="29" t="str">
        <f t="shared" si="4"/>
        <v/>
      </c>
      <c r="F22" s="30" t="str">
        <f t="shared" si="3"/>
        <v/>
      </c>
      <c r="G22" s="84" t="s">
        <v>43</v>
      </c>
      <c r="H22" s="31" t="str">
        <f t="shared" si="5"/>
        <v/>
      </c>
      <c r="I22" s="32" t="str">
        <f t="shared" si="6"/>
        <v/>
      </c>
      <c r="J22" s="62" t="s">
        <v>377</v>
      </c>
      <c r="K22" s="78" t="s">
        <v>510</v>
      </c>
    </row>
    <row r="23" spans="1:21" ht="15.6">
      <c r="A23" s="41" t="str">
        <v>Monmouth Worship Ctr</v>
      </c>
      <c r="B23" s="42" t="str">
        <v>NJ</v>
      </c>
      <c r="C23" s="35">
        <v>8408.5</v>
      </c>
      <c r="D23" s="36" t="s">
        <v>43</v>
      </c>
      <c r="E23" s="36" t="str">
        <f t="shared" si="4"/>
        <v/>
      </c>
      <c r="F23" s="37" t="str">
        <f t="shared" si="3"/>
        <v/>
      </c>
      <c r="G23" s="83" t="s">
        <v>43</v>
      </c>
      <c r="H23" s="38" t="str">
        <f t="shared" si="5"/>
        <v/>
      </c>
      <c r="I23" s="37" t="str">
        <f t="shared" si="6"/>
        <v/>
      </c>
      <c r="J23" s="60"/>
      <c r="K23" s="59"/>
    </row>
    <row r="24" spans="1:21" ht="15.6">
      <c r="A24" s="43" t="str">
        <v xml:space="preserve"> Audubon - Senior Citizens United</v>
      </c>
      <c r="B24" s="40" t="str">
        <v>NJ</v>
      </c>
      <c r="C24" s="28">
        <v>13045.3</v>
      </c>
      <c r="D24" s="29" t="s">
        <v>43</v>
      </c>
      <c r="E24" s="29" t="str">
        <f t="shared" si="4"/>
        <v/>
      </c>
      <c r="F24" s="30" t="str">
        <f t="shared" si="3"/>
        <v/>
      </c>
      <c r="G24" s="84" t="s">
        <v>43</v>
      </c>
      <c r="H24" s="31" t="str">
        <f t="shared" si="5"/>
        <v/>
      </c>
      <c r="I24" s="32" t="str">
        <f t="shared" si="6"/>
        <v/>
      </c>
      <c r="J24" s="62"/>
      <c r="K24" s="62"/>
    </row>
    <row r="25" spans="1:21" ht="115.15">
      <c r="A25" s="41" t="str">
        <v>Hollister - PG&amp;E (Enerparc)</v>
      </c>
      <c r="B25" s="42" t="str">
        <v>CA</v>
      </c>
      <c r="C25" s="35">
        <v>367875.141</v>
      </c>
      <c r="D25" s="36"/>
      <c r="E25" s="36" t="str">
        <f t="shared" si="4"/>
        <v/>
      </c>
      <c r="F25" s="37" t="str">
        <f t="shared" si="3"/>
        <v/>
      </c>
      <c r="G25" s="38">
        <v>384780</v>
      </c>
      <c r="H25" s="38">
        <f t="shared" si="5"/>
        <v>-16904.858999999997</v>
      </c>
      <c r="I25" s="37">
        <f t="shared" si="6"/>
        <v>-4.3933829720879454E-2</v>
      </c>
      <c r="J25" s="60" t="s">
        <v>511</v>
      </c>
      <c r="K25" s="75" t="s">
        <v>512</v>
      </c>
      <c r="L25" s="76" t="s">
        <v>251</v>
      </c>
      <c r="M25" s="76" t="s">
        <v>513</v>
      </c>
    </row>
    <row r="26" spans="1:21" ht="28.9">
      <c r="A26" s="43" t="str">
        <v>Taos County - Kit Carson Electric Co-Op</v>
      </c>
      <c r="B26" s="40" t="str">
        <v>NM</v>
      </c>
      <c r="C26" s="28">
        <v>304300</v>
      </c>
      <c r="D26" s="29">
        <v>221106.5</v>
      </c>
      <c r="E26" s="29">
        <f t="shared" si="4"/>
        <v>83193.5</v>
      </c>
      <c r="F26" s="30">
        <f t="shared" si="3"/>
        <v>0.37625985667540301</v>
      </c>
      <c r="G26" s="31">
        <v>198905.5</v>
      </c>
      <c r="H26" s="31">
        <f t="shared" si="5"/>
        <v>105394.5</v>
      </c>
      <c r="I26" s="32">
        <f t="shared" si="6"/>
        <v>0.52987222575544668</v>
      </c>
      <c r="J26" s="62" t="s">
        <v>514</v>
      </c>
      <c r="K26" s="62"/>
    </row>
    <row r="27" spans="1:21" ht="28.9">
      <c r="A27" s="41" t="str">
        <v>Commerce City - Adams City HS</v>
      </c>
      <c r="B27" s="42" t="str">
        <v>CO</v>
      </c>
      <c r="C27" s="35">
        <v>15201</v>
      </c>
      <c r="D27" s="36">
        <v>12649.09</v>
      </c>
      <c r="E27" s="36">
        <f t="shared" si="4"/>
        <v>2551.91</v>
      </c>
      <c r="F27" s="37">
        <f t="shared" si="3"/>
        <v>0.20174652880167662</v>
      </c>
      <c r="G27" s="38">
        <v>13868.77</v>
      </c>
      <c r="H27" s="38">
        <f t="shared" si="5"/>
        <v>1332.2299999999996</v>
      </c>
      <c r="I27" s="37">
        <f t="shared" si="6"/>
        <v>9.6059708250984005E-2</v>
      </c>
      <c r="J27" s="60" t="s">
        <v>515</v>
      </c>
      <c r="K27" s="59"/>
    </row>
    <row r="28" spans="1:21" ht="15.6">
      <c r="A28" s="43" t="str">
        <v>Commerce City - Adams City MS</v>
      </c>
      <c r="B28" s="40" t="str">
        <v>CO</v>
      </c>
      <c r="C28" s="28">
        <v>12467</v>
      </c>
      <c r="D28" s="29">
        <v>11493.86</v>
      </c>
      <c r="E28" s="29">
        <f t="shared" si="4"/>
        <v>973.13999999999942</v>
      </c>
      <c r="F28" s="30">
        <f t="shared" si="3"/>
        <v>8.4666073886405388E-2</v>
      </c>
      <c r="G28" s="31">
        <v>12203.7</v>
      </c>
      <c r="H28" s="31">
        <f t="shared" si="5"/>
        <v>263.29999999999927</v>
      </c>
      <c r="I28" s="32">
        <f t="shared" si="6"/>
        <v>2.1575423846866053E-2</v>
      </c>
      <c r="J28" s="62"/>
      <c r="K28" s="62"/>
    </row>
    <row r="29" spans="1:21" ht="15.6">
      <c r="A29" s="41" t="str">
        <v>Commerce City - Central ES</v>
      </c>
      <c r="B29" s="42" t="str">
        <v>CO</v>
      </c>
      <c r="C29" s="35">
        <v>3220.4</v>
      </c>
      <c r="D29" s="36">
        <v>3280.5309999999999</v>
      </c>
      <c r="E29" s="36">
        <f t="shared" si="4"/>
        <v>-60.130999999999858</v>
      </c>
      <c r="F29" s="37">
        <f t="shared" si="3"/>
        <v>-1.8329654558972269E-2</v>
      </c>
      <c r="G29" s="38">
        <v>3573.96</v>
      </c>
      <c r="H29" s="38">
        <f t="shared" si="5"/>
        <v>-353.55999999999995</v>
      </c>
      <c r="I29" s="37">
        <f t="shared" si="6"/>
        <v>-9.8926680768671144E-2</v>
      </c>
      <c r="J29" s="60"/>
      <c r="K29" s="59"/>
    </row>
    <row r="30" spans="1:21" ht="15.6">
      <c r="A30" s="43" t="str">
        <v>Commerce City - Dupont ES</v>
      </c>
      <c r="B30" s="40" t="str">
        <v>CO</v>
      </c>
      <c r="C30" s="28">
        <v>9964</v>
      </c>
      <c r="D30" s="29">
        <v>9235.5849999999991</v>
      </c>
      <c r="E30" s="29">
        <f t="shared" si="4"/>
        <v>728.41500000000087</v>
      </c>
      <c r="F30" s="30">
        <f t="shared" si="3"/>
        <v>7.8870477614574594E-2</v>
      </c>
      <c r="G30" s="31">
        <v>10198.86</v>
      </c>
      <c r="H30" s="31">
        <f t="shared" si="5"/>
        <v>-234.86000000000058</v>
      </c>
      <c r="I30" s="32">
        <f t="shared" si="6"/>
        <v>-2.3028063920869642E-2</v>
      </c>
      <c r="J30" s="62"/>
      <c r="K30" s="62"/>
    </row>
    <row r="31" spans="1:21" ht="28.9">
      <c r="A31" s="41" t="str">
        <v>Commerce City - Educational Support Services</v>
      </c>
      <c r="B31" s="42" t="str">
        <v>CO</v>
      </c>
      <c r="C31" s="35">
        <v>3105</v>
      </c>
      <c r="D31" s="36">
        <v>9666.0550000000003</v>
      </c>
      <c r="E31" s="36">
        <f t="shared" si="4"/>
        <v>-6561.0550000000003</v>
      </c>
      <c r="F31" s="37">
        <f t="shared" si="3"/>
        <v>-0.67877277751885334</v>
      </c>
      <c r="G31" s="38">
        <v>10576.4</v>
      </c>
      <c r="H31" s="38">
        <f t="shared" si="5"/>
        <v>-7471.4</v>
      </c>
      <c r="I31" s="37">
        <f t="shared" si="6"/>
        <v>-0.70642184486214588</v>
      </c>
      <c r="J31" s="60" t="s">
        <v>516</v>
      </c>
      <c r="K31" s="75" t="s">
        <v>517</v>
      </c>
    </row>
    <row r="32" spans="1:21" ht="15.6">
      <c r="A32" s="43" t="str">
        <v>Commerce City - Hanson ES</v>
      </c>
      <c r="B32" s="40" t="str">
        <v>CO</v>
      </c>
      <c r="C32" s="28">
        <v>12960</v>
      </c>
      <c r="D32" s="29">
        <v>12604.85</v>
      </c>
      <c r="E32" s="29">
        <f t="shared" si="4"/>
        <v>355.14999999999964</v>
      </c>
      <c r="F32" s="30">
        <f t="shared" si="3"/>
        <v>2.8175662542592704E-2</v>
      </c>
      <c r="G32" s="31">
        <v>13821.1</v>
      </c>
      <c r="H32" s="31">
        <f t="shared" si="5"/>
        <v>-861.10000000000036</v>
      </c>
      <c r="I32" s="32">
        <f t="shared" si="6"/>
        <v>-6.2303289897330916E-2</v>
      </c>
      <c r="J32" s="62"/>
      <c r="K32" s="62"/>
    </row>
    <row r="33" spans="1:14" ht="39.6">
      <c r="A33" s="41" t="str">
        <v>Commerce City - Kemp ES</v>
      </c>
      <c r="B33" s="42" t="str">
        <v>CO</v>
      </c>
      <c r="C33" s="35">
        <v>11902</v>
      </c>
      <c r="D33" s="36">
        <v>12598.39</v>
      </c>
      <c r="E33" s="36">
        <f t="shared" si="4"/>
        <v>-696.38999999999942</v>
      </c>
      <c r="F33" s="37">
        <f t="shared" si="3"/>
        <v>-5.527611067763416E-2</v>
      </c>
      <c r="G33" s="38">
        <v>13814.27</v>
      </c>
      <c r="H33" s="38">
        <f t="shared" si="5"/>
        <v>-1912.2700000000004</v>
      </c>
      <c r="I33" s="37">
        <f t="shared" si="6"/>
        <v>-0.13842714815911375</v>
      </c>
      <c r="J33" s="60" t="s">
        <v>386</v>
      </c>
      <c r="K33" s="75" t="s">
        <v>387</v>
      </c>
      <c r="L33" s="76" t="s">
        <v>388</v>
      </c>
    </row>
    <row r="34" spans="1:14" ht="28.9">
      <c r="A34" s="43" t="str">
        <v>Commerce City -  Lester Arnold HS</v>
      </c>
      <c r="B34" s="40" t="str">
        <v>CO</v>
      </c>
      <c r="C34" s="28">
        <v>13777</v>
      </c>
      <c r="D34" s="29">
        <v>12179.06</v>
      </c>
      <c r="E34" s="29">
        <f t="shared" si="4"/>
        <v>1597.9400000000005</v>
      </c>
      <c r="F34" s="30">
        <f t="shared" si="3"/>
        <v>0.13120388601419161</v>
      </c>
      <c r="G34" s="31">
        <v>13419.1</v>
      </c>
      <c r="H34" s="31">
        <f t="shared" si="5"/>
        <v>357.89999999999964</v>
      </c>
      <c r="I34" s="32">
        <f t="shared" si="6"/>
        <v>2.6670939183700816E-2</v>
      </c>
      <c r="J34" s="62" t="s">
        <v>518</v>
      </c>
      <c r="K34" s="62"/>
    </row>
    <row r="35" spans="1:14" ht="15.6">
      <c r="A35" s="41" t="str">
        <v>Commerce City - Monaco ES</v>
      </c>
      <c r="B35" s="42" t="str">
        <v>CO</v>
      </c>
      <c r="C35" s="35">
        <v>13486</v>
      </c>
      <c r="D35" s="36">
        <v>12605.18</v>
      </c>
      <c r="E35" s="36">
        <f t="shared" si="4"/>
        <v>880.81999999999971</v>
      </c>
      <c r="F35" s="37">
        <f t="shared" si="3"/>
        <v>6.9877621739633994E-2</v>
      </c>
      <c r="G35" s="38">
        <v>13821.1</v>
      </c>
      <c r="H35" s="38">
        <f t="shared" si="5"/>
        <v>-335.10000000000036</v>
      </c>
      <c r="I35" s="37">
        <f t="shared" si="6"/>
        <v>-2.42455376200158E-2</v>
      </c>
      <c r="J35" s="60"/>
      <c r="K35" s="59"/>
    </row>
    <row r="36" spans="1:14" ht="28.9">
      <c r="A36" s="43" t="str">
        <v>Denver - Northgate / Old Fort Logan ES</v>
      </c>
      <c r="B36" s="40" t="str">
        <v>CO</v>
      </c>
      <c r="C36" s="28">
        <v>12123.9999999998</v>
      </c>
      <c r="D36" s="29">
        <v>10953.74</v>
      </c>
      <c r="E36" s="29">
        <f t="shared" si="4"/>
        <v>1170.2599999998001</v>
      </c>
      <c r="F36" s="30">
        <f t="shared" si="3"/>
        <v>0.10683656906223812</v>
      </c>
      <c r="G36" s="31">
        <v>12477.808000000001</v>
      </c>
      <c r="H36" s="31">
        <f t="shared" si="5"/>
        <v>-353.80800000020099</v>
      </c>
      <c r="I36" s="32">
        <f t="shared" si="6"/>
        <v>-2.8354980297837645E-2</v>
      </c>
      <c r="J36" s="62" t="s">
        <v>519</v>
      </c>
      <c r="K36" s="62"/>
    </row>
    <row r="37" spans="1:14" ht="15.6">
      <c r="A37" s="41" t="str">
        <v>Denver - Sheridan High School</v>
      </c>
      <c r="B37" s="42" t="str">
        <v>CO</v>
      </c>
      <c r="C37" s="35">
        <v>14044</v>
      </c>
      <c r="D37" s="36">
        <v>12641.54</v>
      </c>
      <c r="E37" s="36">
        <f t="shared" si="4"/>
        <v>1402.4599999999991</v>
      </c>
      <c r="F37" s="37">
        <f t="shared" si="3"/>
        <v>0.11094059742721211</v>
      </c>
      <c r="G37" s="38">
        <v>13667.96</v>
      </c>
      <c r="H37" s="38">
        <f t="shared" si="5"/>
        <v>376.04000000000087</v>
      </c>
      <c r="I37" s="37">
        <f t="shared" si="6"/>
        <v>2.7512518327533948E-2</v>
      </c>
      <c r="J37" s="60"/>
      <c r="K37" s="59"/>
    </row>
    <row r="38" spans="1:14" ht="15.6">
      <c r="A38" s="43" t="str">
        <v>Englewood -  Alice Terry Elementary</v>
      </c>
      <c r="B38" s="40" t="str">
        <v>CO</v>
      </c>
      <c r="C38" s="28">
        <v>13429</v>
      </c>
      <c r="D38" s="29">
        <v>12641.91</v>
      </c>
      <c r="E38" s="29">
        <f t="shared" si="4"/>
        <v>787.09000000000015</v>
      </c>
      <c r="F38" s="30">
        <f t="shared" si="3"/>
        <v>6.2260370466171659E-2</v>
      </c>
      <c r="G38" s="31">
        <v>13715.81</v>
      </c>
      <c r="H38" s="31">
        <f t="shared" si="5"/>
        <v>-286.80999999999949</v>
      </c>
      <c r="I38" s="32">
        <f t="shared" si="6"/>
        <v>-2.0910905006703905E-2</v>
      </c>
      <c r="J38" s="62"/>
      <c r="K38" s="62"/>
    </row>
    <row r="39" spans="1:14" ht="26.45">
      <c r="A39" s="41" t="str">
        <v>Englewood - Sheridan Middle School</v>
      </c>
      <c r="B39" s="42" t="str">
        <v>CO</v>
      </c>
      <c r="C39" s="35">
        <v>6738</v>
      </c>
      <c r="D39" s="36">
        <v>7376.9250000000002</v>
      </c>
      <c r="E39" s="36">
        <f t="shared" si="4"/>
        <v>-638.92500000000018</v>
      </c>
      <c r="F39" s="37">
        <f t="shared" si="3"/>
        <v>-8.6611291290070072E-2</v>
      </c>
      <c r="G39" s="38">
        <v>8024.991</v>
      </c>
      <c r="H39" s="38">
        <f t="shared" si="5"/>
        <v>-1286.991</v>
      </c>
      <c r="I39" s="37">
        <f t="shared" si="6"/>
        <v>-0.16037289013782072</v>
      </c>
      <c r="J39" s="60" t="s">
        <v>520</v>
      </c>
      <c r="K39" s="75" t="s">
        <v>521</v>
      </c>
      <c r="L39" s="76" t="s">
        <v>522</v>
      </c>
    </row>
    <row r="40" spans="1:14" ht="43.15">
      <c r="A40" s="43" t="str">
        <v>Goshen - NIPSCO</v>
      </c>
      <c r="B40" s="40" t="str">
        <v>IN</v>
      </c>
      <c r="C40" s="28">
        <v>60213</v>
      </c>
      <c r="D40" s="29">
        <v>56833.8</v>
      </c>
      <c r="E40" s="29">
        <f t="shared" si="4"/>
        <v>3379.1999999999971</v>
      </c>
      <c r="F40" s="30">
        <f t="shared" si="3"/>
        <v>5.9457576301426208E-2</v>
      </c>
      <c r="G40" s="31">
        <v>66122.14</v>
      </c>
      <c r="H40" s="31">
        <f t="shared" si="5"/>
        <v>-5909.1399999999994</v>
      </c>
      <c r="I40" s="32">
        <f t="shared" si="6"/>
        <v>-8.93670410546301E-2</v>
      </c>
      <c r="J40" s="62" t="s">
        <v>390</v>
      </c>
      <c r="K40" s="78" t="s">
        <v>190</v>
      </c>
    </row>
    <row r="41" spans="1:14" ht="72">
      <c r="A41" s="41" t="str">
        <v>Alamogordo - City of Alamogordo - Effluent</v>
      </c>
      <c r="B41" s="42" t="str">
        <v>NM</v>
      </c>
      <c r="C41" s="35">
        <v>23398</v>
      </c>
      <c r="D41" s="36">
        <v>29703.08</v>
      </c>
      <c r="E41" s="36">
        <f t="shared" si="4"/>
        <v>-6305.0800000000017</v>
      </c>
      <c r="F41" s="37">
        <f t="shared" si="3"/>
        <v>-0.21227024268190375</v>
      </c>
      <c r="G41" s="38">
        <v>29884.94</v>
      </c>
      <c r="H41" s="38">
        <f t="shared" si="5"/>
        <v>-6486.9399999999987</v>
      </c>
      <c r="I41" s="37">
        <f t="shared" si="6"/>
        <v>-0.21706384553557742</v>
      </c>
      <c r="J41" s="60" t="s">
        <v>523</v>
      </c>
      <c r="K41" s="75" t="s">
        <v>524</v>
      </c>
      <c r="L41" s="76" t="s">
        <v>525</v>
      </c>
    </row>
    <row r="42" spans="1:14" ht="43.15">
      <c r="A42" s="43" t="str">
        <v>Alamogordo - City of Alamogordo - WWTP</v>
      </c>
      <c r="B42" s="40" t="str">
        <v>NM</v>
      </c>
      <c r="C42" s="28">
        <v>83060</v>
      </c>
      <c r="D42" s="29">
        <v>3.2646210000000001E-3</v>
      </c>
      <c r="E42" s="29">
        <f t="shared" si="4"/>
        <v>83059.996735378998</v>
      </c>
      <c r="F42" s="30">
        <f t="shared" si="3"/>
        <v>25442462.305847753</v>
      </c>
      <c r="G42" s="31">
        <v>126736.9</v>
      </c>
      <c r="H42" s="31">
        <f t="shared" si="5"/>
        <v>-43676.899999999994</v>
      </c>
      <c r="I42" s="32">
        <f t="shared" si="6"/>
        <v>-0.34462654522873759</v>
      </c>
      <c r="J42" s="62" t="s">
        <v>526</v>
      </c>
      <c r="K42" s="78" t="s">
        <v>272</v>
      </c>
      <c r="L42" s="76" t="s">
        <v>273</v>
      </c>
      <c r="M42" s="76" t="s">
        <v>274</v>
      </c>
    </row>
    <row r="43" spans="1:14" ht="28.9">
      <c r="A43" s="41" t="str">
        <v>Deming - Bilbo Booster</v>
      </c>
      <c r="B43" s="42" t="str">
        <v>NM</v>
      </c>
      <c r="C43" s="35">
        <v>12726</v>
      </c>
      <c r="D43" s="36">
        <v>0</v>
      </c>
      <c r="E43" s="36">
        <f t="shared" si="4"/>
        <v>12726</v>
      </c>
      <c r="F43" s="37" t="str">
        <f t="shared" si="3"/>
        <v/>
      </c>
      <c r="G43" s="38">
        <v>11978.8</v>
      </c>
      <c r="H43" s="38">
        <f t="shared" si="5"/>
        <v>747.20000000000073</v>
      </c>
      <c r="I43" s="37">
        <f t="shared" si="6"/>
        <v>6.2376865796240091E-2</v>
      </c>
      <c r="J43" s="60" t="s">
        <v>527</v>
      </c>
      <c r="K43" s="75" t="s">
        <v>528</v>
      </c>
    </row>
    <row r="44" spans="1:14" ht="28.9">
      <c r="A44" s="43" t="str">
        <v>Deming - Bilbo Well</v>
      </c>
      <c r="B44" s="40" t="str">
        <v>NM</v>
      </c>
      <c r="C44" s="28">
        <v>22901</v>
      </c>
      <c r="D44" s="29">
        <v>0</v>
      </c>
      <c r="E44" s="29">
        <f t="shared" si="4"/>
        <v>22901</v>
      </c>
      <c r="F44" s="30" t="str">
        <f t="shared" si="3"/>
        <v/>
      </c>
      <c r="G44" s="31">
        <v>21655</v>
      </c>
      <c r="H44" s="31">
        <f t="shared" si="5"/>
        <v>1246</v>
      </c>
      <c r="I44" s="32">
        <f t="shared" si="6"/>
        <v>5.7538674670976682E-2</v>
      </c>
      <c r="J44" s="62" t="s">
        <v>277</v>
      </c>
      <c r="K44" s="78" t="s">
        <v>278</v>
      </c>
    </row>
    <row r="45" spans="1:14" ht="39.6">
      <c r="A45" s="41" t="str">
        <v>Deming - WWTP</v>
      </c>
      <c r="B45" s="42" t="str">
        <v>NM</v>
      </c>
      <c r="C45" s="35">
        <v>81630</v>
      </c>
      <c r="D45" s="36">
        <v>74950.460000000006</v>
      </c>
      <c r="E45" s="36">
        <f t="shared" si="4"/>
        <v>6679.5399999999936</v>
      </c>
      <c r="F45" s="37">
        <f t="shared" si="3"/>
        <v>8.9119399667460256E-2</v>
      </c>
      <c r="G45" s="38">
        <v>90067.199999999997</v>
      </c>
      <c r="H45" s="38">
        <f t="shared" si="5"/>
        <v>-8437.1999999999971</v>
      </c>
      <c r="I45" s="37">
        <f t="shared" si="6"/>
        <v>-9.3676721381368552E-2</v>
      </c>
      <c r="J45" s="60" t="s">
        <v>397</v>
      </c>
      <c r="K45" s="75" t="s">
        <v>398</v>
      </c>
      <c r="L45" s="76" t="s">
        <v>399</v>
      </c>
    </row>
    <row r="46" spans="1:14" ht="72">
      <c r="A46" s="43" t="str">
        <v>Truth or Consequences - Walmart</v>
      </c>
      <c r="B46" s="40" t="str">
        <v>NM</v>
      </c>
      <c r="C46" s="28">
        <v>171100</v>
      </c>
      <c r="D46" s="29">
        <v>346115.8</v>
      </c>
      <c r="E46" s="29">
        <f t="shared" si="4"/>
        <v>-175015.8</v>
      </c>
      <c r="F46" s="30">
        <f t="shared" si="3"/>
        <v>-0.50565677729823366</v>
      </c>
      <c r="G46" s="31">
        <v>186308.6</v>
      </c>
      <c r="H46" s="31">
        <f t="shared" si="5"/>
        <v>-15208.600000000006</v>
      </c>
      <c r="I46" s="32">
        <f t="shared" si="6"/>
        <v>-8.1631229046860987E-2</v>
      </c>
      <c r="J46" s="62" t="s">
        <v>529</v>
      </c>
      <c r="K46" s="78" t="s">
        <v>530</v>
      </c>
      <c r="L46" s="76" t="s">
        <v>531</v>
      </c>
      <c r="M46" s="76" t="s">
        <v>532</v>
      </c>
      <c r="N46" s="76" t="s">
        <v>533</v>
      </c>
    </row>
    <row r="47" spans="1:14" ht="43.15">
      <c r="A47" s="41" t="str">
        <v>CA: Stockton - SUSD - Merlo</v>
      </c>
      <c r="B47" s="42" t="str">
        <v>CA</v>
      </c>
      <c r="C47" s="35">
        <v>1930.375</v>
      </c>
      <c r="D47" s="36">
        <v>16698.5</v>
      </c>
      <c r="E47" s="36">
        <f t="shared" si="4"/>
        <v>-14768.125</v>
      </c>
      <c r="F47" s="37">
        <f t="shared" si="3"/>
        <v>-0.88439829924843549</v>
      </c>
      <c r="G47" s="38">
        <v>17660.580000000002</v>
      </c>
      <c r="H47" s="38">
        <f t="shared" si="5"/>
        <v>-15730.205000000002</v>
      </c>
      <c r="I47" s="37">
        <f t="shared" si="6"/>
        <v>-0.89069583218671189</v>
      </c>
      <c r="J47" s="60" t="s">
        <v>534</v>
      </c>
      <c r="K47" s="75" t="s">
        <v>535</v>
      </c>
      <c r="L47" s="76" t="s">
        <v>536</v>
      </c>
    </row>
    <row r="48" spans="1:14" ht="86.45">
      <c r="A48" s="43" t="str">
        <v>Stockton Unified School Dist. - Bush Elementary</v>
      </c>
      <c r="B48" s="40" t="str">
        <v>CA</v>
      </c>
      <c r="C48" s="28">
        <v>24841.25</v>
      </c>
      <c r="D48" s="29">
        <v>34993.839999999997</v>
      </c>
      <c r="E48" s="29">
        <f t="shared" si="4"/>
        <v>-10152.589999999997</v>
      </c>
      <c r="F48" s="30">
        <f t="shared" si="3"/>
        <v>-0.29012506201091387</v>
      </c>
      <c r="G48" s="31">
        <v>38220.69</v>
      </c>
      <c r="H48" s="31">
        <f t="shared" si="5"/>
        <v>-13379.440000000002</v>
      </c>
      <c r="I48" s="32">
        <f t="shared" si="6"/>
        <v>-0.35005752120121331</v>
      </c>
      <c r="J48" s="62" t="s">
        <v>537</v>
      </c>
      <c r="K48" s="78" t="s">
        <v>538</v>
      </c>
      <c r="L48" s="76" t="s">
        <v>288</v>
      </c>
    </row>
    <row r="49" spans="1:14" ht="43.15">
      <c r="A49" s="41" t="str">
        <v>CA: Stockton - SUSD - Marshall JHS</v>
      </c>
      <c r="B49" s="42" t="str">
        <v>CA</v>
      </c>
      <c r="C49" s="35">
        <v>7190.375</v>
      </c>
      <c r="D49" s="36">
        <v>23249.65</v>
      </c>
      <c r="E49" s="36">
        <f t="shared" si="4"/>
        <v>-16059.275000000001</v>
      </c>
      <c r="F49" s="37">
        <f t="shared" si="3"/>
        <v>-0.69073190349102032</v>
      </c>
      <c r="G49" s="38">
        <v>25053.7</v>
      </c>
      <c r="H49" s="38">
        <f t="shared" si="5"/>
        <v>-17863.325000000001</v>
      </c>
      <c r="I49" s="37">
        <f t="shared" si="6"/>
        <v>-0.71300147283634752</v>
      </c>
      <c r="J49" s="60" t="s">
        <v>289</v>
      </c>
      <c r="K49" s="75" t="s">
        <v>539</v>
      </c>
    </row>
    <row r="50" spans="1:14" ht="28.9">
      <c r="A50" s="43" t="str">
        <v>CA: Stockton - SUSD - Hong-Kingston ES</v>
      </c>
      <c r="B50" s="40" t="str">
        <v>CA</v>
      </c>
      <c r="C50" s="28">
        <v>5469</v>
      </c>
      <c r="D50" s="29">
        <v>39358.15</v>
      </c>
      <c r="E50" s="29">
        <f t="shared" si="4"/>
        <v>-33889.15</v>
      </c>
      <c r="F50" s="30">
        <f t="shared" si="3"/>
        <v>-0.86104529811487585</v>
      </c>
      <c r="G50" s="31">
        <v>40675.83</v>
      </c>
      <c r="H50" s="31">
        <f t="shared" si="5"/>
        <v>-35206.83</v>
      </c>
      <c r="I50" s="32">
        <f t="shared" si="6"/>
        <v>-0.86554668952053349</v>
      </c>
      <c r="J50" s="62" t="s">
        <v>291</v>
      </c>
      <c r="K50" s="78" t="s">
        <v>540</v>
      </c>
    </row>
    <row r="51" spans="1:14" ht="15.6">
      <c r="A51" s="41" t="str">
        <v>CA: Stockton - SUSD - Hamilton ES</v>
      </c>
      <c r="B51" s="42" t="str">
        <v>CA</v>
      </c>
      <c r="C51" s="35">
        <v>5902.5</v>
      </c>
      <c r="D51" s="36">
        <v>20146.32</v>
      </c>
      <c r="E51" s="36">
        <f t="shared" si="4"/>
        <v>-14243.82</v>
      </c>
      <c r="F51" s="37">
        <f t="shared" si="3"/>
        <v>-0.70701845299786759</v>
      </c>
      <c r="G51" s="38">
        <v>21701.919999999998</v>
      </c>
      <c r="H51" s="38">
        <f t="shared" si="5"/>
        <v>-15799.419999999998</v>
      </c>
      <c r="I51" s="37">
        <f t="shared" si="6"/>
        <v>-0.72801945634303322</v>
      </c>
      <c r="J51" s="60" t="s">
        <v>541</v>
      </c>
      <c r="K51" s="75" t="s">
        <v>542</v>
      </c>
    </row>
    <row r="52" spans="1:14" ht="100.9">
      <c r="A52" s="43" t="str">
        <v>CA: Stockton - SUSD - Franklin - North</v>
      </c>
      <c r="B52" s="40" t="str">
        <v>CA</v>
      </c>
      <c r="C52" s="28">
        <v>23597.75</v>
      </c>
      <c r="D52" s="29">
        <v>101441.3</v>
      </c>
      <c r="E52" s="29">
        <f t="shared" si="4"/>
        <v>-77843.55</v>
      </c>
      <c r="F52" s="30">
        <f t="shared" si="3"/>
        <v>-0.76737531951976168</v>
      </c>
      <c r="G52" s="31">
        <v>57399.27</v>
      </c>
      <c r="H52" s="31">
        <f t="shared" si="5"/>
        <v>-33801.519999999997</v>
      </c>
      <c r="I52" s="32">
        <f t="shared" si="6"/>
        <v>-0.58888414434538972</v>
      </c>
      <c r="J52" s="62" t="s">
        <v>543</v>
      </c>
      <c r="K52" s="78" t="s">
        <v>544</v>
      </c>
      <c r="L52" s="76" t="s">
        <v>298</v>
      </c>
      <c r="M52" s="76" t="s">
        <v>317</v>
      </c>
      <c r="N52" s="76" t="s">
        <v>545</v>
      </c>
    </row>
    <row r="53" spans="1:14" ht="15.6">
      <c r="A53" s="41" t="str">
        <v>Stockton Unified School Dist. - Fillmore Elementary</v>
      </c>
      <c r="B53" s="42" t="str">
        <v>CA</v>
      </c>
      <c r="C53" s="35">
        <v>4248</v>
      </c>
      <c r="D53" s="36">
        <v>16447.349999999999</v>
      </c>
      <c r="E53" s="36">
        <f t="shared" si="4"/>
        <v>-12199.349999999999</v>
      </c>
      <c r="F53" s="37">
        <f t="shared" si="3"/>
        <v>-0.74172131072786796</v>
      </c>
      <c r="G53" s="38">
        <v>17629.73</v>
      </c>
      <c r="H53" s="38">
        <f t="shared" si="5"/>
        <v>-13381.73</v>
      </c>
      <c r="I53" s="37">
        <f t="shared" si="6"/>
        <v>-0.75904338863953102</v>
      </c>
      <c r="J53" s="60" t="s">
        <v>410</v>
      </c>
      <c r="K53" s="75" t="s">
        <v>546</v>
      </c>
    </row>
    <row r="54" spans="1:14" ht="28.9">
      <c r="A54" s="43" t="str">
        <v>CA: Stockton - SUSD - El Dorado ES</v>
      </c>
      <c r="B54" s="40" t="str">
        <v>CA</v>
      </c>
      <c r="C54" s="28">
        <v>5071.5</v>
      </c>
      <c r="D54" s="29">
        <v>21454.560000000001</v>
      </c>
      <c r="E54" s="29">
        <f t="shared" si="4"/>
        <v>-16383.060000000001</v>
      </c>
      <c r="F54" s="30">
        <f t="shared" si="3"/>
        <v>-0.76361668568360297</v>
      </c>
      <c r="G54" s="31">
        <v>0</v>
      </c>
      <c r="H54" s="31">
        <f t="shared" si="5"/>
        <v>5071.5</v>
      </c>
      <c r="I54" s="32" t="str">
        <f t="shared" si="6"/>
        <v/>
      </c>
      <c r="J54" s="62" t="s">
        <v>411</v>
      </c>
      <c r="K54" s="78" t="s">
        <v>547</v>
      </c>
    </row>
    <row r="55" spans="1:14" ht="15.6">
      <c r="A55" s="41" t="str">
        <v>CA: Stockton - SUSD - Edison HS</v>
      </c>
      <c r="B55" s="42" t="str">
        <v>CA</v>
      </c>
      <c r="C55" s="35">
        <v>37711.5</v>
      </c>
      <c r="D55" s="36">
        <v>55052.82</v>
      </c>
      <c r="E55" s="36">
        <f t="shared" si="4"/>
        <v>-17341.32</v>
      </c>
      <c r="F55" s="37">
        <f t="shared" si="3"/>
        <v>-0.31499421827982654</v>
      </c>
      <c r="G55" s="38">
        <v>59700.480000000003</v>
      </c>
      <c r="H55" s="38">
        <f t="shared" si="5"/>
        <v>-21988.980000000003</v>
      </c>
      <c r="I55" s="37">
        <f t="shared" si="6"/>
        <v>-0.36832166173538305</v>
      </c>
      <c r="J55" s="60" t="s">
        <v>548</v>
      </c>
      <c r="K55" s="75" t="s">
        <v>549</v>
      </c>
    </row>
    <row r="56" spans="1:14" ht="86.45">
      <c r="A56" s="43" t="str">
        <v>CA: Stockton - SUSD - Chavez HS - Large</v>
      </c>
      <c r="B56" s="40" t="str">
        <v>CA</v>
      </c>
      <c r="C56" s="28">
        <v>33494</v>
      </c>
      <c r="D56" s="29">
        <v>125616</v>
      </c>
      <c r="E56" s="29">
        <f t="shared" si="4"/>
        <v>-92122</v>
      </c>
      <c r="F56" s="30">
        <f t="shared" si="3"/>
        <v>-0.73336199210291686</v>
      </c>
      <c r="G56" s="31">
        <v>124394.1</v>
      </c>
      <c r="H56" s="31">
        <f t="shared" si="5"/>
        <v>-90900.1</v>
      </c>
      <c r="I56" s="32">
        <f t="shared" si="6"/>
        <v>-0.73074285677536155</v>
      </c>
      <c r="J56" s="62" t="s">
        <v>550</v>
      </c>
      <c r="K56" s="78" t="s">
        <v>551</v>
      </c>
      <c r="L56" s="76" t="s">
        <v>308</v>
      </c>
    </row>
    <row r="57" spans="1:14" ht="57.6">
      <c r="A57" s="41" t="str">
        <v>CA: San Jose - GE Mobile Water</v>
      </c>
      <c r="B57" s="42" t="str">
        <v>CA</v>
      </c>
      <c r="C57" s="35">
        <v>26770</v>
      </c>
      <c r="D57" s="36">
        <v>31066.95</v>
      </c>
      <c r="E57" s="36">
        <f t="shared" si="4"/>
        <v>-4296.9500000000007</v>
      </c>
      <c r="F57" s="37">
        <f t="shared" si="3"/>
        <v>-0.13831257976724462</v>
      </c>
      <c r="G57" s="38">
        <v>31803.599999999999</v>
      </c>
      <c r="H57" s="38">
        <f t="shared" si="5"/>
        <v>-5033.5999999999985</v>
      </c>
      <c r="I57" s="37">
        <f t="shared" si="6"/>
        <v>-0.15827139066017679</v>
      </c>
      <c r="J57" s="60" t="s">
        <v>552</v>
      </c>
      <c r="K57" s="75" t="s">
        <v>553</v>
      </c>
      <c r="L57" s="76" t="s">
        <v>554</v>
      </c>
    </row>
    <row r="58" spans="1:14" ht="15.6">
      <c r="A58" s="43" t="str">
        <v>CA: San Marcos - Vallecitos Water - Lift Station</v>
      </c>
      <c r="B58" s="40" t="str">
        <v>CA</v>
      </c>
      <c r="C58" s="28">
        <v>38633.625</v>
      </c>
      <c r="D58" s="29">
        <v>40409.49</v>
      </c>
      <c r="E58" s="29">
        <f t="shared" si="4"/>
        <v>-1775.864999999998</v>
      </c>
      <c r="F58" s="30">
        <f t="shared" si="3"/>
        <v>-4.3946731324745698E-2</v>
      </c>
      <c r="G58" s="31">
        <v>39827.83</v>
      </c>
      <c r="H58" s="31">
        <f t="shared" si="5"/>
        <v>-1194.2050000000017</v>
      </c>
      <c r="I58" s="32">
        <f t="shared" si="6"/>
        <v>-2.9984184425814856E-2</v>
      </c>
      <c r="J58" s="62"/>
      <c r="K58" s="62"/>
    </row>
    <row r="59" spans="1:14" ht="15.6">
      <c r="A59" s="41" t="str">
        <v>CA: San Marcos - Vallecitos Water - Twin Oaks Reservoir</v>
      </c>
      <c r="B59" s="42" t="str">
        <v>CA</v>
      </c>
      <c r="C59" s="35">
        <v>298630</v>
      </c>
      <c r="D59" s="36">
        <v>333287.59999999998</v>
      </c>
      <c r="E59" s="36">
        <f t="shared" si="4"/>
        <v>-34657.599999999977</v>
      </c>
      <c r="F59" s="37">
        <f t="shared" si="3"/>
        <v>-0.10398706702559585</v>
      </c>
      <c r="G59" s="38">
        <v>258228</v>
      </c>
      <c r="H59" s="38">
        <f t="shared" si="5"/>
        <v>40402</v>
      </c>
      <c r="I59" s="37">
        <f t="shared" si="6"/>
        <v>0.15645863345570582</v>
      </c>
      <c r="J59" s="60" t="s">
        <v>555</v>
      </c>
      <c r="K59" s="75" t="s">
        <v>556</v>
      </c>
    </row>
    <row r="60" spans="1:14" ht="28.9">
      <c r="A60" s="43" t="str">
        <v>CA: Stockton - SUSD - Wilhelmina Henry ES</v>
      </c>
      <c r="B60" s="40" t="str">
        <v>CA</v>
      </c>
      <c r="C60" s="28">
        <v>7622.25</v>
      </c>
      <c r="D60" s="29">
        <v>48297.74</v>
      </c>
      <c r="E60" s="29">
        <f t="shared" si="4"/>
        <v>-40675.49</v>
      </c>
      <c r="F60" s="30">
        <f t="shared" si="3"/>
        <v>-0.84218205655171441</v>
      </c>
      <c r="G60" s="31">
        <v>40062.410000000003</v>
      </c>
      <c r="H60" s="31">
        <f t="shared" si="5"/>
        <v>-32440.160000000003</v>
      </c>
      <c r="I60" s="32">
        <f t="shared" si="6"/>
        <v>-0.80974060222537791</v>
      </c>
      <c r="J60" s="62" t="s">
        <v>421</v>
      </c>
      <c r="K60" s="78" t="s">
        <v>557</v>
      </c>
    </row>
    <row r="61" spans="1:14" ht="15.6" hidden="1">
      <c r="A61" s="41" t="str">
        <v>Stockton Unified School Dist. - Franklin (North)</v>
      </c>
      <c r="B61" s="42" t="str">
        <v>CA</v>
      </c>
      <c r="C61" s="35"/>
      <c r="D61" s="36"/>
      <c r="E61" s="36" t="str">
        <f t="shared" si="4"/>
        <v/>
      </c>
      <c r="F61" s="37" t="str">
        <f t="shared" si="3"/>
        <v/>
      </c>
      <c r="G61" s="38"/>
      <c r="H61" s="38" t="str">
        <f t="shared" si="5"/>
        <v/>
      </c>
      <c r="I61" s="37" t="str">
        <f t="shared" si="6"/>
        <v/>
      </c>
      <c r="J61" s="60"/>
      <c r="K61" s="59"/>
    </row>
    <row r="62" spans="1:14" ht="57.6">
      <c r="A62" s="43" t="str">
        <v>CA: Stockton - SUSD - Franklin - South</v>
      </c>
      <c r="B62" s="40" t="str">
        <v>CA</v>
      </c>
      <c r="C62" s="28">
        <v>33051</v>
      </c>
      <c r="D62" s="29">
        <v>93204.15</v>
      </c>
      <c r="E62" s="29">
        <f t="shared" si="4"/>
        <v>-60153.149999999994</v>
      </c>
      <c r="F62" s="30">
        <f t="shared" si="3"/>
        <v>-0.64539132645917585</v>
      </c>
      <c r="G62" s="31">
        <v>93184.13</v>
      </c>
      <c r="H62" s="31">
        <f t="shared" si="5"/>
        <v>-60133.130000000005</v>
      </c>
      <c r="I62" s="32">
        <f t="shared" si="6"/>
        <v>-0.64531514110825527</v>
      </c>
      <c r="J62" s="62" t="s">
        <v>558</v>
      </c>
      <c r="K62" s="78" t="s">
        <v>559</v>
      </c>
      <c r="L62" s="76" t="s">
        <v>424</v>
      </c>
      <c r="M62" s="76" t="s">
        <v>320</v>
      </c>
    </row>
    <row r="63" spans="1:14" ht="28.9">
      <c r="A63" s="41" t="str">
        <v>CA: Stockton - SUSD - Chavez HS - Small</v>
      </c>
      <c r="B63" s="42" t="str">
        <v>CA</v>
      </c>
      <c r="C63" s="35">
        <v>21585.25</v>
      </c>
      <c r="D63" s="36">
        <v>23827.7</v>
      </c>
      <c r="E63" s="36">
        <f t="shared" si="4"/>
        <v>-2242.4500000000007</v>
      </c>
      <c r="F63" s="37">
        <f t="shared" si="3"/>
        <v>-9.4111055620139619E-2</v>
      </c>
      <c r="G63" s="38">
        <v>35082.370000000003</v>
      </c>
      <c r="H63" s="38">
        <f t="shared" si="5"/>
        <v>-13497.120000000003</v>
      </c>
      <c r="I63" s="37">
        <f t="shared" si="6"/>
        <v>-0.38472657348976141</v>
      </c>
      <c r="J63" s="60" t="s">
        <v>425</v>
      </c>
      <c r="K63" s="75" t="s">
        <v>560</v>
      </c>
    </row>
    <row r="64" spans="1:14" ht="43.15">
      <c r="A64" s="43" t="str">
        <v>CA: Stockton - SUSD - Facilities</v>
      </c>
      <c r="B64" s="40" t="str">
        <v>CA</v>
      </c>
      <c r="C64" s="28">
        <v>18136</v>
      </c>
      <c r="D64" s="29">
        <v>53149.77</v>
      </c>
      <c r="E64" s="29">
        <f t="shared" si="4"/>
        <v>-35013.769999999997</v>
      </c>
      <c r="F64" s="30">
        <f t="shared" si="3"/>
        <v>-0.65877556948976446</v>
      </c>
      <c r="G64" s="31">
        <v>60065.86</v>
      </c>
      <c r="H64" s="31">
        <f t="shared" si="5"/>
        <v>-41929.86</v>
      </c>
      <c r="I64" s="32">
        <f t="shared" si="6"/>
        <v>-0.69806475758442488</v>
      </c>
      <c r="J64" s="62" t="s">
        <v>561</v>
      </c>
      <c r="K64" s="78" t="s">
        <v>562</v>
      </c>
    </row>
    <row r="65" spans="1:17" ht="28.9">
      <c r="A65" s="41" t="str">
        <v>CA: Stockton - SUSD - Harrison</v>
      </c>
      <c r="B65" s="42" t="str">
        <v>CA</v>
      </c>
      <c r="C65" s="35">
        <v>13665.125</v>
      </c>
      <c r="D65" s="36">
        <v>20970.91</v>
      </c>
      <c r="E65" s="36">
        <f t="shared" si="4"/>
        <v>-7305.7849999999999</v>
      </c>
      <c r="F65" s="37">
        <f t="shared" si="3"/>
        <v>-0.34837710905249225</v>
      </c>
      <c r="G65" s="38">
        <v>21458.99</v>
      </c>
      <c r="H65" s="38">
        <f t="shared" si="5"/>
        <v>-7793.8650000000016</v>
      </c>
      <c r="I65" s="37">
        <f t="shared" si="6"/>
        <v>-0.36319812815048619</v>
      </c>
      <c r="J65" s="60" t="s">
        <v>563</v>
      </c>
      <c r="K65" s="75" t="s">
        <v>564</v>
      </c>
    </row>
    <row r="66" spans="1:17" ht="15.6">
      <c r="A66" s="43" t="str">
        <v>CA: Stockton - SUSD - Commodore Skills School</v>
      </c>
      <c r="B66" s="40" t="str">
        <v>CA</v>
      </c>
      <c r="C66" s="28">
        <v>6365.5</v>
      </c>
      <c r="D66" s="29">
        <v>42040.41</v>
      </c>
      <c r="E66" s="29">
        <f t="shared" si="4"/>
        <v>-35674.910000000003</v>
      </c>
      <c r="F66" s="30">
        <f t="shared" si="3"/>
        <v>-0.84858615793708958</v>
      </c>
      <c r="G66" s="31">
        <v>46751.18</v>
      </c>
      <c r="H66" s="31">
        <f t="shared" si="5"/>
        <v>-40385.68</v>
      </c>
      <c r="I66" s="32">
        <f t="shared" si="6"/>
        <v>-0.86384300888234267</v>
      </c>
      <c r="J66" s="62" t="s">
        <v>429</v>
      </c>
      <c r="K66" s="78" t="s">
        <v>565</v>
      </c>
    </row>
    <row r="67" spans="1:17" ht="15.6">
      <c r="A67" s="41" t="str">
        <v>CA: Stockton - SUSD - Nightingale ES</v>
      </c>
      <c r="B67" s="42" t="str">
        <v>CA</v>
      </c>
      <c r="C67" s="35">
        <v>17410</v>
      </c>
      <c r="D67" s="36">
        <v>20517.650000000001</v>
      </c>
      <c r="E67" s="36">
        <f t="shared" si="4"/>
        <v>-3107.6500000000015</v>
      </c>
      <c r="F67" s="37">
        <f t="shared" si="3"/>
        <v>-0.1514622776000176</v>
      </c>
      <c r="G67" s="38">
        <v>21652.34</v>
      </c>
      <c r="H67" s="38">
        <f t="shared" si="5"/>
        <v>-4242.34</v>
      </c>
      <c r="I67" s="37">
        <f t="shared" si="6"/>
        <v>-0.19592986254603428</v>
      </c>
      <c r="J67" s="60" t="s">
        <v>430</v>
      </c>
      <c r="K67" s="75" t="s">
        <v>566</v>
      </c>
    </row>
    <row r="68" spans="1:17" ht="43.15">
      <c r="A68" s="43" t="str">
        <v>CA: Stockton - SUSD - Weber Institute</v>
      </c>
      <c r="B68" s="40" t="str">
        <v>CA</v>
      </c>
      <c r="C68" s="28">
        <v>7706.75</v>
      </c>
      <c r="D68" s="29">
        <v>42520.68</v>
      </c>
      <c r="E68" s="29">
        <f t="shared" si="4"/>
        <v>-34813.93</v>
      </c>
      <c r="F68" s="30">
        <f t="shared" si="3"/>
        <v>-0.81875289858958045</v>
      </c>
      <c r="G68" s="31">
        <v>44905.38</v>
      </c>
      <c r="H68" s="31">
        <f t="shared" si="5"/>
        <v>-37198.629999999997</v>
      </c>
      <c r="I68" s="32">
        <f t="shared" si="6"/>
        <v>-0.82837802508296332</v>
      </c>
      <c r="J68" s="62" t="s">
        <v>432</v>
      </c>
      <c r="K68" s="78" t="s">
        <v>330</v>
      </c>
    </row>
    <row r="69" spans="1:17" ht="28.9">
      <c r="A69" s="41" t="str">
        <v>CA: Stockton - SUSD - Warehouse</v>
      </c>
      <c r="B69" s="42" t="str">
        <v>CA</v>
      </c>
      <c r="C69" s="35">
        <v>17649.75</v>
      </c>
      <c r="D69" s="36">
        <v>37104.230000000003</v>
      </c>
      <c r="E69" s="36">
        <f t="shared" si="4"/>
        <v>-19454.480000000003</v>
      </c>
      <c r="F69" s="37">
        <f t="shared" si="3"/>
        <v>-0.52431973389556941</v>
      </c>
      <c r="G69" s="38">
        <v>42317.17</v>
      </c>
      <c r="H69" s="38">
        <f t="shared" si="5"/>
        <v>-24667.42</v>
      </c>
      <c r="I69" s="37">
        <f t="shared" si="6"/>
        <v>-0.58291752496681604</v>
      </c>
      <c r="J69" s="60" t="s">
        <v>567</v>
      </c>
      <c r="K69" s="75" t="s">
        <v>568</v>
      </c>
    </row>
    <row r="70" spans="1:17" ht="28.9">
      <c r="A70" s="43" t="str">
        <v>CA: Stockton - SUSD - Walton Special Center</v>
      </c>
      <c r="B70" s="40" t="str">
        <v>CA</v>
      </c>
      <c r="C70" s="28">
        <v>12840.5</v>
      </c>
      <c r="D70" s="29">
        <v>29254.84</v>
      </c>
      <c r="E70" s="29">
        <f t="shared" si="4"/>
        <v>-16414.34</v>
      </c>
      <c r="F70" s="30">
        <f t="shared" ref="F70:F85" si="7">IFERROR(E70/D70, "")</f>
        <v>-0.56108117494404341</v>
      </c>
      <c r="G70" s="31">
        <v>30721.52</v>
      </c>
      <c r="H70" s="31">
        <f t="shared" si="5"/>
        <v>-17881.02</v>
      </c>
      <c r="I70" s="32">
        <f t="shared" si="6"/>
        <v>-0.58203565448584571</v>
      </c>
      <c r="J70" s="62" t="s">
        <v>569</v>
      </c>
      <c r="K70" s="78" t="s">
        <v>570</v>
      </c>
      <c r="L70" s="76" t="s">
        <v>571</v>
      </c>
    </row>
    <row r="71" spans="1:17" ht="57.6">
      <c r="A71" s="41" t="str">
        <v>CA: Stockton - SUSD - Stagg HS</v>
      </c>
      <c r="B71" s="42" t="str">
        <v>CA</v>
      </c>
      <c r="C71" s="35">
        <v>72265</v>
      </c>
      <c r="D71" s="36">
        <v>113651</v>
      </c>
      <c r="E71" s="36">
        <f t="shared" ref="E71:E85" si="8">IF(AND(ISNUMBER(C71),ISNUMBER(D71)), C71-D71, "")</f>
        <v>-41386</v>
      </c>
      <c r="F71" s="37">
        <f t="shared" si="7"/>
        <v>-0.36414989749320287</v>
      </c>
      <c r="G71" s="38">
        <v>117620.7</v>
      </c>
      <c r="H71" s="38">
        <f t="shared" ref="H71:H85" si="9">IF(AND(ISNUMBER(C71),ISNUMBER(G71)), C71-G71, "")</f>
        <v>-45355.7</v>
      </c>
      <c r="I71" s="37">
        <f t="shared" ref="I71:I85" si="10">IFERROR(H71/G71, "")</f>
        <v>-0.38560984588597075</v>
      </c>
      <c r="J71" s="60" t="s">
        <v>572</v>
      </c>
      <c r="K71" s="75" t="s">
        <v>573</v>
      </c>
      <c r="L71" s="76" t="s">
        <v>437</v>
      </c>
    </row>
    <row r="72" spans="1:17" ht="28.9">
      <c r="A72" s="43" t="str">
        <v>CA: Stockton - SUSD - School for Adults</v>
      </c>
      <c r="B72" s="40" t="str">
        <v>CA</v>
      </c>
      <c r="C72" s="28">
        <v>8772.125</v>
      </c>
      <c r="D72" s="29">
        <v>24781.07</v>
      </c>
      <c r="E72" s="29">
        <f t="shared" si="8"/>
        <v>-16008.945</v>
      </c>
      <c r="F72" s="30">
        <f t="shared" si="7"/>
        <v>-0.64601508328736412</v>
      </c>
      <c r="G72" s="31">
        <v>25460.69</v>
      </c>
      <c r="H72" s="31">
        <f t="shared" si="9"/>
        <v>-16688.564999999999</v>
      </c>
      <c r="I72" s="32">
        <f t="shared" si="10"/>
        <v>-0.65546397210759011</v>
      </c>
      <c r="J72" s="62" t="s">
        <v>438</v>
      </c>
      <c r="K72" s="78" t="s">
        <v>574</v>
      </c>
    </row>
    <row r="73" spans="1:17" ht="28.9">
      <c r="A73" s="41" t="str">
        <v>CA: Stockton - SUSD - San Joaquin</v>
      </c>
      <c r="B73" s="42" t="str">
        <v>CA</v>
      </c>
      <c r="C73" s="35">
        <v>11071.375</v>
      </c>
      <c r="D73" s="36">
        <v>21802.17</v>
      </c>
      <c r="E73" s="36">
        <f t="shared" si="8"/>
        <v>-10730.794999999998</v>
      </c>
      <c r="F73" s="37">
        <f t="shared" si="7"/>
        <v>-0.49218930959624657</v>
      </c>
      <c r="G73" s="38">
        <v>24027.39</v>
      </c>
      <c r="H73" s="38">
        <f t="shared" si="9"/>
        <v>-12956.014999999999</v>
      </c>
      <c r="I73" s="37">
        <f t="shared" si="10"/>
        <v>-0.53921857513446114</v>
      </c>
      <c r="J73" s="60" t="s">
        <v>440</v>
      </c>
      <c r="K73" s="75" t="s">
        <v>575</v>
      </c>
    </row>
    <row r="74" spans="1:17" ht="28.9">
      <c r="A74" s="43" t="str">
        <v>CA: Stockton - SUSD - Rio Calaveras</v>
      </c>
      <c r="B74" s="40" t="str">
        <v>CA</v>
      </c>
      <c r="C74" s="28">
        <v>5516.125</v>
      </c>
      <c r="D74" s="29">
        <v>23855.98</v>
      </c>
      <c r="E74" s="29">
        <f t="shared" si="8"/>
        <v>-18339.855</v>
      </c>
      <c r="F74" s="30">
        <f t="shared" si="7"/>
        <v>-0.76877390909952137</v>
      </c>
      <c r="G74" s="31">
        <v>0</v>
      </c>
      <c r="H74" s="31">
        <f t="shared" si="9"/>
        <v>5516.125</v>
      </c>
      <c r="I74" s="32" t="str">
        <f t="shared" si="10"/>
        <v/>
      </c>
      <c r="J74" s="62" t="s">
        <v>440</v>
      </c>
      <c r="K74" s="78" t="s">
        <v>576</v>
      </c>
    </row>
    <row r="75" spans="1:17" ht="28.9">
      <c r="A75" s="41" t="str">
        <v>CA: Stockton - SUSD - Peyton</v>
      </c>
      <c r="B75" s="42" t="str">
        <v>CA</v>
      </c>
      <c r="C75" s="35">
        <v>40097.5</v>
      </c>
      <c r="D75" s="36">
        <v>51731.14</v>
      </c>
      <c r="E75" s="36">
        <f t="shared" si="8"/>
        <v>-11633.64</v>
      </c>
      <c r="F75" s="37">
        <f t="shared" si="7"/>
        <v>-0.22488659635182986</v>
      </c>
      <c r="G75" s="38">
        <v>52024.800000000003</v>
      </c>
      <c r="H75" s="38">
        <f t="shared" si="9"/>
        <v>-11927.300000000003</v>
      </c>
      <c r="I75" s="37">
        <f t="shared" si="10"/>
        <v>-0.22926181359659245</v>
      </c>
      <c r="J75" s="60" t="s">
        <v>577</v>
      </c>
      <c r="K75" s="75" t="s">
        <v>578</v>
      </c>
    </row>
    <row r="76" spans="1:17" ht="201.6">
      <c r="A76" s="43" t="str">
        <v>TX: Barnhart - 42917 Ranch RD 2469</v>
      </c>
      <c r="B76" s="40" t="str">
        <v>TX</v>
      </c>
      <c r="C76" s="28">
        <v>249240</v>
      </c>
      <c r="D76" s="29">
        <v>277355.2</v>
      </c>
      <c r="E76" s="29">
        <f t="shared" si="8"/>
        <v>-28115.200000000012</v>
      </c>
      <c r="F76" s="30">
        <f t="shared" si="7"/>
        <v>-0.1013689305266316</v>
      </c>
      <c r="G76" s="31">
        <v>262609.59999999998</v>
      </c>
      <c r="H76" s="31">
        <f t="shared" si="9"/>
        <v>-13369.599999999977</v>
      </c>
      <c r="I76" s="32">
        <f t="shared" si="10"/>
        <v>-5.09105531557109E-2</v>
      </c>
      <c r="J76" s="62" t="s">
        <v>579</v>
      </c>
      <c r="K76" s="78" t="s">
        <v>580</v>
      </c>
      <c r="L76" s="76" t="s">
        <v>581</v>
      </c>
      <c r="M76" s="76" t="s">
        <v>582</v>
      </c>
      <c r="N76" s="76" t="s">
        <v>583</v>
      </c>
      <c r="O76" s="76" t="s">
        <v>445</v>
      </c>
      <c r="P76" s="76" t="s">
        <v>445</v>
      </c>
      <c r="Q76" s="76" t="s">
        <v>584</v>
      </c>
    </row>
    <row r="77" spans="1:17" ht="28.9">
      <c r="A77" s="41" t="str">
        <v>AZ: San Manuel - Senior &amp; Junior HS</v>
      </c>
      <c r="B77" s="42" t="str">
        <v>AZ</v>
      </c>
      <c r="C77" s="35">
        <v>33259</v>
      </c>
      <c r="D77" s="36" t="s">
        <v>43</v>
      </c>
      <c r="E77" s="36" t="str">
        <f t="shared" si="8"/>
        <v/>
      </c>
      <c r="F77" s="37" t="str">
        <f t="shared" si="7"/>
        <v/>
      </c>
      <c r="G77" s="38">
        <v>47773</v>
      </c>
      <c r="H77" s="38">
        <f t="shared" si="9"/>
        <v>-14514</v>
      </c>
      <c r="I77" s="37">
        <f t="shared" si="10"/>
        <v>-0.30381177652648989</v>
      </c>
      <c r="J77" s="60" t="s">
        <v>585</v>
      </c>
      <c r="K77" s="75" t="s">
        <v>586</v>
      </c>
      <c r="L77" s="76" t="s">
        <v>587</v>
      </c>
    </row>
    <row r="78" spans="1:17" ht="72">
      <c r="A78" s="43" t="str">
        <v>AZ: Sierra Vista - Colonel Smith MS</v>
      </c>
      <c r="B78" s="40" t="str">
        <v>AZ</v>
      </c>
      <c r="C78" s="28">
        <v>39570</v>
      </c>
      <c r="D78" s="29">
        <v>66177.73</v>
      </c>
      <c r="E78" s="29">
        <f t="shared" si="8"/>
        <v>-26607.729999999996</v>
      </c>
      <c r="F78" s="30">
        <f t="shared" si="7"/>
        <v>-0.40206471270622302</v>
      </c>
      <c r="G78" s="31">
        <v>54833.120000000003</v>
      </c>
      <c r="H78" s="31">
        <f t="shared" si="9"/>
        <v>-15263.120000000003</v>
      </c>
      <c r="I78" s="32">
        <f t="shared" si="10"/>
        <v>-0.27835585500150278</v>
      </c>
      <c r="J78" s="62" t="s">
        <v>449</v>
      </c>
      <c r="K78" s="78" t="s">
        <v>450</v>
      </c>
    </row>
    <row r="79" spans="1:17" ht="43.15">
      <c r="A79" s="41" t="str">
        <v>AZ: Sierra Vista - Colonel Johnston ES</v>
      </c>
      <c r="B79" s="42" t="str">
        <v>AZ</v>
      </c>
      <c r="C79" s="35">
        <v>13120</v>
      </c>
      <c r="D79" s="36">
        <v>22119.75</v>
      </c>
      <c r="E79" s="36">
        <f t="shared" si="8"/>
        <v>-8999.75</v>
      </c>
      <c r="F79" s="37">
        <f t="shared" si="7"/>
        <v>-0.40686490579685575</v>
      </c>
      <c r="G79" s="38">
        <v>18050.89</v>
      </c>
      <c r="H79" s="38">
        <f t="shared" si="9"/>
        <v>-4930.8899999999994</v>
      </c>
      <c r="I79" s="37">
        <f t="shared" si="10"/>
        <v>-0.2731660322565812</v>
      </c>
      <c r="J79" s="60" t="s">
        <v>451</v>
      </c>
      <c r="K79" s="75" t="s">
        <v>452</v>
      </c>
    </row>
    <row r="80" spans="1:17" ht="57.6">
      <c r="A80" s="43" t="str">
        <v>NH: Dover - Dover HS</v>
      </c>
      <c r="B80" s="40" t="str">
        <v>NH</v>
      </c>
      <c r="C80" s="28">
        <v>101448</v>
      </c>
      <c r="D80" s="29">
        <v>151536.29999999999</v>
      </c>
      <c r="E80" s="29">
        <f t="shared" si="8"/>
        <v>-50088.299999999988</v>
      </c>
      <c r="F80" s="30">
        <f t="shared" si="7"/>
        <v>-0.33053664369527297</v>
      </c>
      <c r="G80" s="31">
        <v>127504.3</v>
      </c>
      <c r="H80" s="31">
        <f t="shared" si="9"/>
        <v>-26056.300000000003</v>
      </c>
      <c r="I80" s="32">
        <f t="shared" si="10"/>
        <v>-0.20435624524035662</v>
      </c>
      <c r="J80" s="62" t="s">
        <v>453</v>
      </c>
      <c r="K80" s="78" t="s">
        <v>454</v>
      </c>
    </row>
    <row r="81" spans="1:14" ht="72">
      <c r="A81" s="41" t="str">
        <v>MA: Somerville - 30 Inner Belt Rd</v>
      </c>
      <c r="B81" s="42" t="str">
        <v>MA</v>
      </c>
      <c r="C81" s="35">
        <v>107038.5</v>
      </c>
      <c r="D81" s="36">
        <v>103026.4</v>
      </c>
      <c r="E81" s="36">
        <f t="shared" si="8"/>
        <v>4012.1000000000058</v>
      </c>
      <c r="F81" s="37">
        <f t="shared" si="7"/>
        <v>3.894244581971229E-2</v>
      </c>
      <c r="G81" s="38">
        <v>179551.4</v>
      </c>
      <c r="H81" s="38">
        <f t="shared" si="9"/>
        <v>-72512.899999999994</v>
      </c>
      <c r="I81" s="37">
        <f t="shared" si="10"/>
        <v>-0.40385594320066565</v>
      </c>
      <c r="J81" s="60" t="s">
        <v>455</v>
      </c>
      <c r="K81" s="59"/>
    </row>
    <row r="82" spans="1:14" ht="86.45">
      <c r="A82" s="43" t="str">
        <v>MA: Boxborough - 1414 Massachusetts Ave</v>
      </c>
      <c r="B82" s="40" t="str">
        <v>MA</v>
      </c>
      <c r="C82" s="28">
        <v>749542.92820371396</v>
      </c>
      <c r="D82" s="29">
        <v>152204.1</v>
      </c>
      <c r="E82" s="29">
        <f t="shared" si="8"/>
        <v>597338.82820371399</v>
      </c>
      <c r="F82" s="30">
        <f t="shared" si="7"/>
        <v>3.9245909157750281</v>
      </c>
      <c r="G82" s="31">
        <v>728700</v>
      </c>
      <c r="H82" s="31">
        <f t="shared" si="9"/>
        <v>20842.928203713964</v>
      </c>
      <c r="I82" s="32">
        <f t="shared" si="10"/>
        <v>2.8602893102393254E-2</v>
      </c>
      <c r="J82" s="62" t="s">
        <v>588</v>
      </c>
      <c r="K82" s="78" t="s">
        <v>589</v>
      </c>
      <c r="L82" s="76" t="s">
        <v>590</v>
      </c>
      <c r="M82" s="76" t="s">
        <v>591</v>
      </c>
    </row>
    <row r="83" spans="1:14" ht="72">
      <c r="A83" s="41" t="str">
        <v>NY: Amsterdam - 153 NY Route 67</v>
      </c>
      <c r="B83" s="42" t="str">
        <v>NY</v>
      </c>
      <c r="C83" s="35">
        <v>404966</v>
      </c>
      <c r="D83" s="36">
        <v>318839.40000000002</v>
      </c>
      <c r="E83" s="36">
        <f t="shared" si="8"/>
        <v>86126.599999999977</v>
      </c>
      <c r="F83" s="37">
        <f t="shared" si="7"/>
        <v>0.27012533582737885</v>
      </c>
      <c r="G83" s="38">
        <v>385582</v>
      </c>
      <c r="H83" s="38">
        <f t="shared" si="9"/>
        <v>19384</v>
      </c>
      <c r="I83" s="37">
        <f t="shared" si="10"/>
        <v>5.0272056268186795E-2</v>
      </c>
      <c r="J83" s="60" t="s">
        <v>592</v>
      </c>
      <c r="K83" s="75" t="s">
        <v>460</v>
      </c>
      <c r="L83" s="76" t="s">
        <v>461</v>
      </c>
      <c r="M83" s="76" t="s">
        <v>462</v>
      </c>
    </row>
    <row r="84" spans="1:14" ht="15.6">
      <c r="A84" s="43" t="str">
        <v>CA: San Jose - GE Mobile Water</v>
      </c>
      <c r="B84" s="40" t="str">
        <v>CA</v>
      </c>
      <c r="C84" s="28">
        <v>26770</v>
      </c>
      <c r="D84" s="29">
        <v>31066.95</v>
      </c>
      <c r="E84" s="29">
        <f t="shared" si="8"/>
        <v>-4296.9500000000007</v>
      </c>
      <c r="F84" s="30">
        <f t="shared" si="7"/>
        <v>-0.13831257976724462</v>
      </c>
      <c r="G84" s="31">
        <v>31803.599999999999</v>
      </c>
      <c r="H84" s="31">
        <f t="shared" si="9"/>
        <v>-5033.5999999999985</v>
      </c>
      <c r="I84" s="32">
        <f t="shared" si="10"/>
        <v>-0.15827139066017679</v>
      </c>
      <c r="J84" s="62" t="s">
        <v>463</v>
      </c>
      <c r="K84" s="78" t="s">
        <v>310</v>
      </c>
    </row>
    <row r="85" spans="1:14" ht="72">
      <c r="A85" s="41" t="str">
        <v>NY: Rome - 7776 Tannery RD</v>
      </c>
      <c r="B85" s="42" t="str">
        <v>NY</v>
      </c>
      <c r="C85" s="35">
        <v>366427.06986908597</v>
      </c>
      <c r="D85" s="36">
        <v>406250.3</v>
      </c>
      <c r="E85" s="36">
        <f t="shared" si="8"/>
        <v>-39823.230130914017</v>
      </c>
      <c r="F85" s="37">
        <f t="shared" si="7"/>
        <v>-9.8026340241260168E-2</v>
      </c>
      <c r="G85" s="38">
        <v>393122.8</v>
      </c>
      <c r="H85" s="38">
        <f t="shared" si="9"/>
        <v>-26695.730130914017</v>
      </c>
      <c r="I85" s="37">
        <f t="shared" si="10"/>
        <v>-6.7906847760837122E-2</v>
      </c>
      <c r="J85" s="60" t="s">
        <v>593</v>
      </c>
      <c r="K85" s="75" t="s">
        <v>594</v>
      </c>
      <c r="L85" s="76" t="s">
        <v>467</v>
      </c>
      <c r="M85" s="76" t="s">
        <v>595</v>
      </c>
      <c r="N85" s="76" t="s">
        <v>596</v>
      </c>
    </row>
    <row r="86" spans="1:14" ht="14.45">
      <c r="A86" s="8"/>
      <c r="B86" s="13"/>
      <c r="C86" s="8"/>
      <c r="D86" s="8"/>
      <c r="E86" s="8"/>
      <c r="F86" s="9"/>
      <c r="G86" s="8"/>
      <c r="H86" s="8"/>
      <c r="I86" s="9"/>
      <c r="J86" s="8"/>
      <c r="K86" s="8"/>
    </row>
    <row r="87" spans="1:14" ht="14.45">
      <c r="A87" s="8"/>
      <c r="B87" s="13"/>
      <c r="C87" s="8"/>
      <c r="D87" s="8"/>
      <c r="E87" s="8"/>
      <c r="F87" s="9"/>
      <c r="G87" s="8"/>
      <c r="H87" s="8"/>
      <c r="I87" s="9"/>
      <c r="J87" s="8"/>
      <c r="K87" s="8"/>
    </row>
    <row r="88" spans="1:14" ht="14.45">
      <c r="A88" s="8"/>
      <c r="B88" s="13"/>
      <c r="C88" s="8"/>
      <c r="D88" s="8"/>
      <c r="E88" s="8"/>
      <c r="F88" s="9"/>
      <c r="G88" s="8"/>
      <c r="H88" s="8"/>
      <c r="I88" s="9"/>
      <c r="J88" s="8"/>
      <c r="K88" s="8"/>
    </row>
    <row r="89" spans="1:14" ht="14.45">
      <c r="A89" s="8"/>
      <c r="B89" s="13"/>
      <c r="C89" s="8"/>
      <c r="D89" s="8"/>
      <c r="E89" s="8"/>
      <c r="F89" s="9"/>
      <c r="G89" s="8"/>
      <c r="H89" s="8"/>
      <c r="I89" s="9"/>
      <c r="J89" s="8"/>
      <c r="K89" s="8"/>
    </row>
    <row r="90" spans="1:14" ht="14.45">
      <c r="A90" s="8"/>
      <c r="B90" s="13"/>
      <c r="C90" s="8"/>
      <c r="D90" s="8"/>
      <c r="E90" s="8"/>
      <c r="F90" s="9"/>
      <c r="G90" s="8"/>
      <c r="H90" s="8"/>
      <c r="I90" s="9"/>
      <c r="J90" s="8"/>
      <c r="K90" s="8"/>
    </row>
    <row r="91" spans="1:14" ht="14.45">
      <c r="A91" s="8"/>
      <c r="B91" s="13"/>
      <c r="C91" s="8"/>
      <c r="D91" s="8"/>
      <c r="E91" s="8"/>
      <c r="F91" s="9"/>
      <c r="G91" s="8"/>
      <c r="H91" s="8"/>
      <c r="I91" s="9"/>
      <c r="J91" s="8"/>
      <c r="K91" s="8"/>
    </row>
    <row r="92" spans="1:14" ht="14.45">
      <c r="A92" s="8"/>
      <c r="B92" s="13"/>
      <c r="C92" s="8"/>
      <c r="D92" s="8"/>
      <c r="E92" s="8"/>
      <c r="F92" s="9"/>
      <c r="G92" s="8"/>
      <c r="H92" s="8"/>
      <c r="I92" s="9"/>
      <c r="J92" s="8"/>
      <c r="K92" s="8"/>
    </row>
    <row r="93" spans="1:14" ht="14.45">
      <c r="A93" s="8"/>
      <c r="B93" s="13"/>
      <c r="C93" s="8"/>
      <c r="D93" s="8"/>
      <c r="E93" s="8"/>
      <c r="F93" s="9"/>
      <c r="G93" s="8"/>
      <c r="H93" s="8"/>
      <c r="I93" s="9"/>
      <c r="J93" s="8"/>
      <c r="K93" s="8"/>
    </row>
    <row r="94" spans="1:14" ht="14.45">
      <c r="A94" s="8"/>
      <c r="B94" s="13"/>
      <c r="C94" s="8"/>
      <c r="D94" s="8"/>
      <c r="E94" s="8"/>
      <c r="F94" s="9"/>
      <c r="G94" s="8"/>
      <c r="H94" s="8"/>
      <c r="I94" s="9"/>
      <c r="J94" s="8"/>
      <c r="K94" s="8"/>
    </row>
    <row r="95" spans="1:14" ht="14.45">
      <c r="A95" s="8"/>
      <c r="B95" s="13"/>
      <c r="C95" s="8"/>
      <c r="D95" s="8"/>
      <c r="E95" s="8"/>
      <c r="F95" s="9"/>
      <c r="G95" s="8"/>
      <c r="H95" s="8"/>
      <c r="I95" s="9"/>
      <c r="J95" s="8"/>
      <c r="K95" s="8"/>
    </row>
    <row r="96" spans="1:14"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A326" s="8"/>
      <c r="B326" s="13"/>
      <c r="C326" s="8"/>
      <c r="D326" s="8"/>
      <c r="E326" s="8"/>
      <c r="F326" s="9"/>
      <c r="G326" s="8"/>
      <c r="H326" s="8"/>
      <c r="I326" s="9"/>
      <c r="J326" s="8"/>
      <c r="K326" s="8"/>
    </row>
    <row r="327" spans="1:11" ht="14.45">
      <c r="C327" s="8"/>
      <c r="D327" s="8"/>
      <c r="E327" s="8"/>
      <c r="F327" s="9"/>
      <c r="G327" s="8"/>
      <c r="H327" s="8"/>
      <c r="I327" s="9"/>
      <c r="J327" s="8"/>
      <c r="K327" s="8"/>
    </row>
  </sheetData>
  <mergeCells count="4">
    <mergeCell ref="G1:I1"/>
    <mergeCell ref="A1:C1"/>
    <mergeCell ref="D1:F1"/>
    <mergeCell ref="A2:B2"/>
  </mergeCells>
  <conditionalFormatting sqref="F2 I2 F4:F85 I4:I85">
    <cfRule type="cellIs" dxfId="12" priority="5" stopIfTrue="1" operator="lessThanOrEqual">
      <formula>-0.1</formula>
    </cfRule>
    <cfRule type="expression" dxfId="11" priority="6">
      <formula>AND(ISNUMBER(F2), F2&gt;=0.1)</formula>
    </cfRule>
  </conditionalFormatting>
  <hyperlinks>
    <hyperlink ref="K4" r:id="rId1" display="https://us3.assetplanner.com/service_request?ID=099290" xr:uid="{77BAD1AD-2C2E-4C96-89E1-2839BE468072}"/>
    <hyperlink ref="K5" r:id="rId2" display="https://us3.assetplanner.com/service_request?ID=105924" xr:uid="{B4C77790-3598-409D-9805-0918EBB99D23}"/>
    <hyperlink ref="L5" r:id="rId3" display="https://us3.assetplanner.com/service_request?ID=101243" xr:uid="{951825BB-3B73-45B9-AAF6-E2172222DF49}"/>
    <hyperlink ref="M5" r:id="rId4" display="https://us3.assetplanner.com/service_request?ID=101245" xr:uid="{DEB6724E-4F94-4392-B3C2-D4D4C20E60F7}"/>
    <hyperlink ref="K7" r:id="rId5" display="https://us3.assetplanner.com/service_request?ID=096262" xr:uid="{8B627DA9-98EC-4E9E-8CB0-8C3384F1BC5A}"/>
    <hyperlink ref="L7" r:id="rId6" display="https://us3.assetplanner.com/service_request?ID=099066" xr:uid="{2140066C-0E78-4063-93A6-AB1120BBB54E}"/>
    <hyperlink ref="K8" r:id="rId7" display="https://us3.assetplanner.com/service_request?ID=098870" xr:uid="{B2BD93B7-EF61-43C4-B04C-F6E7E90FC9CC}"/>
    <hyperlink ref="L8" r:id="rId8" display="https://us3.assetplanner.com/service_request?ID=099461" xr:uid="{53DEECDF-631E-4576-9039-4FD74F9A505F}"/>
    <hyperlink ref="K9" r:id="rId9" display="https://us3.assetplanner.com/service_request?ID=104023" xr:uid="{2232CDE3-E900-456E-8A7E-E51443207F61}"/>
    <hyperlink ref="L9" r:id="rId10" display="https://us3.assetplanner.com/service_request?ID=104137" xr:uid="{12F82141-F565-4726-82C0-E790FEE8E22F}"/>
    <hyperlink ref="M9" r:id="rId11" display="https://us3.assetplanner.com/service_request?ID=105956" xr:uid="{7C35E5C7-A710-4204-A26A-48AC969D5570}"/>
    <hyperlink ref="K11" r:id="rId12" display="https://us3.assetplanner.com/service_request?ID=106384" xr:uid="{B335B660-A849-4452-8972-A6D4D33D8FEF}"/>
    <hyperlink ref="L11" r:id="rId13" display="https://us3.assetplanner.com/service_request?ID=107143" xr:uid="{304864FB-8992-41FD-9A02-2A39A2AB19DB}"/>
    <hyperlink ref="M11" r:id="rId14" display="https://us3.assetplanner.com/service_request?ID=100417" xr:uid="{83A3D759-02FC-45B2-803B-D70E6D7DD0B8}"/>
    <hyperlink ref="K12" r:id="rId15" display="https://us3.assetplanner.com/service_request?ID=102209" xr:uid="{ECAFFA67-4C44-441F-A4DE-33D2BE37D763}"/>
    <hyperlink ref="K13" r:id="rId16" display="https://us3.assetplanner.com/service_request?ID=103184" xr:uid="{C1171D29-5B1B-4340-AD4E-27E7D1E5AE16}"/>
    <hyperlink ref="K14" r:id="rId17" display="https://us3.assetplanner.com/service_request?ID=103740" xr:uid="{AD534990-88C1-4F0B-A882-BC6F32F2D037}"/>
    <hyperlink ref="L14" r:id="rId18" display="https://us3.assetplanner.com/service_request?ID=106599" xr:uid="{A2E024F8-9BE1-4FC5-848C-3241FD90CE4D}"/>
    <hyperlink ref="K15" r:id="rId19" display="https://us3.assetplanner.com/service_request?ID=106946" xr:uid="{BEEE305A-A632-4B47-92CD-BC2F3535597E}"/>
    <hyperlink ref="K16" r:id="rId20" display="https://us3.assetplanner.com/service_request?ID=103239" xr:uid="{75868A60-67BE-4570-8DD2-554D8A43401A}"/>
    <hyperlink ref="K17" r:id="rId21" display="https://us3.assetplanner.com/service_request?ID=103048" xr:uid="{5EBD028A-BE76-40E0-9F99-2F33D8D49CE6}"/>
    <hyperlink ref="K18" r:id="rId22" display="https://us3.assetplanner.com/service_request?ID=103686" xr:uid="{137E8463-74D5-4B3E-B1CC-CA4B9B4E3750}"/>
    <hyperlink ref="L18" r:id="rId23" display="https://us3.assetplanner.com/service_request?ID=105968" xr:uid="{79B9660D-6D93-45A2-94C7-E58A973D988D}"/>
    <hyperlink ref="M18" r:id="rId24" display="https://us3.assetplanner.com/service_request?ID=106026" xr:uid="{5B22401B-2E25-4EF4-88BA-6900D637E52E}"/>
    <hyperlink ref="K19" r:id="rId25" display="https://us3.assetplanner.com/service_request?ID=099730" xr:uid="{96B0EA9A-CBF0-45E3-A0AD-E8DAF5B3BEE5}"/>
    <hyperlink ref="L19" r:id="rId26" display="https://us3.assetplanner.com/service_request?ID=106719" xr:uid="{542A368F-6261-45FD-91EB-6CC6B11851F7}"/>
    <hyperlink ref="M19" r:id="rId27" display="https://us3.assetplanner.com/service_request?ID=104823" xr:uid="{4FC31EB5-63FF-468A-B2BB-7C1F07F571BB}"/>
    <hyperlink ref="N19" r:id="rId28" display="https://us3.assetplanner.com/service_request?ID=104824" xr:uid="{8527070F-1314-4113-8493-F256C4983F58}"/>
    <hyperlink ref="O19" r:id="rId29" display="https://us3.assetplanner.com/service_request?ID=104825" xr:uid="{42545ADB-6F37-4362-97D8-AC0E3F2036AF}"/>
    <hyperlink ref="P19" r:id="rId30" display="https://us3.assetplanner.com/service_request?ID=104826" xr:uid="{C67FE293-3287-4AAB-9188-66034018C989}"/>
    <hyperlink ref="Q19" r:id="rId31" display="https://us3.assetplanner.com/service_request?ID=104828" xr:uid="{176A6D44-0F5F-48C2-9A18-C9E5BA724B5D}"/>
    <hyperlink ref="R19" r:id="rId32" display="https://us3.assetplanner.com/service_request?ID=104827" xr:uid="{BC2BF5D3-47AC-49CE-B496-DFBEFF4F9DAF}"/>
    <hyperlink ref="S19" r:id="rId33" display="https://us3.assetplanner.com/service_request?ID=104829" xr:uid="{19A55918-678E-4E83-BB91-84BC1A123DCA}"/>
    <hyperlink ref="T19" r:id="rId34" display="https://us3.assetplanner.com/service_request?ID=104831" xr:uid="{7D16684A-B403-4F63-A6C8-E6C3F49705EE}"/>
    <hyperlink ref="U19" r:id="rId35" display="https://us3.assetplanner.com/service_request?ID=104832" xr:uid="{4D94D3F9-C00C-417B-B4C2-A58E746E25D2}"/>
    <hyperlink ref="K20" r:id="rId36" display="https://us3.assetplanner.com/service_request?ID=103950" xr:uid="{65D94EDE-5EC4-4A2E-82DB-8EC09EEC40D4}"/>
    <hyperlink ref="K21" r:id="rId37" display="https://us3.assetplanner.com/service_request?ID=102316" xr:uid="{6790D369-C693-4B43-A50C-4FAD1044EF4F}"/>
    <hyperlink ref="L21" r:id="rId38" display="https://us3.assetplanner.com/service_request?ID=099500" xr:uid="{BB0F809F-A923-49B5-B98D-028AC3CFB6AA}"/>
    <hyperlink ref="M21" r:id="rId39" display="https://us3.assetplanner.com/service_request?ID=098016" xr:uid="{332B4D3E-55C4-4F74-A33A-FA2A1B63BC16}"/>
    <hyperlink ref="K22" r:id="rId40" display="https://us3.assetplanner.com/service_request?ID=103914" xr:uid="{EC80BDAD-AF7C-461B-B7B3-2FB4AB3AF08D}"/>
    <hyperlink ref="K25" r:id="rId41" display="https://us3.assetplanner.com/service_request?ID=104192" xr:uid="{46DE0C07-075C-472D-9915-791D7CF42959}"/>
    <hyperlink ref="L25" r:id="rId42" display="https://us3.assetplanner.com/service_request?ID=102794" xr:uid="{F42AB130-6232-4803-B8B0-F6DD94079605}"/>
    <hyperlink ref="M25" r:id="rId43" display="https://us3.assetplanner.com/service_request?ID=105489" xr:uid="{727CA1DD-1F64-47ED-A008-BFA96FA8C01F}"/>
    <hyperlink ref="K31" r:id="rId44" display="https://us3.assetplanner.com/service_request?ID=105973" xr:uid="{71EBFDEC-5D95-48FD-A1F6-E3D23C10FEE5}"/>
    <hyperlink ref="K33" r:id="rId45" display="https://us3.assetplanner.com/service_request?ID=102723" xr:uid="{760BA10F-A8C8-4D4A-88E2-8FF61574B76D}"/>
    <hyperlink ref="L33" r:id="rId46" display="https://us3.assetplanner.com/service_request?ID=105641" xr:uid="{E3C2B765-0E76-451B-B2D8-DFCA4626607D}"/>
    <hyperlink ref="K39" r:id="rId47" display="https://us3.assetplanner.com/service_request?ID=106082" xr:uid="{4DC02833-BFF0-4EDB-8E07-9236040D9797}"/>
    <hyperlink ref="L39" r:id="rId48" display="https://us3.assetplanner.com/service_request?ID=100857" xr:uid="{4428EE94-6A42-4793-8FEC-3BB672BCD4D1}"/>
    <hyperlink ref="K40" r:id="rId49" display="https://us3.assetplanner.com/service_request?ID=101963" xr:uid="{5962046C-87EE-49C9-8E65-FE181C56436D}"/>
    <hyperlink ref="K41" r:id="rId50" display="https://us3.assetplanner.com/service_request?ID=101818" xr:uid="{B23030AB-3826-41CA-862A-C2732D8F0426}"/>
    <hyperlink ref="L41" r:id="rId51" display="https://us3.assetplanner.com/service_request?ID=105928" xr:uid="{C0C4D3D9-547D-4326-A4D1-14C2F8C8032A}"/>
    <hyperlink ref="K42" r:id="rId52" display="https://us3.assetplanner.com/service_request?ID=101034" xr:uid="{B14E21C3-377D-4C8F-91E5-DC2C329494A4}"/>
    <hyperlink ref="L42" r:id="rId53" display="https://us3.assetplanner.com/service_request?ID=103779" xr:uid="{2CCA676E-FA38-4A01-AC9B-CC72B3F96EA0}"/>
    <hyperlink ref="M42" r:id="rId54" display="https://us3.assetplanner.com/service_request?ID=102621" xr:uid="{7185ED5C-F45F-4367-8A4D-3C4B1718A2F6}"/>
    <hyperlink ref="K43" r:id="rId55" display="https://us3.assetplanner.com/service_request?ID=101021" xr:uid="{16565541-61E6-4241-B63F-1010B348DB49}"/>
    <hyperlink ref="K44" r:id="rId56" display="https://us3.assetplanner.com/service_request?ID=100915" xr:uid="{7E4C3A18-70A0-41FF-82D6-37955662AB1E}"/>
    <hyperlink ref="K45" r:id="rId57" display="https://us3.assetplanner.com/service_request?ID=105366" xr:uid="{64B2A79C-86A2-47F9-8287-DEE75C6EFE28}"/>
    <hyperlink ref="L45" r:id="rId58" display="https://us3.assetplanner.com/service_request?ID=101100" xr:uid="{CC5D6353-0DE1-4DC0-9DA1-6AA7D7AD371F}"/>
    <hyperlink ref="K46" r:id="rId59" display="https://us3.assetplanner.com/service_request?ID=105192" xr:uid="{BEBF02D7-1324-4F76-BF12-67DECB03F726}"/>
    <hyperlink ref="L46" r:id="rId60" display="https://us3.assetplanner.com/service_request?ID=105872" xr:uid="{F3A84B2F-B21C-4898-A40B-05B45E9D9488}"/>
    <hyperlink ref="M46" r:id="rId61" display="https://us3.assetplanner.com/service_request?ID=106435" xr:uid="{4E4BD6B6-8591-4BEE-A10B-BE5E5A582BE0}"/>
    <hyperlink ref="N46" r:id="rId62" display="https://us3.assetplanner.com/service_request?ID=106650" xr:uid="{7D20C1B6-77D3-448D-BBA1-72FAAB140CF6}"/>
    <hyperlink ref="K47" r:id="rId63" display="https://us3.assetplanner.com/service_request?ID=102419" xr:uid="{25B431BF-09CF-4116-BD77-A66BD68B3C17}"/>
    <hyperlink ref="L47" r:id="rId64" display="https://us3.assetplanner.com/service_request?ID=107209" xr:uid="{F0F0A75B-CA9E-40FF-BCCB-EEE6821493ED}"/>
    <hyperlink ref="K48" r:id="rId65" display="https://us3.assetplanner.com/service_request?ID=106774" xr:uid="{F051EAA1-25F9-4C0D-908E-ABBBD45BBF86}"/>
    <hyperlink ref="L48" r:id="rId66" display="https://us3.assetplanner.com/service_request?ID=102283" xr:uid="{A8D4719D-FBFB-4FEA-A902-F1C612315475}"/>
    <hyperlink ref="K49" r:id="rId67" display="https://us3.assetplanner.com/service_request?ID=102418" xr:uid="{16C22117-206C-48E8-B82B-C16A2081DAD0}"/>
    <hyperlink ref="K50" r:id="rId68" display="https://us3.assetplanner.com/service_request?ID=102416" xr:uid="{FF6989D3-C34F-48A6-9241-974C055B265E}"/>
    <hyperlink ref="K51" r:id="rId69" display="https://us3.assetplanner.com/service_request?ID=102392" xr:uid="{6316113F-8246-449D-8676-0F8CEDC40AD5}"/>
    <hyperlink ref="K52" r:id="rId70" display="https://us3.assetplanner.com/service_request?ID=102321" xr:uid="{31DF031A-E807-40AE-8A21-593BCDAB23FB}"/>
    <hyperlink ref="L52" r:id="rId71" display="https://us3.assetplanner.com/service_request?ID=103636" xr:uid="{D2C18A74-84A8-43B3-B055-5B10F9FE638D}"/>
    <hyperlink ref="M52" r:id="rId72" display="https://us3.assetplanner.com/service_request?ID=102539" xr:uid="{4B681C39-773E-407F-BB10-3DB5AB7D331D}"/>
    <hyperlink ref="N52" r:id="rId73" display="https://us3.assetplanner.com/service_request?ID=104882" xr:uid="{3E0082EB-2171-459F-9A35-EA680FDE8948}"/>
    <hyperlink ref="K54" r:id="rId74" display="https://us3.assetplanner.com/service_request?ID=102317" xr:uid="{26B2BC8B-A809-4756-87D7-305C70C156A0}"/>
    <hyperlink ref="K55" r:id="rId75" display="https://us3.assetplanner.com/service_request?ID=105794" xr:uid="{AF891FEB-6322-4E80-AF79-55C3D3F611DD}"/>
    <hyperlink ref="K56" r:id="rId76" display="https://us3.assetplanner.com/service_request?ID=106474" xr:uid="{AFAE005E-262D-4510-B369-564C428E31AE}"/>
    <hyperlink ref="L56" r:id="rId77" display="https://us3.assetplanner.com/service_request?ID=102286" xr:uid="{22948E80-7FEE-4A91-8B6B-20A511494694}"/>
    <hyperlink ref="K57" r:id="rId78" display="https://us3.assetplanner.com/service_request?ID=102281" xr:uid="{FE22CBBE-947B-4F04-A33E-CDCFECE6498B}"/>
    <hyperlink ref="L57" r:id="rId79" display="https://us3.assetplanner.com/service_request?ID=106885" xr:uid="{E9C8B81D-C541-4642-86CE-B95ED47DEEC8}"/>
    <hyperlink ref="K59" r:id="rId80" display="https://us3.assetplanner.com/service_request?ID=101986" xr:uid="{92C78E2F-EBD5-408D-9BE5-0F3FA301491A}"/>
    <hyperlink ref="K60" r:id="rId81" display="https://us3.assetplanner.com/service_request?ID=102451" xr:uid="{3D2CCA32-2D8F-4B0C-B18F-68A27ABD0387}"/>
    <hyperlink ref="K62" r:id="rId82" display="https://us3.assetplanner.com/service_request?ID=106828" xr:uid="{A86E313D-10D1-4A7D-84A9-1BD0249662D3}"/>
    <hyperlink ref="L62" r:id="rId83" display="https://us3.assetplanner.com/service_request?ID=105139" xr:uid="{7E2704BD-7228-4DF5-801E-20A6ABD1C3B0}"/>
    <hyperlink ref="M62" r:id="rId84" display="https://us3.assetplanner.com/service_request?ID=102329" xr:uid="{694FA8E3-8EB2-4F3F-8C3B-92B66E8523F1}"/>
    <hyperlink ref="K63" r:id="rId85" display="https://us3.assetplanner.com/service_request?ID=102303" xr:uid="{2350FB29-B23E-4FE7-AC21-9CFBD085FA66}"/>
    <hyperlink ref="K64" r:id="rId86" display="https://us3.assetplanner.com/service_request?ID=102411" xr:uid="{C7893DCC-2C63-460A-BAC7-00900B7680C4}"/>
    <hyperlink ref="K65" r:id="rId87" display="https://us3.assetplanner.com/service_request?ID=106531" xr:uid="{F65BE0D1-0A38-436F-928A-A4C23DFB3914}"/>
    <hyperlink ref="K66" r:id="rId88" display="https://us3.assetplanner.com/service_request?ID=102310" xr:uid="{B6376868-B6D0-4068-8701-00C00D3AFA5A}"/>
    <hyperlink ref="K67" r:id="rId89" display="https://us3.assetplanner.com/service_request?ID=104289" xr:uid="{9D87F2B9-7BEE-44C4-8C21-4538059194DE}"/>
    <hyperlink ref="K69" r:id="rId90" display="https://us3.assetplanner.com/service_request?ID=102413" xr:uid="{ECF6F7F9-BA44-4B45-92B3-78AE3425B0FE}"/>
    <hyperlink ref="K70" r:id="rId91" display="https://us3.assetplanner.com/service_request?ID=102425" xr:uid="{46D376BF-E9D6-464D-B732-59C60235EC8D}"/>
    <hyperlink ref="L70" r:id="rId92" display="https://us3.assetplanner.com/service_request?ID=106842" xr:uid="{9D0D8107-B265-41AE-B2BF-69BBF27CF6F0}"/>
    <hyperlink ref="K71" r:id="rId93" display="https://us3.assetplanner.com/service_request?ID=104290" xr:uid="{9766F8E8-F71E-4A0C-BEDA-D9AAE332075F}"/>
    <hyperlink ref="L71" r:id="rId94" display="https://us3.assetplanner.com/service_request?ID=104290" xr:uid="{D57307B5-CB53-470A-A552-32C423D92CC2}"/>
    <hyperlink ref="K72" r:id="rId95" display="https://us3.assetplanner.com/service_request?ID=102424" xr:uid="{3ED87EC7-263E-49BF-831C-85E01418E58B}"/>
    <hyperlink ref="K73" r:id="rId96" display="https://us3.assetplanner.com/service_request?ID=102423" xr:uid="{F1BC54E9-93DA-4DF5-97AE-DB40E401EC02}"/>
    <hyperlink ref="K74" r:id="rId97" display="https://us3.assetplanner.com/service_request?ID=102421" xr:uid="{92DAEEC4-C9F1-4793-8519-0DB13AE10934}"/>
    <hyperlink ref="K75" r:id="rId98" display="https://us3.assetplanner.com/service_request?ID=102420" xr:uid="{BF73C46C-F7CD-48DD-BDB6-AA16D7D1F623}"/>
    <hyperlink ref="K76" r:id="rId99" display="https://us3.assetplanner.com/service_request?ID=107231" xr:uid="{B4D5A201-51CA-427B-BB0D-379726DC82C4}"/>
    <hyperlink ref="L76" r:id="rId100" display="https://us3.assetplanner.com/service_request?ID=107145" xr:uid="{5C461BA0-34ED-42DA-80BE-4ABF934F4973}"/>
    <hyperlink ref="M76" r:id="rId101" display="https://us3.assetplanner.com/service_request?ID=106851" xr:uid="{C2BF15BF-C03D-449A-966A-C1077A56CF52}"/>
    <hyperlink ref="N76" r:id="rId102" display="https://us3.assetplanner.com/service_request?ID=106520" xr:uid="{E57FC490-97E2-4E0E-8103-2362D3AF721C}"/>
    <hyperlink ref="O76" r:id="rId103" display="https://us3.assetplanner.com/service_request?ID=104246" xr:uid="{FC65D546-77E2-48B4-9C21-FB27D3566A44}"/>
    <hyperlink ref="P76" r:id="rId104" display="https://us3.assetplanner.com/service_request?ID=104246" xr:uid="{D9665983-0E56-4D52-9D77-AA012C17B8D3}"/>
    <hyperlink ref="Q76" r:id="rId105" display="https://us3.assetplanner.com/service_request?ID=103869" xr:uid="{1CA389BD-F7B3-4380-8FF0-E5E7937A978E}"/>
    <hyperlink ref="K77" r:id="rId106" display="https://us3.assetplanner.com/service_request?ID=105626" xr:uid="{0B8E614F-3ADE-4DD2-8F38-535AE71FE4C8}"/>
    <hyperlink ref="L77" r:id="rId107" display="https://us3.assetplanner.com/service_request?ID=106301" xr:uid="{C96061CE-4B07-4797-B661-065815E43C95}"/>
    <hyperlink ref="K78" r:id="rId108" display="https://us3.assetplanner.com/service_request?ID=103867" xr:uid="{66C7473C-3F29-409A-8C9D-50DC58D1188A}"/>
    <hyperlink ref="K79" r:id="rId109" display="https://us3.assetplanner.com/service_request?ID=103866" xr:uid="{55093D44-AF70-4B38-A88E-101B800D25BC}"/>
    <hyperlink ref="K80" r:id="rId110" display="https://us3.assetplanner.com/service_request?ID=104456" xr:uid="{A1ACAC89-35C9-46F8-BF1F-5FD5FC41C7C9}"/>
    <hyperlink ref="K82" r:id="rId111" display="https://us3.assetplanner.com/service_request?ID=104776" xr:uid="{CE90367D-2C62-48A6-92F9-A53B6445B356}"/>
    <hyperlink ref="L82" r:id="rId112" display="https://us3.assetplanner.com/service_request?ID=103944" xr:uid="{D9B36E41-018E-4004-A781-6DA280E9B38F}"/>
    <hyperlink ref="M82" r:id="rId113" display="https://us3.assetplanner.com/service_request?ID=106611" xr:uid="{1EC8646B-22C7-4052-9CAB-70BE6C60CF64}"/>
    <hyperlink ref="K83" r:id="rId114" display="https://us3.assetplanner.com/service_request?ID=103946" xr:uid="{D9C591C3-DFE2-471C-BCE6-BA6AAB9E2114}"/>
    <hyperlink ref="L83" r:id="rId115" display="https://us3.assetplanner.com/service_request?ID=103946" xr:uid="{895543B5-555E-4A09-9777-4A08727CF1FD}"/>
    <hyperlink ref="M83" r:id="rId116" display="https://us3.assetplanner.com/service_request?ID=104855" xr:uid="{6F0A3105-643C-4FC8-8CA0-076B27729456}"/>
    <hyperlink ref="K84" r:id="rId117" display="https://us3.assetplanner.com/service_request?ID=102281" xr:uid="{9682888D-BB20-425E-AD2C-A79439D5F3E7}"/>
    <hyperlink ref="K85" r:id="rId118" display="https://us3.assetplanner.com/service_request?ID=104665" xr:uid="{A1929B6E-DDBC-4E55-8D84-EE496E748404}"/>
    <hyperlink ref="L85" r:id="rId119" display="https://us3.assetplanner.com/service_request?ID=105155" xr:uid="{367253A8-4F15-4B37-A10F-0A02CAC1CBE5}"/>
    <hyperlink ref="M85" r:id="rId120" display="https://us3.assetplanner.com/service_request?ID=106781" xr:uid="{3BDA9F63-3DE0-44E1-9ECB-FC42BE36E0B7}"/>
    <hyperlink ref="N85" r:id="rId121" display="https://us3.assetplanner.com/service_request?ID=107162" xr:uid="{E14E92B7-9897-4F38-A5A2-9C8C6B11018E}"/>
    <hyperlink ref="K68" r:id="rId122" display="https://us3.assetplanner.com/service_request?ID=102450" xr:uid="{F7323529-32D6-431C-89BA-C10128ED0B5C}"/>
    <hyperlink ref="K53" r:id="rId123" display="https://us3.assetplanner.com/service_request?ID=102320" xr:uid="{A5F84644-52B0-44E3-80A4-9B54F380DB0B}"/>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6"/>
  <sheetViews>
    <sheetView zoomScale="70" zoomScaleNormal="70" workbookViewId="0">
      <pane xSplit="2" ySplit="3" topLeftCell="H4"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6" t="str" cm="1">
        <f t="array" ref="A1">portfolio</f>
        <v>Clean Capital</v>
      </c>
      <c r="B1" s="106"/>
      <c r="C1" s="106"/>
      <c r="D1" s="107" t="s">
        <v>597</v>
      </c>
      <c r="E1" s="107"/>
      <c r="F1" s="107"/>
      <c r="G1" s="105" t="s">
        <v>598</v>
      </c>
      <c r="H1" s="105"/>
      <c r="I1" s="105"/>
      <c r="J1" s="4"/>
      <c r="K1" s="4"/>
    </row>
    <row r="2" spans="1:11" ht="19.5" customHeight="1">
      <c r="A2" s="108" t="s">
        <v>2</v>
      </c>
      <c r="B2" s="108"/>
      <c r="C2" s="5">
        <f>SUM(C4:C84)</f>
        <v>0</v>
      </c>
      <c r="D2" s="5">
        <f>SUM(D4:D84)</f>
        <v>0</v>
      </c>
      <c r="E2" s="5">
        <f>C2-D2</f>
        <v>0</v>
      </c>
      <c r="F2" s="6">
        <f>IFERROR(E2/D2, 0)</f>
        <v>0</v>
      </c>
      <c r="G2" s="5">
        <f>SUM(G4:G84)</f>
        <v>0</v>
      </c>
      <c r="H2" s="7">
        <f>C2-G2</f>
        <v>0</v>
      </c>
      <c r="I2" s="6">
        <f>IFERROR(H2/G2, 0)</f>
        <v>0</v>
      </c>
      <c r="J2" s="11"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85">Sites[Site]</f>
        <v>Lexington - Cotting School</v>
      </c>
      <c r="B4" s="40" t="str" cm="1">
        <f t="array" ref="B4:B85">Sites[State]</f>
        <v>MA</v>
      </c>
      <c r="C4" s="28"/>
      <c r="D4" s="29"/>
      <c r="E4" s="29" t="str">
        <f>IF(AND(ISNUMBER(C4),ISNUMBER(D4)), C4-D4, "")</f>
        <v/>
      </c>
      <c r="F4" s="30" t="str">
        <f>IFERROR(E4/D4, "")</f>
        <v/>
      </c>
      <c r="G4" s="31"/>
      <c r="H4" s="31" t="str">
        <f>IF(AND(ISNUMBER(C4),ISNUMBER(G4)), C4-G4, "")</f>
        <v/>
      </c>
      <c r="I4" s="32" t="str">
        <f>IFERROR(H4/G4, "")</f>
        <v/>
      </c>
      <c r="J4" s="49"/>
      <c r="K4" s="49"/>
    </row>
    <row r="5" spans="1:11" ht="15.6">
      <c r="A5" s="41" t="str">
        <v>Pacoima - Whiteman Airport</v>
      </c>
      <c r="B5" s="42" t="str">
        <v>CA</v>
      </c>
      <c r="C5" s="61"/>
      <c r="D5" s="36"/>
      <c r="E5" s="36" t="str">
        <f t="shared" ref="E5:E12" si="0">IF(AND(ISNUMBER(C5),ISNUMBER(D5)), C5-D5, "")</f>
        <v/>
      </c>
      <c r="F5" s="37" t="str">
        <f>IFERROR(E5/D5, "")</f>
        <v/>
      </c>
      <c r="G5" s="38"/>
      <c r="H5" s="38" t="str">
        <f t="shared" ref="H5:H12" si="1">IF(AND(ISNUMBER(C5),ISNUMBER(G5)), C5-G5, "")</f>
        <v/>
      </c>
      <c r="I5" s="37" t="str">
        <f t="shared" ref="I5:I12" si="2">IFERROR(H5/G5, "")</f>
        <v/>
      </c>
      <c r="J5" s="50"/>
      <c r="K5" s="60"/>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49"/>
      <c r="K6" s="49"/>
    </row>
    <row r="7" spans="1:11" ht="15.6">
      <c r="A7" s="41" t="str">
        <v>South Dennis - Tony Kent Arena</v>
      </c>
      <c r="B7" s="42" t="str">
        <v>MA</v>
      </c>
      <c r="C7" s="35"/>
      <c r="D7" s="36"/>
      <c r="E7" s="36" t="str">
        <f t="shared" si="0"/>
        <v/>
      </c>
      <c r="F7" s="37" t="str">
        <f t="shared" si="3"/>
        <v/>
      </c>
      <c r="G7" s="38"/>
      <c r="H7" s="38" t="str">
        <f t="shared" si="1"/>
        <v/>
      </c>
      <c r="I7" s="37" t="str">
        <f t="shared" si="2"/>
        <v/>
      </c>
      <c r="J7" s="50"/>
      <c r="K7" s="51"/>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49"/>
      <c r="K8" s="49"/>
    </row>
    <row r="9" spans="1:11" ht="15.6">
      <c r="A9" s="41" t="str">
        <v>Clear Lake - Eastlake Gohman</v>
      </c>
      <c r="B9" s="42" t="str">
        <v>MN</v>
      </c>
      <c r="C9" s="35"/>
      <c r="D9" s="36"/>
      <c r="E9" s="36" t="str">
        <f t="shared" si="0"/>
        <v/>
      </c>
      <c r="F9" s="37" t="str">
        <f t="shared" si="3"/>
        <v/>
      </c>
      <c r="G9" s="38"/>
      <c r="H9" s="38" t="str">
        <f t="shared" si="1"/>
        <v/>
      </c>
      <c r="I9" s="37" t="str">
        <f t="shared" si="2"/>
        <v/>
      </c>
      <c r="J9" s="50"/>
      <c r="K9" s="51"/>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49"/>
      <c r="K10" s="49"/>
    </row>
    <row r="11" spans="1:11" ht="15.6">
      <c r="A11" s="41" t="str">
        <v>Cokato - Eastlake Carlson</v>
      </c>
      <c r="B11" s="42" t="str">
        <v>MN</v>
      </c>
      <c r="C11" s="35"/>
      <c r="D11" s="36"/>
      <c r="E11" s="36" t="str">
        <f t="shared" si="0"/>
        <v/>
      </c>
      <c r="F11" s="37" t="str">
        <f t="shared" si="3"/>
        <v/>
      </c>
      <c r="G11" s="38"/>
      <c r="H11" s="38" t="str">
        <f t="shared" si="1"/>
        <v/>
      </c>
      <c r="I11" s="37" t="str">
        <f>IFERROR(H11/G11, "")</f>
        <v/>
      </c>
      <c r="J11" s="50"/>
      <c r="K11" s="51"/>
    </row>
    <row r="12" spans="1:11" ht="15.6">
      <c r="A12" s="43" t="str">
        <v>North Branch - Cornille 2</v>
      </c>
      <c r="B12" s="40" t="str">
        <v>MN</v>
      </c>
      <c r="C12" s="28"/>
      <c r="D12" s="29"/>
      <c r="E12" s="29" t="str">
        <f t="shared" si="0"/>
        <v/>
      </c>
      <c r="F12" s="30" t="str">
        <f t="shared" si="3"/>
        <v/>
      </c>
      <c r="G12" s="31"/>
      <c r="H12" s="31" t="str">
        <f t="shared" si="1"/>
        <v/>
      </c>
      <c r="I12" s="32" t="str">
        <f t="shared" si="2"/>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6"/>
  <sheetViews>
    <sheetView zoomScale="80" zoomScaleNormal="80" workbookViewId="0">
      <pane xSplit="2" ySplit="3" topLeftCell="C6" activePane="bottomRight" state="frozen"/>
      <selection pane="bottomRight" activeCell="H13" sqref="H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4.85546875" customWidth="1"/>
    <col min="11" max="11" width="20.5703125" bestFit="1" customWidth="1"/>
  </cols>
  <sheetData>
    <row r="1" spans="1:11" ht="19.5" customHeight="1">
      <c r="A1" s="106" t="str" cm="1">
        <f t="array" ref="A1">portfolio</f>
        <v>Clean Capital</v>
      </c>
      <c r="B1" s="106"/>
      <c r="C1" s="106"/>
      <c r="D1" s="107" t="s">
        <v>599</v>
      </c>
      <c r="E1" s="107"/>
      <c r="F1" s="107"/>
      <c r="G1" s="105" t="s">
        <v>600</v>
      </c>
      <c r="H1" s="105"/>
      <c r="I1" s="105"/>
      <c r="J1" s="4"/>
      <c r="K1" s="4"/>
    </row>
    <row r="2" spans="1:11" ht="19.5" customHeight="1">
      <c r="A2" s="108" t="s">
        <v>2</v>
      </c>
      <c r="B2" s="108"/>
      <c r="C2" s="5">
        <f>SUM(C4:C84)</f>
        <v>0</v>
      </c>
      <c r="D2" s="5">
        <f>SUM(D4:D84)</f>
        <v>0</v>
      </c>
      <c r="E2" s="5">
        <f>C2-D2</f>
        <v>0</v>
      </c>
      <c r="F2" s="6">
        <f>IFERROR(E2/D2, 0)</f>
        <v>0</v>
      </c>
      <c r="G2" s="5">
        <f>SUM(G4:G84)</f>
        <v>0</v>
      </c>
      <c r="H2" s="7">
        <f>C2-G2</f>
        <v>0</v>
      </c>
      <c r="I2" s="6">
        <f>IFERROR(H2/G2, 0)</f>
        <v>0</v>
      </c>
      <c r="J2" s="11"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85">Sites[Site]</f>
        <v>Lexington - Cotting School</v>
      </c>
      <c r="B4" s="40" t="str" cm="1">
        <f t="array" ref="B4:B85">Sites[State]</f>
        <v>MA</v>
      </c>
      <c r="C4" s="28"/>
      <c r="D4" s="29"/>
      <c r="E4" s="29" t="str">
        <f>IF(AND(ISNUMBER(C4),ISNUMBER(D4)), C4-D4, "")</f>
        <v/>
      </c>
      <c r="F4" s="30" t="str">
        <f>IFERROR(E4/D4, "")</f>
        <v/>
      </c>
      <c r="G4" s="31"/>
      <c r="H4" s="31" t="str">
        <f>IF(AND(ISNUMBER(C4),ISNUMBER(G4)), C4-G4, "")</f>
        <v/>
      </c>
      <c r="I4" s="32" t="str">
        <f>IFERROR(H4/G4, "")</f>
        <v/>
      </c>
      <c r="J4" s="62"/>
      <c r="K4" s="62"/>
    </row>
    <row r="5" spans="1:11" ht="84" customHeight="1">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60"/>
      <c r="K5" s="60"/>
    </row>
    <row r="6" spans="1:11" ht="15.6">
      <c r="A6" s="43" t="str">
        <v>Hyannis - Sturgis Charter School</v>
      </c>
      <c r="B6" s="40" t="str">
        <v>MA</v>
      </c>
      <c r="C6" s="28"/>
      <c r="D6" s="29"/>
      <c r="E6" s="29" t="str">
        <f t="shared" si="0"/>
        <v/>
      </c>
      <c r="F6" s="30" t="str">
        <f t="shared" ref="F6:F12" si="3">IFERROR(E6/D6, "")</f>
        <v/>
      </c>
      <c r="G6" s="31"/>
      <c r="H6" s="31" t="str">
        <f t="shared" si="1"/>
        <v/>
      </c>
      <c r="I6" s="32" t="str">
        <f t="shared" si="2"/>
        <v/>
      </c>
      <c r="J6" s="62"/>
      <c r="K6" s="62"/>
    </row>
    <row r="7" spans="1:11" ht="15.6">
      <c r="A7" s="41" t="str">
        <v>South Dennis - Tony Kent Arena</v>
      </c>
      <c r="B7" s="42" t="str">
        <v>MA</v>
      </c>
      <c r="C7" s="35"/>
      <c r="D7" s="36"/>
      <c r="E7" s="36" t="str">
        <f t="shared" si="0"/>
        <v/>
      </c>
      <c r="F7" s="37" t="str">
        <f t="shared" si="3"/>
        <v/>
      </c>
      <c r="G7" s="38"/>
      <c r="H7" s="38" t="str">
        <f t="shared" si="1"/>
        <v/>
      </c>
      <c r="I7" s="37" t="str">
        <f t="shared" si="2"/>
        <v/>
      </c>
      <c r="J7" s="60"/>
      <c r="K7" s="59"/>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62"/>
      <c r="K8" s="62"/>
    </row>
    <row r="9" spans="1:11" ht="15.6">
      <c r="A9" s="41" t="str">
        <v>Clear Lake - Eastlake Gohman</v>
      </c>
      <c r="B9" s="42" t="str">
        <v>MN</v>
      </c>
      <c r="C9" s="35"/>
      <c r="D9" s="36"/>
      <c r="E9" s="36" t="str">
        <f t="shared" si="0"/>
        <v/>
      </c>
      <c r="F9" s="37" t="str">
        <f t="shared" si="3"/>
        <v/>
      </c>
      <c r="G9" s="38"/>
      <c r="H9" s="38" t="str">
        <f t="shared" si="1"/>
        <v/>
      </c>
      <c r="I9" s="37" t="str">
        <f t="shared" si="2"/>
        <v/>
      </c>
      <c r="J9" s="60"/>
      <c r="K9" s="59"/>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62"/>
      <c r="K10" s="62"/>
    </row>
    <row r="11" spans="1:11" ht="15.6">
      <c r="A11" s="41" t="str">
        <v>Cokato - Eastlake Carlson</v>
      </c>
      <c r="B11" s="42" t="str">
        <v>MN</v>
      </c>
      <c r="C11" s="35"/>
      <c r="D11" s="36"/>
      <c r="E11" s="36" t="str">
        <f t="shared" si="0"/>
        <v/>
      </c>
      <c r="F11" s="37" t="str">
        <f t="shared" si="3"/>
        <v/>
      </c>
      <c r="G11" s="38"/>
      <c r="H11" s="38" t="str">
        <f t="shared" si="1"/>
        <v/>
      </c>
      <c r="I11" s="37" t="str">
        <f t="shared" si="2"/>
        <v/>
      </c>
      <c r="J11" s="60"/>
      <c r="K11" s="59"/>
    </row>
    <row r="12" spans="1:11" ht="51" customHeight="1">
      <c r="A12" s="43" t="str">
        <v>North Branch - Cornille 2</v>
      </c>
      <c r="B12" s="40" t="str">
        <v>MN</v>
      </c>
      <c r="C12" s="28"/>
      <c r="D12" s="29"/>
      <c r="E12" s="29" t="str">
        <f t="shared" si="0"/>
        <v/>
      </c>
      <c r="F12" s="30" t="str">
        <f t="shared" si="3"/>
        <v/>
      </c>
      <c r="G12" s="31"/>
      <c r="H12" s="31" t="str">
        <f t="shared" si="1"/>
        <v/>
      </c>
      <c r="I12" s="32" t="str">
        <f t="shared" si="2"/>
        <v/>
      </c>
      <c r="J12" s="62"/>
      <c r="K12" s="62"/>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6"/>
  <sheetViews>
    <sheetView workbookViewId="0">
      <pane xSplit="2" ySplit="3" topLeftCell="C4" activePane="bottomRight" state="frozen"/>
      <selection pane="bottomRight" activeCell="A13" sqref="A13"/>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6" t="str" cm="1">
        <f t="array" ref="A1">portfolio</f>
        <v>Clean Capital</v>
      </c>
      <c r="B1" s="106"/>
      <c r="C1" s="106"/>
      <c r="D1" s="107" t="s">
        <v>601</v>
      </c>
      <c r="E1" s="107"/>
      <c r="F1" s="107"/>
      <c r="G1" s="105" t="s">
        <v>602</v>
      </c>
      <c r="H1" s="105"/>
      <c r="I1" s="105"/>
      <c r="J1" s="4"/>
      <c r="K1" s="4"/>
    </row>
    <row r="2" spans="1:11" ht="19.5" customHeight="1">
      <c r="A2" s="108" t="s">
        <v>2</v>
      </c>
      <c r="B2" s="108"/>
      <c r="C2" s="5">
        <f>SUM(C4:C84)</f>
        <v>0</v>
      </c>
      <c r="D2" s="5">
        <f>SUM(D4:D84)</f>
        <v>0</v>
      </c>
      <c r="E2" s="5">
        <f>C2-D2</f>
        <v>0</v>
      </c>
      <c r="F2" s="6">
        <f>IFERROR(E2/D2, 0)</f>
        <v>0</v>
      </c>
      <c r="G2" s="5">
        <f>SUM(G4:G84)</f>
        <v>0</v>
      </c>
      <c r="H2" s="7">
        <f>C2-G2</f>
        <v>0</v>
      </c>
      <c r="I2" s="6">
        <f>IFERROR(H2/G2, 0)</f>
        <v>0</v>
      </c>
      <c r="J2" s="11"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85">Sites[Site]</f>
        <v>Lexington - Cotting School</v>
      </c>
      <c r="B4" s="40" t="str" cm="1">
        <f t="array" ref="B4:B85">Sites[State]</f>
        <v>MA</v>
      </c>
      <c r="C4" s="28"/>
      <c r="D4" s="29"/>
      <c r="E4" s="29" t="str">
        <f>IF(AND(ISNUMBER(C4),ISNUMBER(D4)), C4-D4, "")</f>
        <v/>
      </c>
      <c r="F4" s="30" t="str">
        <f>IFERROR(E4/D4, "")</f>
        <v/>
      </c>
      <c r="G4" s="31"/>
      <c r="H4" s="31" t="str">
        <f>IF(AND(ISNUMBER(C4),ISNUMBER(G4)), C4-G4, "")</f>
        <v/>
      </c>
      <c r="I4" s="32" t="str">
        <f>IFERROR(H4/G4, "")</f>
        <v/>
      </c>
      <c r="J4" s="62"/>
      <c r="K4" s="62"/>
    </row>
    <row r="5" spans="1:11" ht="15.6">
      <c r="A5" s="41" t="str">
        <v>Pacoima - Whiteman Airport</v>
      </c>
      <c r="B5" s="42" t="str">
        <v>CA</v>
      </c>
      <c r="C5" s="35"/>
      <c r="D5" s="36"/>
      <c r="E5" s="36" t="str">
        <f t="shared" ref="E5:E12" si="0">IF(AND(ISNUMBER(C5),ISNUMBER(D5)), C5-D5, "")</f>
        <v/>
      </c>
      <c r="F5" s="37" t="str">
        <f>IFERROR(E5/D5, "")</f>
        <v/>
      </c>
      <c r="G5" s="38"/>
      <c r="H5" s="38" t="str">
        <f t="shared" ref="H5:H12" si="1">IF(AND(ISNUMBER(C5),ISNUMBER(G5)), C5-G5, "")</f>
        <v/>
      </c>
      <c r="I5" s="37" t="str">
        <f t="shared" ref="I5:I12" si="2">IFERROR(H5/G5, "")</f>
        <v/>
      </c>
      <c r="J5" s="60"/>
      <c r="K5" s="60"/>
    </row>
    <row r="6" spans="1:11" ht="49.5" customHeight="1">
      <c r="A6" s="43" t="str">
        <v>Hyannis - Sturgis Charter School</v>
      </c>
      <c r="B6" s="40" t="str">
        <v>MA</v>
      </c>
      <c r="C6" s="28"/>
      <c r="D6" s="29"/>
      <c r="E6" s="29" t="str">
        <f t="shared" si="0"/>
        <v/>
      </c>
      <c r="F6" s="30" t="str">
        <f t="shared" ref="F6:F12" si="3">IFERROR(E6/D6, "")</f>
        <v/>
      </c>
      <c r="G6" s="31"/>
      <c r="H6" s="31" t="str">
        <f t="shared" si="1"/>
        <v/>
      </c>
      <c r="I6" s="32" t="str">
        <f t="shared" si="2"/>
        <v/>
      </c>
      <c r="J6" s="62"/>
      <c r="K6" s="62"/>
    </row>
    <row r="7" spans="1:11" ht="15.6">
      <c r="A7" s="41" t="str">
        <v>South Dennis - Tony Kent Arena</v>
      </c>
      <c r="B7" s="42" t="str">
        <v>MA</v>
      </c>
      <c r="C7" s="35"/>
      <c r="D7" s="36"/>
      <c r="E7" s="36" t="str">
        <f t="shared" si="0"/>
        <v/>
      </c>
      <c r="F7" s="37" t="str">
        <f t="shared" si="3"/>
        <v/>
      </c>
      <c r="G7" s="38"/>
      <c r="H7" s="38" t="str">
        <f t="shared" si="1"/>
        <v/>
      </c>
      <c r="I7" s="37" t="str">
        <f t="shared" si="2"/>
        <v/>
      </c>
      <c r="J7" s="60"/>
      <c r="K7" s="59"/>
    </row>
    <row r="8" spans="1:11" ht="15.6">
      <c r="A8" s="43" t="str">
        <v xml:space="preserve"> Caropolis - Felician Sisters</v>
      </c>
      <c r="B8" s="40" t="str">
        <v>PA</v>
      </c>
      <c r="C8" s="28"/>
      <c r="D8" s="29"/>
      <c r="E8" s="29" t="str">
        <f t="shared" si="0"/>
        <v/>
      </c>
      <c r="F8" s="30" t="str">
        <f t="shared" si="3"/>
        <v/>
      </c>
      <c r="G8" s="31"/>
      <c r="H8" s="31" t="str">
        <f t="shared" si="1"/>
        <v/>
      </c>
      <c r="I8" s="32" t="str">
        <f t="shared" si="2"/>
        <v/>
      </c>
      <c r="J8" s="62"/>
      <c r="K8" s="62"/>
    </row>
    <row r="9" spans="1:11" ht="15.6">
      <c r="A9" s="41" t="str">
        <v>Clear Lake - Eastlake Gohman</v>
      </c>
      <c r="B9" s="42" t="str">
        <v>MN</v>
      </c>
      <c r="C9" s="35"/>
      <c r="D9" s="36"/>
      <c r="E9" s="36" t="str">
        <f t="shared" si="0"/>
        <v/>
      </c>
      <c r="F9" s="37" t="str">
        <f t="shared" si="3"/>
        <v/>
      </c>
      <c r="G9" s="38"/>
      <c r="H9" s="38" t="str">
        <f t="shared" si="1"/>
        <v/>
      </c>
      <c r="I9" s="37" t="str">
        <f t="shared" si="2"/>
        <v/>
      </c>
      <c r="J9" s="60"/>
      <c r="K9" s="63"/>
    </row>
    <row r="10" spans="1:11" ht="15.6">
      <c r="A10" s="43" t="str">
        <v>Zumbrota - Eastlake Brenda Luhman</v>
      </c>
      <c r="B10" s="40" t="str">
        <v>MN</v>
      </c>
      <c r="C10" s="28"/>
      <c r="D10" s="29"/>
      <c r="E10" s="29" t="str">
        <f t="shared" si="0"/>
        <v/>
      </c>
      <c r="F10" s="30" t="str">
        <f t="shared" si="3"/>
        <v/>
      </c>
      <c r="G10" s="31"/>
      <c r="H10" s="31" t="str">
        <f t="shared" si="1"/>
        <v/>
      </c>
      <c r="I10" s="32" t="str">
        <f t="shared" si="2"/>
        <v/>
      </c>
      <c r="J10" s="62"/>
      <c r="K10" s="62"/>
    </row>
    <row r="11" spans="1:11" ht="15.6">
      <c r="A11" s="41" t="str">
        <v>Cokato - Eastlake Carlson</v>
      </c>
      <c r="B11" s="42" t="str">
        <v>MN</v>
      </c>
      <c r="C11" s="35"/>
      <c r="D11" s="36"/>
      <c r="E11" s="36" t="str">
        <f t="shared" si="0"/>
        <v/>
      </c>
      <c r="F11" s="37" t="str">
        <f t="shared" si="3"/>
        <v/>
      </c>
      <c r="G11" s="38"/>
      <c r="H11" s="38" t="str">
        <f t="shared" si="1"/>
        <v/>
      </c>
      <c r="I11" s="37" t="str">
        <f t="shared" si="2"/>
        <v/>
      </c>
      <c r="J11" s="60"/>
      <c r="K11" s="59"/>
    </row>
    <row r="12" spans="1:11" ht="123" customHeight="1">
      <c r="A12" s="43" t="str">
        <v>North Branch - Cornille 2</v>
      </c>
      <c r="B12" s="40" t="str">
        <v>MN</v>
      </c>
      <c r="C12" s="28"/>
      <c r="D12" s="29"/>
      <c r="E12" s="29" t="str">
        <f t="shared" si="0"/>
        <v/>
      </c>
      <c r="F12" s="30" t="str">
        <f t="shared" si="3"/>
        <v/>
      </c>
      <c r="G12" s="31"/>
      <c r="H12" s="31" t="str">
        <f t="shared" si="1"/>
        <v/>
      </c>
      <c r="I12" s="32" t="str">
        <f t="shared" si="2"/>
        <v/>
      </c>
      <c r="J12" s="62"/>
      <c r="K12" s="62"/>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6"/>
  <sheetViews>
    <sheetView workbookViewId="0">
      <pane xSplit="2" ySplit="3" topLeftCell="C4" activePane="bottomRight" state="frozen"/>
      <selection pane="bottomRight" activeCell="A13" sqref="A13:XFD20"/>
      <selection pane="bottomLeft" activeCell="H13" sqref="H13"/>
      <selection pane="topRight" activeCell="H13" sqref="H13"/>
    </sheetView>
  </sheetViews>
  <sheetFormatPr defaultRowHeight="13.9"/>
  <cols>
    <col min="1" max="1" width="35.85546875" bestFit="1" customWidth="1"/>
    <col min="2" max="2" width="8.42578125" style="14"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106" t="str" cm="1">
        <f t="array" ref="A1">portfolio</f>
        <v>Clean Capital</v>
      </c>
      <c r="B1" s="106"/>
      <c r="C1" s="106"/>
      <c r="D1" s="107" t="s">
        <v>603</v>
      </c>
      <c r="E1" s="107"/>
      <c r="F1" s="107"/>
      <c r="G1" s="105" t="s">
        <v>604</v>
      </c>
      <c r="H1" s="105"/>
      <c r="I1" s="105"/>
      <c r="J1" s="4"/>
      <c r="K1" s="4"/>
    </row>
    <row r="2" spans="1:11" ht="19.5" customHeight="1">
      <c r="A2" s="108" t="s">
        <v>2</v>
      </c>
      <c r="B2" s="108"/>
      <c r="C2" s="5">
        <f>SUM(C4:C84)</f>
        <v>0</v>
      </c>
      <c r="D2" s="5">
        <f>SUM(D4:D84)</f>
        <v>0</v>
      </c>
      <c r="E2" s="5">
        <f>C2-D2</f>
        <v>0</v>
      </c>
      <c r="F2" s="6">
        <f>IFERROR(E2/D2, 0)</f>
        <v>0</v>
      </c>
      <c r="G2" s="5">
        <f>SUM(G4:G84)</f>
        <v>0</v>
      </c>
      <c r="H2" s="7">
        <f>C2-G2</f>
        <v>0</v>
      </c>
      <c r="I2" s="6">
        <f>IFERROR(H2/G2, 0)</f>
        <v>0</v>
      </c>
      <c r="J2" s="11"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2" t="s">
        <v>3</v>
      </c>
      <c r="B3" s="12" t="s">
        <v>4</v>
      </c>
      <c r="C3" s="19" t="s">
        <v>5</v>
      </c>
      <c r="D3" s="20" t="s">
        <v>6</v>
      </c>
      <c r="E3" s="20" t="s">
        <v>7</v>
      </c>
      <c r="F3" s="21" t="s">
        <v>8</v>
      </c>
      <c r="G3" s="22" t="s">
        <v>9</v>
      </c>
      <c r="H3" s="23" t="s">
        <v>7</v>
      </c>
      <c r="I3" s="24" t="s">
        <v>8</v>
      </c>
      <c r="J3" s="10" t="s">
        <v>42</v>
      </c>
      <c r="K3" s="10" t="s">
        <v>21</v>
      </c>
    </row>
    <row r="4" spans="1:11" ht="15.6">
      <c r="A4" s="39" t="str" cm="1">
        <f t="array" ref="A4:A85">Sites[Site]</f>
        <v>Lexington - Cotting School</v>
      </c>
      <c r="B4" s="40" t="str" cm="1">
        <f t="array" ref="B4:B85">Sites[State]</f>
        <v>MA</v>
      </c>
      <c r="C4" s="28"/>
      <c r="D4" s="29"/>
      <c r="E4" s="29" t="str">
        <f>IF(AND(ISNUMBER(C4),ISNUMBER(D4)), C4-D4, "")</f>
        <v/>
      </c>
      <c r="F4" s="30" t="str">
        <f>IFERROR(E4/D4, "")</f>
        <v/>
      </c>
      <c r="G4" s="31"/>
      <c r="H4" s="31" t="str">
        <f>IF(AND(ISNUMBER(C4),ISNUMBER(G4)), C4-G4, "")</f>
        <v/>
      </c>
      <c r="I4" s="32" t="str">
        <f>IFERROR(H4/G4, "")</f>
        <v/>
      </c>
      <c r="J4" s="49"/>
      <c r="K4" s="49"/>
    </row>
    <row r="5" spans="1:11" ht="15.6">
      <c r="A5" s="41" t="str">
        <v>Pacoima - Whiteman Airport</v>
      </c>
      <c r="B5" s="42" t="str">
        <v>CA</v>
      </c>
      <c r="C5" s="35"/>
      <c r="D5" s="36"/>
      <c r="E5" s="36" t="str">
        <f t="shared" ref="E5:E12" si="0">IF(AND(ISNUMBER(C5),ISNUMBER(D5)), C5-D5, "")</f>
        <v/>
      </c>
      <c r="F5" s="37" t="str">
        <f t="shared" ref="F5:F12" si="1">IFERROR(E5/D5, "")</f>
        <v/>
      </c>
      <c r="G5" s="38"/>
      <c r="H5" s="38" t="str">
        <f t="shared" ref="H5:H12" si="2">IF(AND(ISNUMBER(C5),ISNUMBER(G5)), C5-G5, "")</f>
        <v/>
      </c>
      <c r="I5" s="37" t="str">
        <f t="shared" ref="I5:I12" si="3">IFERROR(H5/G5, "")</f>
        <v/>
      </c>
      <c r="J5" s="60"/>
      <c r="K5" s="60"/>
    </row>
    <row r="6" spans="1:11" ht="15.6">
      <c r="A6" s="43" t="str">
        <v>Hyannis - Sturgis Charter School</v>
      </c>
      <c r="B6" s="40" t="str">
        <v>MA</v>
      </c>
      <c r="C6" s="28"/>
      <c r="D6" s="29"/>
      <c r="E6" s="29" t="str">
        <f t="shared" si="0"/>
        <v/>
      </c>
      <c r="F6" s="30" t="str">
        <f t="shared" si="1"/>
        <v/>
      </c>
      <c r="G6" s="31"/>
      <c r="H6" s="31" t="str">
        <f t="shared" si="2"/>
        <v/>
      </c>
      <c r="I6" s="32" t="str">
        <f t="shared" si="3"/>
        <v/>
      </c>
      <c r="J6" s="49"/>
      <c r="K6" s="49"/>
    </row>
    <row r="7" spans="1:11" ht="15.6">
      <c r="A7" s="41" t="str">
        <v>South Dennis - Tony Kent Arena</v>
      </c>
      <c r="B7" s="42" t="str">
        <v>MA</v>
      </c>
      <c r="C7" s="35"/>
      <c r="D7" s="36"/>
      <c r="E7" s="36" t="str">
        <f t="shared" si="0"/>
        <v/>
      </c>
      <c r="F7" s="37" t="str">
        <f t="shared" si="1"/>
        <v/>
      </c>
      <c r="G7" s="38"/>
      <c r="H7" s="38" t="str">
        <f t="shared" si="2"/>
        <v/>
      </c>
      <c r="I7" s="37" t="str">
        <f t="shared" si="3"/>
        <v/>
      </c>
      <c r="J7" s="60"/>
      <c r="K7" s="60"/>
    </row>
    <row r="8" spans="1:11" ht="15.6">
      <c r="A8" s="43" t="str">
        <v xml:space="preserve"> Caropolis - Felician Sisters</v>
      </c>
      <c r="B8" s="40" t="str">
        <v>PA</v>
      </c>
      <c r="C8" s="28"/>
      <c r="D8" s="29"/>
      <c r="E8" s="29" t="str">
        <f t="shared" si="0"/>
        <v/>
      </c>
      <c r="F8" s="30" t="str">
        <f t="shared" si="1"/>
        <v/>
      </c>
      <c r="G8" s="31"/>
      <c r="H8" s="31" t="str">
        <f t="shared" si="2"/>
        <v/>
      </c>
      <c r="I8" s="32" t="str">
        <f t="shared" si="3"/>
        <v/>
      </c>
      <c r="J8" s="49"/>
      <c r="K8" s="49"/>
    </row>
    <row r="9" spans="1:11" ht="15.6">
      <c r="A9" s="41" t="str">
        <v>Clear Lake - Eastlake Gohman</v>
      </c>
      <c r="B9" s="42" t="str">
        <v>MN</v>
      </c>
      <c r="C9" s="35"/>
      <c r="D9" s="36"/>
      <c r="E9" s="36" t="str">
        <f t="shared" si="0"/>
        <v/>
      </c>
      <c r="F9" s="37" t="str">
        <f t="shared" si="1"/>
        <v/>
      </c>
      <c r="G9" s="38"/>
      <c r="H9" s="38" t="str">
        <f t="shared" si="2"/>
        <v/>
      </c>
      <c r="I9" s="37" t="str">
        <f t="shared" si="3"/>
        <v/>
      </c>
      <c r="J9" s="60"/>
      <c r="K9" s="60"/>
    </row>
    <row r="10" spans="1:11" ht="15.6">
      <c r="A10" s="43" t="str">
        <v>Zumbrota - Eastlake Brenda Luhman</v>
      </c>
      <c r="B10" s="40" t="str">
        <v>MN</v>
      </c>
      <c r="C10" s="28"/>
      <c r="D10" s="29"/>
      <c r="E10" s="29" t="str">
        <f t="shared" si="0"/>
        <v/>
      </c>
      <c r="F10" s="30" t="str">
        <f t="shared" si="1"/>
        <v/>
      </c>
      <c r="G10" s="31"/>
      <c r="H10" s="31" t="str">
        <f t="shared" si="2"/>
        <v/>
      </c>
      <c r="I10" s="32" t="str">
        <f t="shared" si="3"/>
        <v/>
      </c>
      <c r="J10" s="49"/>
      <c r="K10" s="49"/>
    </row>
    <row r="11" spans="1:11" ht="15.6">
      <c r="A11" s="41" t="str">
        <v>Cokato - Eastlake Carlson</v>
      </c>
      <c r="B11" s="42" t="str">
        <v>MN</v>
      </c>
      <c r="C11" s="35"/>
      <c r="D11" s="36"/>
      <c r="E11" s="36" t="str">
        <f t="shared" si="0"/>
        <v/>
      </c>
      <c r="F11" s="37" t="str">
        <f t="shared" si="1"/>
        <v/>
      </c>
      <c r="G11" s="38"/>
      <c r="H11" s="38" t="str">
        <f t="shared" si="2"/>
        <v/>
      </c>
      <c r="I11" s="37" t="str">
        <f t="shared" si="3"/>
        <v/>
      </c>
      <c r="J11" s="60"/>
      <c r="K11" s="60"/>
    </row>
    <row r="12" spans="1:11" ht="15.6">
      <c r="A12" s="43" t="str">
        <v>North Branch - Cornille 2</v>
      </c>
      <c r="B12" s="40" t="str">
        <v>MN</v>
      </c>
      <c r="C12" s="28"/>
      <c r="D12" s="29"/>
      <c r="E12" s="29" t="str">
        <f t="shared" si="0"/>
        <v/>
      </c>
      <c r="F12" s="30" t="str">
        <f t="shared" si="1"/>
        <v/>
      </c>
      <c r="G12" s="31"/>
      <c r="H12" s="31" t="str">
        <f t="shared" si="2"/>
        <v/>
      </c>
      <c r="I12" s="32" t="str">
        <f t="shared" si="3"/>
        <v/>
      </c>
      <c r="J12" s="49"/>
      <c r="K12" s="49"/>
    </row>
    <row r="13" spans="1:11" ht="14.45">
      <c r="A13" s="8" t="str">
        <v>Clear Lake - Eastlake Hammer</v>
      </c>
      <c r="B13" s="13" t="str">
        <v>MN</v>
      </c>
      <c r="C13" s="8"/>
      <c r="D13" s="8"/>
      <c r="E13" s="8"/>
      <c r="F13" s="8"/>
      <c r="G13" s="8"/>
      <c r="H13" s="8"/>
      <c r="I13" s="8"/>
      <c r="J13" s="8"/>
      <c r="K13" s="8"/>
    </row>
    <row r="14" spans="1:11" ht="14.45">
      <c r="A14" s="8" t="str">
        <v>Eastlake - Hertzberg CSG 1</v>
      </c>
      <c r="B14" s="13" t="str">
        <v>MN</v>
      </c>
      <c r="C14" s="8"/>
      <c r="D14" s="8"/>
      <c r="E14" s="8"/>
      <c r="F14" s="8"/>
      <c r="G14" s="8"/>
      <c r="H14" s="8"/>
      <c r="I14" s="8"/>
      <c r="J14" s="8"/>
      <c r="K14" s="8"/>
    </row>
    <row r="15" spans="1:11" ht="14.45">
      <c r="A15" s="8" t="str">
        <v>Cokato - Eastlake Laurel Village</v>
      </c>
      <c r="B15" s="13" t="str">
        <v>MN</v>
      </c>
      <c r="C15" s="8"/>
      <c r="D15" s="8"/>
      <c r="E15" s="8"/>
      <c r="F15" s="8"/>
      <c r="G15" s="8"/>
      <c r="H15" s="8"/>
      <c r="I15" s="8"/>
      <c r="J15" s="8"/>
      <c r="K15" s="8"/>
    </row>
    <row r="16" spans="1:11" ht="14.45">
      <c r="A16" s="8" t="str">
        <v>St. Peter - Eastlake Paulson</v>
      </c>
      <c r="B16" s="13" t="str">
        <v>MN</v>
      </c>
      <c r="C16" s="8"/>
      <c r="D16" s="8"/>
      <c r="E16" s="8"/>
      <c r="F16" s="8"/>
      <c r="G16" s="8"/>
      <c r="H16" s="8"/>
      <c r="I16" s="8"/>
      <c r="J16" s="8"/>
      <c r="K16" s="8"/>
    </row>
    <row r="17" spans="1:11" ht="14.45">
      <c r="A17" s="8" t="str">
        <v>Felician Sisters Convent</v>
      </c>
      <c r="B17" s="13" t="str">
        <v>NJ</v>
      </c>
      <c r="C17" s="8"/>
      <c r="D17" s="8"/>
      <c r="E17" s="8"/>
      <c r="F17" s="9"/>
      <c r="G17" s="8"/>
      <c r="H17" s="8"/>
      <c r="I17" s="9"/>
      <c r="J17" s="8"/>
      <c r="K17" s="8"/>
    </row>
    <row r="18" spans="1:11" ht="14.45">
      <c r="A18" s="8" t="str">
        <v>Sussex County Fairgrounds</v>
      </c>
      <c r="B18" s="13" t="str">
        <v>NJ</v>
      </c>
      <c r="C18" s="8"/>
      <c r="D18" s="8"/>
      <c r="E18" s="8"/>
      <c r="F18" s="9"/>
      <c r="G18" s="8"/>
      <c r="H18" s="8"/>
      <c r="I18" s="9"/>
      <c r="J18" s="8"/>
      <c r="K18" s="8"/>
    </row>
    <row r="19" spans="1:11" ht="14.45">
      <c r="A19" s="8" t="str">
        <v>Gateway Church</v>
      </c>
      <c r="B19" s="13" t="str">
        <v>NJ</v>
      </c>
      <c r="C19" s="8"/>
      <c r="D19" s="8"/>
      <c r="E19" s="8"/>
      <c r="F19" s="9"/>
      <c r="G19" s="8"/>
      <c r="H19" s="8"/>
      <c r="I19" s="9"/>
      <c r="J19" s="8"/>
      <c r="K19" s="8"/>
    </row>
    <row r="20" spans="1:11" ht="14.45">
      <c r="A20" s="8" t="str">
        <v>Beaver Falls - Felician Sisters</v>
      </c>
      <c r="B20" s="13" t="str">
        <v>PA</v>
      </c>
      <c r="C20" s="8"/>
      <c r="D20" s="8"/>
      <c r="E20" s="8"/>
      <c r="F20" s="9"/>
      <c r="G20" s="8"/>
      <c r="H20" s="8"/>
      <c r="I20" s="9"/>
      <c r="J20" s="8"/>
      <c r="K20" s="8"/>
    </row>
    <row r="21" spans="1:11" ht="14.45">
      <c r="A21" s="8" t="str">
        <v>Livonia - Felician Sisters Ground</v>
      </c>
      <c r="B21" s="13" t="str">
        <v>MI</v>
      </c>
      <c r="C21" s="8"/>
      <c r="D21" s="8"/>
      <c r="E21" s="8"/>
      <c r="F21" s="9"/>
      <c r="G21" s="8"/>
      <c r="H21" s="8"/>
      <c r="I21" s="9"/>
      <c r="J21" s="8"/>
      <c r="K21" s="8"/>
    </row>
    <row r="22" spans="1:11" ht="14.45">
      <c r="A22" s="8" t="str">
        <v>Livonia - Felician Sisters Roof</v>
      </c>
      <c r="B22" s="13" t="str">
        <v>MI</v>
      </c>
      <c r="C22" s="8"/>
      <c r="D22" s="8"/>
      <c r="E22" s="8"/>
      <c r="F22" s="9"/>
      <c r="G22" s="8"/>
      <c r="H22" s="8"/>
      <c r="I22" s="9"/>
      <c r="J22" s="8"/>
      <c r="K22" s="8"/>
    </row>
    <row r="23" spans="1:11" ht="14.45">
      <c r="A23" s="8" t="str">
        <v>Monmouth Worship Ctr</v>
      </c>
      <c r="B23" s="13" t="str">
        <v>NJ</v>
      </c>
      <c r="C23" s="8"/>
      <c r="D23" s="8"/>
      <c r="E23" s="8"/>
      <c r="F23" s="9"/>
      <c r="G23" s="8"/>
      <c r="H23" s="8"/>
      <c r="I23" s="9"/>
      <c r="J23" s="8"/>
      <c r="K23" s="8"/>
    </row>
    <row r="24" spans="1:11" ht="14.45">
      <c r="A24" s="8" t="str">
        <v xml:space="preserve"> Audubon - Senior Citizens United</v>
      </c>
      <c r="B24" s="13" t="str">
        <v>NJ</v>
      </c>
      <c r="C24" s="8"/>
      <c r="D24" s="8"/>
      <c r="E24" s="8"/>
      <c r="F24" s="9"/>
      <c r="G24" s="8"/>
      <c r="H24" s="8"/>
      <c r="I24" s="9"/>
      <c r="J24" s="8"/>
      <c r="K24" s="8"/>
    </row>
    <row r="25" spans="1:11" ht="14.45">
      <c r="A25" s="8" t="str">
        <v>Hollister - PG&amp;E (Enerparc)</v>
      </c>
      <c r="B25" s="13" t="str">
        <v>CA</v>
      </c>
      <c r="C25" s="8"/>
      <c r="D25" s="8"/>
      <c r="E25" s="8"/>
      <c r="F25" s="9"/>
      <c r="G25" s="8"/>
      <c r="H25" s="8"/>
      <c r="I25" s="9"/>
      <c r="J25" s="8"/>
      <c r="K25" s="8"/>
    </row>
    <row r="26" spans="1:11" ht="14.45">
      <c r="A26" s="8" t="str">
        <v>Taos County - Kit Carson Electric Co-Op</v>
      </c>
      <c r="B26" s="13" t="str">
        <v>NM</v>
      </c>
      <c r="C26" s="8"/>
      <c r="D26" s="8"/>
      <c r="E26" s="8"/>
      <c r="F26" s="9"/>
      <c r="G26" s="8"/>
      <c r="H26" s="8"/>
      <c r="I26" s="9"/>
      <c r="J26" s="8"/>
      <c r="K26" s="8"/>
    </row>
    <row r="27" spans="1:11" ht="14.45">
      <c r="A27" s="8" t="str">
        <v>Commerce City - Adams City HS</v>
      </c>
      <c r="B27" s="13" t="str">
        <v>CO</v>
      </c>
      <c r="C27" s="8"/>
      <c r="D27" s="8"/>
      <c r="E27" s="8"/>
      <c r="F27" s="9"/>
      <c r="G27" s="8"/>
      <c r="H27" s="8"/>
      <c r="I27" s="9"/>
      <c r="J27" s="8"/>
      <c r="K27" s="8"/>
    </row>
    <row r="28" spans="1:11" ht="14.45">
      <c r="A28" s="8" t="str">
        <v>Commerce City - Adams City MS</v>
      </c>
      <c r="B28" s="13" t="str">
        <v>CO</v>
      </c>
      <c r="C28" s="8"/>
      <c r="D28" s="8"/>
      <c r="E28" s="8"/>
      <c r="F28" s="9"/>
      <c r="G28" s="8"/>
      <c r="H28" s="8"/>
      <c r="I28" s="9"/>
      <c r="J28" s="8"/>
      <c r="K28" s="8"/>
    </row>
    <row r="29" spans="1:11" ht="14.45">
      <c r="A29" s="8" t="str">
        <v>Commerce City - Central ES</v>
      </c>
      <c r="B29" s="13" t="str">
        <v>CO</v>
      </c>
      <c r="C29" s="8"/>
      <c r="D29" s="8"/>
      <c r="E29" s="8"/>
      <c r="F29" s="9"/>
      <c r="G29" s="8"/>
      <c r="H29" s="8"/>
      <c r="I29" s="9"/>
      <c r="J29" s="8"/>
      <c r="K29" s="8"/>
    </row>
    <row r="30" spans="1:11" ht="14.45">
      <c r="A30" s="8" t="str">
        <v>Commerce City - Dupont ES</v>
      </c>
      <c r="B30" s="13" t="str">
        <v>CO</v>
      </c>
      <c r="C30" s="8"/>
      <c r="D30" s="8"/>
      <c r="E30" s="8"/>
      <c r="F30" s="9"/>
      <c r="G30" s="8"/>
      <c r="H30" s="8"/>
      <c r="I30" s="9"/>
      <c r="J30" s="8"/>
      <c r="K30" s="8"/>
    </row>
    <row r="31" spans="1:11" ht="14.45">
      <c r="A31" s="8" t="str">
        <v>Commerce City - Educational Support Services</v>
      </c>
      <c r="B31" s="13" t="str">
        <v>CO</v>
      </c>
      <c r="C31" s="8"/>
      <c r="D31" s="8"/>
      <c r="E31" s="8"/>
      <c r="F31" s="9"/>
      <c r="G31" s="8"/>
      <c r="H31" s="8"/>
      <c r="I31" s="9"/>
      <c r="J31" s="8"/>
      <c r="K31" s="8"/>
    </row>
    <row r="32" spans="1:11" ht="14.45">
      <c r="A32" s="8" t="str">
        <v>Commerce City - Hanson ES</v>
      </c>
      <c r="B32" s="13" t="str">
        <v>CO</v>
      </c>
      <c r="C32" s="8"/>
      <c r="D32" s="8"/>
      <c r="E32" s="8"/>
      <c r="F32" s="9"/>
      <c r="G32" s="8"/>
      <c r="H32" s="8"/>
      <c r="I32" s="9"/>
      <c r="J32" s="8"/>
      <c r="K32" s="8"/>
    </row>
    <row r="33" spans="1:11" ht="14.45">
      <c r="A33" s="8" t="str">
        <v>Commerce City - Kemp ES</v>
      </c>
      <c r="B33" s="13" t="str">
        <v>CO</v>
      </c>
      <c r="C33" s="8"/>
      <c r="D33" s="8"/>
      <c r="E33" s="8"/>
      <c r="F33" s="9"/>
      <c r="G33" s="8"/>
      <c r="H33" s="8"/>
      <c r="I33" s="9"/>
      <c r="J33" s="8"/>
      <c r="K33" s="8"/>
    </row>
    <row r="34" spans="1:11" ht="14.45">
      <c r="A34" s="8" t="str">
        <v>Commerce City -  Lester Arnold HS</v>
      </c>
      <c r="B34" s="13" t="str">
        <v>CO</v>
      </c>
      <c r="C34" s="8"/>
      <c r="D34" s="8"/>
      <c r="E34" s="8"/>
      <c r="F34" s="9"/>
      <c r="G34" s="8"/>
      <c r="H34" s="8"/>
      <c r="I34" s="9"/>
      <c r="J34" s="8"/>
      <c r="K34" s="8"/>
    </row>
    <row r="35" spans="1:11" ht="14.45">
      <c r="A35" s="8" t="str">
        <v>Commerce City - Monaco ES</v>
      </c>
      <c r="B35" s="13" t="str">
        <v>CO</v>
      </c>
      <c r="C35" s="8"/>
      <c r="D35" s="8"/>
      <c r="E35" s="8"/>
      <c r="F35" s="9"/>
      <c r="G35" s="8"/>
      <c r="H35" s="8"/>
      <c r="I35" s="9"/>
      <c r="J35" s="8"/>
      <c r="K35" s="8"/>
    </row>
    <row r="36" spans="1:11" ht="14.45">
      <c r="A36" s="8" t="str">
        <v>Denver - Northgate / Old Fort Logan ES</v>
      </c>
      <c r="B36" s="13" t="str">
        <v>CO</v>
      </c>
      <c r="C36" s="8"/>
      <c r="D36" s="8"/>
      <c r="E36" s="8"/>
      <c r="F36" s="9"/>
      <c r="G36" s="8"/>
      <c r="H36" s="8"/>
      <c r="I36" s="9"/>
      <c r="J36" s="8"/>
      <c r="K36" s="8"/>
    </row>
    <row r="37" spans="1:11" ht="14.45">
      <c r="A37" s="8" t="str">
        <v>Denver - Sheridan High School</v>
      </c>
      <c r="B37" s="13" t="str">
        <v>CO</v>
      </c>
      <c r="C37" s="8"/>
      <c r="D37" s="8"/>
      <c r="E37" s="8"/>
      <c r="F37" s="9"/>
      <c r="G37" s="8"/>
      <c r="H37" s="8"/>
      <c r="I37" s="9"/>
      <c r="J37" s="8"/>
      <c r="K37" s="8"/>
    </row>
    <row r="38" spans="1:11" ht="14.45">
      <c r="A38" s="8" t="str">
        <v>Englewood -  Alice Terry Elementary</v>
      </c>
      <c r="B38" s="13" t="str">
        <v>CO</v>
      </c>
      <c r="C38" s="8"/>
      <c r="D38" s="8"/>
      <c r="E38" s="8"/>
      <c r="F38" s="9"/>
      <c r="G38" s="8"/>
      <c r="H38" s="8"/>
      <c r="I38" s="9"/>
      <c r="J38" s="8"/>
      <c r="K38" s="8"/>
    </row>
    <row r="39" spans="1:11" ht="14.45">
      <c r="A39" s="8" t="str">
        <v>Englewood - Sheridan Middle School</v>
      </c>
      <c r="B39" s="13" t="str">
        <v>CO</v>
      </c>
      <c r="C39" s="8"/>
      <c r="D39" s="8"/>
      <c r="E39" s="8"/>
      <c r="F39" s="9"/>
      <c r="G39" s="8"/>
      <c r="H39" s="8"/>
      <c r="I39" s="9"/>
      <c r="J39" s="8"/>
      <c r="K39" s="8"/>
    </row>
    <row r="40" spans="1:11" ht="14.45">
      <c r="A40" s="8" t="str">
        <v>Goshen - NIPSCO</v>
      </c>
      <c r="B40" s="13" t="str">
        <v>IN</v>
      </c>
      <c r="C40" s="8"/>
      <c r="D40" s="8"/>
      <c r="E40" s="8"/>
      <c r="F40" s="9"/>
      <c r="G40" s="8"/>
      <c r="H40" s="8"/>
      <c r="I40" s="9"/>
      <c r="J40" s="8"/>
      <c r="K40" s="8"/>
    </row>
    <row r="41" spans="1:11" ht="14.45">
      <c r="A41" s="8" t="str">
        <v>Alamogordo - City of Alamogordo - Effluent</v>
      </c>
      <c r="B41" s="13" t="str">
        <v>NM</v>
      </c>
      <c r="C41" s="8"/>
      <c r="D41" s="8"/>
      <c r="E41" s="8"/>
      <c r="F41" s="9"/>
      <c r="G41" s="8"/>
      <c r="H41" s="8"/>
      <c r="I41" s="9"/>
      <c r="J41" s="8"/>
      <c r="K41" s="8"/>
    </row>
    <row r="42" spans="1:11" ht="14.45">
      <c r="A42" s="8" t="str">
        <v>Alamogordo - City of Alamogordo - WWTP</v>
      </c>
      <c r="B42" s="13" t="str">
        <v>NM</v>
      </c>
      <c r="C42" s="8"/>
      <c r="D42" s="8"/>
      <c r="E42" s="8"/>
      <c r="F42" s="9"/>
      <c r="G42" s="8"/>
      <c r="H42" s="8"/>
      <c r="I42" s="9"/>
      <c r="J42" s="8"/>
      <c r="K42" s="8"/>
    </row>
    <row r="43" spans="1:11" ht="14.45">
      <c r="A43" s="8" t="str">
        <v>Deming - Bilbo Booster</v>
      </c>
      <c r="B43" s="13" t="str">
        <v>NM</v>
      </c>
      <c r="C43" s="8"/>
      <c r="D43" s="8"/>
      <c r="E43" s="8"/>
      <c r="F43" s="9"/>
      <c r="G43" s="8"/>
      <c r="H43" s="8"/>
      <c r="I43" s="9"/>
      <c r="J43" s="8"/>
      <c r="K43" s="8"/>
    </row>
    <row r="44" spans="1:11" ht="14.45">
      <c r="A44" s="8" t="str">
        <v>Deming - Bilbo Well</v>
      </c>
      <c r="B44" s="13" t="str">
        <v>NM</v>
      </c>
      <c r="C44" s="8"/>
      <c r="D44" s="8"/>
      <c r="E44" s="8"/>
      <c r="F44" s="9"/>
      <c r="G44" s="8"/>
      <c r="H44" s="8"/>
      <c r="I44" s="9"/>
      <c r="J44" s="8"/>
      <c r="K44" s="8"/>
    </row>
    <row r="45" spans="1:11" ht="14.45">
      <c r="A45" s="8" t="str">
        <v>Deming - WWTP</v>
      </c>
      <c r="B45" s="13" t="str">
        <v>NM</v>
      </c>
      <c r="C45" s="8"/>
      <c r="D45" s="8"/>
      <c r="E45" s="8"/>
      <c r="F45" s="9"/>
      <c r="G45" s="8"/>
      <c r="H45" s="8"/>
      <c r="I45" s="9"/>
      <c r="J45" s="8"/>
      <c r="K45" s="8"/>
    </row>
    <row r="46" spans="1:11" ht="14.45">
      <c r="A46" s="8" t="str">
        <v>Truth or Consequences - Walmart</v>
      </c>
      <c r="B46" s="13" t="str">
        <v>NM</v>
      </c>
      <c r="C46" s="8"/>
      <c r="D46" s="8"/>
      <c r="E46" s="8"/>
      <c r="F46" s="9"/>
      <c r="G46" s="8"/>
      <c r="H46" s="8"/>
      <c r="I46" s="9"/>
      <c r="J46" s="8"/>
      <c r="K46" s="8"/>
    </row>
    <row r="47" spans="1:11" ht="14.45">
      <c r="A47" s="8" t="str">
        <v>CA: Stockton - SUSD - Merlo</v>
      </c>
      <c r="B47" s="13" t="str">
        <v>CA</v>
      </c>
      <c r="C47" s="8"/>
      <c r="D47" s="8"/>
      <c r="E47" s="8"/>
      <c r="F47" s="9"/>
      <c r="G47" s="8"/>
      <c r="H47" s="8"/>
      <c r="I47" s="9"/>
      <c r="J47" s="8"/>
      <c r="K47" s="8"/>
    </row>
    <row r="48" spans="1:11" ht="14.45">
      <c r="A48" s="8" t="str">
        <v>Stockton Unified School Dist. - Bush Elementary</v>
      </c>
      <c r="B48" s="13" t="str">
        <v>CA</v>
      </c>
      <c r="C48" s="8"/>
      <c r="D48" s="8"/>
      <c r="E48" s="8"/>
      <c r="F48" s="9"/>
      <c r="G48" s="8"/>
      <c r="H48" s="8"/>
      <c r="I48" s="9"/>
      <c r="J48" s="8"/>
      <c r="K48" s="8"/>
    </row>
    <row r="49" spans="1:11" ht="14.45">
      <c r="A49" s="8" t="str">
        <v>CA: Stockton - SUSD - Marshall JHS</v>
      </c>
      <c r="B49" s="13" t="str">
        <v>CA</v>
      </c>
      <c r="C49" s="8"/>
      <c r="D49" s="8"/>
      <c r="E49" s="8"/>
      <c r="F49" s="9"/>
      <c r="G49" s="8"/>
      <c r="H49" s="8"/>
      <c r="I49" s="9"/>
      <c r="J49" s="8"/>
      <c r="K49" s="8"/>
    </row>
    <row r="50" spans="1:11" ht="14.45">
      <c r="A50" s="8" t="str">
        <v>CA: Stockton - SUSD - Hong-Kingston ES</v>
      </c>
      <c r="B50" s="13" t="str">
        <v>CA</v>
      </c>
      <c r="C50" s="8"/>
      <c r="D50" s="8"/>
      <c r="E50" s="8"/>
      <c r="F50" s="9"/>
      <c r="G50" s="8"/>
      <c r="H50" s="8"/>
      <c r="I50" s="9"/>
      <c r="J50" s="8"/>
      <c r="K50" s="8"/>
    </row>
    <row r="51" spans="1:11" ht="14.45">
      <c r="A51" s="8" t="str">
        <v>CA: Stockton - SUSD - Hamilton ES</v>
      </c>
      <c r="B51" s="13" t="str">
        <v>CA</v>
      </c>
      <c r="C51" s="8"/>
      <c r="D51" s="8"/>
      <c r="E51" s="8"/>
      <c r="F51" s="9"/>
      <c r="G51" s="8"/>
      <c r="H51" s="8"/>
      <c r="I51" s="9"/>
      <c r="J51" s="8"/>
      <c r="K51" s="8"/>
    </row>
    <row r="52" spans="1:11" ht="14.45">
      <c r="A52" s="8" t="str">
        <v>CA: Stockton - SUSD - Franklin - North</v>
      </c>
      <c r="B52" s="13" t="str">
        <v>CA</v>
      </c>
      <c r="C52" s="8"/>
      <c r="D52" s="8"/>
      <c r="E52" s="8"/>
      <c r="F52" s="9"/>
      <c r="G52" s="8"/>
      <c r="H52" s="8"/>
      <c r="I52" s="9"/>
      <c r="J52" s="8"/>
      <c r="K52" s="8"/>
    </row>
    <row r="53" spans="1:11" ht="14.45">
      <c r="A53" s="8" t="str">
        <v>Stockton Unified School Dist. - Fillmore Elementary</v>
      </c>
      <c r="B53" s="13" t="str">
        <v>CA</v>
      </c>
      <c r="C53" s="8"/>
      <c r="D53" s="8"/>
      <c r="E53" s="8"/>
      <c r="F53" s="9"/>
      <c r="G53" s="8"/>
      <c r="H53" s="8"/>
      <c r="I53" s="9"/>
      <c r="J53" s="8"/>
      <c r="K53" s="8"/>
    </row>
    <row r="54" spans="1:11" ht="14.45">
      <c r="A54" s="8" t="str">
        <v>CA: Stockton - SUSD - El Dorado ES</v>
      </c>
      <c r="B54" s="13" t="str">
        <v>CA</v>
      </c>
      <c r="C54" s="8"/>
      <c r="D54" s="8"/>
      <c r="E54" s="8"/>
      <c r="F54" s="9"/>
      <c r="G54" s="8"/>
      <c r="H54" s="8"/>
      <c r="I54" s="9"/>
      <c r="J54" s="8"/>
      <c r="K54" s="8"/>
    </row>
    <row r="55" spans="1:11" ht="14.45">
      <c r="A55" s="8" t="str">
        <v>CA: Stockton - SUSD - Edison HS</v>
      </c>
      <c r="B55" s="13" t="str">
        <v>CA</v>
      </c>
      <c r="C55" s="8"/>
      <c r="D55" s="8"/>
      <c r="E55" s="8"/>
      <c r="F55" s="9"/>
      <c r="G55" s="8"/>
      <c r="H55" s="8"/>
      <c r="I55" s="9"/>
      <c r="J55" s="8"/>
      <c r="K55" s="8"/>
    </row>
    <row r="56" spans="1:11" ht="14.45">
      <c r="A56" s="8" t="str">
        <v>CA: Stockton - SUSD - Chavez HS - Large</v>
      </c>
      <c r="B56" s="13" t="str">
        <v>CA</v>
      </c>
      <c r="C56" s="8"/>
      <c r="D56" s="8"/>
      <c r="E56" s="8"/>
      <c r="F56" s="9"/>
      <c r="G56" s="8"/>
      <c r="H56" s="8"/>
      <c r="I56" s="9"/>
      <c r="J56" s="8"/>
      <c r="K56" s="8"/>
    </row>
    <row r="57" spans="1:11" ht="14.45">
      <c r="A57" s="8" t="str">
        <v>CA: San Jose - GE Mobile Water</v>
      </c>
      <c r="B57" s="13" t="str">
        <v>CA</v>
      </c>
      <c r="C57" s="8"/>
      <c r="D57" s="8"/>
      <c r="E57" s="8"/>
      <c r="F57" s="9"/>
      <c r="G57" s="8"/>
      <c r="H57" s="8"/>
      <c r="I57" s="9"/>
      <c r="J57" s="8"/>
      <c r="K57" s="8"/>
    </row>
    <row r="58" spans="1:11" ht="14.45">
      <c r="A58" s="8" t="str">
        <v>CA: San Marcos - Vallecitos Water - Lift Station</v>
      </c>
      <c r="B58" s="13" t="str">
        <v>CA</v>
      </c>
      <c r="C58" s="8"/>
      <c r="D58" s="8"/>
      <c r="E58" s="8"/>
      <c r="F58" s="9"/>
      <c r="G58" s="8"/>
      <c r="H58" s="8"/>
      <c r="I58" s="9"/>
      <c r="J58" s="8"/>
      <c r="K58" s="8"/>
    </row>
    <row r="59" spans="1:11" ht="14.45">
      <c r="A59" s="8" t="str">
        <v>CA: San Marcos - Vallecitos Water - Twin Oaks Reservoir</v>
      </c>
      <c r="B59" s="13" t="str">
        <v>CA</v>
      </c>
      <c r="C59" s="8"/>
      <c r="D59" s="8"/>
      <c r="E59" s="8"/>
      <c r="F59" s="9"/>
      <c r="G59" s="8"/>
      <c r="H59" s="8"/>
      <c r="I59" s="9"/>
      <c r="J59" s="8"/>
      <c r="K59" s="8"/>
    </row>
    <row r="60" spans="1:11" ht="14.45">
      <c r="A60" s="8" t="str">
        <v>CA: Stockton - SUSD - Wilhelmina Henry ES</v>
      </c>
      <c r="B60" s="13" t="str">
        <v>CA</v>
      </c>
      <c r="C60" s="8"/>
      <c r="D60" s="8"/>
      <c r="E60" s="8"/>
      <c r="F60" s="9"/>
      <c r="G60" s="8"/>
      <c r="H60" s="8"/>
      <c r="I60" s="9"/>
      <c r="J60" s="8"/>
      <c r="K60" s="8"/>
    </row>
    <row r="61" spans="1:11" ht="14.45">
      <c r="A61" s="8" t="str">
        <v>Stockton Unified School Dist. - Franklin (North)</v>
      </c>
      <c r="B61" s="13" t="str">
        <v>CA</v>
      </c>
      <c r="C61" s="8"/>
      <c r="D61" s="8"/>
      <c r="E61" s="8"/>
      <c r="F61" s="9"/>
      <c r="G61" s="8"/>
      <c r="H61" s="8"/>
      <c r="I61" s="9"/>
      <c r="J61" s="8"/>
      <c r="K61" s="8"/>
    </row>
    <row r="62" spans="1:11" ht="14.45">
      <c r="A62" s="8" t="str">
        <v>CA: Stockton - SUSD - Franklin - South</v>
      </c>
      <c r="B62" s="13" t="str">
        <v>CA</v>
      </c>
      <c r="C62" s="8"/>
      <c r="D62" s="8"/>
      <c r="E62" s="8"/>
      <c r="F62" s="9"/>
      <c r="G62" s="8"/>
      <c r="H62" s="8"/>
      <c r="I62" s="9"/>
      <c r="J62" s="8"/>
      <c r="K62" s="8"/>
    </row>
    <row r="63" spans="1:11" ht="14.45">
      <c r="A63" s="8" t="str">
        <v>CA: Stockton - SUSD - Chavez HS - Small</v>
      </c>
      <c r="B63" s="13" t="str">
        <v>CA</v>
      </c>
      <c r="C63" s="8"/>
      <c r="D63" s="8"/>
      <c r="E63" s="8"/>
      <c r="F63" s="9"/>
      <c r="G63" s="8"/>
      <c r="H63" s="8"/>
      <c r="I63" s="9"/>
      <c r="J63" s="8"/>
      <c r="K63" s="8"/>
    </row>
    <row r="64" spans="1:11" ht="14.45">
      <c r="A64" s="8" t="str">
        <v>CA: Stockton - SUSD - Facilities</v>
      </c>
      <c r="B64" s="13" t="str">
        <v>CA</v>
      </c>
      <c r="C64" s="8"/>
      <c r="D64" s="8"/>
      <c r="E64" s="8"/>
      <c r="F64" s="9"/>
      <c r="G64" s="8"/>
      <c r="H64" s="8"/>
      <c r="I64" s="9"/>
      <c r="J64" s="8"/>
      <c r="K64" s="8"/>
    </row>
    <row r="65" spans="1:11" ht="14.45">
      <c r="A65" s="8" t="str">
        <v>CA: Stockton - SUSD - Harrison</v>
      </c>
      <c r="B65" s="13" t="str">
        <v>CA</v>
      </c>
      <c r="C65" s="8"/>
      <c r="D65" s="8"/>
      <c r="E65" s="8"/>
      <c r="F65" s="9"/>
      <c r="G65" s="8"/>
      <c r="H65" s="8"/>
      <c r="I65" s="9"/>
      <c r="J65" s="8"/>
      <c r="K65" s="8"/>
    </row>
    <row r="66" spans="1:11" ht="14.45">
      <c r="A66" s="8" t="str">
        <v>CA: Stockton - SUSD - Commodore Skills School</v>
      </c>
      <c r="B66" s="13" t="str">
        <v>CA</v>
      </c>
      <c r="C66" s="8"/>
      <c r="D66" s="8"/>
      <c r="E66" s="8"/>
      <c r="F66" s="9"/>
      <c r="G66" s="8"/>
      <c r="H66" s="8"/>
      <c r="I66" s="9"/>
      <c r="J66" s="8"/>
      <c r="K66" s="8"/>
    </row>
    <row r="67" spans="1:11" ht="14.45">
      <c r="A67" s="8" t="str">
        <v>CA: Stockton - SUSD - Nightingale ES</v>
      </c>
      <c r="B67" s="13" t="str">
        <v>CA</v>
      </c>
      <c r="C67" s="8"/>
      <c r="D67" s="8"/>
      <c r="E67" s="8"/>
      <c r="F67" s="9"/>
      <c r="G67" s="8"/>
      <c r="H67" s="8"/>
      <c r="I67" s="9"/>
      <c r="J67" s="8"/>
      <c r="K67" s="8"/>
    </row>
    <row r="68" spans="1:11" ht="14.45">
      <c r="A68" s="8" t="str">
        <v>CA: Stockton - SUSD - Weber Institute</v>
      </c>
      <c r="B68" s="13" t="str">
        <v>CA</v>
      </c>
      <c r="C68" s="8"/>
      <c r="D68" s="8"/>
      <c r="E68" s="8"/>
      <c r="F68" s="9"/>
      <c r="G68" s="8"/>
      <c r="H68" s="8"/>
      <c r="I68" s="9"/>
      <c r="J68" s="8"/>
      <c r="K68" s="8"/>
    </row>
    <row r="69" spans="1:11" ht="14.45">
      <c r="A69" s="8" t="str">
        <v>CA: Stockton - SUSD - Warehouse</v>
      </c>
      <c r="B69" s="13" t="str">
        <v>CA</v>
      </c>
      <c r="C69" s="8"/>
      <c r="D69" s="8"/>
      <c r="E69" s="8"/>
      <c r="F69" s="9"/>
      <c r="G69" s="8"/>
      <c r="H69" s="8"/>
      <c r="I69" s="9"/>
      <c r="J69" s="8"/>
      <c r="K69" s="8"/>
    </row>
    <row r="70" spans="1:11" ht="14.45">
      <c r="A70" s="8" t="str">
        <v>CA: Stockton - SUSD - Walton Special Center</v>
      </c>
      <c r="B70" s="13" t="str">
        <v>CA</v>
      </c>
      <c r="C70" s="8"/>
      <c r="D70" s="8"/>
      <c r="E70" s="8"/>
      <c r="F70" s="9"/>
      <c r="G70" s="8"/>
      <c r="H70" s="8"/>
      <c r="I70" s="9"/>
      <c r="J70" s="8"/>
      <c r="K70" s="8"/>
    </row>
    <row r="71" spans="1:11" ht="14.45">
      <c r="A71" s="8" t="str">
        <v>CA: Stockton - SUSD - Stagg HS</v>
      </c>
      <c r="B71" s="13" t="str">
        <v>CA</v>
      </c>
      <c r="C71" s="8"/>
      <c r="D71" s="8"/>
      <c r="E71" s="8"/>
      <c r="F71" s="9"/>
      <c r="G71" s="8"/>
      <c r="H71" s="8"/>
      <c r="I71" s="9"/>
      <c r="J71" s="8"/>
      <c r="K71" s="8"/>
    </row>
    <row r="72" spans="1:11" ht="14.45">
      <c r="A72" s="8" t="str">
        <v>CA: Stockton - SUSD - School for Adults</v>
      </c>
      <c r="B72" s="13" t="str">
        <v>CA</v>
      </c>
      <c r="C72" s="8"/>
      <c r="D72" s="8"/>
      <c r="E72" s="8"/>
      <c r="F72" s="9"/>
      <c r="G72" s="8"/>
      <c r="H72" s="8"/>
      <c r="I72" s="9"/>
      <c r="J72" s="8"/>
      <c r="K72" s="8"/>
    </row>
    <row r="73" spans="1:11" ht="14.45">
      <c r="A73" s="8" t="str">
        <v>CA: Stockton - SUSD - San Joaquin</v>
      </c>
      <c r="B73" s="13" t="str">
        <v>CA</v>
      </c>
      <c r="C73" s="8"/>
      <c r="D73" s="8"/>
      <c r="E73" s="8"/>
      <c r="F73" s="9"/>
      <c r="G73" s="8"/>
      <c r="H73" s="8"/>
      <c r="I73" s="9"/>
      <c r="J73" s="8"/>
      <c r="K73" s="8"/>
    </row>
    <row r="74" spans="1:11" ht="14.45">
      <c r="A74" s="8" t="str">
        <v>CA: Stockton - SUSD - Rio Calaveras</v>
      </c>
      <c r="B74" s="13" t="str">
        <v>CA</v>
      </c>
      <c r="C74" s="8"/>
      <c r="D74" s="8"/>
      <c r="E74" s="8"/>
      <c r="F74" s="9"/>
      <c r="G74" s="8"/>
      <c r="H74" s="8"/>
      <c r="I74" s="9"/>
      <c r="J74" s="8"/>
      <c r="K74" s="8"/>
    </row>
    <row r="75" spans="1:11" ht="14.45">
      <c r="A75" s="8" t="str">
        <v>CA: Stockton - SUSD - Peyton</v>
      </c>
      <c r="B75" s="13" t="str">
        <v>CA</v>
      </c>
      <c r="C75" s="8"/>
      <c r="D75" s="8"/>
      <c r="E75" s="8"/>
      <c r="F75" s="9"/>
      <c r="G75" s="8"/>
      <c r="H75" s="8"/>
      <c r="I75" s="9"/>
      <c r="J75" s="8"/>
      <c r="K75" s="8"/>
    </row>
    <row r="76" spans="1:11" ht="14.45">
      <c r="A76" s="8" t="str">
        <v>TX: Barnhart - 42917 Ranch RD 2469</v>
      </c>
      <c r="B76" s="13" t="str">
        <v>TX</v>
      </c>
      <c r="C76" s="8"/>
      <c r="D76" s="8"/>
      <c r="E76" s="8"/>
      <c r="F76" s="9"/>
      <c r="G76" s="8"/>
      <c r="H76" s="8"/>
      <c r="I76" s="9"/>
      <c r="J76" s="8"/>
      <c r="K76" s="8"/>
    </row>
    <row r="77" spans="1:11" ht="14.45">
      <c r="A77" s="8" t="str">
        <v>AZ: San Manuel - Senior &amp; Junior HS</v>
      </c>
      <c r="B77" s="13" t="str">
        <v>AZ</v>
      </c>
      <c r="C77" s="8"/>
      <c r="D77" s="8"/>
      <c r="E77" s="8"/>
      <c r="F77" s="9"/>
      <c r="G77" s="8"/>
      <c r="H77" s="8"/>
      <c r="I77" s="9"/>
      <c r="J77" s="8"/>
      <c r="K77" s="8"/>
    </row>
    <row r="78" spans="1:11" ht="14.45">
      <c r="A78" s="8" t="str">
        <v>AZ: Sierra Vista - Colonel Smith MS</v>
      </c>
      <c r="B78" s="13" t="str">
        <v>AZ</v>
      </c>
      <c r="C78" s="8"/>
      <c r="D78" s="8"/>
      <c r="E78" s="8"/>
      <c r="F78" s="9"/>
      <c r="G78" s="8"/>
      <c r="H78" s="8"/>
      <c r="I78" s="9"/>
      <c r="J78" s="8"/>
      <c r="K78" s="8"/>
    </row>
    <row r="79" spans="1:11" ht="14.45">
      <c r="A79" s="8" t="str">
        <v>AZ: Sierra Vista - Colonel Johnston ES</v>
      </c>
      <c r="B79" s="13" t="str">
        <v>AZ</v>
      </c>
      <c r="C79" s="8"/>
      <c r="D79" s="8"/>
      <c r="E79" s="8"/>
      <c r="F79" s="9"/>
      <c r="G79" s="8"/>
      <c r="H79" s="8"/>
      <c r="I79" s="9"/>
      <c r="J79" s="8"/>
      <c r="K79" s="8"/>
    </row>
    <row r="80" spans="1:11" ht="14.45">
      <c r="A80" s="8" t="str">
        <v>NH: Dover - Dover HS</v>
      </c>
      <c r="B80" s="13" t="str">
        <v>NH</v>
      </c>
      <c r="C80" s="8"/>
      <c r="D80" s="8"/>
      <c r="E80" s="8"/>
      <c r="F80" s="9"/>
      <c r="G80" s="8"/>
      <c r="H80" s="8"/>
      <c r="I80" s="9"/>
      <c r="J80" s="8"/>
      <c r="K80" s="8"/>
    </row>
    <row r="81" spans="1:11" ht="14.45">
      <c r="A81" s="8" t="str">
        <v>MA: Somerville - 30 Inner Belt Rd</v>
      </c>
      <c r="B81" s="13" t="str">
        <v>MA</v>
      </c>
      <c r="C81" s="8"/>
      <c r="D81" s="8"/>
      <c r="E81" s="8"/>
      <c r="F81" s="9"/>
      <c r="G81" s="8"/>
      <c r="H81" s="8"/>
      <c r="I81" s="9"/>
      <c r="J81" s="8"/>
      <c r="K81" s="8"/>
    </row>
    <row r="82" spans="1:11" ht="14.45">
      <c r="A82" s="8" t="str">
        <v>MA: Boxborough - 1414 Massachusetts Ave</v>
      </c>
      <c r="B82" s="13" t="str">
        <v>MA</v>
      </c>
      <c r="C82" s="8"/>
      <c r="D82" s="8"/>
      <c r="E82" s="8"/>
      <c r="F82" s="9"/>
      <c r="G82" s="8"/>
      <c r="H82" s="8"/>
      <c r="I82" s="9"/>
      <c r="J82" s="8"/>
      <c r="K82" s="8"/>
    </row>
    <row r="83" spans="1:11" ht="14.45">
      <c r="A83" s="8" t="str">
        <v>NY: Amsterdam - 153 NY Route 67</v>
      </c>
      <c r="B83" s="13" t="str">
        <v>NY</v>
      </c>
      <c r="C83" s="8"/>
      <c r="D83" s="8"/>
      <c r="E83" s="8"/>
      <c r="F83" s="9"/>
      <c r="G83" s="8"/>
      <c r="H83" s="8"/>
      <c r="I83" s="9"/>
      <c r="J83" s="8"/>
      <c r="K83" s="8"/>
    </row>
    <row r="84" spans="1:11" ht="14.45">
      <c r="A84" s="8" t="str">
        <v>CA: San Jose - GE Mobile Water</v>
      </c>
      <c r="B84" s="13" t="str">
        <v>CA</v>
      </c>
      <c r="C84" s="8"/>
      <c r="D84" s="8"/>
      <c r="E84" s="8"/>
      <c r="F84" s="9"/>
      <c r="G84" s="8"/>
      <c r="H84" s="8"/>
      <c r="I84" s="9"/>
      <c r="J84" s="8"/>
      <c r="K84" s="8"/>
    </row>
    <row r="85" spans="1:11" ht="14.45">
      <c r="A85" s="8" t="str">
        <v>NY: Rome - 7776 Tannery RD</v>
      </c>
      <c r="B85" s="13" t="str">
        <v>NY</v>
      </c>
      <c r="C85" s="8"/>
      <c r="D85" s="8"/>
      <c r="E85" s="8"/>
      <c r="F85" s="9"/>
      <c r="G85" s="8"/>
      <c r="H85" s="8"/>
      <c r="I85" s="9"/>
      <c r="J85" s="8"/>
      <c r="K85" s="8"/>
    </row>
    <row r="86" spans="1:11" ht="14.45">
      <c r="A86" s="8"/>
      <c r="B86" s="13"/>
      <c r="C86" s="8"/>
      <c r="D86" s="8"/>
      <c r="E86" s="8"/>
      <c r="F86" s="9"/>
      <c r="G86" s="8"/>
      <c r="H86" s="8"/>
      <c r="I86" s="9"/>
      <c r="J86" s="8"/>
      <c r="K86" s="8"/>
    </row>
    <row r="87" spans="1:11" ht="14.45">
      <c r="A87" s="8"/>
      <c r="B87" s="13"/>
      <c r="C87" s="8"/>
      <c r="D87" s="8"/>
      <c r="E87" s="8"/>
      <c r="F87" s="9"/>
      <c r="G87" s="8"/>
      <c r="H87" s="8"/>
      <c r="I87" s="9"/>
      <c r="J87" s="8"/>
      <c r="K87" s="8"/>
    </row>
    <row r="88" spans="1:11" ht="14.45">
      <c r="A88" s="8"/>
      <c r="B88" s="13"/>
      <c r="C88" s="8"/>
      <c r="D88" s="8"/>
      <c r="E88" s="8"/>
      <c r="F88" s="9"/>
      <c r="G88" s="8"/>
      <c r="H88" s="8"/>
      <c r="I88" s="9"/>
      <c r="J88" s="8"/>
      <c r="K88" s="8"/>
    </row>
    <row r="89" spans="1:11" ht="14.45">
      <c r="A89" s="8"/>
      <c r="B89" s="13"/>
      <c r="C89" s="8"/>
      <c r="D89" s="8"/>
      <c r="E89" s="8"/>
      <c r="F89" s="9"/>
      <c r="G89" s="8"/>
      <c r="H89" s="8"/>
      <c r="I89" s="9"/>
      <c r="J89" s="8"/>
      <c r="K89" s="8"/>
    </row>
    <row r="90" spans="1:11" ht="14.45">
      <c r="A90" s="8"/>
      <c r="B90" s="13"/>
      <c r="C90" s="8"/>
      <c r="D90" s="8"/>
      <c r="E90" s="8"/>
      <c r="F90" s="9"/>
      <c r="G90" s="8"/>
      <c r="H90" s="8"/>
      <c r="I90" s="9"/>
      <c r="J90" s="8"/>
      <c r="K90" s="8"/>
    </row>
    <row r="91" spans="1:11" ht="14.45">
      <c r="A91" s="8"/>
      <c r="B91" s="13"/>
      <c r="C91" s="8"/>
      <c r="D91" s="8"/>
      <c r="E91" s="8"/>
      <c r="F91" s="9"/>
      <c r="G91" s="8"/>
      <c r="H91" s="8"/>
      <c r="I91" s="9"/>
      <c r="J91" s="8"/>
      <c r="K91" s="8"/>
    </row>
    <row r="92" spans="1:11" ht="14.45">
      <c r="A92" s="8"/>
      <c r="B92" s="13"/>
      <c r="C92" s="8"/>
      <c r="D92" s="8"/>
      <c r="E92" s="8"/>
      <c r="F92" s="9"/>
      <c r="G92" s="8"/>
      <c r="H92" s="8"/>
      <c r="I92" s="9"/>
      <c r="J92" s="8"/>
      <c r="K92" s="8"/>
    </row>
    <row r="93" spans="1:11" ht="14.45">
      <c r="A93" s="8"/>
      <c r="B93" s="13"/>
      <c r="C93" s="8"/>
      <c r="D93" s="8"/>
      <c r="E93" s="8"/>
      <c r="F93" s="9"/>
      <c r="G93" s="8"/>
      <c r="H93" s="8"/>
      <c r="I93" s="9"/>
      <c r="J93" s="8"/>
      <c r="K93" s="8"/>
    </row>
    <row r="94" spans="1:11" ht="14.45">
      <c r="A94" s="8"/>
      <c r="B94" s="13"/>
      <c r="C94" s="8"/>
      <c r="D94" s="8"/>
      <c r="E94" s="8"/>
      <c r="F94" s="9"/>
      <c r="G94" s="8"/>
      <c r="H94" s="8"/>
      <c r="I94" s="9"/>
      <c r="J94" s="8"/>
      <c r="K94" s="8"/>
    </row>
    <row r="95" spans="1:11" ht="14.45">
      <c r="A95" s="8"/>
      <c r="B95" s="13"/>
      <c r="C95" s="8"/>
      <c r="D95" s="8"/>
      <c r="E95" s="8"/>
      <c r="F95" s="9"/>
      <c r="G95" s="8"/>
      <c r="H95" s="8"/>
      <c r="I95" s="9"/>
      <c r="J95" s="8"/>
      <c r="K95" s="8"/>
    </row>
    <row r="96" spans="1:11" ht="14.45">
      <c r="A96" s="8"/>
      <c r="B96" s="13"/>
      <c r="C96" s="8"/>
      <c r="D96" s="8"/>
      <c r="E96" s="8"/>
      <c r="F96" s="9"/>
      <c r="G96" s="8"/>
      <c r="H96" s="8"/>
      <c r="I96" s="9"/>
      <c r="J96" s="8"/>
      <c r="K96" s="8"/>
    </row>
    <row r="97" spans="1:11" ht="14.45">
      <c r="A97" s="8"/>
      <c r="B97" s="13"/>
      <c r="C97" s="8"/>
      <c r="D97" s="8"/>
      <c r="E97" s="8"/>
      <c r="F97" s="9"/>
      <c r="G97" s="8"/>
      <c r="H97" s="8"/>
      <c r="I97" s="9"/>
      <c r="J97" s="8"/>
      <c r="K97" s="8"/>
    </row>
    <row r="98" spans="1:11" ht="14.45">
      <c r="A98" s="8"/>
      <c r="B98" s="13"/>
      <c r="C98" s="8"/>
      <c r="D98" s="8"/>
      <c r="E98" s="8"/>
      <c r="F98" s="9"/>
      <c r="G98" s="8"/>
      <c r="H98" s="8"/>
      <c r="I98" s="9"/>
      <c r="J98" s="8"/>
      <c r="K98" s="8"/>
    </row>
    <row r="99" spans="1:11" ht="14.45">
      <c r="A99" s="8"/>
      <c r="B99" s="13"/>
      <c r="C99" s="8"/>
      <c r="D99" s="8"/>
      <c r="E99" s="8"/>
      <c r="F99" s="9"/>
      <c r="G99" s="8"/>
      <c r="H99" s="8"/>
      <c r="I99" s="9"/>
      <c r="J99" s="8"/>
      <c r="K99" s="8"/>
    </row>
    <row r="100" spans="1:11" ht="14.45">
      <c r="A100" s="8"/>
      <c r="B100" s="13"/>
      <c r="C100" s="8"/>
      <c r="D100" s="8"/>
      <c r="E100" s="8"/>
      <c r="F100" s="9"/>
      <c r="G100" s="8"/>
      <c r="H100" s="8"/>
      <c r="I100" s="9"/>
      <c r="J100" s="8"/>
      <c r="K100" s="8"/>
    </row>
    <row r="101" spans="1:11" ht="14.45">
      <c r="A101" s="8"/>
      <c r="B101" s="13"/>
      <c r="C101" s="8"/>
      <c r="D101" s="8"/>
      <c r="E101" s="8"/>
      <c r="F101" s="9"/>
      <c r="G101" s="8"/>
      <c r="H101" s="8"/>
      <c r="I101" s="9"/>
      <c r="J101" s="8"/>
      <c r="K101" s="8"/>
    </row>
    <row r="102" spans="1:11" ht="14.45">
      <c r="A102" s="8"/>
      <c r="B102" s="13"/>
      <c r="C102" s="8"/>
      <c r="D102" s="8"/>
      <c r="E102" s="8"/>
      <c r="F102" s="9"/>
      <c r="G102" s="8"/>
      <c r="H102" s="8"/>
      <c r="I102" s="9"/>
      <c r="J102" s="8"/>
      <c r="K102" s="8"/>
    </row>
    <row r="103" spans="1:11" ht="14.45">
      <c r="A103" s="8"/>
      <c r="B103" s="13"/>
      <c r="C103" s="8"/>
      <c r="D103" s="8"/>
      <c r="E103" s="8"/>
      <c r="F103" s="9"/>
      <c r="G103" s="8"/>
      <c r="H103" s="8"/>
      <c r="I103" s="9"/>
      <c r="J103" s="8"/>
      <c r="K103" s="8"/>
    </row>
    <row r="104" spans="1:11" ht="14.45">
      <c r="A104" s="8"/>
      <c r="B104" s="13"/>
      <c r="C104" s="8"/>
      <c r="D104" s="8"/>
      <c r="E104" s="8"/>
      <c r="F104" s="9"/>
      <c r="G104" s="8"/>
      <c r="H104" s="8"/>
      <c r="I104" s="9"/>
      <c r="J104" s="8"/>
      <c r="K104" s="8"/>
    </row>
    <row r="105" spans="1:11" ht="14.45">
      <c r="A105" s="8"/>
      <c r="B105" s="13"/>
      <c r="C105" s="8"/>
      <c r="D105" s="8"/>
      <c r="E105" s="8"/>
      <c r="F105" s="9"/>
      <c r="G105" s="8"/>
      <c r="H105" s="8"/>
      <c r="I105" s="9"/>
      <c r="J105" s="8"/>
      <c r="K105" s="8"/>
    </row>
    <row r="106" spans="1:11" ht="14.45">
      <c r="A106" s="8"/>
      <c r="B106" s="13"/>
      <c r="C106" s="8"/>
      <c r="D106" s="8"/>
      <c r="E106" s="8"/>
      <c r="F106" s="9"/>
      <c r="G106" s="8"/>
      <c r="H106" s="8"/>
      <c r="I106" s="9"/>
      <c r="J106" s="8"/>
      <c r="K106" s="8"/>
    </row>
    <row r="107" spans="1:11" ht="14.45">
      <c r="A107" s="8"/>
      <c r="B107" s="13"/>
      <c r="C107" s="8"/>
      <c r="D107" s="8"/>
      <c r="E107" s="8"/>
      <c r="F107" s="9"/>
      <c r="G107" s="8"/>
      <c r="H107" s="8"/>
      <c r="I107" s="9"/>
      <c r="J107" s="8"/>
      <c r="K107" s="8"/>
    </row>
    <row r="108" spans="1:11" ht="14.45">
      <c r="A108" s="8"/>
      <c r="B108" s="13"/>
      <c r="C108" s="8"/>
      <c r="D108" s="8"/>
      <c r="E108" s="8"/>
      <c r="F108" s="9"/>
      <c r="G108" s="8"/>
      <c r="H108" s="8"/>
      <c r="I108" s="9"/>
      <c r="J108" s="8"/>
      <c r="K108" s="8"/>
    </row>
    <row r="109" spans="1:11" ht="14.45">
      <c r="A109" s="8"/>
      <c r="B109" s="13"/>
      <c r="C109" s="8"/>
      <c r="D109" s="8"/>
      <c r="E109" s="8"/>
      <c r="F109" s="9"/>
      <c r="G109" s="8"/>
      <c r="H109" s="8"/>
      <c r="I109" s="9"/>
      <c r="J109" s="8"/>
      <c r="K109" s="8"/>
    </row>
    <row r="110" spans="1:11" ht="14.45">
      <c r="A110" s="8"/>
      <c r="B110" s="13"/>
      <c r="C110" s="8"/>
      <c r="D110" s="8"/>
      <c r="E110" s="8"/>
      <c r="F110" s="9"/>
      <c r="G110" s="8"/>
      <c r="H110" s="8"/>
      <c r="I110" s="9"/>
      <c r="J110" s="8"/>
      <c r="K110" s="8"/>
    </row>
    <row r="111" spans="1:11" ht="14.45">
      <c r="A111" s="8"/>
      <c r="B111" s="13"/>
      <c r="C111" s="8"/>
      <c r="D111" s="8"/>
      <c r="E111" s="8"/>
      <c r="F111" s="9"/>
      <c r="G111" s="8"/>
      <c r="H111" s="8"/>
      <c r="I111" s="9"/>
      <c r="J111" s="8"/>
      <c r="K111" s="8"/>
    </row>
    <row r="112" spans="1:11" ht="14.45">
      <c r="A112" s="8"/>
      <c r="B112" s="13"/>
      <c r="C112" s="8"/>
      <c r="D112" s="8"/>
      <c r="E112" s="8"/>
      <c r="F112" s="9"/>
      <c r="G112" s="8"/>
      <c r="H112" s="8"/>
      <c r="I112" s="9"/>
      <c r="J112" s="8"/>
      <c r="K112" s="8"/>
    </row>
    <row r="113" spans="1:11" ht="14.45">
      <c r="A113" s="8"/>
      <c r="B113" s="13"/>
      <c r="C113" s="8"/>
      <c r="D113" s="8"/>
      <c r="E113" s="8"/>
      <c r="F113" s="9"/>
      <c r="G113" s="8"/>
      <c r="H113" s="8"/>
      <c r="I113" s="9"/>
      <c r="J113" s="8"/>
      <c r="K113" s="8"/>
    </row>
    <row r="114" spans="1:11" ht="14.45">
      <c r="A114" s="8"/>
      <c r="B114" s="13"/>
      <c r="C114" s="8"/>
      <c r="D114" s="8"/>
      <c r="E114" s="8"/>
      <c r="F114" s="9"/>
      <c r="G114" s="8"/>
      <c r="H114" s="8"/>
      <c r="I114" s="9"/>
      <c r="J114" s="8"/>
      <c r="K114" s="8"/>
    </row>
    <row r="115" spans="1:11" ht="14.45">
      <c r="A115" s="8"/>
      <c r="B115" s="13"/>
      <c r="C115" s="8"/>
      <c r="D115" s="8"/>
      <c r="E115" s="8"/>
      <c r="F115" s="9"/>
      <c r="G115" s="8"/>
      <c r="H115" s="8"/>
      <c r="I115" s="9"/>
      <c r="J115" s="8"/>
      <c r="K115" s="8"/>
    </row>
    <row r="116" spans="1:11" ht="14.45">
      <c r="A116" s="8"/>
      <c r="B116" s="13"/>
      <c r="C116" s="8"/>
      <c r="D116" s="8"/>
      <c r="E116" s="8"/>
      <c r="F116" s="9"/>
      <c r="G116" s="8"/>
      <c r="H116" s="8"/>
      <c r="I116" s="9"/>
      <c r="J116" s="8"/>
      <c r="K116" s="8"/>
    </row>
    <row r="117" spans="1:11" ht="14.45">
      <c r="A117" s="8"/>
      <c r="B117" s="13"/>
      <c r="C117" s="8"/>
      <c r="D117" s="8"/>
      <c r="E117" s="8"/>
      <c r="F117" s="9"/>
      <c r="G117" s="8"/>
      <c r="H117" s="8"/>
      <c r="I117" s="9"/>
      <c r="J117" s="8"/>
      <c r="K117" s="8"/>
    </row>
    <row r="118" spans="1:11" ht="14.45">
      <c r="A118" s="8"/>
      <c r="B118" s="13"/>
      <c r="C118" s="8"/>
      <c r="D118" s="8"/>
      <c r="E118" s="8"/>
      <c r="F118" s="9"/>
      <c r="G118" s="8"/>
      <c r="H118" s="8"/>
      <c r="I118" s="9"/>
      <c r="J118" s="8"/>
      <c r="K118" s="8"/>
    </row>
    <row r="119" spans="1:11" ht="14.45">
      <c r="A119" s="8"/>
      <c r="B119" s="13"/>
      <c r="C119" s="8"/>
      <c r="D119" s="8"/>
      <c r="E119" s="8"/>
      <c r="F119" s="9"/>
      <c r="G119" s="8"/>
      <c r="H119" s="8"/>
      <c r="I119" s="9"/>
      <c r="J119" s="8"/>
      <c r="K119" s="8"/>
    </row>
    <row r="120" spans="1:11" ht="14.45">
      <c r="A120" s="8"/>
      <c r="B120" s="13"/>
      <c r="C120" s="8"/>
      <c r="D120" s="8"/>
      <c r="E120" s="8"/>
      <c r="F120" s="9"/>
      <c r="G120" s="8"/>
      <c r="H120" s="8"/>
      <c r="I120" s="9"/>
      <c r="J120" s="8"/>
      <c r="K120" s="8"/>
    </row>
    <row r="121" spans="1:11" ht="14.45">
      <c r="A121" s="8"/>
      <c r="B121" s="13"/>
      <c r="C121" s="8"/>
      <c r="D121" s="8"/>
      <c r="E121" s="8"/>
      <c r="F121" s="9"/>
      <c r="G121" s="8"/>
      <c r="H121" s="8"/>
      <c r="I121" s="9"/>
      <c r="J121" s="8"/>
      <c r="K121" s="8"/>
    </row>
    <row r="122" spans="1:11" ht="14.45">
      <c r="A122" s="8"/>
      <c r="B122" s="13"/>
      <c r="C122" s="8"/>
      <c r="D122" s="8"/>
      <c r="E122" s="8"/>
      <c r="F122" s="9"/>
      <c r="G122" s="8"/>
      <c r="H122" s="8"/>
      <c r="I122" s="9"/>
      <c r="J122" s="8"/>
      <c r="K122" s="8"/>
    </row>
    <row r="123" spans="1:11" ht="14.45">
      <c r="A123" s="8"/>
      <c r="B123" s="13"/>
      <c r="C123" s="8"/>
      <c r="D123" s="8"/>
      <c r="E123" s="8"/>
      <c r="F123" s="9"/>
      <c r="G123" s="8"/>
      <c r="H123" s="8"/>
      <c r="I123" s="9"/>
      <c r="J123" s="8"/>
      <c r="K123" s="8"/>
    </row>
    <row r="124" spans="1:11" ht="14.45">
      <c r="A124" s="8"/>
      <c r="B124" s="13"/>
      <c r="C124" s="8"/>
      <c r="D124" s="8"/>
      <c r="E124" s="8"/>
      <c r="F124" s="9"/>
      <c r="G124" s="8"/>
      <c r="H124" s="8"/>
      <c r="I124" s="9"/>
      <c r="J124" s="8"/>
      <c r="K124" s="8"/>
    </row>
    <row r="125" spans="1:11" ht="14.45">
      <c r="A125" s="8"/>
      <c r="B125" s="13"/>
      <c r="C125" s="8"/>
      <c r="D125" s="8"/>
      <c r="E125" s="8"/>
      <c r="F125" s="9"/>
      <c r="G125" s="8"/>
      <c r="H125" s="8"/>
      <c r="I125" s="9"/>
      <c r="J125" s="8"/>
      <c r="K125" s="8"/>
    </row>
    <row r="126" spans="1:11" ht="14.45">
      <c r="A126" s="8"/>
      <c r="B126" s="13"/>
      <c r="C126" s="8"/>
      <c r="D126" s="8"/>
      <c r="E126" s="8"/>
      <c r="F126" s="9"/>
      <c r="G126" s="8"/>
      <c r="H126" s="8"/>
      <c r="I126" s="9"/>
      <c r="J126" s="8"/>
      <c r="K126" s="8"/>
    </row>
    <row r="127" spans="1:11" ht="14.45">
      <c r="A127" s="8"/>
      <c r="B127" s="13"/>
      <c r="C127" s="8"/>
      <c r="D127" s="8"/>
      <c r="E127" s="8"/>
      <c r="F127" s="9"/>
      <c r="G127" s="8"/>
      <c r="H127" s="8"/>
      <c r="I127" s="9"/>
      <c r="J127" s="8"/>
      <c r="K127" s="8"/>
    </row>
    <row r="128" spans="1:11" ht="14.45">
      <c r="A128" s="8"/>
      <c r="B128" s="13"/>
      <c r="C128" s="8"/>
      <c r="D128" s="8"/>
      <c r="E128" s="8"/>
      <c r="F128" s="9"/>
      <c r="G128" s="8"/>
      <c r="H128" s="8"/>
      <c r="I128" s="9"/>
      <c r="J128" s="8"/>
      <c r="K128" s="8"/>
    </row>
    <row r="129" spans="1:11" ht="14.45">
      <c r="A129" s="8"/>
      <c r="B129" s="13"/>
      <c r="C129" s="8"/>
      <c r="D129" s="8"/>
      <c r="E129" s="8"/>
      <c r="F129" s="9"/>
      <c r="G129" s="8"/>
      <c r="H129" s="8"/>
      <c r="I129" s="9"/>
      <c r="J129" s="8"/>
      <c r="K129" s="8"/>
    </row>
    <row r="130" spans="1:11" ht="14.45">
      <c r="A130" s="8"/>
      <c r="B130" s="13"/>
      <c r="C130" s="8"/>
      <c r="D130" s="8"/>
      <c r="E130" s="8"/>
      <c r="F130" s="9"/>
      <c r="G130" s="8"/>
      <c r="H130" s="8"/>
      <c r="I130" s="9"/>
      <c r="J130" s="8"/>
      <c r="K130" s="8"/>
    </row>
    <row r="131" spans="1:11" ht="14.45">
      <c r="A131" s="8"/>
      <c r="B131" s="13"/>
      <c r="C131" s="8"/>
      <c r="D131" s="8"/>
      <c r="E131" s="8"/>
      <c r="F131" s="9"/>
      <c r="G131" s="8"/>
      <c r="H131" s="8"/>
      <c r="I131" s="9"/>
      <c r="J131" s="8"/>
      <c r="K131" s="8"/>
    </row>
    <row r="132" spans="1:11" ht="14.45">
      <c r="A132" s="8"/>
      <c r="B132" s="13"/>
      <c r="C132" s="8"/>
      <c r="D132" s="8"/>
      <c r="E132" s="8"/>
      <c r="F132" s="9"/>
      <c r="G132" s="8"/>
      <c r="H132" s="8"/>
      <c r="I132" s="9"/>
      <c r="J132" s="8"/>
      <c r="K132" s="8"/>
    </row>
    <row r="133" spans="1:11" ht="14.45">
      <c r="A133" s="8"/>
      <c r="B133" s="13"/>
      <c r="C133" s="8"/>
      <c r="D133" s="8"/>
      <c r="E133" s="8"/>
      <c r="F133" s="9"/>
      <c r="G133" s="8"/>
      <c r="H133" s="8"/>
      <c r="I133" s="9"/>
      <c r="J133" s="8"/>
      <c r="K133" s="8"/>
    </row>
    <row r="134" spans="1:11" ht="14.45">
      <c r="A134" s="8"/>
      <c r="B134" s="13"/>
      <c r="C134" s="8"/>
      <c r="D134" s="8"/>
      <c r="E134" s="8"/>
      <c r="F134" s="9"/>
      <c r="G134" s="8"/>
      <c r="H134" s="8"/>
      <c r="I134" s="9"/>
      <c r="J134" s="8"/>
      <c r="K134" s="8"/>
    </row>
    <row r="135" spans="1:11" ht="14.45">
      <c r="A135" s="8"/>
      <c r="B135" s="13"/>
      <c r="C135" s="8"/>
      <c r="D135" s="8"/>
      <c r="E135" s="8"/>
      <c r="F135" s="9"/>
      <c r="G135" s="8"/>
      <c r="H135" s="8"/>
      <c r="I135" s="9"/>
      <c r="J135" s="8"/>
      <c r="K135" s="8"/>
    </row>
    <row r="136" spans="1:11" ht="14.45">
      <c r="A136" s="8"/>
      <c r="B136" s="13"/>
      <c r="C136" s="8"/>
      <c r="D136" s="8"/>
      <c r="E136" s="8"/>
      <c r="F136" s="9"/>
      <c r="G136" s="8"/>
      <c r="H136" s="8"/>
      <c r="I136" s="9"/>
      <c r="J136" s="8"/>
      <c r="K136" s="8"/>
    </row>
    <row r="137" spans="1:11" ht="14.45">
      <c r="A137" s="8"/>
      <c r="B137" s="13"/>
      <c r="C137" s="8"/>
      <c r="D137" s="8"/>
      <c r="E137" s="8"/>
      <c r="F137" s="9"/>
      <c r="G137" s="8"/>
      <c r="H137" s="8"/>
      <c r="I137" s="9"/>
      <c r="J137" s="8"/>
      <c r="K137" s="8"/>
    </row>
    <row r="138" spans="1:11" ht="14.45">
      <c r="A138" s="8"/>
      <c r="B138" s="13"/>
      <c r="C138" s="8"/>
      <c r="D138" s="8"/>
      <c r="E138" s="8"/>
      <c r="F138" s="9"/>
      <c r="G138" s="8"/>
      <c r="H138" s="8"/>
      <c r="I138" s="9"/>
      <c r="J138" s="8"/>
      <c r="K138" s="8"/>
    </row>
    <row r="139" spans="1:11" ht="14.45">
      <c r="A139" s="8"/>
      <c r="B139" s="13"/>
      <c r="C139" s="8"/>
      <c r="D139" s="8"/>
      <c r="E139" s="8"/>
      <c r="F139" s="9"/>
      <c r="G139" s="8"/>
      <c r="H139" s="8"/>
      <c r="I139" s="9"/>
      <c r="J139" s="8"/>
      <c r="K139" s="8"/>
    </row>
    <row r="140" spans="1:11" ht="14.45">
      <c r="A140" s="8"/>
      <c r="B140" s="13"/>
      <c r="C140" s="8"/>
      <c r="D140" s="8"/>
      <c r="E140" s="8"/>
      <c r="F140" s="9"/>
      <c r="G140" s="8"/>
      <c r="H140" s="8"/>
      <c r="I140" s="9"/>
      <c r="J140" s="8"/>
      <c r="K140" s="8"/>
    </row>
    <row r="141" spans="1:11" ht="14.45">
      <c r="A141" s="8"/>
      <c r="B141" s="13"/>
      <c r="C141" s="8"/>
      <c r="D141" s="8"/>
      <c r="E141" s="8"/>
      <c r="F141" s="9"/>
      <c r="G141" s="8"/>
      <c r="H141" s="8"/>
      <c r="I141" s="9"/>
      <c r="J141" s="8"/>
      <c r="K141" s="8"/>
    </row>
    <row r="142" spans="1:11" ht="14.45">
      <c r="A142" s="8"/>
      <c r="B142" s="13"/>
      <c r="C142" s="8"/>
      <c r="D142" s="8"/>
      <c r="E142" s="8"/>
      <c r="F142" s="9"/>
      <c r="G142" s="8"/>
      <c r="H142" s="8"/>
      <c r="I142" s="9"/>
      <c r="J142" s="8"/>
      <c r="K142" s="8"/>
    </row>
    <row r="143" spans="1:11" ht="14.45">
      <c r="A143" s="8"/>
      <c r="B143" s="13"/>
      <c r="C143" s="8"/>
      <c r="D143" s="8"/>
      <c r="E143" s="8"/>
      <c r="F143" s="9"/>
      <c r="G143" s="8"/>
      <c r="H143" s="8"/>
      <c r="I143" s="9"/>
      <c r="J143" s="8"/>
      <c r="K143" s="8"/>
    </row>
    <row r="144" spans="1:11" ht="14.45">
      <c r="A144" s="8"/>
      <c r="B144" s="13"/>
      <c r="C144" s="8"/>
      <c r="D144" s="8"/>
      <c r="E144" s="8"/>
      <c r="F144" s="9"/>
      <c r="G144" s="8"/>
      <c r="H144" s="8"/>
      <c r="I144" s="9"/>
      <c r="J144" s="8"/>
      <c r="K144" s="8"/>
    </row>
    <row r="145" spans="1:11" ht="14.45">
      <c r="A145" s="8"/>
      <c r="B145" s="13"/>
      <c r="C145" s="8"/>
      <c r="D145" s="8"/>
      <c r="E145" s="8"/>
      <c r="F145" s="9"/>
      <c r="G145" s="8"/>
      <c r="H145" s="8"/>
      <c r="I145" s="9"/>
      <c r="J145" s="8"/>
      <c r="K145" s="8"/>
    </row>
    <row r="146" spans="1:11" ht="14.45">
      <c r="A146" s="8"/>
      <c r="B146" s="13"/>
      <c r="C146" s="8"/>
      <c r="D146" s="8"/>
      <c r="E146" s="8"/>
      <c r="F146" s="9"/>
      <c r="G146" s="8"/>
      <c r="H146" s="8"/>
      <c r="I146" s="9"/>
      <c r="J146" s="8"/>
      <c r="K146" s="8"/>
    </row>
    <row r="147" spans="1:11" ht="14.45">
      <c r="A147" s="8"/>
      <c r="B147" s="13"/>
      <c r="C147" s="8"/>
      <c r="D147" s="8"/>
      <c r="E147" s="8"/>
      <c r="F147" s="9"/>
      <c r="G147" s="8"/>
      <c r="H147" s="8"/>
      <c r="I147" s="9"/>
      <c r="J147" s="8"/>
      <c r="K147" s="8"/>
    </row>
    <row r="148" spans="1:11" ht="14.45">
      <c r="A148" s="8"/>
      <c r="B148" s="13"/>
      <c r="C148" s="8"/>
      <c r="D148" s="8"/>
      <c r="E148" s="8"/>
      <c r="F148" s="9"/>
      <c r="G148" s="8"/>
      <c r="H148" s="8"/>
      <c r="I148" s="9"/>
      <c r="J148" s="8"/>
      <c r="K148" s="8"/>
    </row>
    <row r="149" spans="1:11" ht="14.45">
      <c r="A149" s="8"/>
      <c r="B149" s="13"/>
      <c r="C149" s="8"/>
      <c r="D149" s="8"/>
      <c r="E149" s="8"/>
      <c r="F149" s="9"/>
      <c r="G149" s="8"/>
      <c r="H149" s="8"/>
      <c r="I149" s="9"/>
      <c r="J149" s="8"/>
      <c r="K149" s="8"/>
    </row>
    <row r="150" spans="1:11" ht="14.45">
      <c r="A150" s="8"/>
      <c r="B150" s="13"/>
      <c r="C150" s="8"/>
      <c r="D150" s="8"/>
      <c r="E150" s="8"/>
      <c r="F150" s="9"/>
      <c r="G150" s="8"/>
      <c r="H150" s="8"/>
      <c r="I150" s="9"/>
      <c r="J150" s="8"/>
      <c r="K150" s="8"/>
    </row>
    <row r="151" spans="1:11" ht="14.45">
      <c r="A151" s="8"/>
      <c r="B151" s="13"/>
      <c r="C151" s="8"/>
      <c r="D151" s="8"/>
      <c r="E151" s="8"/>
      <c r="F151" s="9"/>
      <c r="G151" s="8"/>
      <c r="H151" s="8"/>
      <c r="I151" s="9"/>
      <c r="J151" s="8"/>
      <c r="K151" s="8"/>
    </row>
    <row r="152" spans="1:11" ht="14.45">
      <c r="A152" s="8"/>
      <c r="B152" s="13"/>
      <c r="C152" s="8"/>
      <c r="D152" s="8"/>
      <c r="E152" s="8"/>
      <c r="F152" s="9"/>
      <c r="G152" s="8"/>
      <c r="H152" s="8"/>
      <c r="I152" s="9"/>
      <c r="J152" s="8"/>
      <c r="K152" s="8"/>
    </row>
    <row r="153" spans="1:11" ht="14.45">
      <c r="A153" s="8"/>
      <c r="B153" s="13"/>
      <c r="C153" s="8"/>
      <c r="D153" s="8"/>
      <c r="E153" s="8"/>
      <c r="F153" s="9"/>
      <c r="G153" s="8"/>
      <c r="H153" s="8"/>
      <c r="I153" s="9"/>
      <c r="J153" s="8"/>
      <c r="K153" s="8"/>
    </row>
    <row r="154" spans="1:11" ht="14.45">
      <c r="A154" s="8"/>
      <c r="B154" s="13"/>
      <c r="C154" s="8"/>
      <c r="D154" s="8"/>
      <c r="E154" s="8"/>
      <c r="F154" s="9"/>
      <c r="G154" s="8"/>
      <c r="H154" s="8"/>
      <c r="I154" s="9"/>
      <c r="J154" s="8"/>
      <c r="K154" s="8"/>
    </row>
    <row r="155" spans="1:11" ht="14.45">
      <c r="A155" s="8"/>
      <c r="B155" s="13"/>
      <c r="C155" s="8"/>
      <c r="D155" s="8"/>
      <c r="E155" s="8"/>
      <c r="F155" s="9"/>
      <c r="G155" s="8"/>
      <c r="H155" s="8"/>
      <c r="I155" s="9"/>
      <c r="J155" s="8"/>
      <c r="K155" s="8"/>
    </row>
    <row r="156" spans="1:11" ht="14.45">
      <c r="A156" s="8"/>
      <c r="B156" s="13"/>
      <c r="C156" s="8"/>
      <c r="D156" s="8"/>
      <c r="E156" s="8"/>
      <c r="F156" s="9"/>
      <c r="G156" s="8"/>
      <c r="H156" s="8"/>
      <c r="I156" s="9"/>
      <c r="J156" s="8"/>
      <c r="K156" s="8"/>
    </row>
    <row r="157" spans="1:11" ht="14.45">
      <c r="A157" s="8"/>
      <c r="B157" s="13"/>
      <c r="C157" s="8"/>
      <c r="D157" s="8"/>
      <c r="E157" s="8"/>
      <c r="F157" s="9"/>
      <c r="G157" s="8"/>
      <c r="H157" s="8"/>
      <c r="I157" s="9"/>
      <c r="J157" s="8"/>
      <c r="K157" s="8"/>
    </row>
    <row r="158" spans="1:11" ht="14.45">
      <c r="A158" s="8"/>
      <c r="B158" s="13"/>
      <c r="C158" s="8"/>
      <c r="D158" s="8"/>
      <c r="E158" s="8"/>
      <c r="F158" s="9"/>
      <c r="G158" s="8"/>
      <c r="H158" s="8"/>
      <c r="I158" s="9"/>
      <c r="J158" s="8"/>
      <c r="K158" s="8"/>
    </row>
    <row r="159" spans="1:11" ht="14.45">
      <c r="A159" s="8"/>
      <c r="B159" s="13"/>
      <c r="C159" s="8"/>
      <c r="D159" s="8"/>
      <c r="E159" s="8"/>
      <c r="F159" s="9"/>
      <c r="G159" s="8"/>
      <c r="H159" s="8"/>
      <c r="I159" s="9"/>
      <c r="J159" s="8"/>
      <c r="K159" s="8"/>
    </row>
    <row r="160" spans="1:11" ht="14.45">
      <c r="A160" s="8"/>
      <c r="B160" s="13"/>
      <c r="C160" s="8"/>
      <c r="D160" s="8"/>
      <c r="E160" s="8"/>
      <c r="F160" s="9"/>
      <c r="G160" s="8"/>
      <c r="H160" s="8"/>
      <c r="I160" s="9"/>
      <c r="J160" s="8"/>
      <c r="K160" s="8"/>
    </row>
    <row r="161" spans="1:11" ht="14.45">
      <c r="A161" s="8"/>
      <c r="B161" s="13"/>
      <c r="C161" s="8"/>
      <c r="D161" s="8"/>
      <c r="E161" s="8"/>
      <c r="F161" s="9"/>
      <c r="G161" s="8"/>
      <c r="H161" s="8"/>
      <c r="I161" s="9"/>
      <c r="J161" s="8"/>
      <c r="K161" s="8"/>
    </row>
    <row r="162" spans="1:11" ht="14.45">
      <c r="A162" s="8"/>
      <c r="B162" s="13"/>
      <c r="C162" s="8"/>
      <c r="D162" s="8"/>
      <c r="E162" s="8"/>
      <c r="F162" s="9"/>
      <c r="G162" s="8"/>
      <c r="H162" s="8"/>
      <c r="I162" s="9"/>
      <c r="J162" s="8"/>
      <c r="K162" s="8"/>
    </row>
    <row r="163" spans="1:11" ht="14.45">
      <c r="A163" s="8"/>
      <c r="B163" s="13"/>
      <c r="C163" s="8"/>
      <c r="D163" s="8"/>
      <c r="E163" s="8"/>
      <c r="F163" s="9"/>
      <c r="G163" s="8"/>
      <c r="H163" s="8"/>
      <c r="I163" s="9"/>
      <c r="J163" s="8"/>
      <c r="K163" s="8"/>
    </row>
    <row r="164" spans="1:11" ht="14.45">
      <c r="A164" s="8"/>
      <c r="B164" s="13"/>
      <c r="C164" s="8"/>
      <c r="D164" s="8"/>
      <c r="E164" s="8"/>
      <c r="F164" s="9"/>
      <c r="G164" s="8"/>
      <c r="H164" s="8"/>
      <c r="I164" s="9"/>
      <c r="J164" s="8"/>
      <c r="K164" s="8"/>
    </row>
    <row r="165" spans="1:11" ht="14.45">
      <c r="A165" s="8"/>
      <c r="B165" s="13"/>
      <c r="C165" s="8"/>
      <c r="D165" s="8"/>
      <c r="E165" s="8"/>
      <c r="F165" s="9"/>
      <c r="G165" s="8"/>
      <c r="H165" s="8"/>
      <c r="I165" s="9"/>
      <c r="J165" s="8"/>
      <c r="K165" s="8"/>
    </row>
    <row r="166" spans="1:11" ht="14.45">
      <c r="A166" s="8"/>
      <c r="B166" s="13"/>
      <c r="C166" s="8"/>
      <c r="D166" s="8"/>
      <c r="E166" s="8"/>
      <c r="F166" s="9"/>
      <c r="G166" s="8"/>
      <c r="H166" s="8"/>
      <c r="I166" s="9"/>
      <c r="J166" s="8"/>
      <c r="K166" s="8"/>
    </row>
    <row r="167" spans="1:11" ht="14.45">
      <c r="A167" s="8"/>
      <c r="B167" s="13"/>
      <c r="C167" s="8"/>
      <c r="D167" s="8"/>
      <c r="E167" s="8"/>
      <c r="F167" s="9"/>
      <c r="G167" s="8"/>
      <c r="H167" s="8"/>
      <c r="I167" s="9"/>
      <c r="J167" s="8"/>
      <c r="K167" s="8"/>
    </row>
    <row r="168" spans="1:11" ht="14.45">
      <c r="A168" s="8"/>
      <c r="B168" s="13"/>
      <c r="C168" s="8"/>
      <c r="D168" s="8"/>
      <c r="E168" s="8"/>
      <c r="F168" s="9"/>
      <c r="G168" s="8"/>
      <c r="H168" s="8"/>
      <c r="I168" s="9"/>
      <c r="J168" s="8"/>
      <c r="K168" s="8"/>
    </row>
    <row r="169" spans="1:11" ht="14.45">
      <c r="A169" s="8"/>
      <c r="B169" s="13"/>
      <c r="C169" s="8"/>
      <c r="D169" s="8"/>
      <c r="E169" s="8"/>
      <c r="F169" s="9"/>
      <c r="G169" s="8"/>
      <c r="H169" s="8"/>
      <c r="I169" s="9"/>
      <c r="J169" s="8"/>
      <c r="K169" s="8"/>
    </row>
    <row r="170" spans="1:11" ht="14.45">
      <c r="A170" s="8"/>
      <c r="B170" s="13"/>
      <c r="C170" s="8"/>
      <c r="D170" s="8"/>
      <c r="E170" s="8"/>
      <c r="F170" s="9"/>
      <c r="G170" s="8"/>
      <c r="H170" s="8"/>
      <c r="I170" s="9"/>
      <c r="J170" s="8"/>
      <c r="K170" s="8"/>
    </row>
    <row r="171" spans="1:11" ht="14.45">
      <c r="A171" s="8"/>
      <c r="B171" s="13"/>
      <c r="C171" s="8"/>
      <c r="D171" s="8"/>
      <c r="E171" s="8"/>
      <c r="F171" s="9"/>
      <c r="G171" s="8"/>
      <c r="H171" s="8"/>
      <c r="I171" s="9"/>
      <c r="J171" s="8"/>
      <c r="K171" s="8"/>
    </row>
    <row r="172" spans="1:11" ht="14.45">
      <c r="A172" s="8"/>
      <c r="B172" s="13"/>
      <c r="C172" s="8"/>
      <c r="D172" s="8"/>
      <c r="E172" s="8"/>
      <c r="F172" s="9"/>
      <c r="G172" s="8"/>
      <c r="H172" s="8"/>
      <c r="I172" s="9"/>
      <c r="J172" s="8"/>
      <c r="K172" s="8"/>
    </row>
    <row r="173" spans="1:11" ht="14.45">
      <c r="A173" s="8"/>
      <c r="B173" s="13"/>
      <c r="C173" s="8"/>
      <c r="D173" s="8"/>
      <c r="E173" s="8"/>
      <c r="F173" s="9"/>
      <c r="G173" s="8"/>
      <c r="H173" s="8"/>
      <c r="I173" s="9"/>
      <c r="J173" s="8"/>
      <c r="K173" s="8"/>
    </row>
    <row r="174" spans="1:11" ht="14.45">
      <c r="A174" s="8"/>
      <c r="B174" s="13"/>
      <c r="C174" s="8"/>
      <c r="D174" s="8"/>
      <c r="E174" s="8"/>
      <c r="F174" s="9"/>
      <c r="G174" s="8"/>
      <c r="H174" s="8"/>
      <c r="I174" s="9"/>
      <c r="J174" s="8"/>
      <c r="K174" s="8"/>
    </row>
    <row r="175" spans="1:11" ht="14.45">
      <c r="A175" s="8"/>
      <c r="B175" s="13"/>
      <c r="C175" s="8"/>
      <c r="D175" s="8"/>
      <c r="E175" s="8"/>
      <c r="F175" s="9"/>
      <c r="G175" s="8"/>
      <c r="H175" s="8"/>
      <c r="I175" s="9"/>
      <c r="J175" s="8"/>
      <c r="K175" s="8"/>
    </row>
    <row r="176" spans="1:11" ht="14.45">
      <c r="A176" s="8"/>
      <c r="B176" s="13"/>
      <c r="C176" s="8"/>
      <c r="D176" s="8"/>
      <c r="E176" s="8"/>
      <c r="F176" s="9"/>
      <c r="G176" s="8"/>
      <c r="H176" s="8"/>
      <c r="I176" s="9"/>
      <c r="J176" s="8"/>
      <c r="K176" s="8"/>
    </row>
    <row r="177" spans="1:11" ht="14.45">
      <c r="A177" s="8"/>
      <c r="B177" s="13"/>
      <c r="C177" s="8"/>
      <c r="D177" s="8"/>
      <c r="E177" s="8"/>
      <c r="F177" s="9"/>
      <c r="G177" s="8"/>
      <c r="H177" s="8"/>
      <c r="I177" s="9"/>
      <c r="J177" s="8"/>
      <c r="K177" s="8"/>
    </row>
    <row r="178" spans="1:11" ht="14.45">
      <c r="A178" s="8"/>
      <c r="B178" s="13"/>
      <c r="C178" s="8"/>
      <c r="D178" s="8"/>
      <c r="E178" s="8"/>
      <c r="F178" s="9"/>
      <c r="G178" s="8"/>
      <c r="H178" s="8"/>
      <c r="I178" s="9"/>
      <c r="J178" s="8"/>
      <c r="K178" s="8"/>
    </row>
    <row r="179" spans="1:11" ht="14.45">
      <c r="A179" s="8"/>
      <c r="B179" s="13"/>
      <c r="C179" s="8"/>
      <c r="D179" s="8"/>
      <c r="E179" s="8"/>
      <c r="F179" s="9"/>
      <c r="G179" s="8"/>
      <c r="H179" s="8"/>
      <c r="I179" s="9"/>
      <c r="J179" s="8"/>
      <c r="K179" s="8"/>
    </row>
    <row r="180" spans="1:11" ht="14.45">
      <c r="A180" s="8"/>
      <c r="B180" s="13"/>
      <c r="C180" s="8"/>
      <c r="D180" s="8"/>
      <c r="E180" s="8"/>
      <c r="F180" s="9"/>
      <c r="G180" s="8"/>
      <c r="H180" s="8"/>
      <c r="I180" s="9"/>
      <c r="J180" s="8"/>
      <c r="K180" s="8"/>
    </row>
    <row r="181" spans="1:11" ht="14.45">
      <c r="A181" s="8"/>
      <c r="B181" s="13"/>
      <c r="C181" s="8"/>
      <c r="D181" s="8"/>
      <c r="E181" s="8"/>
      <c r="F181" s="9"/>
      <c r="G181" s="8"/>
      <c r="H181" s="8"/>
      <c r="I181" s="9"/>
      <c r="J181" s="8"/>
      <c r="K181" s="8"/>
    </row>
    <row r="182" spans="1:11" ht="14.45">
      <c r="A182" s="8"/>
      <c r="B182" s="13"/>
      <c r="C182" s="8"/>
      <c r="D182" s="8"/>
      <c r="E182" s="8"/>
      <c r="F182" s="9"/>
      <c r="G182" s="8"/>
      <c r="H182" s="8"/>
      <c r="I182" s="9"/>
      <c r="J182" s="8"/>
      <c r="K182" s="8"/>
    </row>
    <row r="183" spans="1:11" ht="14.45">
      <c r="A183" s="8"/>
      <c r="B183" s="13"/>
      <c r="C183" s="8"/>
      <c r="D183" s="8"/>
      <c r="E183" s="8"/>
      <c r="F183" s="9"/>
      <c r="G183" s="8"/>
      <c r="H183" s="8"/>
      <c r="I183" s="9"/>
      <c r="J183" s="8"/>
      <c r="K183" s="8"/>
    </row>
    <row r="184" spans="1:11" ht="14.45">
      <c r="A184" s="8"/>
      <c r="B184" s="13"/>
      <c r="C184" s="8"/>
      <c r="D184" s="8"/>
      <c r="E184" s="8"/>
      <c r="F184" s="9"/>
      <c r="G184" s="8"/>
      <c r="H184" s="8"/>
      <c r="I184" s="9"/>
      <c r="J184" s="8"/>
      <c r="K184" s="8"/>
    </row>
    <row r="185" spans="1:11" ht="14.45">
      <c r="A185" s="8"/>
      <c r="B185" s="13"/>
      <c r="C185" s="8"/>
      <c r="D185" s="8"/>
      <c r="E185" s="8"/>
      <c r="F185" s="9"/>
      <c r="G185" s="8"/>
      <c r="H185" s="8"/>
      <c r="I185" s="9"/>
      <c r="J185" s="8"/>
      <c r="K185" s="8"/>
    </row>
    <row r="186" spans="1:11" ht="14.45">
      <c r="A186" s="8"/>
      <c r="B186" s="13"/>
      <c r="C186" s="8"/>
      <c r="D186" s="8"/>
      <c r="E186" s="8"/>
      <c r="F186" s="9"/>
      <c r="G186" s="8"/>
      <c r="H186" s="8"/>
      <c r="I186" s="9"/>
      <c r="J186" s="8"/>
      <c r="K186" s="8"/>
    </row>
    <row r="187" spans="1:11" ht="14.45">
      <c r="A187" s="8"/>
      <c r="B187" s="13"/>
      <c r="C187" s="8"/>
      <c r="D187" s="8"/>
      <c r="E187" s="8"/>
      <c r="F187" s="9"/>
      <c r="G187" s="8"/>
      <c r="H187" s="8"/>
      <c r="I187" s="9"/>
      <c r="J187" s="8"/>
      <c r="K187" s="8"/>
    </row>
    <row r="188" spans="1:11" ht="14.45">
      <c r="A188" s="8"/>
      <c r="B188" s="13"/>
      <c r="C188" s="8"/>
      <c r="D188" s="8"/>
      <c r="E188" s="8"/>
      <c r="F188" s="9"/>
      <c r="G188" s="8"/>
      <c r="H188" s="8"/>
      <c r="I188" s="9"/>
      <c r="J188" s="8"/>
      <c r="K188" s="8"/>
    </row>
    <row r="189" spans="1:11" ht="14.45">
      <c r="A189" s="8"/>
      <c r="B189" s="13"/>
      <c r="C189" s="8"/>
      <c r="D189" s="8"/>
      <c r="E189" s="8"/>
      <c r="F189" s="9"/>
      <c r="G189" s="8"/>
      <c r="H189" s="8"/>
      <c r="I189" s="9"/>
      <c r="J189" s="8"/>
      <c r="K189" s="8"/>
    </row>
    <row r="190" spans="1:11" ht="14.45">
      <c r="A190" s="8"/>
      <c r="B190" s="13"/>
      <c r="C190" s="8"/>
      <c r="D190" s="8"/>
      <c r="E190" s="8"/>
      <c r="F190" s="9"/>
      <c r="G190" s="8"/>
      <c r="H190" s="8"/>
      <c r="I190" s="9"/>
      <c r="J190" s="8"/>
      <c r="K190" s="8"/>
    </row>
    <row r="191" spans="1:11" ht="14.45">
      <c r="A191" s="8"/>
      <c r="B191" s="13"/>
      <c r="C191" s="8"/>
      <c r="D191" s="8"/>
      <c r="E191" s="8"/>
      <c r="F191" s="9"/>
      <c r="G191" s="8"/>
      <c r="H191" s="8"/>
      <c r="I191" s="9"/>
      <c r="J191" s="8"/>
      <c r="K191" s="8"/>
    </row>
    <row r="192" spans="1:11" ht="14.45">
      <c r="A192" s="8"/>
      <c r="B192" s="13"/>
      <c r="C192" s="8"/>
      <c r="D192" s="8"/>
      <c r="E192" s="8"/>
      <c r="F192" s="9"/>
      <c r="G192" s="8"/>
      <c r="H192" s="8"/>
      <c r="I192" s="9"/>
      <c r="J192" s="8"/>
      <c r="K192" s="8"/>
    </row>
    <row r="193" spans="1:11" ht="14.45">
      <c r="A193" s="8"/>
      <c r="B193" s="13"/>
      <c r="C193" s="8"/>
      <c r="D193" s="8"/>
      <c r="E193" s="8"/>
      <c r="F193" s="9"/>
      <c r="G193" s="8"/>
      <c r="H193" s="8"/>
      <c r="I193" s="9"/>
      <c r="J193" s="8"/>
      <c r="K193" s="8"/>
    </row>
    <row r="194" spans="1:11" ht="14.45">
      <c r="A194" s="8"/>
      <c r="B194" s="13"/>
      <c r="C194" s="8"/>
      <c r="D194" s="8"/>
      <c r="E194" s="8"/>
      <c r="F194" s="9"/>
      <c r="G194" s="8"/>
      <c r="H194" s="8"/>
      <c r="I194" s="9"/>
      <c r="J194" s="8"/>
      <c r="K194" s="8"/>
    </row>
    <row r="195" spans="1:11" ht="14.45">
      <c r="A195" s="8"/>
      <c r="B195" s="13"/>
      <c r="C195" s="8"/>
      <c r="D195" s="8"/>
      <c r="E195" s="8"/>
      <c r="F195" s="9"/>
      <c r="G195" s="8"/>
      <c r="H195" s="8"/>
      <c r="I195" s="9"/>
      <c r="J195" s="8"/>
      <c r="K195" s="8"/>
    </row>
    <row r="196" spans="1:11" ht="14.45">
      <c r="A196" s="8"/>
      <c r="B196" s="13"/>
      <c r="C196" s="8"/>
      <c r="D196" s="8"/>
      <c r="E196" s="8"/>
      <c r="F196" s="9"/>
      <c r="G196" s="8"/>
      <c r="H196" s="8"/>
      <c r="I196" s="9"/>
      <c r="J196" s="8"/>
      <c r="K196" s="8"/>
    </row>
    <row r="197" spans="1:11" ht="14.45">
      <c r="A197" s="8"/>
      <c r="B197" s="13"/>
      <c r="C197" s="8"/>
      <c r="D197" s="8"/>
      <c r="E197" s="8"/>
      <c r="F197" s="9"/>
      <c r="G197" s="8"/>
      <c r="H197" s="8"/>
      <c r="I197" s="9"/>
      <c r="J197" s="8"/>
      <c r="K197" s="8"/>
    </row>
    <row r="198" spans="1:11" ht="14.45">
      <c r="A198" s="8"/>
      <c r="B198" s="13"/>
      <c r="C198" s="8"/>
      <c r="D198" s="8"/>
      <c r="E198" s="8"/>
      <c r="F198" s="9"/>
      <c r="G198" s="8"/>
      <c r="H198" s="8"/>
      <c r="I198" s="9"/>
      <c r="J198" s="8"/>
      <c r="K198" s="8"/>
    </row>
    <row r="199" spans="1:11" ht="14.45">
      <c r="A199" s="8"/>
      <c r="B199" s="13"/>
      <c r="C199" s="8"/>
      <c r="D199" s="8"/>
      <c r="E199" s="8"/>
      <c r="F199" s="9"/>
      <c r="G199" s="8"/>
      <c r="H199" s="8"/>
      <c r="I199" s="9"/>
      <c r="J199" s="8"/>
      <c r="K199" s="8"/>
    </row>
    <row r="200" spans="1:11" ht="14.45">
      <c r="A200" s="8"/>
      <c r="B200" s="13"/>
      <c r="C200" s="8"/>
      <c r="D200" s="8"/>
      <c r="E200" s="8"/>
      <c r="F200" s="9"/>
      <c r="G200" s="8"/>
      <c r="H200" s="8"/>
      <c r="I200" s="9"/>
      <c r="J200" s="8"/>
      <c r="K200" s="8"/>
    </row>
    <row r="201" spans="1:11" ht="14.45">
      <c r="A201" s="8"/>
      <c r="B201" s="13"/>
      <c r="C201" s="8"/>
      <c r="D201" s="8"/>
      <c r="E201" s="8"/>
      <c r="F201" s="9"/>
      <c r="G201" s="8"/>
      <c r="H201" s="8"/>
      <c r="I201" s="9"/>
      <c r="J201" s="8"/>
      <c r="K201" s="8"/>
    </row>
    <row r="202" spans="1:11" ht="14.45">
      <c r="A202" s="8"/>
      <c r="B202" s="13"/>
      <c r="C202" s="8"/>
      <c r="D202" s="8"/>
      <c r="E202" s="8"/>
      <c r="F202" s="9"/>
      <c r="G202" s="8"/>
      <c r="H202" s="8"/>
      <c r="I202" s="9"/>
      <c r="J202" s="8"/>
      <c r="K202" s="8"/>
    </row>
    <row r="203" spans="1:11" ht="14.45">
      <c r="A203" s="8"/>
      <c r="B203" s="13"/>
      <c r="C203" s="8"/>
      <c r="D203" s="8"/>
      <c r="E203" s="8"/>
      <c r="F203" s="9"/>
      <c r="G203" s="8"/>
      <c r="H203" s="8"/>
      <c r="I203" s="9"/>
      <c r="J203" s="8"/>
      <c r="K203" s="8"/>
    </row>
    <row r="204" spans="1:11" ht="14.45">
      <c r="A204" s="8"/>
      <c r="B204" s="13"/>
      <c r="C204" s="8"/>
      <c r="D204" s="8"/>
      <c r="E204" s="8"/>
      <c r="F204" s="9"/>
      <c r="G204" s="8"/>
      <c r="H204" s="8"/>
      <c r="I204" s="9"/>
      <c r="J204" s="8"/>
      <c r="K204" s="8"/>
    </row>
    <row r="205" spans="1:11" ht="14.45">
      <c r="A205" s="8"/>
      <c r="B205" s="13"/>
      <c r="C205" s="8"/>
      <c r="D205" s="8"/>
      <c r="E205" s="8"/>
      <c r="F205" s="9"/>
      <c r="G205" s="8"/>
      <c r="H205" s="8"/>
      <c r="I205" s="9"/>
      <c r="J205" s="8"/>
      <c r="K205" s="8"/>
    </row>
    <row r="206" spans="1:11" ht="14.45">
      <c r="A206" s="8"/>
      <c r="B206" s="13"/>
      <c r="C206" s="8"/>
      <c r="D206" s="8"/>
      <c r="E206" s="8"/>
      <c r="F206" s="9"/>
      <c r="G206" s="8"/>
      <c r="H206" s="8"/>
      <c r="I206" s="9"/>
      <c r="J206" s="8"/>
      <c r="K206" s="8"/>
    </row>
    <row r="207" spans="1:11" ht="14.45">
      <c r="A207" s="8"/>
      <c r="B207" s="13"/>
      <c r="C207" s="8"/>
      <c r="D207" s="8"/>
      <c r="E207" s="8"/>
      <c r="F207" s="9"/>
      <c r="G207" s="8"/>
      <c r="H207" s="8"/>
      <c r="I207" s="9"/>
      <c r="J207" s="8"/>
      <c r="K207" s="8"/>
    </row>
    <row r="208" spans="1:11" ht="14.45">
      <c r="A208" s="8"/>
      <c r="B208" s="13"/>
      <c r="C208" s="8"/>
      <c r="D208" s="8"/>
      <c r="E208" s="8"/>
      <c r="F208" s="9"/>
      <c r="G208" s="8"/>
      <c r="H208" s="8"/>
      <c r="I208" s="9"/>
      <c r="J208" s="8"/>
      <c r="K208" s="8"/>
    </row>
    <row r="209" spans="1:11" ht="14.45">
      <c r="A209" s="8"/>
      <c r="B209" s="13"/>
      <c r="C209" s="8"/>
      <c r="D209" s="8"/>
      <c r="E209" s="8"/>
      <c r="F209" s="9"/>
      <c r="G209" s="8"/>
      <c r="H209" s="8"/>
      <c r="I209" s="9"/>
      <c r="J209" s="8"/>
      <c r="K209" s="8"/>
    </row>
    <row r="210" spans="1:11" ht="14.45">
      <c r="A210" s="8"/>
      <c r="B210" s="13"/>
      <c r="C210" s="8"/>
      <c r="D210" s="8"/>
      <c r="E210" s="8"/>
      <c r="F210" s="9"/>
      <c r="G210" s="8"/>
      <c r="H210" s="8"/>
      <c r="I210" s="9"/>
      <c r="J210" s="8"/>
      <c r="K210" s="8"/>
    </row>
    <row r="211" spans="1:11" ht="14.45">
      <c r="A211" s="8"/>
      <c r="B211" s="13"/>
      <c r="C211" s="8"/>
      <c r="D211" s="8"/>
      <c r="E211" s="8"/>
      <c r="F211" s="9"/>
      <c r="G211" s="8"/>
      <c r="H211" s="8"/>
      <c r="I211" s="9"/>
      <c r="J211" s="8"/>
      <c r="K211" s="8"/>
    </row>
    <row r="212" spans="1:11" ht="14.45">
      <c r="A212" s="8"/>
      <c r="B212" s="13"/>
      <c r="C212" s="8"/>
      <c r="D212" s="8"/>
      <c r="E212" s="8"/>
      <c r="F212" s="9"/>
      <c r="G212" s="8"/>
      <c r="H212" s="8"/>
      <c r="I212" s="9"/>
      <c r="J212" s="8"/>
      <c r="K212" s="8"/>
    </row>
    <row r="213" spans="1:11" ht="14.45">
      <c r="A213" s="8"/>
      <c r="B213" s="13"/>
      <c r="C213" s="8"/>
      <c r="D213" s="8"/>
      <c r="E213" s="8"/>
      <c r="F213" s="9"/>
      <c r="G213" s="8"/>
      <c r="H213" s="8"/>
      <c r="I213" s="9"/>
      <c r="J213" s="8"/>
      <c r="K213" s="8"/>
    </row>
    <row r="214" spans="1:11" ht="14.45">
      <c r="A214" s="8"/>
      <c r="B214" s="13"/>
      <c r="C214" s="8"/>
      <c r="D214" s="8"/>
      <c r="E214" s="8"/>
      <c r="F214" s="9"/>
      <c r="G214" s="8"/>
      <c r="H214" s="8"/>
      <c r="I214" s="9"/>
      <c r="J214" s="8"/>
      <c r="K214" s="8"/>
    </row>
    <row r="215" spans="1:11" ht="14.45">
      <c r="A215" s="8"/>
      <c r="B215" s="13"/>
      <c r="C215" s="8"/>
      <c r="D215" s="8"/>
      <c r="E215" s="8"/>
      <c r="F215" s="9"/>
      <c r="G215" s="8"/>
      <c r="H215" s="8"/>
      <c r="I215" s="9"/>
      <c r="J215" s="8"/>
      <c r="K215" s="8"/>
    </row>
    <row r="216" spans="1:11" ht="14.45">
      <c r="A216" s="8"/>
      <c r="B216" s="13"/>
      <c r="C216" s="8"/>
      <c r="D216" s="8"/>
      <c r="E216" s="8"/>
      <c r="F216" s="9"/>
      <c r="G216" s="8"/>
      <c r="H216" s="8"/>
      <c r="I216" s="9"/>
      <c r="J216" s="8"/>
      <c r="K216" s="8"/>
    </row>
    <row r="217" spans="1:11" ht="14.45">
      <c r="A217" s="8"/>
      <c r="B217" s="13"/>
      <c r="C217" s="8"/>
      <c r="D217" s="8"/>
      <c r="E217" s="8"/>
      <c r="F217" s="9"/>
      <c r="G217" s="8"/>
      <c r="H217" s="8"/>
      <c r="I217" s="9"/>
      <c r="J217" s="8"/>
      <c r="K217" s="8"/>
    </row>
    <row r="218" spans="1:11" ht="14.45">
      <c r="A218" s="8"/>
      <c r="B218" s="13"/>
      <c r="C218" s="8"/>
      <c r="D218" s="8"/>
      <c r="E218" s="8"/>
      <c r="F218" s="9"/>
      <c r="G218" s="8"/>
      <c r="H218" s="8"/>
      <c r="I218" s="9"/>
      <c r="J218" s="8"/>
      <c r="K218" s="8"/>
    </row>
    <row r="219" spans="1:11" ht="14.45">
      <c r="A219" s="8"/>
      <c r="B219" s="13"/>
      <c r="C219" s="8"/>
      <c r="D219" s="8"/>
      <c r="E219" s="8"/>
      <c r="F219" s="9"/>
      <c r="G219" s="8"/>
      <c r="H219" s="8"/>
      <c r="I219" s="9"/>
      <c r="J219" s="8"/>
      <c r="K219" s="8"/>
    </row>
    <row r="220" spans="1:11" ht="14.45">
      <c r="A220" s="8"/>
      <c r="B220" s="13"/>
      <c r="C220" s="8"/>
      <c r="D220" s="8"/>
      <c r="E220" s="8"/>
      <c r="F220" s="9"/>
      <c r="G220" s="8"/>
      <c r="H220" s="8"/>
      <c r="I220" s="9"/>
      <c r="J220" s="8"/>
      <c r="K220" s="8"/>
    </row>
    <row r="221" spans="1:11" ht="14.45">
      <c r="A221" s="8"/>
      <c r="B221" s="13"/>
      <c r="C221" s="8"/>
      <c r="D221" s="8"/>
      <c r="E221" s="8"/>
      <c r="F221" s="9"/>
      <c r="G221" s="8"/>
      <c r="H221" s="8"/>
      <c r="I221" s="9"/>
      <c r="J221" s="8"/>
      <c r="K221" s="8"/>
    </row>
    <row r="222" spans="1:11" ht="14.45">
      <c r="A222" s="8"/>
      <c r="B222" s="13"/>
      <c r="C222" s="8"/>
      <c r="D222" s="8"/>
      <c r="E222" s="8"/>
      <c r="F222" s="9"/>
      <c r="G222" s="8"/>
      <c r="H222" s="8"/>
      <c r="I222" s="9"/>
      <c r="J222" s="8"/>
      <c r="K222" s="8"/>
    </row>
    <row r="223" spans="1:11" ht="14.45">
      <c r="A223" s="8"/>
      <c r="B223" s="13"/>
      <c r="C223" s="8"/>
      <c r="D223" s="8"/>
      <c r="E223" s="8"/>
      <c r="F223" s="9"/>
      <c r="G223" s="8"/>
      <c r="H223" s="8"/>
      <c r="I223" s="9"/>
      <c r="J223" s="8"/>
      <c r="K223" s="8"/>
    </row>
    <row r="224" spans="1:11" ht="14.45">
      <c r="A224" s="8"/>
      <c r="B224" s="13"/>
      <c r="C224" s="8"/>
      <c r="D224" s="8"/>
      <c r="E224" s="8"/>
      <c r="F224" s="9"/>
      <c r="G224" s="8"/>
      <c r="H224" s="8"/>
      <c r="I224" s="9"/>
      <c r="J224" s="8"/>
      <c r="K224" s="8"/>
    </row>
    <row r="225" spans="1:11" ht="14.45">
      <c r="A225" s="8"/>
      <c r="B225" s="13"/>
      <c r="C225" s="8"/>
      <c r="D225" s="8"/>
      <c r="E225" s="8"/>
      <c r="F225" s="9"/>
      <c r="G225" s="8"/>
      <c r="H225" s="8"/>
      <c r="I225" s="9"/>
      <c r="J225" s="8"/>
      <c r="K225" s="8"/>
    </row>
    <row r="226" spans="1:11" ht="14.45">
      <c r="A226" s="8"/>
      <c r="B226" s="13"/>
      <c r="C226" s="8"/>
      <c r="D226" s="8"/>
      <c r="E226" s="8"/>
      <c r="F226" s="9"/>
      <c r="G226" s="8"/>
      <c r="H226" s="8"/>
      <c r="I226" s="9"/>
      <c r="J226" s="8"/>
      <c r="K226" s="8"/>
    </row>
    <row r="227" spans="1:11" ht="14.45">
      <c r="A227" s="8"/>
      <c r="B227" s="13"/>
      <c r="C227" s="8"/>
      <c r="D227" s="8"/>
      <c r="E227" s="8"/>
      <c r="F227" s="9"/>
      <c r="G227" s="8"/>
      <c r="H227" s="8"/>
      <c r="I227" s="9"/>
      <c r="J227" s="8"/>
      <c r="K227" s="8"/>
    </row>
    <row r="228" spans="1:11" ht="14.45">
      <c r="A228" s="8"/>
      <c r="B228" s="13"/>
      <c r="C228" s="8"/>
      <c r="D228" s="8"/>
      <c r="E228" s="8"/>
      <c r="F228" s="9"/>
      <c r="G228" s="8"/>
      <c r="H228" s="8"/>
      <c r="I228" s="9"/>
      <c r="J228" s="8"/>
      <c r="K228" s="8"/>
    </row>
    <row r="229" spans="1:11" ht="14.45">
      <c r="A229" s="8"/>
      <c r="B229" s="13"/>
      <c r="C229" s="8"/>
      <c r="D229" s="8"/>
      <c r="E229" s="8"/>
      <c r="F229" s="9"/>
      <c r="G229" s="8"/>
      <c r="H229" s="8"/>
      <c r="I229" s="9"/>
      <c r="J229" s="8"/>
      <c r="K229" s="8"/>
    </row>
    <row r="230" spans="1:11" ht="14.45">
      <c r="A230" s="8"/>
      <c r="B230" s="13"/>
      <c r="C230" s="8"/>
      <c r="D230" s="8"/>
      <c r="E230" s="8"/>
      <c r="F230" s="9"/>
      <c r="G230" s="8"/>
      <c r="H230" s="8"/>
      <c r="I230" s="9"/>
      <c r="J230" s="8"/>
      <c r="K230" s="8"/>
    </row>
    <row r="231" spans="1:11" ht="14.45">
      <c r="A231" s="8"/>
      <c r="B231" s="13"/>
      <c r="C231" s="8"/>
      <c r="D231" s="8"/>
      <c r="E231" s="8"/>
      <c r="F231" s="9"/>
      <c r="G231" s="8"/>
      <c r="H231" s="8"/>
      <c r="I231" s="9"/>
      <c r="J231" s="8"/>
      <c r="K231" s="8"/>
    </row>
    <row r="232" spans="1:11" ht="14.45">
      <c r="A232" s="8"/>
      <c r="B232" s="13"/>
      <c r="C232" s="8"/>
      <c r="D232" s="8"/>
      <c r="E232" s="8"/>
      <c r="F232" s="9"/>
      <c r="G232" s="8"/>
      <c r="H232" s="8"/>
      <c r="I232" s="9"/>
      <c r="J232" s="8"/>
      <c r="K232" s="8"/>
    </row>
    <row r="233" spans="1:11" ht="14.45">
      <c r="A233" s="8"/>
      <c r="B233" s="13"/>
      <c r="C233" s="8"/>
      <c r="D233" s="8"/>
      <c r="E233" s="8"/>
      <c r="F233" s="9"/>
      <c r="G233" s="8"/>
      <c r="H233" s="8"/>
      <c r="I233" s="9"/>
      <c r="J233" s="8"/>
      <c r="K233" s="8"/>
    </row>
    <row r="234" spans="1:11" ht="14.45">
      <c r="A234" s="8"/>
      <c r="B234" s="13"/>
      <c r="C234" s="8"/>
      <c r="D234" s="8"/>
      <c r="E234" s="8"/>
      <c r="F234" s="9"/>
      <c r="G234" s="8"/>
      <c r="H234" s="8"/>
      <c r="I234" s="9"/>
      <c r="J234" s="8"/>
      <c r="K234" s="8"/>
    </row>
    <row r="235" spans="1:11" ht="14.45">
      <c r="A235" s="8"/>
      <c r="B235" s="13"/>
      <c r="C235" s="8"/>
      <c r="D235" s="8"/>
      <c r="E235" s="8"/>
      <c r="F235" s="9"/>
      <c r="G235" s="8"/>
      <c r="H235" s="8"/>
      <c r="I235" s="9"/>
      <c r="J235" s="8"/>
      <c r="K235" s="8"/>
    </row>
    <row r="236" spans="1:11" ht="14.45">
      <c r="A236" s="8"/>
      <c r="B236" s="13"/>
      <c r="C236" s="8"/>
      <c r="D236" s="8"/>
      <c r="E236" s="8"/>
      <c r="F236" s="9"/>
      <c r="G236" s="8"/>
      <c r="H236" s="8"/>
      <c r="I236" s="9"/>
      <c r="J236" s="8"/>
      <c r="K236" s="8"/>
    </row>
    <row r="237" spans="1:11" ht="14.45">
      <c r="A237" s="8"/>
      <c r="B237" s="13"/>
      <c r="C237" s="8"/>
      <c r="D237" s="8"/>
      <c r="E237" s="8"/>
      <c r="F237" s="9"/>
      <c r="G237" s="8"/>
      <c r="H237" s="8"/>
      <c r="I237" s="9"/>
      <c r="J237" s="8"/>
      <c r="K237" s="8"/>
    </row>
    <row r="238" spans="1:11" ht="14.45">
      <c r="A238" s="8"/>
      <c r="B238" s="13"/>
      <c r="C238" s="8"/>
      <c r="D238" s="8"/>
      <c r="E238" s="8"/>
      <c r="F238" s="9"/>
      <c r="G238" s="8"/>
      <c r="H238" s="8"/>
      <c r="I238" s="9"/>
      <c r="J238" s="8"/>
      <c r="K238" s="8"/>
    </row>
    <row r="239" spans="1:11" ht="14.45">
      <c r="A239" s="8"/>
      <c r="B239" s="13"/>
      <c r="C239" s="8"/>
      <c r="D239" s="8"/>
      <c r="E239" s="8"/>
      <c r="F239" s="9"/>
      <c r="G239" s="8"/>
      <c r="H239" s="8"/>
      <c r="I239" s="9"/>
      <c r="J239" s="8"/>
      <c r="K239" s="8"/>
    </row>
    <row r="240" spans="1:11" ht="14.45">
      <c r="A240" s="8"/>
      <c r="B240" s="13"/>
      <c r="C240" s="8"/>
      <c r="D240" s="8"/>
      <c r="E240" s="8"/>
      <c r="F240" s="9"/>
      <c r="G240" s="8"/>
      <c r="H240" s="8"/>
      <c r="I240" s="9"/>
      <c r="J240" s="8"/>
      <c r="K240" s="8"/>
    </row>
    <row r="241" spans="1:11" ht="14.45">
      <c r="A241" s="8"/>
      <c r="B241" s="13"/>
      <c r="C241" s="8"/>
      <c r="D241" s="8"/>
      <c r="E241" s="8"/>
      <c r="F241" s="9"/>
      <c r="G241" s="8"/>
      <c r="H241" s="8"/>
      <c r="I241" s="9"/>
      <c r="J241" s="8"/>
      <c r="K241" s="8"/>
    </row>
    <row r="242" spans="1:11" ht="14.45">
      <c r="A242" s="8"/>
      <c r="B242" s="13"/>
      <c r="C242" s="8"/>
      <c r="D242" s="8"/>
      <c r="E242" s="8"/>
      <c r="F242" s="9"/>
      <c r="G242" s="8"/>
      <c r="H242" s="8"/>
      <c r="I242" s="9"/>
      <c r="J242" s="8"/>
      <c r="K242" s="8"/>
    </row>
    <row r="243" spans="1:11" ht="14.45">
      <c r="A243" s="8"/>
      <c r="B243" s="13"/>
      <c r="C243" s="8"/>
      <c r="D243" s="8"/>
      <c r="E243" s="8"/>
      <c r="F243" s="9"/>
      <c r="G243" s="8"/>
      <c r="H243" s="8"/>
      <c r="I243" s="9"/>
      <c r="J243" s="8"/>
      <c r="K243" s="8"/>
    </row>
    <row r="244" spans="1:11" ht="14.45">
      <c r="A244" s="8"/>
      <c r="B244" s="13"/>
      <c r="C244" s="8"/>
      <c r="D244" s="8"/>
      <c r="E244" s="8"/>
      <c r="F244" s="9"/>
      <c r="G244" s="8"/>
      <c r="H244" s="8"/>
      <c r="I244" s="9"/>
      <c r="J244" s="8"/>
      <c r="K244" s="8"/>
    </row>
    <row r="245" spans="1:11" ht="14.45">
      <c r="A245" s="8"/>
      <c r="B245" s="13"/>
      <c r="C245" s="8"/>
      <c r="D245" s="8"/>
      <c r="E245" s="8"/>
      <c r="F245" s="9"/>
      <c r="G245" s="8"/>
      <c r="H245" s="8"/>
      <c r="I245" s="9"/>
      <c r="J245" s="8"/>
      <c r="K245" s="8"/>
    </row>
    <row r="246" spans="1:11" ht="14.45">
      <c r="A246" s="8"/>
      <c r="B246" s="13"/>
      <c r="C246" s="8"/>
      <c r="D246" s="8"/>
      <c r="E246" s="8"/>
      <c r="F246" s="9"/>
      <c r="G246" s="8"/>
      <c r="H246" s="8"/>
      <c r="I246" s="9"/>
      <c r="J246" s="8"/>
      <c r="K246" s="8"/>
    </row>
    <row r="247" spans="1:11" ht="14.45">
      <c r="A247" s="8"/>
      <c r="B247" s="13"/>
      <c r="C247" s="8"/>
      <c r="D247" s="8"/>
      <c r="E247" s="8"/>
      <c r="F247" s="9"/>
      <c r="G247" s="8"/>
      <c r="H247" s="8"/>
      <c r="I247" s="9"/>
      <c r="J247" s="8"/>
      <c r="K247" s="8"/>
    </row>
    <row r="248" spans="1:11" ht="14.45">
      <c r="A248" s="8"/>
      <c r="B248" s="13"/>
      <c r="C248" s="8"/>
      <c r="D248" s="8"/>
      <c r="E248" s="8"/>
      <c r="F248" s="9"/>
      <c r="G248" s="8"/>
      <c r="H248" s="8"/>
      <c r="I248" s="9"/>
      <c r="J248" s="8"/>
      <c r="K248" s="8"/>
    </row>
    <row r="249" spans="1:11" ht="14.45">
      <c r="A249" s="8"/>
      <c r="B249" s="13"/>
      <c r="C249" s="8"/>
      <c r="D249" s="8"/>
      <c r="E249" s="8"/>
      <c r="F249" s="9"/>
      <c r="G249" s="8"/>
      <c r="H249" s="8"/>
      <c r="I249" s="9"/>
      <c r="J249" s="8"/>
      <c r="K249" s="8"/>
    </row>
    <row r="250" spans="1:11" ht="14.45">
      <c r="A250" s="8"/>
      <c r="B250" s="13"/>
      <c r="C250" s="8"/>
      <c r="D250" s="8"/>
      <c r="E250" s="8"/>
      <c r="F250" s="9"/>
      <c r="G250" s="8"/>
      <c r="H250" s="8"/>
      <c r="I250" s="9"/>
      <c r="J250" s="8"/>
      <c r="K250" s="8"/>
    </row>
    <row r="251" spans="1:11" ht="14.45">
      <c r="A251" s="8"/>
      <c r="B251" s="13"/>
      <c r="C251" s="8"/>
      <c r="D251" s="8"/>
      <c r="E251" s="8"/>
      <c r="F251" s="9"/>
      <c r="G251" s="8"/>
      <c r="H251" s="8"/>
      <c r="I251" s="9"/>
      <c r="J251" s="8"/>
      <c r="K251" s="8"/>
    </row>
    <row r="252" spans="1:11" ht="14.45">
      <c r="A252" s="8"/>
      <c r="B252" s="13"/>
      <c r="C252" s="8"/>
      <c r="D252" s="8"/>
      <c r="E252" s="8"/>
      <c r="F252" s="9"/>
      <c r="G252" s="8"/>
      <c r="H252" s="8"/>
      <c r="I252" s="9"/>
      <c r="J252" s="8"/>
      <c r="K252" s="8"/>
    </row>
    <row r="253" spans="1:11" ht="14.45">
      <c r="A253" s="8"/>
      <c r="B253" s="13"/>
      <c r="C253" s="8"/>
      <c r="D253" s="8"/>
      <c r="E253" s="8"/>
      <c r="F253" s="9"/>
      <c r="G253" s="8"/>
      <c r="H253" s="8"/>
      <c r="I253" s="9"/>
      <c r="J253" s="8"/>
      <c r="K253" s="8"/>
    </row>
    <row r="254" spans="1:11" ht="14.45">
      <c r="A254" s="8"/>
      <c r="B254" s="13"/>
      <c r="C254" s="8"/>
      <c r="D254" s="8"/>
      <c r="E254" s="8"/>
      <c r="F254" s="9"/>
      <c r="G254" s="8"/>
      <c r="H254" s="8"/>
      <c r="I254" s="9"/>
      <c r="J254" s="8"/>
      <c r="K254" s="8"/>
    </row>
    <row r="255" spans="1:11" ht="14.45">
      <c r="A255" s="8"/>
      <c r="B255" s="13"/>
      <c r="C255" s="8"/>
      <c r="D255" s="8"/>
      <c r="E255" s="8"/>
      <c r="F255" s="9"/>
      <c r="G255" s="8"/>
      <c r="H255" s="8"/>
      <c r="I255" s="9"/>
      <c r="J255" s="8"/>
      <c r="K255" s="8"/>
    </row>
    <row r="256" spans="1:11" ht="14.45">
      <c r="A256" s="8"/>
      <c r="B256" s="13"/>
      <c r="C256" s="8"/>
      <c r="D256" s="8"/>
      <c r="E256" s="8"/>
      <c r="F256" s="9"/>
      <c r="G256" s="8"/>
      <c r="H256" s="8"/>
      <c r="I256" s="9"/>
      <c r="J256" s="8"/>
      <c r="K256" s="8"/>
    </row>
    <row r="257" spans="1:11" ht="14.45">
      <c r="A257" s="8"/>
      <c r="B257" s="13"/>
      <c r="C257" s="8"/>
      <c r="D257" s="8"/>
      <c r="E257" s="8"/>
      <c r="F257" s="9"/>
      <c r="G257" s="8"/>
      <c r="H257" s="8"/>
      <c r="I257" s="9"/>
      <c r="J257" s="8"/>
      <c r="K257" s="8"/>
    </row>
    <row r="258" spans="1:11" ht="14.45">
      <c r="A258" s="8"/>
      <c r="B258" s="13"/>
      <c r="C258" s="8"/>
      <c r="D258" s="8"/>
      <c r="E258" s="8"/>
      <c r="F258" s="9"/>
      <c r="G258" s="8"/>
      <c r="H258" s="8"/>
      <c r="I258" s="9"/>
      <c r="J258" s="8"/>
      <c r="K258" s="8"/>
    </row>
    <row r="259" spans="1:11" ht="14.45">
      <c r="A259" s="8"/>
      <c r="B259" s="13"/>
      <c r="C259" s="8"/>
      <c r="D259" s="8"/>
      <c r="E259" s="8"/>
      <c r="F259" s="9"/>
      <c r="G259" s="8"/>
      <c r="H259" s="8"/>
      <c r="I259" s="9"/>
      <c r="J259" s="8"/>
      <c r="K259" s="8"/>
    </row>
    <row r="260" spans="1:11" ht="14.45">
      <c r="A260" s="8"/>
      <c r="B260" s="13"/>
      <c r="C260" s="8"/>
      <c r="D260" s="8"/>
      <c r="E260" s="8"/>
      <c r="F260" s="9"/>
      <c r="G260" s="8"/>
      <c r="H260" s="8"/>
      <c r="I260" s="9"/>
      <c r="J260" s="8"/>
      <c r="K260" s="8"/>
    </row>
    <row r="261" spans="1:11" ht="14.45">
      <c r="A261" s="8"/>
      <c r="B261" s="13"/>
      <c r="C261" s="8"/>
      <c r="D261" s="8"/>
      <c r="E261" s="8"/>
      <c r="F261" s="9"/>
      <c r="G261" s="8"/>
      <c r="H261" s="8"/>
      <c r="I261" s="9"/>
      <c r="J261" s="8"/>
      <c r="K261" s="8"/>
    </row>
    <row r="262" spans="1:11" ht="14.45">
      <c r="A262" s="8"/>
      <c r="B262" s="13"/>
      <c r="C262" s="8"/>
      <c r="D262" s="8"/>
      <c r="E262" s="8"/>
      <c r="F262" s="9"/>
      <c r="G262" s="8"/>
      <c r="H262" s="8"/>
      <c r="I262" s="9"/>
      <c r="J262" s="8"/>
      <c r="K262" s="8"/>
    </row>
    <row r="263" spans="1:11" ht="14.45">
      <c r="A263" s="8"/>
      <c r="B263" s="13"/>
      <c r="C263" s="8"/>
      <c r="D263" s="8"/>
      <c r="E263" s="8"/>
      <c r="F263" s="9"/>
      <c r="G263" s="8"/>
      <c r="H263" s="8"/>
      <c r="I263" s="9"/>
      <c r="J263" s="8"/>
      <c r="K263" s="8"/>
    </row>
    <row r="264" spans="1:11" ht="14.45">
      <c r="A264" s="8"/>
      <c r="B264" s="13"/>
      <c r="C264" s="8"/>
      <c r="D264" s="8"/>
      <c r="E264" s="8"/>
      <c r="F264" s="9"/>
      <c r="G264" s="8"/>
      <c r="H264" s="8"/>
      <c r="I264" s="9"/>
      <c r="J264" s="8"/>
      <c r="K264" s="8"/>
    </row>
    <row r="265" spans="1:11" ht="14.45">
      <c r="A265" s="8"/>
      <c r="B265" s="13"/>
      <c r="C265" s="8"/>
      <c r="D265" s="8"/>
      <c r="E265" s="8"/>
      <c r="F265" s="9"/>
      <c r="G265" s="8"/>
      <c r="H265" s="8"/>
      <c r="I265" s="9"/>
      <c r="J265" s="8"/>
      <c r="K265" s="8"/>
    </row>
    <row r="266" spans="1:11" ht="14.45">
      <c r="A266" s="8"/>
      <c r="B266" s="13"/>
      <c r="C266" s="8"/>
      <c r="D266" s="8"/>
      <c r="E266" s="8"/>
      <c r="F266" s="9"/>
      <c r="G266" s="8"/>
      <c r="H266" s="8"/>
      <c r="I266" s="9"/>
      <c r="J266" s="8"/>
      <c r="K266" s="8"/>
    </row>
    <row r="267" spans="1:11" ht="14.45">
      <c r="A267" s="8"/>
      <c r="B267" s="13"/>
      <c r="C267" s="8"/>
      <c r="D267" s="8"/>
      <c r="E267" s="8"/>
      <c r="F267" s="9"/>
      <c r="G267" s="8"/>
      <c r="H267" s="8"/>
      <c r="I267" s="9"/>
      <c r="J267" s="8"/>
      <c r="K267" s="8"/>
    </row>
    <row r="268" spans="1:11" ht="14.45">
      <c r="A268" s="8"/>
      <c r="B268" s="13"/>
      <c r="C268" s="8"/>
      <c r="D268" s="8"/>
      <c r="E268" s="8"/>
      <c r="F268" s="9"/>
      <c r="G268" s="8"/>
      <c r="H268" s="8"/>
      <c r="I268" s="9"/>
      <c r="J268" s="8"/>
      <c r="K268" s="8"/>
    </row>
    <row r="269" spans="1:11" ht="14.45">
      <c r="A269" s="8"/>
      <c r="B269" s="13"/>
      <c r="C269" s="8"/>
      <c r="D269" s="8"/>
      <c r="E269" s="8"/>
      <c r="F269" s="9"/>
      <c r="G269" s="8"/>
      <c r="H269" s="8"/>
      <c r="I269" s="9"/>
      <c r="J269" s="8"/>
      <c r="K269" s="8"/>
    </row>
    <row r="270" spans="1:11" ht="14.45">
      <c r="A270" s="8"/>
      <c r="B270" s="13"/>
      <c r="C270" s="8"/>
      <c r="D270" s="8"/>
      <c r="E270" s="8"/>
      <c r="F270" s="9"/>
      <c r="G270" s="8"/>
      <c r="H270" s="8"/>
      <c r="I270" s="9"/>
      <c r="J270" s="8"/>
      <c r="K270" s="8"/>
    </row>
    <row r="271" spans="1:11" ht="14.45">
      <c r="A271" s="8"/>
      <c r="B271" s="13"/>
      <c r="C271" s="8"/>
      <c r="D271" s="8"/>
      <c r="E271" s="8"/>
      <c r="F271" s="9"/>
      <c r="G271" s="8"/>
      <c r="H271" s="8"/>
      <c r="I271" s="9"/>
      <c r="J271" s="8"/>
      <c r="K271" s="8"/>
    </row>
    <row r="272" spans="1:11" ht="14.45">
      <c r="A272" s="8"/>
      <c r="B272" s="13"/>
      <c r="C272" s="8"/>
      <c r="D272" s="8"/>
      <c r="E272" s="8"/>
      <c r="F272" s="9"/>
      <c r="G272" s="8"/>
      <c r="H272" s="8"/>
      <c r="I272" s="9"/>
      <c r="J272" s="8"/>
      <c r="K272" s="8"/>
    </row>
    <row r="273" spans="1:11" ht="14.45">
      <c r="A273" s="8"/>
      <c r="B273" s="13"/>
      <c r="C273" s="8"/>
      <c r="D273" s="8"/>
      <c r="E273" s="8"/>
      <c r="F273" s="9"/>
      <c r="G273" s="8"/>
      <c r="H273" s="8"/>
      <c r="I273" s="9"/>
      <c r="J273" s="8"/>
      <c r="K273" s="8"/>
    </row>
    <row r="274" spans="1:11" ht="14.45">
      <c r="A274" s="8"/>
      <c r="B274" s="13"/>
      <c r="C274" s="8"/>
      <c r="D274" s="8"/>
      <c r="E274" s="8"/>
      <c r="F274" s="9"/>
      <c r="G274" s="8"/>
      <c r="H274" s="8"/>
      <c r="I274" s="9"/>
      <c r="J274" s="8"/>
      <c r="K274" s="8"/>
    </row>
    <row r="275" spans="1:11" ht="14.45">
      <c r="A275" s="8"/>
      <c r="B275" s="13"/>
      <c r="C275" s="8"/>
      <c r="D275" s="8"/>
      <c r="E275" s="8"/>
      <c r="F275" s="9"/>
      <c r="G275" s="8"/>
      <c r="H275" s="8"/>
      <c r="I275" s="9"/>
      <c r="J275" s="8"/>
      <c r="K275" s="8"/>
    </row>
    <row r="276" spans="1:11" ht="14.45">
      <c r="A276" s="8"/>
      <c r="B276" s="13"/>
      <c r="C276" s="8"/>
      <c r="D276" s="8"/>
      <c r="E276" s="8"/>
      <c r="F276" s="9"/>
      <c r="G276" s="8"/>
      <c r="H276" s="8"/>
      <c r="I276" s="9"/>
      <c r="J276" s="8"/>
      <c r="K276" s="8"/>
    </row>
    <row r="277" spans="1:11" ht="14.45">
      <c r="A277" s="8"/>
      <c r="B277" s="13"/>
      <c r="C277" s="8"/>
      <c r="D277" s="8"/>
      <c r="E277" s="8"/>
      <c r="F277" s="9"/>
      <c r="G277" s="8"/>
      <c r="H277" s="8"/>
      <c r="I277" s="9"/>
      <c r="J277" s="8"/>
      <c r="K277" s="8"/>
    </row>
    <row r="278" spans="1:11" ht="14.45">
      <c r="A278" s="8"/>
      <c r="B278" s="13"/>
      <c r="C278" s="8"/>
      <c r="D278" s="8"/>
      <c r="E278" s="8"/>
      <c r="F278" s="9"/>
      <c r="G278" s="8"/>
      <c r="H278" s="8"/>
      <c r="I278" s="9"/>
      <c r="J278" s="8"/>
      <c r="K278" s="8"/>
    </row>
    <row r="279" spans="1:11" ht="14.45">
      <c r="A279" s="8"/>
      <c r="B279" s="13"/>
      <c r="C279" s="8"/>
      <c r="D279" s="8"/>
      <c r="E279" s="8"/>
      <c r="F279" s="9"/>
      <c r="G279" s="8"/>
      <c r="H279" s="8"/>
      <c r="I279" s="9"/>
      <c r="J279" s="8"/>
      <c r="K279" s="8"/>
    </row>
    <row r="280" spans="1:11" ht="14.45">
      <c r="A280" s="8"/>
      <c r="B280" s="13"/>
      <c r="C280" s="8"/>
      <c r="D280" s="8"/>
      <c r="E280" s="8"/>
      <c r="F280" s="9"/>
      <c r="G280" s="8"/>
      <c r="H280" s="8"/>
      <c r="I280" s="9"/>
      <c r="J280" s="8"/>
      <c r="K280" s="8"/>
    </row>
    <row r="281" spans="1:11" ht="14.45">
      <c r="A281" s="8"/>
      <c r="B281" s="13"/>
      <c r="C281" s="8"/>
      <c r="D281" s="8"/>
      <c r="E281" s="8"/>
      <c r="F281" s="9"/>
      <c r="G281" s="8"/>
      <c r="H281" s="8"/>
      <c r="I281" s="9"/>
      <c r="J281" s="8"/>
      <c r="K281" s="8"/>
    </row>
    <row r="282" spans="1:11" ht="14.45">
      <c r="A282" s="8"/>
      <c r="B282" s="13"/>
      <c r="C282" s="8"/>
      <c r="D282" s="8"/>
      <c r="E282" s="8"/>
      <c r="F282" s="9"/>
      <c r="G282" s="8"/>
      <c r="H282" s="8"/>
      <c r="I282" s="9"/>
      <c r="J282" s="8"/>
      <c r="K282" s="8"/>
    </row>
    <row r="283" spans="1:11" ht="14.45">
      <c r="A283" s="8"/>
      <c r="B283" s="13"/>
      <c r="C283" s="8"/>
      <c r="D283" s="8"/>
      <c r="E283" s="8"/>
      <c r="F283" s="9"/>
      <c r="G283" s="8"/>
      <c r="H283" s="8"/>
      <c r="I283" s="9"/>
      <c r="J283" s="8"/>
      <c r="K283" s="8"/>
    </row>
    <row r="284" spans="1:11" ht="14.45">
      <c r="A284" s="8"/>
      <c r="B284" s="13"/>
      <c r="C284" s="8"/>
      <c r="D284" s="8"/>
      <c r="E284" s="8"/>
      <c r="F284" s="9"/>
      <c r="G284" s="8"/>
      <c r="H284" s="8"/>
      <c r="I284" s="9"/>
      <c r="J284" s="8"/>
      <c r="K284" s="8"/>
    </row>
    <row r="285" spans="1:11" ht="14.45">
      <c r="A285" s="8"/>
      <c r="B285" s="13"/>
      <c r="C285" s="8"/>
      <c r="D285" s="8"/>
      <c r="E285" s="8"/>
      <c r="F285" s="9"/>
      <c r="G285" s="8"/>
      <c r="H285" s="8"/>
      <c r="I285" s="9"/>
      <c r="J285" s="8"/>
      <c r="K285" s="8"/>
    </row>
    <row r="286" spans="1:11" ht="14.45">
      <c r="A286" s="8"/>
      <c r="B286" s="13"/>
      <c r="C286" s="8"/>
      <c r="D286" s="8"/>
      <c r="E286" s="8"/>
      <c r="F286" s="9"/>
      <c r="G286" s="8"/>
      <c r="H286" s="8"/>
      <c r="I286" s="9"/>
      <c r="J286" s="8"/>
      <c r="K286" s="8"/>
    </row>
    <row r="287" spans="1:11" ht="14.45">
      <c r="A287" s="8"/>
      <c r="B287" s="13"/>
      <c r="C287" s="8"/>
      <c r="D287" s="8"/>
      <c r="E287" s="8"/>
      <c r="F287" s="9"/>
      <c r="G287" s="8"/>
      <c r="H287" s="8"/>
      <c r="I287" s="9"/>
      <c r="J287" s="8"/>
      <c r="K287" s="8"/>
    </row>
    <row r="288" spans="1:11" ht="14.45">
      <c r="A288" s="8"/>
      <c r="B288" s="13"/>
      <c r="C288" s="8"/>
      <c r="D288" s="8"/>
      <c r="E288" s="8"/>
      <c r="F288" s="9"/>
      <c r="G288" s="8"/>
      <c r="H288" s="8"/>
      <c r="I288" s="9"/>
      <c r="J288" s="8"/>
      <c r="K288" s="8"/>
    </row>
    <row r="289" spans="1:11" ht="14.45">
      <c r="A289" s="8"/>
      <c r="B289" s="13"/>
      <c r="C289" s="8"/>
      <c r="D289" s="8"/>
      <c r="E289" s="8"/>
      <c r="F289" s="9"/>
      <c r="G289" s="8"/>
      <c r="H289" s="8"/>
      <c r="I289" s="9"/>
      <c r="J289" s="8"/>
      <c r="K289" s="8"/>
    </row>
    <row r="290" spans="1:11" ht="14.45">
      <c r="A290" s="8"/>
      <c r="B290" s="13"/>
      <c r="C290" s="8"/>
      <c r="D290" s="8"/>
      <c r="E290" s="8"/>
      <c r="F290" s="9"/>
      <c r="G290" s="8"/>
      <c r="H290" s="8"/>
      <c r="I290" s="9"/>
      <c r="J290" s="8"/>
      <c r="K290" s="8"/>
    </row>
    <row r="291" spans="1:11" ht="14.45">
      <c r="A291" s="8"/>
      <c r="B291" s="13"/>
      <c r="C291" s="8"/>
      <c r="D291" s="8"/>
      <c r="E291" s="8"/>
      <c r="F291" s="9"/>
      <c r="G291" s="8"/>
      <c r="H291" s="8"/>
      <c r="I291" s="9"/>
      <c r="J291" s="8"/>
      <c r="K291" s="8"/>
    </row>
    <row r="292" spans="1:11" ht="14.45">
      <c r="A292" s="8"/>
      <c r="B292" s="13"/>
      <c r="C292" s="8"/>
      <c r="D292" s="8"/>
      <c r="E292" s="8"/>
      <c r="F292" s="9"/>
      <c r="G292" s="8"/>
      <c r="H292" s="8"/>
      <c r="I292" s="9"/>
      <c r="J292" s="8"/>
      <c r="K292" s="8"/>
    </row>
    <row r="293" spans="1:11" ht="14.45">
      <c r="A293" s="8"/>
      <c r="B293" s="13"/>
      <c r="C293" s="8"/>
      <c r="D293" s="8"/>
      <c r="E293" s="8"/>
      <c r="F293" s="9"/>
      <c r="G293" s="8"/>
      <c r="H293" s="8"/>
      <c r="I293" s="9"/>
      <c r="J293" s="8"/>
      <c r="K293" s="8"/>
    </row>
    <row r="294" spans="1:11" ht="14.45">
      <c r="A294" s="8"/>
      <c r="B294" s="13"/>
      <c r="C294" s="8"/>
      <c r="D294" s="8"/>
      <c r="E294" s="8"/>
      <c r="F294" s="9"/>
      <c r="G294" s="8"/>
      <c r="H294" s="8"/>
      <c r="I294" s="9"/>
      <c r="J294" s="8"/>
      <c r="K294" s="8"/>
    </row>
    <row r="295" spans="1:11" ht="14.45">
      <c r="A295" s="8"/>
      <c r="B295" s="13"/>
      <c r="C295" s="8"/>
      <c r="D295" s="8"/>
      <c r="E295" s="8"/>
      <c r="F295" s="9"/>
      <c r="G295" s="8"/>
      <c r="H295" s="8"/>
      <c r="I295" s="9"/>
      <c r="J295" s="8"/>
      <c r="K295" s="8"/>
    </row>
    <row r="296" spans="1:11" ht="14.45">
      <c r="A296" s="8"/>
      <c r="B296" s="13"/>
      <c r="C296" s="8"/>
      <c r="D296" s="8"/>
      <c r="E296" s="8"/>
      <c r="F296" s="9"/>
      <c r="G296" s="8"/>
      <c r="H296" s="8"/>
      <c r="I296" s="9"/>
      <c r="J296" s="8"/>
      <c r="K296" s="8"/>
    </row>
    <row r="297" spans="1:11" ht="14.45">
      <c r="A297" s="8"/>
      <c r="B297" s="13"/>
      <c r="C297" s="8"/>
      <c r="D297" s="8"/>
      <c r="E297" s="8"/>
      <c r="F297" s="9"/>
      <c r="G297" s="8"/>
      <c r="H297" s="8"/>
      <c r="I297" s="9"/>
      <c r="J297" s="8"/>
      <c r="K297" s="8"/>
    </row>
    <row r="298" spans="1:11" ht="14.45">
      <c r="A298" s="8"/>
      <c r="B298" s="13"/>
      <c r="C298" s="8"/>
      <c r="D298" s="8"/>
      <c r="E298" s="8"/>
      <c r="F298" s="9"/>
      <c r="G298" s="8"/>
      <c r="H298" s="8"/>
      <c r="I298" s="9"/>
      <c r="J298" s="8"/>
      <c r="K298" s="8"/>
    </row>
    <row r="299" spans="1:11" ht="14.45">
      <c r="A299" s="8"/>
      <c r="B299" s="13"/>
      <c r="C299" s="8"/>
      <c r="D299" s="8"/>
      <c r="E299" s="8"/>
      <c r="F299" s="9"/>
      <c r="G299" s="8"/>
      <c r="H299" s="8"/>
      <c r="I299" s="9"/>
      <c r="J299" s="8"/>
      <c r="K299" s="8"/>
    </row>
    <row r="300" spans="1:11" ht="14.45">
      <c r="A300" s="8"/>
      <c r="B300" s="13"/>
      <c r="C300" s="8"/>
      <c r="D300" s="8"/>
      <c r="E300" s="8"/>
      <c r="F300" s="9"/>
      <c r="G300" s="8"/>
      <c r="H300" s="8"/>
      <c r="I300" s="9"/>
      <c r="J300" s="8"/>
      <c r="K300" s="8"/>
    </row>
    <row r="301" spans="1:11" ht="14.45">
      <c r="A301" s="8"/>
      <c r="B301" s="13"/>
      <c r="C301" s="8"/>
      <c r="D301" s="8"/>
      <c r="E301" s="8"/>
      <c r="F301" s="9"/>
      <c r="G301" s="8"/>
      <c r="H301" s="8"/>
      <c r="I301" s="9"/>
      <c r="J301" s="8"/>
      <c r="K301" s="8"/>
    </row>
    <row r="302" spans="1:11" ht="14.45">
      <c r="A302" s="8"/>
      <c r="B302" s="13"/>
      <c r="C302" s="8"/>
      <c r="D302" s="8"/>
      <c r="E302" s="8"/>
      <c r="F302" s="9"/>
      <c r="G302" s="8"/>
      <c r="H302" s="8"/>
      <c r="I302" s="9"/>
      <c r="J302" s="8"/>
      <c r="K302" s="8"/>
    </row>
    <row r="303" spans="1:11" ht="14.45">
      <c r="A303" s="8"/>
      <c r="B303" s="13"/>
      <c r="C303" s="8"/>
      <c r="D303" s="8"/>
      <c r="E303" s="8"/>
      <c r="F303" s="9"/>
      <c r="G303" s="8"/>
      <c r="H303" s="8"/>
      <c r="I303" s="9"/>
      <c r="J303" s="8"/>
      <c r="K303" s="8"/>
    </row>
    <row r="304" spans="1:11" ht="14.45">
      <c r="A304" s="8"/>
      <c r="B304" s="13"/>
      <c r="C304" s="8"/>
      <c r="D304" s="8"/>
      <c r="E304" s="8"/>
      <c r="F304" s="9"/>
      <c r="G304" s="8"/>
      <c r="H304" s="8"/>
      <c r="I304" s="9"/>
      <c r="J304" s="8"/>
      <c r="K304" s="8"/>
    </row>
    <row r="305" spans="1:11" ht="14.45">
      <c r="A305" s="8"/>
      <c r="B305" s="13"/>
      <c r="C305" s="8"/>
      <c r="D305" s="8"/>
      <c r="E305" s="8"/>
      <c r="F305" s="9"/>
      <c r="G305" s="8"/>
      <c r="H305" s="8"/>
      <c r="I305" s="9"/>
      <c r="J305" s="8"/>
      <c r="K305" s="8"/>
    </row>
    <row r="306" spans="1:11" ht="14.45">
      <c r="A306" s="8"/>
      <c r="B306" s="13"/>
      <c r="C306" s="8"/>
      <c r="D306" s="8"/>
      <c r="E306" s="8"/>
      <c r="F306" s="9"/>
      <c r="G306" s="8"/>
      <c r="H306" s="8"/>
      <c r="I306" s="9"/>
      <c r="J306" s="8"/>
      <c r="K306" s="8"/>
    </row>
    <row r="307" spans="1:11" ht="14.45">
      <c r="A307" s="8"/>
      <c r="B307" s="13"/>
      <c r="C307" s="8"/>
      <c r="D307" s="8"/>
      <c r="E307" s="8"/>
      <c r="F307" s="9"/>
      <c r="G307" s="8"/>
      <c r="H307" s="8"/>
      <c r="I307" s="9"/>
      <c r="J307" s="8"/>
      <c r="K307" s="8"/>
    </row>
    <row r="308" spans="1:11" ht="14.45">
      <c r="A308" s="8"/>
      <c r="B308" s="13"/>
      <c r="C308" s="8"/>
      <c r="D308" s="8"/>
      <c r="E308" s="8"/>
      <c r="F308" s="9"/>
      <c r="G308" s="8"/>
      <c r="H308" s="8"/>
      <c r="I308" s="9"/>
      <c r="J308" s="8"/>
      <c r="K308" s="8"/>
    </row>
    <row r="309" spans="1:11" ht="14.45">
      <c r="A309" s="8"/>
      <c r="B309" s="13"/>
      <c r="C309" s="8"/>
      <c r="D309" s="8"/>
      <c r="E309" s="8"/>
      <c r="F309" s="9"/>
      <c r="G309" s="8"/>
      <c r="H309" s="8"/>
      <c r="I309" s="9"/>
      <c r="J309" s="8"/>
      <c r="K309" s="8"/>
    </row>
    <row r="310" spans="1:11" ht="14.45">
      <c r="A310" s="8"/>
      <c r="B310" s="13"/>
      <c r="C310" s="8"/>
      <c r="D310" s="8"/>
      <c r="E310" s="8"/>
      <c r="F310" s="9"/>
      <c r="G310" s="8"/>
      <c r="H310" s="8"/>
      <c r="I310" s="9"/>
      <c r="J310" s="8"/>
      <c r="K310" s="8"/>
    </row>
    <row r="311" spans="1:11" ht="14.45">
      <c r="A311" s="8"/>
      <c r="B311" s="13"/>
      <c r="C311" s="8"/>
      <c r="D311" s="8"/>
      <c r="E311" s="8"/>
      <c r="F311" s="9"/>
      <c r="G311" s="8"/>
      <c r="H311" s="8"/>
      <c r="I311" s="9"/>
      <c r="J311" s="8"/>
      <c r="K311" s="8"/>
    </row>
    <row r="312" spans="1:11" ht="14.45">
      <c r="A312" s="8"/>
      <c r="B312" s="13"/>
      <c r="C312" s="8"/>
      <c r="D312" s="8"/>
      <c r="E312" s="8"/>
      <c r="F312" s="9"/>
      <c r="G312" s="8"/>
      <c r="H312" s="8"/>
      <c r="I312" s="9"/>
      <c r="J312" s="8"/>
      <c r="K312" s="8"/>
    </row>
    <row r="313" spans="1:11" ht="14.45">
      <c r="A313" s="8"/>
      <c r="B313" s="13"/>
      <c r="C313" s="8"/>
      <c r="D313" s="8"/>
      <c r="E313" s="8"/>
      <c r="F313" s="9"/>
      <c r="G313" s="8"/>
      <c r="H313" s="8"/>
      <c r="I313" s="9"/>
      <c r="J313" s="8"/>
      <c r="K313" s="8"/>
    </row>
    <row r="314" spans="1:11" ht="14.45">
      <c r="A314" s="8"/>
      <c r="B314" s="13"/>
      <c r="C314" s="8"/>
      <c r="D314" s="8"/>
      <c r="E314" s="8"/>
      <c r="F314" s="9"/>
      <c r="G314" s="8"/>
      <c r="H314" s="8"/>
      <c r="I314" s="9"/>
      <c r="J314" s="8"/>
      <c r="K314" s="8"/>
    </row>
    <row r="315" spans="1:11" ht="14.45">
      <c r="A315" s="8"/>
      <c r="B315" s="13"/>
      <c r="C315" s="8"/>
      <c r="D315" s="8"/>
      <c r="E315" s="8"/>
      <c r="F315" s="9"/>
      <c r="G315" s="8"/>
      <c r="H315" s="8"/>
      <c r="I315" s="9"/>
      <c r="J315" s="8"/>
      <c r="K315" s="8"/>
    </row>
    <row r="316" spans="1:11" ht="14.45">
      <c r="A316" s="8"/>
      <c r="B316" s="13"/>
      <c r="C316" s="8"/>
      <c r="D316" s="8"/>
      <c r="E316" s="8"/>
      <c r="F316" s="9"/>
      <c r="G316" s="8"/>
      <c r="H316" s="8"/>
      <c r="I316" s="9"/>
      <c r="J316" s="8"/>
      <c r="K316" s="8"/>
    </row>
    <row r="317" spans="1:11" ht="14.45">
      <c r="A317" s="8"/>
      <c r="B317" s="13"/>
      <c r="C317" s="8"/>
      <c r="D317" s="8"/>
      <c r="E317" s="8"/>
      <c r="F317" s="9"/>
      <c r="G317" s="8"/>
      <c r="H317" s="8"/>
      <c r="I317" s="9"/>
      <c r="J317" s="8"/>
      <c r="K317" s="8"/>
    </row>
    <row r="318" spans="1:11" ht="14.45">
      <c r="A318" s="8"/>
      <c r="B318" s="13"/>
      <c r="C318" s="8"/>
      <c r="D318" s="8"/>
      <c r="E318" s="8"/>
      <c r="F318" s="9"/>
      <c r="G318" s="8"/>
      <c r="H318" s="8"/>
      <c r="I318" s="9"/>
      <c r="J318" s="8"/>
      <c r="K318" s="8"/>
    </row>
    <row r="319" spans="1:11" ht="14.45">
      <c r="A319" s="8"/>
      <c r="B319" s="13"/>
      <c r="C319" s="8"/>
      <c r="D319" s="8"/>
      <c r="E319" s="8"/>
      <c r="F319" s="9"/>
      <c r="G319" s="8"/>
      <c r="H319" s="8"/>
      <c r="I319" s="9"/>
      <c r="J319" s="8"/>
      <c r="K319" s="8"/>
    </row>
    <row r="320" spans="1:11" ht="14.45">
      <c r="A320" s="8"/>
      <c r="B320" s="13"/>
      <c r="C320" s="8"/>
      <c r="D320" s="8"/>
      <c r="E320" s="8"/>
      <c r="F320" s="9"/>
      <c r="G320" s="8"/>
      <c r="H320" s="8"/>
      <c r="I320" s="9"/>
      <c r="J320" s="8"/>
      <c r="K320" s="8"/>
    </row>
    <row r="321" spans="1:11" ht="14.45">
      <c r="A321" s="8"/>
      <c r="B321" s="13"/>
      <c r="C321" s="8"/>
      <c r="D321" s="8"/>
      <c r="E321" s="8"/>
      <c r="F321" s="9"/>
      <c r="G321" s="8"/>
      <c r="H321" s="8"/>
      <c r="I321" s="9"/>
      <c r="J321" s="8"/>
      <c r="K321" s="8"/>
    </row>
    <row r="322" spans="1:11" ht="14.45">
      <c r="A322" s="8"/>
      <c r="B322" s="13"/>
      <c r="C322" s="8"/>
      <c r="D322" s="8"/>
      <c r="E322" s="8"/>
      <c r="F322" s="9"/>
      <c r="G322" s="8"/>
      <c r="H322" s="8"/>
      <c r="I322" s="9"/>
      <c r="J322" s="8"/>
      <c r="K322" s="8"/>
    </row>
    <row r="323" spans="1:11" ht="14.45">
      <c r="A323" s="8"/>
      <c r="B323" s="13"/>
      <c r="C323" s="8"/>
      <c r="D323" s="8"/>
      <c r="E323" s="8"/>
      <c r="F323" s="9"/>
      <c r="G323" s="8"/>
      <c r="H323" s="8"/>
      <c r="I323" s="9"/>
      <c r="J323" s="8"/>
      <c r="K323" s="8"/>
    </row>
    <row r="324" spans="1:11" ht="14.45">
      <c r="A324" s="8"/>
      <c r="B324" s="13"/>
      <c r="C324" s="8"/>
      <c r="D324" s="8"/>
      <c r="E324" s="8"/>
      <c r="F324" s="9"/>
      <c r="G324" s="8"/>
      <c r="H324" s="8"/>
      <c r="I324" s="9"/>
      <c r="J324" s="8"/>
      <c r="K324" s="8"/>
    </row>
    <row r="325" spans="1:11" ht="14.45">
      <c r="A325" s="8"/>
      <c r="B325" s="13"/>
      <c r="C325" s="8"/>
      <c r="D325" s="8"/>
      <c r="E325" s="8"/>
      <c r="F325" s="9"/>
      <c r="G325" s="8"/>
      <c r="H325" s="8"/>
      <c r="I325" s="9"/>
      <c r="J325" s="8"/>
      <c r="K325" s="8"/>
    </row>
    <row r="326" spans="1:11" ht="14.45">
      <c r="C326" s="8"/>
      <c r="D326" s="8"/>
      <c r="E326" s="8"/>
      <c r="F326" s="9"/>
      <c r="G326" s="8"/>
      <c r="H326" s="8"/>
      <c r="I326" s="9"/>
      <c r="J326" s="8"/>
      <c r="K326" s="8"/>
    </row>
  </sheetData>
  <mergeCells count="4">
    <mergeCell ref="G1:I1"/>
    <mergeCell ref="A1:C1"/>
    <mergeCell ref="D1:F1"/>
    <mergeCell ref="A2:B2"/>
  </mergeCells>
  <conditionalFormatting sqref="F2 I2 F4:F84 I4:I84">
    <cfRule type="cellIs" dxfId="4" priority="19" stopIfTrue="1" operator="lessThanOrEqual">
      <formula>-0.1</formula>
    </cfRule>
    <cfRule type="expression" dxfId="3" priority="20">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85"/>
  <sheetViews>
    <sheetView workbookViewId="0">
      <pane ySplit="3" topLeftCell="A15" activePane="bottomLeft" state="frozen"/>
      <selection pane="bottomLeft" activeCell="B20" sqref="B20"/>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605</v>
      </c>
      <c r="B1" t="s">
        <v>606</v>
      </c>
    </row>
    <row r="3" spans="1:12" ht="13.15">
      <c r="A3" t="s">
        <v>607</v>
      </c>
      <c r="B3" t="s">
        <v>3</v>
      </c>
      <c r="C3" t="s">
        <v>4</v>
      </c>
      <c r="D3" t="s">
        <v>608</v>
      </c>
      <c r="E3" s="2" t="s">
        <v>609</v>
      </c>
    </row>
    <row r="4" spans="1:12" ht="14.45">
      <c r="A4" s="18" t="s">
        <v>610</v>
      </c>
      <c r="B4" t="s">
        <v>611</v>
      </c>
      <c r="C4" s="17" t="s">
        <v>612</v>
      </c>
      <c r="D4" s="16"/>
      <c r="E4" t="s">
        <v>613</v>
      </c>
      <c r="G4" s="3"/>
    </row>
    <row r="5" spans="1:12" ht="14.45">
      <c r="A5" s="18" t="s">
        <v>614</v>
      </c>
      <c r="B5" t="s">
        <v>615</v>
      </c>
      <c r="C5" s="17" t="s">
        <v>616</v>
      </c>
      <c r="D5" s="16"/>
      <c r="E5" t="s">
        <v>617</v>
      </c>
      <c r="G5" s="3"/>
    </row>
    <row r="6" spans="1:12" ht="12.75" customHeight="1">
      <c r="A6" s="18" t="s">
        <v>618</v>
      </c>
      <c r="B6" t="s">
        <v>618</v>
      </c>
      <c r="C6" s="17" t="s">
        <v>612</v>
      </c>
      <c r="D6" s="16"/>
      <c r="E6" t="s">
        <v>619</v>
      </c>
      <c r="K6" s="15"/>
      <c r="L6" s="15"/>
    </row>
    <row r="7" spans="1:12" ht="12.75" customHeight="1">
      <c r="A7" s="64" t="s">
        <v>620</v>
      </c>
      <c r="B7" s="65" t="s">
        <v>621</v>
      </c>
      <c r="C7" s="17" t="s">
        <v>612</v>
      </c>
      <c r="E7" t="s">
        <v>613</v>
      </c>
      <c r="K7" s="15"/>
      <c r="L7" s="15"/>
    </row>
    <row r="8" spans="1:12" ht="12.75" customHeight="1">
      <c r="A8" s="64" t="s">
        <v>622</v>
      </c>
      <c r="B8" s="65" t="s">
        <v>623</v>
      </c>
      <c r="C8" s="17" t="s">
        <v>624</v>
      </c>
      <c r="E8" s="70" t="s">
        <v>625</v>
      </c>
      <c r="K8" s="15"/>
      <c r="L8" s="15"/>
    </row>
    <row r="9" spans="1:12" ht="12.75" customHeight="1">
      <c r="A9" s="64" t="s">
        <v>626</v>
      </c>
      <c r="B9" s="65" t="s">
        <v>627</v>
      </c>
      <c r="C9" s="17" t="s">
        <v>628</v>
      </c>
      <c r="D9" t="s">
        <v>629</v>
      </c>
      <c r="E9" t="s">
        <v>619</v>
      </c>
      <c r="K9" s="15"/>
      <c r="L9" s="15"/>
    </row>
    <row r="10" spans="1:12" ht="12.75" customHeight="1">
      <c r="A10" s="64" t="s">
        <v>630</v>
      </c>
      <c r="B10" s="65" t="s">
        <v>631</v>
      </c>
      <c r="C10" s="17" t="s">
        <v>628</v>
      </c>
      <c r="D10" t="s">
        <v>629</v>
      </c>
      <c r="E10" t="s">
        <v>619</v>
      </c>
    </row>
    <row r="11" spans="1:12" ht="12.75" customHeight="1">
      <c r="A11" s="64" t="s">
        <v>632</v>
      </c>
      <c r="B11" s="65" t="s">
        <v>633</v>
      </c>
      <c r="C11" s="17" t="s">
        <v>628</v>
      </c>
      <c r="D11" t="s">
        <v>629</v>
      </c>
      <c r="E11" t="s">
        <v>619</v>
      </c>
    </row>
    <row r="12" spans="1:12" ht="12.75" customHeight="1">
      <c r="A12" s="64" t="s">
        <v>634</v>
      </c>
      <c r="B12" s="65" t="s">
        <v>635</v>
      </c>
      <c r="C12" s="17" t="s">
        <v>628</v>
      </c>
      <c r="D12" t="s">
        <v>629</v>
      </c>
      <c r="E12" t="s">
        <v>619</v>
      </c>
    </row>
    <row r="13" spans="1:12" ht="12.75" customHeight="1">
      <c r="A13" s="64" t="s">
        <v>636</v>
      </c>
      <c r="B13" s="65" t="s">
        <v>637</v>
      </c>
      <c r="C13" s="17" t="s">
        <v>628</v>
      </c>
      <c r="D13" t="s">
        <v>629</v>
      </c>
      <c r="E13" t="s">
        <v>619</v>
      </c>
    </row>
    <row r="14" spans="1:12" ht="12.75" customHeight="1">
      <c r="A14" s="64" t="s">
        <v>638</v>
      </c>
      <c r="B14" s="65" t="s">
        <v>639</v>
      </c>
      <c r="C14" s="17" t="s">
        <v>628</v>
      </c>
      <c r="E14" t="s">
        <v>619</v>
      </c>
    </row>
    <row r="15" spans="1:12" ht="12.75" customHeight="1">
      <c r="A15" s="64" t="s">
        <v>640</v>
      </c>
      <c r="B15" s="65" t="s">
        <v>641</v>
      </c>
      <c r="C15" s="17" t="s">
        <v>628</v>
      </c>
      <c r="D15" t="s">
        <v>629</v>
      </c>
      <c r="E15" t="s">
        <v>619</v>
      </c>
    </row>
    <row r="16" spans="1:12" ht="12.75" customHeight="1">
      <c r="A16" s="64" t="s">
        <v>642</v>
      </c>
      <c r="B16" s="65" t="s">
        <v>643</v>
      </c>
      <c r="C16" s="17" t="s">
        <v>628</v>
      </c>
      <c r="D16" t="s">
        <v>629</v>
      </c>
      <c r="E16" t="s">
        <v>619</v>
      </c>
    </row>
    <row r="17" spans="1:5" ht="12.75" customHeight="1">
      <c r="A17" s="64" t="s">
        <v>644</v>
      </c>
      <c r="B17" s="65" t="s">
        <v>645</v>
      </c>
      <c r="C17" s="17" t="s">
        <v>646</v>
      </c>
      <c r="E17" t="s">
        <v>647</v>
      </c>
    </row>
    <row r="18" spans="1:5" ht="12.75" customHeight="1">
      <c r="A18" s="64" t="s">
        <v>648</v>
      </c>
      <c r="B18" s="65" t="s">
        <v>649</v>
      </c>
      <c r="C18" s="17" t="s">
        <v>646</v>
      </c>
      <c r="E18" t="s">
        <v>647</v>
      </c>
    </row>
    <row r="19" spans="1:5" ht="12.75" customHeight="1">
      <c r="A19" s="64" t="s">
        <v>650</v>
      </c>
      <c r="B19" s="65" t="s">
        <v>651</v>
      </c>
      <c r="C19" s="17" t="s">
        <v>646</v>
      </c>
      <c r="E19" t="s">
        <v>652</v>
      </c>
    </row>
    <row r="20" spans="1:5" ht="12.75" customHeight="1">
      <c r="A20" s="64" t="s">
        <v>653</v>
      </c>
      <c r="B20" s="65" t="s">
        <v>654</v>
      </c>
      <c r="C20" s="17" t="s">
        <v>624</v>
      </c>
      <c r="E20" t="s">
        <v>652</v>
      </c>
    </row>
    <row r="21" spans="1:5" ht="12.75" customHeight="1">
      <c r="A21" s="64" t="s">
        <v>655</v>
      </c>
      <c r="B21" s="65" t="s">
        <v>656</v>
      </c>
      <c r="C21" s="17" t="s">
        <v>657</v>
      </c>
      <c r="E21" t="s">
        <v>652</v>
      </c>
    </row>
    <row r="22" spans="1:5" ht="12.75" customHeight="1">
      <c r="A22" s="64" t="s">
        <v>658</v>
      </c>
      <c r="B22" s="65" t="s">
        <v>659</v>
      </c>
      <c r="C22" s="17" t="s">
        <v>657</v>
      </c>
      <c r="E22" t="s">
        <v>652</v>
      </c>
    </row>
    <row r="23" spans="1:5" ht="12.75" customHeight="1">
      <c r="A23" s="64" t="s">
        <v>660</v>
      </c>
      <c r="B23" s="65" t="s">
        <v>660</v>
      </c>
      <c r="C23" s="17" t="s">
        <v>646</v>
      </c>
      <c r="E23" t="s">
        <v>661</v>
      </c>
    </row>
    <row r="24" spans="1:5" ht="12.75" customHeight="1">
      <c r="A24" s="64" t="s">
        <v>662</v>
      </c>
      <c r="B24" s="65" t="s">
        <v>663</v>
      </c>
      <c r="C24" s="17" t="s">
        <v>646</v>
      </c>
      <c r="E24" t="s">
        <v>661</v>
      </c>
    </row>
    <row r="25" spans="1:5" ht="12.75" customHeight="1">
      <c r="A25" s="64" t="s">
        <v>664</v>
      </c>
      <c r="B25" s="65" t="s">
        <v>665</v>
      </c>
      <c r="C25" s="17" t="s">
        <v>616</v>
      </c>
      <c r="D25" t="s">
        <v>666</v>
      </c>
      <c r="E25" t="s">
        <v>667</v>
      </c>
    </row>
    <row r="26" spans="1:5" ht="12.75" customHeight="1">
      <c r="A26" s="64" t="s">
        <v>668</v>
      </c>
      <c r="B26" s="65" t="s">
        <v>669</v>
      </c>
      <c r="C26" s="17" t="s">
        <v>670</v>
      </c>
      <c r="D26" t="s">
        <v>666</v>
      </c>
      <c r="E26" t="s">
        <v>667</v>
      </c>
    </row>
    <row r="27" spans="1:5" ht="12.75" customHeight="1">
      <c r="A27" s="64" t="s">
        <v>671</v>
      </c>
      <c r="B27" s="65" t="s">
        <v>672</v>
      </c>
      <c r="C27" s="17" t="s">
        <v>673</v>
      </c>
      <c r="D27" t="s">
        <v>666</v>
      </c>
      <c r="E27" t="s">
        <v>667</v>
      </c>
    </row>
    <row r="28" spans="1:5" ht="12.75" customHeight="1">
      <c r="A28" s="64" t="s">
        <v>674</v>
      </c>
      <c r="B28" s="65" t="s">
        <v>675</v>
      </c>
      <c r="C28" s="17" t="s">
        <v>673</v>
      </c>
      <c r="D28" t="s">
        <v>666</v>
      </c>
      <c r="E28" t="s">
        <v>667</v>
      </c>
    </row>
    <row r="29" spans="1:5" ht="12.75" customHeight="1">
      <c r="A29" s="64" t="s">
        <v>676</v>
      </c>
      <c r="B29" s="65" t="s">
        <v>677</v>
      </c>
      <c r="C29" s="17" t="s">
        <v>673</v>
      </c>
      <c r="E29" t="s">
        <v>667</v>
      </c>
    </row>
    <row r="30" spans="1:5" ht="12.75" customHeight="1">
      <c r="A30" s="64" t="s">
        <v>678</v>
      </c>
      <c r="B30" s="65" t="s">
        <v>679</v>
      </c>
      <c r="C30" s="17" t="s">
        <v>673</v>
      </c>
      <c r="D30" t="s">
        <v>666</v>
      </c>
      <c r="E30" t="s">
        <v>667</v>
      </c>
    </row>
    <row r="31" spans="1:5" ht="12.75" customHeight="1">
      <c r="A31" s="64" t="s">
        <v>680</v>
      </c>
      <c r="B31" s="65" t="s">
        <v>681</v>
      </c>
      <c r="C31" s="17" t="s">
        <v>673</v>
      </c>
      <c r="D31" t="s">
        <v>666</v>
      </c>
      <c r="E31" t="s">
        <v>667</v>
      </c>
    </row>
    <row r="32" spans="1:5" ht="12.75" customHeight="1">
      <c r="A32" s="64" t="s">
        <v>682</v>
      </c>
      <c r="B32" s="65" t="s">
        <v>683</v>
      </c>
      <c r="C32" s="17" t="s">
        <v>673</v>
      </c>
      <c r="D32" t="s">
        <v>666</v>
      </c>
      <c r="E32" t="s">
        <v>667</v>
      </c>
    </row>
    <row r="33" spans="1:5" ht="12.75" customHeight="1">
      <c r="A33" s="64" t="s">
        <v>684</v>
      </c>
      <c r="B33" s="65" t="s">
        <v>685</v>
      </c>
      <c r="C33" s="17" t="s">
        <v>673</v>
      </c>
      <c r="E33" t="s">
        <v>667</v>
      </c>
    </row>
    <row r="34" spans="1:5" ht="12.75" customHeight="1">
      <c r="A34" s="64" t="s">
        <v>686</v>
      </c>
      <c r="B34" s="65" t="s">
        <v>687</v>
      </c>
      <c r="C34" s="17" t="s">
        <v>673</v>
      </c>
      <c r="D34" t="s">
        <v>666</v>
      </c>
      <c r="E34" t="s">
        <v>667</v>
      </c>
    </row>
    <row r="35" spans="1:5" ht="12.75" customHeight="1">
      <c r="A35" s="64" t="s">
        <v>688</v>
      </c>
      <c r="B35" s="65" t="s">
        <v>689</v>
      </c>
      <c r="C35" s="17" t="s">
        <v>673</v>
      </c>
      <c r="D35" t="s">
        <v>666</v>
      </c>
      <c r="E35" t="s">
        <v>667</v>
      </c>
    </row>
    <row r="36" spans="1:5" ht="12.75" customHeight="1">
      <c r="A36" s="64" t="s">
        <v>690</v>
      </c>
      <c r="B36" s="65" t="s">
        <v>691</v>
      </c>
      <c r="C36" s="17" t="s">
        <v>673</v>
      </c>
      <c r="D36" t="s">
        <v>666</v>
      </c>
      <c r="E36" t="s">
        <v>667</v>
      </c>
    </row>
    <row r="37" spans="1:5" ht="12.75" customHeight="1">
      <c r="A37" s="64" t="s">
        <v>692</v>
      </c>
      <c r="B37" s="65" t="s">
        <v>693</v>
      </c>
      <c r="C37" s="17" t="s">
        <v>673</v>
      </c>
      <c r="D37" t="s">
        <v>666</v>
      </c>
      <c r="E37" t="s">
        <v>667</v>
      </c>
    </row>
    <row r="38" spans="1:5" ht="12.75" customHeight="1">
      <c r="A38" s="64" t="s">
        <v>694</v>
      </c>
      <c r="B38" s="65" t="s">
        <v>695</v>
      </c>
      <c r="C38" s="17" t="s">
        <v>673</v>
      </c>
      <c r="D38" t="s">
        <v>666</v>
      </c>
      <c r="E38" t="s">
        <v>667</v>
      </c>
    </row>
    <row r="39" spans="1:5" ht="12.75" customHeight="1">
      <c r="A39" s="64" t="s">
        <v>696</v>
      </c>
      <c r="B39" s="65" t="s">
        <v>697</v>
      </c>
      <c r="C39" s="17" t="s">
        <v>673</v>
      </c>
      <c r="D39" t="s">
        <v>666</v>
      </c>
      <c r="E39" t="s">
        <v>667</v>
      </c>
    </row>
    <row r="40" spans="1:5" ht="12.75" customHeight="1">
      <c r="A40" s="64" t="s">
        <v>698</v>
      </c>
      <c r="B40" s="65" t="s">
        <v>699</v>
      </c>
      <c r="C40" s="17" t="s">
        <v>700</v>
      </c>
      <c r="D40" t="s">
        <v>666</v>
      </c>
      <c r="E40" t="s">
        <v>667</v>
      </c>
    </row>
    <row r="41" spans="1:5" ht="12.75" customHeight="1">
      <c r="A41" s="64" t="s">
        <v>701</v>
      </c>
      <c r="B41" s="65" t="s">
        <v>702</v>
      </c>
      <c r="C41" s="17" t="s">
        <v>670</v>
      </c>
      <c r="D41" t="s">
        <v>666</v>
      </c>
      <c r="E41" t="s">
        <v>667</v>
      </c>
    </row>
    <row r="42" spans="1:5" ht="12.75" customHeight="1">
      <c r="A42" s="64" t="s">
        <v>703</v>
      </c>
      <c r="B42" s="65" t="s">
        <v>704</v>
      </c>
      <c r="C42" s="17" t="s">
        <v>670</v>
      </c>
      <c r="D42" t="s">
        <v>666</v>
      </c>
      <c r="E42" t="s">
        <v>667</v>
      </c>
    </row>
    <row r="43" spans="1:5" ht="12.75" customHeight="1">
      <c r="A43" s="64" t="s">
        <v>705</v>
      </c>
      <c r="B43" s="65" t="s">
        <v>706</v>
      </c>
      <c r="C43" s="17" t="s">
        <v>670</v>
      </c>
      <c r="D43" t="s">
        <v>629</v>
      </c>
      <c r="E43" t="s">
        <v>667</v>
      </c>
    </row>
    <row r="44" spans="1:5" ht="12.75" customHeight="1">
      <c r="A44" s="64" t="s">
        <v>707</v>
      </c>
      <c r="B44" s="65" t="s">
        <v>708</v>
      </c>
      <c r="C44" s="17" t="s">
        <v>670</v>
      </c>
      <c r="D44" t="s">
        <v>666</v>
      </c>
      <c r="E44" t="s">
        <v>667</v>
      </c>
    </row>
    <row r="45" spans="1:5" ht="12.75" customHeight="1">
      <c r="A45" s="64" t="s">
        <v>709</v>
      </c>
      <c r="B45" s="65" t="s">
        <v>710</v>
      </c>
      <c r="C45" s="17" t="s">
        <v>670</v>
      </c>
      <c r="D45" t="s">
        <v>666</v>
      </c>
      <c r="E45" t="s">
        <v>667</v>
      </c>
    </row>
    <row r="46" spans="1:5" ht="12.75" customHeight="1">
      <c r="A46" s="64" t="s">
        <v>711</v>
      </c>
      <c r="B46" s="65" t="s">
        <v>712</v>
      </c>
      <c r="C46" s="17" t="s">
        <v>670</v>
      </c>
      <c r="D46" t="s">
        <v>666</v>
      </c>
      <c r="E46" t="s">
        <v>667</v>
      </c>
    </row>
    <row r="47" spans="1:5" ht="12.75" customHeight="1">
      <c r="A47" s="64" t="s">
        <v>713</v>
      </c>
      <c r="B47" s="65" t="s">
        <v>714</v>
      </c>
      <c r="C47" s="17" t="s">
        <v>616</v>
      </c>
      <c r="D47" t="s">
        <v>666</v>
      </c>
      <c r="E47" t="s">
        <v>667</v>
      </c>
    </row>
    <row r="48" spans="1:5" ht="12.75" customHeight="1">
      <c r="A48" s="64" t="s">
        <v>715</v>
      </c>
      <c r="B48" s="65" t="s">
        <v>716</v>
      </c>
      <c r="C48" s="17" t="s">
        <v>616</v>
      </c>
      <c r="E48" t="s">
        <v>667</v>
      </c>
    </row>
    <row r="49" spans="1:5" ht="12.75" customHeight="1">
      <c r="A49" s="64" t="s">
        <v>717</v>
      </c>
      <c r="B49" s="65" t="s">
        <v>718</v>
      </c>
      <c r="C49" s="17" t="s">
        <v>616</v>
      </c>
      <c r="D49" t="s">
        <v>666</v>
      </c>
      <c r="E49" t="s">
        <v>667</v>
      </c>
    </row>
    <row r="50" spans="1:5" ht="12.75" customHeight="1">
      <c r="A50" s="64" t="s">
        <v>719</v>
      </c>
      <c r="B50" s="65" t="s">
        <v>720</v>
      </c>
      <c r="C50" s="17" t="s">
        <v>616</v>
      </c>
      <c r="D50" t="s">
        <v>666</v>
      </c>
      <c r="E50" t="s">
        <v>667</v>
      </c>
    </row>
    <row r="51" spans="1:5" ht="12.75" customHeight="1">
      <c r="A51" s="64" t="s">
        <v>721</v>
      </c>
      <c r="B51" s="65" t="s">
        <v>722</v>
      </c>
      <c r="C51" s="17" t="s">
        <v>616</v>
      </c>
      <c r="D51" t="s">
        <v>666</v>
      </c>
      <c r="E51" t="s">
        <v>667</v>
      </c>
    </row>
    <row r="52" spans="1:5" ht="12.75" customHeight="1">
      <c r="A52" s="64" t="s">
        <v>723</v>
      </c>
      <c r="B52" s="65" t="s">
        <v>724</v>
      </c>
      <c r="C52" s="17" t="s">
        <v>616</v>
      </c>
      <c r="D52" t="s">
        <v>666</v>
      </c>
      <c r="E52" t="s">
        <v>667</v>
      </c>
    </row>
    <row r="53" spans="1:5" ht="12.75" customHeight="1">
      <c r="A53" s="64" t="s">
        <v>725</v>
      </c>
      <c r="B53" s="65" t="s">
        <v>726</v>
      </c>
      <c r="C53" s="17" t="s">
        <v>616</v>
      </c>
      <c r="E53" t="s">
        <v>667</v>
      </c>
    </row>
    <row r="54" spans="1:5" ht="12.75" customHeight="1">
      <c r="A54" s="64" t="s">
        <v>727</v>
      </c>
      <c r="B54" s="65" t="s">
        <v>728</v>
      </c>
      <c r="C54" s="17" t="s">
        <v>616</v>
      </c>
      <c r="D54" t="s">
        <v>666</v>
      </c>
      <c r="E54" t="s">
        <v>667</v>
      </c>
    </row>
    <row r="55" spans="1:5" ht="12.75" customHeight="1">
      <c r="A55" s="64" t="s">
        <v>729</v>
      </c>
      <c r="B55" s="65" t="s">
        <v>730</v>
      </c>
      <c r="C55" s="17" t="s">
        <v>616</v>
      </c>
      <c r="D55" t="s">
        <v>666</v>
      </c>
      <c r="E55" t="s">
        <v>667</v>
      </c>
    </row>
    <row r="56" spans="1:5" ht="12.75" customHeight="1">
      <c r="A56" s="64" t="s">
        <v>731</v>
      </c>
      <c r="B56" s="65" t="s">
        <v>732</v>
      </c>
      <c r="C56" s="17" t="s">
        <v>616</v>
      </c>
      <c r="D56" t="s">
        <v>666</v>
      </c>
      <c r="E56" t="s">
        <v>667</v>
      </c>
    </row>
    <row r="57" spans="1:5" ht="12.75" customHeight="1">
      <c r="A57" s="64" t="s">
        <v>733</v>
      </c>
      <c r="B57" s="65" t="s">
        <v>734</v>
      </c>
      <c r="C57" s="17" t="s">
        <v>616</v>
      </c>
      <c r="D57" t="s">
        <v>666</v>
      </c>
      <c r="E57" t="s">
        <v>667</v>
      </c>
    </row>
    <row r="58" spans="1:5" ht="12.75" customHeight="1">
      <c r="A58" s="64" t="s">
        <v>735</v>
      </c>
      <c r="B58" s="65" t="s">
        <v>736</v>
      </c>
      <c r="C58" s="17" t="s">
        <v>616</v>
      </c>
      <c r="D58" t="s">
        <v>666</v>
      </c>
      <c r="E58" t="s">
        <v>667</v>
      </c>
    </row>
    <row r="59" spans="1:5" ht="12.75" customHeight="1">
      <c r="A59" s="64" t="s">
        <v>737</v>
      </c>
      <c r="B59" s="65" t="s">
        <v>738</v>
      </c>
      <c r="C59" s="17" t="s">
        <v>616</v>
      </c>
      <c r="D59" t="s">
        <v>666</v>
      </c>
      <c r="E59" t="s">
        <v>667</v>
      </c>
    </row>
    <row r="60" spans="1:5" ht="12.75" customHeight="1">
      <c r="A60" s="64" t="s">
        <v>739</v>
      </c>
      <c r="B60" s="65" t="s">
        <v>740</v>
      </c>
      <c r="C60" s="17" t="s">
        <v>616</v>
      </c>
      <c r="D60" t="s">
        <v>666</v>
      </c>
      <c r="E60" t="s">
        <v>667</v>
      </c>
    </row>
    <row r="61" spans="1:5" ht="12.75" customHeight="1">
      <c r="A61" s="64" t="s">
        <v>724</v>
      </c>
      <c r="B61" s="65" t="s">
        <v>723</v>
      </c>
      <c r="C61" s="17" t="s">
        <v>616</v>
      </c>
      <c r="E61" t="s">
        <v>667</v>
      </c>
    </row>
    <row r="62" spans="1:5" ht="12.75" customHeight="1">
      <c r="A62" s="64" t="s">
        <v>741</v>
      </c>
      <c r="B62" s="65" t="s">
        <v>742</v>
      </c>
      <c r="C62" s="17" t="s">
        <v>616</v>
      </c>
      <c r="D62" t="s">
        <v>666</v>
      </c>
      <c r="E62" t="s">
        <v>667</v>
      </c>
    </row>
    <row r="63" spans="1:5" ht="12.75" customHeight="1">
      <c r="A63" s="64" t="s">
        <v>743</v>
      </c>
      <c r="B63" s="65" t="s">
        <v>744</v>
      </c>
      <c r="C63" s="17" t="s">
        <v>616</v>
      </c>
      <c r="D63" t="s">
        <v>666</v>
      </c>
      <c r="E63" t="s">
        <v>667</v>
      </c>
    </row>
    <row r="64" spans="1:5" ht="12.75" customHeight="1">
      <c r="A64" s="64" t="s">
        <v>745</v>
      </c>
      <c r="B64" s="65" t="s">
        <v>746</v>
      </c>
      <c r="C64" s="17" t="s">
        <v>616</v>
      </c>
      <c r="D64" t="s">
        <v>666</v>
      </c>
      <c r="E64" t="s">
        <v>667</v>
      </c>
    </row>
    <row r="65" spans="1:5" ht="12.75" customHeight="1">
      <c r="A65" s="64" t="s">
        <v>747</v>
      </c>
      <c r="B65" s="65" t="s">
        <v>748</v>
      </c>
      <c r="C65" s="17" t="s">
        <v>616</v>
      </c>
      <c r="D65" t="s">
        <v>666</v>
      </c>
      <c r="E65" t="s">
        <v>667</v>
      </c>
    </row>
    <row r="66" spans="1:5" ht="12.75" customHeight="1">
      <c r="A66" s="64" t="s">
        <v>749</v>
      </c>
      <c r="B66" s="65" t="s">
        <v>750</v>
      </c>
      <c r="C66" s="17" t="s">
        <v>616</v>
      </c>
      <c r="D66" t="s">
        <v>666</v>
      </c>
      <c r="E66" t="s">
        <v>667</v>
      </c>
    </row>
    <row r="67" spans="1:5" ht="12.75" customHeight="1">
      <c r="A67" s="64" t="s">
        <v>751</v>
      </c>
      <c r="B67" s="65" t="s">
        <v>752</v>
      </c>
      <c r="C67" s="17" t="s">
        <v>616</v>
      </c>
      <c r="D67" t="s">
        <v>666</v>
      </c>
      <c r="E67" t="s">
        <v>667</v>
      </c>
    </row>
    <row r="68" spans="1:5" ht="12.75" customHeight="1">
      <c r="A68" s="64" t="s">
        <v>753</v>
      </c>
      <c r="B68" s="65" t="s">
        <v>754</v>
      </c>
      <c r="C68" s="17" t="s">
        <v>616</v>
      </c>
      <c r="D68" t="s">
        <v>666</v>
      </c>
      <c r="E68" t="s">
        <v>667</v>
      </c>
    </row>
    <row r="69" spans="1:5" ht="12.75" customHeight="1">
      <c r="A69" s="64" t="s">
        <v>755</v>
      </c>
      <c r="B69" s="65" t="s">
        <v>756</v>
      </c>
      <c r="C69" s="17" t="s">
        <v>616</v>
      </c>
      <c r="D69" t="s">
        <v>666</v>
      </c>
      <c r="E69" t="s">
        <v>667</v>
      </c>
    </row>
    <row r="70" spans="1:5" ht="12.75" customHeight="1">
      <c r="A70" s="64" t="s">
        <v>757</v>
      </c>
      <c r="B70" s="65" t="s">
        <v>758</v>
      </c>
      <c r="C70" s="17" t="s">
        <v>616</v>
      </c>
      <c r="D70" t="s">
        <v>666</v>
      </c>
      <c r="E70" t="s">
        <v>667</v>
      </c>
    </row>
    <row r="71" spans="1:5" ht="12.75" customHeight="1">
      <c r="A71" s="64" t="s">
        <v>759</v>
      </c>
      <c r="B71" s="65" t="s">
        <v>760</v>
      </c>
      <c r="C71" s="17" t="s">
        <v>616</v>
      </c>
      <c r="D71" t="s">
        <v>666</v>
      </c>
      <c r="E71" t="s">
        <v>667</v>
      </c>
    </row>
    <row r="72" spans="1:5" ht="12.75" customHeight="1">
      <c r="A72" s="64" t="s">
        <v>761</v>
      </c>
      <c r="B72" s="65" t="s">
        <v>762</v>
      </c>
      <c r="C72" s="17" t="s">
        <v>616</v>
      </c>
      <c r="D72" t="s">
        <v>666</v>
      </c>
      <c r="E72" t="s">
        <v>667</v>
      </c>
    </row>
    <row r="73" spans="1:5" ht="12.75" customHeight="1">
      <c r="A73" s="64" t="s">
        <v>763</v>
      </c>
      <c r="B73" s="65" t="s">
        <v>764</v>
      </c>
      <c r="C73" s="17" t="s">
        <v>616</v>
      </c>
      <c r="D73" t="s">
        <v>666</v>
      </c>
      <c r="E73" t="s">
        <v>667</v>
      </c>
    </row>
    <row r="74" spans="1:5" ht="12.75" customHeight="1">
      <c r="A74" s="64" t="s">
        <v>765</v>
      </c>
      <c r="B74" s="65" t="s">
        <v>766</v>
      </c>
      <c r="C74" s="17" t="s">
        <v>616</v>
      </c>
      <c r="D74" t="s">
        <v>666</v>
      </c>
      <c r="E74" t="s">
        <v>667</v>
      </c>
    </row>
    <row r="75" spans="1:5" ht="12.75" customHeight="1">
      <c r="A75" s="64" t="s">
        <v>767</v>
      </c>
      <c r="B75" s="65" t="s">
        <v>768</v>
      </c>
      <c r="C75" s="17" t="s">
        <v>616</v>
      </c>
      <c r="D75" t="s">
        <v>666</v>
      </c>
      <c r="E75" t="s">
        <v>667</v>
      </c>
    </row>
    <row r="76" spans="1:5" ht="12.75" customHeight="1">
      <c r="A76" s="64" t="s">
        <v>769</v>
      </c>
      <c r="B76" s="65" t="s">
        <v>770</v>
      </c>
      <c r="C76" s="17" t="s">
        <v>771</v>
      </c>
      <c r="D76" t="s">
        <v>666</v>
      </c>
      <c r="E76" t="s">
        <v>667</v>
      </c>
    </row>
    <row r="77" spans="1:5" ht="12.75" customHeight="1">
      <c r="A77" s="64" t="s">
        <v>772</v>
      </c>
      <c r="B77" s="65" t="s">
        <v>773</v>
      </c>
      <c r="C77" s="17" t="s">
        <v>774</v>
      </c>
      <c r="D77" t="s">
        <v>775</v>
      </c>
      <c r="E77" t="s">
        <v>667</v>
      </c>
    </row>
    <row r="78" spans="1:5" ht="12.75" customHeight="1">
      <c r="A78" s="64" t="s">
        <v>776</v>
      </c>
      <c r="B78" s="65" t="s">
        <v>777</v>
      </c>
      <c r="C78" s="17" t="s">
        <v>774</v>
      </c>
      <c r="D78" t="s">
        <v>666</v>
      </c>
      <c r="E78" t="s">
        <v>667</v>
      </c>
    </row>
    <row r="79" spans="1:5" ht="12.75" customHeight="1">
      <c r="A79" s="64" t="s">
        <v>778</v>
      </c>
      <c r="B79" s="65" t="s">
        <v>779</v>
      </c>
      <c r="C79" s="17" t="s">
        <v>774</v>
      </c>
      <c r="D79" t="s">
        <v>666</v>
      </c>
      <c r="E79" t="s">
        <v>667</v>
      </c>
    </row>
    <row r="80" spans="1:5" ht="12.75" customHeight="1">
      <c r="A80" s="64" t="s">
        <v>780</v>
      </c>
      <c r="B80" s="65" t="s">
        <v>781</v>
      </c>
      <c r="C80" s="17" t="s">
        <v>782</v>
      </c>
      <c r="D80" t="s">
        <v>666</v>
      </c>
      <c r="E80" t="s">
        <v>667</v>
      </c>
    </row>
    <row r="81" spans="1:5" ht="12.75" customHeight="1">
      <c r="A81" s="64" t="s">
        <v>783</v>
      </c>
      <c r="B81" s="65" t="s">
        <v>784</v>
      </c>
      <c r="C81" s="17" t="s">
        <v>612</v>
      </c>
      <c r="D81" t="s">
        <v>666</v>
      </c>
      <c r="E81" t="s">
        <v>667</v>
      </c>
    </row>
    <row r="82" spans="1:5" ht="12.75" customHeight="1">
      <c r="A82" s="64" t="s">
        <v>785</v>
      </c>
      <c r="B82" s="65" t="s">
        <v>786</v>
      </c>
      <c r="C82" s="17" t="s">
        <v>612</v>
      </c>
      <c r="D82" t="s">
        <v>666</v>
      </c>
      <c r="E82" t="s">
        <v>667</v>
      </c>
    </row>
    <row r="83" spans="1:5" ht="12.75" customHeight="1">
      <c r="A83" s="64" t="s">
        <v>787</v>
      </c>
      <c r="B83" s="65" t="s">
        <v>788</v>
      </c>
      <c r="C83" s="17" t="s">
        <v>789</v>
      </c>
      <c r="D83" t="s">
        <v>666</v>
      </c>
      <c r="E83" t="s">
        <v>667</v>
      </c>
    </row>
    <row r="84" spans="1:5" ht="12.75" customHeight="1">
      <c r="A84" s="64" t="s">
        <v>733</v>
      </c>
      <c r="B84" s="65" t="s">
        <v>734</v>
      </c>
      <c r="C84" s="17" t="s">
        <v>616</v>
      </c>
      <c r="E84" t="s">
        <v>667</v>
      </c>
    </row>
    <row r="85" spans="1:5" ht="12.75" customHeight="1">
      <c r="A85" s="64" t="s">
        <v>790</v>
      </c>
      <c r="B85" s="65" t="s">
        <v>791</v>
      </c>
      <c r="C85" s="17" t="s">
        <v>789</v>
      </c>
      <c r="D85" t="s">
        <v>666</v>
      </c>
      <c r="E85" t="s">
        <v>667</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xml version="1.0" encoding="utf-8"?>
<?mso-contentType ?>
<FormTemplates xmlns="http://schemas.microsoft.com/sharepoint/v3/contenttype/forms">
  <Display>DocumentLibraryForm</Display>
  <Edit>DocumentLibraryForm</Edit>
  <New>DocumentLibraryForm</New>
</FormTemplates>
</file>

<file path=customXml/item1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078388C9-06F9-42F4-B857-EF76B5CAF1FD}"/>
</file>

<file path=customXml/itemProps2.xml><?xml version="1.0" encoding="utf-8"?>
<ds:datastoreItem xmlns:ds="http://schemas.openxmlformats.org/officeDocument/2006/customXml" ds:itemID="{0F6C3C6A-5F82-4BFA-9310-8B457A7DEBF1}"/>
</file>

<file path=customXml/itemProps3.xml><?xml version="1.0" encoding="utf-8"?>
<ds:datastoreItem xmlns:ds="http://schemas.openxmlformats.org/officeDocument/2006/customXml" ds:itemID="{14966E4F-347B-477B-B74C-9DAC05405806}"/>
</file>

<file path=customXml/itemProps4.xml><?xml version="1.0" encoding="utf-8"?>
<ds:datastoreItem xmlns:ds="http://schemas.openxmlformats.org/officeDocument/2006/customXml" ds:itemID="{0389C43E-394D-44C0-87DC-4780FCFCFB40}"/>
</file>

<file path=customXml/itemProps5.xml><?xml version="1.0" encoding="utf-8"?>
<ds:datastoreItem xmlns:ds="http://schemas.openxmlformats.org/officeDocument/2006/customXml" ds:itemID="{3AEAA9D8-2182-46BA-A58E-96C72DDA1C54}"/>
</file>

<file path=customXml/itemProps6.xml><?xml version="1.0" encoding="utf-8"?>
<ds:datastoreItem xmlns:ds="http://schemas.openxmlformats.org/officeDocument/2006/customXml" ds:itemID="{1954BBA4-0359-438C-B0EC-A756015F7C02}"/>
</file>

<file path=customXml/itemProps7.xml><?xml version="1.0" encoding="utf-8"?>
<ds:datastoreItem xmlns:ds="http://schemas.openxmlformats.org/officeDocument/2006/customXml" ds:itemID="{F12EFA50-0068-4A8C-85A0-F1B26389EBC3}"/>
</file>

<file path=customXml/itemProps8.xml><?xml version="1.0" encoding="utf-8"?>
<ds:datastoreItem xmlns:ds="http://schemas.openxmlformats.org/officeDocument/2006/customXml" ds:itemID="{98A113BB-8B7A-453C-8BD4-8EFC67FC2D3F}"/>
</file>

<file path=customXml/itemProps9.xml><?xml version="1.0" encoding="utf-8"?>
<ds:datastoreItem xmlns:ds="http://schemas.openxmlformats.org/officeDocument/2006/customXml" ds:itemID="{CB52044A-5C0B-44A2-99D0-C1C315EC302D}"/>
</file>

<file path=customXml/itemProps10.xml><?xml version="1.0" encoding="utf-8"?>
<ds:datastoreItem xmlns:ds="http://schemas.openxmlformats.org/officeDocument/2006/customXml" ds:itemID="{E3716282-BFD2-4ED2-BA47-BFA1123827F0}"/>
</file>

<file path=customXml/itemProps11.xml><?xml version="1.0" encoding="utf-8"?>
<ds:datastoreItem xmlns:ds="http://schemas.openxmlformats.org/officeDocument/2006/customXml" ds:itemID="{E20E8303-6A67-485C-B6F4-303542CC295C}"/>
</file>

<file path=customXml/itemProps12.xml><?xml version="1.0" encoding="utf-8"?>
<ds:datastoreItem xmlns:ds="http://schemas.openxmlformats.org/officeDocument/2006/customXml" ds:itemID="{7946C510-7D04-49D8-9B25-EEC04582A1CA}"/>
</file>

<file path=customXml/itemProps13.xml><?xml version="1.0" encoding="utf-8"?>
<ds:datastoreItem xmlns:ds="http://schemas.openxmlformats.org/officeDocument/2006/customXml" ds:itemID="{8D732231-4216-4543-A665-18A2886B0EB7}"/>
</file>

<file path=customXml/itemProps14.xml><?xml version="1.0" encoding="utf-8"?>
<ds:datastoreItem xmlns:ds="http://schemas.openxmlformats.org/officeDocument/2006/customXml" ds:itemID="{BE26B669-A686-459C-A5E9-FEC3409C4C81}"/>
</file>

<file path=customXml/itemProps15.xml><?xml version="1.0" encoding="utf-8"?>
<ds:datastoreItem xmlns:ds="http://schemas.openxmlformats.org/officeDocument/2006/customXml" ds:itemID="{89CF5C07-45EB-4100-9AFB-2C6AF77FA787}"/>
</file>

<file path=customXml/itemProps16.xml><?xml version="1.0" encoding="utf-8"?>
<ds:datastoreItem xmlns:ds="http://schemas.openxmlformats.org/officeDocument/2006/customXml" ds:itemID="{F6B2B1A1-1C4B-4AC9-9A7D-7A102DD1C942}"/>
</file>

<file path=customXml/itemProps17.xml><?xml version="1.0" encoding="utf-8"?>
<ds:datastoreItem xmlns:ds="http://schemas.openxmlformats.org/officeDocument/2006/customXml" ds:itemID="{BF5C6359-7763-4C37-8EAF-2BC4698CB285}"/>
</file>

<file path=customXml/itemProps18.xml><?xml version="1.0" encoding="utf-8"?>
<ds:datastoreItem xmlns:ds="http://schemas.openxmlformats.org/officeDocument/2006/customXml" ds:itemID="{66B09F59-6532-46F8-924A-9A02417E070D}"/>
</file>

<file path=customXml/itemProps19.xml><?xml version="1.0" encoding="utf-8"?>
<ds:datastoreItem xmlns:ds="http://schemas.openxmlformats.org/officeDocument/2006/customXml" ds:itemID="{D3A7101F-9A85-4235-8B03-415370C100B2}"/>
</file>

<file path=customXml/itemProps20.xml><?xml version="1.0" encoding="utf-8"?>
<ds:datastoreItem xmlns:ds="http://schemas.openxmlformats.org/officeDocument/2006/customXml" ds:itemID="{2BC74AAC-D69B-4AF1-9649-B21EF3C1C46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2025-09-22T18:35:51Z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2025-02-19T13:13:26Z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d8975808-c643-4fb8-ab79-3a8e3636f2c1</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