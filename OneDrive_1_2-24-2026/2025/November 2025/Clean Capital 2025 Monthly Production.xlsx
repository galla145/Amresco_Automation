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1" documentId="13_ncr:1_{8C1E19D1-4A4A-4459-9305-9998B1414901}" xr6:coauthVersionLast="47" xr6:coauthVersionMax="47" xr10:uidLastSave="{21406DE4-64F8-4344-9DE0-9567D3812247}"/>
  <bookViews>
    <workbookView xWindow="28680" yWindow="-120" windowWidth="29040" windowHeight="15720"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8" l="1"/>
  <c r="C2" i="18"/>
  <c r="G2" i="29"/>
  <c r="D2" i="29"/>
  <c r="C2" i="29"/>
  <c r="C76" i="18"/>
  <c r="D76" i="18"/>
  <c r="E76" i="18"/>
  <c r="F76" i="18"/>
  <c r="G76" i="18"/>
  <c r="H76" i="18"/>
  <c r="I76" i="18"/>
  <c r="C77" i="18"/>
  <c r="D77" i="18"/>
  <c r="E77" i="18"/>
  <c r="F77" i="18"/>
  <c r="G77" i="18"/>
  <c r="H77" i="18"/>
  <c r="I77" i="18"/>
  <c r="C78" i="18"/>
  <c r="D78" i="18"/>
  <c r="E78" i="18"/>
  <c r="F78" i="18"/>
  <c r="G78" i="18"/>
  <c r="H78" i="18"/>
  <c r="I78" i="18"/>
  <c r="C79" i="18"/>
  <c r="D79" i="18"/>
  <c r="E79" i="18"/>
  <c r="F79" i="18"/>
  <c r="G79" i="18"/>
  <c r="H79" i="18"/>
  <c r="I79" i="18"/>
  <c r="C80" i="18"/>
  <c r="D80" i="18"/>
  <c r="E80" i="18"/>
  <c r="F80" i="18"/>
  <c r="G80" i="18"/>
  <c r="H80" i="18"/>
  <c r="I80" i="18"/>
  <c r="C81" i="18"/>
  <c r="D81" i="18"/>
  <c r="E81" i="18"/>
  <c r="F81" i="18"/>
  <c r="G81" i="18"/>
  <c r="H81" i="18"/>
  <c r="I81" i="18"/>
  <c r="C82" i="18"/>
  <c r="D82" i="18"/>
  <c r="E82" i="18"/>
  <c r="F82" i="18"/>
  <c r="G82" i="18"/>
  <c r="H82" i="18"/>
  <c r="I82" i="18"/>
  <c r="C83" i="18"/>
  <c r="D83" i="18"/>
  <c r="E83" i="18"/>
  <c r="F83" i="18"/>
  <c r="G83" i="18"/>
  <c r="H83" i="18"/>
  <c r="I83" i="18"/>
  <c r="C84" i="18"/>
  <c r="D84" i="18"/>
  <c r="E84" i="18"/>
  <c r="F84" i="18"/>
  <c r="G84" i="18"/>
  <c r="H84" i="18"/>
  <c r="I84" i="18"/>
  <c r="C85" i="18"/>
  <c r="D85" i="18"/>
  <c r="E85" i="18"/>
  <c r="F85" i="18"/>
  <c r="G85" i="18"/>
  <c r="H85" i="18"/>
  <c r="I85" i="18"/>
  <c r="C76" i="1"/>
  <c r="D76" i="1"/>
  <c r="E76" i="1"/>
  <c r="F76" i="1"/>
  <c r="G76" i="1"/>
  <c r="H76" i="1"/>
  <c r="I76" i="1"/>
  <c r="C77" i="1"/>
  <c r="D77" i="1"/>
  <c r="E77" i="1"/>
  <c r="F77" i="1"/>
  <c r="G77" i="1"/>
  <c r="H77" i="1"/>
  <c r="I77" i="1"/>
  <c r="C78" i="1"/>
  <c r="D78" i="1"/>
  <c r="E78" i="1"/>
  <c r="F78" i="1"/>
  <c r="G78" i="1"/>
  <c r="H78" i="1"/>
  <c r="I78" i="1"/>
  <c r="C79" i="1"/>
  <c r="D79" i="1"/>
  <c r="E79" i="1"/>
  <c r="F79" i="1"/>
  <c r="G79" i="1"/>
  <c r="H79" i="1"/>
  <c r="I79" i="1"/>
  <c r="C80" i="1"/>
  <c r="D80" i="1"/>
  <c r="E80" i="1"/>
  <c r="F80" i="1"/>
  <c r="G80" i="1"/>
  <c r="H80" i="1"/>
  <c r="I80" i="1"/>
  <c r="C81" i="1"/>
  <c r="D81" i="1"/>
  <c r="E81" i="1"/>
  <c r="F81" i="1"/>
  <c r="G81" i="1"/>
  <c r="H81" i="1"/>
  <c r="I81" i="1"/>
  <c r="C82" i="1"/>
  <c r="D82" i="1"/>
  <c r="E82" i="1"/>
  <c r="F82" i="1"/>
  <c r="G82" i="1"/>
  <c r="H82" i="1"/>
  <c r="I82" i="1"/>
  <c r="C83" i="1"/>
  <c r="D83" i="1"/>
  <c r="E83" i="1"/>
  <c r="F83" i="1"/>
  <c r="G83" i="1"/>
  <c r="H83" i="1"/>
  <c r="I83" i="1"/>
  <c r="C84" i="1"/>
  <c r="D84" i="1"/>
  <c r="E84" i="1"/>
  <c r="F84" i="1"/>
  <c r="G84" i="1"/>
  <c r="H84" i="1"/>
  <c r="I84" i="1"/>
  <c r="C85" i="1"/>
  <c r="D85" i="1"/>
  <c r="E85" i="1"/>
  <c r="F85" i="1"/>
  <c r="G85" i="1"/>
  <c r="H85" i="1"/>
  <c r="I85" i="1"/>
  <c r="G2" i="31"/>
  <c r="D2" i="31"/>
  <c r="C2" i="31"/>
  <c r="G2" i="32"/>
  <c r="D2" i="32"/>
  <c r="C2" i="32"/>
  <c r="E13" i="33"/>
  <c r="F13" i="33"/>
  <c r="H13" i="33"/>
  <c r="I13" i="33"/>
  <c r="E14" i="33"/>
  <c r="F14" i="33"/>
  <c r="H14" i="33"/>
  <c r="I14" i="33"/>
  <c r="E15" i="33"/>
  <c r="F15" i="33"/>
  <c r="H15" i="33"/>
  <c r="I15" i="33"/>
  <c r="E16" i="33"/>
  <c r="F16" i="33"/>
  <c r="H16" i="33"/>
  <c r="I16" i="33"/>
  <c r="E17" i="33"/>
  <c r="F17" i="33"/>
  <c r="H17" i="33"/>
  <c r="I17" i="33"/>
  <c r="E18" i="33"/>
  <c r="F18" i="33"/>
  <c r="H18" i="33"/>
  <c r="I18" i="33"/>
  <c r="E19" i="33"/>
  <c r="F19" i="33"/>
  <c r="H19" i="33"/>
  <c r="I19" i="33"/>
  <c r="E20" i="33"/>
  <c r="F20" i="33"/>
  <c r="H20" i="33"/>
  <c r="I20" i="33"/>
  <c r="E21" i="33"/>
  <c r="F21" i="33"/>
  <c r="H21" i="33"/>
  <c r="I21" i="33"/>
  <c r="E22" i="33"/>
  <c r="F22" i="33"/>
  <c r="H22" i="33"/>
  <c r="I22" i="33"/>
  <c r="E23" i="33"/>
  <c r="F23" i="33"/>
  <c r="H23" i="33"/>
  <c r="I23" i="33"/>
  <c r="E24" i="33"/>
  <c r="F24" i="33"/>
  <c r="H24" i="33"/>
  <c r="I24" i="33"/>
  <c r="E25" i="33"/>
  <c r="F25" i="33"/>
  <c r="H25" i="33"/>
  <c r="I25" i="33"/>
  <c r="E26" i="33"/>
  <c r="F26" i="33"/>
  <c r="H26" i="33"/>
  <c r="I26" i="33"/>
  <c r="E27" i="33"/>
  <c r="F27" i="33"/>
  <c r="H27" i="33"/>
  <c r="I27" i="33"/>
  <c r="E28" i="33"/>
  <c r="F28" i="33"/>
  <c r="H28" i="33"/>
  <c r="I28" i="33"/>
  <c r="E29" i="33"/>
  <c r="F29" i="33"/>
  <c r="H29" i="33"/>
  <c r="I29" i="33"/>
  <c r="E30" i="33"/>
  <c r="F30" i="33"/>
  <c r="H30" i="33"/>
  <c r="I30" i="33"/>
  <c r="E31" i="33"/>
  <c r="F31" i="33"/>
  <c r="H31" i="33"/>
  <c r="I31" i="33"/>
  <c r="E32" i="33"/>
  <c r="F32" i="33"/>
  <c r="H32" i="33"/>
  <c r="I32" i="33"/>
  <c r="E33" i="33"/>
  <c r="F33" i="33"/>
  <c r="H33" i="33"/>
  <c r="I33" i="33"/>
  <c r="E34" i="33"/>
  <c r="F34" i="33"/>
  <c r="H34" i="33"/>
  <c r="I34" i="33"/>
  <c r="E35" i="33"/>
  <c r="F35" i="33"/>
  <c r="H35" i="33"/>
  <c r="I35" i="33"/>
  <c r="E36" i="33"/>
  <c r="F36" i="33"/>
  <c r="H36" i="33"/>
  <c r="I36" i="33"/>
  <c r="E37" i="33"/>
  <c r="F37" i="33"/>
  <c r="H37" i="33"/>
  <c r="I37" i="33"/>
  <c r="E38" i="33"/>
  <c r="F38" i="33"/>
  <c r="H38" i="33"/>
  <c r="I38" i="33"/>
  <c r="E39" i="33"/>
  <c r="F39" i="33"/>
  <c r="H39" i="33"/>
  <c r="I39" i="33"/>
  <c r="E40" i="33"/>
  <c r="F40" i="33"/>
  <c r="H40" i="33"/>
  <c r="I40" i="33"/>
  <c r="E41" i="33"/>
  <c r="F41" i="33"/>
  <c r="H41" i="33"/>
  <c r="I41" i="33"/>
  <c r="E42" i="33"/>
  <c r="F42" i="33"/>
  <c r="H42" i="33"/>
  <c r="I42" i="33"/>
  <c r="E43" i="33"/>
  <c r="F43" i="33"/>
  <c r="H43" i="33"/>
  <c r="I43" i="33"/>
  <c r="E44" i="33"/>
  <c r="F44" i="33"/>
  <c r="H44" i="33"/>
  <c r="I44" i="33"/>
  <c r="E45" i="33"/>
  <c r="F45" i="33"/>
  <c r="H45" i="33"/>
  <c r="I45" i="33"/>
  <c r="E46" i="33"/>
  <c r="F46" i="33"/>
  <c r="H46" i="33"/>
  <c r="I46" i="33"/>
  <c r="E47" i="33"/>
  <c r="F47" i="33"/>
  <c r="H47" i="33"/>
  <c r="I47" i="33"/>
  <c r="E48" i="33"/>
  <c r="F48" i="33"/>
  <c r="H48" i="33"/>
  <c r="I48" i="33"/>
  <c r="E49" i="33"/>
  <c r="F49" i="33"/>
  <c r="H49" i="33"/>
  <c r="I49" i="33"/>
  <c r="E50" i="33"/>
  <c r="F50" i="33"/>
  <c r="H50" i="33"/>
  <c r="I50" i="33"/>
  <c r="E51" i="33"/>
  <c r="F51" i="33"/>
  <c r="H51" i="33"/>
  <c r="I51" i="33"/>
  <c r="E52" i="33"/>
  <c r="F52" i="33"/>
  <c r="H52" i="33"/>
  <c r="I52" i="33"/>
  <c r="E53" i="33"/>
  <c r="F53" i="33"/>
  <c r="H53" i="33"/>
  <c r="I53" i="33"/>
  <c r="E54" i="33"/>
  <c r="F54" i="33"/>
  <c r="H54" i="33"/>
  <c r="I54" i="33"/>
  <c r="E55" i="33"/>
  <c r="F55" i="33"/>
  <c r="H55" i="33"/>
  <c r="I55" i="33"/>
  <c r="E56" i="33"/>
  <c r="F56" i="33"/>
  <c r="H56" i="33"/>
  <c r="I56" i="33"/>
  <c r="E57" i="33"/>
  <c r="F57" i="33"/>
  <c r="H57" i="33"/>
  <c r="I57" i="33"/>
  <c r="E58" i="33"/>
  <c r="F58" i="33"/>
  <c r="H58" i="33"/>
  <c r="I58" i="33"/>
  <c r="E59" i="33"/>
  <c r="F59" i="33"/>
  <c r="H59" i="33"/>
  <c r="I59" i="33"/>
  <c r="E60" i="33"/>
  <c r="F60" i="33"/>
  <c r="H60" i="33"/>
  <c r="I60" i="33"/>
  <c r="E61" i="33"/>
  <c r="F61" i="33"/>
  <c r="H61" i="33"/>
  <c r="I61" i="33"/>
  <c r="E62" i="33"/>
  <c r="F62" i="33"/>
  <c r="H62" i="33"/>
  <c r="I62" i="33"/>
  <c r="E63" i="33"/>
  <c r="F63" i="33"/>
  <c r="H63" i="33"/>
  <c r="I63" i="33"/>
  <c r="E64" i="33"/>
  <c r="F64" i="33"/>
  <c r="H64" i="33"/>
  <c r="I64" i="33"/>
  <c r="E65" i="33"/>
  <c r="F65" i="33"/>
  <c r="H65" i="33"/>
  <c r="I65" i="33"/>
  <c r="E66" i="33"/>
  <c r="F66" i="33"/>
  <c r="H66" i="33"/>
  <c r="I66" i="33"/>
  <c r="E67" i="33"/>
  <c r="F67" i="33"/>
  <c r="H67" i="33"/>
  <c r="I67" i="33"/>
  <c r="E68" i="33"/>
  <c r="F68" i="33"/>
  <c r="H68" i="33"/>
  <c r="I68" i="33"/>
  <c r="E69" i="33"/>
  <c r="F69" i="33"/>
  <c r="H69" i="33"/>
  <c r="I69" i="33"/>
  <c r="E70" i="33"/>
  <c r="F70" i="33"/>
  <c r="H70" i="33"/>
  <c r="I70" i="33"/>
  <c r="E71" i="33"/>
  <c r="F71" i="33"/>
  <c r="H71" i="33"/>
  <c r="I71" i="33"/>
  <c r="E72" i="33"/>
  <c r="F72" i="33"/>
  <c r="H72" i="33"/>
  <c r="I72" i="33"/>
  <c r="E73" i="33"/>
  <c r="F73" i="33"/>
  <c r="H73" i="33"/>
  <c r="I73" i="33"/>
  <c r="E74" i="33"/>
  <c r="F74" i="33"/>
  <c r="H74" i="33"/>
  <c r="I74" i="33"/>
  <c r="E75" i="33"/>
  <c r="F75" i="33"/>
  <c r="H75" i="33"/>
  <c r="I75" i="33"/>
  <c r="E76" i="33"/>
  <c r="F76" i="33"/>
  <c r="H76" i="33"/>
  <c r="I76" i="33"/>
  <c r="E77" i="33"/>
  <c r="F77" i="33"/>
  <c r="H77" i="33"/>
  <c r="I77" i="33"/>
  <c r="E78" i="33"/>
  <c r="F78" i="33"/>
  <c r="H78" i="33"/>
  <c r="I78" i="33"/>
  <c r="E79" i="33"/>
  <c r="F79" i="33"/>
  <c r="H79" i="33"/>
  <c r="I79" i="33"/>
  <c r="E80" i="33"/>
  <c r="F80" i="33"/>
  <c r="H80" i="33"/>
  <c r="I80" i="33"/>
  <c r="E81" i="33"/>
  <c r="F81" i="33"/>
  <c r="H81" i="33"/>
  <c r="I81" i="33"/>
  <c r="E82" i="33"/>
  <c r="F82" i="33"/>
  <c r="H82" i="33"/>
  <c r="I82" i="33"/>
  <c r="E83" i="33"/>
  <c r="F83" i="33"/>
  <c r="H83" i="33"/>
  <c r="I83" i="33"/>
  <c r="E84" i="33"/>
  <c r="F84" i="33"/>
  <c r="H84" i="33"/>
  <c r="I84" i="33"/>
  <c r="E85" i="33"/>
  <c r="F85" i="33"/>
  <c r="H85" i="33"/>
  <c r="I85" i="33"/>
  <c r="H84" i="32"/>
  <c r="I84" i="32" s="1"/>
  <c r="E53" i="32"/>
  <c r="F53" i="32" s="1"/>
  <c r="E13" i="32"/>
  <c r="F13" i="32" s="1"/>
  <c r="H13" i="32"/>
  <c r="I13" i="32" s="1"/>
  <c r="E14" i="32"/>
  <c r="F14" i="32" s="1"/>
  <c r="H14" i="32"/>
  <c r="I14" i="32"/>
  <c r="E15" i="32"/>
  <c r="F15" i="32"/>
  <c r="H15" i="32"/>
  <c r="I15" i="32" s="1"/>
  <c r="E16" i="32"/>
  <c r="F16" i="32" s="1"/>
  <c r="H16" i="32"/>
  <c r="I16" i="32" s="1"/>
  <c r="E17" i="32"/>
  <c r="F17" i="32" s="1"/>
  <c r="H17" i="32"/>
  <c r="I17" i="32" s="1"/>
  <c r="E18" i="32"/>
  <c r="F18" i="32"/>
  <c r="H18" i="32"/>
  <c r="I18" i="32"/>
  <c r="E19" i="32"/>
  <c r="F19" i="32"/>
  <c r="H19" i="32"/>
  <c r="I19" i="32" s="1"/>
  <c r="E20" i="32"/>
  <c r="F20" i="32"/>
  <c r="H20" i="32"/>
  <c r="I20" i="32" s="1"/>
  <c r="E21" i="32"/>
  <c r="F21" i="32"/>
  <c r="H21" i="32"/>
  <c r="I21" i="32"/>
  <c r="E22" i="32"/>
  <c r="F22" i="32"/>
  <c r="H22" i="32"/>
  <c r="I22" i="32" s="1"/>
  <c r="E23" i="32"/>
  <c r="F23" i="32"/>
  <c r="H23" i="32"/>
  <c r="I23" i="32" s="1"/>
  <c r="E24" i="32"/>
  <c r="F24" i="32" s="1"/>
  <c r="H24" i="32"/>
  <c r="I24" i="32"/>
  <c r="E25" i="32"/>
  <c r="F25" i="32" s="1"/>
  <c r="H25" i="32"/>
  <c r="I25" i="32" s="1"/>
  <c r="E26" i="32"/>
  <c r="F26" i="32" s="1"/>
  <c r="H26" i="32"/>
  <c r="I26" i="32" s="1"/>
  <c r="E27" i="32"/>
  <c r="F27" i="32" s="1"/>
  <c r="H27" i="32"/>
  <c r="I27" i="32" s="1"/>
  <c r="E28" i="32"/>
  <c r="F28" i="32" s="1"/>
  <c r="H28" i="32"/>
  <c r="I28" i="32" s="1"/>
  <c r="E29" i="32"/>
  <c r="F29" i="32" s="1"/>
  <c r="H29" i="32"/>
  <c r="I29" i="32"/>
  <c r="E30" i="32"/>
  <c r="F30" i="32" s="1"/>
  <c r="H30" i="32"/>
  <c r="I30" i="32" s="1"/>
  <c r="E31" i="32"/>
  <c r="F31" i="32" s="1"/>
  <c r="H31" i="32"/>
  <c r="I31" i="32" s="1"/>
  <c r="E32" i="32"/>
  <c r="F32" i="32"/>
  <c r="H32" i="32"/>
  <c r="I32" i="32" s="1"/>
  <c r="E33" i="32"/>
  <c r="F33" i="32" s="1"/>
  <c r="H33" i="32"/>
  <c r="I33" i="32"/>
  <c r="E34" i="32"/>
  <c r="F34" i="32" s="1"/>
  <c r="H34" i="32"/>
  <c r="I34" i="32" s="1"/>
  <c r="E35" i="32"/>
  <c r="F35" i="32" s="1"/>
  <c r="H35" i="32"/>
  <c r="I35" i="32" s="1"/>
  <c r="E36" i="32"/>
  <c r="F36" i="32"/>
  <c r="H36" i="32"/>
  <c r="I36" i="32" s="1"/>
  <c r="E37" i="32"/>
  <c r="F37" i="32" s="1"/>
  <c r="H37" i="32"/>
  <c r="I37" i="32" s="1"/>
  <c r="E38" i="32"/>
  <c r="F38" i="32" s="1"/>
  <c r="H38" i="32"/>
  <c r="I38" i="32" s="1"/>
  <c r="E39" i="32"/>
  <c r="F39" i="32"/>
  <c r="H39" i="32"/>
  <c r="I39" i="32" s="1"/>
  <c r="E40" i="32"/>
  <c r="F40" i="32" s="1"/>
  <c r="H40" i="32"/>
  <c r="I40" i="32" s="1"/>
  <c r="E41" i="32"/>
  <c r="F41" i="32" s="1"/>
  <c r="H41" i="32"/>
  <c r="I41" i="32" s="1"/>
  <c r="E42" i="32"/>
  <c r="F42" i="32" s="1"/>
  <c r="H42" i="32"/>
  <c r="I42" i="32" s="1"/>
  <c r="E43" i="32"/>
  <c r="F43" i="32"/>
  <c r="H43" i="32"/>
  <c r="I43" i="32" s="1"/>
  <c r="E44" i="32"/>
  <c r="F44" i="32"/>
  <c r="H44" i="32"/>
  <c r="I44" i="32" s="1"/>
  <c r="E45" i="32"/>
  <c r="F45" i="32" s="1"/>
  <c r="H45" i="32"/>
  <c r="H45" i="30" s="1"/>
  <c r="E46" i="32"/>
  <c r="F46" i="32" s="1"/>
  <c r="H46" i="32"/>
  <c r="I46" i="32" s="1"/>
  <c r="E47" i="32"/>
  <c r="F47" i="32" s="1"/>
  <c r="H47" i="32"/>
  <c r="I47" i="32" s="1"/>
  <c r="E48" i="32"/>
  <c r="F48" i="32"/>
  <c r="H48" i="32"/>
  <c r="H48" i="30" s="1"/>
  <c r="I48" i="32"/>
  <c r="E49" i="32"/>
  <c r="F49" i="32" s="1"/>
  <c r="H49" i="32"/>
  <c r="I49" i="32" s="1"/>
  <c r="E50" i="32"/>
  <c r="F50" i="32" s="1"/>
  <c r="H50" i="32"/>
  <c r="I50" i="32" s="1"/>
  <c r="E51" i="32"/>
  <c r="F51" i="32" s="1"/>
  <c r="H51" i="32"/>
  <c r="I51" i="32" s="1"/>
  <c r="E52" i="32"/>
  <c r="F52" i="32" s="1"/>
  <c r="H52" i="32"/>
  <c r="I52" i="32" s="1"/>
  <c r="H53" i="32"/>
  <c r="I53" i="32"/>
  <c r="E54" i="32"/>
  <c r="F54" i="32" s="1"/>
  <c r="H54" i="32"/>
  <c r="I54" i="32" s="1"/>
  <c r="E55" i="32"/>
  <c r="F55" i="32" s="1"/>
  <c r="H55" i="32"/>
  <c r="I55" i="32" s="1"/>
  <c r="E56" i="32"/>
  <c r="F56" i="32" s="1"/>
  <c r="H56" i="32"/>
  <c r="I56" i="32" s="1"/>
  <c r="E57" i="32"/>
  <c r="F57" i="32" s="1"/>
  <c r="H57" i="32"/>
  <c r="I57" i="32" s="1"/>
  <c r="E58" i="32"/>
  <c r="F58" i="32" s="1"/>
  <c r="H58" i="32"/>
  <c r="I58" i="32" s="1"/>
  <c r="E59" i="32"/>
  <c r="F59" i="32" s="1"/>
  <c r="H59" i="32"/>
  <c r="I59" i="32" s="1"/>
  <c r="E60" i="32"/>
  <c r="F60" i="32"/>
  <c r="H60" i="32"/>
  <c r="I60" i="32" s="1"/>
  <c r="E61" i="32"/>
  <c r="F61" i="32"/>
  <c r="H61" i="32"/>
  <c r="H61" i="30" s="1"/>
  <c r="I61" i="30" s="1"/>
  <c r="E62" i="32"/>
  <c r="F62" i="32" s="1"/>
  <c r="H62" i="32"/>
  <c r="I62" i="32" s="1"/>
  <c r="E63" i="32"/>
  <c r="F63" i="32" s="1"/>
  <c r="H63" i="32"/>
  <c r="I63" i="32" s="1"/>
  <c r="E64" i="32"/>
  <c r="F64" i="32"/>
  <c r="H64" i="32"/>
  <c r="I64" i="32" s="1"/>
  <c r="E65" i="32"/>
  <c r="F65" i="32"/>
  <c r="H65" i="32"/>
  <c r="I65" i="32" s="1"/>
  <c r="E66" i="32"/>
  <c r="F66" i="32" s="1"/>
  <c r="H66" i="32"/>
  <c r="I66" i="32" s="1"/>
  <c r="E67" i="32"/>
  <c r="F67" i="32" s="1"/>
  <c r="H67" i="32"/>
  <c r="I67" i="32" s="1"/>
  <c r="E68" i="32"/>
  <c r="F68" i="32" s="1"/>
  <c r="H68" i="32"/>
  <c r="I68" i="32" s="1"/>
  <c r="E69" i="32"/>
  <c r="F69" i="32" s="1"/>
  <c r="H69" i="32"/>
  <c r="I69" i="32" s="1"/>
  <c r="E70" i="32"/>
  <c r="F70" i="32" s="1"/>
  <c r="H70" i="32"/>
  <c r="I70" i="32" s="1"/>
  <c r="E71" i="32"/>
  <c r="F71" i="32" s="1"/>
  <c r="H71" i="32"/>
  <c r="I71" i="32" s="1"/>
  <c r="E72" i="32"/>
  <c r="F72" i="32" s="1"/>
  <c r="H72" i="32"/>
  <c r="I72" i="32" s="1"/>
  <c r="E73" i="32"/>
  <c r="F73" i="32" s="1"/>
  <c r="H73" i="32"/>
  <c r="I73" i="32" s="1"/>
  <c r="E74" i="32"/>
  <c r="F74" i="32" s="1"/>
  <c r="H74" i="32"/>
  <c r="I74" i="32" s="1"/>
  <c r="E75" i="32"/>
  <c r="F75" i="32" s="1"/>
  <c r="H75" i="32"/>
  <c r="I75" i="32" s="1"/>
  <c r="E76" i="32"/>
  <c r="F76" i="32" s="1"/>
  <c r="H76" i="32"/>
  <c r="H76" i="30" s="1"/>
  <c r="E77" i="32"/>
  <c r="F77" i="32" s="1"/>
  <c r="H77" i="32"/>
  <c r="I77" i="32" s="1"/>
  <c r="E78" i="32"/>
  <c r="F78" i="32" s="1"/>
  <c r="H78" i="32"/>
  <c r="I78" i="32" s="1"/>
  <c r="E79" i="32"/>
  <c r="F79" i="32" s="1"/>
  <c r="H79" i="32"/>
  <c r="I79" i="32" s="1"/>
  <c r="E80" i="32"/>
  <c r="F80" i="32"/>
  <c r="H80" i="32"/>
  <c r="I80" i="32" s="1"/>
  <c r="E81" i="32"/>
  <c r="F81" i="32" s="1"/>
  <c r="H81" i="32"/>
  <c r="I81" i="32" s="1"/>
  <c r="E82" i="32"/>
  <c r="F82" i="32" s="1"/>
  <c r="H82" i="32"/>
  <c r="I82" i="32" s="1"/>
  <c r="E83" i="32"/>
  <c r="F83" i="32" s="1"/>
  <c r="H83" i="32"/>
  <c r="I83" i="32" s="1"/>
  <c r="E84" i="32"/>
  <c r="F84" i="32" s="1"/>
  <c r="E85" i="32"/>
  <c r="F85" i="32" s="1"/>
  <c r="H85" i="32"/>
  <c r="I85" i="32" s="1"/>
  <c r="D2" i="18"/>
  <c r="G2" i="1"/>
  <c r="D2" i="1"/>
  <c r="C2" i="1"/>
  <c r="I37" i="31"/>
  <c r="I38" i="31"/>
  <c r="I39" i="31"/>
  <c r="I40" i="31"/>
  <c r="I41" i="31"/>
  <c r="I42" i="31"/>
  <c r="I43" i="31"/>
  <c r="I44" i="31"/>
  <c r="I56" i="31"/>
  <c r="I57" i="31"/>
  <c r="I58" i="31"/>
  <c r="I59" i="31"/>
  <c r="H13" i="31"/>
  <c r="I13" i="31" s="1"/>
  <c r="H14" i="31"/>
  <c r="I14" i="31"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H29" i="31"/>
  <c r="I29" i="31" s="1"/>
  <c r="H30" i="31"/>
  <c r="I30" i="31" s="1"/>
  <c r="H31" i="31"/>
  <c r="I31" i="31" s="1"/>
  <c r="H32" i="31"/>
  <c r="I32" i="31" s="1"/>
  <c r="H33" i="31"/>
  <c r="I33" i="31" s="1"/>
  <c r="H34" i="31"/>
  <c r="I34" i="31" s="1"/>
  <c r="H35" i="31"/>
  <c r="H36" i="31"/>
  <c r="H37" i="31"/>
  <c r="H38" i="31"/>
  <c r="H39" i="31"/>
  <c r="H40" i="31"/>
  <c r="H41" i="31"/>
  <c r="H42" i="31"/>
  <c r="H43" i="31"/>
  <c r="H44" i="31"/>
  <c r="H45" i="31"/>
  <c r="I45" i="31" s="1"/>
  <c r="H46" i="31"/>
  <c r="I46" i="31" s="1"/>
  <c r="H47" i="31"/>
  <c r="I47" i="31" s="1"/>
  <c r="H48" i="31"/>
  <c r="I48" i="31" s="1"/>
  <c r="H49" i="31"/>
  <c r="I49" i="31" s="1"/>
  <c r="H50" i="31"/>
  <c r="I50" i="31" s="1"/>
  <c r="H51" i="31"/>
  <c r="H52" i="31"/>
  <c r="I52" i="31" s="1"/>
  <c r="H53" i="31"/>
  <c r="I53" i="31" s="1"/>
  <c r="H54" i="31"/>
  <c r="I54" i="31" s="1"/>
  <c r="H55" i="31"/>
  <c r="I55" i="31" s="1"/>
  <c r="H56" i="31"/>
  <c r="H57" i="31"/>
  <c r="H58" i="31"/>
  <c r="H59" i="31"/>
  <c r="H60" i="31"/>
  <c r="I60" i="31" s="1"/>
  <c r="H61" i="31"/>
  <c r="I61" i="31" s="1"/>
  <c r="H62" i="31"/>
  <c r="I62" i="31" s="1"/>
  <c r="H63" i="31"/>
  <c r="I63" i="31" s="1"/>
  <c r="H64" i="31"/>
  <c r="H65" i="31"/>
  <c r="I65" i="31" s="1"/>
  <c r="H66" i="31"/>
  <c r="I66" i="31" s="1"/>
  <c r="H67" i="31"/>
  <c r="H67" i="30" s="1"/>
  <c r="H68" i="31"/>
  <c r="H68" i="30" s="1"/>
  <c r="H69" i="31"/>
  <c r="H70" i="31"/>
  <c r="H71" i="31"/>
  <c r="H72" i="31"/>
  <c r="I72" i="31" s="1"/>
  <c r="H73" i="31"/>
  <c r="H74" i="31"/>
  <c r="I74" i="31" s="1"/>
  <c r="H75" i="31"/>
  <c r="I75" i="31" s="1"/>
  <c r="H76" i="31"/>
  <c r="I76" i="31" s="1"/>
  <c r="H77" i="31"/>
  <c r="I77" i="31" s="1"/>
  <c r="H78" i="31"/>
  <c r="I78" i="31" s="1"/>
  <c r="H79" i="31"/>
  <c r="H80" i="31"/>
  <c r="I80" i="31" s="1"/>
  <c r="H81" i="31"/>
  <c r="I81" i="31" s="1"/>
  <c r="H82" i="31"/>
  <c r="H83" i="31"/>
  <c r="I83" i="31" s="1"/>
  <c r="H84" i="31"/>
  <c r="I84" i="31" s="1"/>
  <c r="H85" i="31"/>
  <c r="F28" i="31"/>
  <c r="F30" i="31"/>
  <c r="F45" i="31"/>
  <c r="F46" i="31"/>
  <c r="F49" i="31"/>
  <c r="F50" i="31"/>
  <c r="F51" i="31"/>
  <c r="F60" i="31"/>
  <c r="F62" i="31"/>
  <c r="F63" i="31"/>
  <c r="F64" i="31"/>
  <c r="F65" i="31"/>
  <c r="F78" i="31"/>
  <c r="F79" i="31"/>
  <c r="F80" i="31"/>
  <c r="F81" i="31"/>
  <c r="F82" i="31"/>
  <c r="F83" i="31"/>
  <c r="E6" i="31"/>
  <c r="F6" i="31" s="1"/>
  <c r="E7" i="31"/>
  <c r="F7" i="31" s="1"/>
  <c r="E8" i="31"/>
  <c r="F8" i="31" s="1"/>
  <c r="E9" i="31"/>
  <c r="F9" i="31" s="1"/>
  <c r="E10" i="31"/>
  <c r="F10" i="31" s="1"/>
  <c r="E11" i="31"/>
  <c r="F11" i="31" s="1"/>
  <c r="E12" i="31"/>
  <c r="F12" i="31" s="1"/>
  <c r="E13" i="31"/>
  <c r="F13" i="31" s="1"/>
  <c r="E14" i="31"/>
  <c r="F14"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E29" i="31"/>
  <c r="F29" i="31" s="1"/>
  <c r="E30" i="31"/>
  <c r="E31" i="31"/>
  <c r="F31" i="31" s="1"/>
  <c r="E32" i="31"/>
  <c r="F32" i="31" s="1"/>
  <c r="E33" i="31"/>
  <c r="F33" i="31" s="1"/>
  <c r="E34" i="31"/>
  <c r="F34" i="31" s="1"/>
  <c r="E35" i="31"/>
  <c r="F35" i="31" s="1"/>
  <c r="E36" i="31"/>
  <c r="F36" i="31" s="1"/>
  <c r="E37" i="31"/>
  <c r="F37" i="31" s="1"/>
  <c r="E38" i="31"/>
  <c r="F38" i="31" s="1"/>
  <c r="E39" i="31"/>
  <c r="F39" i="31" s="1"/>
  <c r="E40" i="31"/>
  <c r="F40" i="31" s="1"/>
  <c r="E41" i="31"/>
  <c r="F41" i="31" s="1"/>
  <c r="E42" i="31"/>
  <c r="F42" i="31" s="1"/>
  <c r="E43" i="31"/>
  <c r="F43" i="31" s="1"/>
  <c r="E44" i="31"/>
  <c r="F44" i="31" s="1"/>
  <c r="E45" i="31"/>
  <c r="E46" i="31"/>
  <c r="E47" i="31"/>
  <c r="F47" i="31" s="1"/>
  <c r="E48" i="31"/>
  <c r="F48" i="31" s="1"/>
  <c r="E49" i="31"/>
  <c r="E50" i="31"/>
  <c r="E51" i="31"/>
  <c r="E52" i="31"/>
  <c r="F52" i="31" s="1"/>
  <c r="E53" i="31"/>
  <c r="F53" i="31" s="1"/>
  <c r="E54" i="31"/>
  <c r="F54" i="31" s="1"/>
  <c r="E55" i="31"/>
  <c r="F55" i="31" s="1"/>
  <c r="E56" i="31"/>
  <c r="F56" i="31" s="1"/>
  <c r="E57" i="31"/>
  <c r="F57" i="31" s="1"/>
  <c r="E58" i="31"/>
  <c r="F58" i="31" s="1"/>
  <c r="E59" i="31"/>
  <c r="F59" i="31" s="1"/>
  <c r="E60" i="31"/>
  <c r="E61" i="31"/>
  <c r="F61" i="31" s="1"/>
  <c r="E62" i="31"/>
  <c r="E63" i="31"/>
  <c r="E64" i="31"/>
  <c r="E65" i="31"/>
  <c r="E66" i="31"/>
  <c r="F66" i="31" s="1"/>
  <c r="E67" i="31"/>
  <c r="F67" i="31" s="1"/>
  <c r="E68" i="31"/>
  <c r="F68" i="31" s="1"/>
  <c r="E69" i="31"/>
  <c r="F69" i="31" s="1"/>
  <c r="E70" i="31"/>
  <c r="F70" i="31" s="1"/>
  <c r="E71" i="31"/>
  <c r="F71" i="31" s="1"/>
  <c r="E72" i="31"/>
  <c r="F72" i="31" s="1"/>
  <c r="E73" i="31"/>
  <c r="F73" i="31" s="1"/>
  <c r="E74" i="31"/>
  <c r="F74" i="31" s="1"/>
  <c r="E75" i="31"/>
  <c r="F75" i="31" s="1"/>
  <c r="E76" i="31"/>
  <c r="F76" i="31" s="1"/>
  <c r="E77" i="31"/>
  <c r="F77" i="31" s="1"/>
  <c r="E78" i="31"/>
  <c r="E79" i="31"/>
  <c r="E80" i="31"/>
  <c r="E81" i="31"/>
  <c r="E82" i="31"/>
  <c r="E83" i="31"/>
  <c r="E84" i="31"/>
  <c r="F84" i="31" s="1"/>
  <c r="E85" i="31"/>
  <c r="F85" i="31" s="1"/>
  <c r="H12" i="28"/>
  <c r="E13" i="28"/>
  <c r="F13" i="28" s="1"/>
  <c r="H13" i="28"/>
  <c r="I13" i="28"/>
  <c r="E14" i="28"/>
  <c r="F14" i="28"/>
  <c r="H14" i="28"/>
  <c r="I14" i="28"/>
  <c r="E15" i="28"/>
  <c r="F15" i="28"/>
  <c r="H15" i="28"/>
  <c r="H15" i="29" s="1"/>
  <c r="I15" i="28"/>
  <c r="E16" i="28"/>
  <c r="F16" i="28"/>
  <c r="H16" i="28"/>
  <c r="H16" i="29" s="1"/>
  <c r="E17" i="28"/>
  <c r="F17" i="28"/>
  <c r="H17" i="28"/>
  <c r="I17" i="28"/>
  <c r="E18" i="28"/>
  <c r="F18" i="28"/>
  <c r="H18" i="28"/>
  <c r="I18" i="28"/>
  <c r="E19" i="28"/>
  <c r="F19" i="28"/>
  <c r="H19" i="28"/>
  <c r="I19" i="28"/>
  <c r="E20" i="28"/>
  <c r="F20" i="28"/>
  <c r="H20" i="28"/>
  <c r="I20" i="28"/>
  <c r="E21" i="28"/>
  <c r="F21" i="28"/>
  <c r="H21" i="28"/>
  <c r="I21" i="28"/>
  <c r="E22" i="28"/>
  <c r="F22" i="28"/>
  <c r="H22" i="28"/>
  <c r="I22" i="28"/>
  <c r="E23" i="28"/>
  <c r="F23" i="28"/>
  <c r="H23" i="28"/>
  <c r="I23" i="28"/>
  <c r="E24" i="28"/>
  <c r="F24" i="28"/>
  <c r="H24" i="28"/>
  <c r="I24" i="28"/>
  <c r="E25" i="28"/>
  <c r="F25" i="28" s="1"/>
  <c r="H25" i="28"/>
  <c r="I25" i="28" s="1"/>
  <c r="E26" i="28"/>
  <c r="F26" i="28"/>
  <c r="H26" i="28"/>
  <c r="H26" i="29" s="1"/>
  <c r="E27" i="28"/>
  <c r="F27" i="28"/>
  <c r="H27" i="28"/>
  <c r="H27" i="29" s="1"/>
  <c r="I27" i="28"/>
  <c r="E28" i="28"/>
  <c r="F28" i="28"/>
  <c r="H28" i="28"/>
  <c r="I28" i="28" s="1"/>
  <c r="E29" i="28"/>
  <c r="F29" i="28"/>
  <c r="H29" i="28"/>
  <c r="I29" i="28"/>
  <c r="E30" i="28"/>
  <c r="F30" i="28"/>
  <c r="H30" i="28"/>
  <c r="I30" i="28"/>
  <c r="E31" i="28"/>
  <c r="F31" i="28"/>
  <c r="H31" i="28"/>
  <c r="I31" i="28"/>
  <c r="E32" i="28"/>
  <c r="F32" i="28"/>
  <c r="H32" i="28"/>
  <c r="H32" i="29" s="1"/>
  <c r="I32" i="28"/>
  <c r="E33" i="28"/>
  <c r="F33" i="28"/>
  <c r="H33" i="28"/>
  <c r="I33" i="28"/>
  <c r="E34" i="28"/>
  <c r="F34" i="28"/>
  <c r="H34" i="28"/>
  <c r="I34" i="28"/>
  <c r="E35" i="28"/>
  <c r="F35" i="28"/>
  <c r="H35" i="28"/>
  <c r="I35" i="28"/>
  <c r="E36" i="28"/>
  <c r="F36" i="28"/>
  <c r="H36" i="28"/>
  <c r="H36" i="29" s="1"/>
  <c r="E37" i="28"/>
  <c r="F37" i="28"/>
  <c r="H37" i="28"/>
  <c r="H37" i="29" s="1"/>
  <c r="I37" i="28"/>
  <c r="E38" i="28"/>
  <c r="F38" i="28" s="1"/>
  <c r="H38" i="28"/>
  <c r="I38" i="28" s="1"/>
  <c r="E39" i="28"/>
  <c r="F39" i="28"/>
  <c r="H39" i="28"/>
  <c r="I39" i="28"/>
  <c r="E40" i="28"/>
  <c r="F40" i="28"/>
  <c r="H40" i="28"/>
  <c r="H40" i="29" s="1"/>
  <c r="I40" i="28"/>
  <c r="E41" i="28"/>
  <c r="F41" i="28"/>
  <c r="H41" i="28"/>
  <c r="I41" i="28"/>
  <c r="E42" i="28"/>
  <c r="F42" i="28"/>
  <c r="H42" i="28"/>
  <c r="H42" i="29" s="1"/>
  <c r="I42" i="28"/>
  <c r="E43" i="28"/>
  <c r="F43" i="28"/>
  <c r="H43" i="28"/>
  <c r="H43" i="29" s="1"/>
  <c r="I43" i="28"/>
  <c r="E44" i="28"/>
  <c r="F44" i="28"/>
  <c r="H44" i="28"/>
  <c r="H44" i="29" s="1"/>
  <c r="I44" i="28"/>
  <c r="E45" i="28"/>
  <c r="F45" i="28"/>
  <c r="H45" i="28"/>
  <c r="I45" i="28" s="1"/>
  <c r="E46" i="28"/>
  <c r="F46" i="28"/>
  <c r="H46" i="28"/>
  <c r="H46" i="29" s="1"/>
  <c r="I46" i="28"/>
  <c r="E47" i="28"/>
  <c r="F47" i="28" s="1"/>
  <c r="H47" i="28"/>
  <c r="I47" i="28" s="1"/>
  <c r="E48" i="28"/>
  <c r="F48" i="28"/>
  <c r="H48" i="28"/>
  <c r="I48" i="28"/>
  <c r="E49" i="28"/>
  <c r="F49" i="28"/>
  <c r="H49" i="28"/>
  <c r="I49" i="28"/>
  <c r="E50" i="28"/>
  <c r="F50" i="28"/>
  <c r="H50" i="28"/>
  <c r="H50" i="29" s="1"/>
  <c r="I50" i="28"/>
  <c r="E51" i="28"/>
  <c r="F51" i="28" s="1"/>
  <c r="H51" i="28"/>
  <c r="I51" i="28" s="1"/>
  <c r="E52" i="28"/>
  <c r="F52" i="28" s="1"/>
  <c r="H52" i="28"/>
  <c r="H52" i="29" s="1"/>
  <c r="E53" i="28"/>
  <c r="F53" i="28"/>
  <c r="H53" i="28"/>
  <c r="I53" i="28"/>
  <c r="E54" i="28"/>
  <c r="F54" i="28"/>
  <c r="H54" i="28"/>
  <c r="H54" i="29" s="1"/>
  <c r="I54" i="28"/>
  <c r="E55" i="28"/>
  <c r="F55" i="28" s="1"/>
  <c r="H55" i="28"/>
  <c r="I55" i="28" s="1"/>
  <c r="E56" i="28"/>
  <c r="F56" i="28" s="1"/>
  <c r="H56" i="28"/>
  <c r="I56" i="28" s="1"/>
  <c r="E57" i="28"/>
  <c r="F57" i="28"/>
  <c r="H57" i="28"/>
  <c r="I57" i="28" s="1"/>
  <c r="E58" i="28"/>
  <c r="F58" i="28" s="1"/>
  <c r="H58" i="28"/>
  <c r="I58" i="28" s="1"/>
  <c r="E59" i="28"/>
  <c r="F59" i="28"/>
  <c r="H59" i="28"/>
  <c r="I59" i="28"/>
  <c r="E60" i="28"/>
  <c r="F60" i="28"/>
  <c r="H60" i="28"/>
  <c r="H60" i="29" s="1"/>
  <c r="I60" i="28"/>
  <c r="E61" i="28"/>
  <c r="F61" i="28"/>
  <c r="H61" i="28"/>
  <c r="I61" i="28"/>
  <c r="E62" i="28"/>
  <c r="F62" i="28"/>
  <c r="H62" i="28"/>
  <c r="H62" i="29" s="1"/>
  <c r="I62" i="28"/>
  <c r="E63" i="28"/>
  <c r="F63" i="28"/>
  <c r="H63" i="28"/>
  <c r="H63" i="29" s="1"/>
  <c r="I63" i="28"/>
  <c r="E64" i="28"/>
  <c r="F64" i="28"/>
  <c r="H64" i="28"/>
  <c r="I64" i="28"/>
  <c r="E65" i="28"/>
  <c r="F65" i="28"/>
  <c r="H65" i="28"/>
  <c r="I65" i="28"/>
  <c r="E66" i="28"/>
  <c r="F66" i="28"/>
  <c r="H66" i="28"/>
  <c r="H66" i="29" s="1"/>
  <c r="I66" i="28"/>
  <c r="E67" i="28"/>
  <c r="F67" i="28"/>
  <c r="H67" i="28"/>
  <c r="I67" i="28"/>
  <c r="E68" i="28"/>
  <c r="F68" i="28"/>
  <c r="H68" i="28"/>
  <c r="I68" i="28"/>
  <c r="E69" i="28"/>
  <c r="F69" i="28"/>
  <c r="H69" i="28"/>
  <c r="H69" i="29" s="1"/>
  <c r="I69" i="28"/>
  <c r="E70" i="28"/>
  <c r="F70" i="28" s="1"/>
  <c r="H70" i="28"/>
  <c r="I70" i="28" s="1"/>
  <c r="E71" i="28"/>
  <c r="F71" i="28"/>
  <c r="H71" i="28"/>
  <c r="I71" i="28"/>
  <c r="E72" i="28"/>
  <c r="F72" i="28"/>
  <c r="H72" i="28"/>
  <c r="H72" i="29" s="1"/>
  <c r="I72" i="28"/>
  <c r="E73" i="28"/>
  <c r="F73" i="28"/>
  <c r="H73" i="28"/>
  <c r="H73" i="29" s="1"/>
  <c r="I73" i="28"/>
  <c r="E74" i="28"/>
  <c r="F74" i="28" s="1"/>
  <c r="H74" i="28"/>
  <c r="H74" i="29" s="1"/>
  <c r="E75" i="28"/>
  <c r="F75" i="28" s="1"/>
  <c r="H75" i="28"/>
  <c r="I75" i="28"/>
  <c r="E76" i="28"/>
  <c r="F76" i="28"/>
  <c r="H76" i="28"/>
  <c r="I76" i="28" s="1"/>
  <c r="E77" i="28"/>
  <c r="F77" i="28"/>
  <c r="H77" i="28"/>
  <c r="I77" i="28"/>
  <c r="E78" i="28"/>
  <c r="F78" i="28" s="1"/>
  <c r="H78" i="28"/>
  <c r="I78" i="28" s="1"/>
  <c r="E79" i="28"/>
  <c r="F79" i="28" s="1"/>
  <c r="H79" i="28"/>
  <c r="H79" i="29" s="1"/>
  <c r="I79" i="28"/>
  <c r="E80" i="28"/>
  <c r="F80" i="28" s="1"/>
  <c r="H80" i="28"/>
  <c r="H80" i="29" s="1"/>
  <c r="I80" i="28"/>
  <c r="E81" i="28"/>
  <c r="F81" i="28" s="1"/>
  <c r="H81" i="28"/>
  <c r="I81" i="28" s="1"/>
  <c r="E82" i="28"/>
  <c r="F82" i="28"/>
  <c r="H82" i="28"/>
  <c r="H82" i="29" s="1"/>
  <c r="I82" i="28"/>
  <c r="E83" i="28"/>
  <c r="F83" i="28"/>
  <c r="H83" i="28"/>
  <c r="I83" i="28"/>
  <c r="E84" i="28"/>
  <c r="F84" i="28"/>
  <c r="H84" i="28"/>
  <c r="I84" i="28"/>
  <c r="E85" i="28"/>
  <c r="F85" i="28"/>
  <c r="H85" i="28"/>
  <c r="I85" i="28" s="1"/>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E6" i="27"/>
  <c r="F6" i="27"/>
  <c r="E7" i="27"/>
  <c r="F7" i="27"/>
  <c r="E8" i="27"/>
  <c r="F8" i="27"/>
  <c r="E9" i="27"/>
  <c r="F9" i="27"/>
  <c r="E10" i="27"/>
  <c r="F10" i="27"/>
  <c r="E11" i="27"/>
  <c r="F11" i="27"/>
  <c r="E12" i="27"/>
  <c r="F12" i="27"/>
  <c r="E13" i="27"/>
  <c r="F13" i="27"/>
  <c r="E14" i="27"/>
  <c r="F14" i="27"/>
  <c r="E15" i="27"/>
  <c r="F15" i="27"/>
  <c r="E16" i="27"/>
  <c r="F16" i="27"/>
  <c r="E17" i="27"/>
  <c r="F17"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69" i="27"/>
  <c r="F69" i="27"/>
  <c r="E70" i="27"/>
  <c r="F70" i="27"/>
  <c r="E71" i="27"/>
  <c r="F71" i="27"/>
  <c r="E72" i="27"/>
  <c r="F72" i="27"/>
  <c r="E73" i="27"/>
  <c r="F73" i="27"/>
  <c r="E74" i="27"/>
  <c r="F74" i="27"/>
  <c r="E75" i="27"/>
  <c r="F75" i="27"/>
  <c r="E76" i="27"/>
  <c r="F76" i="27"/>
  <c r="E77" i="27"/>
  <c r="F77" i="27"/>
  <c r="E78" i="27"/>
  <c r="F78" i="27"/>
  <c r="E79" i="27"/>
  <c r="F79" i="27"/>
  <c r="E80" i="27"/>
  <c r="F80" i="27"/>
  <c r="E81" i="27"/>
  <c r="F81" i="27"/>
  <c r="E82" i="27"/>
  <c r="F82" i="27"/>
  <c r="E83" i="27"/>
  <c r="F83" i="27"/>
  <c r="E84" i="27"/>
  <c r="F84" i="27"/>
  <c r="E85" i="27"/>
  <c r="F85" i="27"/>
  <c r="F85" i="26"/>
  <c r="E85" i="26"/>
  <c r="C25" i="30"/>
  <c r="D25" i="30"/>
  <c r="G25" i="30"/>
  <c r="C26" i="30"/>
  <c r="D26" i="30"/>
  <c r="G26" i="30"/>
  <c r="C27" i="30"/>
  <c r="E27" i="30" s="1"/>
  <c r="F27" i="30" s="1"/>
  <c r="D27" i="30"/>
  <c r="G27" i="30"/>
  <c r="C28" i="30"/>
  <c r="D28" i="30"/>
  <c r="G28" i="30"/>
  <c r="H28" i="30"/>
  <c r="I28" i="30" s="1"/>
  <c r="C29" i="30"/>
  <c r="D29" i="30"/>
  <c r="G29" i="30"/>
  <c r="C30" i="30"/>
  <c r="D30" i="30"/>
  <c r="G30" i="30"/>
  <c r="C31" i="30"/>
  <c r="D31" i="30"/>
  <c r="G31" i="30"/>
  <c r="C32" i="30"/>
  <c r="D32" i="30"/>
  <c r="G32" i="30"/>
  <c r="C33" i="30"/>
  <c r="D33" i="30"/>
  <c r="G33" i="30"/>
  <c r="C34" i="30"/>
  <c r="D34" i="30"/>
  <c r="G34" i="30"/>
  <c r="C35" i="30"/>
  <c r="D35" i="30"/>
  <c r="G35" i="30"/>
  <c r="C36" i="30"/>
  <c r="D36" i="30"/>
  <c r="E36" i="30"/>
  <c r="F36" i="30" s="1"/>
  <c r="G36" i="30"/>
  <c r="C37" i="30"/>
  <c r="D37" i="30"/>
  <c r="G37" i="30"/>
  <c r="H37" i="30"/>
  <c r="I37" i="30" s="1"/>
  <c r="C38" i="30"/>
  <c r="D38" i="30"/>
  <c r="G38" i="30"/>
  <c r="C39" i="30"/>
  <c r="D39" i="30"/>
  <c r="G39" i="30"/>
  <c r="C40" i="30"/>
  <c r="D40" i="30"/>
  <c r="G40" i="30"/>
  <c r="C41" i="30"/>
  <c r="D41" i="30"/>
  <c r="G41" i="30"/>
  <c r="H41" i="30"/>
  <c r="C42" i="30"/>
  <c r="D42" i="30"/>
  <c r="G42" i="30"/>
  <c r="C43" i="30"/>
  <c r="D43" i="30"/>
  <c r="G43" i="30"/>
  <c r="C44" i="30"/>
  <c r="D44" i="30"/>
  <c r="G44" i="30"/>
  <c r="C45" i="30"/>
  <c r="D45" i="30"/>
  <c r="G45" i="30"/>
  <c r="C46" i="30"/>
  <c r="D46" i="30"/>
  <c r="G46" i="30"/>
  <c r="C47" i="30"/>
  <c r="D47" i="30"/>
  <c r="G47" i="30"/>
  <c r="C48" i="30"/>
  <c r="D48" i="30"/>
  <c r="E48" i="30" s="1"/>
  <c r="F48" i="30" s="1"/>
  <c r="G48" i="30"/>
  <c r="C49" i="30"/>
  <c r="D49" i="30"/>
  <c r="G49" i="30"/>
  <c r="C50" i="30"/>
  <c r="D50" i="30"/>
  <c r="G50" i="30"/>
  <c r="C51" i="30"/>
  <c r="D51" i="30"/>
  <c r="G51" i="30"/>
  <c r="C52" i="30"/>
  <c r="D52" i="30"/>
  <c r="G52" i="30"/>
  <c r="C53" i="30"/>
  <c r="D53" i="30"/>
  <c r="G53" i="30"/>
  <c r="H53" i="30"/>
  <c r="I53" i="30" s="1"/>
  <c r="C54" i="30"/>
  <c r="D54" i="30"/>
  <c r="G54" i="30"/>
  <c r="C55" i="30"/>
  <c r="D55" i="30"/>
  <c r="G55" i="30"/>
  <c r="C56" i="30"/>
  <c r="D56" i="30"/>
  <c r="G56" i="30"/>
  <c r="C57" i="30"/>
  <c r="D57" i="30"/>
  <c r="G57" i="30"/>
  <c r="C58" i="30"/>
  <c r="D58" i="30"/>
  <c r="G58" i="30"/>
  <c r="C59" i="30"/>
  <c r="D59" i="30"/>
  <c r="G59" i="30"/>
  <c r="C60" i="30"/>
  <c r="D60" i="30"/>
  <c r="G60" i="30"/>
  <c r="C61" i="30"/>
  <c r="D61" i="30"/>
  <c r="G61" i="30"/>
  <c r="C62" i="30"/>
  <c r="D62" i="30"/>
  <c r="G62" i="30"/>
  <c r="C63" i="30"/>
  <c r="D63" i="30"/>
  <c r="G63" i="30"/>
  <c r="C64" i="30"/>
  <c r="D64" i="30"/>
  <c r="G64" i="30"/>
  <c r="C65" i="30"/>
  <c r="D65" i="30"/>
  <c r="G65" i="30"/>
  <c r="C66" i="30"/>
  <c r="D66" i="30"/>
  <c r="G66" i="30"/>
  <c r="C67" i="30"/>
  <c r="D67" i="30"/>
  <c r="E67" i="30"/>
  <c r="F67" i="30" s="1"/>
  <c r="G67" i="30"/>
  <c r="C68" i="30"/>
  <c r="D68" i="30"/>
  <c r="G68" i="30"/>
  <c r="C69" i="30"/>
  <c r="D69" i="30"/>
  <c r="G69" i="30"/>
  <c r="C70" i="30"/>
  <c r="D70" i="30"/>
  <c r="G70" i="30"/>
  <c r="C71" i="30"/>
  <c r="D71" i="30"/>
  <c r="G71" i="30"/>
  <c r="C72" i="30"/>
  <c r="D72" i="30"/>
  <c r="G72" i="30"/>
  <c r="H72" i="30"/>
  <c r="C73" i="30"/>
  <c r="D73" i="30"/>
  <c r="G73" i="30"/>
  <c r="C74" i="30"/>
  <c r="D74" i="30"/>
  <c r="G74" i="30"/>
  <c r="C75" i="30"/>
  <c r="D75" i="30"/>
  <c r="G75" i="30"/>
  <c r="C76" i="30"/>
  <c r="D76" i="30"/>
  <c r="G76" i="30"/>
  <c r="C77" i="30"/>
  <c r="D77" i="30"/>
  <c r="G77" i="30"/>
  <c r="C78" i="30"/>
  <c r="D78" i="30"/>
  <c r="G78" i="30"/>
  <c r="H78" i="30"/>
  <c r="I78" i="30" s="1"/>
  <c r="C79" i="30"/>
  <c r="D79" i="30"/>
  <c r="G79" i="30"/>
  <c r="C80" i="30"/>
  <c r="D80" i="30"/>
  <c r="G80" i="30"/>
  <c r="C81" i="30"/>
  <c r="D81" i="30"/>
  <c r="G81" i="30"/>
  <c r="C82" i="30"/>
  <c r="D82" i="30"/>
  <c r="G82" i="30"/>
  <c r="C83" i="30"/>
  <c r="D83" i="30"/>
  <c r="G83" i="30"/>
  <c r="C84" i="30"/>
  <c r="D84" i="30"/>
  <c r="G84" i="30"/>
  <c r="C85" i="30"/>
  <c r="D85" i="30"/>
  <c r="G85" i="30"/>
  <c r="C47" i="29"/>
  <c r="D47" i="29"/>
  <c r="G47" i="29"/>
  <c r="H47" i="29"/>
  <c r="I47" i="29"/>
  <c r="C48" i="29"/>
  <c r="D48" i="29"/>
  <c r="E48" i="29"/>
  <c r="F48" i="29"/>
  <c r="G48" i="29"/>
  <c r="H48" i="29"/>
  <c r="I48" i="29"/>
  <c r="C49" i="29"/>
  <c r="D49" i="29"/>
  <c r="E49" i="29"/>
  <c r="F49" i="29" s="1"/>
  <c r="G49" i="29"/>
  <c r="H49" i="29"/>
  <c r="I49" i="29"/>
  <c r="C50" i="29"/>
  <c r="D50" i="29"/>
  <c r="E50" i="29"/>
  <c r="F50" i="29"/>
  <c r="G50" i="29"/>
  <c r="C51" i="29"/>
  <c r="D51" i="29"/>
  <c r="G51" i="29"/>
  <c r="C52" i="29"/>
  <c r="D52" i="29"/>
  <c r="G52" i="29"/>
  <c r="C53" i="29"/>
  <c r="D53" i="29"/>
  <c r="D53" i="34" s="1"/>
  <c r="E53" i="29"/>
  <c r="F53" i="29"/>
  <c r="G53" i="29"/>
  <c r="H53" i="29"/>
  <c r="I53" i="29"/>
  <c r="C54" i="29"/>
  <c r="D54" i="29"/>
  <c r="E54" i="29"/>
  <c r="F54" i="29" s="1"/>
  <c r="G54" i="29"/>
  <c r="C55" i="29"/>
  <c r="D55" i="29"/>
  <c r="G55" i="29"/>
  <c r="H55" i="29"/>
  <c r="C56" i="29"/>
  <c r="D56" i="29"/>
  <c r="G56" i="29"/>
  <c r="C57" i="29"/>
  <c r="D57" i="29"/>
  <c r="E57" i="29"/>
  <c r="F57" i="29" s="1"/>
  <c r="G57" i="29"/>
  <c r="C58" i="29"/>
  <c r="D58" i="29"/>
  <c r="E58" i="29"/>
  <c r="F58" i="29" s="1"/>
  <c r="G58" i="29"/>
  <c r="C59" i="29"/>
  <c r="D59" i="29"/>
  <c r="G59" i="29"/>
  <c r="H59" i="29"/>
  <c r="I59" i="29"/>
  <c r="C60" i="29"/>
  <c r="D60" i="29"/>
  <c r="G60" i="29"/>
  <c r="C61" i="29"/>
  <c r="D61" i="29"/>
  <c r="E61" i="29"/>
  <c r="F61" i="29"/>
  <c r="G61" i="29"/>
  <c r="H61" i="29"/>
  <c r="I61" i="29"/>
  <c r="C62" i="29"/>
  <c r="D62" i="29"/>
  <c r="E62" i="29"/>
  <c r="F62" i="29" s="1"/>
  <c r="G62" i="29"/>
  <c r="C63" i="29"/>
  <c r="D63" i="29"/>
  <c r="E63" i="29"/>
  <c r="F63" i="29" s="1"/>
  <c r="G63" i="29"/>
  <c r="C64" i="29"/>
  <c r="D64" i="29"/>
  <c r="G64" i="29"/>
  <c r="H64" i="29"/>
  <c r="C65" i="29"/>
  <c r="D65" i="29"/>
  <c r="G65" i="29"/>
  <c r="H65" i="29"/>
  <c r="C66" i="29"/>
  <c r="D66" i="29"/>
  <c r="E66" i="29"/>
  <c r="F66" i="29" s="1"/>
  <c r="G66" i="29"/>
  <c r="C67" i="29"/>
  <c r="D67" i="29"/>
  <c r="E67" i="29"/>
  <c r="F67" i="29"/>
  <c r="G67" i="29"/>
  <c r="H67" i="29"/>
  <c r="I67" i="29"/>
  <c r="C68" i="29"/>
  <c r="D68" i="29"/>
  <c r="E68" i="29" s="1"/>
  <c r="F68" i="29" s="1"/>
  <c r="G68" i="29"/>
  <c r="H68" i="29"/>
  <c r="C69" i="29"/>
  <c r="D69" i="29"/>
  <c r="E69" i="29"/>
  <c r="F69" i="29"/>
  <c r="G69" i="29"/>
  <c r="C70" i="29"/>
  <c r="D70" i="29"/>
  <c r="G70" i="29"/>
  <c r="H70" i="29"/>
  <c r="I70" i="29"/>
  <c r="C71" i="29"/>
  <c r="C71" i="34" s="1"/>
  <c r="D71" i="29"/>
  <c r="D71" i="34" s="1"/>
  <c r="G71" i="29"/>
  <c r="H71" i="29"/>
  <c r="C72" i="29"/>
  <c r="D72" i="29"/>
  <c r="G72" i="29"/>
  <c r="C73" i="29"/>
  <c r="D73" i="29"/>
  <c r="G73" i="29"/>
  <c r="C74" i="29"/>
  <c r="D74" i="29"/>
  <c r="D74" i="34" s="1"/>
  <c r="G74" i="29"/>
  <c r="C75" i="29"/>
  <c r="D75" i="29"/>
  <c r="G75" i="29"/>
  <c r="H75" i="29"/>
  <c r="I75" i="29"/>
  <c r="C76" i="29"/>
  <c r="D76" i="29"/>
  <c r="G76" i="29"/>
  <c r="C77" i="29"/>
  <c r="D77" i="29"/>
  <c r="G77" i="29"/>
  <c r="H77" i="29"/>
  <c r="I77" i="29"/>
  <c r="C78" i="29"/>
  <c r="D78" i="29"/>
  <c r="G78" i="29"/>
  <c r="H78" i="29"/>
  <c r="C79" i="29"/>
  <c r="D79" i="29"/>
  <c r="E79" i="29"/>
  <c r="F79" i="29"/>
  <c r="G79" i="29"/>
  <c r="C80" i="29"/>
  <c r="D80" i="29"/>
  <c r="G80" i="29"/>
  <c r="C81" i="29"/>
  <c r="D81" i="29"/>
  <c r="E81" i="29"/>
  <c r="F81" i="29" s="1"/>
  <c r="G81" i="29"/>
  <c r="H81" i="29"/>
  <c r="C82" i="29"/>
  <c r="D82" i="29"/>
  <c r="G82" i="29"/>
  <c r="C83" i="29"/>
  <c r="D83" i="29"/>
  <c r="E83" i="29"/>
  <c r="F83" i="29"/>
  <c r="G83" i="29"/>
  <c r="H83" i="29"/>
  <c r="I83" i="29"/>
  <c r="C84" i="29"/>
  <c r="D84" i="29"/>
  <c r="E84" i="29"/>
  <c r="F84" i="29"/>
  <c r="G84" i="29"/>
  <c r="G84" i="34" s="1"/>
  <c r="H84" i="29"/>
  <c r="I84" i="29"/>
  <c r="C85" i="29"/>
  <c r="D85" i="29"/>
  <c r="G85" i="29"/>
  <c r="H7" i="26"/>
  <c r="I7" i="26"/>
  <c r="G7" i="29"/>
  <c r="H13" i="26"/>
  <c r="I13" i="26" s="1"/>
  <c r="H14" i="26"/>
  <c r="I14" i="26" s="1"/>
  <c r="H15" i="26"/>
  <c r="I15" i="26" s="1"/>
  <c r="H16" i="26"/>
  <c r="I16" i="26" s="1"/>
  <c r="H17" i="26"/>
  <c r="I17" i="26" s="1"/>
  <c r="H18" i="26"/>
  <c r="I18" i="26" s="1"/>
  <c r="H19" i="26"/>
  <c r="I19" i="26" s="1"/>
  <c r="H20" i="26"/>
  <c r="I20" i="26" s="1"/>
  <c r="H21" i="26"/>
  <c r="I21" i="26" s="1"/>
  <c r="H22" i="26"/>
  <c r="I22" i="26" s="1"/>
  <c r="H23" i="26"/>
  <c r="I23" i="26" s="1"/>
  <c r="H24" i="26"/>
  <c r="I24" i="26" s="1"/>
  <c r="H25" i="26"/>
  <c r="I25" i="26" s="1"/>
  <c r="H26" i="26"/>
  <c r="I26" i="26" s="1"/>
  <c r="H27" i="26"/>
  <c r="I27" i="26" s="1"/>
  <c r="H28" i="26"/>
  <c r="I28" i="26" s="1"/>
  <c r="H29" i="26"/>
  <c r="I29" i="26" s="1"/>
  <c r="H30" i="26"/>
  <c r="I30" i="26" s="1"/>
  <c r="H31" i="26"/>
  <c r="I31" i="26" s="1"/>
  <c r="H32" i="26"/>
  <c r="I32" i="26" s="1"/>
  <c r="H33" i="26"/>
  <c r="I33" i="26" s="1"/>
  <c r="H34" i="26"/>
  <c r="I34" i="26" s="1"/>
  <c r="H35" i="26"/>
  <c r="I35" i="26" s="1"/>
  <c r="H36" i="26"/>
  <c r="I36" i="26" s="1"/>
  <c r="H37" i="26"/>
  <c r="I37" i="26" s="1"/>
  <c r="H38" i="26"/>
  <c r="I38" i="26" s="1"/>
  <c r="H39" i="26"/>
  <c r="I39" i="26" s="1"/>
  <c r="H40" i="26"/>
  <c r="I40" i="26" s="1"/>
  <c r="H41" i="26"/>
  <c r="I41" i="26" s="1"/>
  <c r="H42" i="26"/>
  <c r="I42" i="26" s="1"/>
  <c r="H43" i="26"/>
  <c r="I43" i="26" s="1"/>
  <c r="H44" i="26"/>
  <c r="I44" i="26" s="1"/>
  <c r="H45" i="26"/>
  <c r="I45" i="26" s="1"/>
  <c r="H46" i="26"/>
  <c r="I46" i="26" s="1"/>
  <c r="H47" i="26"/>
  <c r="I47" i="26" s="1"/>
  <c r="H48" i="26"/>
  <c r="I48" i="26" s="1"/>
  <c r="H49" i="26"/>
  <c r="I49" i="26" s="1"/>
  <c r="H50" i="26"/>
  <c r="I50" i="26" s="1"/>
  <c r="H51" i="26"/>
  <c r="I51" i="26" s="1"/>
  <c r="H52" i="26"/>
  <c r="I52" i="26" s="1"/>
  <c r="H53" i="26"/>
  <c r="I53" i="26" s="1"/>
  <c r="H54" i="26"/>
  <c r="I54" i="26" s="1"/>
  <c r="H55" i="26"/>
  <c r="I55" i="26" s="1"/>
  <c r="H56" i="26"/>
  <c r="I56" i="26" s="1"/>
  <c r="H57" i="26"/>
  <c r="I57" i="26" s="1"/>
  <c r="H58" i="26"/>
  <c r="I58" i="26" s="1"/>
  <c r="H59" i="26"/>
  <c r="I59" i="26" s="1"/>
  <c r="H60" i="26"/>
  <c r="I60" i="26" s="1"/>
  <c r="H61" i="26"/>
  <c r="I61" i="26" s="1"/>
  <c r="H62" i="26"/>
  <c r="I62" i="26" s="1"/>
  <c r="H63" i="26"/>
  <c r="I63" i="26" s="1"/>
  <c r="H64" i="26"/>
  <c r="I64" i="26" s="1"/>
  <c r="H65" i="26"/>
  <c r="I65" i="26" s="1"/>
  <c r="H66" i="26"/>
  <c r="I66" i="26" s="1"/>
  <c r="H67" i="26"/>
  <c r="I67" i="26" s="1"/>
  <c r="H68" i="26"/>
  <c r="I68" i="26" s="1"/>
  <c r="H69" i="26"/>
  <c r="I69" i="26" s="1"/>
  <c r="H70" i="26"/>
  <c r="I70" i="26" s="1"/>
  <c r="H71" i="26"/>
  <c r="I71" i="26" s="1"/>
  <c r="H72" i="26"/>
  <c r="I72" i="26" s="1"/>
  <c r="H73" i="26"/>
  <c r="I73" i="26" s="1"/>
  <c r="H74" i="26"/>
  <c r="I74" i="26" s="1"/>
  <c r="H75" i="26"/>
  <c r="I75" i="26" s="1"/>
  <c r="H76" i="26"/>
  <c r="I76" i="26" s="1"/>
  <c r="H77" i="26"/>
  <c r="I77" i="26" s="1"/>
  <c r="H78" i="26"/>
  <c r="I78" i="26" s="1"/>
  <c r="H79" i="26"/>
  <c r="I79" i="26" s="1"/>
  <c r="H80" i="26"/>
  <c r="I80" i="26" s="1"/>
  <c r="H81" i="26"/>
  <c r="I81" i="26" s="1"/>
  <c r="H82" i="26"/>
  <c r="I82" i="26" s="1"/>
  <c r="H83" i="26"/>
  <c r="I83" i="26" s="1"/>
  <c r="H84" i="26"/>
  <c r="I84" i="26" s="1"/>
  <c r="H85" i="26"/>
  <c r="I85" i="26" s="1"/>
  <c r="E6" i="26"/>
  <c r="F6" i="26" s="1"/>
  <c r="E7" i="26"/>
  <c r="F7" i="26" s="1"/>
  <c r="E8" i="26"/>
  <c r="F8" i="26" s="1"/>
  <c r="E9" i="26"/>
  <c r="F9" i="26" s="1"/>
  <c r="E10" i="26"/>
  <c r="F10" i="26" s="1"/>
  <c r="E11" i="26"/>
  <c r="F11" i="26" s="1"/>
  <c r="E12" i="26"/>
  <c r="F12" i="26" s="1"/>
  <c r="E13" i="26"/>
  <c r="F13" i="26" s="1"/>
  <c r="E14" i="26"/>
  <c r="F14" i="26" s="1"/>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F26" i="26" s="1"/>
  <c r="E27" i="26"/>
  <c r="F27" i="26" s="1"/>
  <c r="E28" i="26"/>
  <c r="F28" i="26" s="1"/>
  <c r="E29" i="26"/>
  <c r="F29" i="26" s="1"/>
  <c r="E30" i="26"/>
  <c r="F30" i="26" s="1"/>
  <c r="E31" i="26"/>
  <c r="F31" i="26" s="1"/>
  <c r="E32" i="26"/>
  <c r="F32" i="26" s="1"/>
  <c r="E33" i="26"/>
  <c r="F33" i="26" s="1"/>
  <c r="E34" i="26"/>
  <c r="F34" i="26" s="1"/>
  <c r="E35" i="26"/>
  <c r="F35" i="26" s="1"/>
  <c r="E36" i="26"/>
  <c r="F36" i="26" s="1"/>
  <c r="E37" i="26"/>
  <c r="F37" i="26" s="1"/>
  <c r="E38" i="26"/>
  <c r="F38" i="26" s="1"/>
  <c r="E39" i="26"/>
  <c r="F39" i="26" s="1"/>
  <c r="E40" i="26"/>
  <c r="F40" i="26" s="1"/>
  <c r="E41" i="26"/>
  <c r="F41" i="26" s="1"/>
  <c r="E42" i="26"/>
  <c r="F42" i="26" s="1"/>
  <c r="E43" i="26"/>
  <c r="F43" i="26" s="1"/>
  <c r="E44" i="26"/>
  <c r="F44" i="26" s="1"/>
  <c r="E45" i="26"/>
  <c r="F45" i="26" s="1"/>
  <c r="E46" i="26"/>
  <c r="F46" i="26" s="1"/>
  <c r="E47" i="26"/>
  <c r="F47" i="26" s="1"/>
  <c r="E48" i="26"/>
  <c r="F48" i="26" s="1"/>
  <c r="E49" i="26"/>
  <c r="F49" i="26" s="1"/>
  <c r="E50" i="26"/>
  <c r="F50" i="26" s="1"/>
  <c r="E51" i="26"/>
  <c r="F51" i="26" s="1"/>
  <c r="E52" i="26"/>
  <c r="F52" i="26" s="1"/>
  <c r="E53" i="26"/>
  <c r="F53" i="26" s="1"/>
  <c r="E54" i="26"/>
  <c r="F54" i="26" s="1"/>
  <c r="E55" i="26"/>
  <c r="F55" i="26" s="1"/>
  <c r="E56" i="26"/>
  <c r="F56" i="26" s="1"/>
  <c r="E57" i="26"/>
  <c r="F57" i="26" s="1"/>
  <c r="E58" i="26"/>
  <c r="F58" i="26" s="1"/>
  <c r="E59" i="26"/>
  <c r="F59" i="26" s="1"/>
  <c r="E60" i="26"/>
  <c r="F60" i="26" s="1"/>
  <c r="E61" i="26"/>
  <c r="F61" i="26" s="1"/>
  <c r="E62" i="26"/>
  <c r="F62" i="26" s="1"/>
  <c r="E63" i="26"/>
  <c r="F63" i="26" s="1"/>
  <c r="E64" i="26"/>
  <c r="F64" i="26" s="1"/>
  <c r="E65" i="26"/>
  <c r="F65" i="26" s="1"/>
  <c r="E66" i="26"/>
  <c r="F66" i="26" s="1"/>
  <c r="E67" i="26"/>
  <c r="F67" i="26" s="1"/>
  <c r="E68" i="26"/>
  <c r="F68" i="26" s="1"/>
  <c r="E69" i="26"/>
  <c r="F69" i="26" s="1"/>
  <c r="E70" i="26"/>
  <c r="F70" i="26" s="1"/>
  <c r="E71" i="26"/>
  <c r="F71" i="26" s="1"/>
  <c r="E72" i="26"/>
  <c r="F72" i="26" s="1"/>
  <c r="E73" i="26"/>
  <c r="F73" i="26" s="1"/>
  <c r="E74" i="26"/>
  <c r="F74" i="26" s="1"/>
  <c r="E75" i="26"/>
  <c r="F75" i="26" s="1"/>
  <c r="E76" i="26"/>
  <c r="F76" i="26" s="1"/>
  <c r="E77" i="26"/>
  <c r="F77" i="26" s="1"/>
  <c r="E78" i="26"/>
  <c r="F78" i="26" s="1"/>
  <c r="E79" i="26"/>
  <c r="F79" i="26" s="1"/>
  <c r="E80" i="26"/>
  <c r="F80" i="26" s="1"/>
  <c r="E81" i="26"/>
  <c r="F81" i="26" s="1"/>
  <c r="E82" i="26"/>
  <c r="F82" i="26" s="1"/>
  <c r="E83" i="26"/>
  <c r="F83" i="26" s="1"/>
  <c r="E84" i="26"/>
  <c r="F84" i="26" s="1"/>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D75"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7" i="18" s="1"/>
  <c r="H48" i="19"/>
  <c r="H48" i="18" s="1"/>
  <c r="H49" i="19"/>
  <c r="H49" i="18" s="1"/>
  <c r="H50" i="19"/>
  <c r="H50" i="18" s="1"/>
  <c r="H51" i="19"/>
  <c r="H51" i="18" s="1"/>
  <c r="H52" i="19"/>
  <c r="H52" i="18" s="1"/>
  <c r="H53" i="19"/>
  <c r="H53" i="18" s="1"/>
  <c r="H54" i="19"/>
  <c r="H54" i="18" s="1"/>
  <c r="H55" i="19"/>
  <c r="H55" i="18" s="1"/>
  <c r="H56" i="19"/>
  <c r="H56" i="18" s="1"/>
  <c r="H57" i="19"/>
  <c r="H57" i="18" s="1"/>
  <c r="H58" i="19"/>
  <c r="H58" i="18" s="1"/>
  <c r="H59" i="19"/>
  <c r="H59" i="18" s="1"/>
  <c r="H60" i="19"/>
  <c r="H60" i="18" s="1"/>
  <c r="H61" i="19"/>
  <c r="H61" i="18" s="1"/>
  <c r="H62" i="19"/>
  <c r="H62" i="18" s="1"/>
  <c r="H63" i="19"/>
  <c r="H63" i="18" s="1"/>
  <c r="H64" i="19"/>
  <c r="H64" i="18" s="1"/>
  <c r="H65" i="19"/>
  <c r="H65" i="18" s="1"/>
  <c r="H66" i="19"/>
  <c r="H66" i="18" s="1"/>
  <c r="H67" i="19"/>
  <c r="H67" i="18" s="1"/>
  <c r="H68" i="19"/>
  <c r="H68" i="18" s="1"/>
  <c r="H69" i="19"/>
  <c r="H69" i="18" s="1"/>
  <c r="H70" i="19"/>
  <c r="H70" i="18" s="1"/>
  <c r="H71" i="19"/>
  <c r="H71" i="18" s="1"/>
  <c r="H72" i="19"/>
  <c r="H72" i="18" s="1"/>
  <c r="H73" i="19"/>
  <c r="H73" i="18" s="1"/>
  <c r="H74" i="19"/>
  <c r="H74" i="18" s="1"/>
  <c r="H75" i="19"/>
  <c r="H75" i="18" s="1"/>
  <c r="E13" i="19"/>
  <c r="F13" i="19" s="1"/>
  <c r="E14" i="19"/>
  <c r="F14"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E29" i="19"/>
  <c r="F29" i="19" s="1"/>
  <c r="E30" i="19"/>
  <c r="F30" i="19" s="1"/>
  <c r="E31" i="19"/>
  <c r="F31" i="19" s="1"/>
  <c r="E32" i="19"/>
  <c r="F32" i="19" s="1"/>
  <c r="E33" i="19"/>
  <c r="F33" i="19" s="1"/>
  <c r="E34" i="19"/>
  <c r="F34" i="19" s="1"/>
  <c r="E35" i="19"/>
  <c r="F35" i="19" s="1"/>
  <c r="E36" i="19"/>
  <c r="F36" i="19" s="1"/>
  <c r="E37" i="19"/>
  <c r="F37" i="19" s="1"/>
  <c r="E38" i="19"/>
  <c r="F38" i="19" s="1"/>
  <c r="E39" i="19"/>
  <c r="F39" i="19" s="1"/>
  <c r="E40" i="19"/>
  <c r="F40" i="19" s="1"/>
  <c r="E41" i="19"/>
  <c r="F41" i="19" s="1"/>
  <c r="E42" i="19"/>
  <c r="F42" i="19" s="1"/>
  <c r="E43" i="19"/>
  <c r="F43" i="19" s="1"/>
  <c r="E44" i="19"/>
  <c r="F44" i="19" s="1"/>
  <c r="E45" i="19"/>
  <c r="F45" i="19" s="1"/>
  <c r="E46" i="19"/>
  <c r="F46" i="19" s="1"/>
  <c r="E47" i="19"/>
  <c r="F47" i="19" s="1"/>
  <c r="E48" i="19"/>
  <c r="F48" i="19" s="1"/>
  <c r="E49" i="19"/>
  <c r="F49" i="19" s="1"/>
  <c r="E50" i="19"/>
  <c r="F50" i="19" s="1"/>
  <c r="E51" i="19"/>
  <c r="F51" i="19" s="1"/>
  <c r="E52" i="19"/>
  <c r="F52" i="19" s="1"/>
  <c r="E53" i="19"/>
  <c r="F53" i="19" s="1"/>
  <c r="E54" i="19"/>
  <c r="F54" i="19" s="1"/>
  <c r="E55" i="19"/>
  <c r="F55" i="19" s="1"/>
  <c r="E56" i="19"/>
  <c r="F56" i="19" s="1"/>
  <c r="E57" i="19"/>
  <c r="F57" i="19" s="1"/>
  <c r="E58" i="19"/>
  <c r="F58" i="19" s="1"/>
  <c r="E59" i="19"/>
  <c r="F59" i="19" s="1"/>
  <c r="E60" i="19"/>
  <c r="F60" i="19" s="1"/>
  <c r="E61" i="19"/>
  <c r="F61" i="19" s="1"/>
  <c r="E62" i="19"/>
  <c r="F62" i="19" s="1"/>
  <c r="E63" i="19"/>
  <c r="F63" i="19" s="1"/>
  <c r="E64" i="19"/>
  <c r="F64" i="19" s="1"/>
  <c r="E65" i="19"/>
  <c r="F65" i="19" s="1"/>
  <c r="E66" i="19"/>
  <c r="F66" i="19" s="1"/>
  <c r="E67" i="19"/>
  <c r="F67" i="19" s="1"/>
  <c r="E68" i="19"/>
  <c r="F68" i="19" s="1"/>
  <c r="E69" i="19"/>
  <c r="F69" i="19" s="1"/>
  <c r="E70" i="19"/>
  <c r="F70" i="19" s="1"/>
  <c r="E71" i="19"/>
  <c r="F71" i="19" s="1"/>
  <c r="E72" i="19"/>
  <c r="F72" i="19" s="1"/>
  <c r="E73" i="19"/>
  <c r="F73" i="19" s="1"/>
  <c r="E74" i="19"/>
  <c r="F74" i="19" s="1"/>
  <c r="E75" i="19"/>
  <c r="F75" i="19" s="1"/>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H25" i="29"/>
  <c r="H29" i="29"/>
  <c r="H30" i="29"/>
  <c r="H31" i="29"/>
  <c r="H33" i="29"/>
  <c r="H34" i="29"/>
  <c r="H35" i="29"/>
  <c r="H38" i="29"/>
  <c r="H39" i="29"/>
  <c r="H41" i="29"/>
  <c r="H45" i="29"/>
  <c r="G25" i="29"/>
  <c r="G26" i="29"/>
  <c r="G27" i="29"/>
  <c r="G28" i="29"/>
  <c r="G29" i="29"/>
  <c r="G30" i="29"/>
  <c r="G31" i="29"/>
  <c r="G32" i="29"/>
  <c r="G33" i="29"/>
  <c r="G34" i="29"/>
  <c r="G35" i="29"/>
  <c r="G36" i="29"/>
  <c r="G37" i="29"/>
  <c r="G38" i="29"/>
  <c r="G39" i="29"/>
  <c r="I39" i="29" s="1"/>
  <c r="G40" i="29"/>
  <c r="G41" i="29"/>
  <c r="I41" i="29" s="1"/>
  <c r="G42" i="29"/>
  <c r="G43" i="29"/>
  <c r="G44" i="29"/>
  <c r="G45" i="29"/>
  <c r="G46" i="29"/>
  <c r="D25" i="29"/>
  <c r="D26" i="29"/>
  <c r="D27" i="29"/>
  <c r="D28" i="29"/>
  <c r="D29" i="29"/>
  <c r="D29" i="34" s="1"/>
  <c r="D30" i="29"/>
  <c r="D31" i="29"/>
  <c r="D32" i="29"/>
  <c r="D33" i="29"/>
  <c r="D34" i="29"/>
  <c r="D35" i="29"/>
  <c r="D36" i="29"/>
  <c r="D37" i="29"/>
  <c r="D38" i="29"/>
  <c r="D39" i="29"/>
  <c r="D40" i="29"/>
  <c r="D41" i="29"/>
  <c r="D41" i="34" s="1"/>
  <c r="D42" i="29"/>
  <c r="D43" i="29"/>
  <c r="D44" i="29"/>
  <c r="D45" i="29"/>
  <c r="D46" i="29"/>
  <c r="C25" i="29"/>
  <c r="C26" i="29"/>
  <c r="C27" i="29"/>
  <c r="C28" i="29"/>
  <c r="C29" i="29"/>
  <c r="C30" i="29"/>
  <c r="C31" i="29"/>
  <c r="C32" i="29"/>
  <c r="C33" i="29"/>
  <c r="C34" i="29"/>
  <c r="C35" i="29"/>
  <c r="C36" i="29"/>
  <c r="C37" i="29"/>
  <c r="C38" i="29"/>
  <c r="C39" i="29"/>
  <c r="C40" i="29"/>
  <c r="C41" i="29"/>
  <c r="C42" i="29"/>
  <c r="C43" i="29"/>
  <c r="C44" i="29"/>
  <c r="C45" i="29"/>
  <c r="C46" i="29"/>
  <c r="I25" i="1"/>
  <c r="I26" i="1"/>
  <c r="I27" i="1"/>
  <c r="I28" i="1"/>
  <c r="I29" i="1"/>
  <c r="I30" i="1"/>
  <c r="I31" i="1"/>
  <c r="I32" i="1"/>
  <c r="I33" i="1"/>
  <c r="I34" i="1"/>
  <c r="I35" i="1"/>
  <c r="I36" i="1"/>
  <c r="I37" i="1"/>
  <c r="I38" i="1"/>
  <c r="I39" i="1"/>
  <c r="I40" i="1"/>
  <c r="I41" i="1"/>
  <c r="I42" i="1"/>
  <c r="I43" i="1"/>
  <c r="I44" i="1"/>
  <c r="I45" i="1"/>
  <c r="I46" i="1"/>
  <c r="H25" i="1"/>
  <c r="H26" i="1"/>
  <c r="H27" i="1"/>
  <c r="H28" i="1"/>
  <c r="H29" i="1"/>
  <c r="H30" i="1"/>
  <c r="H31" i="1"/>
  <c r="H32" i="1"/>
  <c r="H33" i="1"/>
  <c r="H34" i="1"/>
  <c r="H35" i="1"/>
  <c r="H36" i="1"/>
  <c r="H37" i="1"/>
  <c r="H38" i="1"/>
  <c r="H39" i="1"/>
  <c r="H40" i="1"/>
  <c r="H41" i="1"/>
  <c r="H42" i="1"/>
  <c r="H43" i="1"/>
  <c r="H44" i="1"/>
  <c r="H45" i="1"/>
  <c r="H46" i="1"/>
  <c r="G25" i="1"/>
  <c r="G26" i="1"/>
  <c r="G27" i="1"/>
  <c r="G28" i="1"/>
  <c r="G29" i="1"/>
  <c r="G30" i="1"/>
  <c r="G31" i="1"/>
  <c r="G32" i="1"/>
  <c r="G33" i="1"/>
  <c r="G34" i="1"/>
  <c r="G35" i="1"/>
  <c r="G36" i="1"/>
  <c r="G37" i="1"/>
  <c r="G38" i="1"/>
  <c r="G39" i="1"/>
  <c r="G40" i="1"/>
  <c r="G41" i="1"/>
  <c r="G42" i="1"/>
  <c r="G43" i="1"/>
  <c r="G44" i="1"/>
  <c r="G45" i="1"/>
  <c r="G46" i="1"/>
  <c r="F25" i="1"/>
  <c r="F26" i="1"/>
  <c r="F27" i="1"/>
  <c r="F28" i="1"/>
  <c r="F29" i="1"/>
  <c r="F30" i="1"/>
  <c r="F31" i="1"/>
  <c r="F32" i="1"/>
  <c r="F33" i="1"/>
  <c r="F34" i="1"/>
  <c r="F35" i="1"/>
  <c r="F36" i="1"/>
  <c r="F37" i="1"/>
  <c r="F38" i="1"/>
  <c r="F39" i="1"/>
  <c r="F40" i="1"/>
  <c r="F41" i="1"/>
  <c r="F42" i="1"/>
  <c r="F43" i="1"/>
  <c r="F44" i="1"/>
  <c r="F45" i="1"/>
  <c r="F46" i="1"/>
  <c r="E46" i="1"/>
  <c r="D46" i="1"/>
  <c r="C46" i="1"/>
  <c r="E25" i="1"/>
  <c r="E26" i="1"/>
  <c r="E27" i="1"/>
  <c r="E28" i="1"/>
  <c r="E29" i="1"/>
  <c r="E30" i="1"/>
  <c r="E31" i="1"/>
  <c r="E32" i="1"/>
  <c r="E33" i="1"/>
  <c r="E34" i="1"/>
  <c r="E35" i="1"/>
  <c r="E36" i="1"/>
  <c r="E37" i="1"/>
  <c r="E38" i="1"/>
  <c r="E39" i="1"/>
  <c r="E40" i="1"/>
  <c r="E41" i="1"/>
  <c r="E42" i="1"/>
  <c r="E43" i="1"/>
  <c r="E44" i="1"/>
  <c r="E45" i="1"/>
  <c r="H25" i="18"/>
  <c r="H26" i="18"/>
  <c r="H27" i="18"/>
  <c r="H28" i="18"/>
  <c r="H29" i="18"/>
  <c r="H30" i="18"/>
  <c r="H31" i="18"/>
  <c r="H32" i="18"/>
  <c r="H33" i="18"/>
  <c r="H34" i="18"/>
  <c r="H35" i="18"/>
  <c r="H36" i="18"/>
  <c r="H37" i="18"/>
  <c r="H38" i="18"/>
  <c r="H39" i="18"/>
  <c r="H40" i="18"/>
  <c r="H41" i="18"/>
  <c r="H42" i="18"/>
  <c r="H43" i="18"/>
  <c r="H44" i="18"/>
  <c r="H45" i="18"/>
  <c r="H46" i="18"/>
  <c r="G25" i="18"/>
  <c r="G26" i="18"/>
  <c r="G27" i="18"/>
  <c r="I27" i="18" s="1"/>
  <c r="G28" i="18"/>
  <c r="I28" i="18" s="1"/>
  <c r="G29" i="18"/>
  <c r="G30" i="18"/>
  <c r="I30" i="18" s="1"/>
  <c r="G31" i="18"/>
  <c r="I31" i="18" s="1"/>
  <c r="G32" i="18"/>
  <c r="G33" i="18"/>
  <c r="G34" i="18"/>
  <c r="I34" i="18" s="1"/>
  <c r="G35" i="18"/>
  <c r="I35" i="18" s="1"/>
  <c r="G36" i="18"/>
  <c r="G37" i="18"/>
  <c r="G38" i="18"/>
  <c r="G39" i="18"/>
  <c r="G40" i="18"/>
  <c r="I40" i="18" s="1"/>
  <c r="G41" i="18"/>
  <c r="G42" i="18"/>
  <c r="G43" i="18"/>
  <c r="G44" i="18"/>
  <c r="G45" i="18"/>
  <c r="G46" i="18"/>
  <c r="D25" i="18"/>
  <c r="D26" i="18"/>
  <c r="D27" i="18"/>
  <c r="D28" i="18"/>
  <c r="D29" i="18"/>
  <c r="D30" i="18"/>
  <c r="D31" i="18"/>
  <c r="D32" i="18"/>
  <c r="D33" i="18"/>
  <c r="D34" i="18"/>
  <c r="D35" i="18"/>
  <c r="D36" i="18"/>
  <c r="D37" i="18"/>
  <c r="D38" i="18"/>
  <c r="D39" i="18"/>
  <c r="D40" i="18"/>
  <c r="D41" i="18"/>
  <c r="D42" i="18"/>
  <c r="D43" i="18"/>
  <c r="D44" i="18"/>
  <c r="D45" i="18"/>
  <c r="D46" i="18"/>
  <c r="C25" i="18"/>
  <c r="E25" i="18" s="1"/>
  <c r="F25" i="18" s="1"/>
  <c r="C26" i="18"/>
  <c r="C27" i="18"/>
  <c r="E27" i="18" s="1"/>
  <c r="F27" i="18" s="1"/>
  <c r="C28" i="18"/>
  <c r="C29" i="18"/>
  <c r="C30" i="18"/>
  <c r="C31" i="18"/>
  <c r="E31" i="18" s="1"/>
  <c r="F31" i="18" s="1"/>
  <c r="C32" i="18"/>
  <c r="C33" i="18"/>
  <c r="E33" i="18" s="1"/>
  <c r="F33" i="18" s="1"/>
  <c r="C34" i="18"/>
  <c r="E34" i="18" s="1"/>
  <c r="F34" i="18" s="1"/>
  <c r="C35" i="18"/>
  <c r="E35" i="18" s="1"/>
  <c r="F35" i="18" s="1"/>
  <c r="C36" i="18"/>
  <c r="C37" i="18"/>
  <c r="C38" i="18"/>
  <c r="E38" i="18" s="1"/>
  <c r="F38" i="18" s="1"/>
  <c r="C39" i="18"/>
  <c r="C40" i="18"/>
  <c r="C41" i="18"/>
  <c r="E41" i="18" s="1"/>
  <c r="F41" i="18" s="1"/>
  <c r="C42" i="18"/>
  <c r="E42" i="18" s="1"/>
  <c r="F42" i="18" s="1"/>
  <c r="C43" i="18"/>
  <c r="E43" i="18" s="1"/>
  <c r="F43" i="18" s="1"/>
  <c r="C44" i="18"/>
  <c r="C45" i="18"/>
  <c r="E45" i="18" s="1"/>
  <c r="F45" i="18" s="1"/>
  <c r="C46" i="18"/>
  <c r="D25" i="1"/>
  <c r="D26" i="1"/>
  <c r="D27" i="1"/>
  <c r="D28" i="1"/>
  <c r="D29" i="1"/>
  <c r="D30" i="1"/>
  <c r="D31" i="1"/>
  <c r="D32" i="1"/>
  <c r="D33" i="1"/>
  <c r="D34" i="1"/>
  <c r="D35" i="1"/>
  <c r="D36" i="1"/>
  <c r="D37" i="1"/>
  <c r="D38" i="1"/>
  <c r="D39" i="1"/>
  <c r="D40" i="1"/>
  <c r="D41" i="1"/>
  <c r="D42" i="1"/>
  <c r="D43" i="1"/>
  <c r="D44" i="1"/>
  <c r="D45" i="1"/>
  <c r="C25" i="1"/>
  <c r="C26" i="1"/>
  <c r="C27" i="1"/>
  <c r="C28" i="1"/>
  <c r="C29" i="1"/>
  <c r="C30" i="1"/>
  <c r="C31" i="1"/>
  <c r="C32" i="1"/>
  <c r="C33" i="1"/>
  <c r="C34" i="1"/>
  <c r="C35" i="1"/>
  <c r="C36" i="1"/>
  <c r="C37" i="1"/>
  <c r="C38" i="1"/>
  <c r="C39" i="1"/>
  <c r="C40" i="1"/>
  <c r="C41" i="1"/>
  <c r="C42" i="1"/>
  <c r="C43" i="1"/>
  <c r="C44" i="1"/>
  <c r="C45" i="1"/>
  <c r="H22" i="20"/>
  <c r="H23" i="20"/>
  <c r="F47" i="20"/>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I22" i="20"/>
  <c r="I23" i="20"/>
  <c r="H24" i="20"/>
  <c r="I24" i="20" s="1"/>
  <c r="H25" i="20"/>
  <c r="I25" i="20" s="1"/>
  <c r="H26" i="20"/>
  <c r="I26" i="20" s="1"/>
  <c r="H27" i="20"/>
  <c r="I27" i="20" s="1"/>
  <c r="H28" i="20"/>
  <c r="I28" i="20" s="1"/>
  <c r="H29" i="20"/>
  <c r="I29" i="20" s="1"/>
  <c r="H30" i="20"/>
  <c r="I30" i="20" s="1"/>
  <c r="H31" i="20"/>
  <c r="I31" i="20" s="1"/>
  <c r="H32" i="20"/>
  <c r="I32" i="20" s="1"/>
  <c r="H33" i="20"/>
  <c r="I33" i="20" s="1"/>
  <c r="H34" i="20"/>
  <c r="I34" i="20" s="1"/>
  <c r="H35" i="20"/>
  <c r="I35" i="20" s="1"/>
  <c r="H36" i="20"/>
  <c r="I36" i="20" s="1"/>
  <c r="H37" i="20"/>
  <c r="I37" i="20" s="1"/>
  <c r="H38" i="20"/>
  <c r="I38" i="20" s="1"/>
  <c r="H39" i="20"/>
  <c r="I39" i="20" s="1"/>
  <c r="H40" i="20"/>
  <c r="I40" i="20" s="1"/>
  <c r="H41" i="20"/>
  <c r="I41" i="20" s="1"/>
  <c r="H42" i="20"/>
  <c r="I42" i="20" s="1"/>
  <c r="H43" i="20"/>
  <c r="I43" i="20" s="1"/>
  <c r="H44" i="20"/>
  <c r="I44" i="20" s="1"/>
  <c r="H45" i="20"/>
  <c r="I45" i="20" s="1"/>
  <c r="H46" i="20"/>
  <c r="I46"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E29" i="20"/>
  <c r="F29" i="20" s="1"/>
  <c r="E30" i="20"/>
  <c r="F30" i="20" s="1"/>
  <c r="E31" i="20"/>
  <c r="F31" i="20" s="1"/>
  <c r="E32" i="20"/>
  <c r="F32" i="20" s="1"/>
  <c r="E33" i="20"/>
  <c r="F33" i="20" s="1"/>
  <c r="E34" i="20"/>
  <c r="F34" i="20" s="1"/>
  <c r="E35" i="20"/>
  <c r="F35" i="20" s="1"/>
  <c r="E36" i="20"/>
  <c r="F36" i="20" s="1"/>
  <c r="E37" i="20"/>
  <c r="F37" i="20" s="1"/>
  <c r="E38" i="20"/>
  <c r="F38" i="20" s="1"/>
  <c r="E39" i="20"/>
  <c r="F39" i="20" s="1"/>
  <c r="E40" i="20"/>
  <c r="F40" i="20" s="1"/>
  <c r="E41" i="20"/>
  <c r="F41" i="20" s="1"/>
  <c r="E42" i="20"/>
  <c r="F42" i="20" s="1"/>
  <c r="E43" i="20"/>
  <c r="F43" i="20" s="1"/>
  <c r="E44" i="20"/>
  <c r="F44" i="20" s="1"/>
  <c r="E45" i="20"/>
  <c r="F45" i="20" s="1"/>
  <c r="E46" i="20"/>
  <c r="F46" i="20" s="1"/>
  <c r="G18" i="18"/>
  <c r="G19" i="18"/>
  <c r="G20" i="18"/>
  <c r="G21" i="18"/>
  <c r="G22" i="18"/>
  <c r="G23" i="18"/>
  <c r="G24" i="18"/>
  <c r="G17" i="18"/>
  <c r="G5" i="18"/>
  <c r="G6" i="18"/>
  <c r="G7" i="18"/>
  <c r="G8" i="18"/>
  <c r="G4" i="18"/>
  <c r="H13" i="21"/>
  <c r="H14" i="21"/>
  <c r="H15" i="21"/>
  <c r="H16" i="21"/>
  <c r="H17" i="21"/>
  <c r="I17" i="21" s="1"/>
  <c r="H18" i="21"/>
  <c r="I18" i="21" s="1"/>
  <c r="H19" i="21"/>
  <c r="I19" i="21" s="1"/>
  <c r="H20" i="21"/>
  <c r="I20" i="21" s="1"/>
  <c r="H21" i="21"/>
  <c r="I21" i="21" s="1"/>
  <c r="H22" i="21"/>
  <c r="H22" i="18" s="1"/>
  <c r="I22" i="18" s="1"/>
  <c r="H23" i="21"/>
  <c r="H23" i="18" s="1"/>
  <c r="H24" i="21"/>
  <c r="H24" i="18" s="1"/>
  <c r="I13" i="21"/>
  <c r="I14" i="21"/>
  <c r="I15" i="21"/>
  <c r="I16" i="21"/>
  <c r="H17" i="4"/>
  <c r="H18" i="4"/>
  <c r="H19" i="4"/>
  <c r="H20" i="4"/>
  <c r="H21" i="4"/>
  <c r="H22" i="4"/>
  <c r="H23" i="4"/>
  <c r="G8" i="30"/>
  <c r="G9" i="30"/>
  <c r="G10" i="30"/>
  <c r="G11" i="30"/>
  <c r="G12" i="30"/>
  <c r="G13" i="30"/>
  <c r="G14" i="30"/>
  <c r="G15" i="30"/>
  <c r="G16" i="30"/>
  <c r="G17" i="30"/>
  <c r="G18" i="30"/>
  <c r="G19" i="30"/>
  <c r="G20" i="30"/>
  <c r="G21" i="30"/>
  <c r="G22" i="30"/>
  <c r="G23" i="30"/>
  <c r="G24" i="30"/>
  <c r="D8" i="30"/>
  <c r="D9" i="30"/>
  <c r="D10" i="30"/>
  <c r="D11" i="30"/>
  <c r="D12" i="30"/>
  <c r="D13" i="30"/>
  <c r="D14" i="30"/>
  <c r="D15" i="30"/>
  <c r="D16" i="30"/>
  <c r="D17" i="30"/>
  <c r="D18" i="30"/>
  <c r="D19" i="30"/>
  <c r="D20" i="30"/>
  <c r="D21" i="30"/>
  <c r="D22" i="30"/>
  <c r="D23" i="30"/>
  <c r="D24" i="30"/>
  <c r="C8" i="30"/>
  <c r="C9" i="30"/>
  <c r="C10" i="30"/>
  <c r="E10" i="30" s="1"/>
  <c r="F10" i="30" s="1"/>
  <c r="C11" i="30"/>
  <c r="E11" i="30" s="1"/>
  <c r="F11" i="30" s="1"/>
  <c r="C12" i="30"/>
  <c r="C13" i="30"/>
  <c r="C14" i="30"/>
  <c r="E14" i="30" s="1"/>
  <c r="F14" i="30" s="1"/>
  <c r="C15" i="30"/>
  <c r="C16" i="30"/>
  <c r="C17" i="30"/>
  <c r="C18" i="30"/>
  <c r="C19" i="30"/>
  <c r="C20" i="30"/>
  <c r="C21" i="30"/>
  <c r="C22" i="30"/>
  <c r="E22" i="30" s="1"/>
  <c r="F22" i="30" s="1"/>
  <c r="C23" i="30"/>
  <c r="E23" i="30" s="1"/>
  <c r="F23" i="30" s="1"/>
  <c r="C24" i="30"/>
  <c r="E24" i="30" s="1"/>
  <c r="F24" i="30" s="1"/>
  <c r="C8" i="29"/>
  <c r="C8" i="34" s="1"/>
  <c r="C9" i="29"/>
  <c r="C9" i="34" s="1"/>
  <c r="C10" i="29"/>
  <c r="C10" i="34" s="1"/>
  <c r="C11" i="29"/>
  <c r="C12" i="29"/>
  <c r="C13" i="29"/>
  <c r="C14" i="29"/>
  <c r="C15" i="29"/>
  <c r="C16" i="29"/>
  <c r="C17" i="29"/>
  <c r="C17" i="34" s="1"/>
  <c r="C18" i="29"/>
  <c r="C19" i="29"/>
  <c r="C19" i="34" s="1"/>
  <c r="C20" i="29"/>
  <c r="C21" i="29"/>
  <c r="C21" i="34" s="1"/>
  <c r="C22" i="29"/>
  <c r="C23" i="29"/>
  <c r="C24" i="29"/>
  <c r="H13" i="29"/>
  <c r="H14" i="29"/>
  <c r="H17" i="29"/>
  <c r="H18" i="29"/>
  <c r="H19" i="29"/>
  <c r="H20" i="29"/>
  <c r="H21" i="29"/>
  <c r="H22" i="29"/>
  <c r="H23" i="29"/>
  <c r="H24" i="29"/>
  <c r="G8" i="29"/>
  <c r="G9" i="29"/>
  <c r="G10" i="29"/>
  <c r="G11" i="29"/>
  <c r="G12" i="29"/>
  <c r="G13" i="29"/>
  <c r="G14" i="29"/>
  <c r="G15" i="29"/>
  <c r="G16" i="29"/>
  <c r="G17" i="29"/>
  <c r="G18" i="29"/>
  <c r="G19" i="29"/>
  <c r="G20" i="29"/>
  <c r="G21" i="29"/>
  <c r="G22" i="29"/>
  <c r="G23" i="29"/>
  <c r="G24" i="29"/>
  <c r="D8" i="29"/>
  <c r="D9" i="29"/>
  <c r="D10" i="29"/>
  <c r="D11" i="29"/>
  <c r="D12" i="29"/>
  <c r="D13" i="29"/>
  <c r="D14" i="29"/>
  <c r="D15" i="29"/>
  <c r="D16" i="29"/>
  <c r="D17" i="29"/>
  <c r="D18" i="29"/>
  <c r="D19" i="29"/>
  <c r="D20" i="29"/>
  <c r="D21" i="29"/>
  <c r="D22" i="29"/>
  <c r="D23" i="29"/>
  <c r="D24" i="29"/>
  <c r="H13" i="18"/>
  <c r="H14" i="18"/>
  <c r="H15" i="18"/>
  <c r="H16" i="18"/>
  <c r="H17" i="18"/>
  <c r="H18" i="18"/>
  <c r="I18" i="18" s="1"/>
  <c r="H21" i="18"/>
  <c r="I21" i="18" s="1"/>
  <c r="G9" i="18"/>
  <c r="G10" i="18"/>
  <c r="G11" i="18"/>
  <c r="G12" i="18"/>
  <c r="G13" i="18"/>
  <c r="G14" i="18"/>
  <c r="G15" i="18"/>
  <c r="G16" i="18"/>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C24" i="18"/>
  <c r="H8" i="1"/>
  <c r="H9" i="1"/>
  <c r="H10" i="1"/>
  <c r="H11" i="1"/>
  <c r="H12" i="1"/>
  <c r="H13" i="1"/>
  <c r="H14" i="1"/>
  <c r="H15" i="1"/>
  <c r="H16" i="1"/>
  <c r="H17" i="1"/>
  <c r="H18" i="1"/>
  <c r="G8" i="1"/>
  <c r="G9" i="1"/>
  <c r="G10" i="1"/>
  <c r="G11" i="1"/>
  <c r="G12" i="1"/>
  <c r="G13" i="1"/>
  <c r="G14" i="1"/>
  <c r="G15" i="1"/>
  <c r="G16" i="1"/>
  <c r="G17" i="1"/>
  <c r="G18" i="1"/>
  <c r="G19" i="1"/>
  <c r="G20" i="1"/>
  <c r="G21" i="1"/>
  <c r="G22" i="1"/>
  <c r="G23" i="1"/>
  <c r="G24" i="1"/>
  <c r="D8" i="1"/>
  <c r="D9" i="1"/>
  <c r="D10" i="1"/>
  <c r="D11" i="1"/>
  <c r="D12" i="1"/>
  <c r="D13" i="1"/>
  <c r="D14" i="1"/>
  <c r="D15" i="1"/>
  <c r="D16" i="1"/>
  <c r="D17" i="1"/>
  <c r="D18" i="1"/>
  <c r="D19" i="1"/>
  <c r="D20" i="1"/>
  <c r="D21" i="1"/>
  <c r="D22" i="1"/>
  <c r="D23" i="1"/>
  <c r="D24" i="1"/>
  <c r="C8" i="1"/>
  <c r="C9" i="1"/>
  <c r="C10" i="1"/>
  <c r="C11" i="1"/>
  <c r="C12" i="1"/>
  <c r="C13" i="1"/>
  <c r="C14" i="1"/>
  <c r="C15" i="1"/>
  <c r="C16" i="1"/>
  <c r="C17" i="1"/>
  <c r="C18" i="1"/>
  <c r="C19" i="1"/>
  <c r="C20" i="1"/>
  <c r="C21" i="1"/>
  <c r="C22" i="1"/>
  <c r="C23" i="1"/>
  <c r="C24" i="1"/>
  <c r="E7" i="3"/>
  <c r="F7" i="3"/>
  <c r="H7" i="3"/>
  <c r="I7" i="3"/>
  <c r="E12" i="4"/>
  <c r="F12" i="4" s="1"/>
  <c r="H12" i="4"/>
  <c r="I12" i="4" s="1"/>
  <c r="E13" i="4"/>
  <c r="F13" i="4" s="1"/>
  <c r="H13" i="4"/>
  <c r="I13" i="4" s="1"/>
  <c r="E14" i="4"/>
  <c r="F14" i="4"/>
  <c r="H14" i="4"/>
  <c r="I14" i="4" s="1"/>
  <c r="E15" i="4"/>
  <c r="F15" i="4" s="1"/>
  <c r="H15" i="4"/>
  <c r="I15" i="4" s="1"/>
  <c r="E16" i="4"/>
  <c r="F16" i="4" s="1"/>
  <c r="H16" i="4"/>
  <c r="I16" i="4" s="1"/>
  <c r="E17" i="4"/>
  <c r="F17" i="4"/>
  <c r="I17" i="4"/>
  <c r="E18" i="4"/>
  <c r="F18" i="4" s="1"/>
  <c r="I18" i="4"/>
  <c r="E19" i="4"/>
  <c r="F19" i="4" s="1"/>
  <c r="E20" i="4"/>
  <c r="F20" i="4"/>
  <c r="H20" i="1"/>
  <c r="I20" i="4"/>
  <c r="E21" i="4"/>
  <c r="F21" i="4" s="1"/>
  <c r="E22" i="4"/>
  <c r="F22" i="4" s="1"/>
  <c r="H22" i="1"/>
  <c r="I22" i="4"/>
  <c r="E23" i="4"/>
  <c r="F23" i="4"/>
  <c r="H23" i="1"/>
  <c r="I23" i="4"/>
  <c r="E24" i="4"/>
  <c r="F24" i="4" s="1"/>
  <c r="H24" i="4"/>
  <c r="D4" i="18"/>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G44" i="34" l="1"/>
  <c r="E51" i="30"/>
  <c r="F51" i="30" s="1"/>
  <c r="H42" i="30"/>
  <c r="H56" i="30"/>
  <c r="I48" i="30"/>
  <c r="C27" i="34"/>
  <c r="H40" i="30"/>
  <c r="H40" i="34" s="1"/>
  <c r="I72" i="30"/>
  <c r="H51" i="30"/>
  <c r="I51" i="30" s="1"/>
  <c r="I61" i="32"/>
  <c r="C61" i="34"/>
  <c r="G57" i="34"/>
  <c r="C39" i="34"/>
  <c r="D57" i="34"/>
  <c r="H59" i="30"/>
  <c r="H34" i="30"/>
  <c r="H34" i="34" s="1"/>
  <c r="D35" i="34"/>
  <c r="C57" i="34"/>
  <c r="E8" i="30"/>
  <c r="F8" i="30" s="1"/>
  <c r="H44" i="30"/>
  <c r="H44" i="34" s="1"/>
  <c r="I44" i="34" s="1"/>
  <c r="E18" i="30"/>
  <c r="F18" i="30" s="1"/>
  <c r="H35" i="30"/>
  <c r="H35" i="34" s="1"/>
  <c r="H75" i="30"/>
  <c r="H75" i="34" s="1"/>
  <c r="E9" i="30"/>
  <c r="F9" i="30" s="1"/>
  <c r="E20" i="30"/>
  <c r="F20" i="30" s="1"/>
  <c r="H53" i="34"/>
  <c r="H73" i="30"/>
  <c r="I73" i="30" s="1"/>
  <c r="G61" i="34"/>
  <c r="H82" i="30"/>
  <c r="I82" i="30" s="1"/>
  <c r="E85" i="30"/>
  <c r="F85" i="30" s="1"/>
  <c r="E77" i="30"/>
  <c r="F77" i="30" s="1"/>
  <c r="E61" i="30"/>
  <c r="F61" i="30" s="1"/>
  <c r="E58" i="30"/>
  <c r="F58" i="30" s="1"/>
  <c r="E53" i="30"/>
  <c r="F53" i="30" s="1"/>
  <c r="E43" i="30"/>
  <c r="F43" i="30" s="1"/>
  <c r="E29" i="30"/>
  <c r="F29" i="30" s="1"/>
  <c r="E59" i="30"/>
  <c r="F59" i="30" s="1"/>
  <c r="H58" i="30"/>
  <c r="I58" i="30" s="1"/>
  <c r="I76" i="32"/>
  <c r="E60" i="30"/>
  <c r="F60" i="30" s="1"/>
  <c r="E68" i="30"/>
  <c r="F68" i="30" s="1"/>
  <c r="H69" i="30"/>
  <c r="H69" i="34" s="1"/>
  <c r="H70" i="30"/>
  <c r="H70" i="34" s="1"/>
  <c r="H71" i="30"/>
  <c r="I71" i="30" s="1"/>
  <c r="E72" i="30"/>
  <c r="F72" i="30" s="1"/>
  <c r="E49" i="30"/>
  <c r="F49" i="30" s="1"/>
  <c r="C49" i="34"/>
  <c r="H62" i="30"/>
  <c r="H62" i="34" s="1"/>
  <c r="I62" i="34" s="1"/>
  <c r="E64" i="30"/>
  <c r="F64" i="30" s="1"/>
  <c r="H64" i="30"/>
  <c r="I64" i="30" s="1"/>
  <c r="D55" i="34"/>
  <c r="E63" i="30"/>
  <c r="F63" i="30" s="1"/>
  <c r="E56" i="30"/>
  <c r="F56" i="30" s="1"/>
  <c r="E39" i="30"/>
  <c r="F39" i="30" s="1"/>
  <c r="H39" i="30"/>
  <c r="I39" i="30" s="1"/>
  <c r="E37" i="30"/>
  <c r="F37" i="30" s="1"/>
  <c r="H36" i="30"/>
  <c r="I36" i="30" s="1"/>
  <c r="H38" i="30"/>
  <c r="H38" i="34" s="1"/>
  <c r="D25" i="34"/>
  <c r="E40" i="30"/>
  <c r="F40" i="30" s="1"/>
  <c r="H57" i="30"/>
  <c r="E78" i="30"/>
  <c r="F78" i="30" s="1"/>
  <c r="H79" i="30"/>
  <c r="C13" i="34"/>
  <c r="E80" i="30"/>
  <c r="F80" i="30" s="1"/>
  <c r="H85" i="30"/>
  <c r="I85" i="30" s="1"/>
  <c r="I45" i="32"/>
  <c r="I45" i="30"/>
  <c r="H43" i="30"/>
  <c r="H43" i="34" s="1"/>
  <c r="I35" i="30"/>
  <c r="E32" i="30"/>
  <c r="F32" i="30" s="1"/>
  <c r="D32" i="34"/>
  <c r="E31" i="30"/>
  <c r="F31" i="30" s="1"/>
  <c r="H30" i="30"/>
  <c r="H30" i="34" s="1"/>
  <c r="H27" i="30"/>
  <c r="I27" i="30" s="1"/>
  <c r="C85" i="34"/>
  <c r="D50" i="34"/>
  <c r="I68" i="30"/>
  <c r="I67" i="30"/>
  <c r="C22" i="34"/>
  <c r="G71" i="34"/>
  <c r="G53" i="34"/>
  <c r="E84" i="30"/>
  <c r="F84" i="30" s="1"/>
  <c r="I42" i="30"/>
  <c r="G73" i="34"/>
  <c r="D61" i="34"/>
  <c r="E21" i="30"/>
  <c r="F21" i="30" s="1"/>
  <c r="E13" i="30"/>
  <c r="F13" i="30" s="1"/>
  <c r="I76" i="30"/>
  <c r="E66" i="30"/>
  <c r="F66" i="30" s="1"/>
  <c r="E35" i="30"/>
  <c r="F35" i="30" s="1"/>
  <c r="I56" i="30"/>
  <c r="C18" i="34"/>
  <c r="E19" i="30"/>
  <c r="F19" i="30" s="1"/>
  <c r="E74" i="30"/>
  <c r="F74" i="30" s="1"/>
  <c r="E70" i="30"/>
  <c r="F70" i="30" s="1"/>
  <c r="I59" i="30"/>
  <c r="E46" i="30"/>
  <c r="F46" i="30" s="1"/>
  <c r="E26" i="30"/>
  <c r="F26" i="30" s="1"/>
  <c r="E76" i="30"/>
  <c r="F76" i="30" s="1"/>
  <c r="D34" i="34"/>
  <c r="H14" i="30"/>
  <c r="H41" i="34"/>
  <c r="G79" i="34"/>
  <c r="E33" i="30"/>
  <c r="F33" i="30" s="1"/>
  <c r="I79" i="31"/>
  <c r="G22" i="34"/>
  <c r="E54" i="30"/>
  <c r="F54" i="30" s="1"/>
  <c r="D79" i="34"/>
  <c r="H74" i="30"/>
  <c r="I74" i="30" s="1"/>
  <c r="H63" i="30"/>
  <c r="I63" i="30" s="1"/>
  <c r="H46" i="30"/>
  <c r="I46" i="30" s="1"/>
  <c r="D18" i="34"/>
  <c r="D45" i="34"/>
  <c r="I40" i="30"/>
  <c r="D17" i="34"/>
  <c r="E17" i="34" s="1"/>
  <c r="F17" i="34" s="1"/>
  <c r="G18" i="34"/>
  <c r="D44" i="34"/>
  <c r="D28" i="34"/>
  <c r="D85" i="34"/>
  <c r="H78" i="34"/>
  <c r="G52" i="34"/>
  <c r="H80" i="30"/>
  <c r="I80" i="30" s="1"/>
  <c r="H77" i="30"/>
  <c r="I77" i="30" s="1"/>
  <c r="E71" i="30"/>
  <c r="F71" i="30" s="1"/>
  <c r="H66" i="30"/>
  <c r="I66" i="30" s="1"/>
  <c r="I35" i="31"/>
  <c r="H83" i="30"/>
  <c r="I83" i="30" s="1"/>
  <c r="E38" i="30"/>
  <c r="F38" i="30" s="1"/>
  <c r="E25" i="30"/>
  <c r="F25" i="30" s="1"/>
  <c r="E52" i="30"/>
  <c r="F52" i="30" s="1"/>
  <c r="G65" i="34"/>
  <c r="D65" i="34"/>
  <c r="E41" i="30"/>
  <c r="F41" i="30" s="1"/>
  <c r="H15" i="30"/>
  <c r="I15" i="30" s="1"/>
  <c r="C80" i="34"/>
  <c r="G83" i="34"/>
  <c r="E30" i="30"/>
  <c r="F30" i="30" s="1"/>
  <c r="D21" i="34"/>
  <c r="E21" i="34" s="1"/>
  <c r="F21" i="34" s="1"/>
  <c r="H32" i="30"/>
  <c r="I32" i="30" s="1"/>
  <c r="G21" i="34"/>
  <c r="H29" i="30"/>
  <c r="I29" i="30" s="1"/>
  <c r="G20" i="34"/>
  <c r="E81" i="30"/>
  <c r="F81" i="30" s="1"/>
  <c r="G19" i="34"/>
  <c r="H60" i="30"/>
  <c r="H60" i="34" s="1"/>
  <c r="H26" i="30"/>
  <c r="I26" i="30" s="1"/>
  <c r="I73" i="31"/>
  <c r="D16" i="34"/>
  <c r="G17" i="34"/>
  <c r="D27" i="34"/>
  <c r="E27" i="34" s="1"/>
  <c r="F27" i="34" s="1"/>
  <c r="G33" i="34"/>
  <c r="D63" i="34"/>
  <c r="I38" i="30"/>
  <c r="E62" i="30"/>
  <c r="F62" i="30" s="1"/>
  <c r="E28" i="30"/>
  <c r="F28" i="30" s="1"/>
  <c r="H16" i="30"/>
  <c r="H16" i="34" s="1"/>
  <c r="C45" i="34"/>
  <c r="H45" i="34"/>
  <c r="C65" i="34"/>
  <c r="H47" i="30"/>
  <c r="H47" i="34" s="1"/>
  <c r="G23" i="34"/>
  <c r="D33" i="34"/>
  <c r="H13" i="30"/>
  <c r="I13" i="30" s="1"/>
  <c r="C42" i="34"/>
  <c r="H50" i="30"/>
  <c r="I50" i="30" s="1"/>
  <c r="D20" i="34"/>
  <c r="E47" i="30"/>
  <c r="F47" i="30" s="1"/>
  <c r="D19" i="34"/>
  <c r="I57" i="30"/>
  <c r="C53" i="34"/>
  <c r="E53" i="34" s="1"/>
  <c r="F53" i="34" s="1"/>
  <c r="I36" i="31"/>
  <c r="C11" i="34"/>
  <c r="E12" i="30"/>
  <c r="F12" i="30" s="1"/>
  <c r="C36" i="34"/>
  <c r="C63" i="34"/>
  <c r="H31" i="30"/>
  <c r="I69" i="30"/>
  <c r="G16" i="34"/>
  <c r="H67" i="34"/>
  <c r="D46" i="34"/>
  <c r="G56" i="34"/>
  <c r="D11" i="34"/>
  <c r="I70" i="31"/>
  <c r="D43" i="34"/>
  <c r="D24" i="34"/>
  <c r="H24" i="30"/>
  <c r="H24" i="34" s="1"/>
  <c r="D42" i="34"/>
  <c r="C67" i="34"/>
  <c r="H59" i="34"/>
  <c r="H48" i="34"/>
  <c r="H52" i="30"/>
  <c r="I52" i="30" s="1"/>
  <c r="H33" i="30"/>
  <c r="I33" i="30" s="1"/>
  <c r="I68" i="31"/>
  <c r="D15" i="34"/>
  <c r="G34" i="34"/>
  <c r="H55" i="30"/>
  <c r="I55" i="30" s="1"/>
  <c r="E50" i="30"/>
  <c r="F50" i="30" s="1"/>
  <c r="I51" i="31"/>
  <c r="G8" i="34"/>
  <c r="H23" i="30"/>
  <c r="I23" i="30" s="1"/>
  <c r="G31" i="34"/>
  <c r="G59" i="34"/>
  <c r="G48" i="34"/>
  <c r="H65" i="30"/>
  <c r="I65" i="30" s="1"/>
  <c r="E55" i="30"/>
  <c r="F55" i="30" s="1"/>
  <c r="H49" i="30"/>
  <c r="I49" i="30" s="1"/>
  <c r="I67" i="31"/>
  <c r="H14" i="34"/>
  <c r="I71" i="31"/>
  <c r="D9" i="34"/>
  <c r="E9" i="34" s="1"/>
  <c r="F9" i="34" s="1"/>
  <c r="H31" i="34"/>
  <c r="I69" i="31"/>
  <c r="H22" i="30"/>
  <c r="I22" i="30" s="1"/>
  <c r="C34" i="34"/>
  <c r="E34" i="34" s="1"/>
  <c r="F34" i="34" s="1"/>
  <c r="D40" i="34"/>
  <c r="G46" i="34"/>
  <c r="D59" i="34"/>
  <c r="D51" i="34"/>
  <c r="H84" i="30"/>
  <c r="I84" i="30" s="1"/>
  <c r="H54" i="30"/>
  <c r="I54" i="30" s="1"/>
  <c r="I85" i="31"/>
  <c r="G14" i="34"/>
  <c r="G37" i="34"/>
  <c r="G75" i="34"/>
  <c r="D10" i="34"/>
  <c r="E10" i="34" s="1"/>
  <c r="F10" i="34" s="1"/>
  <c r="H21" i="30"/>
  <c r="I21" i="30" s="1"/>
  <c r="G45" i="34"/>
  <c r="G29" i="34"/>
  <c r="C59" i="34"/>
  <c r="H81" i="30"/>
  <c r="I81" i="30" s="1"/>
  <c r="E79" i="30"/>
  <c r="F79" i="30" s="1"/>
  <c r="E65" i="30"/>
  <c r="F65" i="30" s="1"/>
  <c r="G15" i="34"/>
  <c r="D13" i="34"/>
  <c r="D83" i="34"/>
  <c r="E83" i="30"/>
  <c r="F83" i="30" s="1"/>
  <c r="C38" i="34"/>
  <c r="C56" i="34"/>
  <c r="C37" i="34"/>
  <c r="E17" i="30"/>
  <c r="F17" i="30" s="1"/>
  <c r="H19" i="30"/>
  <c r="C32" i="34"/>
  <c r="D38" i="34"/>
  <c r="G77" i="34"/>
  <c r="C73" i="34"/>
  <c r="D69" i="34"/>
  <c r="G58" i="34"/>
  <c r="G50" i="34"/>
  <c r="D48" i="34"/>
  <c r="I82" i="31"/>
  <c r="I64" i="31"/>
  <c r="D67" i="34"/>
  <c r="H21" i="34"/>
  <c r="E16" i="30"/>
  <c r="F16" i="30" s="1"/>
  <c r="H18" i="30"/>
  <c r="D37" i="34"/>
  <c r="D84" i="34"/>
  <c r="C81" i="34"/>
  <c r="D77" i="34"/>
  <c r="C69" i="34"/>
  <c r="C48" i="34"/>
  <c r="E48" i="34" s="1"/>
  <c r="F48" i="34" s="1"/>
  <c r="D30" i="34"/>
  <c r="C14" i="34"/>
  <c r="E15" i="30"/>
  <c r="F15" i="30" s="1"/>
  <c r="H17" i="30"/>
  <c r="I17" i="30" s="1"/>
  <c r="C46" i="34"/>
  <c r="G42" i="34"/>
  <c r="C84" i="34"/>
  <c r="E84" i="34" s="1"/>
  <c r="F84" i="34" s="1"/>
  <c r="H68" i="34"/>
  <c r="H61" i="34"/>
  <c r="C20" i="34"/>
  <c r="H20" i="30"/>
  <c r="I20" i="30" s="1"/>
  <c r="H20" i="34"/>
  <c r="C23" i="34"/>
  <c r="C24" i="34"/>
  <c r="H25" i="30"/>
  <c r="I25" i="30" s="1"/>
  <c r="E44" i="30"/>
  <c r="F44" i="30" s="1"/>
  <c r="I79" i="30"/>
  <c r="I41" i="30"/>
  <c r="I31" i="30"/>
  <c r="I30" i="30"/>
  <c r="D58" i="34"/>
  <c r="C58" i="34"/>
  <c r="G76" i="34"/>
  <c r="D76" i="34"/>
  <c r="D60" i="34"/>
  <c r="C68" i="34"/>
  <c r="E68" i="34" s="1"/>
  <c r="F68" i="34" s="1"/>
  <c r="G69" i="34"/>
  <c r="E69" i="30"/>
  <c r="F69" i="30" s="1"/>
  <c r="G70" i="34"/>
  <c r="D70" i="34"/>
  <c r="C70" i="34"/>
  <c r="G72" i="34"/>
  <c r="D72" i="34"/>
  <c r="D73" i="34"/>
  <c r="E73" i="30"/>
  <c r="F73" i="30" s="1"/>
  <c r="G74" i="34"/>
  <c r="E75" i="30"/>
  <c r="F75" i="30" s="1"/>
  <c r="D75" i="34"/>
  <c r="G67" i="34"/>
  <c r="G47" i="34"/>
  <c r="D47" i="34"/>
  <c r="C47" i="34"/>
  <c r="E47" i="34" s="1"/>
  <c r="F47" i="34" s="1"/>
  <c r="G49" i="34"/>
  <c r="D49" i="34"/>
  <c r="C50" i="34"/>
  <c r="G51" i="34"/>
  <c r="C51" i="34"/>
  <c r="G62" i="34"/>
  <c r="D62" i="34"/>
  <c r="C62" i="34"/>
  <c r="D52" i="34"/>
  <c r="D64" i="34"/>
  <c r="G54" i="34"/>
  <c r="D54" i="34"/>
  <c r="C54" i="34"/>
  <c r="D66" i="34"/>
  <c r="C66" i="34"/>
  <c r="D39" i="34"/>
  <c r="D36" i="34"/>
  <c r="G25" i="34"/>
  <c r="C25" i="34"/>
  <c r="C40" i="34"/>
  <c r="G82" i="34"/>
  <c r="E82" i="30"/>
  <c r="F82" i="30" s="1"/>
  <c r="D82" i="34"/>
  <c r="C82" i="34"/>
  <c r="E82" i="34" s="1"/>
  <c r="F82" i="34" s="1"/>
  <c r="G26" i="34"/>
  <c r="D26" i="34"/>
  <c r="C26" i="34"/>
  <c r="E57" i="30"/>
  <c r="F57" i="30" s="1"/>
  <c r="D78" i="34"/>
  <c r="C79" i="34"/>
  <c r="C16" i="34"/>
  <c r="E16" i="34" s="1"/>
  <c r="F16" i="34" s="1"/>
  <c r="C15" i="34"/>
  <c r="G13" i="34"/>
  <c r="G9" i="34"/>
  <c r="G12" i="34"/>
  <c r="C12" i="34"/>
  <c r="G11" i="34"/>
  <c r="G10" i="34"/>
  <c r="G80" i="34"/>
  <c r="D80" i="34"/>
  <c r="G85" i="34"/>
  <c r="E45" i="30"/>
  <c r="F45" i="30" s="1"/>
  <c r="G43" i="34"/>
  <c r="C43" i="34"/>
  <c r="C83" i="34"/>
  <c r="E42" i="30"/>
  <c r="F42" i="30" s="1"/>
  <c r="C41" i="34"/>
  <c r="E41" i="34" s="1"/>
  <c r="F41" i="34" s="1"/>
  <c r="G81" i="34"/>
  <c r="D81" i="34"/>
  <c r="G35" i="34"/>
  <c r="C35" i="34"/>
  <c r="E34" i="30"/>
  <c r="F34" i="30" s="1"/>
  <c r="G32" i="34"/>
  <c r="D31" i="34"/>
  <c r="C31" i="34"/>
  <c r="G30" i="34"/>
  <c r="C30" i="34"/>
  <c r="G28" i="34"/>
  <c r="C28" i="34"/>
  <c r="G27" i="34"/>
  <c r="I14" i="30"/>
  <c r="H79" i="34"/>
  <c r="H52" i="34"/>
  <c r="H42" i="34"/>
  <c r="H37" i="34"/>
  <c r="H27" i="34"/>
  <c r="E59" i="29"/>
  <c r="F59" i="29" s="1"/>
  <c r="H58" i="29"/>
  <c r="H76" i="29"/>
  <c r="I69" i="29"/>
  <c r="E70" i="29"/>
  <c r="F70" i="29" s="1"/>
  <c r="I71" i="29"/>
  <c r="H72" i="34"/>
  <c r="I72" i="29"/>
  <c r="H73" i="34"/>
  <c r="I73" i="29"/>
  <c r="I74" i="28"/>
  <c r="I74" i="29"/>
  <c r="E47" i="29"/>
  <c r="F47" i="29" s="1"/>
  <c r="I50" i="29"/>
  <c r="H51" i="29"/>
  <c r="E51" i="29"/>
  <c r="F51" i="29" s="1"/>
  <c r="I52" i="28"/>
  <c r="I54" i="29"/>
  <c r="H56" i="29"/>
  <c r="I36" i="28"/>
  <c r="I36" i="29"/>
  <c r="I38" i="29"/>
  <c r="I40" i="29"/>
  <c r="H82" i="34"/>
  <c r="I82" i="29"/>
  <c r="I26" i="28"/>
  <c r="H57" i="29"/>
  <c r="I16" i="28"/>
  <c r="E85" i="29"/>
  <c r="F85" i="29" s="1"/>
  <c r="H85" i="29"/>
  <c r="I81" i="29"/>
  <c r="H28" i="29"/>
  <c r="H28" i="34" s="1"/>
  <c r="E12" i="29"/>
  <c r="F12" i="29" s="1"/>
  <c r="D12" i="34"/>
  <c r="E8" i="29"/>
  <c r="F8" i="29" s="1"/>
  <c r="D8" i="34"/>
  <c r="E8" i="34"/>
  <c r="F8" i="34" s="1"/>
  <c r="E23" i="29"/>
  <c r="F23" i="29" s="1"/>
  <c r="D23" i="34"/>
  <c r="E22" i="29"/>
  <c r="F22" i="29" s="1"/>
  <c r="D22" i="34"/>
  <c r="E14" i="29"/>
  <c r="F14" i="29" s="1"/>
  <c r="D14" i="34"/>
  <c r="I24" i="29"/>
  <c r="G24" i="34"/>
  <c r="E20" i="34"/>
  <c r="F20" i="34" s="1"/>
  <c r="E19" i="34"/>
  <c r="F19" i="34" s="1"/>
  <c r="E44" i="29"/>
  <c r="F44" i="29" s="1"/>
  <c r="C44" i="34"/>
  <c r="E33" i="29"/>
  <c r="F33" i="29" s="1"/>
  <c r="C33" i="34"/>
  <c r="E29" i="29"/>
  <c r="F29" i="29" s="1"/>
  <c r="C29" i="34"/>
  <c r="E29" i="34" s="1"/>
  <c r="F29" i="34" s="1"/>
  <c r="I78" i="29"/>
  <c r="E78" i="29"/>
  <c r="F78" i="29" s="1"/>
  <c r="E77" i="29"/>
  <c r="F77" i="29" s="1"/>
  <c r="E74" i="29"/>
  <c r="F74" i="29" s="1"/>
  <c r="C74" i="34"/>
  <c r="E74" i="34" s="1"/>
  <c r="F74" i="34" s="1"/>
  <c r="E71" i="34"/>
  <c r="F71" i="34" s="1"/>
  <c r="I68" i="29"/>
  <c r="I66" i="29"/>
  <c r="I64" i="29"/>
  <c r="G64" i="34"/>
  <c r="I63" i="29"/>
  <c r="I60" i="29"/>
  <c r="G60" i="34"/>
  <c r="E56" i="29"/>
  <c r="F56" i="29" s="1"/>
  <c r="D56" i="34"/>
  <c r="I55" i="29"/>
  <c r="E76" i="29"/>
  <c r="F76" i="29" s="1"/>
  <c r="C76" i="34"/>
  <c r="E76" i="34" s="1"/>
  <c r="F76" i="34" s="1"/>
  <c r="E60" i="29"/>
  <c r="F60" i="29" s="1"/>
  <c r="C60" i="34"/>
  <c r="G68" i="34"/>
  <c r="I68" i="34" s="1"/>
  <c r="D68" i="34"/>
  <c r="E71" i="29"/>
  <c r="F71" i="29" s="1"/>
  <c r="E72" i="29"/>
  <c r="F72" i="29" s="1"/>
  <c r="C72" i="34"/>
  <c r="E73" i="29"/>
  <c r="F73" i="29" s="1"/>
  <c r="E75" i="29"/>
  <c r="F75" i="29" s="1"/>
  <c r="C75" i="34"/>
  <c r="I65" i="29"/>
  <c r="E65" i="29"/>
  <c r="F65" i="29" s="1"/>
  <c r="I62" i="29"/>
  <c r="I52" i="29"/>
  <c r="E52" i="29"/>
  <c r="F52" i="29" s="1"/>
  <c r="C52" i="34"/>
  <c r="E64" i="29"/>
  <c r="F64" i="29" s="1"/>
  <c r="C64" i="34"/>
  <c r="G55" i="34"/>
  <c r="E55" i="29"/>
  <c r="F55" i="29" s="1"/>
  <c r="C55" i="34"/>
  <c r="E55" i="34" s="1"/>
  <c r="F55" i="34" s="1"/>
  <c r="G66" i="34"/>
  <c r="G63" i="34"/>
  <c r="G39" i="34"/>
  <c r="G36" i="34"/>
  <c r="G38" i="34"/>
  <c r="C77" i="34"/>
  <c r="G40" i="34"/>
  <c r="E40" i="29"/>
  <c r="F40" i="29" s="1"/>
  <c r="E82" i="29"/>
  <c r="F82" i="29" s="1"/>
  <c r="E57" i="34"/>
  <c r="F57" i="34" s="1"/>
  <c r="G78" i="34"/>
  <c r="C78" i="34"/>
  <c r="I79" i="29"/>
  <c r="E13" i="29"/>
  <c r="F13" i="29" s="1"/>
  <c r="E9" i="29"/>
  <c r="F9" i="29" s="1"/>
  <c r="E11" i="29"/>
  <c r="F11" i="29" s="1"/>
  <c r="E10" i="29"/>
  <c r="F10" i="29" s="1"/>
  <c r="I80" i="29"/>
  <c r="E80" i="29"/>
  <c r="F80" i="29" s="1"/>
  <c r="G41" i="34"/>
  <c r="E35" i="29"/>
  <c r="F35" i="29" s="1"/>
  <c r="I23" i="29"/>
  <c r="I22" i="29"/>
  <c r="I21" i="29"/>
  <c r="I20" i="29"/>
  <c r="I19" i="29"/>
  <c r="I18" i="29"/>
  <c r="I17" i="29"/>
  <c r="I14" i="29"/>
  <c r="E46" i="29"/>
  <c r="F46" i="29" s="1"/>
  <c r="E30" i="29"/>
  <c r="F30" i="29" s="1"/>
  <c r="E28" i="29"/>
  <c r="F28" i="29" s="1"/>
  <c r="E27" i="29"/>
  <c r="F27" i="29" s="1"/>
  <c r="I37" i="29"/>
  <c r="I34" i="29"/>
  <c r="I33" i="29"/>
  <c r="I32" i="29"/>
  <c r="I29" i="29"/>
  <c r="I25" i="29"/>
  <c r="E24" i="29"/>
  <c r="F24" i="29" s="1"/>
  <c r="E21" i="29"/>
  <c r="F21" i="29" s="1"/>
  <c r="E20" i="29"/>
  <c r="F20" i="29" s="1"/>
  <c r="E19" i="29"/>
  <c r="F19" i="29" s="1"/>
  <c r="E18" i="29"/>
  <c r="F18" i="29" s="1"/>
  <c r="E17" i="29"/>
  <c r="F17" i="29" s="1"/>
  <c r="E16" i="29"/>
  <c r="F16" i="29" s="1"/>
  <c r="E15" i="29"/>
  <c r="F15" i="29" s="1"/>
  <c r="I46" i="29"/>
  <c r="E39" i="29"/>
  <c r="F39" i="29" s="1"/>
  <c r="E37" i="29"/>
  <c r="F37" i="29" s="1"/>
  <c r="E36" i="29"/>
  <c r="F36" i="29" s="1"/>
  <c r="E38" i="29"/>
  <c r="F38" i="29" s="1"/>
  <c r="I26" i="29"/>
  <c r="E26" i="29"/>
  <c r="F26" i="29" s="1"/>
  <c r="I16" i="29"/>
  <c r="I15" i="29"/>
  <c r="I13" i="29"/>
  <c r="I45" i="29"/>
  <c r="E45" i="29"/>
  <c r="F45" i="29" s="1"/>
  <c r="I44" i="29"/>
  <c r="I43" i="29"/>
  <c r="I42" i="29"/>
  <c r="E41" i="29"/>
  <c r="F41" i="29" s="1"/>
  <c r="I35" i="29"/>
  <c r="E34" i="29"/>
  <c r="F34" i="29" s="1"/>
  <c r="E32" i="29"/>
  <c r="F32" i="29" s="1"/>
  <c r="I31" i="29"/>
  <c r="E31" i="29"/>
  <c r="F31" i="29" s="1"/>
  <c r="I30" i="29"/>
  <c r="I28" i="29"/>
  <c r="I27" i="29"/>
  <c r="E43" i="29"/>
  <c r="F43" i="29" s="1"/>
  <c r="E42" i="29"/>
  <c r="F42" i="29" s="1"/>
  <c r="E25" i="29"/>
  <c r="F25" i="29" s="1"/>
  <c r="E40" i="18"/>
  <c r="F40" i="18" s="1"/>
  <c r="E39" i="18"/>
  <c r="F39" i="18" s="1"/>
  <c r="E37" i="18"/>
  <c r="F37" i="18" s="1"/>
  <c r="E36" i="18"/>
  <c r="F36" i="18" s="1"/>
  <c r="E30" i="18"/>
  <c r="F30" i="18" s="1"/>
  <c r="E28" i="18"/>
  <c r="F28" i="18" s="1"/>
  <c r="I25" i="18"/>
  <c r="I43" i="18"/>
  <c r="I42" i="18"/>
  <c r="I41" i="18"/>
  <c r="I39" i="18"/>
  <c r="I38" i="18"/>
  <c r="I26" i="18"/>
  <c r="I75" i="18"/>
  <c r="I74" i="18"/>
  <c r="I73" i="18"/>
  <c r="I72" i="18"/>
  <c r="I71" i="18"/>
  <c r="I70" i="18"/>
  <c r="I69" i="18"/>
  <c r="I68" i="18"/>
  <c r="I67" i="18"/>
  <c r="I66" i="18"/>
  <c r="I65" i="18"/>
  <c r="I64" i="18"/>
  <c r="I63" i="18"/>
  <c r="I62" i="18"/>
  <c r="I61" i="18"/>
  <c r="I60" i="18"/>
  <c r="I59" i="18"/>
  <c r="I58" i="18"/>
  <c r="I57" i="18"/>
  <c r="I56" i="18"/>
  <c r="I55" i="18"/>
  <c r="I54" i="18"/>
  <c r="I52" i="18"/>
  <c r="I51" i="18"/>
  <c r="I50" i="18"/>
  <c r="I49" i="18"/>
  <c r="E75" i="18"/>
  <c r="F75" i="18" s="1"/>
  <c r="E74" i="18"/>
  <c r="F74" i="18" s="1"/>
  <c r="E73" i="18"/>
  <c r="F73" i="18" s="1"/>
  <c r="E72" i="18"/>
  <c r="F72"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2" i="18"/>
  <c r="F52" i="18" s="1"/>
  <c r="E51" i="18"/>
  <c r="F51" i="18" s="1"/>
  <c r="E50" i="18"/>
  <c r="F50" i="18" s="1"/>
  <c r="E49" i="18"/>
  <c r="F49" i="18" s="1"/>
  <c r="I53" i="18"/>
  <c r="E53" i="18"/>
  <c r="F53" i="18" s="1"/>
  <c r="I48" i="18"/>
  <c r="E48" i="18"/>
  <c r="F48" i="18" s="1"/>
  <c r="I47" i="18"/>
  <c r="E47" i="18"/>
  <c r="F47" i="18" s="1"/>
  <c r="E29" i="18"/>
  <c r="F29" i="18" s="1"/>
  <c r="E44" i="18"/>
  <c r="F44" i="18" s="1"/>
  <c r="I46" i="18"/>
  <c r="I45" i="18"/>
  <c r="I44" i="18"/>
  <c r="I37" i="18"/>
  <c r="I36" i="18"/>
  <c r="I33" i="18"/>
  <c r="I32" i="18"/>
  <c r="I29" i="18"/>
  <c r="E46" i="18"/>
  <c r="F46" i="18" s="1"/>
  <c r="E26" i="18"/>
  <c r="F26" i="18" s="1"/>
  <c r="E32" i="18"/>
  <c r="F32" i="18" s="1"/>
  <c r="I23" i="18"/>
  <c r="I17" i="18"/>
  <c r="I24" i="18"/>
  <c r="I14" i="18"/>
  <c r="I13" i="18"/>
  <c r="E23" i="18"/>
  <c r="F23" i="18" s="1"/>
  <c r="I16" i="18"/>
  <c r="E24" i="18"/>
  <c r="F24" i="18" s="1"/>
  <c r="E8" i="18"/>
  <c r="F8" i="18" s="1"/>
  <c r="H20" i="18"/>
  <c r="I20" i="18" s="1"/>
  <c r="E22" i="18"/>
  <c r="F22" i="18" s="1"/>
  <c r="E13" i="18"/>
  <c r="F13" i="18" s="1"/>
  <c r="E12" i="18"/>
  <c r="F12" i="18" s="1"/>
  <c r="E16" i="18"/>
  <c r="F16" i="18" s="1"/>
  <c r="H19" i="18"/>
  <c r="I19" i="18" s="1"/>
  <c r="I24" i="21"/>
  <c r="I23" i="21"/>
  <c r="I22" i="21"/>
  <c r="I15" i="18"/>
  <c r="E24" i="1"/>
  <c r="F24" i="1" s="1"/>
  <c r="E23" i="1"/>
  <c r="F23" i="1" s="1"/>
  <c r="E22" i="1"/>
  <c r="F22" i="1" s="1"/>
  <c r="E21" i="1"/>
  <c r="F21" i="1" s="1"/>
  <c r="E20" i="1"/>
  <c r="F20" i="1" s="1"/>
  <c r="E19" i="1"/>
  <c r="F19" i="1" s="1"/>
  <c r="E18" i="1"/>
  <c r="F18" i="1" s="1"/>
  <c r="E17" i="1"/>
  <c r="F17" i="1" s="1"/>
  <c r="I16" i="1"/>
  <c r="I15" i="1"/>
  <c r="I14" i="1"/>
  <c r="I13" i="1"/>
  <c r="I12" i="1"/>
  <c r="E8" i="1"/>
  <c r="F8" i="1" s="1"/>
  <c r="I11" i="1"/>
  <c r="I10" i="1"/>
  <c r="I9" i="1"/>
  <c r="I8" i="1"/>
  <c r="I18" i="1"/>
  <c r="I17" i="1"/>
  <c r="I22" i="1"/>
  <c r="I21" i="4"/>
  <c r="H21" i="1"/>
  <c r="I20" i="1"/>
  <c r="I19" i="4"/>
  <c r="H19" i="1"/>
  <c r="I24" i="4"/>
  <c r="H24" i="1"/>
  <c r="I23" i="1"/>
  <c r="E16" i="1"/>
  <c r="F16" i="1" s="1"/>
  <c r="E15" i="1"/>
  <c r="F15" i="1" s="1"/>
  <c r="E14" i="1"/>
  <c r="F14" i="1" s="1"/>
  <c r="E13" i="1"/>
  <c r="F13" i="1" s="1"/>
  <c r="E12" i="1"/>
  <c r="F12" i="1" s="1"/>
  <c r="E11" i="1"/>
  <c r="F11" i="1" s="1"/>
  <c r="E10" i="1"/>
  <c r="F10" i="1" s="1"/>
  <c r="E9" i="1"/>
  <c r="F9" i="1" s="1"/>
  <c r="G6" i="30"/>
  <c r="G7" i="30"/>
  <c r="G7" i="34" s="1"/>
  <c r="G5" i="30"/>
  <c r="G4" i="30"/>
  <c r="E5" i="28"/>
  <c r="F5" i="28" s="1"/>
  <c r="E5" i="27"/>
  <c r="G5" i="29"/>
  <c r="G6" i="29"/>
  <c r="G4" i="29"/>
  <c r="E12" i="19"/>
  <c r="F12" i="19" s="1"/>
  <c r="E5" i="20"/>
  <c r="E4" i="4"/>
  <c r="F4" i="4"/>
  <c r="H4" i="4"/>
  <c r="I4" i="4"/>
  <c r="E5" i="4"/>
  <c r="F5" i="4"/>
  <c r="H5" i="4"/>
  <c r="I5" i="4"/>
  <c r="E6" i="4"/>
  <c r="F6" i="4"/>
  <c r="H6" i="4"/>
  <c r="I6" i="4"/>
  <c r="E7" i="4"/>
  <c r="F7" i="4"/>
  <c r="H7" i="4"/>
  <c r="I7" i="4"/>
  <c r="E8" i="4"/>
  <c r="F8" i="4"/>
  <c r="H8" i="4"/>
  <c r="I8" i="4"/>
  <c r="E9" i="4"/>
  <c r="F9" i="4" s="1"/>
  <c r="H9" i="4"/>
  <c r="I9" i="4" s="1"/>
  <c r="E10" i="4"/>
  <c r="F10" i="4"/>
  <c r="H10" i="4"/>
  <c r="I10" i="4" s="1"/>
  <c r="E11" i="4"/>
  <c r="F11" i="4" s="1"/>
  <c r="H11" i="4"/>
  <c r="I11" i="4" s="1"/>
  <c r="E25" i="34" l="1"/>
  <c r="F25" i="34" s="1"/>
  <c r="E32" i="34"/>
  <c r="F32" i="34" s="1"/>
  <c r="E28" i="34"/>
  <c r="F28" i="34" s="1"/>
  <c r="I62" i="30"/>
  <c r="H46" i="34"/>
  <c r="I46" i="34" s="1"/>
  <c r="E61" i="34"/>
  <c r="F61" i="34" s="1"/>
  <c r="H50" i="34"/>
  <c r="I50" i="34" s="1"/>
  <c r="I75" i="30"/>
  <c r="I40" i="34"/>
  <c r="E22" i="34"/>
  <c r="F22" i="34" s="1"/>
  <c r="E35" i="34"/>
  <c r="F35" i="34" s="1"/>
  <c r="E50" i="34"/>
  <c r="F50" i="34" s="1"/>
  <c r="H65" i="34"/>
  <c r="E79" i="34"/>
  <c r="F79" i="34" s="1"/>
  <c r="H83" i="34"/>
  <c r="I34" i="34"/>
  <c r="E77" i="34"/>
  <c r="F77" i="34" s="1"/>
  <c r="E49" i="34"/>
  <c r="F49" i="34" s="1"/>
  <c r="E69" i="34"/>
  <c r="F69" i="34" s="1"/>
  <c r="E39" i="34"/>
  <c r="F39" i="34" s="1"/>
  <c r="I43" i="30"/>
  <c r="H71" i="34"/>
  <c r="I71" i="34" s="1"/>
  <c r="E85" i="34"/>
  <c r="F85" i="34" s="1"/>
  <c r="I65" i="34"/>
  <c r="I60" i="30"/>
  <c r="I53" i="34"/>
  <c r="G2" i="30"/>
  <c r="E60" i="34"/>
  <c r="F60" i="34" s="1"/>
  <c r="E43" i="34"/>
  <c r="F43" i="34" s="1"/>
  <c r="E15" i="34"/>
  <c r="F15" i="34" s="1"/>
  <c r="I61" i="34"/>
  <c r="H15" i="34"/>
  <c r="I15" i="34" s="1"/>
  <c r="H36" i="34"/>
  <c r="H22" i="34"/>
  <c r="I44" i="30"/>
  <c r="E33" i="34"/>
  <c r="F33" i="34" s="1"/>
  <c r="I70" i="30"/>
  <c r="I34" i="30"/>
  <c r="H39" i="34"/>
  <c r="H26" i="34"/>
  <c r="I26" i="34" s="1"/>
  <c r="E23" i="34"/>
  <c r="F23" i="34" s="1"/>
  <c r="E65" i="34"/>
  <c r="F65" i="34" s="1"/>
  <c r="E12" i="34"/>
  <c r="F12" i="34" s="1"/>
  <c r="E66" i="34"/>
  <c r="F66" i="34" s="1"/>
  <c r="I18" i="30"/>
  <c r="H18" i="34"/>
  <c r="I18" i="34" s="1"/>
  <c r="I19" i="30"/>
  <c r="H19" i="34"/>
  <c r="I19" i="34" s="1"/>
  <c r="E11" i="34"/>
  <c r="F11" i="34" s="1"/>
  <c r="I47" i="34"/>
  <c r="E59" i="34"/>
  <c r="F59" i="34" s="1"/>
  <c r="I59" i="34"/>
  <c r="E58" i="34"/>
  <c r="F58" i="34" s="1"/>
  <c r="I69" i="34"/>
  <c r="I75" i="34"/>
  <c r="I47" i="30"/>
  <c r="E51" i="34"/>
  <c r="F51" i="34" s="1"/>
  <c r="I52" i="34"/>
  <c r="H64" i="34"/>
  <c r="I64" i="34" s="1"/>
  <c r="H54" i="34"/>
  <c r="I54" i="34" s="1"/>
  <c r="H55" i="34"/>
  <c r="I55" i="34" s="1"/>
  <c r="E63" i="34"/>
  <c r="F63" i="34" s="1"/>
  <c r="I79" i="34"/>
  <c r="I16" i="34"/>
  <c r="H13" i="34"/>
  <c r="I13" i="34" s="1"/>
  <c r="E80" i="34"/>
  <c r="F80" i="34" s="1"/>
  <c r="H80" i="34"/>
  <c r="I80" i="34" s="1"/>
  <c r="E45" i="34"/>
  <c r="F45" i="34" s="1"/>
  <c r="E44" i="34"/>
  <c r="F44" i="34" s="1"/>
  <c r="I41" i="34"/>
  <c r="I35" i="34"/>
  <c r="I31" i="34"/>
  <c r="E70" i="34"/>
  <c r="F70" i="34" s="1"/>
  <c r="E14" i="34"/>
  <c r="F14" i="34" s="1"/>
  <c r="I70" i="34"/>
  <c r="I37" i="34"/>
  <c r="H33" i="34"/>
  <c r="I33" i="34" s="1"/>
  <c r="I43" i="34"/>
  <c r="E26" i="34"/>
  <c r="F26" i="34" s="1"/>
  <c r="H25" i="34"/>
  <c r="I25" i="34" s="1"/>
  <c r="I14" i="34"/>
  <c r="E36" i="34"/>
  <c r="F36" i="34" s="1"/>
  <c r="I83" i="34"/>
  <c r="E13" i="34"/>
  <c r="F13" i="34" s="1"/>
  <c r="I24" i="34"/>
  <c r="E18" i="34"/>
  <c r="F18" i="34" s="1"/>
  <c r="I30" i="34"/>
  <c r="E62" i="34"/>
  <c r="F62" i="34" s="1"/>
  <c r="E67" i="34"/>
  <c r="F67" i="34" s="1"/>
  <c r="I73" i="34"/>
  <c r="E31" i="34"/>
  <c r="F31" i="34" s="1"/>
  <c r="E73" i="34"/>
  <c r="F73" i="34" s="1"/>
  <c r="I72" i="34"/>
  <c r="E38" i="34"/>
  <c r="F38" i="34" s="1"/>
  <c r="E81" i="34"/>
  <c r="F81" i="34" s="1"/>
  <c r="H66" i="34"/>
  <c r="I66" i="34" s="1"/>
  <c r="I16" i="30"/>
  <c r="E40" i="34"/>
  <c r="F40" i="34" s="1"/>
  <c r="H81" i="34"/>
  <c r="I81" i="34" s="1"/>
  <c r="I48" i="34"/>
  <c r="H63" i="34"/>
  <c r="I63" i="34" s="1"/>
  <c r="I78" i="34"/>
  <c r="I42" i="34"/>
  <c r="I21" i="34"/>
  <c r="I22" i="34"/>
  <c r="I45" i="34"/>
  <c r="H84" i="34"/>
  <c r="I84" i="34" s="1"/>
  <c r="I20" i="34"/>
  <c r="H74" i="34"/>
  <c r="I74" i="34" s="1"/>
  <c r="H32" i="34"/>
  <c r="I32" i="34" s="1"/>
  <c r="E46" i="34"/>
  <c r="F46" i="34" s="1"/>
  <c r="E37" i="34"/>
  <c r="F37" i="34" s="1"/>
  <c r="H29" i="34"/>
  <c r="I29" i="34" s="1"/>
  <c r="E30" i="34"/>
  <c r="F30" i="34" s="1"/>
  <c r="I27" i="34"/>
  <c r="H77" i="34"/>
  <c r="I77" i="34" s="1"/>
  <c r="E72" i="34"/>
  <c r="F72" i="34" s="1"/>
  <c r="I24" i="30"/>
  <c r="E83" i="34"/>
  <c r="F83" i="34" s="1"/>
  <c r="E54" i="34"/>
  <c r="F54" i="34" s="1"/>
  <c r="I67" i="34"/>
  <c r="E42" i="34"/>
  <c r="F42" i="34" s="1"/>
  <c r="I60" i="34"/>
  <c r="E24" i="34"/>
  <c r="F24" i="34" s="1"/>
  <c r="I38" i="34"/>
  <c r="E52" i="34"/>
  <c r="F52" i="34" s="1"/>
  <c r="H49" i="34"/>
  <c r="I49" i="34" s="1"/>
  <c r="E75" i="34"/>
  <c r="F75" i="34" s="1"/>
  <c r="H17" i="34"/>
  <c r="I17" i="34" s="1"/>
  <c r="I39" i="34"/>
  <c r="E78" i="34"/>
  <c r="F78" i="34" s="1"/>
  <c r="E56" i="34"/>
  <c r="F56" i="34" s="1"/>
  <c r="I28" i="34"/>
  <c r="E64" i="34"/>
  <c r="F64" i="34" s="1"/>
  <c r="H23" i="34"/>
  <c r="I23" i="34" s="1"/>
  <c r="I36" i="34"/>
  <c r="G6" i="34"/>
  <c r="I82" i="34"/>
  <c r="H58" i="34"/>
  <c r="I58" i="34" s="1"/>
  <c r="I58" i="29"/>
  <c r="H76" i="34"/>
  <c r="I76" i="34" s="1"/>
  <c r="I76" i="29"/>
  <c r="H51" i="34"/>
  <c r="I51" i="34" s="1"/>
  <c r="I51" i="29"/>
  <c r="H56" i="34"/>
  <c r="I56" i="34" s="1"/>
  <c r="I56" i="29"/>
  <c r="H57" i="34"/>
  <c r="I57" i="34" s="1"/>
  <c r="I57" i="29"/>
  <c r="H85" i="34"/>
  <c r="I85" i="34" s="1"/>
  <c r="I85" i="29"/>
  <c r="I21" i="1"/>
  <c r="I19" i="1"/>
  <c r="I24" i="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7" i="1"/>
  <c r="G5" i="1"/>
  <c r="G5" i="34" s="1"/>
  <c r="G4" i="1"/>
  <c r="G4" i="34" s="1"/>
  <c r="B4" i="34" a="1"/>
  <c r="B4" i="34" s="1"/>
  <c r="A4" i="34" a="1"/>
  <c r="A4" i="34" s="1"/>
  <c r="A1" i="34" a="1"/>
  <c r="A1" i="34" s="1"/>
  <c r="D7" i="30"/>
  <c r="C7" i="30"/>
  <c r="D6" i="30"/>
  <c r="C6" i="30"/>
  <c r="D5" i="30"/>
  <c r="C5" i="30"/>
  <c r="D4" i="30"/>
  <c r="C4" i="30"/>
  <c r="D7" i="29"/>
  <c r="C7" i="29"/>
  <c r="D6" i="29"/>
  <c r="C6" i="29"/>
  <c r="D5" i="29"/>
  <c r="C5" i="29"/>
  <c r="D4" i="29"/>
  <c r="C4" i="29"/>
  <c r="B4" i="30" a="1"/>
  <c r="B4" i="30" s="1"/>
  <c r="A1" i="30" a="1"/>
  <c r="A1" i="30" s="1"/>
  <c r="B4" i="29" a="1"/>
  <c r="B4" i="29" s="1"/>
  <c r="A4" i="29" a="1"/>
  <c r="A4" i="29" s="1"/>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A1" i="32" a="1"/>
  <c r="A1" i="32" s="1"/>
  <c r="H12" i="31"/>
  <c r="H11" i="31"/>
  <c r="H10" i="31"/>
  <c r="H9" i="31"/>
  <c r="H8" i="31"/>
  <c r="H7" i="31"/>
  <c r="I7" i="31" s="1"/>
  <c r="H6" i="31"/>
  <c r="I6" i="31" s="1"/>
  <c r="H5" i="31"/>
  <c r="I5" i="31" s="1"/>
  <c r="E5" i="31"/>
  <c r="F5" i="31" s="1"/>
  <c r="H4" i="31"/>
  <c r="I4" i="31" s="1"/>
  <c r="E4" i="31"/>
  <c r="F4" i="31" s="1"/>
  <c r="A1" i="31" a="1"/>
  <c r="A1" i="31" s="1"/>
  <c r="I12" i="28"/>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5" i="27"/>
  <c r="I5" i="27" s="1"/>
  <c r="F5" i="27"/>
  <c r="H4" i="27"/>
  <c r="I4" i="27" s="1"/>
  <c r="E4" i="27"/>
  <c r="F4" i="27" s="1"/>
  <c r="G2" i="27"/>
  <c r="D2" i="27"/>
  <c r="C2" i="27"/>
  <c r="A1" i="27" a="1"/>
  <c r="A1" i="27" s="1"/>
  <c r="H12" i="26"/>
  <c r="H12" i="29" s="1"/>
  <c r="H11" i="26"/>
  <c r="H10" i="26"/>
  <c r="H9" i="26"/>
  <c r="H8" i="26"/>
  <c r="H6" i="26"/>
  <c r="H5" i="26"/>
  <c r="I5" i="26" s="1"/>
  <c r="E5" i="26"/>
  <c r="F5" i="26" s="1"/>
  <c r="H4" i="26"/>
  <c r="I4" i="26" s="1"/>
  <c r="E4" i="26"/>
  <c r="F4" i="26" s="1"/>
  <c r="G2" i="26"/>
  <c r="D2" i="26"/>
  <c r="C2" i="26"/>
  <c r="A1" i="26" a="1"/>
  <c r="A1" i="26" s="1"/>
  <c r="H12" i="19"/>
  <c r="I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6" i="72"/>
  <c r="I6" i="72" s="1"/>
  <c r="H7" i="72"/>
  <c r="I7" i="72" s="1"/>
  <c r="H5" i="72"/>
  <c r="I5" i="72" s="1"/>
  <c r="H4" i="72"/>
  <c r="I4" i="72" s="1"/>
  <c r="G2" i="72"/>
  <c r="D2" i="72"/>
  <c r="C2" i="72"/>
  <c r="J2" i="72" s="1"/>
  <c r="A1" i="72" a="1"/>
  <c r="A1" i="72" s="1"/>
  <c r="G2" i="34" l="1"/>
  <c r="C2" i="30"/>
  <c r="D2" i="30"/>
  <c r="C6" i="34"/>
  <c r="D6" i="34"/>
  <c r="C7" i="34"/>
  <c r="D7" i="34"/>
  <c r="I8" i="31"/>
  <c r="H8" i="30"/>
  <c r="I8" i="30" s="1"/>
  <c r="I9" i="31"/>
  <c r="H9" i="30"/>
  <c r="I9" i="30" s="1"/>
  <c r="I10" i="31"/>
  <c r="H10" i="30"/>
  <c r="I10" i="30" s="1"/>
  <c r="I11" i="31"/>
  <c r="H11" i="30"/>
  <c r="I11" i="30" s="1"/>
  <c r="I12" i="31"/>
  <c r="H12" i="30"/>
  <c r="I12" i="30" s="1"/>
  <c r="H9" i="29"/>
  <c r="I12" i="29"/>
  <c r="I8" i="26"/>
  <c r="H8" i="29"/>
  <c r="I11" i="26"/>
  <c r="H11" i="29"/>
  <c r="I10" i="26"/>
  <c r="H10" i="29"/>
  <c r="I8" i="21"/>
  <c r="H8" i="18"/>
  <c r="I9" i="21"/>
  <c r="H9" i="18"/>
  <c r="I12" i="21"/>
  <c r="H12" i="18"/>
  <c r="I11" i="21"/>
  <c r="H11" i="18"/>
  <c r="I10" i="21"/>
  <c r="H10" i="18"/>
  <c r="C5" i="34"/>
  <c r="D5" i="34"/>
  <c r="H6" i="29"/>
  <c r="E7" i="18"/>
  <c r="F7" i="18" s="1"/>
  <c r="D4" i="34"/>
  <c r="H6" i="30"/>
  <c r="H7" i="29"/>
  <c r="E4" i="18"/>
  <c r="F4" i="18" s="1"/>
  <c r="E4" i="30"/>
  <c r="F4" i="30" s="1"/>
  <c r="E5" i="18"/>
  <c r="F5" i="18" s="1"/>
  <c r="E5" i="29"/>
  <c r="F5" i="29" s="1"/>
  <c r="E5" i="30"/>
  <c r="F5" i="30" s="1"/>
  <c r="E6" i="18"/>
  <c r="F6" i="18" s="1"/>
  <c r="E6" i="29"/>
  <c r="F6" i="29" s="1"/>
  <c r="E6" i="30"/>
  <c r="F6" i="30"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E5" i="1"/>
  <c r="F5" i="1" s="1"/>
  <c r="E6" i="1"/>
  <c r="F6" i="1" s="1"/>
  <c r="H4" i="30"/>
  <c r="I4" i="30" s="1"/>
  <c r="E7" i="30"/>
  <c r="F7" i="30" s="1"/>
  <c r="H7" i="30"/>
  <c r="H5" i="30"/>
  <c r="E7" i="29"/>
  <c r="F7" i="29" s="1"/>
  <c r="I6" i="26"/>
  <c r="I9" i="26"/>
  <c r="I12" i="26"/>
  <c r="H4" i="29"/>
  <c r="I4" i="29" s="1"/>
  <c r="H5" i="29"/>
  <c r="I5" i="29" s="1"/>
  <c r="H6" i="18"/>
  <c r="I6" i="18" s="1"/>
  <c r="H4" i="18"/>
  <c r="I4" i="18" s="1"/>
  <c r="H7" i="18"/>
  <c r="I7" i="18" s="1"/>
  <c r="C4" i="34"/>
  <c r="H5" i="18"/>
  <c r="I5" i="18" s="1"/>
  <c r="E4" i="29"/>
  <c r="F4" i="29" s="1"/>
  <c r="H7" i="1"/>
  <c r="I7" i="1" s="1"/>
  <c r="H4" i="1"/>
  <c r="H5" i="1"/>
  <c r="I5" i="1" s="1"/>
  <c r="H6" i="1"/>
  <c r="I6" i="1" s="1"/>
  <c r="E2" i="3"/>
  <c r="F2" i="3" s="1"/>
  <c r="E4" i="1"/>
  <c r="F4" i="1" s="1"/>
  <c r="E2" i="33"/>
  <c r="F2" i="33" s="1"/>
  <c r="E2" i="32"/>
  <c r="F2" i="32" s="1"/>
  <c r="E2" i="31"/>
  <c r="F2" i="31" s="1"/>
  <c r="E2" i="27"/>
  <c r="F2" i="27" s="1"/>
  <c r="E2" i="26"/>
  <c r="F2" i="26" s="1"/>
  <c r="E2" i="19"/>
  <c r="F2" i="19" s="1"/>
  <c r="E2" i="21"/>
  <c r="F2" i="21" s="1"/>
  <c r="E2" i="4"/>
  <c r="F2" i="4" s="1"/>
  <c r="H2" i="72"/>
  <c r="C2" i="34" l="1"/>
  <c r="D2" i="34"/>
  <c r="E7" i="34"/>
  <c r="F7" i="34" s="1"/>
  <c r="H12" i="34"/>
  <c r="I12" i="34" s="1"/>
  <c r="E6" i="34"/>
  <c r="F6" i="34" s="1"/>
  <c r="I7" i="29"/>
  <c r="H7" i="34"/>
  <c r="I7" i="34" s="1"/>
  <c r="I6" i="29"/>
  <c r="H6" i="34"/>
  <c r="I6" i="34" s="1"/>
  <c r="I8" i="29"/>
  <c r="H8" i="34"/>
  <c r="I8" i="34" s="1"/>
  <c r="I9" i="29"/>
  <c r="H9" i="34"/>
  <c r="I9" i="34" s="1"/>
  <c r="I11" i="29"/>
  <c r="H11" i="34"/>
  <c r="I11" i="34" s="1"/>
  <c r="I10" i="29"/>
  <c r="H10" i="34"/>
  <c r="I10" i="34" s="1"/>
  <c r="I8" i="18"/>
  <c r="I9" i="18"/>
  <c r="I12" i="18"/>
  <c r="I11" i="18"/>
  <c r="I10" i="18"/>
  <c r="E5" i="34"/>
  <c r="F5" i="34" s="1"/>
  <c r="I5" i="30"/>
  <c r="H5" i="34"/>
  <c r="I5" i="34" s="1"/>
  <c r="I7" i="30"/>
  <c r="I6" i="30"/>
  <c r="E2" i="29"/>
  <c r="F2" i="29" s="1"/>
  <c r="E4" i="34"/>
  <c r="F4" i="34" s="1"/>
  <c r="H2" i="1"/>
  <c r="I2" i="1" s="1"/>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<sst xmlns="http://schemas.openxmlformats.org/spreadsheetml/2006/main" count="2408" uniqueCount="1157">
  <si>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</si>
  <si>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</si>
  <si>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</si>
  <si>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</si>
  <si>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</si>
  <si>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</si>
  <si>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</si>
  <si>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</si>
  <si>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</si>
  <si>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</si>
  <si>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</si>
  <si>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</si>
  <si>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</si>
  <si>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</si>
  <si>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</si>
  <si>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</si>
  <si>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</si>
  <si>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</si>
  <si>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</si>
  <si>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</si>
  <si>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</si>
  <si>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</si>
  <si>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1. Inverter 2 is offline from 01/01 due to several isolation errors.</t>
  </si>
  <si>
    <t>1.	SR095368</t>
  </si>
  <si>
    <t xml:space="preserve">1. Inverters D, I, and O were offline due to arc faults, while inverters L and Q had been offline since 12/08/23, and Inverter P had been offline since 06/14/24. On 01/17, a technician visited the site, troubleshot all inverters, and brought them back online except for inverter K, which remained out of service due to a non-functional LED screen. Inverter K has been RMA’d.
</t>
  </si>
  <si>
    <t>1.SR095501</t>
  </si>
  <si>
    <t>1. Site started derated at 12:30pm and later was offline at 15:00 on 01/29 through out the month.</t>
  </si>
  <si>
    <t>1.SR096179</t>
  </si>
  <si>
    <t>February Actual v. Expected</t>
  </si>
  <si>
    <t>February Actual v. Forecasted</t>
  </si>
  <si>
    <t>1. Inverter 2 is offline from 01/01 due to several isolation errors.
2. Inverter 1 tripped offline since 02/25 due to insulation faults.</t>
  </si>
  <si>
    <t>1.SR095368
2.SR097850</t>
  </si>
  <si>
    <t>SR097850</t>
  </si>
  <si>
    <t>1.Inverters L, N, P, and Q were offline, and Inverter I was reporting an ARC fault. On 02/20 upon the technician's arrival, it was found that Inverters L, P, and Q were offline, Inverter I was offline and reporting an ARC fault, while Inverter N was also reporting an ARC fault. The fault was cleared, and the inverters L, Q, I and N was power-cycled and they are  back online. But Inverters N and P are out of warranty required additional troubleshoot.
2.Inverter K has been RMA’d, On 02/04, the technician brought Inverter K back online by updating its software.</t>
  </si>
  <si>
    <t>1.SR096409, 	SR097783
2.SR095501</t>
  </si>
  <si>
    <t>SR097783</t>
  </si>
  <si>
    <t>SR095501</t>
  </si>
  <si>
    <t>1.The site has been offline since 01/29. On 02/03, upon the technician's arrival, it was found that DC strings CB1, string 10, and CB6, string 7, each had no open-circuit string voltage, even without the fuse. After isolating these strings, the inverter was re-energized, and the site was brought back online at 02:45 PM on 02/03.</t>
  </si>
  <si>
    <t>1.SR096179, 	SR096262</t>
  </si>
  <si>
    <t>SR096262</t>
  </si>
  <si>
    <t>March Actual v. Expected</t>
  </si>
  <si>
    <t>March Actual v. Forecasted</t>
  </si>
  <si>
    <t>Notes</t>
  </si>
  <si>
    <t>N/A</t>
  </si>
  <si>
    <t>1. Inverter 2 is offline from 01/01 due to several isolation errors.
2. Inverter 1 tripped offline on 02/25 due to insulation faults and came back online at 02:35 on 03/01. It has also gone offline multiple times throughout the month.</t>
  </si>
  <si>
    <t>1.Inverter L tripped offline due to Arc fault detected from 09:50AM on 03/02 through out the month.
2.Inverter I tripped offline due to an arc fault from 17:10 on 03/09 through out the month.
3.Site was offline between 9AM to 10:30Am on 03/07 due to grid fault. Again site was offline from 15:30 to 15:40 on 03/19 due to Grid undervoltage.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</si>
  <si>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3.SR098262 &amp; SR098783
4.SR097783 &amp; SR098428</t>
  </si>
  <si>
    <t>SR097975</t>
  </si>
  <si>
    <t>SR098262</t>
  </si>
  <si>
    <t>SR098783</t>
  </si>
  <si>
    <t>SR098428</t>
  </si>
  <si>
    <t>1. The inverter was tripping on and off. Upon the technician's arrival, it was found that DC strings—CB1 String 10 and CB6 String 7—had no open-circuit voltage and a broken module, even with the fuses removed. After isolating these strings, the inverter was re-energized, and the affected modules are currently pending replacement.</t>
  </si>
  <si>
    <t>1. SR096262,	  SR099066</t>
  </si>
  <si>
    <t>SR099066</t>
  </si>
  <si>
    <t>1. Inverter 13 is underperforming by approximately 10 kW compared to its peers.</t>
  </si>
  <si>
    <t>1. SR098870</t>
  </si>
  <si>
    <t>1.Site has not started for the production on 03/13, technician found that the SEL realy was opened and later closed the relay the site was back online at 16:20 on 03/13.
2. Site was offline on 03/15 due to heavy stroms later technician was able to close the relay on 03/17 at 14:15.</t>
  </si>
  <si>
    <t>1.SR098497
2.SR098613</t>
  </si>
  <si>
    <t>SR098613</t>
  </si>
  <si>
    <t>1.Inverter 6 is down a string from 07/30/24.
2.Site has not started for the production on 03/13, technician found that the SEL realy was opened and later closed the relay the site was back online at 14:45 on 03/13.
3.Site was offline on 03/15 due to heavy stroms later technician was able to close the relay on 03/17 at 13:15.</t>
  </si>
  <si>
    <t>1.SR098046
2.SR098496
3.SR098614</t>
  </si>
  <si>
    <t>SR098496</t>
  </si>
  <si>
    <t>SR098614</t>
  </si>
  <si>
    <t>1. Inverter 3 has been down a string since 09/09/21. Additionally, Inverter 3 tripped offline at 15:00 CDT on 03/31 and is reporting a permanent fault on the power module. After a technician checked in, it was confirmed that the inverter powerhead has been RMA’d.</t>
  </si>
  <si>
    <t>1. SR098047, SR099230</t>
  </si>
  <si>
    <t>SR099230</t>
  </si>
  <si>
    <t>1. Site was offline at 09:45am on 03/30 till end of the month due to recloser open</t>
  </si>
  <si>
    <t>1.SR099167</t>
  </si>
  <si>
    <t>1. Inverters B4, C2, C5 are each down 1 string.
2.Site is offline with multiple grid under frequency alerts at 09:30 on 03/30 later has reenegized the site at 12:00 on 03/31.</t>
  </si>
  <si>
    <t>1.SR098048
2.SR099150</t>
  </si>
  <si>
    <t>SR099150</t>
  </si>
  <si>
    <t>1. The college inverter 18 is offline due to an Isolation Error.</t>
  </si>
  <si>
    <t>1. SR098818</t>
  </si>
  <si>
    <t>1. Meter A Inverters 1 through 4 went offline on 03/20 due to a power unit issue. Additionally, Meter A Inverter 12 went offline on 03/31 and is reporting an electric arc detection.</t>
  </si>
  <si>
    <t>1. SR098819</t>
  </si>
  <si>
    <t>1.Inverters 12 and 15 were offline at 07:00 AM on 03/04, and inverter 15 later self-resolved at 05:50 PM on 03/27.
Inverter 9 has been offline since 11/25/24.
Inverter 18 has been offline since 04/27/24.
2.Inverter 5 is offline multiple days in a month.</t>
  </si>
  <si>
    <t>1. SR098076
2. SR098231</t>
  </si>
  <si>
    <t>SR098231</t>
  </si>
  <si>
    <t>1. Inverter 1 has been offline since the site began operations.
2. Inverter 7 is offline from 12/09/24.</t>
  </si>
  <si>
    <t>1. SR098015
2. SR098016</t>
  </si>
  <si>
    <t>SR098016</t>
  </si>
  <si>
    <t>April Actual v. Expected</t>
  </si>
  <si>
    <t>April Actual v. Forecasted</t>
  </si>
  <si>
    <t>1.Inverter 1 was offline on multiple days of the month due to Insulation Fault.
2.Inverter 2 is offline from 01/01 due to Isolation fault.
3.Inverter 12 was significantly affected by shading, resulting in a 6 kW reduction in output. This issue is more likely to occur on high irradiance days throughout the month.</t>
  </si>
  <si>
    <t>1.SR097850
2.SR095368
3.SR099290</t>
  </si>
  <si>
    <t>SR095368</t>
  </si>
  <si>
    <t>SR099290</t>
  </si>
  <si>
    <t>1.Inverter L tripped offline due to Arc fault detected from 09:50AM on 03/02 and back online at 11:20AM on 04/03 after technician reset code.
2.Inverter I tripped offline at 17:10 on 03/09 due to an arc fault and back online at 11:30AM on 04/03 after technician reset code. again tripped offline from 9:00 to 16:00 on 04/08 due to arc fault. 
3. Alll inverters tripped offline from 9:00 to 16:00 on 04/08 due to grid fault.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</si>
  <si>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&amp; SR099501
3.SR099508
4.SR097783</t>
  </si>
  <si>
    <t>SR099501</t>
  </si>
  <si>
    <t>SR099508</t>
  </si>
  <si>
    <t>1.On 03/14, Technicians identified failed modules on CB1 String 10 and CB6 String 7 causing inverter shutdown. They isolated the faulty strings, restored DC voltage, and brought the inverter back online. Site is now producing normally; module procurement and replacement are pending.</t>
  </si>
  <si>
    <t>1.SR096262 &amp; SR099066</t>
  </si>
  <si>
    <t>1. Inverter 13 is underperforming by approximately 10 kW compared to its peers.
2.The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</si>
  <si>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1.SR098870
2.SR099461</t>
  </si>
  <si>
    <t>SR099461</t>
  </si>
  <si>
    <t xml:space="preserve">1.Site remained offline from 10:15 CDT on 04/26 to 08:30 CDT on 04/29.Site came back online after technician has  reset the main breaker </t>
  </si>
  <si>
    <t>1.SR100445</t>
  </si>
  <si>
    <t xml:space="preserve">1.The site remained offline from 07:15 on 04/22 to 12:30 on 04/23. On 04/23, a technician reset the SEL relay and tripped breaker, that the issue could be due to poor utility power quality—harmonics or capacitor banks may need adjustment
2. Meter communications have been intermittent, with frequent losses in connectivity lasting between 45 minutes to 2 hours before self-resolving. This issue has persisted throughout the month and is affecting the accuracy of forecasted values
3.Site remained offline from 06:30 to 16:30 on 04/29.Site was back online after technician has closed in the Main Breaker </t>
  </si>
  <si>
    <t>1.SR100131
2.SR100417
3.SR100617</t>
  </si>
  <si>
    <t>SR100417</t>
  </si>
  <si>
    <t>SR100617</t>
  </si>
  <si>
    <t>1.Site remained offline from 12:47 on 04/05 to 12:45 on 04/07.Site came back online after the technician has reset the SEL relay and  main breaker.
2.Site remained offline from 06:30 to 17:30 on 04/29.Site was back online after technician has closed in the Main Breaker 
3. Inverter 6 is down 2 strings from 07/30/24.</t>
  </si>
  <si>
    <t>1.SR099457
2.SR100618
3.SR098046,PM13355</t>
  </si>
  <si>
    <t>SR100618</t>
  </si>
  <si>
    <t>SR098046</t>
  </si>
  <si>
    <t xml:space="preserve">1.Inverter 3 is down a string since 09/09/21.Issue got resolved on 04/23 after the inverter replacement.
2.Inverter 3 tripped offline at 15:00CDT on 03/31 and powerhead being  RMAD from 04/03. On 04/23,Inverter 3 is producing as expected after inverter replcament done by technician.
</t>
  </si>
  <si>
    <t>1.SR098047,PM13645
2.SR099230</t>
  </si>
  <si>
    <t>1.The site was offline from 04/01 to 15:00 on 04/03. Heavy snow in that area may have caused  the outage. The site came back online after the technician reset the breaker on 04/03.
2.Site was offline from 19:15 on 04/14 to 11:45 on 04/15 due to utility outage.Site was back online after technician has reset the main breaker.
3.Site was offline from 22:45 on 04/28 to 11:45 on 04/29.After tecnician reset main breaker.
4.Weather Station (Wind, Amb, Mod1, POA) (POA) is intermittently reading irradiance greater than 0W/m2 during night hours. Intermittently reading 0 W/m2 during the day on 3/28/25.Issue persisted throughout the month</t>
  </si>
  <si>
    <t>1.SR099167
2.SR099789
3.SR100621
4.SR099110</t>
  </si>
  <si>
    <t>SR099789</t>
  </si>
  <si>
    <t>SR100621</t>
  </si>
  <si>
    <t>SR099110</t>
  </si>
  <si>
    <t>1. Inverters B4, C2, C5 are each down 1 string and investigating on PM event.</t>
  </si>
  <si>
    <t>1. SR098048</t>
  </si>
  <si>
    <t>1. College Inverter 18 tripped offline at 18:00 on 04/02 due to an isolation error. Additionally, Inverter 45 tripped offline at 06:00 on 04/04 due to an isolation fault. Both inverters were back online at 07:00 on 04/08. 
2. Inverter 18 tripped offline at 06:00 on 04/12 due to an "isolation error" and later self-resolved, and back online at 12:00 on 04/13. It tripped offline again from 06:00 to 12:00 on 04/13 due to "isolation fault" and later self-resolved.</t>
  </si>
  <si>
    <t>1. SR098818
2. SR099746</t>
  </si>
  <si>
    <t>SR099746</t>
  </si>
  <si>
    <t>1. Meter A Inverters 1 through 4 went offline on 03/20 due to a power unit issue in Inverter 2. Inverters 1, 3, and 4 also reported electric arc detection. Additionally, Meter A Inverter 12 went offline on 03/31 and reported an electric arc detection. After a technician arrived and reset the inverters, A1, A3, A4, and A12 came back online at 13:00 on 04/04. Inverter A2 remains offline and requires further troubleshooting. However, Inverter A12 went offline again at 11:00 on 04/08 and has reporting electric arc detection and continued throughout the month.
2. Meter A is completely offline. Admin inverters 01 and 02 are also offline on 04/22.</t>
  </si>
  <si>
    <t>1. SR098819, SR099691, 
2. SR101068</t>
  </si>
  <si>
    <t>SR099691</t>
  </si>
  <si>
    <t>SR101068</t>
  </si>
  <si>
    <t>1.Inverter 15 went offline at 07:00 on 04/03 and came back online at 11:10 on 04/05. The inverter has been tripping multiple times throughout the month.
Inverter 8 was offline from  07:00 to 17:20 on 04/04 later self-resolved.The inverter has been tripping multiple times throughout the month.
Inverter 12 has been offline since 03/04/25.
Inverter 9 has been offline since 11/25/24.
Inverter 18 has been offline since 04/27/24.
2.Inverter 5 went offline from 07:00 to 17:20 on 04/01. It tripped offline again at 07:00  on 04/03 and  back online at 07:00  on 04/09. It tripped offline once at 07:00  on 04/10 and was back online at 19:10 on 04/17.
3.Inverter 3 went offline from 06:30 to 02:45 on 04/06. It tripped offline again at 07:00 on 04/12 and later self-resolved and back online at 11:15 on 04/13.
Inverters 3, 4, 5, 6, 7, 8, 9, 11, 12, 13, 15, 17, and 18 went offline at 07:00 on 04/13. Later, Inverters 3 and 13 back online on the same day. Additionally, multiple inverters are tripping on and off intermittently through out the month.</t>
  </si>
  <si>
    <t>1. SR098076
2. SR098231
3. SR099730</t>
  </si>
  <si>
    <t>SR099730</t>
  </si>
  <si>
    <t xml:space="preserve">1. Inverter 1 has been offline since the site began operations.
2. Inverter 7 is offline from 12/09/24.
3. Inverter 4 is derating by 4 kW on high irradiance days. It's possible due to inverter fan fault.
4. The meter stopped communicating since 12/09/24. </t>
  </si>
  <si>
    <t>1. SR098015
2. SR098016
3. SR099500
4. SR098016</t>
  </si>
  <si>
    <t>SR099500</t>
  </si>
  <si>
    <t>May Actual v. Expected</t>
  </si>
  <si>
    <t>May Actual v. Forecasted</t>
  </si>
  <si>
    <t>1. Inverter 2 back online at 16:10 on 05/12.
2. Inverter 1 has been producing as expected from 05/01.
3. Inverter 12 was significantly affected by shading, resulting in a 6 kW reduction in output. This issue is more likely to occur on high irradiance days throughout the month.
4. Inverter 5 tripped offline at 14:00 on 05/12/25 due to "GridV.OutLim" and back online at 16:10 the same day.</t>
  </si>
  <si>
    <t>1. SR095368
2. SR097850
3. SR099290
4. SR101343</t>
  </si>
  <si>
    <t>SR101343</t>
  </si>
  <si>
    <t>1. Inverter I has been offline from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offline and lost communication  on multiple days through out the month addtionaly Inverter N tripped offline at 12:10 on 05/19 due to "Actual AC power deviation" and lost communication nextday. Inverters N and P require manufacturer diagnostics, but their warranties have expired—repair and shipping costs not covered. Client is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</si>
  <si>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SR101243
2. SR101243
3. SR101243
4. SR101243
5. SR101245</t>
  </si>
  <si>
    <t>SR101243</t>
  </si>
  <si>
    <t>SR101245</t>
  </si>
  <si>
    <t>1. SR096262 &amp; SR099066</t>
  </si>
  <si>
    <t>1. Inverter 13 is underperforming by approximately 10 kW compared to its peers.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</si>
  <si>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 xml:space="preserve">1. Site was taken offline from 12:45 to 13:30 on 05/08 to work on Annual Preventative Maintenance Inspection.
2. Inverter 3.5 tripped offline at 14:15 on 05/11 due to "Grid Line Voltage Out of Range - GridV.OutLim." On 05/15, the technician found the breaker in the combiner panel for 3.5 had tripped. The inverter was inspected and tested for ground faults before resetting. Breaker was reset at 15:15 the same day.
3. Inverter 2.6 has been derating since 05/09 during periods of high irradiance, possibly due to a fan fault. On 05/15, the technician contacted CPS to check for any resettable settings. no immediate issue found, but they noted the complaint and and inverter has been producing as expected since 05/16.
</t>
  </si>
  <si>
    <t>1. PM13816
2. SR101286
3. SR101468</t>
  </si>
  <si>
    <t>SR101468</t>
  </si>
  <si>
    <t>1. Site was offline from 06:00 to 10:00 on 05/02 due to an "Loss of Main - GridV.OutLim".
2. Site was offline on 05/11 due to "Loss of Main - GridV.OutLim." On 05/12, technician found nuisance tripping; GFCI study recommended to evaluate possible adjustments on main breaker. Main breaker and SEL relay were reset, and site came back online at 09:45 the same day.
3. Site tripped offline at 14:30 on 05/15 and came back online at 09:45 on 05/16 after the technician re-energized the breaker.</t>
  </si>
  <si>
    <t>1. SR100903
2. SR101277
3. SR101563</t>
  </si>
  <si>
    <t>SR101277</t>
  </si>
  <si>
    <t>SR101563</t>
  </si>
  <si>
    <t>1. Site was offline from 05:45 on 05/02 and came back online at 13:15 the same day after the technician resetting the main breaker.
2. Site was offline on 05/11 due to "Loss of Main - GridV.OutLim." On 05/12, technician found nuisance tripping; GFCI study recommended to evaluate possible adjustments on main breaker. Main breaker and SEL relay were reset, and site came back online at 10:30 the same day.
3. Site tripped offline at 14:30 on 05/15 and came back online at 09:00 on 05/16 after the technician re-energized the breaker.
4. Inverter 6 tripped offline on 05/17 due to "Insulation Resistance Low - IsolationErr." On 05/21, the technician inspected a ground fault on Inverter 6 and noted Inverter 5 was also offline; after troubleshooting with Chint, RMA ticket #14530 was submitted for Inverter 5. A grounded negative wire was found in string 7 of Inverter 6. Due to lack of array diagrams and rain, the technician isolated string 7, and Inverter 6 was restarted and back online at 13:45 the same day.
5. Inverter 12 underperforming by about 10kW compared to peers on 05/22 and the issue self resolved on 05/23.
6. Inverter 9 derating at 40kW due to an "External Fan Err - ExtFanerr" from 05/30.</t>
  </si>
  <si>
    <t>1. SR100902
2. SR101276
3. SR101564
4. SR101628
5. SR101867
6. SR102209</t>
  </si>
  <si>
    <t>SR101276</t>
  </si>
  <si>
    <t>SR101564</t>
  </si>
  <si>
    <t>SR101628</t>
  </si>
  <si>
    <t>SR101867</t>
  </si>
  <si>
    <t>SR102209</t>
  </si>
  <si>
    <t xml:space="preserve">1. Inverters 6 and 7 derating during high irradiance from 5/4. The total kW down is approximately 16 kW. 
2. Weather station intermittently reports irradiance at night, no irradiance during the day, or excessively high values (2,400 W/m²). The issue has worsened throughout the month.
</t>
  </si>
  <si>
    <t>1. SR101470
2. SR099110</t>
  </si>
  <si>
    <t xml:space="preserve">1. Inverters C1 to C6 stopped communicating and tripped offline at 09:15 on 05/25. On 05/27, the technician re-energized Pad C at 12:00 after de-energizing Pad A at 10:45 and Pad B at 12:00 to perform tracker work. On 05/28, mechanical work continued in the hall; Pads A and B remained offline and required further troubleshooting. On 05/29, the technician inspected the trackers and re-energized Pads A and B at 14:45. An additional visit is needed to address stuck trackers.
</t>
  </si>
  <si>
    <t>1. SR101919, SR102140</t>
  </si>
  <si>
    <t>SR102140</t>
  </si>
  <si>
    <t xml:space="preserve">1. Site was offline from 10:45 to 18:15 on 05/16 due to a brife outage.
</t>
  </si>
  <si>
    <t>1. SR101596</t>
  </si>
  <si>
    <t>1. Inverter 4 (DAS Inverter 18) went offline on 05/04 due to "Insulation Resistance Low," came back online on 05/07, and went offline again on 05/09 and 05/14. On 05/15, the technician inspected the array, found a defective MC4 connector, replaced it, and brought the inverter back online at 11:00. 
2. Inverter 17 (DAS 45) tripped offline at 15:00 on 05/01. On 05/15, the technician diagnosed an isolation fault caused by string #1, isolated the string, and re-energized the inverter at 14:00 without string #1. Further troubleshooting is required for string #1.</t>
  </si>
  <si>
    <t>1. SR099746
2. SR099746, SR100930</t>
  </si>
  <si>
    <t>SR100930</t>
  </si>
  <si>
    <t>1. Inverter A2 has been offline since 03/24, and Inverter A12 has been intermittently tripping on and off on multiple days. Inverter A12 &amp; A8 came back online at 14:00 on 05/23 after the technician performed a reset inhibition on all inverters but expect Inverter A2 remain all inverters back online. A site visit is required to address Inverter A2 and to contact SMA to initiate the RMA process.
2. Inverter A11 tripped offline at 14:00 on 05/11 and came back online at 14:00 on 05/23 after the technician performed a reset inhibition.</t>
  </si>
  <si>
    <t>1. SR101068
2. SR101068</t>
  </si>
  <si>
    <t>1. Inverter 5 is offline on 05/06 and back online at 16:25 on 05/07, again offline on 05/14 and back online at 16:50 on 05/18, offlline again on 05/22 and back online at 16:19 on 05/26, and offline on 05/29 and remained offline throught the month.
2. Inverter 12 went offline on 05/12 and  back online at 18:00 on 05/11 the issue self resoved, and went offline again on 05/14. On 05/15, Inverters 7, 8, and 17 were offline, while Inverters 6, 11, 13, and 15 had delayed production starts. Inverter 8 was restored on 05/16, followed by Inverters 7 and 8 on 05/17, Inverter 17 on 05/18, and Inverter 12 on 05/20. However, Inverters 7 and 12 went offline again on 05/23, with Inverter 12 also tripping offline on 05/25. Both Inverters 7 and 12 were brought back online on 05/26, though Inverter 12 went offline again later that day. Additionally, Inverter 9 has remained offline since 11/25/2024, and Inverter 18 has been offline since 04/27/2024.</t>
  </si>
  <si>
    <t>1. SR098231
2. SR099730, 	SR098076</t>
  </si>
  <si>
    <t>SR098076</t>
  </si>
  <si>
    <t>1. Inverter 2 had been offline since 05/05 due to an "Operating state error (1392)" and came back online at 09:45 on 05/12 after the technician vacuumed the fan and power-cycled the inverter. The remaining work will be completed during the PM event.
2. Inverter 2 went offline again on 05/27 due to an "Operating State: Error (1392)." On 05/28, the technician updated the firmware and brought it back online at 17:30 the same day.</t>
  </si>
  <si>
    <t>1. SR101017, 	SR101372
2. SR102011</t>
  </si>
  <si>
    <t>SR101372</t>
  </si>
  <si>
    <t>SR102011</t>
  </si>
  <si>
    <t>1. Inverter 1 has not communicated since 04/26 and appears to be offline. A quote for inverter parts is pending from Bold.</t>
  </si>
  <si>
    <t>1. SR100843</t>
  </si>
  <si>
    <t>1. Combiner Box 2 has one string down, according to the drawing</t>
  </si>
  <si>
    <t>1. SR101040</t>
  </si>
  <si>
    <t>1. Meter is capturing 3 or 4 kW more than the inverter is producing on high irradiance days. Possible issue with meter calibration. Issue has been present for many years</t>
  </si>
  <si>
    <t>1. SR102137</t>
  </si>
  <si>
    <t>1.  Site tripped offline from 08:30 to 09:55 on 05/25 due to a brife outage.</t>
  </si>
  <si>
    <t>1. SR101917</t>
  </si>
  <si>
    <t>1. Site was not communicating due the DC transformer is no longer working but the site was online. A new DC transformer will need to be replaced.</t>
  </si>
  <si>
    <t>1.	SR100833</t>
  </si>
  <si>
    <t>1. Two of the combiner boxes appear to be offline, with peak production at ~35kW. Based on drawings provided, combiner 1, along with one of the other two combiner boxes are offline. On 05/22 technician found two Combiners had fuses open, closed the fuses and also he found that filters are filthy, and fans are not operating. Bold renewables informed technician to shut down Inverter or it may lead to a damage of heat sink. Inverter will remain offline.</t>
  </si>
  <si>
    <t>1. SR100883</t>
  </si>
  <si>
    <t>1. Meter is not capturing inverter production and reporting 0kW from 07:00 on 05/26 to End of the month.
2. Site produced at about half rated capacity from 04/24 to 12:00 on 05/20 it is most likely that combiner box #1 (47% of modules) is offline, or combiner boxes 2 and 3 are both offline.</t>
  </si>
  <si>
    <t>1. SR101936
2. SR100884</t>
  </si>
  <si>
    <t>SR100884</t>
  </si>
  <si>
    <t>1. Meter captured half of inverter production from 07:00 on 05/01 to 19:00 on 05/07 due to Power Factor reading intermittently goes to -0.33.</t>
  </si>
  <si>
    <t>1. SR100857</t>
  </si>
  <si>
    <t>1.  Inverter 2 underperforming by approximately 70 kW. When looking at previous years during the same time frame this trend is relevant. inverter 1 is underperforming by approximately 120 kW. When looking at previous years during the same time frame this trend is relevant maybe due to weather.</t>
  </si>
  <si>
    <t>1. SR101963</t>
  </si>
  <si>
    <t xml:space="preserve">1. Multiple modules that are burned and broken and need to be replaced. </t>
  </si>
  <si>
    <t>1. SR101818, SR101668</t>
  </si>
  <si>
    <t>SR101668</t>
  </si>
  <si>
    <t>1.Inverter 1's DC contactor needs to be replaced. It remained offline for the entire month, except on 05/08 when a technician was able to temporarily bring it back online through troubleshooting. However, it went offline again on 05/09.
2. The POA sensor has been reporting 0 W/m² for the entire month and needs to be replaced.</t>
  </si>
  <si>
    <t>1. SR100834
2. SR101034</t>
  </si>
  <si>
    <t>SR101034</t>
  </si>
  <si>
    <t>1. The weather station was not communicating for the entire month. The client stated that the weather station is not needed, as they use satellite data. The data logger was replaced with a power logger, which is now visible on Bilbo Booster.</t>
  </si>
  <si>
    <t>1. 	SR100915</t>
  </si>
  <si>
    <t xml:space="preserve">1. The inverter was underproducing by 100 kW and intermittently derating by 75 kW during peak hours. On 05/20, a technician took the inverter offline from 08:00 to 10:00 and contacted Solectria for further troubleshooting. They recommended replacing all three fans and the inverter display. </t>
  </si>
  <si>
    <t>1. SR101100</t>
  </si>
  <si>
    <t xml:space="preserve">1. Inverter B1 tripped offline on 05/02 at 16:00 and back online on 05/03 at 14:00. Inverter B1 started late at 12:00 on 05/04 and inverter B1 was offline from 07:00 on  05/06 to 07:00 on 05/08. Inverter C1 was offline for whole month.
2. Weather station reading erroneous value at 1237.22 W/m2. AlsoEnergy mentioned it is a hardware issue either with the wiring of the sensor to the logger or with the sensor itself. </t>
  </si>
  <si>
    <t>1. SR100906
2. SR101057</t>
  </si>
  <si>
    <t>SR101057</t>
  </si>
  <si>
    <t>June Actual v. Expected</t>
  </si>
  <si>
    <t>June Actual v. Forecasted</t>
  </si>
  <si>
    <t>1.  Inverter 12 was significantly affected by shading, resulting in a 6 kW reduction in output. This issue is more likely to occur on high irradiance days throughout the month.</t>
  </si>
  <si>
    <t>1. SR099290</t>
  </si>
  <si>
    <t>1. Inverter I has been offline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trippong on and off and lost communication on multiple days through out the month. and addtionaly Inverter N tripped offline at 12:10 on 05/19 due to "Actual AC power deviation" and lost communication nextday and back online at 12:35 on 06/12.considering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</si>
  <si>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</si>
  <si>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 SR098870
2. SR099461</t>
  </si>
  <si>
    <t>1. Inverter 2.5 is underperforming by 5kW compared to its peers on 06/02. On 06/03 technician was on site and noted it has been overcast so the underperformance may not have triggered, as it was occurring  during peak production hours.</t>
  </si>
  <si>
    <t>1. SR102343</t>
  </si>
  <si>
    <t>1.Site production was low on 06/03 , 06/09,   06/12 06/26 due to low irradiance</t>
  </si>
  <si>
    <t>1.  The site was offline and inverters tripped offline at 08:45 on 06/03, reporting "Grid phase voltage out of range - GridV.OutLim."  After re-energizing the site, it came back online at 08:45 on 06/04.
2. The site was offline. and all inverters tripped offline at 07:00 on 06/15, reporting "Grid phase voltage out of range - GridV.OutLim." After resetting the main breaker, the site came back online at 17:00 on 06/16.</t>
  </si>
  <si>
    <t>1. SR102384
2. SR102998</t>
  </si>
  <si>
    <t>SR102998</t>
  </si>
  <si>
    <t xml:space="preserve">1. Inverter 12 was offline on 06/07 and reporting  "Bst hardware overcurrent fault - Fault0080 Bst Hardware overcurrent - Protect0550" and is being RMA'd and remains offline.
2.  Inverter 9 derated at 40kW from 06/01 to 06/05 and reporting  reporting "External Fan Err - ExtFanerr". 
3. Inverter 6 tripped offline at 8:45 on 06/03 and back online at 10:00 on 06/04 and on 06/20 tech was onsite and inverter is offline from 11:15-13:30 </t>
  </si>
  <si>
    <t>1. SR102644
2. SR102209
3. SR102644</t>
  </si>
  <si>
    <t>SR102644</t>
  </si>
  <si>
    <t>1.  Inverter 4 has started late on 06/04 and inverters  1,2,3,4,6,7,8  has started late on 06/05
2. Site was offline at 8:45am on 06/12 and back online at 13:15 on 06/17 
3. Inverter 3 is derating at 75kW from 13:45 on 06/19 and reporting "External Fan Err - ExtFanerr" and the fan is being RMA'd.</t>
  </si>
  <si>
    <t>1. SR102557
2. SR102982
3.SR103184</t>
  </si>
  <si>
    <t>SR102982</t>
  </si>
  <si>
    <t>SR103184</t>
  </si>
  <si>
    <t>1. Inverters 5 through 8 are producing about half the amount from 06/02 to 06/24
2. Tracker Position 1 stuck at 30.55degrees at 15:30CDT on 06/01, effecting production of inverters 5,6,7 &amp; 8 in the morning time and later technician has removed the old encoder and installed a new one. Tracker 1 is now operating properly from 06/24.
3. Inverters 1,6,7,8 have a sporadic derating pattern during high irradiance from 06/30
4. Weather station intermittently reports irradiance at night, no irradiance during the day, or excessively high values (2,400 W/m²). The issue has worsened throughout the month.</t>
  </si>
  <si>
    <t>1.SR102296
2.SR102296, SR102336
3. SR103740
4. SR099110</t>
  </si>
  <si>
    <t>SR102296</t>
  </si>
  <si>
    <t>SR102336</t>
  </si>
  <si>
    <t>SR103740</t>
  </si>
  <si>
    <t>1. Tracker position A1 S 19 is stuck at 2 degrees. Waiting for TerraSmart to finish their work.</t>
  </si>
  <si>
    <t>1.	SR101919</t>
  </si>
  <si>
    <t>1. Inverter 5 dropped a string on 06/11 and fuse need to be replaced.
2. Site was offline at 09:15  on 06/23 and back online at 08:00  on 06/24</t>
  </si>
  <si>
    <t>1. SR103239
2. SR103324</t>
  </si>
  <si>
    <t>SR103324</t>
  </si>
  <si>
    <t>1. Inverter 8 (College Inverter 16 on DAS) is under performing by about 30% on average and Inverters 11 and 17 (Convent 39 and HS 45) also appear to be intermittently underperforming compared to peers for whole month</t>
  </si>
  <si>
    <t>1. 	SR103048</t>
  </si>
  <si>
    <t xml:space="preserve">1. Inverters 3 and 4 tripped offline at 13:00 on 06/28and reporting "Serial el.arc in String detected by AFCI mod"
2. inverters 1,4 and 12 were offline from 14:00 on 06/08 to 06/10. 
3. Inverter A2 was offline from 06/01 to 06/08 at 16:00 and again offline from 06/09 to 06/29 and inverteer being RMA'd
</t>
  </si>
  <si>
    <t>1. SR103686
2. SR102669
3. SR101068</t>
  </si>
  <si>
    <t>SR102669</t>
  </si>
  <si>
    <t>1. Inverter 5 and 12 were offline almost for whole month and inverter 9 and 18 offline for whole month.Inverters 6,7, 8, 11 &amp; 13 were offline on 06/17 and Inverters 1, 6, 7, 8, 11,  13, 15, 17 were started late at 01:50 on 06/18</t>
  </si>
  <si>
    <t>1. 	SR099730</t>
  </si>
  <si>
    <t>1. Inverters 5 and 7 are derating at 10kW in the afternoons. Inverter  14 and 15 underperforming by 3kW compared to peers and Inverter 9 and 11 underperforming by 2kW compared to peers for whole month.</t>
  </si>
  <si>
    <t>1. SR103950</t>
  </si>
  <si>
    <t>1. Inverter 10 is derating at 10kW from 12:40 on 06/02 to end of month.
2. Inverter 4 was derating for whole month.
3. Inverters 1 and 7 were offline and meter was not communicated for whole month.</t>
  </si>
  <si>
    <t>1. SR102316
2. SR099500
3. SR098016</t>
  </si>
  <si>
    <t>1. Inverter 4 started derating midday by 4kW on 6/28/25.</t>
  </si>
  <si>
    <t>1. SR103914</t>
  </si>
  <si>
    <t>1. 2 strings offline and CB offline  from aerial</t>
  </si>
  <si>
    <t>1. SR103124</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</si>
  <si>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3.10 underperforming by about 10 amps
3. PG &amp;E isolated the meter.
4.  Inverter 2 tripped offline at 12:45pm on 06/01 and back online on 06/03 at 10:30 and again inverter 2 was offline from 06/13 to 09:00 on 06/16. </t>
  </si>
  <si>
    <t>1. SR104147
2.SR102794, PM16047
3. SR103335
4. SR102011</t>
  </si>
  <si>
    <t>SR102794</t>
  </si>
  <si>
    <t>SR103335</t>
  </si>
  <si>
    <t>1.Site production was low on 06/03 , 06/17 due to low irradiance</t>
  </si>
  <si>
    <t xml:space="preserve">1. Site was offline from 11:45 on 06/25 to 12:00 on 06/26. 
2. Site was offline from 16:30 on 06/09 to 14:15 on 06/20
3.  Meter is capturing 3 or 4 kW more than the inverter is producing on high irradiance days. </t>
  </si>
  <si>
    <t>1. SR103561
2. SR102760
3. SR102137</t>
  </si>
  <si>
    <t>SR102760</t>
  </si>
  <si>
    <t>SR102137</t>
  </si>
  <si>
    <t>1. Site was not communicated from 05/10 to 10:15 on 06/06.
2. CB 2A string 1 is underperforming by 6 amps for whole month. CB 1 not communicating from 6/13/24. CB 3 and 4 not communicating from 5/10/25
2. Meter was offline from 06:30 to 09:00 on 06/26.</t>
  </si>
  <si>
    <t>1. SR100833
2.SR102723
3. SR103597</t>
  </si>
  <si>
    <t>SR102723</t>
  </si>
  <si>
    <t>SR103597</t>
  </si>
  <si>
    <t>1. Site was offline almost for whole month.</t>
  </si>
  <si>
    <t>1. SR103375, SR100883, SR103638</t>
  </si>
  <si>
    <t>SR100883</t>
  </si>
  <si>
    <t>SR103638</t>
  </si>
  <si>
    <t>1. Meter was reported zero from 06/01 to 06/05</t>
  </si>
  <si>
    <t>1. SR101936</t>
  </si>
  <si>
    <t>1. Inverter 2 underperforming by approximately 70 kW and inverter 1 is underperforming by approximately 120 kW. When looking at previous years during the same time frame this trend is relevant.</t>
  </si>
  <si>
    <t xml:space="preserve">1. Inverter 1 and 2 are underproducing by 60kW due to multiple modules that are burned and broken and need to be replaced. </t>
  </si>
  <si>
    <t>1. SR101818</t>
  </si>
  <si>
    <t>1. The POA has been reading 0 W/m2 since 08/01/23.
2. 200 Modules were damaged and need to be replaced.</t>
  </si>
  <si>
    <t>1. SR101034
2. SR103779,  SR102621</t>
  </si>
  <si>
    <t>SR103779</t>
  </si>
  <si>
    <t>SR102621</t>
  </si>
  <si>
    <t>1.  The anemometer SE 03 has stopped communicating from 10/14/23.</t>
  </si>
  <si>
    <t>1. SR101021</t>
  </si>
  <si>
    <t xml:space="preserve">1. Weather station was not communicated for whole month.
</t>
  </si>
  <si>
    <t>1. SR100915</t>
  </si>
  <si>
    <t>1. Inverter was underproducing 100kW down from 08/23/23.</t>
  </si>
  <si>
    <t>1. Inverter C1 is remain offline for whole month
2. Inverter B1 was started late on 06/02, 06/03, 06/11.
3.  Inverters B1 - B5 and C1 is offline on 06/25 and later they back online at 15:15 on 06/26 and again the inverters are tripped offline on 06/27 and remains offline through out month.</t>
  </si>
  <si>
    <t>1. SR100906
2. SR100906
3. SR103517</t>
  </si>
  <si>
    <t>SR100906</t>
  </si>
  <si>
    <t>SR103517</t>
  </si>
  <si>
    <t>1. Site has not communicated since 5/14/25,  inverter 3 offline from 3/19/25 and LOTOd.  inverter 1 offline from 3/18/25. inverter 2 offline from 3/18/25. inverter 4 offline from 3/23/25.</t>
  </si>
  <si>
    <t>1. SR102419</t>
  </si>
  <si>
    <t>1. Inverter g was underproduced by 4kW compared peers and on 06/27 inverter G was offline and back online on 06/28.
2.  Inverter E offline (LOTO'd on 6/12/24). inverter A underperforming by 17kW. Inverter G underperforming by 7kW. Inverter F underperforming by 5kW. for whole month.</t>
  </si>
  <si>
    <t>1. SR103160
2. SR102283</t>
  </si>
  <si>
    <t>SR102283</t>
  </si>
  <si>
    <t>1.  Inverter C and E offline and LOTOd during PM on 11/18/24. Inverters A,B,D are not communicating from 3/6/25 according to the meter 1 of these inverters is offline.</t>
  </si>
  <si>
    <t>1. SR102418</t>
  </si>
  <si>
    <t>1. Inverters F and H were LOTOd from 06/14 and Inverters A,B,C,D,E,G not communicating from 9/19/24  according to meter 3 3 of these inverters are offline.</t>
  </si>
  <si>
    <t>1. SR102416</t>
  </si>
  <si>
    <t>1.  Inverter A offline from 7/1/24 to end of the month, inverter C offline from 7/30/24 to end of the month, Inverter D offline from 7/24/24 to end of the month</t>
  </si>
  <si>
    <t>1. SR102392</t>
  </si>
  <si>
    <t>1. POA data was inaccurate. Reading a constant 1237.82 W/m2.
2. Inverter B-2 and D-4 were LOTO'd from 2/28/25, inverter I-9 offline from 5/17/25, inverter 10 underperforming by 10 kW for whole month.
3. Inverter C3 was offline from 15:45 on 06/26 to end of the month.</t>
  </si>
  <si>
    <t>1. SR102539
2. SR102321
3. SR103636</t>
  </si>
  <si>
    <t>SR102321</t>
  </si>
  <si>
    <t>SR103636</t>
  </si>
  <si>
    <t>1. inverter A offline from 1/21/24 and LOTO'd,  Inverter C offline from 6/12/24 and LOTO'd, Inverter D offline from 8/8/24 and LOTO'd to end of the month.</t>
  </si>
  <si>
    <t>1. SR102320</t>
  </si>
  <si>
    <t>1. Inverter B,E offline (LOTO'd from 9/27/24) no faults reported. Inverter D offline. Inverter C underperforming by 8kW for whole month</t>
  </si>
  <si>
    <t>1. SR102317</t>
  </si>
  <si>
    <t>1. Inverter D was offline LOTO'd from 9/13/24 and reporting "Arc fault".Inverter K was offline LOTO'd from 9/13/24 and reporting " Grid undervoltage PS". and  Inverter H,I and J was offline LOTO'd from 9/13/24. Additionally  Inverter F and L are underperforming by 11kW for whole month. later on Inverter F self-resolved at 14:30 on 06/18. and Inverter I, J, D and K are back online on 06/18.
2. Inverter M underperforming by 15kW since 06/18/25 and Inverter H offline and  since 09/08/24 and also Inverter L possibly underperforming by 5kW through out the month.</t>
  </si>
  <si>
    <t>1. SR102315
2. SR102315</t>
  </si>
  <si>
    <t>SR102315</t>
  </si>
  <si>
    <t>1. Inverters 1, 4, 9, 15, 16, 18, 21, and 26 have been offline since 22/04/24, reporting an "Arc fault." Additionally, Inverters 3 and 20 have been offline since 17/03/25, reporting "Grid undervoltage PS." Inverter 12 has been offline since 20/03/25, reporting an "Arc fault," and Inverter 24 has been offline since 01/04/25, also reporting an "Arc fault." Inverter 17 has been offline since 17/03/25, and Inverter 27 has been offline since 30/05/25 and contionues through out the month.
2. The Inverter 2 is underperforming by 13 kW, Inverter 8 by 17 kW, Inverter 5 by 10 kW, and Inverter 6 by 9 kW. Inverters 11 and 14 are each underperforming by 5 kW for whole month.</t>
  </si>
  <si>
    <t>1. SR102286
2. SR102286</t>
  </si>
  <si>
    <t>SR102286</t>
  </si>
  <si>
    <t>1. Inverter 4, 5 derating to 14KW and reporting "external fan error". Additionally Inverter 3 is underperforming by 5kW, likely down a string. for whole month.</t>
  </si>
  <si>
    <t>1. SR102281</t>
  </si>
  <si>
    <t>1. Inverter E2.04 is consistently derating at 58kW, reporting "W07 - De-rating" and "W11 - Fan Fail" since 06/02. and For whole month.</t>
  </si>
  <si>
    <t>1. SR102503</t>
  </si>
  <si>
    <t>1. inverter A,B,G was offline from 2/20/25 and reporting " Arc fault ".and additionally, Inverter D,E,F,I was offline from 2/20/25 and LOTOd.</t>
  </si>
  <si>
    <t>1. SR102451</t>
  </si>
  <si>
    <t>1. Inverter B-2 was offline from 02/28/25, reporting an "Arc fault." Inverter D-4 was also offline from 02/28/25. Inverter 8 was offline from 05/06/25. Inverter I-9 was offline from 05/17/25, reporting an "Arc fault." Additionally, Inverter 10 was underperforming by 10 kW. and For whole month.
2. The weather station is reading a constant 1237.82 W/m2 intermittently through out the month.
3.  Inverter C3 tripped offline at 15:45 on 06/26 and reporting "Arc Fault" and through out the month.</t>
  </si>
  <si>
    <t>1. SR102321
2. SR102539
3. SR103636</t>
  </si>
  <si>
    <t>SR102539</t>
  </si>
  <si>
    <t>1. Inverter 17 tripped offline at 12:30 on 05/28/25 reporting "Fault Grid Phase Voltage Out of Range - GridV.OutLim" and through out the month. 
2.  Inverter 30 was offline from 02/20/25 reporting "Insulation Resistance Low - IsolationErr" and through out the month. 
3. Inverter 21 was offline from 7/4/24, reporting an "ARC fault." Inverter 22 was offline from 12/17/24, also reporting an "ARC fault." Inverters 21 and 25 were offline from 7/4/24, both reporting an "ARC fault." Additionally, Inverter 28 was offline from 6/14/24, reporting an "ARC fault." Inverter 31 has been offline since 6/14/24. Inverter 32 was offline from 2/20/25, reporting an "ARC fault," and Inverter 33 was offline from 5/26/25.
4. Inverter 26 underperforming by 12kW and Inverter 23 underperforming by 4 kW For whole month.</t>
  </si>
  <si>
    <t>1. SR102329
2. SR102329
3. SR102329
4. SR102329</t>
  </si>
  <si>
    <t>SR102329</t>
  </si>
  <si>
    <t>1. Inverter 30 has been offline since 03/18/2025. Inverter 31 has been underperforming by 18 kW, and Inverter 33 by 7 kW throughout the month.</t>
  </si>
  <si>
    <t>1. SR102303</t>
  </si>
  <si>
    <t>1. Inverter 1 has been offline since 08/13/2024. Inverter 7 has been offline and LOTO'd since 08/13/2024. Inverter 8 has been offline and LOTO'd since 06/14/2024. Inverter 9 has been offline throughout the month due to an "Arc Fault". Inverter 10 has been offline and LOTO'd since 08/12/2024 due to an "Arc Fault". Inverter 13 has been offline and LOTO'd since 08/09/2024. Inverter 4 has been underperforming by 5 kW, and Inverter 3 by 10 kW throughout the month.</t>
  </si>
  <si>
    <t>1. SR102411</t>
  </si>
  <si>
    <t>1. Inverter 1 has been underperforming by 10 kW, Inverter 3 by 5 kW, and Inverter 4 by 15 kW throughout the month. Inverter 5 tripped offline at 13:40 on 06/02/2025 due to an "Arc Fault" and came back online at 10:45 on 06/05/2025.</t>
  </si>
  <si>
    <t>1. SR102403</t>
  </si>
  <si>
    <t>1. Inverters A, B, C, D, E, F, and G have been offline and LOTO'd since 10/29/2024 due to an 'Arc Fault.' Inverter H has been offline since 06/14/2024.</t>
  </si>
  <si>
    <t>1. SR102310</t>
  </si>
  <si>
    <t>1. Inverters A, C, and J have been offline and LOTO'd since 09/09/2024. Inverter I has been offline since 09/09/2024 due to an "Arc Fault". Inverters B, D, E, F, G, and H have not been communicating since 06/14/2024, however, the meter indicates that only three of these inverters are actually offline.</t>
  </si>
  <si>
    <t>1. SR102450</t>
  </si>
  <si>
    <t>1. Inverter 19 has been offline and LOTO'd since 06/14/2024 due to an 'Arc Fault.' Inverter 20 has been offline since 06/14/2024, and Inverters 21 and 26 have been offline since 11/02/2024. Inverters 22 and 23 have been underperforming by 13 kW each throughout the month.</t>
  </si>
  <si>
    <t>1. SR102413</t>
  </si>
  <si>
    <t>1. Inverter D has been offline and LOTO'd since 06/14/2024 due to an "Arc Fault". Inverter F has been offline since 01/24/2025, and Inverter H has been offline since 05/12/2025 — both due to an "Arc Fault".</t>
  </si>
  <si>
    <t>1. SR102425</t>
  </si>
  <si>
    <t>1. Zone 1.6, 2.13, 2.14 are reporting -50 amps. Zone 1.7 is reporting 30 amps higher than expected. Zone 2.9 is reporting 70 amps higher than expected. Possible CT issues reaching out to Also Energy</t>
  </si>
  <si>
    <t>1.SR102820</t>
  </si>
  <si>
    <t>1. Inverters B, C, and E have been offline and LOTO'd since 08/30/2024 due to an "Arc Fault". Inverter D has been offline since 06/19/2024, also due to an "Arc Fault".</t>
  </si>
  <si>
    <t>1. SR102424</t>
  </si>
  <si>
    <t>1. Inverter A has been offline and LOTO'd since 06/14/2024. Inverter D has been offline since 05/30/2025 due to an 'Arc Fault.</t>
  </si>
  <si>
    <t>1. SR102423</t>
  </si>
  <si>
    <t>1. Inverters A, B, E, and G have been offline and LOTO'd since 11/26/2024 due to an "Arc Fault". Inverter C is also offline and LOTO'd from the same date.</t>
  </si>
  <si>
    <t>1. SR102421</t>
  </si>
  <si>
    <t>1. Inverters D, H, and K have been underperforming by 6 kW each since 06/03.</t>
  </si>
  <si>
    <t>1. SR102420</t>
  </si>
  <si>
    <t>July Actual v. Expected</t>
  </si>
  <si>
    <t>July Actual v. Forecasted</t>
  </si>
  <si>
    <t xml:space="preserve">1. Inverter I has been offline at 06:04 on 05/12 due to an  "ARC fault detected" and  back online at 13:20 on 07/28.
2. Inverter L tripped offline at 12:20 on 05/13 due to an "ARC fault detected" and  back online at 13:20 on 07/28.
3. Inverter Q tripped offline at 10:10 on 05/18 due to an "ARC fault detected" and  back online at 13:20 on 07/28..
4.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
6. Inverter O went offline at 06:40 on 07/18 and back online at 06:50 on 07/22. It tripped offline again at 06:50 on 07/23 and was back online at 07:20 on 07/29.
</t>
  </si>
  <si>
    <t>1. SR101243
2. SR101243
3. SR101243
4. SR101243
5. SR101245
6. SR104647</t>
  </si>
  <si>
    <t>SR104647</t>
  </si>
  <si>
    <t>1. Site was offline at 18:00 on 07/27 and back online at 07:15 on 07/28.</t>
  </si>
  <si>
    <t>1. SR103481</t>
  </si>
  <si>
    <t>1. Inverter 3.5 has tripped offline at 14:45 on 07/04 and reporting " Grid Line Voltage Out of Range - GridV.OutLim" and offline throughout the month.
2. Inverter 2.5 is intermittently derating during high irradiance since 07/08.</t>
  </si>
  <si>
    <t>1. SR104023
2.SR104137, SR102343</t>
  </si>
  <si>
    <t>SR104137</t>
  </si>
  <si>
    <t>SR102343</t>
  </si>
  <si>
    <t>1. Site tripped offline at 07:00 on 07/29 and after reset the main breaker Site is back online at 12:30 on 07/29.</t>
  </si>
  <si>
    <t>1. SR105212</t>
  </si>
  <si>
    <t>1. Inverter 12 was offline on 06/07 and reporting  "Bst hardware overcurrent fault - and is being RMA'd and back online at 07:00 on 07/03. And again tripped offline at 06:00 on 07/26 and back online at 06:00 on 07/28.
2.  Inverter 9 derated at 40kW from 06/01 to 06/05 and reporting  reporting "External Fan Err - ExtFanerr" and inverter is under  RMA for replacement fans.</t>
  </si>
  <si>
    <t xml:space="preserve">1. SR102644
2. SR102209
</t>
  </si>
  <si>
    <t>1. Inverter 3 is derating at 75kW from 13:45 on 06/19 and reporting "External Fan
 Err - ExtFanerr" and the fan is being RMA'd.</t>
  </si>
  <si>
    <t>1. SR103184</t>
  </si>
  <si>
    <t>1. Inverters 1,6,7,8 have a sporadic derating pattern during high irradiance. Additioanlly inverter 3 was started derating since 07/25. Waiting for mowing to occur on 8/11/25 to see if production improves.
2. Site stopped communicating at 05:30 on 07/01 and tech found breaker trip and site back online on 07/02.</t>
  </si>
  <si>
    <t>1. SR103740
2. SR103900</t>
  </si>
  <si>
    <t>SR103900</t>
  </si>
  <si>
    <t>1. All trackers were stuck on 07/27 and later self-resolved and came back online on 07/28, except tracker A1 S 19, which is still stuck.</t>
  </si>
  <si>
    <t>1. SR101919</t>
  </si>
  <si>
    <t>1. Expect inverter 3 all inveters are offline from 16:00 on 07/21 and later self resolved and back online at 06:00 07/22.
2. Inverter 5 dropped a string on 06/11 and fuse need to be replaced.</t>
  </si>
  <si>
    <t>1. SR104742
2. SR103239</t>
  </si>
  <si>
    <t>SR103239</t>
  </si>
  <si>
    <t>1. Inverter 8 (College Inverter 16 on DAS) is under performing by about 30% on average and Inverters 11 and 17 (Convent 39 and HS 45) also appear to be intermittently underperforming compared to peers for whole month. Will be investigate while nextime onsite.</t>
  </si>
  <si>
    <t xml:space="preserve">1. Inverters 3 and 4 tripped offline at 13:00 on 06/28 and reporting "Serial el.arc in String detected by AFCI mod" and back online at 09:00 07/08.
2. Inverter A2  was offline at 06:00 on 07/01 and after Installed the new inverter A2 was back online at 09:00 on 07/08.
</t>
  </si>
  <si>
    <t>1. SR103686
2. SR101068</t>
  </si>
  <si>
    <t>1. Inverters 9, 12, and 18 went offline at 06:00 on 07/01. Only Inverter 12 is back online at 14:00 on 07/08. Additionally, Inverter 5 was offline at 06:00 on 07/10 and  self-resolved and was back online at 12:40 on 07/10. and Inverter 13 tripped offline at 09:50 on 07/18. Waiting for approval to dispatch.</t>
  </si>
  <si>
    <t>1. SR099730</t>
  </si>
  <si>
    <t>1. Inverters 5 and 7 are again derating at 10kW in the 12:00 on 07/22 and 07/23. Inverter  14 and 15 underperforming by 3kW compared to peers and Inverter 9 and 11 underperforming by 2kW compared to peers for whole month. Waiting for approval to dispatch.</t>
  </si>
  <si>
    <t>1. Inverter 10 is derating at 10kW from 12:40 on 06/02 for whole month.Additionally Inverter 10 tripped offline at 11:10 on 07/23. Will be addressed in next month.
2. Inverter 4 was derating for whole month. Will be addressed in next month.
3. Inverters 1 and 7 were offline and meter was not communicated for whole month. Will be addressed in next month.</t>
  </si>
  <si>
    <t>1. Inverter 4 started derating midday by 4kW on 6/28/25.Will need to be investigate</t>
  </si>
  <si>
    <t>SR103914, SR 098016</t>
  </si>
  <si>
    <t>SR 09801</t>
  </si>
  <si>
    <t>1. 2 strings and the combiner box were offline from the aerial. On 07/10, the technician checked the system and found that Inverter 1 was offline, and Inverters 3 and 6 were each missing one fuse. He installed new fuses and re-energized the system. All inverters were back online at 12:20 on 07/10.</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</si>
  <si>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t>
  </si>
  <si>
    <t xml:space="preserve">1. SR104147, SR104192
2.SR102794, PM16047
3. SR103335
</t>
  </si>
  <si>
    <t>SR104192</t>
  </si>
  <si>
    <t>1. Actual vs expected delta is showing 37% due to expected energy recording low possibly due to data glitch (similar event observe last 2 years).</t>
  </si>
  <si>
    <t>1. Actual vs expected delta is showing 17% due to expected energy recording low possibly due to data glitch (similar event observe last 2 years).</t>
  </si>
  <si>
    <t>1. CB 2A string 1 is underperforming by 6 amps for whole month. CB 1 not communicating from 6/13/24. CB 3 and 4 not communicating from 5/10/25.</t>
  </si>
  <si>
    <t xml:space="preserve">1. SR102723, SR105641
</t>
  </si>
  <si>
    <t>SR105641</t>
  </si>
  <si>
    <t>1. The site went offline at 15:45 on 05/22. After replacing the backplane of the card cage and the wiring harness for Fan 1, the site came back online at 10:30 on 07/16.</t>
  </si>
  <si>
    <t>1. Inverter 2 underperforming by approximately 70 kW and inverter 1 is underperforming by approximately 120 kW. When looking at previous years during the same time frame this trend is relevant and scheduled during PM.</t>
  </si>
  <si>
    <t>1. Inverter 1 and 2 are underproducing by 60kW due to multiple modules that are burned and broken and need to be replaced. 
2. Site was offline at 15:45 on 07/28 and after Power cycled DAS equipment site is back online at 16:00 on 07/30</t>
  </si>
  <si>
    <t>1. SR101818
2. SR105205</t>
  </si>
  <si>
    <t>SR105205</t>
  </si>
  <si>
    <t>1.  The anemometer SE 03 has stopped communicating from 10/14/23.
2. The inverter is tripped offline at 17:45 on  07/11 and reporting system fault (fault6) and main fault (fault 1) and back online at 11:30 on 07/17.</t>
  </si>
  <si>
    <t>1. SR101021
2. SR104390</t>
  </si>
  <si>
    <t>SR104390</t>
  </si>
  <si>
    <t>1. 10 modules were broken and will need to be replaced
2. Inverter was underproducing 100kW down from 08/23/23.</t>
  </si>
  <si>
    <t>1. SR105366, PM16547
2. SR101100</t>
  </si>
  <si>
    <t>SR101100</t>
  </si>
  <si>
    <t>1.  Inverters E2, E4, and G4 were offline for whole month and  inverter A3, 2 strings down 0 voltage since 07/25. Inverter A2 1 string down 0 voltage.
2. Inverters A1 - A4 have tripped offline at 13:00 on 07/08 and back online at 13:45 on 07/09 and again inverters tripped offline at 12:00 on 07/10 and back online at 13:00 on 07/25.
3. Inverter B1 tripped offline at 15:30 on 07/18 and back online at 15:30 on 07/19 and again offline on 07/29.
4.  Inverters B1 - B5 and C1 were offline from 06/27 to 13:45 on 07/09
5. The POA was reading a constant 1237.22 W/m2 from 7:30 to 18:30 MDT daily.</t>
  </si>
  <si>
    <t>1. SR105192
2. SR104170
3. SR104643
4. SR103517
5. SR101057</t>
  </si>
  <si>
    <t>SR104170</t>
  </si>
  <si>
    <t>SR104643</t>
  </si>
  <si>
    <t>1.  Inverter G was offline from 07/06 to 07/15 and again inverter G was offline from 07/21 to  07/22 and again inverter was offline on 07/26 and back online on 07/27, 
2. inverter E offline (LOTO'd on 6/12/24). inverter A underperforming by 17kW. Inverter G underperforming by 7kW. Inverter F underperforming by 5kW.</t>
  </si>
  <si>
    <t>1.  Inverters C and E offline and LOTOd during PM on 11/18/24. Inverters A,B,D are not communicating from 3/6/25; according to the meter 1 of these inverters is offline.</t>
  </si>
  <si>
    <t>1. Inverter F offline and LOTOd from 6/14/24. Inverter H offline from and LOTOd from 6/14/24. Inverters A,B,C,D,E,G not communicating from 9/19/24 not all production at the meter (60kW difference between total inverter and meter power; possible 3 of these inverters are offline).</t>
  </si>
  <si>
    <t>1. Inverters A, C and D were offline for whole month.</t>
  </si>
  <si>
    <t>1. Inverter K11 tripped offline on 07/23 at 10:45 and was offline for whole month.
2. Inverter C3 was offline for whole month. 
3. Inverter B-2 offline from 2/28/25 and LOTO'd ". Inverter D-4 offline from 2/28/25 and LOTO'd. Inverter  8 offline 5/6/25 was replaced but not communicating. inverter I-9 offline from 5/17/25. inverter 10 underperforming by 10 kW. Inverter F-6 was offline.
4.  POA data inaccurate. Reading a constant 1237.82 W/m2 intermittently.</t>
  </si>
  <si>
    <t>1. SR104882
2. SR103636
3. SR102321
4. 	SR102539</t>
  </si>
  <si>
    <t xml:space="preserve">1. Inverters A, D, C were offline and LOTO'd for whole month. </t>
  </si>
  <si>
    <t>1.  inverter B,E offline (LOTO'd from 9/27/24) no faults reported. Inverter D offline (unknown reason) no faults reported. Inverter C underperforming by 8kW.</t>
  </si>
  <si>
    <t>1. 	SR102317</t>
  </si>
  <si>
    <t>1. Inverter M underperforming by 15kW compared to peers. and inverter M was started late on 07/23 at 07:15. and Inverter H was offline for whole month. Inverter L underproducing by 5kW.</t>
  </si>
  <si>
    <t>1. SR102315</t>
  </si>
  <si>
    <t>1. 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</si>
  <si>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 SR102286</t>
  </si>
  <si>
    <t xml:space="preserve">1.  Inverter 3 is underperforming by 5kW, likely down a string. Inverter 4, 5 derating by 8kW and reporting external fan error.  </t>
  </si>
  <si>
    <t>1. Inverter E2.04 is derating due to a fan fault.
2. Estimated energy recording low possibly due to data glitch (similar event observe last 3 years).</t>
  </si>
  <si>
    <t>1. SR102503, SR101986</t>
  </si>
  <si>
    <t>SR101986</t>
  </si>
  <si>
    <t>1.  Inverter A,B,G offline from 2/20/25 and LOTOd.  Inverter D,E,F,I offline from 2/20/25 and LOTOd.</t>
  </si>
  <si>
    <t>1. Inverter 17, H 21, I 22, L 25, O28, 30, R 31, S 32, T 33 were offline and LOTO'd. Inverter 26 underperforming by 12kW for whole month. Inverter J - 23 underperforming by 4 kW.  
2. Inverter N tripped offline at 10:00 on 07/27 and was offline for end of month</t>
  </si>
  <si>
    <t>1. SR102329
2. SR105139</t>
  </si>
  <si>
    <t>SR105139</t>
  </si>
  <si>
    <t>1. inverter 30 offline for whole month. Inverter 33 underperforming by 7 kW each for whole month. Inverter 31 underperforming by 18 kW for whole month.</t>
  </si>
  <si>
    <t>1. Inverters 1, 7, 8, 10, 11, 12, 13 were offline and LOTO'd. Inverter 4 underperforming by 5 kW. inverter 3 underperforming by 10kW. Inverter 9 was offline from 07/01 to 10:45 on 07/08</t>
  </si>
  <si>
    <t>1. 	SR102411</t>
  </si>
  <si>
    <t>1. Inverter 5 was offline on 07/11 for whole day.</t>
  </si>
  <si>
    <t>1.  Inverters A,B,C,D,E,F,G, H were offline and LOTO'd.</t>
  </si>
  <si>
    <t>1. Inverter 1 underperforming by 4kW from 07/10.</t>
  </si>
  <si>
    <t>1. SR104289</t>
  </si>
  <si>
    <t>1. Inverters A,C,J,  were offline and LOTO'd. Inverter I was offline for whole month.  Inverter B,D,E,F,G,H are not communicating from 6/14/24; meter indicates 3 of these inverters are offline.</t>
  </si>
  <si>
    <t>1. Inverters 19, 20,21, 26 were offline for whole month. Inverter 22,23 underperforming by 13 kW each.</t>
  </si>
  <si>
    <t>1. Inverters D, F, H were offline. for whole month.</t>
  </si>
  <si>
    <t>1. Zone 1.6, 2.13, 2.14 are reporting -50 amps. Zone 1.7 is reporting 30 amps higher than expected. Zone 2.9 is reporting 70 amps higher than expected. Possible CT issues reached out to Also Energy.
2. Zone 1.1 has been operating at 3 kW since 09:00 on 07/10.</t>
  </si>
  <si>
    <t>1. SR102820
2. SR104290</t>
  </si>
  <si>
    <t>SR104290</t>
  </si>
  <si>
    <t>1. Inverters B, C, and E have been offline due to "Arc Fault" and LOTO'd since 08/30/24. Inverter D has been offline due to "Arc Fault" since 06/19/24.</t>
  </si>
  <si>
    <t>1. Inverter A is offline and LOTO'd from 06/14/2024. Inverter D is offline due to  "Arc fault" from 05/30/2025.</t>
  </si>
  <si>
    <t>1. Inverters A, B, E, and G are offline due to "Arc Fault" and have been LOTO'd since 11/26. Inverter C is also offline and LOTO'd since 11/26.</t>
  </si>
  <si>
    <t>1. Inverters D, H, and K have been underperforming by 6 kW each since 06/03.</t>
  </si>
  <si>
    <t>1. Inverter 2 has been derating by about 25 kW due to an "External Fan Err - ExtFanerr" throughout the month. Inverter 8 has been derating by 40 kW due to an 'External Fan Fault' since 07/10.
2. Inverter 3 was derating by 40 kW due to "External Fan Err - ExtFanerr" from 10:15 on 07/05 and resumed normal operation on 07/06.
4. Inverter 13 has been underperforming since 07/10, and Tracker 33 has been stuck at 0 degrees since 07/10.</t>
  </si>
  <si>
    <t>1. SR103869
2. SR104043
3. SR104043
4. SR104246</t>
  </si>
  <si>
    <t>SR104043</t>
  </si>
  <si>
    <t>SR104246</t>
  </si>
  <si>
    <t xml:space="preserve">1. Inverter 1 has experienced multiple trippings during peak hours throughout the month.
2. Inverter 3 tripped offline due to a "Real Time Clock Error" at 15:30 on 07/09 and came back online at 11:45 on 07/22.
</t>
  </si>
  <si>
    <t>1. SR103868
2. SR104231</t>
  </si>
  <si>
    <t>SR104231</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</si>
  <si>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t>
  </si>
  <si>
    <t>1. SR103867</t>
  </si>
  <si>
    <t>1. Inverter 1 has been offline due to a 'Ground Fault' throughout the month. Additionally, Inverters 2 to 4 and 7 have not been communicating throughout the month, and according to meter data, one of these inverters is offline.</t>
  </si>
  <si>
    <t>1. SR103866</t>
  </si>
  <si>
    <t>1. Inverter 1 is down 30 kW, Inverter 4 is down 30 kW, Inverter 5 is down 36 kW, Inverter 6 is down 30 kW, Inverter 7 is down 36 kW, and Inverter 8 is down 30 kW throughout the month. Additionally, the relay boards of Inverters 1 and 4 are currently being RMA'd.</t>
  </si>
  <si>
    <t>1. SR104456</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</si>
  <si>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</si>
  <si>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1.1.3.4 started producing late on 07/02, 07/03, 07/12, 07/21, and 07/29. It tripped offline at 11:00 on 07/27 and came back online at 11:00 on 07/28.
2. Inverter 1.1.1.3 tripped offline at 13:30 on 07/22 due to 'Grid Phase Voltage Out of Range' and will remain offline until the new AC breaker and AC busbars are RMA'd.
3. Actual vs expected delta is showing 251% due to expected energy recording low possibly due to data glitch (similar event observe last 3 years).</t>
  </si>
  <si>
    <t>1. SR103944
2. SR104776</t>
  </si>
  <si>
    <t>SR104776</t>
  </si>
  <si>
    <t>1. Inverter 16 has been derating by up to 40 kW since 10/24/2024.
2. Inverter 28 has been underperforming by 10 kW due to DC current being offline since 11/08/2022 and will be investigated during the next site visit.
3. Actual vs expected delta is showing 32% due to expected energy recording low possibly due to data glitch (similar event observe last 2 years).</t>
  </si>
  <si>
    <t>1. SR103946
2. SR103946, SR104855</t>
  </si>
  <si>
    <t>SR103946</t>
  </si>
  <si>
    <t>SR104855</t>
  </si>
  <si>
    <t>1. Inverters 4 and 5 have been derating by approximately 6 kW since 02/05.</t>
  </si>
  <si>
    <t>1. The site went offline at 11:00 on 07/02 due to the SEL relay being in an "Open" state and later came back online at 12:45 on 07/03.
2. Inverter 1, Module 5 has been offline since 07/20 and will remain offline until further troubleshooting.
3. Inverter 2, Module 7 has been offline since 07/28.</t>
  </si>
  <si>
    <t>1. SR103947
2. SR104665
3. SR105155</t>
  </si>
  <si>
    <t>SR104665</t>
  </si>
  <si>
    <t>SR105155</t>
  </si>
  <si>
    <t>August Actual v. Expected</t>
  </si>
  <si>
    <t>August Actual v. Forecasted</t>
  </si>
  <si>
    <t>1. Inverter 12 was significantly affected by shading, resulting in a 6 kW reduction in output. This issue is more likely to occur on high irradiance days throughout the month.</t>
  </si>
  <si>
    <t>1. Inverter 1 was offline from 19:20 on 08/07.
2.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3. Weather station jumps from 0 to 1200 W/m^2 at sunrise and stays high all day. Inverter production seems to reflect cloud cover on some days, but the irradiance sensor always reports very sunny conditions.</t>
  </si>
  <si>
    <t>1. SR105924
2. SR101243
3. SR101245</t>
  </si>
  <si>
    <t>1. SR096262, SR099066</t>
  </si>
  <si>
    <t>1. Inverter 3.5 has been offline since 14:45 on 07/04.
2. Inverter 2.5 has been intermittently derating during high irradiance since 07/08.
3. The site has been offline since 01:30 on 08/09 and requires further troubleshooting with AlsoEnergy.</t>
  </si>
  <si>
    <t>1. SR104023
2. SR104137
3. SR105956</t>
  </si>
  <si>
    <t>SR105956</t>
  </si>
  <si>
    <t>1. The site was offline from 07:45 to 17:30 on 08/16.
2. The site tripped offline at 12:00 on 08/28 and came back online at 10:45 on 08/29.
3. Meter communication has been intermittent throughout the month.</t>
  </si>
  <si>
    <t>1. SR106384
2. SR107143
3. SR100417</t>
  </si>
  <si>
    <t>SR107143</t>
  </si>
  <si>
    <t>1. Inverter 9 derated at 40kW from 06/01 to 06/05 and reporting "External Fan Err - ExtFanerr" and inverter is under RMA for replacement fans.</t>
  </si>
  <si>
    <t>1. SR102209</t>
  </si>
  <si>
    <t>1. Inverter 3 is derating at 75kW from 13:45 on 06/19 and reporting "External Fan
 Err - ExtFanerr" and the fan is being RMA'd.
2. Inverter 7 has been offline since 13:30 on 08/09 and is currently being RMA'd.</t>
  </si>
  <si>
    <t>1. Inverters 1, 6, 7, and 8 show a sporadic derating pattern during high irradiance, while Inverters 3 and 4 have been derating by 12 kW in the afternoons throughout the month.
2. Inverter 1 has been offline since 10:30 on 08/20 and is currently being RMA'd.</t>
  </si>
  <si>
    <t>1. SR103740
2. SR106599</t>
  </si>
  <si>
    <t>SR106599</t>
  </si>
  <si>
    <t>1. All trackers have been stuck since 08/26.</t>
  </si>
  <si>
    <t>1. SR106946</t>
  </si>
  <si>
    <t>1. Inverter 5 dropped a string on 06/11 and the fuse needs to be replaced.</t>
  </si>
  <si>
    <t>1. SR103239</t>
  </si>
  <si>
    <t xml:space="preserve">1. SR103048
</t>
  </si>
  <si>
    <t>1. Inverters 3 and 4 have been running on 2 strings each since 07/08.
2. Inverter 10 tripped offline at 10:00 on 08/10 and came back online at 07:00 on 08/15.
3. Meter A inverters (1 through 12) experienced multiple trippings on 08/11 and 08/12, were offline on 08/14, and came back online on 08/15.</t>
  </si>
  <si>
    <t>1. SR103686
2. SR105968
3. SR106026</t>
  </si>
  <si>
    <t>SR105968</t>
  </si>
  <si>
    <t>SR106026</t>
  </si>
  <si>
    <t>1. Inverters 9,13 and 18 are offline through out the month.
2. Inverter 5 was offline on 08/21 and came back online at 13:55 on 08/22.
3. Inverter 2 has been running on half of the strings throughout the month.
4. Inverter 3 has been running on 2 strings throughout the month.
5. Inverter 4 has been running on 4 strings throughout the month.
6. Inverter 5 has been running on 5 strings throughout the month.
7. Inverter 10 has been running on 4 strings throughout the month.
8. Inverter 7 has been running on half of the strings throughout the month.
9. Inverter 11 has been running on 5 strings throughout the month.
10. Inverter 15 has been running on 5 strings throughout the month.
11. Inverter 16 has been running on half of the strings throughout the month.</t>
  </si>
  <si>
    <t>1. SR099730
2. SR106719
3. SR104823
4. SR104824
5. SR104825
6. SR104826
7. SR104828
8. SR104827
9. SR104829
10. SR104831
11. SR104832</t>
  </si>
  <si>
    <t>SR106719</t>
  </si>
  <si>
    <t>SR104823</t>
  </si>
  <si>
    <t>SR104824</t>
  </si>
  <si>
    <t>SR104825</t>
  </si>
  <si>
    <t>SR104826</t>
  </si>
  <si>
    <t>SR104828</t>
  </si>
  <si>
    <t>SR104827</t>
  </si>
  <si>
    <t>SR104829</t>
  </si>
  <si>
    <t>SR104831</t>
  </si>
  <si>
    <t>SR104832</t>
  </si>
  <si>
    <t>1. Inverters 5 and 7 are again derating by 10 kW. Inverters 14 and 15 are underperforming by 3 kW compared to their peers, and Inverters 9 and 11 are underperforming by 2 kW compared to their peers throughout the month. Waiting for approval to dispatch.</t>
  </si>
  <si>
    <t>1. Inverter 10 was derating at 10kW from 12:40 on 06/02 and issue was resolved on 08/18
2. Inverter 4 was derating since 04/08 and was resolved on 08/18.
3. Inverters 1 and 7 were offline since 03/04 to till date  and meter was not communicated issue was resolved on 08/18.</t>
  </si>
  <si>
    <t>1.SR102316
2.SR099500
3.SR098016</t>
  </si>
  <si>
    <t>1.SR103914,</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</si>
  <si>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t>
  </si>
  <si>
    <t>1. SR104192
2. SR102794, PM10647
3. SR105489</t>
  </si>
  <si>
    <t>SR105489</t>
  </si>
  <si>
    <t>1. Actual vs expected delta is showing 38% due to expected energy recording low possibly due to data glitch (similar event observe last 2 years).</t>
  </si>
  <si>
    <t>1. Actual vs expected delta is showing 20% due to expected energy recording low possibly due to data glitch (similar event observe last 2 years).</t>
  </si>
  <si>
    <t>1. The site was offline at 01:00 on 08/10 and remained offline through out the month.</t>
  </si>
  <si>
    <t>1. SR105973</t>
  </si>
  <si>
    <t>1. Actual vs expected delta is showing 13% due to expected energy recording low possibly due to data glitch (similar event observe last 2 years).</t>
  </si>
  <si>
    <t>1. Actual vs expected delta is showing 11% due to expected energy recording low possibly due to data glitch (similar event observe last 2 years).</t>
  </si>
  <si>
    <t>1. Meter was not capturing full production since 08/10 to end of the month.</t>
  </si>
  <si>
    <t xml:space="preserve">1. SR106082, SR100857 </t>
  </si>
  <si>
    <t>SR100857</t>
  </si>
  <si>
    <t>1. Inverter 1 and 2 are underproducing by 60kW due to multiple modules that are burned and broken and need to be replaced. 
2. Inverter D dropped in production by about 50% at 10:00 MDT on 08/07 and by coincided with inverter C briefly displaying "Main Fault"(Fault01) and "Drive Fault" (Fault02).</t>
  </si>
  <si>
    <t>1. SR101818
2. SR105928</t>
  </si>
  <si>
    <t>SR105928</t>
  </si>
  <si>
    <t xml:space="preserve">1. The POA has been reading 0 W/m2 since 08/01/23 to end of the month.
2. 200 Modules were damaged and need to be replaced.
</t>
  </si>
  <si>
    <t xml:space="preserve">1.  The anemometer SE 03 has stopped communicating from 10/14/23.
</t>
  </si>
  <si>
    <t xml:space="preserve">1. SR101021
</t>
  </si>
  <si>
    <t>1.  Inverters E2, E4, and G4 were offline for whole month and  inverter A3, 2 strings down 0 voltage since 07/25. Inverter A2 1 string down 0 voltage.
2. Inverter D2 has tripped offline at 17:30 on 08/07 and reporting Arc fault (E050) and back online at 09:15 on 08/19. 
3. inverter B1 has a history of late starts most of the days in month</t>
  </si>
  <si>
    <t>1. SR105192
2. SR105872
3. SR106435, SR106650</t>
  </si>
  <si>
    <t>SR105872</t>
  </si>
  <si>
    <t>SR106435</t>
  </si>
  <si>
    <t>SR106650</t>
  </si>
  <si>
    <t>1. Site has not communicated since 5/14/25,  inverter 3 offline from 3/19/25 and LOTOd.  inverter 1 offline from 3/18/25. inverter 2 offline from 3/18/25. inverter 4 offline from 3/23/25 and  inverter 4 tripped offline on 8/28/25.</t>
  </si>
  <si>
    <t>1. SR102419, SR107209</t>
  </si>
  <si>
    <t>SR107209</t>
  </si>
  <si>
    <t>1.Inverter G was offline on 08/17 and was back online  on 08/18,again was offline on 08/19 and back online on 08/20 ,again offline on 08/21 and was back online on 08/23.Self Resolved.
2.  Inverter E offline (LOTO'd on 6/12/24). inverter A underperforming by 17kW. Inverter G underperforming by 7kW. Inverter F underperforming by 5kW. for whole month.</t>
  </si>
  <si>
    <t>1.SR106774
2.SR102283</t>
  </si>
  <si>
    <t>1.SR102418</t>
  </si>
  <si>
    <t>1.SR102416</t>
  </si>
  <si>
    <t>1.Inverters A, C and D were offline for whole month.</t>
  </si>
  <si>
    <t>1.SR102392</t>
  </si>
  <si>
    <t>1. Inverter B-2 offline from 2/28/25 and LOTO'd ". Inverter D-4 offline from 2/28/25 and LOTO'd. Inverter  8 offline 5/6/25 was replaced but not communicating. inverter I-9 offline from 5/17/25. inverter 10 underperforming by 10 kW. Inverter F-6 was offline.
2.Inverter C3 was offline throughout the month.
3.POA data inaccurate. Reading a constant 1237.82 W/m2 intermittently.
4.Inverter K11 was offline since  07/23.</t>
  </si>
  <si>
    <t>1.SR102321
2.SR103636
3.SR102539
4.SR104882</t>
  </si>
  <si>
    <t>SR104882</t>
  </si>
  <si>
    <t>1.SR102320</t>
  </si>
  <si>
    <t>1.SR102317</t>
  </si>
  <si>
    <t>1. Inverter K was offline on 08/06 and was back online on 08/07.</t>
  </si>
  <si>
    <t>1.SR105794</t>
  </si>
  <si>
    <t>1.Inverter 19 tripped offline at 11:30 on 08/18 and reporting "Fault"through out the month.
2.Inverter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</si>
  <si>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1.SR106474
2.SR102286</t>
  </si>
  <si>
    <t>1.  Inverter 3 was underperforming by 5kW, likely down a string. Inverter 4, 5 derating by 8kW and reporting external fan error for whole month.  
2.Inverters 4 and 5 were capping at 15 kW with External Fan error alarms throughout the month.</t>
  </si>
  <si>
    <t>1.SR102281
2.SR106885</t>
  </si>
  <si>
    <t>SR106885</t>
  </si>
  <si>
    <t>1.Inverter E2.04 was derating due to a fan fault for whole month.</t>
  </si>
  <si>
    <t>1.SR101986</t>
  </si>
  <si>
    <t>1.SR102451</t>
  </si>
  <si>
    <t xml:space="preserve">1.Inverters G and P were undeperforming by 4kw each throughout the month
2.Inverter N remained offline since 07/27 to end of the month.
3. Inverter 17, H 21, I 22, L 25, O28, 30, R 31, S 32, T 33 were offline and LOTO'd. Inverter 26 underperforming by 12kW for whole month. Inverter J - 23 underperforming by 4 kW. </t>
  </si>
  <si>
    <t>1.SR106828
2.SR105139
3.SR102329</t>
  </si>
  <si>
    <t>1.SR102303</t>
  </si>
  <si>
    <t>1. Inverters 1, 7, 8, 10, 11, 12, 13 were offline and LOTO'd. Inverter 4 underperforming by 5 kW. inverter 3 underperforming by 10kW.Inverter 9 was offline since 07/23.</t>
  </si>
  <si>
    <t>1.SR102411</t>
  </si>
  <si>
    <t>1.Inverter 4 was underproducing by approximately 12kw and inverter 3 was underproducing by 3kw compared to its peer inverters throughout the month.</t>
  </si>
  <si>
    <t>1.SR106531</t>
  </si>
  <si>
    <t>1.SR102310</t>
  </si>
  <si>
    <t>1.SR104289</t>
  </si>
  <si>
    <t>1. Inverters 19, 20,21, 26 were offline for whole month. Inverter 22,23 underperforming by 13 kW each through out the month.</t>
  </si>
  <si>
    <t>1.SR102413</t>
  </si>
  <si>
    <t>1. Inverters D, F, H were offline. for whole month.
2. Inverter G is underperforming by 3 kW ,possibly soiling.</t>
  </si>
  <si>
    <t>1.SR102425
2.SR106842</t>
  </si>
  <si>
    <t>SR106842</t>
  </si>
  <si>
    <t>1. Zone 1.1 has been operating at 3 kW since 09:00 on 07/10.
2.Zone 1.6, 2.13, 2.14 are reporting -50 amps. Zone 1.7 is reporting 30 amps higher than expected. Zone 2.9 is reporting 70 amps higher than expected. Possible CT issues reached out to Also Energy.</t>
  </si>
  <si>
    <t>1.SR104290
2.SR104290</t>
  </si>
  <si>
    <t>1.SR102424</t>
  </si>
  <si>
    <t>1. Inverter A has been offline and LOTO'd since 06/14/2024. Inverter D has been offline since 05/30/2025 due to an 'Arc Fault</t>
  </si>
  <si>
    <t>1.SR102423</t>
  </si>
  <si>
    <t>1.SR102421</t>
  </si>
  <si>
    <t>1.Inverter D,H,K were underperforming by 6 kW each since 06/03; possible string down.</t>
  </si>
  <si>
    <t>1.SR102420</t>
  </si>
  <si>
    <t>1.Inverter 12 was derating at 40kw at 11:30 cdt on 08/30 due to "External Fan Err - ExtFanerr".
2.Meter B phase current dropped about 600 amps at 19:00cdt  on 08/27. Further troubleshooting is required.
3.Inverter 3 was derating 40kw at 11:00 on 08/20 reporting "external fan error" .
4.Inverter 1 was tripped offline at 13:45cdt on 08/19  and reporting "Static GFCI high"and was back online at 07:45cdt on 08/20.Self resolved
5.. Inverter 13 has been underperforming since 07/10 due to  tracker 33 has been stuck at 0 degrees and issue was resolved at 13:45cdt on 08/29.
6.Inverter 6 was derating by 15kw during afternoon hours from 08/08 since tracker 15 struck at -30 degrees and issue was resolved on 08/21.
7.Inverter 2 has been derating by about 25 kW due to an "External Fan Err - ExtFanerr" and issue was resolved on 08/11. Inverter 8 has been derating by 40 kW due to an 'External Fan Fault' since 07/10 and futher trobleshooting is required.</t>
  </si>
  <si>
    <t>1.SR107231
2.SR107145
3.SR106851
4.SR106520
5.SR104246
6.SR104246
7.SR103869</t>
  </si>
  <si>
    <t>SR107145</t>
  </si>
  <si>
    <t>SR106851</t>
  </si>
  <si>
    <t>SR106520</t>
  </si>
  <si>
    <t>SR103869</t>
  </si>
  <si>
    <t>1.Inverter 3 tripped offline at 09:30 mst on 08/04 and was back online at 05:30 mst on 08/14,again tripped offline at 13:00 mst on 08/29.</t>
  </si>
  <si>
    <t>1.SR105626,SR106301</t>
  </si>
  <si>
    <t>SR106301</t>
  </si>
  <si>
    <t>1. Inverter 1.1.1.3 tripped offline at 13:30 on 07/22 due to 'Grid Phase Voltage Out of Range' and will remain offline until the new AC breaker and AC busbars are RMA'd.
2. Inverter 1.1.3.4 tripping on and off multiple days in a month.
3. Actual vs expected delta is showing 392% due to expected energy recording low possibly due to data glitch (similar event observe last 3 years).</t>
  </si>
  <si>
    <t xml:space="preserve">1. SR104776
2. SR103944,  SR106611
</t>
  </si>
  <si>
    <t>SR103944</t>
  </si>
  <si>
    <t>SR106611</t>
  </si>
  <si>
    <t>1. Inverter 16 has been derating by up to 40 kW since 10/24/2024.
2. Inverter 28 has been underperforming by 10 kW due to DC current being offline since 11/08/2022 and will be investigated during the next site visit.
3. Actual vs expected delta is showing 27% due to expected energy recording low possibly due to data glitch (similar event observe last 2 years).</t>
  </si>
  <si>
    <t>1. Inverter 1, Module 5 has been offline since 07/20 and will remain offline until further troubleshooting.
2. Inverter 2, Module 7 has been offline since 07/28.
3. Site was offline at 14:30 on 08/22 and later back online at 13:30 on 08/24.
4. Site was offline at 13:15 on 08/28 and later back online at 10:15 on 08/29.</t>
  </si>
  <si>
    <t>1. SR104665
2. SR105155
3. SR106781
4. SR107162</t>
  </si>
  <si>
    <t>SR106781</t>
  </si>
  <si>
    <t>SR107162</t>
  </si>
  <si>
    <t>September Actual v. Expected</t>
  </si>
  <si>
    <t>September Actual v. Forecasted</t>
  </si>
  <si>
    <t>1. Inverter G has tripped offline at 09:20 on 09/01 and reporting "ARC fault detected" and remained offline throughout the month.
2. Inverter I tripped offline at 19:20 on 08/07 and reporting "ARC fault detected"  and remained offline throughout the month.
3.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4. Inverter O tripped offline at 07:00 on 09/06 and back online at 11:50 on 09/12. and again offline on 09/17 and back online on 09/18.
5. Weather station jumps from 0 to 1200 W/m^2 at sunrise and stays high all day. Inverter production seems to reflect cloud cover on some days, but the irradiance sensor always reports very sunny conditions.</t>
  </si>
  <si>
    <t>1. SR107271
2. SR105924
3. SR101243, SR105658
4. SR107520, SR104647
5. SR101245</t>
  </si>
  <si>
    <t>SR105924</t>
  </si>
  <si>
    <t>SR105658</t>
  </si>
  <si>
    <t>SR107520</t>
  </si>
  <si>
    <t xml:space="preserve">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
3. PAD B inverters were offline since 08/01 and back online at 15:00 on 09/15. </t>
  </si>
  <si>
    <t>1. SR098870
2. SR099461
3. SR107058</t>
  </si>
  <si>
    <t>SR107058</t>
  </si>
  <si>
    <t>1. Inverter 3.5 has been offline since 14:45 on 07/04 and reporting " Grid Line Voltage Out of Range - GridV.OutLim"
2. Inverter 2.5 has been intermittently derating during high irradiance since 07/08.
3. The site was not communicated from 01:30 on 08/09 to 11:15 on 09/10, the data from 08/09 to 09/10 was back filled on 09/10.</t>
  </si>
  <si>
    <t>1. The site went offline at 16:00 on 09/17, with all inverters reporting "Grid Phase Voltage Out of Range - GridV.OutLim." After resetting the relay and main breaker, the site came back online at 14:15 on 09/19.
2. Meter communication has been intermittent throughout the month.</t>
  </si>
  <si>
    <t>1. SR108214
2. SR100417</t>
  </si>
  <si>
    <t xml:space="preserve">1. SR103184
2. SR105959
</t>
  </si>
  <si>
    <t>SR105959</t>
  </si>
  <si>
    <t>1. Inverters 1, 6, 7, and 8 show a sporadic derating pattern during high irradiance, while Inverters 3 and 4 have been derating by 12 kW in the afternoons throughout the month.
2. Inverter 1 has been offline since 10:30 on 08/20 and is currently being RMA'd.
3. The site went offline at 04:00 on 09/06 due to a tripped main breaker. After resetting the utility main breaker, the site came back online at 06:45 on 09/08.
4. Inverter 6 tripped offline and reporting  "Permanent fault of power module-Fault0010"  and is currently being RMA'd.</t>
  </si>
  <si>
    <t>1. SR103740
2. SR106599
3. SR107545
4. SR107872</t>
  </si>
  <si>
    <t>SR107545</t>
  </si>
  <si>
    <t>SR107872</t>
  </si>
  <si>
    <t>1. All trackers have been stuck since 08/26 and back online on 09/08 and again all trackers are strucked 09/12.
2. Site was tripped offline at 19:00 on 09/06 and back online at 13:45 on 09/08.</t>
  </si>
  <si>
    <t>1. SR106946, SR107211SR108008
2. SR107587</t>
  </si>
  <si>
    <t>SR107211</t>
  </si>
  <si>
    <t>SR108008</t>
  </si>
  <si>
    <t>SR107587</t>
  </si>
  <si>
    <t>1. Inverter 5 dropped a string on 06/11 and the fuse needs to be replaced.
2. Inverter 3 is derating at 40kW reporting "external fan error" on 09/19.</t>
  </si>
  <si>
    <t>1. SR103239
2. SR108311</t>
  </si>
  <si>
    <t>SR108311</t>
  </si>
  <si>
    <t xml:space="preserve">                   N/A</t>
  </si>
  <si>
    <t>1. Inverters 3 and 4 have been running on 2 strings each since 07/08.
2. Site tripped offline at 17:00 on 09/04 and back online at 07:00 on 09/05.</t>
  </si>
  <si>
    <t>1. SR103686
2. SR107476</t>
  </si>
  <si>
    <t>SR107476</t>
  </si>
  <si>
    <t>1. Inverters 9,13 and 18 are offline through out the month.
2. Inverter 5 was offline on 07:00 on 09/07 and back online at 15:30 on 09/08.
3. Inverter 2 has been running on half of the strings throughout the month.
4. Inverter 3 has been running on 2 strings throughout the month.
5. Inverter 4 has been running on 4 strings throughout the month.
6. Inverter 5 has been running on 5 strings throughout the month.
7. Inverter 10 has been running on 4 strings throughout the month.
8. Inverter 7 has been running on half of the strings throughout the month.
9. Inverter 11 has been running on 5 strings throughout the month.
10. Inverter 15 has been running on 5 strings throughout the month.
11. Inverter 16 has been running on half of the strings throughout the month.
12. Inverter 8 was offline at 07:00 on 09/10 and back online at 03:05 on 09/12.</t>
  </si>
  <si>
    <t>1. SR099730
2. SR106719
3. SR104823
4. SR104824
5. SR104825
6. SR104826
7. SR104828
8. SR104827
9. SR104829
10. SR104831
11. SR104832
12. SR107791</t>
  </si>
  <si>
    <t>SR107791</t>
  </si>
  <si>
    <t>1. Inverters 1 and 7 were offline since 03/04 to till date  and meter was not communicated and remained offline throughout the month.
2. Inverter 4 tripped offline at 11:00 on 09/24 and has been reporting a "Fault" status. It has remained offline throughout the month.
3. Inverter 10 tripped offline at 11:00 on 09/21 and reporting "grid line voltage out of range (GridV.OutLim)"  and remained offline throughout the month.</t>
  </si>
  <si>
    <t>1.SR106483,  SR098016, SR106514
2. SR106806
3. SR108422</t>
  </si>
  <si>
    <t>SR106514</t>
  </si>
  <si>
    <t>SR106806</t>
  </si>
  <si>
    <t>SR108422</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</si>
  <si>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
4. Inverter 2 went offline at 07:00 on 09/07, reporting error code "1392", and came back online at 08:45 on 09/18. It tripped offline again at 07:00 on 09/20, reporting "Operating state: Error (1392)", and has remained offline throughout the remainder of the month.</t>
  </si>
  <si>
    <t>1. SR104192
2. SR102794, PM10647
3. SR105489
4. SR107586, SR108491</t>
  </si>
  <si>
    <t>SR107586</t>
  </si>
  <si>
    <t>SR108491</t>
  </si>
  <si>
    <t>1.  RCB-1, 1.7 is offline, and RCB-1, 1.1 RCB-1, 1.2, RCB-1, 1.3, RCB-1, and RCB-1, 1.4 are down strings from 9/22.
2. Actual vs expected delta is showing 38% due to expected energy recording low possibly due to data glitch (similar event observe last 2 years).</t>
  </si>
  <si>
    <t>1. SR108496</t>
  </si>
  <si>
    <t>1. Inverter 1 and 2 are underproducing by 60kW due to multiple modules that are burned and broken and need to be replaced. 
2. Inverter D dropped in production by about 50% at 10:00 MDT on 08/07 and by coincided with inverter C briefly displaying "Main Fault"(Fault01) and "Drive Fault" (Fault02) and this issue scheduled during PM event.</t>
  </si>
  <si>
    <t>1. SR105366, PM16547
2. SR101100, SR107802</t>
  </si>
  <si>
    <t>SR107802</t>
  </si>
  <si>
    <t>1.  Inverters E2, E4, and G4 were offline for whole month and  inverter A3, 2 strings down 0 voltage since 07/25. Inverter A2 1 string down 0 voltage.
2. inverter B1 has a history of late starts most of the days in month</t>
  </si>
  <si>
    <t>1. SR105192
2. SR106435, SR106650</t>
  </si>
  <si>
    <t>1. Site has not communicated since 5/14/25,  inverter 3 offline from 3/19/25 and LOTOd.  inverter 1 offline from 3/18/25. inverter 2 offline from 3/18/25. inverter 4 offline from 3/23/25 and  inverter 4 tripped offline since 8/28/25.</t>
  </si>
  <si>
    <t>1. Inverter E offline (LOTO'd on 6/12/24). inverter A underperforming by 17kW. Inverter G underperforming by 7kW. Inverter F underperforming by 5kW. for whole month.
2. inverters G was offline at 07:00 on 09/24 and later back online at 09:45 on 09/25.</t>
  </si>
  <si>
    <t>1. SR102283
2. SR106774</t>
  </si>
  <si>
    <t>SR106774</t>
  </si>
  <si>
    <t>1. Inverter J tripped offline at 14:00 on 09/18 and reporting "arc fault" and remained offline through out the month.
2. Inverter 7 was offline at 07:00 on 09/20 and remained offline through out the month.</t>
  </si>
  <si>
    <t>1. SR108297, SR108307
2. SR108307</t>
  </si>
  <si>
    <t>SR108307</t>
  </si>
  <si>
    <t>1.Inverter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</si>
  <si>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1.SR102886</t>
  </si>
  <si>
    <t xml:space="preserve">1.Inverter 3 was underperforming by 5kW, likely down a string. Inverter 4, 5 derating by 8kW and reporting external fan error for whole month.  
</t>
  </si>
  <si>
    <t>1.SR102281</t>
  </si>
  <si>
    <t>1.Inverter 17, H 21, I 22, L 25, O28, 30, R 31, S 32, T 33 were offline and LOTO'd. Inverter 26 underperforming by 12kW for whole month. Inverter J - 23 underperforming by 4 kW. 
2.Inverter N remained offline since 07/27 and reporting "ARC fault"
3.Inverters G and P were undeperforming by 4kw each throughout the month</t>
  </si>
  <si>
    <t>1.SR102329
2.SR105139
3.SR105139</t>
  </si>
  <si>
    <t>1.Inverter 4 is underproducing by approximately 12kW  and inverter 3 is underproducing by 3kW compared to it peer inverters whole month</t>
  </si>
  <si>
    <t>1.Inverter D tripped offline at 12:45pdt on 09/24 reporting "Arc Fault".
2. Inverters A,B,C,D,E,F,G, H were offline and LOTO'd.Inverter B was back online at 11:00pdt on 09/23.</t>
  </si>
  <si>
    <t>1.SR108501
2.SR107991,SR102310</t>
  </si>
  <si>
    <t>SR107991</t>
  </si>
  <si>
    <t>SR102310</t>
  </si>
  <si>
    <t>1.SR102450</t>
  </si>
  <si>
    <t>1.Inverters A, B, C are underperforming by 50% and  Inverter G is underperforming by 3 kW - possibly soiling.
2.Inverters D, F, H were offline. for whole month.</t>
  </si>
  <si>
    <t>1.SR106842
2.SR102425</t>
  </si>
  <si>
    <t>SR102425</t>
  </si>
  <si>
    <t xml:space="preserve">1.SR102820
2.SR104290
</t>
  </si>
  <si>
    <t>1.Inverter 9 was derating by 30kw since 09/23 and reporting external fan error.
2.Inverter 12 was derating at 40kw at 11:30 cdt on 08/30 due to "External Fan Err - ExtFanerr" and issue was resolved on 09/08.
3.Inverter 3 was derating at 40kw since 11:00 on 08/20 reporting "external fan error"
4. Inverter 8 has been derating by 40 kW due to an 'External Fan Fault' since 07/10 and futher trobleshooting is required.</t>
  </si>
  <si>
    <t>1.SR108494
2.SR107231
3.SR106851
4.SR103869</t>
  </si>
  <si>
    <t>SR107231</t>
  </si>
  <si>
    <t>1.Inverter 1 is derating by 50kW and reporting "Real Time Clock Error"throughout the month.
2.Inverter 3 tripped offline at 13:00MST on 08/29 and was back online at 12:15MST on 09/17.</t>
  </si>
  <si>
    <t>1.SR108282,SR103868
2.SR106301</t>
  </si>
  <si>
    <t>SR103868</t>
  </si>
  <si>
    <t>1.SR103867</t>
  </si>
  <si>
    <t>1.SR103866</t>
  </si>
  <si>
    <t>1.SR104456</t>
  </si>
  <si>
    <t>1.Inverters 1.1.5.1, 1.1.5.2, 1.1.5.3 and 1.1.5.4 tripped offline at 12:15 on 09/23, reporting grid phase voltage out of range and were back online at 09:15 on 09/24.
2.Inverter 1.1.3.4 was tripped offline at 10:00 on 09/03 and reporting "Insulation Resistance Low - IsolationErr" was back online at 10:45 on the same day.Inverter was tripping daily since 09/04  due to isolation faults and issue resolve on 09/08.</t>
  </si>
  <si>
    <t>1.SR108426
2.SR107661</t>
  </si>
  <si>
    <t>SR107661</t>
  </si>
  <si>
    <t>1. Inverter 16 has been derating by up to 40 kW since 10/24/2024.
2. Inverter 28 has been underperforming by 10 kW due to DC current being offline since 11/08/2022 and will be investigated during the next site visit.</t>
  </si>
  <si>
    <t>1.SR103946
2.SR104855,SR103946</t>
  </si>
  <si>
    <t>1. Inverters 4 and 5 have been derating by approximately 6 kW since 02/05 to end of the september.</t>
  </si>
  <si>
    <t>1.Site was offline at 16:00 on 09/19 and was back online at 09:45 on 09/21.</t>
  </si>
  <si>
    <t>1.SR108309</t>
  </si>
  <si>
    <t>October Actual v. Expected</t>
  </si>
  <si>
    <t>October Actual v. Forecasted</t>
  </si>
  <si>
    <t>Status</t>
  </si>
  <si>
    <t>1. Closed</t>
  </si>
  <si>
    <t>1. Pending
2. Pending
3. Completed, Pending
4. Closed, Pending
5. Completed</t>
  </si>
  <si>
    <t xml:space="preserve">1. Inverter 13 was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
</t>
  </si>
  <si>
    <t xml:space="preserve">1. SR098870
2. SR099461
</t>
  </si>
  <si>
    <t>1.Closed
2.Closed</t>
  </si>
  <si>
    <t>1. Inverter 1.4 being RMA'd.
2. Inverter 3.5 has been offline since 14:45 on 07/04 and is back online on 10/17</t>
  </si>
  <si>
    <t>1. SR107775
2. SR104023</t>
  </si>
  <si>
    <t>1. Pending
2.Closed</t>
  </si>
  <si>
    <t>SR104023</t>
  </si>
  <si>
    <t>1. Site was offline from 17:30 on 10/26 to end of the month.
2. Site was offline from 18:30 on 10/19 to 12:30 on 10/22.
3. Site was offline from 06:30 to 11:15 on 10/08.</t>
  </si>
  <si>
    <t>1. SR110027
2. SR109753
3. SR109179</t>
  </si>
  <si>
    <t>1. Pending
2. Closed
3. Closed</t>
  </si>
  <si>
    <t>SR109753</t>
  </si>
  <si>
    <t>SR109179</t>
  </si>
  <si>
    <t>1. Inverter 9 derated at 40kW from 06/01 to 06/05 and reporting "External Fan Err - ExtFanerr" and inverter is under RMA for replacement fans.
2.Site tripped offline at 15:30 on 10/30 and remained offline through out the month.</t>
  </si>
  <si>
    <t>1. SR102209
2.SR110401</t>
  </si>
  <si>
    <t>1.Completed
2. Closed</t>
  </si>
  <si>
    <t>SR110401</t>
  </si>
  <si>
    <t>1. Inverter 7 was offline from 10/15 to end of the month.</t>
  </si>
  <si>
    <t>1. SR109506</t>
  </si>
  <si>
    <t>1. Pending</t>
  </si>
  <si>
    <t>1. Inverter 6 was offline from 10/01 to 10/16.
2. Site was offline from 12:00 on 10/21 to 18:00 on 10/22.</t>
  </si>
  <si>
    <t>1. SR107872
2. SR109812</t>
  </si>
  <si>
    <t>1. Closed
2. Closed</t>
  </si>
  <si>
    <t>SR109812</t>
  </si>
  <si>
    <t>1.Inverter C5 is underperformimg by 5kW due to broken panel on string C5-7</t>
  </si>
  <si>
    <t>1.SR106831</t>
  </si>
  <si>
    <t>1. Inverter 3 was derated to 40kW from 12:15 on 10/02 to 16:00 on 10/04.</t>
  </si>
  <si>
    <t>1. SR108311</t>
  </si>
  <si>
    <t>1. Inverter 45 was being offline for most of the days in the month.
2. Inverter 16 was being offline fr most of the days in the month.</t>
  </si>
  <si>
    <t>1. SR109383
2. SR109222</t>
  </si>
  <si>
    <t>1. closed
2. pending.</t>
  </si>
  <si>
    <t>SR109222</t>
  </si>
  <si>
    <t xml:space="preserve">1. Site was offline from 13:00 to 15:00 on 10/20. </t>
  </si>
  <si>
    <t>1. SR108881</t>
  </si>
  <si>
    <t>1. Inverter 5 being for replacement.
2. Few modules need to be replaced.</t>
  </si>
  <si>
    <t>1. SR107579
2. SR110134</t>
  </si>
  <si>
    <t>1. Pending
2. Pending</t>
  </si>
  <si>
    <t>SR110134</t>
  </si>
  <si>
    <t>1. Inverters  1 through 13 were offline from 10/15 to 10/27.</t>
  </si>
  <si>
    <t>1. SR109491</t>
  </si>
  <si>
    <t>1. Inverter 10 was offline for whole month.
2. Inverter 7 was offline for whole month.
3. Inverter 1 was offline for whole month.
4. Inverter 4 was offline for whole month.
5.Meter stopped communicating at 07:00 AM on 09/15 and production can be verified at inverters level. Actual values are taken from total inverters production data.</t>
  </si>
  <si>
    <t>1. SR108422
2. SR106514
3. SR106483
4. SR106806	
5.SR106806</t>
  </si>
  <si>
    <t>1. pending
2. Pending
3. Pending
4. Pending
5.Pending</t>
  </si>
  <si>
    <t>SR106483</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</si>
  <si>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
4. Inverter 2 tripped offline at 07:00 on 09/20, reporting "Operating state: Error (1392)", and has remained offline throughout the remainder of the month.
5. Inverter 1 is underperforming by 170kW down since 10:45 on 10/29.
6.Weather station has started communicating from 10:45 on 10/23</t>
  </si>
  <si>
    <t>1. SR104192
2. SR102794, PM10647
3. SR105489
4. SR107586, SR108491
6.SR109906</t>
  </si>
  <si>
    <t>1. Closed
2. Denied
3. pending
4. Work in progress
6. Work in progress</t>
  </si>
  <si>
    <t>SR109906</t>
  </si>
  <si>
    <t xml:space="preserve">1.  RCB-1, 1.7 is offline, and RCB-1, 1.1 RCB-1, 1.2, RCB-1, 1.3, RCB-1, and RCB-1, 1.4 are down strings from 9/22.
2.  inverter 2 has tripped at 8:45 on 10/06 and reporting "contactor: The mains contactor opened." and later self resolved and back online at 07:00 on 10/07. It tripped offline at 08:15 on 10/'09 and  reporting "contactor: The mains contactor opened."  and back online at 07:00 on 10/07. and once again tripped at 8:45 on 10/17 and reporting "contactor: The mains contactor opened." and back online at 12:00 on 10/18. and tripping on and off for the rest of the month
3. Actual vs expected delta is showing 20% due to expected energy recording low possibly due to data glitch (similar event observe last 2 years).
</t>
  </si>
  <si>
    <t>1. SR108496
2. SR109104</t>
  </si>
  <si>
    <t>SR109104</t>
  </si>
  <si>
    <t>1. pending</t>
  </si>
  <si>
    <t>1. Actual vs expected delta is showing 18% due to expected energy recording low possibly due to data glitch (similar event observe last 2 years).</t>
  </si>
  <si>
    <t>1. pending
2. Closed</t>
  </si>
  <si>
    <t>1. The POA has been reading 0 W/m2 since 08/01/23 to end of the month.
2. 200 Modules were damaged and need to be replaced.
3. Site were offline at 07:00 on 10/19 and back online at 01:15 on 10/23.</t>
  </si>
  <si>
    <t>1. SR101034
2. SR103779,  SR102621
3. SR109841</t>
  </si>
  <si>
    <t>1. pending
2. Closed
3. Pending</t>
  </si>
  <si>
    <t>SR109841</t>
  </si>
  <si>
    <t xml:space="preserve">1. Closed
</t>
  </si>
  <si>
    <t>1. 10 modules were broken and will need to be replaced
2. Inverter was underproducing 100kW down from 08/23/23.
3. meter stopped communicating at 06:15 on 07/01.</t>
  </si>
  <si>
    <t>1. SR105366, PM16547
2. SR101100, SR107802
3. SR108849</t>
  </si>
  <si>
    <t xml:space="preserve">1. pending
2. Pending
3. Pending
</t>
  </si>
  <si>
    <t>SR108849</t>
  </si>
  <si>
    <t xml:space="preserve">1. Pending
2. Pending </t>
  </si>
  <si>
    <t>1. SR102419, SR105494, SR107209</t>
  </si>
  <si>
    <t>SR105494</t>
  </si>
  <si>
    <t>1. Inverter E offline (LOTO'd on 6/12/24). inverter A underperforming by 17kW. Inverter G underperforming by 7kW. Inverter F underperforming by 5kW. for whole month.
2. Inverter A were offline at 07:00 on 10/01 and back online at 12:45 on 10/01. It also started late on most days during the month.
3. Inverter G were offline at 07:00 on 10/14 and back online at 12:45 on 10/01. It also started late on most days during the month.</t>
  </si>
  <si>
    <t>1. SR102283
2. SR108846
3. SR109533</t>
  </si>
  <si>
    <t>1. Denied
2. pending
3. pending</t>
  </si>
  <si>
    <t>SR108846</t>
  </si>
  <si>
    <t>SR109533</t>
  </si>
  <si>
    <t>1. Denied</t>
  </si>
  <si>
    <t>1. SR102416, SR105908</t>
  </si>
  <si>
    <t>SR105908</t>
  </si>
  <si>
    <t>1. Denied
2. Denied
3. Denied
4. pending</t>
  </si>
  <si>
    <t>1. Inverter J tripped offline at 14:00 on 09/18 and reporting "arc fault" and remained offline through out the month.
2. Inverter F was offline at 07:00 on 09/20 and remained offline through out the month.
3. Inverter L were offline at 07:00 on 10/14 due to an "isolation fault" and back online at 12:00 on 10/19.
4. Inverter M were offline at 07:00 on 10/14 due to an "isolation fault" and back online at 12:00 on 10/19.
5. Inverter D were offline at 07:00 on 10/14 and back online at 17:00 on 10/22.</t>
  </si>
  <si>
    <t>1. SR108297, SR108307
2. SR108307
3. SR109597, SR109599
4. SR109598, SR109599
5. SR109599</t>
  </si>
  <si>
    <t>1. pending
2. Pending
3. Pending
4. Pending
5. pending</t>
  </si>
  <si>
    <t>SR109597</t>
  </si>
  <si>
    <t>SR109599</t>
  </si>
  <si>
    <t>SR109598</t>
  </si>
  <si>
    <t>1.Inverter 14 tripped offline on 07/03 at 12:45.  Inverters 1,3, 4,9, 12, 14, 15,16, 17,18,19, 20, 21, 24, 26, 27, were offline and LOTO'd. Inverter 2 underperforming by 13kW. Inverter 8 underperforming by 17kW. Inverter 5 underperforming by 10kW. Inverter 6 underperforming by 9 kW. Inverter 11, 14 underperforming by 5kW. Inverters 4,9 and 12 are back online at 16:00 on 10/30 and remaining inverters are under RMA'd.
2. Inverter 6 was offline at 07:00 on 10/02 and back online at 12:00 on 10/05.
3. Inverter 2 went offline at 07:00 on 10/01 due to an arc fault.and remained offline for the rest of the month.</t>
  </si>
  <si>
    <t>1. SR102886
2. SR107512
3. SR108834</t>
  </si>
  <si>
    <t>1. Denied
2. Pending 
3. Work in progress</t>
  </si>
  <si>
    <t>SR107512</t>
  </si>
  <si>
    <t>SR108834</t>
  </si>
  <si>
    <t xml:space="preserve">1. Inverter 3 was underperforming by 5kW, likely down a string. Inverter 4, 5 derating by 8kW and reporting external fan error for whole month.  
</t>
  </si>
  <si>
    <t>1.  Inverter 3 is underperforming by 10 kW for whole month.</t>
  </si>
  <si>
    <t>1. SR109629</t>
  </si>
  <si>
    <t>1. Inverter E2.04 was derating due to a fan fault for whole month.</t>
  </si>
  <si>
    <t>1. SR101986, SR102503</t>
  </si>
  <si>
    <t>SR102503</t>
  </si>
  <si>
    <t>1.  Inverter A, B, G offline from 2/20/25 and LOTOd.  Inverter D, E, F, I offline from 2/20/25 and LOTOd.</t>
  </si>
  <si>
    <t>1. Inverter B-2 offline from 2/28/25 and LOTO'd ". Inverter D-4 offline from 2/28/25 and LOTO'd. Inverter  8 offline 5/6/25 was replaced but not communicating. inverter I-9 offline from 5/17/25. inverter 10 underperforming by 10 kW. Inverter F-6 was offline.
2. Inverter C3 was offline throughout the month.
3. POA data inaccurate. Reading a constant 1237.82 W/m2 intermittently.
4. Inverter K11 was offline since  07/23.</t>
  </si>
  <si>
    <t>1. SR102321, SR108902
2. SR103636
3. SR102539
4. SR104882</t>
  </si>
  <si>
    <t xml:space="preserve">1. Pending
2. Denied
3. Denied
4. Pending </t>
  </si>
  <si>
    <t>SR108902</t>
  </si>
  <si>
    <t>1. Inverter 17, H 21, I 22, L 25, O 28, 30, R 31, S 32  were offline and LOTO'd. Inverter 26 underperforming by 12kW for whole month. Inverter J - 23 underperforming by 4 kW. 
2. Inverter N tripped offline at 10:00 on 07/27, reporting an “ARC fault,” and back online at 12:45 on 10/21.
3. Inverters G and P were undeperforming by 4kw each throughout the month
4. Inverter J tripped offline at 12:45 on October 7 and remained offline for the rest of the month.</t>
  </si>
  <si>
    <t>1. SR102329
2. SR105139
3. SR106828
4. SR109164</t>
  </si>
  <si>
    <t>1. Denied
2. pending 
3. pending
4. Closed</t>
  </si>
  <si>
    <t>SR106828</t>
  </si>
  <si>
    <t>SR109164</t>
  </si>
  <si>
    <t>1. Inverter 30 offline for whole month. Inverter 33 underperforming by 7 kW each for whole month. Inverter 31 underperforming by 18 kW for whole month.</t>
  </si>
  <si>
    <t>1. denied</t>
  </si>
  <si>
    <t>1. Inverter 4 is underproducing by approximately 12kW  and inverter 3 is underproducing by 3kW compared to it peer inverters whole month.
2. Inverter E has tripped offline at 15:15 on 10/27.</t>
  </si>
  <si>
    <t>1.Inverter D tripped offline at 12:45pdt on 09/24 reporting "Arc Fault".
2. Inverters A,C,D,E,F,G, H were offline and LOTO'd.</t>
  </si>
  <si>
    <t>1. Inverter 1 underperforming by 4kW from 07/10 due to 1 string down.</t>
  </si>
  <si>
    <t>1. Inverters A,C,J,  were offline and LOTO'd. Inverter I was offline for whole month.  Inverter B,D,E,F,G,H are not communicating from 6/14/24; meter indicates 3 of these inverters are offline.
2. Weather station reading erroneous values since 10/07</t>
  </si>
  <si>
    <t>1. Inverters 19, 20,21, 26 were offline for whole month and LOTO'd . Inverter 22,23 underperforming by 13 kW each through out the month.</t>
  </si>
  <si>
    <t>1.SR102413, SR108898</t>
  </si>
  <si>
    <t>SR108898</t>
  </si>
  <si>
    <t>1.SR106842
2.SR102425, SR106842</t>
  </si>
  <si>
    <t>1. pending
2. Pending</t>
  </si>
  <si>
    <t xml:space="preserve">1. Denied
2. pending </t>
  </si>
  <si>
    <t>1. Inverter A has been offline and LOTO'd since 06/14/2024. Inverter D has been offline since 05/30/2025 due to an 'Arc Fault.
2. Inverter B was offline at 07:00 on 10:14 and back online at 12:15 on 10/17.</t>
  </si>
  <si>
    <t>1. SR102423
2. SR108298</t>
  </si>
  <si>
    <t>SR108298</t>
  </si>
  <si>
    <t>1. Inverters A, B, E, and G are offline due to "Arc Fault" and have been LOTO'd since 11/26. Inverter C is also offline and LOTO'd since 11/26/24.
2. Site stopped communicating from 09/23 to DAS.</t>
  </si>
  <si>
    <t>1. SR102421
2.SR108404</t>
  </si>
  <si>
    <t>1.Denied
2.Pending</t>
  </si>
  <si>
    <t>SR108404</t>
  </si>
  <si>
    <t>1.Inverter D,H,K were underperforming by 6 kW each since 06/03; possible string down.
2. Inverter F started late on most days during the month.</t>
  </si>
  <si>
    <t xml:space="preserve">1. SR102420, SR109601
2. SR109601
</t>
  </si>
  <si>
    <t xml:space="preserve">1. pending
2. Pending
</t>
  </si>
  <si>
    <t>SR109601</t>
  </si>
  <si>
    <t>1. Inverter 9 was derating by 30kw since 09/23 and reporting external fan error.
2. Inverter 3 was derating at 40kw since 11:00 on 08/20 reporting "external fan error"
3. Inverter 8 has been derating by 40 kW due to an 'External Fan Fault' since 07/10 and futher trobleshooting is required.
4. inverter 5 derating midday by 20kW and reporting "external fan error" from 10/26</t>
  </si>
  <si>
    <t>1. SR108494
2. SR106851
3. SR103869
4. SR110121</t>
  </si>
  <si>
    <t xml:space="preserve">1. pending
2. Pending
3. Pending
4. Pending
</t>
  </si>
  <si>
    <t>SR110121</t>
  </si>
  <si>
    <t xml:space="preserve">1. Inverter 1 is derating by 50kW and reporting "Real Time Clock Error"throughout the month.
</t>
  </si>
  <si>
    <t xml:space="preserve">1. SR108282,
SR103868
</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</si>
  <si>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
2. Inverter 19 tripped offline at 10:45 on 10/27.</t>
  </si>
  <si>
    <t>1. Inverter 3 (as per DAS inverter 1.1.1.3) tripped offline at 13:30 on 07/22 and is reporting a “Grid Phase Voltage Out of Range” fault. The inverter is currently under RMA'd.</t>
  </si>
  <si>
    <t>1. SR104776</t>
  </si>
  <si>
    <t>1.SR103946
2.SR104855</t>
  </si>
  <si>
    <t>1.Pending
2.Closed</t>
  </si>
  <si>
    <t>1. Inverters 4 and 5 are capping at 15 kW.Quote has expired</t>
  </si>
  <si>
    <t>1.SR106885</t>
  </si>
  <si>
    <t>1.Closed</t>
  </si>
  <si>
    <t>November Actual v. Expected</t>
  </si>
  <si>
    <t>November Actual v. Forecasted</t>
  </si>
  <si>
    <t>1. inverter 1 was offline on  11/04, 11/05, 11/06, 11/08, 11/09, 11/11, 11/13,  11/16,11/18, 11/24, 11/26, 11/28 for whole day and started late on 11/14 at 11:00.
2.  Inverter 12 was significantly affected by shading, resulting in a 6 kW reduction in output. This issue is more likely to occur on high irradiance days throughout the month.
3. Inverters 3, 4, 8, 9, 10, 13 have heavy shading in morning hours.</t>
  </si>
  <si>
    <t>1. SR110895
2. SR099290</t>
  </si>
  <si>
    <t>1. Meter is only capturing 2/3 of inverter output for whole month. Likely a fuse blown on a meter phase.
2. Inverter g was offline for whole month.
3. Inverter I was offline for whole month.
4. Inverters N and P were offline for whole month. Inverter O was offline from 10:00 on 11/22 to end of the month.</t>
  </si>
  <si>
    <t>1. SR111394
2. SR107271
3. SR105924
4. SR105701</t>
  </si>
  <si>
    <t>1. Pending
2. Pending
3. Pending
4 Pending</t>
  </si>
  <si>
    <t>SR107271</t>
  </si>
  <si>
    <t>SR105701</t>
  </si>
  <si>
    <t xml:space="preserve">1. Inverter 9 was offline from 14:00 on 11/11 to end of the month.
</t>
  </si>
  <si>
    <t>1. SR110899</t>
  </si>
  <si>
    <t>1. Pendiing</t>
  </si>
  <si>
    <t>1. Inverter 1.4 was offline from 11/01 to 06:45 on 11/08.
2. Inverter 1.2 was offline from 06:00 on 11/07 to end of the month and being RMA'D.</t>
  </si>
  <si>
    <t>1. SR110774
2. SR110773</t>
  </si>
  <si>
    <t>1. Closed
2. Pending</t>
  </si>
  <si>
    <t>SR110773</t>
  </si>
  <si>
    <t>1. Inverters 1 and 17 have seasonal shading in the morning.</t>
  </si>
  <si>
    <t>1. Site was offline from 07:30 to 09:45 on 11/01 and PAD B was offline from 12:00 to 01:00 on 11/01.
2.Inverter 3 having morning shading and 6 having evening shading.</t>
  </si>
  <si>
    <t>1. SR110400</t>
  </si>
  <si>
    <t>1. Site was offline from 07:30 to 14:00 on 11/01.
2. Inverter 12 was offline on 11/06 for whole day.</t>
  </si>
  <si>
    <t>1. SR110401
2. SR110720</t>
  </si>
  <si>
    <t xml:space="preserve">1. Closed
2. Closed
</t>
  </si>
  <si>
    <t>SR110720</t>
  </si>
  <si>
    <t xml:space="preserve">1. Inverter 7 was offline from 10/15 to 10:00 on 11/05.
</t>
  </si>
  <si>
    <t>1.Inverter 5 dropped a string on 06/11.Quote has expired, client has been notified twice</t>
  </si>
  <si>
    <t>1.SR103239</t>
  </si>
  <si>
    <t>1.Denied</t>
  </si>
  <si>
    <t>1. Site was bearly produced on  11/10, 11/30 due to bad weather.
2. Inverter 34 was offline from 06:30 on 11/10
3.Inverter 16 started late for the production at 13:00 on 11/10</t>
  </si>
  <si>
    <t xml:space="preserve">
2. SR108705
3.SR109222</t>
  </si>
  <si>
    <t>2.Pending
3.Pending</t>
  </si>
  <si>
    <t>1. Site was offline from 06:00 to 09:00 on 11/22 and PAD A inverters started late at 10:00 on 11/23.
2. Inverter 6 has heavy shading in the morning.</t>
  </si>
  <si>
    <t>1.Inverters 9, 12, &amp; 18 were offline for whole month.
2. Inverter 6 was offline for whole month.
3. Inverter 5 was offline for whole month.
4. Inverter 8 was offline on 11/26</t>
  </si>
  <si>
    <t>1. SR098076
2. SR110133
3. SR107579
4. SR107791</t>
  </si>
  <si>
    <t>1. Pending
2. Closed
3. Pending
4. Closed</t>
  </si>
  <si>
    <t>SR110133</t>
  </si>
  <si>
    <t>SR107579</t>
  </si>
  <si>
    <t>1. Inverters 5 and 7 are derating at 10kW during Peak hours for whole month.
2. Inverters 1 to 13 were offline from 10/15 to 09:00 on 11/01</t>
  </si>
  <si>
    <t>1. SR108704
2. SR109491</t>
  </si>
  <si>
    <t>1. Pending
2. Closed</t>
  </si>
  <si>
    <t>SR109491</t>
  </si>
  <si>
    <t>1. Inverters 1 and 7 were offline for whole month.
2. Inverter 3 one string was down for whole month.
3. Inverters 4 and 10 were offline for whole month.
4. Meter was not communicated for whole month but, production can be verified at inverters.Actual values are taken from total inverters production data.</t>
  </si>
  <si>
    <t>1.SR106483, SR106514
2. SR104354
3. SR106806
4. SR107509</t>
  </si>
  <si>
    <t>SR104354</t>
  </si>
  <si>
    <t>SR107509</t>
  </si>
  <si>
    <t>1. Site was offline on 11/30 due to bad weather.</t>
  </si>
  <si>
    <t>1. Inverter 3 RCD board being RMA'd.</t>
  </si>
  <si>
    <t>1. SR109147</t>
  </si>
  <si>
    <t>1. 1 inverter was being RMA'd.</t>
  </si>
  <si>
    <t>1. SR111507</t>
  </si>
  <si>
    <t>1. Meter was not communicated for whole month but, production was verified at inverters.Actual values are taken from total inverters production data.
2. Inverter 1 was underperformed by 160kW from 10/29 to 09:00 on 11/07.
3. Inverter 2 was offline from 06:00 on 11/16 to 09:45 on 11/18 and again was offline from 06:00 on 11/20 to end of the month.</t>
  </si>
  <si>
    <t>1. SR105489
2.  SR110709
3. SR110275, SR110357, SR111172</t>
  </si>
  <si>
    <t>1. Pending
2. Closed
3. Closed, Closed, Pending</t>
  </si>
  <si>
    <t>SR110709</t>
  </si>
  <si>
    <t>SR110275</t>
  </si>
  <si>
    <t>SR110357</t>
  </si>
  <si>
    <t>SR111172</t>
  </si>
  <si>
    <t>1. Inverter 2 frequently tripping offline for whole month.
2. Site was offline from 11:30 to 12:00 on 11/19
3. Inverter 1 was offline from 11:30 to 19:00 on 11/19 and was again offline from 13:00 to 19:00 on 11/24. 
4. Inverter 3 was offline from 08:30 on 11/22  and back online on 11/23</t>
  </si>
  <si>
    <t>1. SR109814
3. SR111366, SR111491
4. SR111489</t>
  </si>
  <si>
    <t>1. Pending
3. Pending
4. Closed</t>
  </si>
  <si>
    <t>SR111366</t>
  </si>
  <si>
    <t>SR111491</t>
  </si>
  <si>
    <t>SR111489</t>
  </si>
  <si>
    <t>1. Actual vs expected delta is showing 16% due to expected energy recording low possibly due to data glitch (similar event observe last 2 years).</t>
  </si>
  <si>
    <t>1. Actual vs expected delta is showing 12% due to expected energy recording low possibly due to data glitch (similar event observe last 2 years).</t>
  </si>
  <si>
    <t>1. Meter was not capturing full production of inverters for whole month. So the net energy was taken from inverters.
2. 2 modules need to be replaced.</t>
  </si>
  <si>
    <t>1. SR106082
2. SR106056</t>
  </si>
  <si>
    <t>SR106056</t>
  </si>
  <si>
    <t>1. Site was offline from 06:00 on 11/28 to end of the month.
2. Site was offline from 11/09 to 11/12 due to bad weather.
3.Inverter 2 underperforming by approximately 70 kW and inverter 1 is underperforming by approximately 120 kW. When looking at previous years during the same time frame this trend is relevant and scheduled during PM.</t>
  </si>
  <si>
    <t>1. SR111833
3.SR101963</t>
  </si>
  <si>
    <t>1. Pending
3.Closed</t>
  </si>
  <si>
    <t>SR101963</t>
  </si>
  <si>
    <t>1. Both inverters were underproducing due to multiple modules were burnt out and broken.</t>
  </si>
  <si>
    <t>1. Inverter B started underperforming by 1/3rd on 11/19 to end of the month.
2. The POA has been reading 0 W/m2 since 08/01/23 to end of the month.</t>
  </si>
  <si>
    <t>1. SR111395
2. SR101034</t>
  </si>
  <si>
    <t>1. Weather station was not communicated for whole month.
2. 4 modules need to be replaced.</t>
  </si>
  <si>
    <t>1. SR100915
2. SR104930</t>
  </si>
  <si>
    <t>SR104930</t>
  </si>
  <si>
    <t>1. Inverter was offline from 11/01 to 13:00 on 11/13.
2.10 modules were broken and will need to replaced</t>
  </si>
  <si>
    <t>1. SR107802, SR108849
2.SR105366</t>
  </si>
  <si>
    <t>1. Pending, Closed
2.Pending</t>
  </si>
  <si>
    <t>SR105366</t>
  </si>
  <si>
    <t>1.  Inverters E2, E4, and G4 were offline for whole month and  inverter A3, 2 strings down 0 voltage since 07/25. Inverter A2 1 string down 0 voltage.
2. inverter B1 has a history of late starts most of the days in month
3.Site was taken offline at 11:00 on 11/14 and back online at 15:00 on 11/08</t>
  </si>
  <si>
    <t>1. SR105192
2. SR106435, SR106650
3.SR111059</t>
  </si>
  <si>
    <t>1. Pending
2. Pending 
3.Closed</t>
  </si>
  <si>
    <t>SR111059</t>
  </si>
  <si>
    <t>1. Inverter 3 offline from 3/19/25 and LOTOd.  inverter 1 offline from 3/18/25. inverter 2 offline from 3/18/25. inverter 4 was offline since 8/28/25.</t>
  </si>
  <si>
    <t>1. Closed, Closed,  Pending</t>
  </si>
  <si>
    <t>1. Inverter A was offline for almost for whole month.
2. Inverter G was offline almost for whole month.
3. Inverter E was offline for whole month.</t>
  </si>
  <si>
    <t>1. SR108846
2. SR109533
3. SR102283</t>
  </si>
  <si>
    <t>1. Pending
2. Pending
3. Denied</t>
  </si>
  <si>
    <t>1. Inverter J tripped offline at 14:00 on 09/18 and reporting "arc fault" and remained offline through out the month.
2. Inverter F was offline at 07:00 on 09/20 and remained offline through out the month.
3. Inverters M, L, and D are starting late throughout the month.</t>
  </si>
  <si>
    <t>1. SR108297, SR108307
2. SR108307
3. SR109599</t>
  </si>
  <si>
    <t xml:space="preserve">1.Inverter 14 tripped offline at 12:45 on 07/03.  Inverters 2, 3, 15,17, 20, 24, 26, 27, were offline and LOTO'd. Inverter 2 underperforming by 13kW. Inverter 8 underperforming by 17kW. Inverter 5 underperforming by 10kW. Inverter 6 underperforming by 9 kW. Inverter 11, 14 underperforming by 5kW. and remaining inverters are under RMA'd.
2. Inverter 6 was tripping on and Off throughout the month.
</t>
  </si>
  <si>
    <t xml:space="preserve">1. SR102286, SR111280
2. SR107512
</t>
  </si>
  <si>
    <t xml:space="preserve">1. Pending
2. Pending 
</t>
  </si>
  <si>
    <t>SR111280</t>
  </si>
  <si>
    <t>1. Inverter B-2 offline from 2/28/25 and LOTO'd ". Inverter D-4 offline from 2/28/25 and LOTO'd. Inverter  8 offline 5/6/25 was replaced but not communicating. inverter I-9 offline from 5/17/25. inverter 10 underperforming by 10 kW. Inverter F-6 was offline.
2. Inverter C3 was  tripped offline at 15:45, reporting "Arc Fault" and remained  throughout the month.
3. POA data inaccurate. Reading a constant 1237.82 W/m2 intermittently.
4. Inverter K11 was offline since  07/23.</t>
  </si>
  <si>
    <t>1. Inverter 17, H 21, I 22, L 25, O 28, 30, R 31, S 32  were offline and LOTO'd. Inverter 26 underperforming by 12kW for whole month. Inverter J - 23 underperforming by 4 kW. 
2. Inverters G and P were undeperforming by 4kw each throughout the month.
3. Inverter J tripped offline at 12:45 on October 7 and remained offline for the rest of the month.</t>
  </si>
  <si>
    <t>1. SR102329, SR108904
2. SR106828
3. SR109164</t>
  </si>
  <si>
    <t>1. pending
2. pending
3. Closed</t>
  </si>
  <si>
    <t>SR108904</t>
  </si>
  <si>
    <t>1. Inverter 30 offline for whole month. Inverter 33 underperforming by 7 kW each for whole month. Inverter 31 underperforming by 18 kW for whole month.
2. Inverter 31 tripped offline at 07:15 on 11/20 due to an isolation fault and back online at 08:15 on 11/21.</t>
  </si>
  <si>
    <t>1. SR102303
2. SR111390</t>
  </si>
  <si>
    <t>SR111390</t>
  </si>
  <si>
    <t>1. Inverter 4 is underproducing by approximately 12kW  and inverter 3 is underproducing by 3kW compared to it peer inverters whole month.
2. Inverter E has tripped offline at 15:15 on 10/27 and back online at 09:00 on 11/19.
3. Inverter B has tripped offline at 12:00 on 11/19 due to grid undervoltage and remained offline for the rest of the month.</t>
  </si>
  <si>
    <t>1. SR106531
2. SR105917
3. SR111359</t>
  </si>
  <si>
    <t>1. pending
2. Pending
3. Pending</t>
  </si>
  <si>
    <t>SR105917</t>
  </si>
  <si>
    <t>SR111359</t>
  </si>
  <si>
    <t>1. SR108501
2. SR107991,SR102310</t>
  </si>
  <si>
    <t>1. Inverters A,C,J,  were offline and LOTO'd. Inverter I was offline for whole month.  Inverter B,D,E,F,G,H are not communicating from 6/14/24; meter indicates 3 of these inverters are offline.
2. Weather station reading erroneous values since 10/07.</t>
  </si>
  <si>
    <t>1. SR102450
2. SR110375</t>
  </si>
  <si>
    <t>SR110375</t>
  </si>
  <si>
    <t>1. SR106842
2. SR102425, SR106842</t>
  </si>
  <si>
    <t xml:space="preserve">1. SR102820
2. SR104290
</t>
  </si>
  <si>
    <t xml:space="preserve">1. Denied
</t>
  </si>
  <si>
    <t>1. Inverter A has been offline and LOTO'd since 06/14/2024. Inverter D has been offline since 05/30/2025 due to an 'Arc Fault.
2. Inverter B is starting late on most days throughout the month.</t>
  </si>
  <si>
    <t>1. SR102421, SR108404
2. SR108404</t>
  </si>
  <si>
    <t xml:space="preserve">1. pending
2. Pending
3. Closed
4. Pending
</t>
  </si>
  <si>
    <t>1. Inverter 1 is derating by 50kW and reporting "Real Time Clock Error"throughout the month.</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</si>
  <si>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
2. Inverter 19 tripped offline at 10:45 on 10/27 and reported an ‘Interlock Fail.’ It remained offline throughout the month, and the inverter is currently under RMA.</t>
  </si>
  <si>
    <t>1. SR103867
2. SR110350</t>
  </si>
  <si>
    <t>SR110350</t>
  </si>
  <si>
    <t>1. Inverter 3 is experiencing multiple trippings throughout the month due to increased C-N line voltages.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</si>
  <si>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SR110610</t>
  </si>
  <si>
    <t>1. Inverter 3 (as per DAS inverter 1.1.1.3) tripped offline at 13:30 on 07/22 and reported a ‘Grid Phase Voltage Out of Range’ fault. It back online at 11:45 on 11/19.
2. Inverter 1.1.7.3 went down a string on 11/18. After the technician bypassed the module, the string came back online on 11/19.
3.Site tripped offline at 07:00 on 11/29, and the inverter reported a ‘Grid Phase Voltage Out of Range – GridV.OutLim’ fault. This was possibly caused by a main breaker trip, and the site remained offline for the rest of the month.</t>
  </si>
  <si>
    <t>1. SR104776
2. SR111277
3. SR111832</t>
  </si>
  <si>
    <t>1. Closed
2. Closed
3. New</t>
  </si>
  <si>
    <t>SR111277</t>
  </si>
  <si>
    <t>SR111832</t>
  </si>
  <si>
    <t>1. SR106885</t>
  </si>
  <si>
    <t>1. Site went offline at 08:45 on 11/12 due to an open recloser. After the technician closed the recloser, the site came back online at 12:15 on 11/13.
2. The site was taken offline at 07:42 on 11/19 due to a planned outage and came back online at 09:00 on 11/20.
3. Site went offline at 14:15 on 11/20 due to an open recloser. After the technician closed the recloser, the site came back online at 08:30 on 11/21.
4.  The site went offline at 13:15 on 11/24 due to an open relay. After the technician reset the relay, the site came back online at 13:15 on 11/25.</t>
  </si>
  <si>
    <t>1. SR110945
2. SR110990
3. SR111427
4. SR111679</t>
  </si>
  <si>
    <t>1. Closed
2. Closed
3. Closed
4. Closed</t>
  </si>
  <si>
    <t>SR110990</t>
  </si>
  <si>
    <t>SR111427</t>
  </si>
  <si>
    <t>SR111679</t>
  </si>
  <si>
    <t>December Actual v. Expected</t>
  </si>
  <si>
    <t>December Actual v. Forecasted</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</si>
  <si>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</si>
  <si>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</si>
  <si>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</si>
  <si>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</si>
  <si>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</si>
  <si>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</si>
  <si>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</si>
  <si>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</si>
  <si>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</si>
  <si>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</si>
  <si>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</si>
  <si>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</si>
  <si>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</si>
  <si>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</si>
  <si>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</si>
  <si>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</si>
  <si>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</si>
  <si>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</si>
  <si>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</si>
  <si>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</si>
  <si>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</si>
  <si>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</si>
  <si>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</si>
  <si>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</si>
  <si>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</si>
  <si>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</si>
  <si>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</si>
  <si>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</si>
  <si>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</si>
  <si>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</si>
  <si>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</si>
  <si>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</si>
  <si>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</si>
  <si>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</si>
  <si>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</si>
  <si>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</si>
  <si>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</si>
  <si>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</si>
  <si>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</si>
  <si>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</si>
  <si>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</si>
  <si>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</si>
  <si>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</si>
  <si>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</si>
  <si>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</si>
  <si>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</si>
  <si>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</si>
  <si>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</si>
  <si>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</si>
  <si>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</si>
  <si>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</si>
  <si>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</si>
  <si>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</si>
  <si>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</si>
  <si>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</si>
  <si>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</si>
  <si>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</si>
  <si>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</si>
  <si>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</si>
  <si>
    <t>PG&amp;E - Enerparc CA1</t>
  </si>
  <si>
    <t>Hollister - PG&amp;E (Enerparc)</t>
  </si>
  <si>
    <t>AEF</t>
  </si>
  <si>
    <t>Also Energy</t>
  </si>
  <si>
    <t>Kit Carson Electric Co-Op - Blue Sky One</t>
  </si>
  <si>
    <t>Taos County - Kit Carson Electric Co-Op</t>
  </si>
  <si>
    <t>NM</t>
  </si>
  <si>
    <t>Adams County - Adams City High School</t>
  </si>
  <si>
    <t>Commerce City - Adams City HS</t>
  </si>
  <si>
    <t>CO</t>
  </si>
  <si>
    <t>Adams County - Adams City Middle School</t>
  </si>
  <si>
    <t>Commerce City - Adams City MS</t>
  </si>
  <si>
    <t>Adams County - Adams Central Elementary School</t>
  </si>
  <si>
    <t>Commerce City - Central ES</t>
  </si>
  <si>
    <t>Adams County - Dupont Elementary School</t>
  </si>
  <si>
    <t>Commerce City - Dupont ES</t>
  </si>
  <si>
    <t>Adams County - Educational Support Services</t>
  </si>
  <si>
    <t>Commerce City - Educational Support Services</t>
  </si>
  <si>
    <t>Adams County - Hanson Elementary School</t>
  </si>
  <si>
    <t>Commerce City - Hanson ES</t>
  </si>
  <si>
    <t>Adams County -Kemp Elementary School</t>
  </si>
  <si>
    <t>Commerce City - Kemp ES</t>
  </si>
  <si>
    <t>Adams County - Lester Arnold High School</t>
  </si>
  <si>
    <t>Commerce City -  Lester Arnold HS</t>
  </si>
  <si>
    <t>Adams County - Monaco Elementary School</t>
  </si>
  <si>
    <t>Commerce City - Monaco ES</t>
  </si>
  <si>
    <t>Sheridan School Dist. - Northgate / Old Fort Logan</t>
  </si>
  <si>
    <t>Denver - Northgate / Old Fort Logan ES</t>
  </si>
  <si>
    <t>Sheridan School Dist. - Sheridan High School</t>
  </si>
  <si>
    <t>Denver - Sheridan High School</t>
  </si>
  <si>
    <t>Sheridan School Dist. - Alice Terry Elementary</t>
  </si>
  <si>
    <t>Englewood -  Alice Terry Elementary</t>
  </si>
  <si>
    <t>Sheridan School Dist. - Sheridan Middle School</t>
  </si>
  <si>
    <t>Englewood - Sheridan Middle School</t>
  </si>
  <si>
    <t>NIPSCO (Goshen) - MR Realty</t>
  </si>
  <si>
    <t>Goshen - NIPSCO</t>
  </si>
  <si>
    <t>IN</t>
  </si>
  <si>
    <t>City of Alamogordo - Effluent</t>
  </si>
  <si>
    <t>Alamogordo - City of Alamogordo - Effluent</t>
  </si>
  <si>
    <t>City of Alamogordo - WWTP</t>
  </si>
  <si>
    <t>Alamogordo - City of Alamogordo - WWTP</t>
  </si>
  <si>
    <t>City of Deming - Bilbo Booster</t>
  </si>
  <si>
    <t>Deming - Bilbo Booster</t>
  </si>
  <si>
    <t>City of Deming - Bilbo Well</t>
  </si>
  <si>
    <t>Deming - Bilbo Well</t>
  </si>
  <si>
    <t>City of Deming - WWTP</t>
  </si>
  <si>
    <t>Deming - WWTP</t>
  </si>
  <si>
    <t>WalMart Truth or Consequences</t>
  </si>
  <si>
    <t>Truth or Consequences - Walmart</t>
  </si>
  <si>
    <t>Stockton Unified School Dist. - Merlo</t>
  </si>
  <si>
    <t>CA: Stockton - SUSD - Merlo</t>
  </si>
  <si>
    <t>CA: Stockton - SUSD - Bush ES</t>
  </si>
  <si>
    <t>Stockton Unified School Dist. - Bush Elementary</t>
  </si>
  <si>
    <t>Stockton Unified School Dist. - Marshall Junior High</t>
  </si>
  <si>
    <t>CA: Stockton - SUSD - Marshall JHS</t>
  </si>
  <si>
    <t>Stockton Unified School Dist. - Hong-Kingston Elementary School</t>
  </si>
  <si>
    <t>CA: Stockton - SUSD - Hong-Kingston ES</t>
  </si>
  <si>
    <t>Stockton Unified School Dist. - Hamilton Elementary School</t>
  </si>
  <si>
    <t>CA: Stockton - SUSD - Hamilton ES</t>
  </si>
  <si>
    <t>Stockton Unified School Dist. - Franklin (North)</t>
  </si>
  <si>
    <t>CA: Stockton - SUSD - Franklin - North</t>
  </si>
  <si>
    <t>CA: Stockton - SUSD - Fillmore ES</t>
  </si>
  <si>
    <t>Stockton Unified School Dist. - Fillmore Elementary</t>
  </si>
  <si>
    <t>Stockton Unified School Dist. - El Dorado Elementary</t>
  </si>
  <si>
    <t>CA: Stockton - SUSD - El Dorado ES</t>
  </si>
  <si>
    <t>Stockton Unified School Dist. - Edison High School</t>
  </si>
  <si>
    <t>CA: Stockton - SUSD - Edison HS</t>
  </si>
  <si>
    <t>Stockton Unified School Dist. - Chavez High School (Large)</t>
  </si>
  <si>
    <t>CA: Stockton - SUSD - Chavez HS - Large</t>
  </si>
  <si>
    <t>GE Mobile Water - San Jose, CA</t>
  </si>
  <si>
    <t>CA: San Jose - GE Mobile Water</t>
  </si>
  <si>
    <t>Vallecitos Water District - Lift Station</t>
  </si>
  <si>
    <t>CA: San Marcos - Vallecitos Water - Lift Station</t>
  </si>
  <si>
    <t>Vallecitos Water District - Twin Oaks Reservoir</t>
  </si>
  <si>
    <t>CA: San Marcos - Vallecitos Water - Twin Oaks Reservoir</t>
  </si>
  <si>
    <t>Stockton Unified School Dist. - Wilhelmina Henry Elm.</t>
  </si>
  <si>
    <t>CA: Stockton - SUSD - Wilhelmina Henry ES</t>
  </si>
  <si>
    <t>Stockton Unified School Dist. - Franklin (South)</t>
  </si>
  <si>
    <t>CA: Stockton - SUSD - Franklin - South</t>
  </si>
  <si>
    <t>Stockton Unified School Dist. - Chavez High School (Small)</t>
  </si>
  <si>
    <t>CA: Stockton - SUSD - Chavez HS - Small</t>
  </si>
  <si>
    <t>Stockton Unified School Dist. - Facilities</t>
  </si>
  <si>
    <t>CA: Stockton - SUSD - Facilities</t>
  </si>
  <si>
    <t>Stockton Unified School Dist. - Harrison</t>
  </si>
  <si>
    <t>CA: Stockton - SUSD - Harrison</t>
  </si>
  <si>
    <t>Stockton Unified School Dist. - Commodore Stockton Skills School</t>
  </si>
  <si>
    <t>CA: Stockton - SUSD - Commodore Skills School</t>
  </si>
  <si>
    <t>Stockton Unified School Dist. - Nightingale Elementary School</t>
  </si>
  <si>
    <t>CA: Stockton - SUSD - Nightingale ES</t>
  </si>
  <si>
    <t>Stockton Unified School Dist. - Weber Institute</t>
  </si>
  <si>
    <t>CA: Stockton - SUSD - Weber Institute</t>
  </si>
  <si>
    <t>Stockton Unified School Dist. - Warehouse</t>
  </si>
  <si>
    <t>CA: Stockton - SUSD - Warehouse</t>
  </si>
  <si>
    <t>Stockton Unified School Dist. - Walton Special Center</t>
  </si>
  <si>
    <t>CA: Stockton - SUSD - Walton Special Center</t>
  </si>
  <si>
    <t>Stockton Unified School Dist. - Stagg High School</t>
  </si>
  <si>
    <t>CA: Stockton - SUSD - Stagg HS</t>
  </si>
  <si>
    <t>Stockton Unified School Dist. - School for Adults</t>
  </si>
  <si>
    <t>CA: Stockton - SUSD - School for Adults</t>
  </si>
  <si>
    <t>Stockton Unified School Dist. - San Joaquin</t>
  </si>
  <si>
    <t>CA: Stockton - SUSD - San Joaquin</t>
  </si>
  <si>
    <t>Stockton Unified School Dist. - Rio Calaveras</t>
  </si>
  <si>
    <t>CA: Stockton - SUSD - Rio Calaveras</t>
  </si>
  <si>
    <t>Stockton Unified School Dist. - Peyton</t>
  </si>
  <si>
    <t>CA: Stockton - SUSD - Peyton</t>
  </si>
  <si>
    <t>The Agnes Project - Concho Valley Electric</t>
  </si>
  <si>
    <t>TX: Barnhart - 42917 Ranch RD 2469</t>
  </si>
  <si>
    <t>TX</t>
  </si>
  <si>
    <t>San Manuel Sr &amp; Jr High School</t>
  </si>
  <si>
    <t>AZ: San Manuel - Senior &amp; Junior HS</t>
  </si>
  <si>
    <t>AZ</t>
  </si>
  <si>
    <t>A</t>
  </si>
  <si>
    <t>Fort Huachuca - Colonel Smith</t>
  </si>
  <si>
    <t>AZ: Sierra Vista - Colonel Smith MS</t>
  </si>
  <si>
    <t>Fort Huachuca - Colonel Johnston</t>
  </si>
  <si>
    <t>AZ: Sierra Vista - Colonel Johnston ES</t>
  </si>
  <si>
    <t>Dover High School</t>
  </si>
  <si>
    <t>NH: Dover - Dover HS</t>
  </si>
  <si>
    <t>NH</t>
  </si>
  <si>
    <t>Brandeis University - 30 Inner Belt</t>
  </si>
  <si>
    <t>MA: Somerville - 30 Inner Belt Rd</t>
  </si>
  <si>
    <t>Littleton Boxborough</t>
  </si>
  <si>
    <t>MA: Boxborough - 1414 Massachusetts Ave</t>
  </si>
  <si>
    <t>City of Amsterdam - Route 67</t>
  </si>
  <si>
    <t>NY: Amsterdam - 153 NY Route 67</t>
  </si>
  <si>
    <t>NY</t>
  </si>
  <si>
    <t>City of Rome NY - Tannery Road</t>
  </si>
  <si>
    <t>NY: Rome - 7776 Tannery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</si>
</sst>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5">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000000"/>
      <name val="Calibri"/>
      <charset val="1"/>
    </font>
    <font>
      <sz val="11"/>
      <name val="Calibri"/>
      <scheme val="minor"/>
    </font>
    <font>
      <sz val="11"/>
      <color rgb="FF000000"/>
      <name val="Calibri"/>
      <scheme val="minor"/>
    </font>
    <font>
      <b/>
      <sz val="11"/>
      <name val="Calibri"/>
      <scheme val="minor"/>
    </font>
    <font>
      <b/>
      <sz val="11"/>
      <color rgb="FFFF0000"/>
      <name val="Calibri"/>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39" fillId="0" borderId="0" applyNumberFormat="0" applyFill="0" applyBorder="0" applyAlignment="0" applyProtection="0"/>
  </cellStyleXfs>
  <cellXfs count="123">
    <xf numFmtId="0" fontId="0" fillId="0" borderId="0" xfId="0"/>
    <xf numFmtId="9" fontId="6" fillId="0" borderId="0" xfId="2" applyFont="1" applyAlignment="1">
      <alignment horizontal="center"/>
    </xf>
    <xf numFmtId="0" fontId="0" fillId="0" borderId="0" xfId="0" applyAlignment="1">
      <alignment horizontal="center"/>
    </xf>
    <xf numFmtId="0" fontId="25" fillId="0" borderId="0" xfId="0" applyFont="1" applyAlignment="1">
      <alignment horizontal="left"/>
    </xf>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4" fillId="0" borderId="0" xfId="0" applyFont="1"/>
    <xf numFmtId="9" fontId="33" fillId="0" borderId="0" xfId="2" applyFont="1" applyAlignment="1">
      <alignment horizontal="center"/>
    </xf>
    <xf numFmtId="0" fontId="7" fillId="45" borderId="1" xfId="0" applyFont="1" applyFill="1" applyBorder="1" applyAlignment="1">
      <alignment horizontal="center" vertical="center"/>
    </xf>
    <xf numFmtId="0" fontId="35" fillId="0" borderId="0" xfId="0" applyFont="1" applyAlignment="1">
      <alignment vertical="center"/>
    </xf>
    <xf numFmtId="0" fontId="31" fillId="2" borderId="11" xfId="0" applyFont="1" applyFill="1" applyBorder="1" applyAlignment="1">
      <alignment horizontal="center" vertical="center" wrapText="1"/>
    </xf>
    <xf numFmtId="0" fontId="32" fillId="0" borderId="0" xfId="0" applyFont="1"/>
    <xf numFmtId="0" fontId="27" fillId="0" borderId="0" xfId="0" applyFont="1"/>
    <xf numFmtId="0" fontId="0" fillId="0" borderId="0" xfId="0" applyAlignment="1">
      <alignment horizontal="center" wrapText="1"/>
    </xf>
    <xf numFmtId="0" fontId="0" fillId="0" borderId="0" xfId="0" applyAlignment="1">
      <alignment horizontal="center" vertical="center"/>
    </xf>
    <xf numFmtId="0" fontId="24" fillId="0" borderId="0" xfId="43" applyFont="1" applyAlignment="1">
      <alignment horizontal="center" vertical="center"/>
    </xf>
    <xf numFmtId="0" fontId="0" fillId="0" borderId="0" xfId="0" applyAlignment="1">
      <alignment horizontal="left" wrapText="1"/>
    </xf>
    <xf numFmtId="0" fontId="31" fillId="43" borderId="11" xfId="0" applyFont="1" applyFill="1" applyBorder="1" applyAlignment="1">
      <alignment horizontal="center" vertical="center" wrapText="1"/>
    </xf>
    <xf numFmtId="0" fontId="26" fillId="41" borderId="11" xfId="0" applyFont="1" applyFill="1" applyBorder="1" applyAlignment="1">
      <alignment horizontal="center" vertical="center" wrapText="1"/>
    </xf>
    <xf numFmtId="9" fontId="26" fillId="41" borderId="11" xfId="2" applyFont="1" applyFill="1" applyBorder="1" applyAlignment="1">
      <alignment horizontal="center" vertical="center" wrapText="1"/>
    </xf>
    <xf numFmtId="0" fontId="26" fillId="42" borderId="11" xfId="0" applyFont="1" applyFill="1" applyBorder="1" applyAlignment="1">
      <alignment horizontal="center"/>
    </xf>
    <xf numFmtId="0" fontId="26" fillId="42" borderId="11" xfId="0" applyFont="1" applyFill="1" applyBorder="1" applyAlignment="1">
      <alignment horizontal="center" vertical="center" wrapText="1"/>
    </xf>
    <xf numFmtId="9" fontId="26" fillId="42" borderId="11" xfId="2" applyFont="1" applyFill="1" applyBorder="1" applyAlignment="1">
      <alignment horizontal="center" vertical="center" wrapText="1"/>
    </xf>
    <xf numFmtId="0" fontId="26" fillId="42" borderId="11" xfId="0" applyFont="1" applyFill="1" applyBorder="1" applyAlignment="1">
      <alignment horizontal="center" vertical="center"/>
    </xf>
    <xf numFmtId="49" fontId="29" fillId="40" borderId="1" xfId="0" applyNumberFormat="1" applyFont="1" applyFill="1" applyBorder="1" applyAlignment="1">
      <alignment horizontal="center" vertical="center"/>
    </xf>
    <xf numFmtId="49" fontId="30" fillId="40" borderId="1" xfId="0" applyNumberFormat="1" applyFont="1" applyFill="1" applyBorder="1" applyAlignment="1">
      <alignment horizontal="center" vertical="center"/>
    </xf>
    <xf numFmtId="164" fontId="30" fillId="44" borderId="1" xfId="1" applyNumberFormat="1" applyFont="1" applyFill="1" applyBorder="1" applyAlignment="1">
      <alignment horizontal="center" vertical="center"/>
    </xf>
    <xf numFmtId="3" fontId="32" fillId="3" borderId="1" xfId="0" applyNumberFormat="1" applyFont="1" applyFill="1" applyBorder="1" applyAlignment="1">
      <alignment horizontal="right" vertical="center"/>
    </xf>
    <xf numFmtId="9" fontId="32" fillId="3" borderId="1" xfId="2" applyFont="1" applyFill="1" applyBorder="1" applyAlignment="1">
      <alignment horizontal="center" vertical="center"/>
    </xf>
    <xf numFmtId="3" fontId="32" fillId="4" borderId="1" xfId="1" applyNumberFormat="1" applyFont="1" applyFill="1" applyBorder="1" applyAlignment="1">
      <alignment vertical="center"/>
    </xf>
    <xf numFmtId="9" fontId="32" fillId="37" borderId="1" xfId="2" applyFont="1" applyFill="1" applyBorder="1" applyAlignment="1">
      <alignment horizontal="center" vertical="center"/>
    </xf>
    <xf numFmtId="49" fontId="29" fillId="0" borderId="1" xfId="0" applyNumberFormat="1" applyFont="1" applyBorder="1" applyAlignment="1">
      <alignment horizontal="center" vertical="center"/>
    </xf>
    <xf numFmtId="49" fontId="30" fillId="0" borderId="1" xfId="0" applyNumberFormat="1" applyFont="1" applyBorder="1" applyAlignment="1">
      <alignment horizontal="center" vertical="center"/>
    </xf>
    <xf numFmtId="164" fontId="30" fillId="0" borderId="1" xfId="1" applyNumberFormat="1" applyFont="1" applyBorder="1" applyAlignment="1">
      <alignment horizontal="center" vertical="center"/>
    </xf>
    <xf numFmtId="3" fontId="32" fillId="0" borderId="1" xfId="0" applyNumberFormat="1" applyFont="1" applyBorder="1" applyAlignment="1">
      <alignment horizontal="right" vertical="center"/>
    </xf>
    <xf numFmtId="9" fontId="32" fillId="0" borderId="1" xfId="2" applyFont="1" applyFill="1" applyBorder="1" applyAlignment="1">
      <alignment horizontal="center" vertical="center"/>
    </xf>
    <xf numFmtId="3" fontId="32" fillId="0" borderId="1" xfId="1" applyNumberFormat="1" applyFont="1" applyFill="1" applyBorder="1" applyAlignment="1">
      <alignment vertical="center"/>
    </xf>
    <xf numFmtId="0" fontId="36" fillId="40" borderId="1" xfId="0" applyFont="1" applyFill="1" applyBorder="1" applyAlignment="1">
      <alignment horizontal="center"/>
    </xf>
    <xf numFmtId="0" fontId="30" fillId="40" borderId="1" xfId="0" applyFont="1" applyFill="1" applyBorder="1" applyAlignment="1">
      <alignment horizontal="center" vertical="center"/>
    </xf>
    <xf numFmtId="0" fontId="29" fillId="0" borderId="1" xfId="0" applyFont="1" applyBorder="1" applyAlignment="1">
      <alignment horizontal="center" vertical="center"/>
    </xf>
    <xf numFmtId="0" fontId="30" fillId="0" borderId="1" xfId="0" applyFont="1" applyBorder="1" applyAlignment="1">
      <alignment horizontal="center" vertical="center"/>
    </xf>
    <xf numFmtId="0" fontId="29" fillId="40" borderId="1" xfId="0" applyFont="1" applyFill="1" applyBorder="1" applyAlignment="1">
      <alignment horizontal="center" vertical="center"/>
    </xf>
    <xf numFmtId="0" fontId="36" fillId="40" borderId="1" xfId="0" applyFont="1" applyFill="1" applyBorder="1" applyAlignment="1">
      <alignment horizontal="left"/>
    </xf>
    <xf numFmtId="0" fontId="29" fillId="0" borderId="1" xfId="0" applyFont="1" applyBorder="1" applyAlignment="1">
      <alignment horizontal="left" vertical="center"/>
    </xf>
    <xf numFmtId="0" fontId="29" fillId="40" borderId="1" xfId="0" applyFont="1" applyFill="1" applyBorder="1" applyAlignment="1">
      <alignment horizontal="left" vertical="center"/>
    </xf>
    <xf numFmtId="49" fontId="29" fillId="40" borderId="1" xfId="0" applyNumberFormat="1" applyFont="1" applyFill="1" applyBorder="1" applyAlignment="1">
      <alignment horizontal="left" vertical="center"/>
    </xf>
    <xf numFmtId="49" fontId="29" fillId="0" borderId="1" xfId="0" applyNumberFormat="1" applyFont="1" applyBorder="1" applyAlignment="1">
      <alignment horizontal="left" vertical="center"/>
    </xf>
    <xf numFmtId="49" fontId="32" fillId="38" borderId="1" xfId="2" applyNumberFormat="1" applyFont="1" applyFill="1" applyBorder="1" applyAlignment="1">
      <alignment vertical="top" wrapText="1"/>
    </xf>
    <xf numFmtId="49" fontId="30" fillId="0" borderId="1" xfId="0" applyNumberFormat="1" applyFont="1" applyBorder="1" applyAlignment="1">
      <alignment vertical="center" wrapText="1"/>
    </xf>
    <xf numFmtId="49" fontId="29" fillId="0" borderId="1" xfId="0" applyNumberFormat="1" applyFont="1" applyBorder="1" applyAlignment="1">
      <alignment vertical="center" wrapText="1"/>
    </xf>
    <xf numFmtId="14" fontId="0" fillId="0" borderId="0" xfId="0" applyNumberFormat="1"/>
    <xf numFmtId="49" fontId="32" fillId="38" borderId="1" xfId="2" applyNumberFormat="1" applyFont="1" applyFill="1" applyBorder="1" applyAlignment="1">
      <alignment horizontal="left" wrapText="1"/>
    </xf>
    <xf numFmtId="49" fontId="30" fillId="0" borderId="1" xfId="0" applyNumberFormat="1" applyFont="1" applyBorder="1" applyAlignment="1">
      <alignment horizontal="left" wrapText="1"/>
    </xf>
    <xf numFmtId="49" fontId="29" fillId="0" borderId="1" xfId="0" applyNumberFormat="1" applyFont="1" applyBorder="1" applyAlignment="1">
      <alignment horizontal="left" wrapText="1"/>
    </xf>
    <xf numFmtId="3" fontId="32" fillId="0" borderId="1" xfId="1" applyNumberFormat="1" applyFont="1" applyFill="1" applyBorder="1" applyAlignment="1">
      <alignment horizontal="right" vertical="center" wrapText="1"/>
    </xf>
    <xf numFmtId="49" fontId="37" fillId="38" borderId="1" xfId="2" applyNumberFormat="1" applyFont="1" applyFill="1" applyBorder="1" applyAlignment="1">
      <alignment horizontal="left" vertical="top" wrapText="1"/>
    </xf>
    <xf numFmtId="3" fontId="38" fillId="0" borderId="0" xfId="0" applyNumberFormat="1" applyFont="1" applyAlignment="1">
      <alignment vertical="center"/>
    </xf>
    <xf numFmtId="49" fontId="29" fillId="0" borderId="1" xfId="0" applyNumberFormat="1" applyFont="1" applyBorder="1" applyAlignment="1">
      <alignment horizontal="left" vertical="top" wrapText="1"/>
    </xf>
    <xf numFmtId="49" fontId="30" fillId="0" borderId="1" xfId="0" applyNumberFormat="1" applyFont="1" applyBorder="1" applyAlignment="1">
      <alignment horizontal="left" vertical="top" wrapText="1"/>
    </xf>
    <xf numFmtId="164" fontId="30" fillId="0" borderId="1" xfId="1" applyNumberFormat="1" applyFont="1" applyBorder="1" applyAlignment="1">
      <alignment horizontal="center" vertical="center" wrapText="1"/>
    </xf>
    <xf numFmtId="49" fontId="32" fillId="38" borderId="1" xfId="2" applyNumberFormat="1" applyFont="1" applyFill="1" applyBorder="1" applyAlignment="1">
      <alignment horizontal="left" vertical="top" wrapText="1"/>
    </xf>
    <xf numFmtId="49" fontId="25" fillId="0" borderId="1" xfId="0" applyNumberFormat="1" applyFont="1" applyBorder="1" applyAlignment="1">
      <alignment horizontal="left" vertical="top" wrapText="1"/>
    </xf>
    <xf numFmtId="0" fontId="24" fillId="0" borderId="0" xfId="43" applyFont="1" applyAlignment="1">
      <alignment horizontal="left" wrapText="1"/>
    </xf>
    <xf numFmtId="0" fontId="24" fillId="0" borderId="0" xfId="43" applyFont="1"/>
    <xf numFmtId="49" fontId="30" fillId="0" borderId="1" xfId="0" applyNumberFormat="1" applyFont="1" applyBorder="1" applyAlignment="1">
      <alignment vertical="top" wrapText="1"/>
    </xf>
    <xf numFmtId="49" fontId="39" fillId="38" borderId="1" xfId="45" applyNumberFormat="1" applyFill="1" applyBorder="1" applyAlignment="1">
      <alignment vertical="top" wrapText="1"/>
    </xf>
    <xf numFmtId="49" fontId="39" fillId="0" borderId="1" xfId="45" applyNumberFormat="1" applyBorder="1" applyAlignment="1">
      <alignment vertical="top" wrapText="1"/>
    </xf>
    <xf numFmtId="49" fontId="39" fillId="0" borderId="1" xfId="45" applyNumberFormat="1" applyBorder="1" applyAlignment="1">
      <alignment vertical="center" wrapText="1"/>
    </xf>
    <xf numFmtId="0" fontId="4" fillId="0" borderId="0" xfId="0" applyFont="1"/>
    <xf numFmtId="9" fontId="32" fillId="0" borderId="1" xfId="2" applyFont="1" applyBorder="1" applyAlignment="1">
      <alignment horizontal="center" vertical="center"/>
    </xf>
    <xf numFmtId="3" fontId="32" fillId="0" borderId="1" xfId="1" applyNumberFormat="1" applyFont="1" applyBorder="1" applyAlignment="1">
      <alignment vertical="center"/>
    </xf>
    <xf numFmtId="3" fontId="32" fillId="4" borderId="1" xfId="1" applyNumberFormat="1" applyFont="1" applyFill="1" applyBorder="1" applyAlignment="1">
      <alignment horizontal="right" vertical="center"/>
    </xf>
    <xf numFmtId="3" fontId="32" fillId="0" borderId="1" xfId="1" applyNumberFormat="1" applyFont="1" applyFill="1" applyBorder="1" applyAlignment="1">
      <alignment horizontal="right" vertical="center"/>
    </xf>
    <xf numFmtId="49" fontId="39" fillId="0" borderId="1" xfId="45" applyNumberFormat="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9" fillId="38" borderId="1" xfId="45" applyNumberFormat="1" applyFill="1" applyBorder="1" applyAlignment="1">
      <alignment horizontal="left" vertical="top" wrapText="1"/>
    </xf>
    <xf numFmtId="49" fontId="39" fillId="38" borderId="1" xfId="45" applyNumberFormat="1" applyFill="1" applyBorder="1" applyAlignment="1">
      <alignment horizontal="left" wrapText="1"/>
    </xf>
    <xf numFmtId="49" fontId="39" fillId="0" borderId="1" xfId="45" applyNumberFormat="1" applyBorder="1" applyAlignment="1">
      <alignment horizontal="left" wrapText="1"/>
    </xf>
    <xf numFmtId="14" fontId="0" fillId="0" borderId="0" xfId="0" applyNumberFormat="1" applyAlignment="1">
      <alignment horizontal="left" vertical="top"/>
    </xf>
    <xf numFmtId="14" fontId="39" fillId="0" borderId="0" xfId="45" applyNumberFormat="1" applyAlignment="1">
      <alignment horizontal="left" vertical="top"/>
    </xf>
    <xf numFmtId="3" fontId="32" fillId="0" borderId="1" xfId="1" applyNumberFormat="1" applyFont="1" applyFill="1" applyBorder="1" applyAlignment="1">
      <alignment horizontal="right"/>
    </xf>
    <xf numFmtId="3" fontId="32" fillId="4" borderId="1" xfId="1" applyNumberFormat="1" applyFont="1" applyFill="1" applyBorder="1" applyAlignment="1">
      <alignment horizontal="right"/>
    </xf>
    <xf numFmtId="0" fontId="36" fillId="40" borderId="1" xfId="0" applyFont="1" applyFill="1" applyBorder="1" applyAlignment="1">
      <alignment horizontal="center" vertical="center"/>
    </xf>
    <xf numFmtId="49" fontId="30" fillId="0" borderId="1" xfId="0" applyNumberFormat="1" applyFont="1" applyBorder="1" applyAlignment="1">
      <alignment horizontal="left" vertical="center" wrapText="1"/>
    </xf>
    <xf numFmtId="49" fontId="29" fillId="0" borderId="1" xfId="0" applyNumberFormat="1" applyFont="1" applyBorder="1" applyAlignment="1">
      <alignment horizontal="left" vertical="center" wrapText="1"/>
    </xf>
    <xf numFmtId="49" fontId="39" fillId="0" borderId="1" xfId="45" applyNumberFormat="1" applyBorder="1" applyAlignment="1">
      <alignment horizontal="left" vertical="center" wrapText="1"/>
    </xf>
    <xf numFmtId="9" fontId="32" fillId="0" borderId="0" xfId="2" applyFont="1" applyFill="1" applyBorder="1" applyAlignment="1">
      <alignment horizontal="center" vertical="center"/>
    </xf>
    <xf numFmtId="9" fontId="32" fillId="3" borderId="12" xfId="2" applyFont="1" applyFill="1" applyBorder="1" applyAlignment="1">
      <alignment horizontal="center" vertical="center"/>
    </xf>
    <xf numFmtId="3" fontId="32" fillId="3" borderId="13" xfId="0" applyNumberFormat="1" applyFont="1" applyFill="1" applyBorder="1" applyAlignment="1">
      <alignment horizontal="right" vertical="center"/>
    </xf>
    <xf numFmtId="3" fontId="32" fillId="4" borderId="14" xfId="1" applyNumberFormat="1" applyFont="1" applyFill="1" applyBorder="1" applyAlignment="1">
      <alignment vertical="center"/>
    </xf>
    <xf numFmtId="9" fontId="32" fillId="0" borderId="11" xfId="2" applyFont="1" applyFill="1" applyBorder="1" applyAlignment="1">
      <alignment horizontal="center" vertical="center"/>
    </xf>
    <xf numFmtId="0" fontId="34" fillId="0" borderId="0" xfId="0" applyFont="1" applyAlignment="1">
      <alignment horizontal="left" vertical="top"/>
    </xf>
    <xf numFmtId="0" fontId="39" fillId="0" borderId="0" xfId="45" applyAlignment="1">
      <alignment vertical="top"/>
    </xf>
    <xf numFmtId="3" fontId="38" fillId="0" borderId="0" xfId="0" applyNumberFormat="1" applyFont="1" applyAlignment="1">
      <alignment horizontal="right"/>
    </xf>
    <xf numFmtId="3" fontId="32" fillId="3" borderId="1" xfId="0" applyNumberFormat="1" applyFont="1" applyFill="1" applyBorder="1" applyAlignment="1">
      <alignment horizontal="right"/>
    </xf>
    <xf numFmtId="3" fontId="38" fillId="0" borderId="0" xfId="0" applyNumberFormat="1" applyFont="1" applyAlignment="1">
      <alignment horizontal="right" vertical="center"/>
    </xf>
    <xf numFmtId="49" fontId="2" fillId="0" borderId="1" xfId="0" applyNumberFormat="1" applyFont="1" applyBorder="1" applyAlignment="1">
      <alignment horizontal="left" vertical="top" wrapText="1"/>
    </xf>
    <xf numFmtId="49" fontId="2" fillId="0" borderId="1" xfId="0" applyNumberFormat="1" applyFont="1" applyBorder="1" applyAlignment="1">
      <alignment horizontal="left" vertical="center" wrapText="1"/>
    </xf>
    <xf numFmtId="0" fontId="32" fillId="0" borderId="0" xfId="0" applyFont="1" applyAlignment="1">
      <alignment wrapText="1"/>
    </xf>
    <xf numFmtId="3" fontId="32" fillId="0" borderId="1" xfId="1" applyNumberFormat="1" applyFont="1" applyBorder="1" applyAlignment="1">
      <alignment horizontal="right" vertical="center"/>
    </xf>
    <xf numFmtId="0" fontId="39" fillId="0" borderId="0" xfId="45"/>
    <xf numFmtId="0" fontId="0" fillId="0" borderId="0" xfId="0" applyAlignment="1">
      <alignment vertical="top"/>
    </xf>
    <xf numFmtId="0" fontId="40" fillId="0" borderId="0" xfId="0" applyFont="1"/>
    <xf numFmtId="0" fontId="7" fillId="0" borderId="0" xfId="0" applyFont="1" applyAlignment="1">
      <alignment horizontal="left" vertical="top"/>
    </xf>
    <xf numFmtId="0" fontId="35" fillId="0" borderId="0" xfId="0" applyFont="1" applyAlignment="1">
      <alignment horizontal="left" vertical="top"/>
    </xf>
    <xf numFmtId="0" fontId="7" fillId="45" borderId="1" xfId="0" applyFont="1" applyFill="1" applyBorder="1" applyAlignment="1">
      <alignment horizontal="left" vertical="top"/>
    </xf>
    <xf numFmtId="0" fontId="41" fillId="0" borderId="0" xfId="0" applyFont="1" applyAlignment="1">
      <alignment horizontal="left" vertical="top"/>
    </xf>
    <xf numFmtId="0" fontId="41" fillId="0" borderId="0" xfId="0" applyFont="1" applyAlignment="1">
      <alignment horizontal="left" vertical="top" wrapText="1"/>
    </xf>
    <xf numFmtId="0" fontId="42" fillId="0" borderId="0" xfId="0" applyFont="1" applyAlignment="1">
      <alignment horizontal="left" vertical="top"/>
    </xf>
    <xf numFmtId="49" fontId="41" fillId="38" borderId="1" xfId="2" applyNumberFormat="1" applyFont="1" applyFill="1" applyBorder="1" applyAlignment="1">
      <alignment horizontal="left" vertical="top" wrapText="1"/>
    </xf>
    <xf numFmtId="0" fontId="43" fillId="0" borderId="0" xfId="0" applyFont="1" applyAlignment="1">
      <alignment vertical="center"/>
    </xf>
    <xf numFmtId="0" fontId="44" fillId="0" borderId="0" xfId="0" applyFont="1" applyAlignment="1">
      <alignment vertical="center"/>
    </xf>
    <xf numFmtId="0" fontId="43" fillId="45" borderId="1" xfId="0" applyFont="1" applyFill="1" applyBorder="1" applyAlignment="1">
      <alignment horizontal="center" vertical="center"/>
    </xf>
    <xf numFmtId="0" fontId="41" fillId="0" borderId="0" xfId="0" applyFont="1"/>
    <xf numFmtId="0" fontId="39" fillId="0" borderId="0" xfId="45" applyAlignment="1">
      <alignment horizontal="left" vertical="top" wrapText="1"/>
    </xf>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49" fontId="1" fillId="0" borderId="1" xfId="0" applyNumberFormat="1" applyFont="1" applyBorder="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5" totalsRowShown="0">
  <autoFilter ref="A3:E8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6179" TargetMode="External"/><Relationship Id="rId2" Type="http://schemas.openxmlformats.org/officeDocument/2006/relationships/hyperlink" Target="https://us3.assetplanner.com/service_request?ID=095501" TargetMode="External"/><Relationship Id="rId1" Type="http://schemas.openxmlformats.org/officeDocument/2006/relationships/hyperlink" Target="https://us3.assetplanner.com/service_request?ID=095368"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409" TargetMode="External"/><Relationship Id="rId7" Type="http://schemas.openxmlformats.org/officeDocument/2006/relationships/hyperlink" Target="https://us3.assetplanner.com/service_request?ID=096262" TargetMode="External"/><Relationship Id="rId2" Type="http://schemas.openxmlformats.org/officeDocument/2006/relationships/hyperlink" Target="https://us3.assetplanner.com/service_request?ID=097850"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6179" TargetMode="External"/><Relationship Id="rId5" Type="http://schemas.openxmlformats.org/officeDocument/2006/relationships/hyperlink" Target="https://us3.assetplanner.com/service_request?ID=095501" TargetMode="External"/><Relationship Id="rId4" Type="http://schemas.openxmlformats.org/officeDocument/2006/relationships/hyperlink" Target="https://us3.assetplanner.com/service_request?ID=09778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28" TargetMode="External"/><Relationship Id="rId13" Type="http://schemas.openxmlformats.org/officeDocument/2006/relationships/hyperlink" Target="https://us3.assetplanner.com/service_request?ID=098613" TargetMode="External"/><Relationship Id="rId18" Type="http://schemas.openxmlformats.org/officeDocument/2006/relationships/hyperlink" Target="https://us3.assetplanner.com/service_request?ID=099230" TargetMode="External"/><Relationship Id="rId26" Type="http://schemas.openxmlformats.org/officeDocument/2006/relationships/hyperlink" Target="https://us3.assetplanner.com/service_request?ID=098015" TargetMode="External"/><Relationship Id="rId3" Type="http://schemas.openxmlformats.org/officeDocument/2006/relationships/hyperlink" Target="https://us3.assetplanner.com/service_request?ID=097975" TargetMode="External"/><Relationship Id="rId21" Type="http://schemas.openxmlformats.org/officeDocument/2006/relationships/hyperlink" Target="https://us3.assetplanner.com/service_request?ID=099150" TargetMode="External"/><Relationship Id="rId7" Type="http://schemas.openxmlformats.org/officeDocument/2006/relationships/hyperlink" Target="https://us3.assetplanner.com/service_request?ID=097783" TargetMode="External"/><Relationship Id="rId12" Type="http://schemas.openxmlformats.org/officeDocument/2006/relationships/hyperlink" Target="https://us3.assetplanner.com/service_request?ID=098497" TargetMode="External"/><Relationship Id="rId17" Type="http://schemas.openxmlformats.org/officeDocument/2006/relationships/hyperlink" Target="https://us3.assetplanner.com/service_request?ID=098047" TargetMode="External"/><Relationship Id="rId25" Type="http://schemas.openxmlformats.org/officeDocument/2006/relationships/hyperlink" Target="https://us3.assetplanner.com/service_request?ID=098231"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098614" TargetMode="External"/><Relationship Id="rId20" Type="http://schemas.openxmlformats.org/officeDocument/2006/relationships/hyperlink" Target="https://us3.assetplanner.com/service_request?ID=098048"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8783"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098076" TargetMode="External"/><Relationship Id="rId5" Type="http://schemas.openxmlformats.org/officeDocument/2006/relationships/hyperlink" Target="https://us3.assetplanner.com/service_request?ID=098262" TargetMode="External"/><Relationship Id="rId15" Type="http://schemas.openxmlformats.org/officeDocument/2006/relationships/hyperlink" Target="https://us3.assetplanner.com/service_request?ID=098496" TargetMode="External"/><Relationship Id="rId23" Type="http://schemas.openxmlformats.org/officeDocument/2006/relationships/hyperlink" Target="https://us3.assetplanner.com/service_request?ID=098819"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9167"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098046" TargetMode="External"/><Relationship Id="rId22" Type="http://schemas.openxmlformats.org/officeDocument/2006/relationships/hyperlink" Target="https://us3.assetplanner.com/service_request?ID=098818" TargetMode="External"/><Relationship Id="rId27" Type="http://schemas.openxmlformats.org/officeDocument/2006/relationships/hyperlink" Target="https://us3.assetplanner.com/service_request?ID=098016"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445" TargetMode="External"/><Relationship Id="rId18" Type="http://schemas.openxmlformats.org/officeDocument/2006/relationships/hyperlink" Target="https://us3.assetplanner.com/service_request?ID=100618" TargetMode="External"/><Relationship Id="rId26" Type="http://schemas.openxmlformats.org/officeDocument/2006/relationships/hyperlink" Target="https://us3.assetplanner.com/service_request?ID=098048" TargetMode="External"/><Relationship Id="rId21" Type="http://schemas.openxmlformats.org/officeDocument/2006/relationships/hyperlink" Target="https://us3.assetplanner.com/service_request?ID=099230" TargetMode="External"/><Relationship Id="rId34" Type="http://schemas.openxmlformats.org/officeDocument/2006/relationships/hyperlink" Target="https://us3.assetplanner.com/service_request?ID=099730" TargetMode="External"/><Relationship Id="rId7" Type="http://schemas.openxmlformats.org/officeDocument/2006/relationships/hyperlink" Target="https://us3.assetplanner.com/service_request?ID=099508"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099457" TargetMode="External"/><Relationship Id="rId25" Type="http://schemas.openxmlformats.org/officeDocument/2006/relationships/hyperlink" Target="https://us3.assetplanner.com/service_request?ID=099110" TargetMode="External"/><Relationship Id="rId33" Type="http://schemas.openxmlformats.org/officeDocument/2006/relationships/hyperlink" Target="https://us3.assetplanner.com/service_request?ID=098231" TargetMode="External"/><Relationship Id="rId38" Type="http://schemas.openxmlformats.org/officeDocument/2006/relationships/hyperlink" Target="https://us3.assetplanner.com/service_request?ID=098016" TargetMode="External"/><Relationship Id="rId2" Type="http://schemas.openxmlformats.org/officeDocument/2006/relationships/hyperlink" Target="https://us3.assetplanner.com/service_request?ID=095368" TargetMode="External"/><Relationship Id="rId16" Type="http://schemas.openxmlformats.org/officeDocument/2006/relationships/hyperlink" Target="https://us3.assetplanner.com/service_request?ID=100617" TargetMode="External"/><Relationship Id="rId20" Type="http://schemas.openxmlformats.org/officeDocument/2006/relationships/hyperlink" Target="https://us3.assetplanner.com/service_request?ID=098047" TargetMode="External"/><Relationship Id="rId29" Type="http://schemas.openxmlformats.org/officeDocument/2006/relationships/hyperlink" Target="https://us3.assetplanner.com/service_request?ID=098819" TargetMode="External"/><Relationship Id="rId1" Type="http://schemas.openxmlformats.org/officeDocument/2006/relationships/hyperlink" Target="https://us3.assetplanner.com/service_request?ID=097850" TargetMode="External"/><Relationship Id="rId6" Type="http://schemas.openxmlformats.org/officeDocument/2006/relationships/hyperlink" Target="https://us3.assetplanner.com/service_request?ID=099501"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100621" TargetMode="External"/><Relationship Id="rId32" Type="http://schemas.openxmlformats.org/officeDocument/2006/relationships/hyperlink" Target="https://us3.assetplanner.com/service_request?ID=098076" TargetMode="External"/><Relationship Id="rId37" Type="http://schemas.openxmlformats.org/officeDocument/2006/relationships/hyperlink" Target="https://us3.assetplanner.com/service_request?ID=099500" TargetMode="External"/><Relationship Id="rId5" Type="http://schemas.openxmlformats.org/officeDocument/2006/relationships/hyperlink" Target="https://us3.assetplanner.com/service_request?ID=097975" TargetMode="External"/><Relationship Id="rId15" Type="http://schemas.openxmlformats.org/officeDocument/2006/relationships/hyperlink" Target="https://us3.assetplanner.com/service_request?ID=100417" TargetMode="External"/><Relationship Id="rId23" Type="http://schemas.openxmlformats.org/officeDocument/2006/relationships/hyperlink" Target="https://us3.assetplanner.com/service_request?ID=099789" TargetMode="External"/><Relationship Id="rId28" Type="http://schemas.openxmlformats.org/officeDocument/2006/relationships/hyperlink" Target="https://us3.assetplanner.com/service_request?ID=099746" TargetMode="External"/><Relationship Id="rId36" Type="http://schemas.openxmlformats.org/officeDocument/2006/relationships/hyperlink" Target="https://us3.assetplanner.com/service_request?ID=098016"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8046" TargetMode="External"/><Relationship Id="rId31" Type="http://schemas.openxmlformats.org/officeDocument/2006/relationships/hyperlink" Target="https://us3.assetplanner.com/service_request?ID=101068"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100131" TargetMode="External"/><Relationship Id="rId22" Type="http://schemas.openxmlformats.org/officeDocument/2006/relationships/hyperlink" Target="https://us3.assetplanner.com/service_request?ID=099167" TargetMode="External"/><Relationship Id="rId27" Type="http://schemas.openxmlformats.org/officeDocument/2006/relationships/hyperlink" Target="https://us3.assetplanner.com/service_request?ID=098818" TargetMode="External"/><Relationship Id="rId30" Type="http://schemas.openxmlformats.org/officeDocument/2006/relationships/hyperlink" Target="https://us3.assetplanner.com/service_request?ID=099691" TargetMode="External"/><Relationship Id="rId35" Type="http://schemas.openxmlformats.org/officeDocument/2006/relationships/hyperlink" Target="https://us3.assetplanner.com/service_request?ID=098015" TargetMode="External"/><Relationship Id="rId8" Type="http://schemas.openxmlformats.org/officeDocument/2006/relationships/hyperlink" Target="https://us3.assetplanner.com/service_request?ID=097783" TargetMode="External"/><Relationship Id="rId3" Type="http://schemas.openxmlformats.org/officeDocument/2006/relationships/hyperlink" Target="https://us3.assetplanner.com/service_request?ID=09929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099461" TargetMode="External"/><Relationship Id="rId18" Type="http://schemas.openxmlformats.org/officeDocument/2006/relationships/hyperlink" Target="https://us3.assetplanner.com/service_request?ID=101563" TargetMode="External"/><Relationship Id="rId26" Type="http://schemas.openxmlformats.org/officeDocument/2006/relationships/hyperlink" Target="https://us3.assetplanner.com/service_request?ID=099110" TargetMode="External"/><Relationship Id="rId39" Type="http://schemas.openxmlformats.org/officeDocument/2006/relationships/hyperlink" Target="https://us3.assetplanner.com/service_request?ID=098016" TargetMode="External"/><Relationship Id="rId21" Type="http://schemas.openxmlformats.org/officeDocument/2006/relationships/hyperlink" Target="https://us3.assetplanner.com/service_request?ID=101564" TargetMode="External"/><Relationship Id="rId34" Type="http://schemas.openxmlformats.org/officeDocument/2006/relationships/hyperlink" Target="https://us3.assetplanner.com/service_request?ID=101068" TargetMode="External"/><Relationship Id="rId42" Type="http://schemas.openxmlformats.org/officeDocument/2006/relationships/hyperlink" Target="https://us3.assetplanner.com/service_request?ID=101017" TargetMode="External"/><Relationship Id="rId47" Type="http://schemas.openxmlformats.org/officeDocument/2006/relationships/hyperlink" Target="https://us3.assetplanner.com/service_request?ID=102137"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818" TargetMode="External"/><Relationship Id="rId7" Type="http://schemas.openxmlformats.org/officeDocument/2006/relationships/hyperlink" Target="https://us3.assetplanner.com/service_request?ID=101243"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100903" TargetMode="External"/><Relationship Id="rId29" Type="http://schemas.openxmlformats.org/officeDocument/2006/relationships/hyperlink" Target="https://us3.assetplanner.com/service_request?ID=101596" TargetMode="External"/><Relationship Id="rId11" Type="http://schemas.openxmlformats.org/officeDocument/2006/relationships/hyperlink" Target="https://us3.assetplanner.com/service_request?ID=099066" TargetMode="External"/><Relationship Id="rId24" Type="http://schemas.openxmlformats.org/officeDocument/2006/relationships/hyperlink" Target="https://us3.assetplanner.com/service_request?ID=102209" TargetMode="External"/><Relationship Id="rId32" Type="http://schemas.openxmlformats.org/officeDocument/2006/relationships/hyperlink" Target="https://us3.assetplanner.com/service_request?ID=100930" TargetMode="External"/><Relationship Id="rId37" Type="http://schemas.openxmlformats.org/officeDocument/2006/relationships/hyperlink" Target="https://us3.assetplanner.com/service_request?ID=098076" TargetMode="External"/><Relationship Id="rId40" Type="http://schemas.openxmlformats.org/officeDocument/2006/relationships/hyperlink" Target="https://us3.assetplanner.com/service_request?ID=099500" TargetMode="External"/><Relationship Id="rId45" Type="http://schemas.openxmlformats.org/officeDocument/2006/relationships/hyperlink" Target="https://us3.assetplanner.com/service_request?ID=100843" TargetMode="External"/><Relationship Id="rId53" Type="http://schemas.openxmlformats.org/officeDocument/2006/relationships/hyperlink" Target="https://us3.assetplanner.com/service_request?ID=100857" TargetMode="External"/><Relationship Id="rId58" Type="http://schemas.openxmlformats.org/officeDocument/2006/relationships/hyperlink" Target="https://us3.assetplanner.com/service_request?ID=101034" TargetMode="External"/><Relationship Id="rId5" Type="http://schemas.openxmlformats.org/officeDocument/2006/relationships/hyperlink" Target="https://us3.assetplanner.com/service_request?ID=101243" TargetMode="External"/><Relationship Id="rId61" Type="http://schemas.openxmlformats.org/officeDocument/2006/relationships/hyperlink" Target="https://us3.assetplanner.com/service_request?ID=100906" TargetMode="External"/><Relationship Id="rId19" Type="http://schemas.openxmlformats.org/officeDocument/2006/relationships/hyperlink" Target="https://us3.assetplanner.com/service_request?ID=100902" TargetMode="External"/><Relationship Id="rId14" Type="http://schemas.openxmlformats.org/officeDocument/2006/relationships/hyperlink" Target="https://us3.assetplanner.com/service_request?ID=101286" TargetMode="External"/><Relationship Id="rId22" Type="http://schemas.openxmlformats.org/officeDocument/2006/relationships/hyperlink" Target="https://us3.assetplanner.com/service_request?ID=101628" TargetMode="External"/><Relationship Id="rId27" Type="http://schemas.openxmlformats.org/officeDocument/2006/relationships/hyperlink" Target="https://us3.assetplanner.com/service_request?ID=101919" TargetMode="External"/><Relationship Id="rId30" Type="http://schemas.openxmlformats.org/officeDocument/2006/relationships/hyperlink" Target="https://us3.assetplanner.com/service_request?ID=099746" TargetMode="External"/><Relationship Id="rId35" Type="http://schemas.openxmlformats.org/officeDocument/2006/relationships/hyperlink" Target="https://us3.assetplanner.com/service_request?ID=098231" TargetMode="External"/><Relationship Id="rId43" Type="http://schemas.openxmlformats.org/officeDocument/2006/relationships/hyperlink" Target="https://us3.assetplanner.com/service_request?ID=101372" TargetMode="External"/><Relationship Id="rId48" Type="http://schemas.openxmlformats.org/officeDocument/2006/relationships/hyperlink" Target="https://us3.assetplanner.com/service_request?ID=101917" TargetMode="External"/><Relationship Id="rId56" Type="http://schemas.openxmlformats.org/officeDocument/2006/relationships/hyperlink" Target="https://us3.assetplanner.com/service_request?ID=101668" TargetMode="External"/><Relationship Id="rId8" Type="http://schemas.openxmlformats.org/officeDocument/2006/relationships/hyperlink" Target="https://us3.assetplanner.com/service_request?ID=101243" TargetMode="External"/><Relationship Id="rId51" Type="http://schemas.openxmlformats.org/officeDocument/2006/relationships/hyperlink" Target="https://us3.assetplanner.com/service_request?ID=101936" TargetMode="External"/><Relationship Id="rId3" Type="http://schemas.openxmlformats.org/officeDocument/2006/relationships/hyperlink" Target="https://us3.assetplanner.com/service_request?ID=099290" TargetMode="External"/><Relationship Id="rId12" Type="http://schemas.openxmlformats.org/officeDocument/2006/relationships/hyperlink" Target="https://us3.assetplanner.com/service_request?ID=098870" TargetMode="External"/><Relationship Id="rId17" Type="http://schemas.openxmlformats.org/officeDocument/2006/relationships/hyperlink" Target="https://us3.assetplanner.com/service_request?ID=101277" TargetMode="External"/><Relationship Id="rId25" Type="http://schemas.openxmlformats.org/officeDocument/2006/relationships/hyperlink" Target="https://us3.assetplanner.com/service_request?ID=101470" TargetMode="External"/><Relationship Id="rId33" Type="http://schemas.openxmlformats.org/officeDocument/2006/relationships/hyperlink" Target="https://us3.assetplanner.com/service_request?ID=101068" TargetMode="External"/><Relationship Id="rId38" Type="http://schemas.openxmlformats.org/officeDocument/2006/relationships/hyperlink" Target="https://us3.assetplanner.com/service_request?ID=098015" TargetMode="External"/><Relationship Id="rId46" Type="http://schemas.openxmlformats.org/officeDocument/2006/relationships/hyperlink" Target="https://us3.assetplanner.com/service_request?ID=101040" TargetMode="External"/><Relationship Id="rId59" Type="http://schemas.openxmlformats.org/officeDocument/2006/relationships/hyperlink" Target="https://us3.assetplanner.com/service_request?ID=100915" TargetMode="External"/><Relationship Id="rId20" Type="http://schemas.openxmlformats.org/officeDocument/2006/relationships/hyperlink" Target="https://us3.assetplanner.com/service_request?ID=101276" TargetMode="External"/><Relationship Id="rId41" Type="http://schemas.openxmlformats.org/officeDocument/2006/relationships/hyperlink" Target="https://us3.assetplanner.com/service_request?ID=098016" TargetMode="External"/><Relationship Id="rId54" Type="http://schemas.openxmlformats.org/officeDocument/2006/relationships/hyperlink" Target="https://us3.assetplanner.com/service_request?ID=101963" TargetMode="External"/><Relationship Id="rId62" Type="http://schemas.openxmlformats.org/officeDocument/2006/relationships/hyperlink" Target="https://us3.assetplanner.com/service_request?ID=101057"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101243" TargetMode="External"/><Relationship Id="rId15" Type="http://schemas.openxmlformats.org/officeDocument/2006/relationships/hyperlink" Target="https://us3.assetplanner.com/service_request?ID=101468" TargetMode="External"/><Relationship Id="rId23" Type="http://schemas.openxmlformats.org/officeDocument/2006/relationships/hyperlink" Target="https://us3.assetplanner.com/service_request?ID=101867" TargetMode="External"/><Relationship Id="rId28" Type="http://schemas.openxmlformats.org/officeDocument/2006/relationships/hyperlink" Target="https://us3.assetplanner.com/service_request?ID=102140" TargetMode="External"/><Relationship Id="rId36" Type="http://schemas.openxmlformats.org/officeDocument/2006/relationships/hyperlink" Target="https://us3.assetplanner.com/service_request?ID=099730" TargetMode="External"/><Relationship Id="rId49" Type="http://schemas.openxmlformats.org/officeDocument/2006/relationships/hyperlink" Target="https://us3.assetplanner.com/service_request?ID=100833" TargetMode="External"/><Relationship Id="rId57" Type="http://schemas.openxmlformats.org/officeDocument/2006/relationships/hyperlink" Target="https://us3.assetplanner.com/service_request?ID=100834" TargetMode="External"/><Relationship Id="rId10" Type="http://schemas.openxmlformats.org/officeDocument/2006/relationships/hyperlink" Target="https://us3.assetplanner.com/service_request?ID=096262" TargetMode="External"/><Relationship Id="rId31" Type="http://schemas.openxmlformats.org/officeDocument/2006/relationships/hyperlink" Target="https://us3.assetplanner.com/service_request?ID=099746" TargetMode="External"/><Relationship Id="rId44" Type="http://schemas.openxmlformats.org/officeDocument/2006/relationships/hyperlink" Target="https://us3.assetplanner.com/service_request?ID=102011" TargetMode="External"/><Relationship Id="rId52" Type="http://schemas.openxmlformats.org/officeDocument/2006/relationships/hyperlink" Target="https://us3.assetplanner.com/service_request?ID=100884" TargetMode="External"/><Relationship Id="rId60" Type="http://schemas.openxmlformats.org/officeDocument/2006/relationships/hyperlink" Target="https://us3.assetplanner.com/service_request?ID=101100" TargetMode="External"/><Relationship Id="rId4" Type="http://schemas.openxmlformats.org/officeDocument/2006/relationships/hyperlink" Target="https://us3.assetplanner.com/service_request?ID=101343" TargetMode="External"/><Relationship Id="rId9" Type="http://schemas.openxmlformats.org/officeDocument/2006/relationships/hyperlink" Target="https://us3.assetplanner.com/service_request?ID=101245"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103239" TargetMode="External"/><Relationship Id="rId21" Type="http://schemas.openxmlformats.org/officeDocument/2006/relationships/hyperlink" Target="https://us3.assetplanner.com/service_request?ID=102296" TargetMode="External"/><Relationship Id="rId42" Type="http://schemas.openxmlformats.org/officeDocument/2006/relationships/hyperlink" Target="https://us3.assetplanner.com/service_request?ID=102011" TargetMode="External"/><Relationship Id="rId47" Type="http://schemas.openxmlformats.org/officeDocument/2006/relationships/hyperlink" Target="https://us3.assetplanner.com/service_request?ID=102723" TargetMode="External"/><Relationship Id="rId63" Type="http://schemas.openxmlformats.org/officeDocument/2006/relationships/hyperlink" Target="https://us3.assetplanner.com/service_request?ID=103517"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3636" TargetMode="External"/><Relationship Id="rId89" Type="http://schemas.openxmlformats.org/officeDocument/2006/relationships/hyperlink" Target="https://us3.assetplanner.com/service_request?ID=102303" TargetMode="External"/><Relationship Id="rId16" Type="http://schemas.openxmlformats.org/officeDocument/2006/relationships/hyperlink" Target="https://us3.assetplanner.com/service_request?ID=102644" TargetMode="External"/><Relationship Id="rId11" Type="http://schemas.openxmlformats.org/officeDocument/2006/relationships/hyperlink" Target="https://us3.assetplanner.com/service_request?ID=102343" TargetMode="External"/><Relationship Id="rId32" Type="http://schemas.openxmlformats.org/officeDocument/2006/relationships/hyperlink" Target="https://us3.assetplanner.com/service_request?ID=099730" TargetMode="External"/><Relationship Id="rId37" Type="http://schemas.openxmlformats.org/officeDocument/2006/relationships/hyperlink" Target="https://us3.assetplanner.com/service_request?ID=103914" TargetMode="External"/><Relationship Id="rId53" Type="http://schemas.openxmlformats.org/officeDocument/2006/relationships/hyperlink" Target="https://us3.assetplanner.com/service_request?ID=101963" TargetMode="External"/><Relationship Id="rId58" Type="http://schemas.openxmlformats.org/officeDocument/2006/relationships/hyperlink" Target="https://us3.assetplanner.com/service_request?ID=101021"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2281"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2411" TargetMode="External"/><Relationship Id="rId95" Type="http://schemas.openxmlformats.org/officeDocument/2006/relationships/hyperlink" Target="https://us3.assetplanner.com/service_request?ID=102425" TargetMode="External"/><Relationship Id="rId22" Type="http://schemas.openxmlformats.org/officeDocument/2006/relationships/hyperlink" Target="https://us3.assetplanner.com/service_request?ID=102336" TargetMode="External"/><Relationship Id="rId27" Type="http://schemas.openxmlformats.org/officeDocument/2006/relationships/hyperlink" Target="https://us3.assetplanner.com/service_request?ID=103324" TargetMode="External"/><Relationship Id="rId43" Type="http://schemas.openxmlformats.org/officeDocument/2006/relationships/hyperlink" Target="https://us3.assetplanner.com/service_request?ID=103561" TargetMode="External"/><Relationship Id="rId48" Type="http://schemas.openxmlformats.org/officeDocument/2006/relationships/hyperlink" Target="https://us3.assetplanner.com/service_request?ID=103597"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2392" TargetMode="External"/><Relationship Id="rId80" Type="http://schemas.openxmlformats.org/officeDocument/2006/relationships/hyperlink" Target="https://us3.assetplanner.com/service_request?ID=102503" TargetMode="External"/><Relationship Id="rId85" Type="http://schemas.openxmlformats.org/officeDocument/2006/relationships/hyperlink" Target="https://us3.assetplanner.com/service_request?ID=102329" TargetMode="External"/><Relationship Id="rId3" Type="http://schemas.openxmlformats.org/officeDocument/2006/relationships/hyperlink" Target="https://us3.assetplanner.com/service_request?ID=101243" TargetMode="External"/><Relationship Id="rId12" Type="http://schemas.openxmlformats.org/officeDocument/2006/relationships/hyperlink" Target="https://us3.assetplanner.com/service_request?ID=102384" TargetMode="External"/><Relationship Id="rId17" Type="http://schemas.openxmlformats.org/officeDocument/2006/relationships/hyperlink" Target="https://us3.assetplanner.com/service_request?ID=102557" TargetMode="External"/><Relationship Id="rId25" Type="http://schemas.openxmlformats.org/officeDocument/2006/relationships/hyperlink" Target="https://us3.assetplanner.com/service_request?ID=101919" TargetMode="External"/><Relationship Id="rId33" Type="http://schemas.openxmlformats.org/officeDocument/2006/relationships/hyperlink" Target="https://us3.assetplanner.com/service_request?ID=103950" TargetMode="External"/><Relationship Id="rId38" Type="http://schemas.openxmlformats.org/officeDocument/2006/relationships/hyperlink" Target="https://us3.assetplanner.com/service_request?ID=103124" TargetMode="External"/><Relationship Id="rId46" Type="http://schemas.openxmlformats.org/officeDocument/2006/relationships/hyperlink" Target="https://us3.assetplanner.com/service_request?ID=100833" TargetMode="External"/><Relationship Id="rId59" Type="http://schemas.openxmlformats.org/officeDocument/2006/relationships/hyperlink" Target="https://us3.assetplanner.com/service_request?ID=100915" TargetMode="External"/><Relationship Id="rId67" Type="http://schemas.openxmlformats.org/officeDocument/2006/relationships/hyperlink" Target="https://us3.assetplanner.com/service_request?ID=102418" TargetMode="External"/><Relationship Id="rId20" Type="http://schemas.openxmlformats.org/officeDocument/2006/relationships/hyperlink" Target="https://us3.assetplanner.com/service_request?ID=102296" TargetMode="External"/><Relationship Id="rId41" Type="http://schemas.openxmlformats.org/officeDocument/2006/relationships/hyperlink" Target="https://us3.assetplanner.com/service_request?ID=103335" TargetMode="External"/><Relationship Id="rId54" Type="http://schemas.openxmlformats.org/officeDocument/2006/relationships/hyperlink" Target="https://us3.assetplanner.com/service_request?ID=101818" TargetMode="External"/><Relationship Id="rId62" Type="http://schemas.openxmlformats.org/officeDocument/2006/relationships/hyperlink" Target="https://us3.assetplanner.com/service_request?ID=10090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315" TargetMode="External"/><Relationship Id="rId83" Type="http://schemas.openxmlformats.org/officeDocument/2006/relationships/hyperlink" Target="https://us3.assetplanner.com/service_request?ID=102539" TargetMode="External"/><Relationship Id="rId88" Type="http://schemas.openxmlformats.org/officeDocument/2006/relationships/hyperlink" Target="https://us3.assetplanner.com/service_request?ID=102329" TargetMode="External"/><Relationship Id="rId91" Type="http://schemas.openxmlformats.org/officeDocument/2006/relationships/hyperlink" Target="https://us3.assetplanner.com/service_request?ID=102403" TargetMode="External"/><Relationship Id="rId96" Type="http://schemas.openxmlformats.org/officeDocument/2006/relationships/hyperlink" Target="https://us3.assetplanner.com/service_request?ID=102820"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209" TargetMode="External"/><Relationship Id="rId23" Type="http://schemas.openxmlformats.org/officeDocument/2006/relationships/hyperlink" Target="https://us3.assetplanner.com/service_request?ID=103740" TargetMode="External"/><Relationship Id="rId28" Type="http://schemas.openxmlformats.org/officeDocument/2006/relationships/hyperlink" Target="https://us3.assetplanner.com/service_request?ID=103048" TargetMode="External"/><Relationship Id="rId36" Type="http://schemas.openxmlformats.org/officeDocument/2006/relationships/hyperlink" Target="https://us3.assetplanner.com/service_request?ID=098016" TargetMode="External"/><Relationship Id="rId49" Type="http://schemas.openxmlformats.org/officeDocument/2006/relationships/hyperlink" Target="https://us3.assetplanner.com/service_request?ID=103375" TargetMode="External"/><Relationship Id="rId57" Type="http://schemas.openxmlformats.org/officeDocument/2006/relationships/hyperlink" Target="https://us3.assetplanner.com/service_request?ID=10262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1068" TargetMode="External"/><Relationship Id="rId44" Type="http://schemas.openxmlformats.org/officeDocument/2006/relationships/hyperlink" Target="https://us3.assetplanner.com/service_request?ID=102760" TargetMode="External"/><Relationship Id="rId52" Type="http://schemas.openxmlformats.org/officeDocument/2006/relationships/hyperlink" Target="https://us3.assetplanner.com/service_request?ID=101936" TargetMode="External"/><Relationship Id="rId60" Type="http://schemas.openxmlformats.org/officeDocument/2006/relationships/hyperlink" Target="https://us3.assetplanner.com/service_request?ID=101100" TargetMode="External"/><Relationship Id="rId65" Type="http://schemas.openxmlformats.org/officeDocument/2006/relationships/hyperlink" Target="https://us3.assetplanner.com/service_request?ID=103160" TargetMode="External"/><Relationship Id="rId73" Type="http://schemas.openxmlformats.org/officeDocument/2006/relationships/hyperlink" Target="https://us3.assetplanner.com/service_request?ID=102320" TargetMode="External"/><Relationship Id="rId78" Type="http://schemas.openxmlformats.org/officeDocument/2006/relationships/hyperlink" Target="https://us3.assetplanner.com/service_request?ID=102286"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329" TargetMode="External"/><Relationship Id="rId94" Type="http://schemas.openxmlformats.org/officeDocument/2006/relationships/hyperlink" Target="https://us3.assetplanner.com/service_request?ID=102413" TargetMode="External"/><Relationship Id="rId99" Type="http://schemas.openxmlformats.org/officeDocument/2006/relationships/hyperlink" Target="https://us3.assetplanner.com/service_request?ID=102421"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13" Type="http://schemas.openxmlformats.org/officeDocument/2006/relationships/hyperlink" Target="https://us3.assetplanner.com/service_request?ID=102998" TargetMode="External"/><Relationship Id="rId18" Type="http://schemas.openxmlformats.org/officeDocument/2006/relationships/hyperlink" Target="https://us3.assetplanner.com/service_request?ID=102982" TargetMode="External"/><Relationship Id="rId39" Type="http://schemas.openxmlformats.org/officeDocument/2006/relationships/hyperlink" Target="https://us3.assetplanner.com/service_request?ID=104147" TargetMode="External"/><Relationship Id="rId34" Type="http://schemas.openxmlformats.org/officeDocument/2006/relationships/hyperlink" Target="https://us3.assetplanner.com/service_request?ID=102316"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034" TargetMode="External"/><Relationship Id="rId76" Type="http://schemas.openxmlformats.org/officeDocument/2006/relationships/hyperlink" Target="https://us3.assetplanner.com/service_request?ID=102315" TargetMode="External"/><Relationship Id="rId97" Type="http://schemas.openxmlformats.org/officeDocument/2006/relationships/hyperlink" Target="https://us3.assetplanner.com/service_request?ID=102424" TargetMode="External"/><Relationship Id="rId7" Type="http://schemas.openxmlformats.org/officeDocument/2006/relationships/hyperlink" Target="https://us3.assetplanner.com/service_request?ID=096262" TargetMode="External"/><Relationship Id="rId71" Type="http://schemas.openxmlformats.org/officeDocument/2006/relationships/hyperlink" Target="https://us3.assetplanner.com/service_request?ID=102321" TargetMode="External"/><Relationship Id="rId92" Type="http://schemas.openxmlformats.org/officeDocument/2006/relationships/hyperlink" Target="https://us3.assetplanner.com/service_request?ID=102310"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686" TargetMode="External"/><Relationship Id="rId24" Type="http://schemas.openxmlformats.org/officeDocument/2006/relationships/hyperlink" Target="https://us3.assetplanner.com/service_request?ID=099110" TargetMode="External"/><Relationship Id="rId40" Type="http://schemas.openxmlformats.org/officeDocument/2006/relationships/hyperlink" Target="https://us3.assetplanner.com/service_request?ID=102794" TargetMode="External"/><Relationship Id="rId45" Type="http://schemas.openxmlformats.org/officeDocument/2006/relationships/hyperlink" Target="https://us3.assetplanner.com/service_request?ID=102137"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2329" TargetMode="External"/><Relationship Id="rId61" Type="http://schemas.openxmlformats.org/officeDocument/2006/relationships/hyperlink" Target="https://us3.assetplanner.com/service_request?ID=100906" TargetMode="External"/><Relationship Id="rId82" Type="http://schemas.openxmlformats.org/officeDocument/2006/relationships/hyperlink" Target="https://us3.assetplanner.com/service_request?ID=10232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2644" TargetMode="External"/><Relationship Id="rId30" Type="http://schemas.openxmlformats.org/officeDocument/2006/relationships/hyperlink" Target="https://us3.assetplanner.com/service_request?ID=102669" TargetMode="External"/><Relationship Id="rId35" Type="http://schemas.openxmlformats.org/officeDocument/2006/relationships/hyperlink" Target="https://us3.assetplanner.com/service_request?ID=099500" TargetMode="External"/><Relationship Id="rId56" Type="http://schemas.openxmlformats.org/officeDocument/2006/relationships/hyperlink" Target="https://us3.assetplanner.com/service_request?ID=103779"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2420" TargetMode="External"/><Relationship Id="rId8" Type="http://schemas.openxmlformats.org/officeDocument/2006/relationships/hyperlink" Target="https://us3.assetplanner.com/service_request?ID=099066" TargetMode="External"/><Relationship Id="rId51" Type="http://schemas.openxmlformats.org/officeDocument/2006/relationships/hyperlink" Target="https://us3.assetplanner.com/service_request?ID=103638" TargetMode="External"/><Relationship Id="rId72" Type="http://schemas.openxmlformats.org/officeDocument/2006/relationships/hyperlink" Target="https://us3.assetplanner.com/service_request?ID=103636" TargetMode="External"/><Relationship Id="rId93" Type="http://schemas.openxmlformats.org/officeDocument/2006/relationships/hyperlink" Target="https://us3.assetplanner.com/service_request?ID=102450" TargetMode="External"/><Relationship Id="rId98" Type="http://schemas.openxmlformats.org/officeDocument/2006/relationships/hyperlink" Target="https://us3.assetplanner.com/service_request?ID=102423"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3686" TargetMode="External"/><Relationship Id="rId21" Type="http://schemas.openxmlformats.org/officeDocument/2006/relationships/hyperlink" Target="https://us3.assetplanner.com/service_request?ID=103900" TargetMode="External"/><Relationship Id="rId42" Type="http://schemas.openxmlformats.org/officeDocument/2006/relationships/hyperlink" Target="https://us3.assetplanner.com/service_request?ID=103375" TargetMode="External"/><Relationship Id="rId47" Type="http://schemas.openxmlformats.org/officeDocument/2006/relationships/hyperlink" Target="https://us3.assetplanner.com/service_request?ID=105205" TargetMode="External"/><Relationship Id="rId63" Type="http://schemas.openxmlformats.org/officeDocument/2006/relationships/hyperlink" Target="https://us3.assetplanner.com/service_request?ID=102283" TargetMode="External"/><Relationship Id="rId68" Type="http://schemas.openxmlformats.org/officeDocument/2006/relationships/hyperlink" Target="https://us3.assetplanner.com/service_request?ID=103636" TargetMode="External"/><Relationship Id="rId84" Type="http://schemas.openxmlformats.org/officeDocument/2006/relationships/hyperlink" Target="https://us3.assetplanner.com/service_request?ID=102310" TargetMode="External"/><Relationship Id="rId89" Type="http://schemas.openxmlformats.org/officeDocument/2006/relationships/hyperlink" Target="https://us3.assetplanner.com/service_request?ID=102820" TargetMode="External"/><Relationship Id="rId112" Type="http://schemas.openxmlformats.org/officeDocument/2006/relationships/hyperlink" Target="https://us3.assetplanner.com/service_request?ID=105155" TargetMode="External"/><Relationship Id="rId16" Type="http://schemas.openxmlformats.org/officeDocument/2006/relationships/hyperlink" Target="https://us3.assetplanner.com/service_request?ID=105212" TargetMode="External"/><Relationship Id="rId107" Type="http://schemas.openxmlformats.org/officeDocument/2006/relationships/hyperlink" Target="https://us3.assetplanner.com/service_request?ID=103946"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098016" TargetMode="External"/><Relationship Id="rId37" Type="http://schemas.openxmlformats.org/officeDocument/2006/relationships/hyperlink" Target="https://us3.assetplanner.com/service_request?ID=104192" TargetMode="External"/><Relationship Id="rId53" Type="http://schemas.openxmlformats.org/officeDocument/2006/relationships/hyperlink" Target="https://us3.assetplanner.com/service_request?ID=100915" TargetMode="External"/><Relationship Id="rId58" Type="http://schemas.openxmlformats.org/officeDocument/2006/relationships/hyperlink" Target="https://us3.assetplanner.com/service_request?ID=104643" TargetMode="External"/><Relationship Id="rId74" Type="http://schemas.openxmlformats.org/officeDocument/2006/relationships/hyperlink" Target="https://us3.assetplanner.com/service_request?ID=102286" TargetMode="External"/><Relationship Id="rId79" Type="http://schemas.openxmlformats.org/officeDocument/2006/relationships/hyperlink" Target="https://us3.assetplanner.com/service_request?ID=102329" TargetMode="External"/><Relationship Id="rId102" Type="http://schemas.openxmlformats.org/officeDocument/2006/relationships/hyperlink" Target="https://us3.assetplanner.com/service_request?ID=103866"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4290" TargetMode="External"/><Relationship Id="rId95" Type="http://schemas.openxmlformats.org/officeDocument/2006/relationships/hyperlink" Target="https://us3.assetplanner.com/service_request?ID=103869" TargetMode="External"/><Relationship Id="rId22" Type="http://schemas.openxmlformats.org/officeDocument/2006/relationships/hyperlink" Target="https://us3.assetplanner.com/service_request?ID=101919" TargetMode="External"/><Relationship Id="rId27" Type="http://schemas.openxmlformats.org/officeDocument/2006/relationships/hyperlink" Target="https://us3.assetplanner.com/service_request?ID=101068" TargetMode="External"/><Relationship Id="rId43" Type="http://schemas.openxmlformats.org/officeDocument/2006/relationships/hyperlink" Target="https://us3.assetplanner.com/service_request?ID=100883" TargetMode="External"/><Relationship Id="rId48" Type="http://schemas.openxmlformats.org/officeDocument/2006/relationships/hyperlink" Target="https://us3.assetplanner.com/service_request?ID=101034" TargetMode="External"/><Relationship Id="rId64" Type="http://schemas.openxmlformats.org/officeDocument/2006/relationships/hyperlink" Target="https://us3.assetplanner.com/service_request?ID=102418" TargetMode="External"/><Relationship Id="rId69" Type="http://schemas.openxmlformats.org/officeDocument/2006/relationships/hyperlink" Target="https://us3.assetplanner.com/service_request?ID=102321" TargetMode="External"/><Relationship Id="rId80" Type="http://schemas.openxmlformats.org/officeDocument/2006/relationships/hyperlink" Target="https://us3.assetplanner.com/service_request?ID=105139" TargetMode="External"/><Relationship Id="rId85" Type="http://schemas.openxmlformats.org/officeDocument/2006/relationships/hyperlink" Target="https://us3.assetplanner.com/service_request?ID=104289"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2644" TargetMode="External"/><Relationship Id="rId33" Type="http://schemas.openxmlformats.org/officeDocument/2006/relationships/hyperlink" Target="https://us3.assetplanner.com/service_request?ID=103914" TargetMode="External"/><Relationship Id="rId38" Type="http://schemas.openxmlformats.org/officeDocument/2006/relationships/hyperlink" Target="https://us3.assetplanner.com/service_request?ID=102794" TargetMode="External"/><Relationship Id="rId59" Type="http://schemas.openxmlformats.org/officeDocument/2006/relationships/hyperlink" Target="https://us3.assetplanner.com/service_request?ID=103517" TargetMode="External"/><Relationship Id="rId103" Type="http://schemas.openxmlformats.org/officeDocument/2006/relationships/hyperlink" Target="https://us3.assetplanner.com/service_request?ID=104456" TargetMode="External"/><Relationship Id="rId108" Type="http://schemas.openxmlformats.org/officeDocument/2006/relationships/hyperlink" Target="https://us3.assetplanner.com/service_request?ID=104855" TargetMode="External"/><Relationship Id="rId54" Type="http://schemas.openxmlformats.org/officeDocument/2006/relationships/hyperlink" Target="https://us3.assetplanner.com/service_request?ID=10536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281" TargetMode="External"/><Relationship Id="rId91" Type="http://schemas.openxmlformats.org/officeDocument/2006/relationships/hyperlink" Target="https://us3.assetplanner.com/service_request?ID=102424" TargetMode="External"/><Relationship Id="rId96" Type="http://schemas.openxmlformats.org/officeDocument/2006/relationships/hyperlink" Target="https://us3.assetplanner.com/service_request?ID=10404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343" TargetMode="External"/><Relationship Id="rId23" Type="http://schemas.openxmlformats.org/officeDocument/2006/relationships/hyperlink" Target="https://us3.assetplanner.com/service_request?ID=104742" TargetMode="External"/><Relationship Id="rId28" Type="http://schemas.openxmlformats.org/officeDocument/2006/relationships/hyperlink" Target="https://us3.assetplanner.com/service_request?ID=099730" TargetMode="External"/><Relationship Id="rId36" Type="http://schemas.openxmlformats.org/officeDocument/2006/relationships/hyperlink" Target="https://us3.assetplanner.com/service_request?ID=104147" TargetMode="External"/><Relationship Id="rId49" Type="http://schemas.openxmlformats.org/officeDocument/2006/relationships/hyperlink" Target="https://us3.assetplanner.com/service_request?ID=103779" TargetMode="External"/><Relationship Id="rId57" Type="http://schemas.openxmlformats.org/officeDocument/2006/relationships/hyperlink" Target="https://us3.assetplanner.com/service_request?ID=104170" TargetMode="External"/><Relationship Id="rId106" Type="http://schemas.openxmlformats.org/officeDocument/2006/relationships/hyperlink" Target="https://us3.assetplanner.com/service_request?ID=103946"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099500" TargetMode="External"/><Relationship Id="rId44" Type="http://schemas.openxmlformats.org/officeDocument/2006/relationships/hyperlink" Target="https://us3.assetplanner.com/service_request?ID=103638" TargetMode="External"/><Relationship Id="rId52" Type="http://schemas.openxmlformats.org/officeDocument/2006/relationships/hyperlink" Target="https://us3.assetplanner.com/service_request?ID=104390" TargetMode="External"/><Relationship Id="rId60" Type="http://schemas.openxmlformats.org/officeDocument/2006/relationships/hyperlink" Target="https://us3.assetplanner.com/service_request?ID=101057" TargetMode="External"/><Relationship Id="rId65" Type="http://schemas.openxmlformats.org/officeDocument/2006/relationships/hyperlink" Target="https://us3.assetplanner.com/service_request?ID=102416" TargetMode="External"/><Relationship Id="rId73" Type="http://schemas.openxmlformats.org/officeDocument/2006/relationships/hyperlink" Target="https://us3.assetplanner.com/service_request?ID=102315" TargetMode="External"/><Relationship Id="rId78" Type="http://schemas.openxmlformats.org/officeDocument/2006/relationships/hyperlink" Target="https://us3.assetplanner.com/service_request?ID=102451" TargetMode="External"/><Relationship Id="rId81" Type="http://schemas.openxmlformats.org/officeDocument/2006/relationships/hyperlink" Target="https://us3.assetplanner.com/service_request?ID=102303" TargetMode="External"/><Relationship Id="rId86" Type="http://schemas.openxmlformats.org/officeDocument/2006/relationships/hyperlink" Target="https://us3.assetplanner.com/service_request?ID=102450" TargetMode="External"/><Relationship Id="rId94" Type="http://schemas.openxmlformats.org/officeDocument/2006/relationships/hyperlink" Target="https://us3.assetplanner.com/service_request?ID=102420" TargetMode="External"/><Relationship Id="rId99" Type="http://schemas.openxmlformats.org/officeDocument/2006/relationships/hyperlink" Target="https://us3.assetplanner.com/service_request?ID=103868" TargetMode="External"/><Relationship Id="rId101" Type="http://schemas.openxmlformats.org/officeDocument/2006/relationships/hyperlink" Target="https://us3.assetplanner.com/service_request?ID=103867"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13" Type="http://schemas.openxmlformats.org/officeDocument/2006/relationships/hyperlink" Target="https://us3.assetplanner.com/service_request?ID=104023" TargetMode="External"/><Relationship Id="rId18" Type="http://schemas.openxmlformats.org/officeDocument/2006/relationships/hyperlink" Target="https://us3.assetplanner.com/service_request?ID=102209" TargetMode="External"/><Relationship Id="rId39" Type="http://schemas.openxmlformats.org/officeDocument/2006/relationships/hyperlink" Target="https://us3.assetplanner.com/service_request?ID=103335" TargetMode="External"/><Relationship Id="rId109" Type="http://schemas.openxmlformats.org/officeDocument/2006/relationships/hyperlink" Target="https://us3.assetplanner.com/service_request?ID=102281" TargetMode="External"/><Relationship Id="rId34" Type="http://schemas.openxmlformats.org/officeDocument/2006/relationships/hyperlink" Target="https://us3.assetplanner.com/service_request?ID=%2009801" TargetMode="External"/><Relationship Id="rId50" Type="http://schemas.openxmlformats.org/officeDocument/2006/relationships/hyperlink" Target="https://us3.assetplanner.com/service_request?ID=102621" TargetMode="External"/><Relationship Id="rId55" Type="http://schemas.openxmlformats.org/officeDocument/2006/relationships/hyperlink" Target="https://us3.assetplanner.com/service_request?ID=101100" TargetMode="External"/><Relationship Id="rId76" Type="http://schemas.openxmlformats.org/officeDocument/2006/relationships/hyperlink" Target="https://us3.assetplanner.com/service_request?ID=102503" TargetMode="External"/><Relationship Id="rId97" Type="http://schemas.openxmlformats.org/officeDocument/2006/relationships/hyperlink" Target="https://us3.assetplanner.com/service_request?ID=104043" TargetMode="External"/><Relationship Id="rId104" Type="http://schemas.openxmlformats.org/officeDocument/2006/relationships/hyperlink" Target="https://us3.assetplanner.com/service_request?ID=103944"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2320" TargetMode="External"/><Relationship Id="rId92" Type="http://schemas.openxmlformats.org/officeDocument/2006/relationships/hyperlink" Target="https://us3.assetplanner.com/service_request?ID=102423"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950" TargetMode="External"/><Relationship Id="rId24" Type="http://schemas.openxmlformats.org/officeDocument/2006/relationships/hyperlink" Target="https://us3.assetplanner.com/service_request?ID=103239" TargetMode="External"/><Relationship Id="rId40" Type="http://schemas.openxmlformats.org/officeDocument/2006/relationships/hyperlink" Target="https://us3.assetplanner.com/service_request?ID=102723" TargetMode="External"/><Relationship Id="rId45" Type="http://schemas.openxmlformats.org/officeDocument/2006/relationships/hyperlink" Target="https://us3.assetplanner.com/service_request?ID=101963" TargetMode="External"/><Relationship Id="rId66" Type="http://schemas.openxmlformats.org/officeDocument/2006/relationships/hyperlink" Target="https://us3.assetplanner.com/service_request?ID=102392" TargetMode="External"/><Relationship Id="rId87" Type="http://schemas.openxmlformats.org/officeDocument/2006/relationships/hyperlink" Target="https://us3.assetplanner.com/service_request?ID=102413" TargetMode="External"/><Relationship Id="rId110" Type="http://schemas.openxmlformats.org/officeDocument/2006/relationships/hyperlink" Target="https://us3.assetplanner.com/service_request?ID=103947" TargetMode="External"/><Relationship Id="rId61" Type="http://schemas.openxmlformats.org/officeDocument/2006/relationships/hyperlink" Target="https://us3.assetplanner.com/service_request?ID=102419" TargetMode="External"/><Relationship Id="rId82" Type="http://schemas.openxmlformats.org/officeDocument/2006/relationships/hyperlink" Target="https://us3.assetplanner.com/service_request?ID=10241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4137" TargetMode="External"/><Relationship Id="rId30" Type="http://schemas.openxmlformats.org/officeDocument/2006/relationships/hyperlink" Target="https://us3.assetplanner.com/service_request?ID=102316" TargetMode="External"/><Relationship Id="rId35" Type="http://schemas.openxmlformats.org/officeDocument/2006/relationships/hyperlink" Target="https://us3.assetplanner.com/service_request?ID=103124" TargetMode="External"/><Relationship Id="rId56" Type="http://schemas.openxmlformats.org/officeDocument/2006/relationships/hyperlink" Target="https://us3.assetplanner.com/service_request?ID=105192" TargetMode="External"/><Relationship Id="rId77" Type="http://schemas.openxmlformats.org/officeDocument/2006/relationships/hyperlink" Target="https://us3.assetplanner.com/service_request?ID=101986" TargetMode="External"/><Relationship Id="rId100" Type="http://schemas.openxmlformats.org/officeDocument/2006/relationships/hyperlink" Target="https://us3.assetplanner.com/service_request?ID=104231" TargetMode="External"/><Relationship Id="rId105" Type="http://schemas.openxmlformats.org/officeDocument/2006/relationships/hyperlink" Target="https://us3.assetplanner.com/service_request?ID=104776" TargetMode="External"/><Relationship Id="rId8" Type="http://schemas.openxmlformats.org/officeDocument/2006/relationships/hyperlink" Target="https://us3.assetplanner.com/service_request?ID=103481" TargetMode="External"/><Relationship Id="rId51" Type="http://schemas.openxmlformats.org/officeDocument/2006/relationships/hyperlink" Target="https://us3.assetplanner.com/service_request?ID=101021" TargetMode="External"/><Relationship Id="rId72" Type="http://schemas.openxmlformats.org/officeDocument/2006/relationships/hyperlink" Target="https://us3.assetplanner.com/service_request?ID=102317" TargetMode="External"/><Relationship Id="rId93" Type="http://schemas.openxmlformats.org/officeDocument/2006/relationships/hyperlink" Target="https://us3.assetplanner.com/service_request?ID=102421" TargetMode="External"/><Relationship Id="rId98" Type="http://schemas.openxmlformats.org/officeDocument/2006/relationships/hyperlink" Target="https://us3.assetplanner.com/service_request?ID=104246"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103048" TargetMode="External"/><Relationship Id="rId46" Type="http://schemas.openxmlformats.org/officeDocument/2006/relationships/hyperlink" Target="https://us3.assetplanner.com/service_request?ID=101818" TargetMode="External"/><Relationship Id="rId67" Type="http://schemas.openxmlformats.org/officeDocument/2006/relationships/hyperlink" Target="https://us3.assetplanner.com/service_request?ID=104882" TargetMode="External"/><Relationship Id="rId20" Type="http://schemas.openxmlformats.org/officeDocument/2006/relationships/hyperlink" Target="https://us3.assetplanner.com/service_request?ID=103740" TargetMode="External"/><Relationship Id="rId41" Type="http://schemas.openxmlformats.org/officeDocument/2006/relationships/hyperlink" Target="https://us3.assetplanner.com/service_request?ID=105641" TargetMode="External"/><Relationship Id="rId62" Type="http://schemas.openxmlformats.org/officeDocument/2006/relationships/hyperlink" Target="https://us3.assetplanner.com/service_request?ID=103160" TargetMode="External"/><Relationship Id="rId83" Type="http://schemas.openxmlformats.org/officeDocument/2006/relationships/hyperlink" Target="https://us3.assetplanner.com/service_request?ID=102403" TargetMode="External"/><Relationship Id="rId88" Type="http://schemas.openxmlformats.org/officeDocument/2006/relationships/hyperlink" Target="https://us3.assetplanner.com/service_request?ID=102425" TargetMode="External"/><Relationship Id="rId111" Type="http://schemas.openxmlformats.org/officeDocument/2006/relationships/hyperlink" Target="https://us3.assetplanner.com/service_request?ID=104665"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6719" TargetMode="External"/><Relationship Id="rId117" Type="http://schemas.openxmlformats.org/officeDocument/2006/relationships/hyperlink" Target="https://us3.assetplanner.com/service_request?ID=102281" TargetMode="External"/><Relationship Id="rId21" Type="http://schemas.openxmlformats.org/officeDocument/2006/relationships/hyperlink" Target="https://us3.assetplanner.com/service_request?ID=103048" TargetMode="External"/><Relationship Id="rId42" Type="http://schemas.openxmlformats.org/officeDocument/2006/relationships/hyperlink" Target="https://us3.assetplanner.com/service_request?ID=102794" TargetMode="External"/><Relationship Id="rId47" Type="http://schemas.openxmlformats.org/officeDocument/2006/relationships/hyperlink" Target="https://us3.assetplanner.com/service_request?ID=106082" TargetMode="External"/><Relationship Id="rId63" Type="http://schemas.openxmlformats.org/officeDocument/2006/relationships/hyperlink" Target="https://us3.assetplanner.com/service_request?ID=102419"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2329" TargetMode="External"/><Relationship Id="rId89" Type="http://schemas.openxmlformats.org/officeDocument/2006/relationships/hyperlink" Target="https://us3.assetplanner.com/service_request?ID=104289" TargetMode="External"/><Relationship Id="rId112" Type="http://schemas.openxmlformats.org/officeDocument/2006/relationships/hyperlink" Target="https://us3.assetplanner.com/service_request?ID=103944" TargetMode="External"/><Relationship Id="rId16" Type="http://schemas.openxmlformats.org/officeDocument/2006/relationships/hyperlink" Target="https://us3.assetplanner.com/service_request?ID=103184" TargetMode="External"/><Relationship Id="rId107" Type="http://schemas.openxmlformats.org/officeDocument/2006/relationships/hyperlink" Target="https://us3.assetplanner.com/service_request?ID=106301" TargetMode="External"/><Relationship Id="rId11" Type="http://schemas.openxmlformats.org/officeDocument/2006/relationships/hyperlink" Target="https://us3.assetplanner.com/service_request?ID=105956" TargetMode="External"/><Relationship Id="rId32" Type="http://schemas.openxmlformats.org/officeDocument/2006/relationships/hyperlink" Target="https://us3.assetplanner.com/service_request?ID=104827" TargetMode="External"/><Relationship Id="rId37" Type="http://schemas.openxmlformats.org/officeDocument/2006/relationships/hyperlink" Target="https://us3.assetplanner.com/service_request?ID=102316" TargetMode="External"/><Relationship Id="rId53" Type="http://schemas.openxmlformats.org/officeDocument/2006/relationships/hyperlink" Target="https://us3.assetplanner.com/service_request?ID=103779" TargetMode="External"/><Relationship Id="rId58" Type="http://schemas.openxmlformats.org/officeDocument/2006/relationships/hyperlink" Target="https://us3.assetplanner.com/service_request?ID=101100"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6885" TargetMode="External"/><Relationship Id="rId102" Type="http://schemas.openxmlformats.org/officeDocument/2006/relationships/hyperlink" Target="https://us3.assetplanner.com/service_request?ID=106520" TargetMode="External"/><Relationship Id="rId123" Type="http://schemas.openxmlformats.org/officeDocument/2006/relationships/hyperlink" Target="https://us3.assetplanner.com/service_request?ID=102320" TargetMode="External"/><Relationship Id="rId5" Type="http://schemas.openxmlformats.org/officeDocument/2006/relationships/hyperlink" Target="https://us3.assetplanner.com/service_request?ID=096262" TargetMode="External"/><Relationship Id="rId90" Type="http://schemas.openxmlformats.org/officeDocument/2006/relationships/hyperlink" Target="https://us3.assetplanner.com/service_request?ID=102413" TargetMode="External"/><Relationship Id="rId95" Type="http://schemas.openxmlformats.org/officeDocument/2006/relationships/hyperlink" Target="https://us3.assetplanner.com/service_request?ID=102424" TargetMode="External"/><Relationship Id="rId22" Type="http://schemas.openxmlformats.org/officeDocument/2006/relationships/hyperlink" Target="https://us3.assetplanner.com/service_request?ID=103686" TargetMode="External"/><Relationship Id="rId27" Type="http://schemas.openxmlformats.org/officeDocument/2006/relationships/hyperlink" Target="https://us3.assetplanner.com/service_request?ID=104823" TargetMode="External"/><Relationship Id="rId43" Type="http://schemas.openxmlformats.org/officeDocument/2006/relationships/hyperlink" Target="https://us3.assetplanner.com/service_request?ID=105489" TargetMode="External"/><Relationship Id="rId48" Type="http://schemas.openxmlformats.org/officeDocument/2006/relationships/hyperlink" Target="https://us3.assetplanner.com/service_request?ID=100857" TargetMode="External"/><Relationship Id="rId64" Type="http://schemas.openxmlformats.org/officeDocument/2006/relationships/hyperlink" Target="https://us3.assetplanner.com/service_request?ID=107209" TargetMode="External"/><Relationship Id="rId69" Type="http://schemas.openxmlformats.org/officeDocument/2006/relationships/hyperlink" Target="https://us3.assetplanner.com/service_request?ID=102392" TargetMode="External"/><Relationship Id="rId113" Type="http://schemas.openxmlformats.org/officeDocument/2006/relationships/hyperlink" Target="https://us3.assetplanner.com/service_request?ID=106611" TargetMode="External"/><Relationship Id="rId118" Type="http://schemas.openxmlformats.org/officeDocument/2006/relationships/hyperlink" Target="https://us3.assetplanner.com/service_request?ID=104665" TargetMode="External"/><Relationship Id="rId80" Type="http://schemas.openxmlformats.org/officeDocument/2006/relationships/hyperlink" Target="https://us3.assetplanner.com/service_request?ID=101986" TargetMode="External"/><Relationship Id="rId85" Type="http://schemas.openxmlformats.org/officeDocument/2006/relationships/hyperlink" Target="https://us3.assetplanner.com/service_request?ID=102303" TargetMode="External"/><Relationship Id="rId12" Type="http://schemas.openxmlformats.org/officeDocument/2006/relationships/hyperlink" Target="https://us3.assetplanner.com/service_request?ID=106384" TargetMode="External"/><Relationship Id="rId17" Type="http://schemas.openxmlformats.org/officeDocument/2006/relationships/hyperlink" Target="https://us3.assetplanner.com/service_request?ID=103740" TargetMode="External"/><Relationship Id="rId33" Type="http://schemas.openxmlformats.org/officeDocument/2006/relationships/hyperlink" Target="https://us3.assetplanner.com/service_request?ID=104829" TargetMode="External"/><Relationship Id="rId38" Type="http://schemas.openxmlformats.org/officeDocument/2006/relationships/hyperlink" Target="https://us3.assetplanner.com/service_request?ID=099500" TargetMode="External"/><Relationship Id="rId59" Type="http://schemas.openxmlformats.org/officeDocument/2006/relationships/hyperlink" Target="https://us3.assetplanner.com/service_request?ID=105192" TargetMode="External"/><Relationship Id="rId103" Type="http://schemas.openxmlformats.org/officeDocument/2006/relationships/hyperlink" Target="https://us3.assetplanner.com/service_request?ID=104246" TargetMode="External"/><Relationship Id="rId108" Type="http://schemas.openxmlformats.org/officeDocument/2006/relationships/hyperlink" Target="https://us3.assetplanner.com/service_request?ID=103867" TargetMode="External"/><Relationship Id="rId54" Type="http://schemas.openxmlformats.org/officeDocument/2006/relationships/hyperlink" Target="https://us3.assetplanner.com/service_request?ID=102621" TargetMode="External"/><Relationship Id="rId70" Type="http://schemas.openxmlformats.org/officeDocument/2006/relationships/hyperlink" Target="https://us3.assetplanner.com/service_request?ID=102321" TargetMode="External"/><Relationship Id="rId75" Type="http://schemas.openxmlformats.org/officeDocument/2006/relationships/hyperlink" Target="https://us3.assetplanner.com/service_request?ID=105794" TargetMode="External"/><Relationship Id="rId91" Type="http://schemas.openxmlformats.org/officeDocument/2006/relationships/hyperlink" Target="https://us3.assetplanner.com/service_request?ID=102425" TargetMode="External"/><Relationship Id="rId96" Type="http://schemas.openxmlformats.org/officeDocument/2006/relationships/hyperlink" Target="https://us3.assetplanner.com/service_request?ID=10242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099066" TargetMode="External"/><Relationship Id="rId23" Type="http://schemas.openxmlformats.org/officeDocument/2006/relationships/hyperlink" Target="https://us3.assetplanner.com/service_request?ID=105968" TargetMode="External"/><Relationship Id="rId28" Type="http://schemas.openxmlformats.org/officeDocument/2006/relationships/hyperlink" Target="https://us3.assetplanner.com/service_request?ID=104824" TargetMode="External"/><Relationship Id="rId49" Type="http://schemas.openxmlformats.org/officeDocument/2006/relationships/hyperlink" Target="https://us3.assetplanner.com/service_request?ID=101963" TargetMode="External"/><Relationship Id="rId114" Type="http://schemas.openxmlformats.org/officeDocument/2006/relationships/hyperlink" Target="https://us3.assetplanner.com/service_request?ID=103946" TargetMode="External"/><Relationship Id="rId119" Type="http://schemas.openxmlformats.org/officeDocument/2006/relationships/hyperlink" Target="https://us3.assetplanner.com/service_request?ID=105155" TargetMode="External"/><Relationship Id="rId44" Type="http://schemas.openxmlformats.org/officeDocument/2006/relationships/hyperlink" Target="https://us3.assetplanner.com/service_request?ID=105973" TargetMode="External"/><Relationship Id="rId60" Type="http://schemas.openxmlformats.org/officeDocument/2006/relationships/hyperlink" Target="https://us3.assetplanner.com/service_request?ID=105872" TargetMode="External"/><Relationship Id="rId65" Type="http://schemas.openxmlformats.org/officeDocument/2006/relationships/hyperlink" Target="https://us3.assetplanner.com/service_request?ID=106774"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411" TargetMode="External"/><Relationship Id="rId4" Type="http://schemas.openxmlformats.org/officeDocument/2006/relationships/hyperlink" Target="https://us3.assetplanner.com/service_request?ID=101245" TargetMode="External"/><Relationship Id="rId9" Type="http://schemas.openxmlformats.org/officeDocument/2006/relationships/hyperlink" Target="https://us3.assetplanner.com/service_request?ID=104023" TargetMode="External"/><Relationship Id="rId13" Type="http://schemas.openxmlformats.org/officeDocument/2006/relationships/hyperlink" Target="https://us3.assetplanner.com/service_request?ID=107143" TargetMode="External"/><Relationship Id="rId18" Type="http://schemas.openxmlformats.org/officeDocument/2006/relationships/hyperlink" Target="https://us3.assetplanner.com/service_request?ID=106599" TargetMode="External"/><Relationship Id="rId39" Type="http://schemas.openxmlformats.org/officeDocument/2006/relationships/hyperlink" Target="https://us3.assetplanner.com/service_request?ID=098016" TargetMode="External"/><Relationship Id="rId109" Type="http://schemas.openxmlformats.org/officeDocument/2006/relationships/hyperlink" Target="https://us3.assetplanner.com/service_request?ID=103866" TargetMode="External"/><Relationship Id="rId34" Type="http://schemas.openxmlformats.org/officeDocument/2006/relationships/hyperlink" Target="https://us3.assetplanner.com/service_request?ID=104831" TargetMode="External"/><Relationship Id="rId50" Type="http://schemas.openxmlformats.org/officeDocument/2006/relationships/hyperlink" Target="https://us3.assetplanner.com/service_request?ID=101818" TargetMode="External"/><Relationship Id="rId55" Type="http://schemas.openxmlformats.org/officeDocument/2006/relationships/hyperlink" Target="https://us3.assetplanner.com/service_request?ID=101021" TargetMode="External"/><Relationship Id="rId76" Type="http://schemas.openxmlformats.org/officeDocument/2006/relationships/hyperlink" Target="https://us3.assetplanner.com/service_request?ID=106474" TargetMode="External"/><Relationship Id="rId97" Type="http://schemas.openxmlformats.org/officeDocument/2006/relationships/hyperlink" Target="https://us3.assetplanner.com/service_request?ID=102421" TargetMode="External"/><Relationship Id="rId104" Type="http://schemas.openxmlformats.org/officeDocument/2006/relationships/hyperlink" Target="https://us3.assetplanner.com/service_request?ID=104246" TargetMode="External"/><Relationship Id="rId120" Type="http://schemas.openxmlformats.org/officeDocument/2006/relationships/hyperlink" Target="https://us3.assetplanner.com/service_request?ID=106781" TargetMode="External"/><Relationship Id="rId7" Type="http://schemas.openxmlformats.org/officeDocument/2006/relationships/hyperlink" Target="https://us3.assetplanner.com/service_request?ID=098870" TargetMode="External"/><Relationship Id="rId71" Type="http://schemas.openxmlformats.org/officeDocument/2006/relationships/hyperlink" Target="https://us3.assetplanner.com/service_request?ID=103636" TargetMode="External"/><Relationship Id="rId92" Type="http://schemas.openxmlformats.org/officeDocument/2006/relationships/hyperlink" Target="https://us3.assetplanner.com/service_request?ID=106842" TargetMode="External"/><Relationship Id="rId2" Type="http://schemas.openxmlformats.org/officeDocument/2006/relationships/hyperlink" Target="https://us3.assetplanner.com/service_request?ID=105924" TargetMode="External"/><Relationship Id="rId29" Type="http://schemas.openxmlformats.org/officeDocument/2006/relationships/hyperlink" Target="https://us3.assetplanner.com/service_request?ID=104825" TargetMode="External"/><Relationship Id="rId24" Type="http://schemas.openxmlformats.org/officeDocument/2006/relationships/hyperlink" Target="https://us3.assetplanner.com/service_request?ID=106026" TargetMode="External"/><Relationship Id="rId40" Type="http://schemas.openxmlformats.org/officeDocument/2006/relationships/hyperlink" Target="https://us3.assetplanner.com/service_request?ID=103914" TargetMode="External"/><Relationship Id="rId45" Type="http://schemas.openxmlformats.org/officeDocument/2006/relationships/hyperlink" Target="https://us3.assetplanner.com/service_request?ID=102723"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6531" TargetMode="External"/><Relationship Id="rId110" Type="http://schemas.openxmlformats.org/officeDocument/2006/relationships/hyperlink" Target="https://us3.assetplanner.com/service_request?ID=104456" TargetMode="External"/><Relationship Id="rId115" Type="http://schemas.openxmlformats.org/officeDocument/2006/relationships/hyperlink" Target="https://us3.assetplanner.com/service_request?ID=103946" TargetMode="External"/><Relationship Id="rId61" Type="http://schemas.openxmlformats.org/officeDocument/2006/relationships/hyperlink" Target="https://us3.assetplanner.com/service_request?ID=106435" TargetMode="External"/><Relationship Id="rId82" Type="http://schemas.openxmlformats.org/officeDocument/2006/relationships/hyperlink" Target="https://us3.assetplanner.com/service_request?ID=106828" TargetMode="External"/><Relationship Id="rId19" Type="http://schemas.openxmlformats.org/officeDocument/2006/relationships/hyperlink" Target="https://us3.assetplanner.com/service_request?ID=106946" TargetMode="External"/><Relationship Id="rId14" Type="http://schemas.openxmlformats.org/officeDocument/2006/relationships/hyperlink" Target="https://us3.assetplanner.com/service_request?ID=100417" TargetMode="External"/><Relationship Id="rId30" Type="http://schemas.openxmlformats.org/officeDocument/2006/relationships/hyperlink" Target="https://us3.assetplanner.com/service_request?ID=104826" TargetMode="External"/><Relationship Id="rId35" Type="http://schemas.openxmlformats.org/officeDocument/2006/relationships/hyperlink" Target="https://us3.assetplanner.com/service_request?ID=104832" TargetMode="External"/><Relationship Id="rId56" Type="http://schemas.openxmlformats.org/officeDocument/2006/relationships/hyperlink" Target="https://us3.assetplanner.com/service_request?ID=100915"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7145" TargetMode="External"/><Relationship Id="rId105" Type="http://schemas.openxmlformats.org/officeDocument/2006/relationships/hyperlink" Target="https://us3.assetplanner.com/service_request?ID=103869" TargetMode="External"/><Relationship Id="rId8" Type="http://schemas.openxmlformats.org/officeDocument/2006/relationships/hyperlink" Target="https://us3.assetplanner.com/service_request?ID=099461" TargetMode="External"/><Relationship Id="rId51" Type="http://schemas.openxmlformats.org/officeDocument/2006/relationships/hyperlink" Target="https://us3.assetplanner.com/service_request?ID=105928" TargetMode="External"/><Relationship Id="rId72" Type="http://schemas.openxmlformats.org/officeDocument/2006/relationships/hyperlink" Target="https://us3.assetplanner.com/service_request?ID=102539" TargetMode="External"/><Relationship Id="rId93" Type="http://schemas.openxmlformats.org/officeDocument/2006/relationships/hyperlink" Target="https://us3.assetplanner.com/service_request?ID=104290" TargetMode="External"/><Relationship Id="rId98" Type="http://schemas.openxmlformats.org/officeDocument/2006/relationships/hyperlink" Target="https://us3.assetplanner.com/service_request?ID=102420" TargetMode="External"/><Relationship Id="rId121" Type="http://schemas.openxmlformats.org/officeDocument/2006/relationships/hyperlink" Target="https://us3.assetplanner.com/service_request?ID=107162"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099730" TargetMode="External"/><Relationship Id="rId46" Type="http://schemas.openxmlformats.org/officeDocument/2006/relationships/hyperlink" Target="https://us3.assetplanner.com/service_request?ID=105641" TargetMode="External"/><Relationship Id="rId67" Type="http://schemas.openxmlformats.org/officeDocument/2006/relationships/hyperlink" Target="https://us3.assetplanner.com/service_request?ID=102418" TargetMode="External"/><Relationship Id="rId116" Type="http://schemas.openxmlformats.org/officeDocument/2006/relationships/hyperlink" Target="https://us3.assetplanner.com/service_request?ID=104855" TargetMode="External"/><Relationship Id="rId20" Type="http://schemas.openxmlformats.org/officeDocument/2006/relationships/hyperlink" Target="https://us3.assetplanner.com/service_request?ID=103239" TargetMode="External"/><Relationship Id="rId41" Type="http://schemas.openxmlformats.org/officeDocument/2006/relationships/hyperlink" Target="https://us3.assetplanner.com/service_request?ID=104192" TargetMode="External"/><Relationship Id="rId62" Type="http://schemas.openxmlformats.org/officeDocument/2006/relationships/hyperlink" Target="https://us3.assetplanner.com/service_request?ID=106650" TargetMode="External"/><Relationship Id="rId83" Type="http://schemas.openxmlformats.org/officeDocument/2006/relationships/hyperlink" Target="https://us3.assetplanner.com/service_request?ID=105139" TargetMode="External"/><Relationship Id="rId88" Type="http://schemas.openxmlformats.org/officeDocument/2006/relationships/hyperlink" Target="https://us3.assetplanner.com/service_request?ID=102310" TargetMode="External"/><Relationship Id="rId111" Type="http://schemas.openxmlformats.org/officeDocument/2006/relationships/hyperlink" Target="https://us3.assetplanner.com/service_request?ID=104776" TargetMode="External"/><Relationship Id="rId15" Type="http://schemas.openxmlformats.org/officeDocument/2006/relationships/hyperlink" Target="https://us3.assetplanner.com/service_request?ID=102209" TargetMode="External"/><Relationship Id="rId36" Type="http://schemas.openxmlformats.org/officeDocument/2006/relationships/hyperlink" Target="https://us3.assetplanner.com/service_request?ID=103950" TargetMode="External"/><Relationship Id="rId57" Type="http://schemas.openxmlformats.org/officeDocument/2006/relationships/hyperlink" Target="https://us3.assetplanner.com/service_request?ID=105366" TargetMode="External"/><Relationship Id="rId106" Type="http://schemas.openxmlformats.org/officeDocument/2006/relationships/hyperlink" Target="https://us3.assetplanner.com/service_request?ID=105626" TargetMode="External"/><Relationship Id="rId10" Type="http://schemas.openxmlformats.org/officeDocument/2006/relationships/hyperlink" Target="https://us3.assetplanner.com/service_request?ID=104137" TargetMode="External"/><Relationship Id="rId31" Type="http://schemas.openxmlformats.org/officeDocument/2006/relationships/hyperlink" Target="https://us3.assetplanner.com/service_request?ID=104828" TargetMode="External"/><Relationship Id="rId52" Type="http://schemas.openxmlformats.org/officeDocument/2006/relationships/hyperlink" Target="https://us3.assetplanner.com/service_request?ID=101034" TargetMode="External"/><Relationship Id="rId73" Type="http://schemas.openxmlformats.org/officeDocument/2006/relationships/hyperlink" Target="https://us3.assetplanner.com/service_request?ID=104882" TargetMode="External"/><Relationship Id="rId78" Type="http://schemas.openxmlformats.org/officeDocument/2006/relationships/hyperlink" Target="https://us3.assetplanner.com/service_request?ID=102281" TargetMode="External"/><Relationship Id="rId94" Type="http://schemas.openxmlformats.org/officeDocument/2006/relationships/hyperlink" Target="https://us3.assetplanner.com/service_request?ID=104290" TargetMode="External"/><Relationship Id="rId99" Type="http://schemas.openxmlformats.org/officeDocument/2006/relationships/hyperlink" Target="https://us3.assetplanner.com/service_request?ID=107231" TargetMode="External"/><Relationship Id="rId101" Type="http://schemas.openxmlformats.org/officeDocument/2006/relationships/hyperlink" Target="https://us3.assetplanner.com/service_request?ID=106851" TargetMode="External"/><Relationship Id="rId122" Type="http://schemas.openxmlformats.org/officeDocument/2006/relationships/hyperlink" Target="https://us3.assetplanner.com/service_request?ID=102450"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us3.assetplanner.com/service_request?ID=102820" TargetMode="External"/><Relationship Id="rId21" Type="http://schemas.openxmlformats.org/officeDocument/2006/relationships/hyperlink" Target="https://us3.assetplanner.com/service_request?ID=105959" TargetMode="External"/><Relationship Id="rId42" Type="http://schemas.openxmlformats.org/officeDocument/2006/relationships/hyperlink" Target="https://us3.assetplanner.com/service_request?ID=104827" TargetMode="External"/><Relationship Id="rId63" Type="http://schemas.openxmlformats.org/officeDocument/2006/relationships/hyperlink" Target="https://us3.assetplanner.com/service_request?ID=106082" TargetMode="External"/><Relationship Id="rId84" Type="http://schemas.openxmlformats.org/officeDocument/2006/relationships/hyperlink" Target="https://us3.assetplanner.com/service_request?ID=102416" TargetMode="External"/><Relationship Id="rId138" Type="http://schemas.openxmlformats.org/officeDocument/2006/relationships/hyperlink" Target="https://us3.assetplanner.com/service_request?ID=102281" TargetMode="External"/><Relationship Id="rId16" Type="http://schemas.openxmlformats.org/officeDocument/2006/relationships/hyperlink" Target="https://us3.assetplanner.com/service_request?ID=105956" TargetMode="External"/><Relationship Id="rId107" Type="http://schemas.openxmlformats.org/officeDocument/2006/relationships/hyperlink" Target="https://us3.assetplanner.com/service_request?ID=102411"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103048" TargetMode="External"/><Relationship Id="rId37" Type="http://schemas.openxmlformats.org/officeDocument/2006/relationships/hyperlink" Target="https://us3.assetplanner.com/service_request?ID=104823" TargetMode="External"/><Relationship Id="rId53" Type="http://schemas.openxmlformats.org/officeDocument/2006/relationships/hyperlink" Target="https://us3.assetplanner.com/service_request?ID=103914" TargetMode="External"/><Relationship Id="rId58" Type="http://schemas.openxmlformats.org/officeDocument/2006/relationships/hyperlink" Target="https://us3.assetplanner.com/service_request?ID=108491" TargetMode="External"/><Relationship Id="rId74" Type="http://schemas.openxmlformats.org/officeDocument/2006/relationships/hyperlink" Target="https://us3.assetplanner.com/service_request?ID=101100" TargetMode="External"/><Relationship Id="rId79" Type="http://schemas.openxmlformats.org/officeDocument/2006/relationships/hyperlink" Target="https://us3.assetplanner.com/service_request?ID=102419" TargetMode="External"/><Relationship Id="rId102" Type="http://schemas.openxmlformats.org/officeDocument/2006/relationships/hyperlink" Target="https://us3.assetplanner.com/service_request?ID=104882" TargetMode="External"/><Relationship Id="rId123" Type="http://schemas.openxmlformats.org/officeDocument/2006/relationships/hyperlink" Target="https://us3.assetplanner.com/service_request?ID=108494" TargetMode="External"/><Relationship Id="rId128" Type="http://schemas.openxmlformats.org/officeDocument/2006/relationships/hyperlink" Target="https://us3.assetplanner.com/service_request?ID=103868" TargetMode="External"/><Relationship Id="rId5" Type="http://schemas.openxmlformats.org/officeDocument/2006/relationships/hyperlink" Target="https://us3.assetplanner.com/service_request?ID=105658" TargetMode="External"/><Relationship Id="rId90" Type="http://schemas.openxmlformats.org/officeDocument/2006/relationships/hyperlink" Target="https://us3.assetplanner.com/service_request?ID=102320" TargetMode="External"/><Relationship Id="rId95" Type="http://schemas.openxmlformats.org/officeDocument/2006/relationships/hyperlink" Target="https://us3.assetplanner.com/service_request?ID=102886" TargetMode="External"/><Relationship Id="rId22" Type="http://schemas.openxmlformats.org/officeDocument/2006/relationships/hyperlink" Target="https://us3.assetplanner.com/service_request?ID=103740" TargetMode="External"/><Relationship Id="rId27" Type="http://schemas.openxmlformats.org/officeDocument/2006/relationships/hyperlink" Target="https://us3.assetplanner.com/service_request?ID=107211" TargetMode="External"/><Relationship Id="rId43" Type="http://schemas.openxmlformats.org/officeDocument/2006/relationships/hyperlink" Target="https://us3.assetplanner.com/service_request?ID=104829" TargetMode="External"/><Relationship Id="rId48" Type="http://schemas.openxmlformats.org/officeDocument/2006/relationships/hyperlink" Target="https://us3.assetplanner.com/service_request?ID=106483" TargetMode="External"/><Relationship Id="rId64" Type="http://schemas.openxmlformats.org/officeDocument/2006/relationships/hyperlink" Target="https://us3.assetplanner.com/service_request?ID=100857" TargetMode="External"/><Relationship Id="rId69" Type="http://schemas.openxmlformats.org/officeDocument/2006/relationships/hyperlink" Target="https://us3.assetplanner.com/service_request?ID=103779" TargetMode="External"/><Relationship Id="rId113" Type="http://schemas.openxmlformats.org/officeDocument/2006/relationships/hyperlink" Target="https://us3.assetplanner.com/service_request?ID=102450" TargetMode="External"/><Relationship Id="rId118" Type="http://schemas.openxmlformats.org/officeDocument/2006/relationships/hyperlink" Target="https://us3.assetplanner.com/service_request?ID=104290" TargetMode="External"/><Relationship Id="rId134" Type="http://schemas.openxmlformats.org/officeDocument/2006/relationships/hyperlink" Target="https://us3.assetplanner.com/service_request?ID=107661" TargetMode="External"/><Relationship Id="rId139" Type="http://schemas.openxmlformats.org/officeDocument/2006/relationships/hyperlink" Target="https://us3.assetplanner.com/service_request?ID=108309" TargetMode="External"/><Relationship Id="rId80" Type="http://schemas.openxmlformats.org/officeDocument/2006/relationships/hyperlink" Target="https://us3.assetplanner.com/service_request?ID=107209" TargetMode="External"/><Relationship Id="rId85" Type="http://schemas.openxmlformats.org/officeDocument/2006/relationships/hyperlink" Target="https://us3.assetplanner.com/service_request?ID=102392"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8214" TargetMode="External"/><Relationship Id="rId33" Type="http://schemas.openxmlformats.org/officeDocument/2006/relationships/hyperlink" Target="https://us3.assetplanner.com/service_request?ID=103686" TargetMode="External"/><Relationship Id="rId38" Type="http://schemas.openxmlformats.org/officeDocument/2006/relationships/hyperlink" Target="https://us3.assetplanner.com/service_request?ID=104824" TargetMode="External"/><Relationship Id="rId59" Type="http://schemas.openxmlformats.org/officeDocument/2006/relationships/hyperlink" Target="https://us3.assetplanner.com/service_request?ID=108496" TargetMode="External"/><Relationship Id="rId103" Type="http://schemas.openxmlformats.org/officeDocument/2006/relationships/hyperlink" Target="https://us3.assetplanner.com/service_request?ID=102329" TargetMode="External"/><Relationship Id="rId108" Type="http://schemas.openxmlformats.org/officeDocument/2006/relationships/hyperlink" Target="https://us3.assetplanner.com/service_request?ID=106531" TargetMode="External"/><Relationship Id="rId124" Type="http://schemas.openxmlformats.org/officeDocument/2006/relationships/hyperlink" Target="https://us3.assetplanner.com/service_request?ID=107231" TargetMode="External"/><Relationship Id="rId129" Type="http://schemas.openxmlformats.org/officeDocument/2006/relationships/hyperlink" Target="https://us3.assetplanner.com/service_request?ID=106301" TargetMode="External"/><Relationship Id="rId54" Type="http://schemas.openxmlformats.org/officeDocument/2006/relationships/hyperlink" Target="https://us3.assetplanner.com/service_request?ID=104192" TargetMode="External"/><Relationship Id="rId70" Type="http://schemas.openxmlformats.org/officeDocument/2006/relationships/hyperlink" Target="https://us3.assetplanner.com/service_request?ID=102621" TargetMode="External"/><Relationship Id="rId75" Type="http://schemas.openxmlformats.org/officeDocument/2006/relationships/hyperlink" Target="https://us3.assetplanner.com/service_request?ID=107802" TargetMode="External"/><Relationship Id="rId91" Type="http://schemas.openxmlformats.org/officeDocument/2006/relationships/hyperlink" Target="https://us3.assetplanner.com/service_request?ID=102317" TargetMode="External"/><Relationship Id="rId96" Type="http://schemas.openxmlformats.org/officeDocument/2006/relationships/hyperlink" Target="https://us3.assetplanner.com/service_request?ID=102281"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7520" TargetMode="External"/><Relationship Id="rId23" Type="http://schemas.openxmlformats.org/officeDocument/2006/relationships/hyperlink" Target="https://us3.assetplanner.com/service_request?ID=106599" TargetMode="External"/><Relationship Id="rId28" Type="http://schemas.openxmlformats.org/officeDocument/2006/relationships/hyperlink" Target="https://us3.assetplanner.com/service_request?ID=108008" TargetMode="External"/><Relationship Id="rId49" Type="http://schemas.openxmlformats.org/officeDocument/2006/relationships/hyperlink" Target="https://us3.assetplanner.com/service_request?ID=098016" TargetMode="External"/><Relationship Id="rId114" Type="http://schemas.openxmlformats.org/officeDocument/2006/relationships/hyperlink" Target="https://us3.assetplanner.com/service_request?ID=102413" TargetMode="External"/><Relationship Id="rId119" Type="http://schemas.openxmlformats.org/officeDocument/2006/relationships/hyperlink" Target="https://us3.assetplanner.com/service_request?ID=102424" TargetMode="External"/><Relationship Id="rId44" Type="http://schemas.openxmlformats.org/officeDocument/2006/relationships/hyperlink" Target="https://us3.assetplanner.com/service_request?ID=104831" TargetMode="External"/><Relationship Id="rId60" Type="http://schemas.openxmlformats.org/officeDocument/2006/relationships/hyperlink" Target="https://us3.assetplanner.com/service_request?ID=105973" TargetMode="External"/><Relationship Id="rId65" Type="http://schemas.openxmlformats.org/officeDocument/2006/relationships/hyperlink" Target="https://us3.assetplanner.com/service_request?ID=101963" TargetMode="External"/><Relationship Id="rId81" Type="http://schemas.openxmlformats.org/officeDocument/2006/relationships/hyperlink" Target="https://us3.assetplanner.com/service_request?ID=102283" TargetMode="External"/><Relationship Id="rId86" Type="http://schemas.openxmlformats.org/officeDocument/2006/relationships/hyperlink" Target="https://us3.assetplanner.com/service_request?ID=102321" TargetMode="External"/><Relationship Id="rId130" Type="http://schemas.openxmlformats.org/officeDocument/2006/relationships/hyperlink" Target="https://us3.assetplanner.com/service_request?ID=103867" TargetMode="External"/><Relationship Id="rId135" Type="http://schemas.openxmlformats.org/officeDocument/2006/relationships/hyperlink" Target="https://us3.assetplanner.com/service_request?ID=103946" TargetMode="External"/><Relationship Id="rId13" Type="http://schemas.openxmlformats.org/officeDocument/2006/relationships/hyperlink" Target="https://us3.assetplanner.com/service_request?ID=107058" TargetMode="External"/><Relationship Id="rId18" Type="http://schemas.openxmlformats.org/officeDocument/2006/relationships/hyperlink" Target="https://us3.assetplanner.com/service_request?ID=100417" TargetMode="External"/><Relationship Id="rId39" Type="http://schemas.openxmlformats.org/officeDocument/2006/relationships/hyperlink" Target="https://us3.assetplanner.com/service_request?ID=104825" TargetMode="External"/><Relationship Id="rId109" Type="http://schemas.openxmlformats.org/officeDocument/2006/relationships/hyperlink" Target="https://us3.assetplanner.com/service_request?ID=108501" TargetMode="External"/><Relationship Id="rId34" Type="http://schemas.openxmlformats.org/officeDocument/2006/relationships/hyperlink" Target="https://us3.assetplanner.com/service_request?ID=107476" TargetMode="External"/><Relationship Id="rId50" Type="http://schemas.openxmlformats.org/officeDocument/2006/relationships/hyperlink" Target="https://us3.assetplanner.com/service_request?ID=106514" TargetMode="External"/><Relationship Id="rId55" Type="http://schemas.openxmlformats.org/officeDocument/2006/relationships/hyperlink" Target="https://us3.assetplanner.com/service_request?ID=102794" TargetMode="External"/><Relationship Id="rId76" Type="http://schemas.openxmlformats.org/officeDocument/2006/relationships/hyperlink" Target="https://us3.assetplanner.com/service_request?ID=105192" TargetMode="External"/><Relationship Id="rId97" Type="http://schemas.openxmlformats.org/officeDocument/2006/relationships/hyperlink" Target="https://us3.assetplanner.com/service_request?ID=101986" TargetMode="External"/><Relationship Id="rId104" Type="http://schemas.openxmlformats.org/officeDocument/2006/relationships/hyperlink" Target="https://us3.assetplanner.com/service_request?ID=105139" TargetMode="External"/><Relationship Id="rId120" Type="http://schemas.openxmlformats.org/officeDocument/2006/relationships/hyperlink" Target="https://us3.assetplanner.com/service_request?ID=102423" TargetMode="External"/><Relationship Id="rId125" Type="http://schemas.openxmlformats.org/officeDocument/2006/relationships/hyperlink" Target="https://us3.assetplanner.com/service_request?ID=106851"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1021" TargetMode="External"/><Relationship Id="rId92" Type="http://schemas.openxmlformats.org/officeDocument/2006/relationships/hyperlink" Target="https://us3.assetplanner.com/service_request?ID=108297" TargetMode="External"/><Relationship Id="rId2" Type="http://schemas.openxmlformats.org/officeDocument/2006/relationships/hyperlink" Target="https://us3.assetplanner.com/service_request?ID=107271" TargetMode="External"/><Relationship Id="rId29" Type="http://schemas.openxmlformats.org/officeDocument/2006/relationships/hyperlink" Target="https://us3.assetplanner.com/service_request?ID=107587" TargetMode="External"/><Relationship Id="rId24" Type="http://schemas.openxmlformats.org/officeDocument/2006/relationships/hyperlink" Target="https://us3.assetplanner.com/service_request?ID=107545" TargetMode="External"/><Relationship Id="rId40" Type="http://schemas.openxmlformats.org/officeDocument/2006/relationships/hyperlink" Target="https://us3.assetplanner.com/service_request?ID=104826" TargetMode="External"/><Relationship Id="rId45" Type="http://schemas.openxmlformats.org/officeDocument/2006/relationships/hyperlink" Target="https://us3.assetplanner.com/service_request?ID=104832" TargetMode="External"/><Relationship Id="rId66" Type="http://schemas.openxmlformats.org/officeDocument/2006/relationships/hyperlink" Target="https://us3.assetplanner.com/service_request?ID=101818" TargetMode="External"/><Relationship Id="rId87" Type="http://schemas.openxmlformats.org/officeDocument/2006/relationships/hyperlink" Target="https://us3.assetplanner.com/service_request?ID=103636" TargetMode="External"/><Relationship Id="rId110" Type="http://schemas.openxmlformats.org/officeDocument/2006/relationships/hyperlink" Target="https://us3.assetplanner.com/service_request?ID=107991" TargetMode="External"/><Relationship Id="rId115" Type="http://schemas.openxmlformats.org/officeDocument/2006/relationships/hyperlink" Target="https://us3.assetplanner.com/service_request?ID=106842" TargetMode="External"/><Relationship Id="rId131" Type="http://schemas.openxmlformats.org/officeDocument/2006/relationships/hyperlink" Target="https://us3.assetplanner.com/service_request?ID=103866" TargetMode="External"/><Relationship Id="rId136" Type="http://schemas.openxmlformats.org/officeDocument/2006/relationships/hyperlink" Target="https://us3.assetplanner.com/service_request?ID=104855" TargetMode="External"/><Relationship Id="rId61" Type="http://schemas.openxmlformats.org/officeDocument/2006/relationships/hyperlink" Target="https://us3.assetplanner.com/service_request?ID=102723" TargetMode="External"/><Relationship Id="rId82" Type="http://schemas.openxmlformats.org/officeDocument/2006/relationships/hyperlink" Target="https://us3.assetplanner.com/service_request?ID=106774" TargetMode="External"/><Relationship Id="rId19" Type="http://schemas.openxmlformats.org/officeDocument/2006/relationships/hyperlink" Target="https://us3.assetplanner.com/service_request?ID=102209" TargetMode="External"/><Relationship Id="rId14" Type="http://schemas.openxmlformats.org/officeDocument/2006/relationships/hyperlink" Target="https://us3.assetplanner.com/service_request?ID=104023" TargetMode="External"/><Relationship Id="rId30" Type="http://schemas.openxmlformats.org/officeDocument/2006/relationships/hyperlink" Target="https://us3.assetplanner.com/service_request?ID=103239" TargetMode="External"/><Relationship Id="rId35" Type="http://schemas.openxmlformats.org/officeDocument/2006/relationships/hyperlink" Target="https://us3.assetplanner.com/service_request?ID=099730" TargetMode="External"/><Relationship Id="rId56" Type="http://schemas.openxmlformats.org/officeDocument/2006/relationships/hyperlink" Target="https://us3.assetplanner.com/service_request?ID=105489" TargetMode="External"/><Relationship Id="rId77" Type="http://schemas.openxmlformats.org/officeDocument/2006/relationships/hyperlink" Target="https://us3.assetplanner.com/service_request?ID=106435" TargetMode="External"/><Relationship Id="rId100" Type="http://schemas.openxmlformats.org/officeDocument/2006/relationships/hyperlink" Target="https://us3.assetplanner.com/service_request?ID=103636" TargetMode="External"/><Relationship Id="rId105" Type="http://schemas.openxmlformats.org/officeDocument/2006/relationships/hyperlink" Target="https://us3.assetplanner.com/service_request?ID=105139" TargetMode="External"/><Relationship Id="rId126" Type="http://schemas.openxmlformats.org/officeDocument/2006/relationships/hyperlink" Target="https://us3.assetplanner.com/service_request?ID=103869" TargetMode="External"/><Relationship Id="rId8" Type="http://schemas.openxmlformats.org/officeDocument/2006/relationships/hyperlink" Target="https://us3.assetplanner.com/service_request?ID=101245" TargetMode="External"/><Relationship Id="rId51" Type="http://schemas.openxmlformats.org/officeDocument/2006/relationships/hyperlink" Target="https://us3.assetplanner.com/service_request?ID=106806" TargetMode="External"/><Relationship Id="rId72" Type="http://schemas.openxmlformats.org/officeDocument/2006/relationships/hyperlink" Target="https://us3.assetplanner.com/service_request?ID=100915" TargetMode="External"/><Relationship Id="rId93" Type="http://schemas.openxmlformats.org/officeDocument/2006/relationships/hyperlink" Target="https://us3.assetplanner.com/service_request?ID=108307" TargetMode="External"/><Relationship Id="rId98" Type="http://schemas.openxmlformats.org/officeDocument/2006/relationships/hyperlink" Target="https://us3.assetplanner.com/service_request?ID=102451" TargetMode="External"/><Relationship Id="rId121" Type="http://schemas.openxmlformats.org/officeDocument/2006/relationships/hyperlink" Target="https://us3.assetplanner.com/service_request?ID=102421" TargetMode="External"/><Relationship Id="rId3" Type="http://schemas.openxmlformats.org/officeDocument/2006/relationships/hyperlink" Target="https://us3.assetplanner.com/service_request?ID=105924" TargetMode="External"/><Relationship Id="rId25" Type="http://schemas.openxmlformats.org/officeDocument/2006/relationships/hyperlink" Target="https://us3.assetplanner.com/service_request?ID=107872" TargetMode="External"/><Relationship Id="rId46" Type="http://schemas.openxmlformats.org/officeDocument/2006/relationships/hyperlink" Target="https://us3.assetplanner.com/service_request?ID=107791" TargetMode="External"/><Relationship Id="rId67" Type="http://schemas.openxmlformats.org/officeDocument/2006/relationships/hyperlink" Target="https://us3.assetplanner.com/service_request?ID=105928" TargetMode="External"/><Relationship Id="rId116" Type="http://schemas.openxmlformats.org/officeDocument/2006/relationships/hyperlink" Target="https://us3.assetplanner.com/service_request?ID=102425" TargetMode="External"/><Relationship Id="rId137" Type="http://schemas.openxmlformats.org/officeDocument/2006/relationships/hyperlink" Target="https://us3.assetplanner.com/service_request?ID=103946" TargetMode="External"/><Relationship Id="rId20" Type="http://schemas.openxmlformats.org/officeDocument/2006/relationships/hyperlink" Target="https://us3.assetplanner.com/service_request?ID=103184" TargetMode="External"/><Relationship Id="rId41" Type="http://schemas.openxmlformats.org/officeDocument/2006/relationships/hyperlink" Target="https://us3.assetplanner.com/service_request?ID=104828" TargetMode="External"/><Relationship Id="rId62" Type="http://schemas.openxmlformats.org/officeDocument/2006/relationships/hyperlink" Target="https://us3.assetplanner.com/service_request?ID=105641" TargetMode="External"/><Relationship Id="rId83" Type="http://schemas.openxmlformats.org/officeDocument/2006/relationships/hyperlink" Target="https://us3.assetplanner.com/service_request?ID=102418" TargetMode="External"/><Relationship Id="rId88" Type="http://schemas.openxmlformats.org/officeDocument/2006/relationships/hyperlink" Target="https://us3.assetplanner.com/service_request?ID=102539" TargetMode="External"/><Relationship Id="rId111" Type="http://schemas.openxmlformats.org/officeDocument/2006/relationships/hyperlink" Target="https://us3.assetplanner.com/service_request?ID=102310" TargetMode="External"/><Relationship Id="rId132" Type="http://schemas.openxmlformats.org/officeDocument/2006/relationships/hyperlink" Target="https://us3.assetplanner.com/service_request?ID=104456" TargetMode="External"/><Relationship Id="rId15" Type="http://schemas.openxmlformats.org/officeDocument/2006/relationships/hyperlink" Target="https://us3.assetplanner.com/service_request?ID=104137" TargetMode="External"/><Relationship Id="rId36" Type="http://schemas.openxmlformats.org/officeDocument/2006/relationships/hyperlink" Target="https://us3.assetplanner.com/service_request?ID=106719" TargetMode="External"/><Relationship Id="rId57" Type="http://schemas.openxmlformats.org/officeDocument/2006/relationships/hyperlink" Target="https://us3.assetplanner.com/service_request?ID=107586" TargetMode="External"/><Relationship Id="rId106" Type="http://schemas.openxmlformats.org/officeDocument/2006/relationships/hyperlink" Target="https://us3.assetplanner.com/service_request?ID=102303" TargetMode="External"/><Relationship Id="rId127" Type="http://schemas.openxmlformats.org/officeDocument/2006/relationships/hyperlink" Target="https://us3.assetplanner.com/service_request?ID=108282"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108311" TargetMode="External"/><Relationship Id="rId52" Type="http://schemas.openxmlformats.org/officeDocument/2006/relationships/hyperlink" Target="https://us3.assetplanner.com/service_request?ID=108422" TargetMode="External"/><Relationship Id="rId73" Type="http://schemas.openxmlformats.org/officeDocument/2006/relationships/hyperlink" Target="https://us3.assetplanner.com/service_request?ID=105366" TargetMode="External"/><Relationship Id="rId78" Type="http://schemas.openxmlformats.org/officeDocument/2006/relationships/hyperlink" Target="https://us3.assetplanner.com/service_request?ID=106650" TargetMode="External"/><Relationship Id="rId94" Type="http://schemas.openxmlformats.org/officeDocument/2006/relationships/hyperlink" Target="https://us3.assetplanner.com/service_request?ID=108307" TargetMode="External"/><Relationship Id="rId99" Type="http://schemas.openxmlformats.org/officeDocument/2006/relationships/hyperlink" Target="https://us3.assetplanner.com/service_request?ID=102321" TargetMode="External"/><Relationship Id="rId101" Type="http://schemas.openxmlformats.org/officeDocument/2006/relationships/hyperlink" Target="https://us3.assetplanner.com/service_request?ID=102539" TargetMode="External"/><Relationship Id="rId122" Type="http://schemas.openxmlformats.org/officeDocument/2006/relationships/hyperlink" Target="https://us3.assetplanner.com/service_request?ID=102420"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26" Type="http://schemas.openxmlformats.org/officeDocument/2006/relationships/hyperlink" Target="https://us3.assetplanner.com/service_request?ID=106946" TargetMode="External"/><Relationship Id="rId47" Type="http://schemas.openxmlformats.org/officeDocument/2006/relationships/hyperlink" Target="https://us3.assetplanner.com/service_request?ID=103950" TargetMode="External"/><Relationship Id="rId68" Type="http://schemas.openxmlformats.org/officeDocument/2006/relationships/hyperlink" Target="https://us3.assetplanner.com/service_request?ID=101034" TargetMode="External"/><Relationship Id="rId89" Type="http://schemas.openxmlformats.org/officeDocument/2006/relationships/hyperlink" Target="https://us3.assetplanner.com/service_request?ID=104882" TargetMode="External"/><Relationship Id="rId112" Type="http://schemas.openxmlformats.org/officeDocument/2006/relationships/hyperlink" Target="https://us3.assetplanner.com/service_request?ID=104289" TargetMode="External"/><Relationship Id="rId133" Type="http://schemas.openxmlformats.org/officeDocument/2006/relationships/hyperlink" Target="https://us3.assetplanner.com/service_request?ID=108426"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us3.assetplanner.com/service_request?ID=106842" TargetMode="External"/><Relationship Id="rId21" Type="http://schemas.openxmlformats.org/officeDocument/2006/relationships/hyperlink" Target="https://us3.assetplanner.com/service_request?ID=106831" TargetMode="External"/><Relationship Id="rId42" Type="http://schemas.openxmlformats.org/officeDocument/2006/relationships/hyperlink" Target="https://us3.assetplanner.com/service_request?ID=109104" TargetMode="External"/><Relationship Id="rId63" Type="http://schemas.openxmlformats.org/officeDocument/2006/relationships/hyperlink" Target="https://us3.assetplanner.com/service_request?ID=106650" TargetMode="External"/><Relationship Id="rId84" Type="http://schemas.openxmlformats.org/officeDocument/2006/relationships/hyperlink" Target="https://us3.assetplanner.com/service_request?ID=109599" TargetMode="External"/><Relationship Id="rId138" Type="http://schemas.openxmlformats.org/officeDocument/2006/relationships/hyperlink" Target="https://us3.assetplanner.com/service_request?ID=103946" TargetMode="External"/><Relationship Id="rId16" Type="http://schemas.openxmlformats.org/officeDocument/2006/relationships/hyperlink" Target="https://us3.assetplanner.com/service_request?ID=102209" TargetMode="External"/><Relationship Id="rId107" Type="http://schemas.openxmlformats.org/officeDocument/2006/relationships/hyperlink" Target="https://us3.assetplanner.com/service_request?ID=106531" TargetMode="External"/><Relationship Id="rId11" Type="http://schemas.openxmlformats.org/officeDocument/2006/relationships/hyperlink" Target="https://us3.assetplanner.com/service_request?ID=107775" TargetMode="External"/><Relationship Id="rId32" Type="http://schemas.openxmlformats.org/officeDocument/2006/relationships/hyperlink" Target="https://us3.assetplanner.com/service_request?ID=106806" TargetMode="External"/><Relationship Id="rId37" Type="http://schemas.openxmlformats.org/officeDocument/2006/relationships/hyperlink" Target="https://us3.assetplanner.com/service_request?ID=105489" TargetMode="External"/><Relationship Id="rId53" Type="http://schemas.openxmlformats.org/officeDocument/2006/relationships/hyperlink" Target="https://us3.assetplanner.com/service_request?ID=102621" TargetMode="External"/><Relationship Id="rId58" Type="http://schemas.openxmlformats.org/officeDocument/2006/relationships/hyperlink" Target="https://us3.assetplanner.com/service_request?ID=101100" TargetMode="External"/><Relationship Id="rId74" Type="http://schemas.openxmlformats.org/officeDocument/2006/relationships/hyperlink" Target="https://us3.assetplanner.com/service_request?ID=102321" TargetMode="External"/><Relationship Id="rId79" Type="http://schemas.openxmlformats.org/officeDocument/2006/relationships/hyperlink" Target="https://us3.assetplanner.com/service_request?ID=102317" TargetMode="External"/><Relationship Id="rId102" Type="http://schemas.openxmlformats.org/officeDocument/2006/relationships/hyperlink" Target="https://us3.assetplanner.com/service_request?ID=105139" TargetMode="External"/><Relationship Id="rId123" Type="http://schemas.openxmlformats.org/officeDocument/2006/relationships/hyperlink" Target="https://us3.assetplanner.com/service_request?ID=102421" TargetMode="External"/><Relationship Id="rId128" Type="http://schemas.openxmlformats.org/officeDocument/2006/relationships/hyperlink" Target="https://us3.assetplanner.com/service_request?ID=108494" TargetMode="External"/><Relationship Id="rId5" Type="http://schemas.openxmlformats.org/officeDocument/2006/relationships/hyperlink" Target="https://us3.assetplanner.com/service_request?ID=105658" TargetMode="External"/><Relationship Id="rId90" Type="http://schemas.openxmlformats.org/officeDocument/2006/relationships/hyperlink" Target="https://us3.assetplanner.com/service_request?ID=108834" TargetMode="External"/><Relationship Id="rId95" Type="http://schemas.openxmlformats.org/officeDocument/2006/relationships/hyperlink" Target="https://us3.assetplanner.com/service_request?ID=102451" TargetMode="External"/><Relationship Id="rId22" Type="http://schemas.openxmlformats.org/officeDocument/2006/relationships/hyperlink" Target="https://us3.assetplanner.com/service_request?ID=108311" TargetMode="External"/><Relationship Id="rId27" Type="http://schemas.openxmlformats.org/officeDocument/2006/relationships/hyperlink" Target="https://us3.assetplanner.com/service_request?ID=110134" TargetMode="External"/><Relationship Id="rId43" Type="http://schemas.openxmlformats.org/officeDocument/2006/relationships/hyperlink" Target="https://us3.assetplanner.com/service_request?ID=105973" TargetMode="External"/><Relationship Id="rId48" Type="http://schemas.openxmlformats.org/officeDocument/2006/relationships/hyperlink" Target="https://us3.assetplanner.com/service_request?ID=101963"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9533" TargetMode="External"/><Relationship Id="rId113" Type="http://schemas.openxmlformats.org/officeDocument/2006/relationships/hyperlink" Target="https://us3.assetplanner.com/service_request?ID=102413" TargetMode="External"/><Relationship Id="rId118" Type="http://schemas.openxmlformats.org/officeDocument/2006/relationships/hyperlink" Target="https://us3.assetplanner.com/service_request?ID=102820" TargetMode="External"/><Relationship Id="rId134" Type="http://schemas.openxmlformats.org/officeDocument/2006/relationships/hyperlink" Target="https://us3.assetplanner.com/service_request?ID=103867" TargetMode="External"/><Relationship Id="rId139" Type="http://schemas.openxmlformats.org/officeDocument/2006/relationships/hyperlink" Target="https://us3.assetplanner.com/service_request?ID=104855" TargetMode="External"/><Relationship Id="rId80" Type="http://schemas.openxmlformats.org/officeDocument/2006/relationships/hyperlink" Target="https://us3.assetplanner.com/service_request?ID=108297" TargetMode="External"/><Relationship Id="rId85" Type="http://schemas.openxmlformats.org/officeDocument/2006/relationships/hyperlink" Target="https://us3.assetplanner.com/service_request?ID=109598" TargetMode="External"/><Relationship Id="rId12" Type="http://schemas.openxmlformats.org/officeDocument/2006/relationships/hyperlink" Target="https://us3.assetplanner.com/service_request?ID=104023" TargetMode="External"/><Relationship Id="rId17" Type="http://schemas.openxmlformats.org/officeDocument/2006/relationships/hyperlink" Target="https://us3.assetplanner.com/service_request?ID=110401" TargetMode="External"/><Relationship Id="rId33" Type="http://schemas.openxmlformats.org/officeDocument/2006/relationships/hyperlink" Target="https://us3.assetplanner.com/service_request?ID=106806" TargetMode="External"/><Relationship Id="rId38" Type="http://schemas.openxmlformats.org/officeDocument/2006/relationships/hyperlink" Target="https://us3.assetplanner.com/service_request?ID=107586" TargetMode="External"/><Relationship Id="rId59" Type="http://schemas.openxmlformats.org/officeDocument/2006/relationships/hyperlink" Target="https://us3.assetplanner.com/service_request?ID=107802" TargetMode="External"/><Relationship Id="rId103" Type="http://schemas.openxmlformats.org/officeDocument/2006/relationships/hyperlink" Target="https://us3.assetplanner.com/service_request?ID=106828" TargetMode="External"/><Relationship Id="rId108" Type="http://schemas.openxmlformats.org/officeDocument/2006/relationships/hyperlink" Target="https://us3.assetplanner.com/service_request?ID=108501" TargetMode="External"/><Relationship Id="rId124" Type="http://schemas.openxmlformats.org/officeDocument/2006/relationships/hyperlink" Target="https://us3.assetplanner.com/service_request?ID=108404" TargetMode="External"/><Relationship Id="rId129" Type="http://schemas.openxmlformats.org/officeDocument/2006/relationships/hyperlink" Target="https://us3.assetplanner.com/service_request?ID=106851" TargetMode="External"/><Relationship Id="rId54" Type="http://schemas.openxmlformats.org/officeDocument/2006/relationships/hyperlink" Target="https://us3.assetplanner.com/service_request?ID=109841" TargetMode="External"/><Relationship Id="rId70" Type="http://schemas.openxmlformats.org/officeDocument/2006/relationships/hyperlink" Target="https://us3.assetplanner.com/service_request?ID=102418" TargetMode="External"/><Relationship Id="rId75" Type="http://schemas.openxmlformats.org/officeDocument/2006/relationships/hyperlink" Target="https://us3.assetplanner.com/service_request?ID=103636" TargetMode="External"/><Relationship Id="rId91" Type="http://schemas.openxmlformats.org/officeDocument/2006/relationships/hyperlink" Target="https://us3.assetplanner.com/service_request?ID=102281" TargetMode="External"/><Relationship Id="rId96" Type="http://schemas.openxmlformats.org/officeDocument/2006/relationships/hyperlink" Target="https://us3.assetplanner.com/service_request?ID=102321" TargetMode="External"/><Relationship Id="rId140" Type="http://schemas.openxmlformats.org/officeDocument/2006/relationships/hyperlink" Target="https://us3.assetplanner.com/service_request?ID=106885"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7520" TargetMode="External"/><Relationship Id="rId23" Type="http://schemas.openxmlformats.org/officeDocument/2006/relationships/hyperlink" Target="https://us3.assetplanner.com/service_request?ID=109383" TargetMode="External"/><Relationship Id="rId28" Type="http://schemas.openxmlformats.org/officeDocument/2006/relationships/hyperlink" Target="https://us3.assetplanner.com/service_request?ID=109491" TargetMode="External"/><Relationship Id="rId49" Type="http://schemas.openxmlformats.org/officeDocument/2006/relationships/hyperlink" Target="https://us3.assetplanner.com/service_request?ID=101818" TargetMode="External"/><Relationship Id="rId114" Type="http://schemas.openxmlformats.org/officeDocument/2006/relationships/hyperlink" Target="https://us3.assetplanner.com/service_request?ID=108898" TargetMode="External"/><Relationship Id="rId119" Type="http://schemas.openxmlformats.org/officeDocument/2006/relationships/hyperlink" Target="https://us3.assetplanner.com/service_request?ID=104290" TargetMode="External"/><Relationship Id="rId44" Type="http://schemas.openxmlformats.org/officeDocument/2006/relationships/hyperlink" Target="https://us3.assetplanner.com/service_request?ID=102723" TargetMode="External"/><Relationship Id="rId60" Type="http://schemas.openxmlformats.org/officeDocument/2006/relationships/hyperlink" Target="https://us3.assetplanner.com/service_request?ID=108849" TargetMode="External"/><Relationship Id="rId65" Type="http://schemas.openxmlformats.org/officeDocument/2006/relationships/hyperlink" Target="https://us3.assetplanner.com/service_request?ID=105494" TargetMode="External"/><Relationship Id="rId81" Type="http://schemas.openxmlformats.org/officeDocument/2006/relationships/hyperlink" Target="https://us3.assetplanner.com/service_request?ID=108307" TargetMode="External"/><Relationship Id="rId86" Type="http://schemas.openxmlformats.org/officeDocument/2006/relationships/hyperlink" Target="https://us3.assetplanner.com/service_request?ID=109599" TargetMode="External"/><Relationship Id="rId130" Type="http://schemas.openxmlformats.org/officeDocument/2006/relationships/hyperlink" Target="https://us3.assetplanner.com/service_request?ID=103869" TargetMode="External"/><Relationship Id="rId135" Type="http://schemas.openxmlformats.org/officeDocument/2006/relationships/hyperlink" Target="https://us3.assetplanner.com/service_request?ID=103866" TargetMode="External"/><Relationship Id="rId13" Type="http://schemas.openxmlformats.org/officeDocument/2006/relationships/hyperlink" Target="https://us3.assetplanner.com/service_request?ID=110027" TargetMode="External"/><Relationship Id="rId18" Type="http://schemas.openxmlformats.org/officeDocument/2006/relationships/hyperlink" Target="https://us3.assetplanner.com/service_request?ID=109506" TargetMode="External"/><Relationship Id="rId39" Type="http://schemas.openxmlformats.org/officeDocument/2006/relationships/hyperlink" Target="https://us3.assetplanner.com/service_request?ID=108491" TargetMode="External"/><Relationship Id="rId109" Type="http://schemas.openxmlformats.org/officeDocument/2006/relationships/hyperlink" Target="https://us3.assetplanner.com/service_request?ID=107991" TargetMode="External"/><Relationship Id="rId34" Type="http://schemas.openxmlformats.org/officeDocument/2006/relationships/hyperlink" Target="https://us3.assetplanner.com/service_request?ID=103914" TargetMode="External"/><Relationship Id="rId50" Type="http://schemas.openxmlformats.org/officeDocument/2006/relationships/hyperlink" Target="https://us3.assetplanner.com/service_request?ID=105928" TargetMode="External"/><Relationship Id="rId55" Type="http://schemas.openxmlformats.org/officeDocument/2006/relationships/hyperlink" Target="https://us3.assetplanner.com/service_request?ID=101021" TargetMode="External"/><Relationship Id="rId76" Type="http://schemas.openxmlformats.org/officeDocument/2006/relationships/hyperlink" Target="https://us3.assetplanner.com/service_request?ID=102539" TargetMode="External"/><Relationship Id="rId97" Type="http://schemas.openxmlformats.org/officeDocument/2006/relationships/hyperlink" Target="https://us3.assetplanner.com/service_request?ID=108902" TargetMode="External"/><Relationship Id="rId104" Type="http://schemas.openxmlformats.org/officeDocument/2006/relationships/hyperlink" Target="https://us3.assetplanner.com/service_request?ID=109164" TargetMode="External"/><Relationship Id="rId120" Type="http://schemas.openxmlformats.org/officeDocument/2006/relationships/hyperlink" Target="https://us3.assetplanner.com/service_request?ID=102424" TargetMode="External"/><Relationship Id="rId125" Type="http://schemas.openxmlformats.org/officeDocument/2006/relationships/hyperlink" Target="https://us3.assetplanner.com/service_request?ID=102420"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2416" TargetMode="External"/><Relationship Id="rId92" Type="http://schemas.openxmlformats.org/officeDocument/2006/relationships/hyperlink" Target="https://us3.assetplanner.com/service_request?ID=109629" TargetMode="External"/><Relationship Id="rId2" Type="http://schemas.openxmlformats.org/officeDocument/2006/relationships/hyperlink" Target="https://us3.assetplanner.com/service_request?ID=107271" TargetMode="External"/><Relationship Id="rId29" Type="http://schemas.openxmlformats.org/officeDocument/2006/relationships/hyperlink" Target="https://us3.assetplanner.com/service_request?ID=108422" TargetMode="External"/><Relationship Id="rId24" Type="http://schemas.openxmlformats.org/officeDocument/2006/relationships/hyperlink" Target="https://us3.assetplanner.com/service_request?ID=109222" TargetMode="External"/><Relationship Id="rId40" Type="http://schemas.openxmlformats.org/officeDocument/2006/relationships/hyperlink" Target="https://us3.assetplanner.com/service_request?ID=109906" TargetMode="External"/><Relationship Id="rId45" Type="http://schemas.openxmlformats.org/officeDocument/2006/relationships/hyperlink" Target="https://us3.assetplanner.com/service_request?ID=105641" TargetMode="External"/><Relationship Id="rId66" Type="http://schemas.openxmlformats.org/officeDocument/2006/relationships/hyperlink" Target="https://us3.assetplanner.com/service_request?ID=107209" TargetMode="External"/><Relationship Id="rId87" Type="http://schemas.openxmlformats.org/officeDocument/2006/relationships/hyperlink" Target="https://us3.assetplanner.com/service_request?ID=109599" TargetMode="External"/><Relationship Id="rId110" Type="http://schemas.openxmlformats.org/officeDocument/2006/relationships/hyperlink" Target="https://us3.assetplanner.com/service_request?ID=102310" TargetMode="External"/><Relationship Id="rId115" Type="http://schemas.openxmlformats.org/officeDocument/2006/relationships/hyperlink" Target="https://us3.assetplanner.com/service_request?ID=106842" TargetMode="External"/><Relationship Id="rId131" Type="http://schemas.openxmlformats.org/officeDocument/2006/relationships/hyperlink" Target="https://us3.assetplanner.com/service_request?ID=110121" TargetMode="External"/><Relationship Id="rId136" Type="http://schemas.openxmlformats.org/officeDocument/2006/relationships/hyperlink" Target="https://us3.assetplanner.com/service_request?ID=104456" TargetMode="External"/><Relationship Id="rId61" Type="http://schemas.openxmlformats.org/officeDocument/2006/relationships/hyperlink" Target="https://us3.assetplanner.com/service_request?ID=105192" TargetMode="External"/><Relationship Id="rId82" Type="http://schemas.openxmlformats.org/officeDocument/2006/relationships/hyperlink" Target="https://us3.assetplanner.com/service_request?ID=108307" TargetMode="External"/><Relationship Id="rId19" Type="http://schemas.openxmlformats.org/officeDocument/2006/relationships/hyperlink" Target="https://us3.assetplanner.com/service_request?ID=107872" TargetMode="External"/><Relationship Id="rId14" Type="http://schemas.openxmlformats.org/officeDocument/2006/relationships/hyperlink" Target="https://us3.assetplanner.com/service_request?ID=109753" TargetMode="External"/><Relationship Id="rId30" Type="http://schemas.openxmlformats.org/officeDocument/2006/relationships/hyperlink" Target="https://us3.assetplanner.com/service_request?ID=106514" TargetMode="External"/><Relationship Id="rId35" Type="http://schemas.openxmlformats.org/officeDocument/2006/relationships/hyperlink" Target="https://us3.assetplanner.com/service_request?ID=104192" TargetMode="External"/><Relationship Id="rId56" Type="http://schemas.openxmlformats.org/officeDocument/2006/relationships/hyperlink" Target="https://us3.assetplanner.com/service_request?ID=100915" TargetMode="External"/><Relationship Id="rId77" Type="http://schemas.openxmlformats.org/officeDocument/2006/relationships/hyperlink" Target="https://us3.assetplanner.com/service_request?ID=104882" TargetMode="External"/><Relationship Id="rId100" Type="http://schemas.openxmlformats.org/officeDocument/2006/relationships/hyperlink" Target="https://us3.assetplanner.com/service_request?ID=104882" TargetMode="External"/><Relationship Id="rId105" Type="http://schemas.openxmlformats.org/officeDocument/2006/relationships/hyperlink" Target="https://us3.assetplanner.com/service_request?ID=102303" TargetMode="External"/><Relationship Id="rId126" Type="http://schemas.openxmlformats.org/officeDocument/2006/relationships/hyperlink" Target="https://us3.assetplanner.com/service_request?ID=109601" TargetMode="External"/><Relationship Id="rId8" Type="http://schemas.openxmlformats.org/officeDocument/2006/relationships/hyperlink" Target="https://us3.assetplanner.com/service_request?ID=101245" TargetMode="External"/><Relationship Id="rId51" Type="http://schemas.openxmlformats.org/officeDocument/2006/relationships/hyperlink" Target="https://us3.assetplanner.com/service_request?ID=101034" TargetMode="External"/><Relationship Id="rId72" Type="http://schemas.openxmlformats.org/officeDocument/2006/relationships/hyperlink" Target="https://us3.assetplanner.com/service_request?ID=105908" TargetMode="External"/><Relationship Id="rId93" Type="http://schemas.openxmlformats.org/officeDocument/2006/relationships/hyperlink" Target="https://us3.assetplanner.com/service_request?ID=101986" TargetMode="External"/><Relationship Id="rId98" Type="http://schemas.openxmlformats.org/officeDocument/2006/relationships/hyperlink" Target="https://us3.assetplanner.com/service_request?ID=103636" TargetMode="External"/><Relationship Id="rId121" Type="http://schemas.openxmlformats.org/officeDocument/2006/relationships/hyperlink" Target="https://us3.assetplanner.com/service_request?ID=102423" TargetMode="External"/><Relationship Id="rId3" Type="http://schemas.openxmlformats.org/officeDocument/2006/relationships/hyperlink" Target="https://us3.assetplanner.com/service_request?ID=105924" TargetMode="External"/><Relationship Id="rId25" Type="http://schemas.openxmlformats.org/officeDocument/2006/relationships/hyperlink" Target="https://us3.assetplanner.com/service_request?ID=108881" TargetMode="External"/><Relationship Id="rId46" Type="http://schemas.openxmlformats.org/officeDocument/2006/relationships/hyperlink" Target="https://us3.assetplanner.com/service_request?ID=106082" TargetMode="External"/><Relationship Id="rId67" Type="http://schemas.openxmlformats.org/officeDocument/2006/relationships/hyperlink" Target="https://us3.assetplanner.com/service_request?ID=102283" TargetMode="External"/><Relationship Id="rId116" Type="http://schemas.openxmlformats.org/officeDocument/2006/relationships/hyperlink" Target="https://us3.assetplanner.com/service_request?ID=102425" TargetMode="External"/><Relationship Id="rId137" Type="http://schemas.openxmlformats.org/officeDocument/2006/relationships/hyperlink" Target="https://us3.assetplanner.com/service_request?ID=104776" TargetMode="External"/><Relationship Id="rId20" Type="http://schemas.openxmlformats.org/officeDocument/2006/relationships/hyperlink" Target="https://us3.assetplanner.com/service_request?ID=109812" TargetMode="External"/><Relationship Id="rId41" Type="http://schemas.openxmlformats.org/officeDocument/2006/relationships/hyperlink" Target="https://us3.assetplanner.com/service_request?ID=108496" TargetMode="External"/><Relationship Id="rId62" Type="http://schemas.openxmlformats.org/officeDocument/2006/relationships/hyperlink" Target="https://us3.assetplanner.com/service_request?ID=106435" TargetMode="External"/><Relationship Id="rId83" Type="http://schemas.openxmlformats.org/officeDocument/2006/relationships/hyperlink" Target="https://us3.assetplanner.com/service_request?ID=109597" TargetMode="External"/><Relationship Id="rId88" Type="http://schemas.openxmlformats.org/officeDocument/2006/relationships/hyperlink" Target="https://us3.assetplanner.com/service_request?ID=102886" TargetMode="External"/><Relationship Id="rId111" Type="http://schemas.openxmlformats.org/officeDocument/2006/relationships/hyperlink" Target="https://us3.assetplanner.com/service_request?ID=104289" TargetMode="External"/><Relationship Id="rId132" Type="http://schemas.openxmlformats.org/officeDocument/2006/relationships/hyperlink" Target="https://us3.assetplanner.com/service_request?ID=108282" TargetMode="External"/><Relationship Id="rId15" Type="http://schemas.openxmlformats.org/officeDocument/2006/relationships/hyperlink" Target="https://us3.assetplanner.com/service_request?ID=109179" TargetMode="External"/><Relationship Id="rId36" Type="http://schemas.openxmlformats.org/officeDocument/2006/relationships/hyperlink" Target="https://us3.assetplanner.com/service_request?ID=102794" TargetMode="External"/><Relationship Id="rId57" Type="http://schemas.openxmlformats.org/officeDocument/2006/relationships/hyperlink" Target="https://us3.assetplanner.com/service_request?ID=105366" TargetMode="External"/><Relationship Id="rId106" Type="http://schemas.openxmlformats.org/officeDocument/2006/relationships/hyperlink" Target="https://us3.assetplanner.com/service_request?ID=102411" TargetMode="External"/><Relationship Id="rId127" Type="http://schemas.openxmlformats.org/officeDocument/2006/relationships/hyperlink" Target="https://us3.assetplanner.com/service_request?ID=10960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6483" TargetMode="External"/><Relationship Id="rId52" Type="http://schemas.openxmlformats.org/officeDocument/2006/relationships/hyperlink" Target="https://us3.assetplanner.com/service_request?ID=103779" TargetMode="External"/><Relationship Id="rId73" Type="http://schemas.openxmlformats.org/officeDocument/2006/relationships/hyperlink" Target="https://us3.assetplanner.com/service_request?ID=102392" TargetMode="External"/><Relationship Id="rId78" Type="http://schemas.openxmlformats.org/officeDocument/2006/relationships/hyperlink" Target="https://us3.assetplanner.com/service_request?ID=102320" TargetMode="External"/><Relationship Id="rId94" Type="http://schemas.openxmlformats.org/officeDocument/2006/relationships/hyperlink" Target="https://us3.assetplanner.com/service_request?ID=102503" TargetMode="External"/><Relationship Id="rId99" Type="http://schemas.openxmlformats.org/officeDocument/2006/relationships/hyperlink" Target="https://us3.assetplanner.com/service_request?ID=102539" TargetMode="External"/><Relationship Id="rId101" Type="http://schemas.openxmlformats.org/officeDocument/2006/relationships/hyperlink" Target="https://us3.assetplanner.com/service_request?ID=102329" TargetMode="External"/><Relationship Id="rId122" Type="http://schemas.openxmlformats.org/officeDocument/2006/relationships/hyperlink" Target="https://us3.assetplanner.com/service_request?ID=108298"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26" Type="http://schemas.openxmlformats.org/officeDocument/2006/relationships/hyperlink" Target="https://us3.assetplanner.com/service_request?ID=107579" TargetMode="External"/><Relationship Id="rId47" Type="http://schemas.openxmlformats.org/officeDocument/2006/relationships/hyperlink" Target="https://us3.assetplanner.com/service_request?ID=100857" TargetMode="External"/><Relationship Id="rId68" Type="http://schemas.openxmlformats.org/officeDocument/2006/relationships/hyperlink" Target="https://us3.assetplanner.com/service_request?ID=108846" TargetMode="External"/><Relationship Id="rId89" Type="http://schemas.openxmlformats.org/officeDocument/2006/relationships/hyperlink" Target="https://us3.assetplanner.com/service_request?ID=107512" TargetMode="External"/><Relationship Id="rId112" Type="http://schemas.openxmlformats.org/officeDocument/2006/relationships/hyperlink" Target="https://us3.assetplanner.com/service_request?ID=102450" TargetMode="External"/><Relationship Id="rId133" Type="http://schemas.openxmlformats.org/officeDocument/2006/relationships/hyperlink" Target="https://us3.assetplanner.com/service_request?ID=103868"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us3.assetplanner.com/service_request?ID=102421" TargetMode="External"/><Relationship Id="rId21" Type="http://schemas.openxmlformats.org/officeDocument/2006/relationships/hyperlink" Target="https://us3.assetplanner.com/service_request?ID=107579" TargetMode="External"/><Relationship Id="rId42" Type="http://schemas.openxmlformats.org/officeDocument/2006/relationships/hyperlink" Target="https://us3.assetplanner.com/service_request?ID=106056" TargetMode="External"/><Relationship Id="rId63" Type="http://schemas.openxmlformats.org/officeDocument/2006/relationships/hyperlink" Target="https://us3.assetplanner.com/service_request?ID=102283" TargetMode="External"/><Relationship Id="rId84" Type="http://schemas.openxmlformats.org/officeDocument/2006/relationships/hyperlink" Target="https://us3.assetplanner.com/service_request?ID=102503" TargetMode="External"/><Relationship Id="rId138" Type="http://schemas.openxmlformats.org/officeDocument/2006/relationships/hyperlink" Target="https://us3.assetplanner.com/service_request?ID=104855" TargetMode="External"/><Relationship Id="rId107" Type="http://schemas.openxmlformats.org/officeDocument/2006/relationships/hyperlink" Target="https://us3.assetplanner.com/service_request?ID=102413" TargetMode="External"/><Relationship Id="rId11" Type="http://schemas.openxmlformats.org/officeDocument/2006/relationships/hyperlink" Target="https://us3.assetplanner.com/service_request?ID=110400" TargetMode="External"/><Relationship Id="rId32" Type="http://schemas.openxmlformats.org/officeDocument/2006/relationships/hyperlink" Target="https://us3.assetplanner.com/service_request?ID=105489" TargetMode="External"/><Relationship Id="rId37" Type="http://schemas.openxmlformats.org/officeDocument/2006/relationships/hyperlink" Target="https://us3.assetplanner.com/service_request?ID=109814" TargetMode="External"/><Relationship Id="rId53" Type="http://schemas.openxmlformats.org/officeDocument/2006/relationships/hyperlink" Target="https://us3.assetplanner.com/service_request?ID=105366" TargetMode="External"/><Relationship Id="rId58" Type="http://schemas.openxmlformats.org/officeDocument/2006/relationships/hyperlink" Target="https://us3.assetplanner.com/service_request?ID=102419" TargetMode="External"/><Relationship Id="rId74" Type="http://schemas.openxmlformats.org/officeDocument/2006/relationships/hyperlink" Target="https://us3.assetplanner.com/service_request?ID=108297" TargetMode="External"/><Relationship Id="rId79" Type="http://schemas.openxmlformats.org/officeDocument/2006/relationships/hyperlink" Target="https://us3.assetplanner.com/service_request?ID=111280" TargetMode="External"/><Relationship Id="rId102" Type="http://schemas.openxmlformats.org/officeDocument/2006/relationships/hyperlink" Target="https://us3.assetplanner.com/service_request?ID=107991" TargetMode="External"/><Relationship Id="rId123" Type="http://schemas.openxmlformats.org/officeDocument/2006/relationships/hyperlink" Target="https://us3.assetplanner.com/service_request?ID=108494" TargetMode="External"/><Relationship Id="rId128" Type="http://schemas.openxmlformats.org/officeDocument/2006/relationships/hyperlink" Target="https://us3.assetplanner.com/service_request?ID=103868" TargetMode="External"/><Relationship Id="rId144" Type="http://schemas.openxmlformats.org/officeDocument/2006/relationships/printerSettings" Target="../printerSettings/printerSettings4.bin"/><Relationship Id="rId5" Type="http://schemas.openxmlformats.org/officeDocument/2006/relationships/hyperlink" Target="https://us3.assetplanner.com/service_request?ID=107271" TargetMode="External"/><Relationship Id="rId90" Type="http://schemas.openxmlformats.org/officeDocument/2006/relationships/hyperlink" Target="https://us3.assetplanner.com/service_request?ID=104882" TargetMode="External"/><Relationship Id="rId95" Type="http://schemas.openxmlformats.org/officeDocument/2006/relationships/hyperlink" Target="https://us3.assetplanner.com/service_request?ID=102303" TargetMode="External"/><Relationship Id="rId22" Type="http://schemas.openxmlformats.org/officeDocument/2006/relationships/hyperlink" Target="https://us3.assetplanner.com/service_request?ID=107791" TargetMode="External"/><Relationship Id="rId27" Type="http://schemas.openxmlformats.org/officeDocument/2006/relationships/hyperlink" Target="https://us3.assetplanner.com/service_request?ID=104354" TargetMode="External"/><Relationship Id="rId43" Type="http://schemas.openxmlformats.org/officeDocument/2006/relationships/hyperlink" Target="https://us3.assetplanner.com/service_request?ID=111833" TargetMode="External"/><Relationship Id="rId48" Type="http://schemas.openxmlformats.org/officeDocument/2006/relationships/hyperlink" Target="https://us3.assetplanner.com/service_request?ID=101021" TargetMode="External"/><Relationship Id="rId64" Type="http://schemas.openxmlformats.org/officeDocument/2006/relationships/hyperlink" Target="https://us3.assetplanner.com/service_request?ID=102418" TargetMode="External"/><Relationship Id="rId69" Type="http://schemas.openxmlformats.org/officeDocument/2006/relationships/hyperlink" Target="https://us3.assetplanner.com/service_request?ID=103636" TargetMode="External"/><Relationship Id="rId113" Type="http://schemas.openxmlformats.org/officeDocument/2006/relationships/hyperlink" Target="https://us3.assetplanner.com/service_request?ID=104290" TargetMode="External"/><Relationship Id="rId118" Type="http://schemas.openxmlformats.org/officeDocument/2006/relationships/hyperlink" Target="https://us3.assetplanner.com/service_request?ID=108404" TargetMode="External"/><Relationship Id="rId134" Type="http://schemas.openxmlformats.org/officeDocument/2006/relationships/hyperlink" Target="https://us3.assetplanner.com/service_request?ID=104776" TargetMode="External"/><Relationship Id="rId139" Type="http://schemas.openxmlformats.org/officeDocument/2006/relationships/hyperlink" Target="https://us3.assetplanner.com/service_request?ID=106885" TargetMode="External"/><Relationship Id="rId80" Type="http://schemas.openxmlformats.org/officeDocument/2006/relationships/hyperlink" Target="https://us3.assetplanner.com/service_request?ID=107512" TargetMode="External"/><Relationship Id="rId85" Type="http://schemas.openxmlformats.org/officeDocument/2006/relationships/hyperlink" Target="https://us3.assetplanner.com/service_request?ID=102451" TargetMode="External"/><Relationship Id="rId12" Type="http://schemas.openxmlformats.org/officeDocument/2006/relationships/hyperlink" Target="https://us3.assetplanner.com/service_request?ID=110401" TargetMode="External"/><Relationship Id="rId17" Type="http://schemas.openxmlformats.org/officeDocument/2006/relationships/hyperlink" Target="https://us3.assetplanner.com/service_request?ID=108705" TargetMode="External"/><Relationship Id="rId33" Type="http://schemas.openxmlformats.org/officeDocument/2006/relationships/hyperlink" Target="https://us3.assetplanner.com/service_request?ID=110709" TargetMode="External"/><Relationship Id="rId38" Type="http://schemas.openxmlformats.org/officeDocument/2006/relationships/hyperlink" Target="https://us3.assetplanner.com/service_request?ID=111366" TargetMode="External"/><Relationship Id="rId59" Type="http://schemas.openxmlformats.org/officeDocument/2006/relationships/hyperlink" Target="https://us3.assetplanner.com/service_request?ID=105494" TargetMode="External"/><Relationship Id="rId103" Type="http://schemas.openxmlformats.org/officeDocument/2006/relationships/hyperlink" Target="https://us3.assetplanner.com/service_request?ID=102310" TargetMode="External"/><Relationship Id="rId108" Type="http://schemas.openxmlformats.org/officeDocument/2006/relationships/hyperlink" Target="https://us3.assetplanner.com/service_request?ID=108898" TargetMode="External"/><Relationship Id="rId124" Type="http://schemas.openxmlformats.org/officeDocument/2006/relationships/hyperlink" Target="https://us3.assetplanner.com/service_request?ID=106851" TargetMode="External"/><Relationship Id="rId129" Type="http://schemas.openxmlformats.org/officeDocument/2006/relationships/hyperlink" Target="https://us3.assetplanner.com/service_request?ID=103867" TargetMode="External"/><Relationship Id="rId54" Type="http://schemas.openxmlformats.org/officeDocument/2006/relationships/hyperlink" Target="https://us3.assetplanner.com/service_request?ID=105192"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8307" TargetMode="External"/><Relationship Id="rId91" Type="http://schemas.openxmlformats.org/officeDocument/2006/relationships/hyperlink" Target="https://us3.assetplanner.com/service_request?ID=102329" TargetMode="External"/><Relationship Id="rId96" Type="http://schemas.openxmlformats.org/officeDocument/2006/relationships/hyperlink" Target="https://us3.assetplanner.com/service_request?ID=111390" TargetMode="External"/><Relationship Id="rId140" Type="http://schemas.openxmlformats.org/officeDocument/2006/relationships/hyperlink" Target="https://us3.assetplanner.com/service_request?ID=110945" TargetMode="External"/><Relationship Id="rId1" Type="http://schemas.openxmlformats.org/officeDocument/2006/relationships/hyperlink" Target="https://us3.assetplanner.com/service_request?ID=105973" TargetMode="External"/><Relationship Id="rId6" Type="http://schemas.openxmlformats.org/officeDocument/2006/relationships/hyperlink" Target="https://us3.assetplanner.com/service_request?ID=105924" TargetMode="External"/><Relationship Id="rId23" Type="http://schemas.openxmlformats.org/officeDocument/2006/relationships/hyperlink" Target="https://us3.assetplanner.com/service_request?ID=108704" TargetMode="External"/><Relationship Id="rId28" Type="http://schemas.openxmlformats.org/officeDocument/2006/relationships/hyperlink" Target="https://us3.assetplanner.com/service_request?ID=106806" TargetMode="External"/><Relationship Id="rId49" Type="http://schemas.openxmlformats.org/officeDocument/2006/relationships/hyperlink" Target="https://us3.assetplanner.com/service_request?ID=100915" TargetMode="External"/><Relationship Id="rId114" Type="http://schemas.openxmlformats.org/officeDocument/2006/relationships/hyperlink" Target="https://us3.assetplanner.com/service_request?ID=102424" TargetMode="External"/><Relationship Id="rId119" Type="http://schemas.openxmlformats.org/officeDocument/2006/relationships/hyperlink" Target="https://us3.assetplanner.com/service_request?ID=108404" TargetMode="External"/><Relationship Id="rId44" Type="http://schemas.openxmlformats.org/officeDocument/2006/relationships/hyperlink" Target="https://us3.assetplanner.com/service_request?ID=101963" TargetMode="External"/><Relationship Id="rId60" Type="http://schemas.openxmlformats.org/officeDocument/2006/relationships/hyperlink" Target="https://us3.assetplanner.com/service_request?ID=107209" TargetMode="External"/><Relationship Id="rId65" Type="http://schemas.openxmlformats.org/officeDocument/2006/relationships/hyperlink" Target="https://us3.assetplanner.com/service_request?ID=102416" TargetMode="External"/><Relationship Id="rId81" Type="http://schemas.openxmlformats.org/officeDocument/2006/relationships/hyperlink" Target="https://us3.assetplanner.com/service_request?ID=102281" TargetMode="External"/><Relationship Id="rId86" Type="http://schemas.openxmlformats.org/officeDocument/2006/relationships/hyperlink" Target="https://us3.assetplanner.com/service_request?ID=102321" TargetMode="External"/><Relationship Id="rId130" Type="http://schemas.openxmlformats.org/officeDocument/2006/relationships/hyperlink" Target="https://us3.assetplanner.com/service_request?ID=110350" TargetMode="External"/><Relationship Id="rId135" Type="http://schemas.openxmlformats.org/officeDocument/2006/relationships/hyperlink" Target="https://us3.assetplanner.com/service_request?ID=111277" TargetMode="External"/><Relationship Id="rId13" Type="http://schemas.openxmlformats.org/officeDocument/2006/relationships/hyperlink" Target="https://us3.assetplanner.com/service_request?ID=110720" TargetMode="External"/><Relationship Id="rId18" Type="http://schemas.openxmlformats.org/officeDocument/2006/relationships/hyperlink" Target="https://us3.assetplanner.com/service_request?ID=109222" TargetMode="External"/><Relationship Id="rId39" Type="http://schemas.openxmlformats.org/officeDocument/2006/relationships/hyperlink" Target="https://us3.assetplanner.com/service_request?ID=111491" TargetMode="External"/><Relationship Id="rId109" Type="http://schemas.openxmlformats.org/officeDocument/2006/relationships/hyperlink" Target="https://us3.assetplanner.com/service_request?ID=106842" TargetMode="External"/><Relationship Id="rId34" Type="http://schemas.openxmlformats.org/officeDocument/2006/relationships/hyperlink" Target="https://us3.assetplanner.com/service_request?ID=110275" TargetMode="External"/><Relationship Id="rId50" Type="http://schemas.openxmlformats.org/officeDocument/2006/relationships/hyperlink" Target="https://us3.assetplanner.com/service_request?ID=104930" TargetMode="External"/><Relationship Id="rId55" Type="http://schemas.openxmlformats.org/officeDocument/2006/relationships/hyperlink" Target="https://us3.assetplanner.com/service_request?ID=106435" TargetMode="External"/><Relationship Id="rId76" Type="http://schemas.openxmlformats.org/officeDocument/2006/relationships/hyperlink" Target="https://us3.assetplanner.com/service_request?ID=108307" TargetMode="External"/><Relationship Id="rId97" Type="http://schemas.openxmlformats.org/officeDocument/2006/relationships/hyperlink" Target="https://us3.assetplanner.com/service_request?ID=102411" TargetMode="External"/><Relationship Id="rId104" Type="http://schemas.openxmlformats.org/officeDocument/2006/relationships/hyperlink" Target="https://us3.assetplanner.com/service_request?ID=104289" TargetMode="External"/><Relationship Id="rId120" Type="http://schemas.openxmlformats.org/officeDocument/2006/relationships/hyperlink" Target="https://us3.assetplanner.com/service_request?ID=102420" TargetMode="External"/><Relationship Id="rId125" Type="http://schemas.openxmlformats.org/officeDocument/2006/relationships/hyperlink" Target="https://us3.assetplanner.com/service_request?ID=103869" TargetMode="External"/><Relationship Id="rId141" Type="http://schemas.openxmlformats.org/officeDocument/2006/relationships/hyperlink" Target="https://us3.assetplanner.com/service_request?ID=110990" TargetMode="External"/><Relationship Id="rId7" Type="http://schemas.openxmlformats.org/officeDocument/2006/relationships/hyperlink" Target="https://us3.assetplanner.com/service_request?ID=105701" TargetMode="External"/><Relationship Id="rId71" Type="http://schemas.openxmlformats.org/officeDocument/2006/relationships/hyperlink" Target="https://us3.assetplanner.com/service_request?ID=104882" TargetMode="External"/><Relationship Id="rId92" Type="http://schemas.openxmlformats.org/officeDocument/2006/relationships/hyperlink" Target="https://us3.assetplanner.com/service_request?ID=108904" TargetMode="External"/><Relationship Id="rId2" Type="http://schemas.openxmlformats.org/officeDocument/2006/relationships/hyperlink" Target="https://us3.assetplanner.com/service_request?ID=110895" TargetMode="External"/><Relationship Id="rId29" Type="http://schemas.openxmlformats.org/officeDocument/2006/relationships/hyperlink" Target="https://us3.assetplanner.com/service_request?ID=107509" TargetMode="External"/><Relationship Id="rId24" Type="http://schemas.openxmlformats.org/officeDocument/2006/relationships/hyperlink" Target="https://us3.assetplanner.com/service_request?ID=109491" TargetMode="External"/><Relationship Id="rId40" Type="http://schemas.openxmlformats.org/officeDocument/2006/relationships/hyperlink" Target="https://us3.assetplanner.com/service_request?ID=111489" TargetMode="External"/><Relationship Id="rId45" Type="http://schemas.openxmlformats.org/officeDocument/2006/relationships/hyperlink" Target="https://us3.assetplanner.com/service_request?ID=101818" TargetMode="External"/><Relationship Id="rId66" Type="http://schemas.openxmlformats.org/officeDocument/2006/relationships/hyperlink" Target="https://us3.assetplanner.com/service_request?ID=105908" TargetMode="External"/><Relationship Id="rId87" Type="http://schemas.openxmlformats.org/officeDocument/2006/relationships/hyperlink" Target="https://us3.assetplanner.com/service_request?ID=108902" TargetMode="External"/><Relationship Id="rId110" Type="http://schemas.openxmlformats.org/officeDocument/2006/relationships/hyperlink" Target="https://us3.assetplanner.com/service_request?ID=102425" TargetMode="External"/><Relationship Id="rId115" Type="http://schemas.openxmlformats.org/officeDocument/2006/relationships/hyperlink" Target="https://us3.assetplanner.com/service_request?ID=102423" TargetMode="External"/><Relationship Id="rId131" Type="http://schemas.openxmlformats.org/officeDocument/2006/relationships/hyperlink" Target="https://us3.assetplanner.com/service_request?ID=103866" TargetMode="External"/><Relationship Id="rId136" Type="http://schemas.openxmlformats.org/officeDocument/2006/relationships/hyperlink" Target="https://us3.assetplanner.com/service_request?ID=111832" TargetMode="External"/><Relationship Id="rId61" Type="http://schemas.openxmlformats.org/officeDocument/2006/relationships/hyperlink" Target="https://us3.assetplanner.com/service_request?ID=108846" TargetMode="External"/><Relationship Id="rId82" Type="http://schemas.openxmlformats.org/officeDocument/2006/relationships/hyperlink" Target="https://us3.assetplanner.com/service_request?ID=109629" TargetMode="External"/><Relationship Id="rId19" Type="http://schemas.openxmlformats.org/officeDocument/2006/relationships/hyperlink" Target="https://us3.assetplanner.com/service_request?ID=098076" TargetMode="External"/><Relationship Id="rId14" Type="http://schemas.openxmlformats.org/officeDocument/2006/relationships/hyperlink" Target="https://us3.assetplanner.com/service_request?ID=109506" TargetMode="External"/><Relationship Id="rId30" Type="http://schemas.openxmlformats.org/officeDocument/2006/relationships/hyperlink" Target="https://us3.assetplanner.com/service_request?ID=109147" TargetMode="External"/><Relationship Id="rId35" Type="http://schemas.openxmlformats.org/officeDocument/2006/relationships/hyperlink" Target="https://us3.assetplanner.com/service_request?ID=110357" TargetMode="External"/><Relationship Id="rId56" Type="http://schemas.openxmlformats.org/officeDocument/2006/relationships/hyperlink" Target="https://us3.assetplanner.com/service_request?ID=106650" TargetMode="External"/><Relationship Id="rId77" Type="http://schemas.openxmlformats.org/officeDocument/2006/relationships/hyperlink" Target="https://us3.assetplanner.com/service_request?ID=109599" TargetMode="External"/><Relationship Id="rId100" Type="http://schemas.openxmlformats.org/officeDocument/2006/relationships/hyperlink" Target="https://us3.assetplanner.com/service_request?ID=111359" TargetMode="External"/><Relationship Id="rId105" Type="http://schemas.openxmlformats.org/officeDocument/2006/relationships/hyperlink" Target="https://us3.assetplanner.com/service_request?ID=102450" TargetMode="External"/><Relationship Id="rId126" Type="http://schemas.openxmlformats.org/officeDocument/2006/relationships/hyperlink" Target="https://us3.assetplanner.com/service_request?ID=110121" TargetMode="External"/><Relationship Id="rId8" Type="http://schemas.openxmlformats.org/officeDocument/2006/relationships/hyperlink" Target="https://us3.assetplanner.com/service_request?ID=110899" TargetMode="External"/><Relationship Id="rId51" Type="http://schemas.openxmlformats.org/officeDocument/2006/relationships/hyperlink" Target="https://us3.assetplanner.com/service_request?ID=107802" TargetMode="External"/><Relationship Id="rId72" Type="http://schemas.openxmlformats.org/officeDocument/2006/relationships/hyperlink" Target="https://us3.assetplanner.com/service_request?ID=102320" TargetMode="External"/><Relationship Id="rId93" Type="http://schemas.openxmlformats.org/officeDocument/2006/relationships/hyperlink" Target="https://us3.assetplanner.com/service_request?ID=106828" TargetMode="External"/><Relationship Id="rId98" Type="http://schemas.openxmlformats.org/officeDocument/2006/relationships/hyperlink" Target="https://us3.assetplanner.com/service_request?ID=106531" TargetMode="External"/><Relationship Id="rId121" Type="http://schemas.openxmlformats.org/officeDocument/2006/relationships/hyperlink" Target="https://us3.assetplanner.com/service_request?ID=109601" TargetMode="External"/><Relationship Id="rId142" Type="http://schemas.openxmlformats.org/officeDocument/2006/relationships/hyperlink" Target="https://us3.assetplanner.com/service_request?ID=111427" TargetMode="External"/><Relationship Id="rId3" Type="http://schemas.openxmlformats.org/officeDocument/2006/relationships/hyperlink" Target="https://us3.assetplanner.com/service_request?ID=099290" TargetMode="External"/><Relationship Id="rId25" Type="http://schemas.openxmlformats.org/officeDocument/2006/relationships/hyperlink" Target="https://us3.assetplanner.com/service_request?ID=106483" TargetMode="External"/><Relationship Id="rId46" Type="http://schemas.openxmlformats.org/officeDocument/2006/relationships/hyperlink" Target="https://us3.assetplanner.com/service_request?ID=111395" TargetMode="External"/><Relationship Id="rId67" Type="http://schemas.openxmlformats.org/officeDocument/2006/relationships/hyperlink" Target="https://us3.assetplanner.com/service_request?ID=102392" TargetMode="External"/><Relationship Id="rId116" Type="http://schemas.openxmlformats.org/officeDocument/2006/relationships/hyperlink" Target="https://us3.assetplanner.com/service_request?ID=108298" TargetMode="External"/><Relationship Id="rId137" Type="http://schemas.openxmlformats.org/officeDocument/2006/relationships/hyperlink" Target="https://us3.assetplanner.com/service_request?ID=103946" TargetMode="External"/><Relationship Id="rId20" Type="http://schemas.openxmlformats.org/officeDocument/2006/relationships/hyperlink" Target="https://us3.assetplanner.com/service_request?ID=110133" TargetMode="External"/><Relationship Id="rId41" Type="http://schemas.openxmlformats.org/officeDocument/2006/relationships/hyperlink" Target="https://us3.assetplanner.com/service_request?ID=106082" TargetMode="External"/><Relationship Id="rId62" Type="http://schemas.openxmlformats.org/officeDocument/2006/relationships/hyperlink" Target="https://us3.assetplanner.com/service_request?ID=109533" TargetMode="External"/><Relationship Id="rId83" Type="http://schemas.openxmlformats.org/officeDocument/2006/relationships/hyperlink" Target="https://us3.assetplanner.com/service_request?ID=101986" TargetMode="External"/><Relationship Id="rId88" Type="http://schemas.openxmlformats.org/officeDocument/2006/relationships/hyperlink" Target="https://us3.assetplanner.com/service_request?ID=103636" TargetMode="External"/><Relationship Id="rId111" Type="http://schemas.openxmlformats.org/officeDocument/2006/relationships/hyperlink" Target="https://us3.assetplanner.com/service_request?ID=106842" TargetMode="External"/><Relationship Id="rId132" Type="http://schemas.openxmlformats.org/officeDocument/2006/relationships/hyperlink" Target="https://us3.assetplanner.com/service_request?ID=104456" TargetMode="External"/><Relationship Id="rId15" Type="http://schemas.openxmlformats.org/officeDocument/2006/relationships/hyperlink" Target="https://us3.assetplanner.com/service_request?ID=106831" TargetMode="External"/><Relationship Id="rId36" Type="http://schemas.openxmlformats.org/officeDocument/2006/relationships/hyperlink" Target="https://us3.assetplanner.com/service_request?ID=111172" TargetMode="External"/><Relationship Id="rId57" Type="http://schemas.openxmlformats.org/officeDocument/2006/relationships/hyperlink" Target="https://us3.assetplanner.com/service_request?ID=111059" TargetMode="External"/><Relationship Id="rId106" Type="http://schemas.openxmlformats.org/officeDocument/2006/relationships/hyperlink" Target="https://us3.assetplanner.com/service_request?ID=110375" TargetMode="External"/><Relationship Id="rId127" Type="http://schemas.openxmlformats.org/officeDocument/2006/relationships/hyperlink" Target="https://us3.assetplanner.com/service_request?ID=108282" TargetMode="External"/><Relationship Id="rId10" Type="http://schemas.openxmlformats.org/officeDocument/2006/relationships/hyperlink" Target="https://us3.assetplanner.com/service_request?ID=110773" TargetMode="External"/><Relationship Id="rId31" Type="http://schemas.openxmlformats.org/officeDocument/2006/relationships/hyperlink" Target="https://us3.assetplanner.com/service_request?ID=111507" TargetMode="External"/><Relationship Id="rId52" Type="http://schemas.openxmlformats.org/officeDocument/2006/relationships/hyperlink" Target="https://us3.assetplanner.com/service_request?ID=108849" TargetMode="External"/><Relationship Id="rId73" Type="http://schemas.openxmlformats.org/officeDocument/2006/relationships/hyperlink" Target="https://us3.assetplanner.com/service_request?ID=102317" TargetMode="External"/><Relationship Id="rId78" Type="http://schemas.openxmlformats.org/officeDocument/2006/relationships/hyperlink" Target="https://us3.assetplanner.com/service_request?ID=102286" TargetMode="External"/><Relationship Id="rId94" Type="http://schemas.openxmlformats.org/officeDocument/2006/relationships/hyperlink" Target="https://us3.assetplanner.com/service_request?ID=109164" TargetMode="External"/><Relationship Id="rId99" Type="http://schemas.openxmlformats.org/officeDocument/2006/relationships/hyperlink" Target="https://us3.assetplanner.com/service_request?ID=105917" TargetMode="External"/><Relationship Id="rId101" Type="http://schemas.openxmlformats.org/officeDocument/2006/relationships/hyperlink" Target="https://us3.assetplanner.com/service_request?ID=108501" TargetMode="External"/><Relationship Id="rId122" Type="http://schemas.openxmlformats.org/officeDocument/2006/relationships/hyperlink" Target="https://us3.assetplanner.com/service_request?ID=109601" TargetMode="External"/><Relationship Id="rId143" Type="http://schemas.openxmlformats.org/officeDocument/2006/relationships/hyperlink" Target="https://us3.assetplanner.com/service_request?ID=111679" TargetMode="External"/><Relationship Id="rId4" Type="http://schemas.openxmlformats.org/officeDocument/2006/relationships/hyperlink" Target="https://us3.assetplanner.com/service_request?ID=111394" TargetMode="External"/><Relationship Id="rId9" Type="http://schemas.openxmlformats.org/officeDocument/2006/relationships/hyperlink" Target="https://us3.assetplanner.com/service_request?ID=110774" TargetMode="External"/><Relationship Id="rId26" Type="http://schemas.openxmlformats.org/officeDocument/2006/relationships/hyperlink" Target="https://us3.assetplanner.com/service_request?ID=106514" TargetMode="External"/><Relationship Id="rId47" Type="http://schemas.openxmlformats.org/officeDocument/2006/relationships/hyperlink" Target="https://us3.assetplanner.com/service_request?ID=101034" TargetMode="External"/><Relationship Id="rId68" Type="http://schemas.openxmlformats.org/officeDocument/2006/relationships/hyperlink" Target="https://us3.assetplanner.com/service_request?ID=102321" TargetMode="External"/><Relationship Id="rId89" Type="http://schemas.openxmlformats.org/officeDocument/2006/relationships/hyperlink" Target="https://us3.assetplanner.com/service_request?ID=102539" TargetMode="External"/><Relationship Id="rId112" Type="http://schemas.openxmlformats.org/officeDocument/2006/relationships/hyperlink" Target="https://us3.assetplanner.com/service_request?ID=102820" TargetMode="External"/><Relationship Id="rId133" Type="http://schemas.openxmlformats.org/officeDocument/2006/relationships/hyperlink" Target="https://us3.assetplanner.com/service_request?ID=110610" TargetMode="External"/><Relationship Id="rId16" Type="http://schemas.openxmlformats.org/officeDocument/2006/relationships/hyperlink" Target="https://us3.assetplanner.com/service_request?ID=103239"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71" activePane="bottomRight" state="frozen"/>
      <selection pane="bottomRight" activeCell="H2" sqref="H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0</v>
      </c>
      <c r="E1" s="120"/>
      <c r="F1" s="120"/>
      <c r="G1" s="118" t="s">
        <v>1</v>
      </c>
      <c r="H1" s="118"/>
      <c r="I1" s="118"/>
    </row>
    <row r="2" spans="1:9" ht="19.5" customHeight="1">
      <c r="A2" s="121" t="s">
        <v>2</v>
      </c>
      <c r="B2" s="121"/>
      <c r="C2" s="5">
        <f>SUM(C4:C171)</f>
        <v>34289362.277666032</v>
      </c>
      <c r="D2" s="5">
        <f>SUM(D4:D171)</f>
        <v>20446099.448374152</v>
      </c>
      <c r="E2" s="5">
        <f>C2-D2</f>
        <v>13843262.82929188</v>
      </c>
      <c r="F2" s="6">
        <f>IFERROR(E2/D2, 0)</f>
        <v>0.67706130767121353</v>
      </c>
      <c r="G2" s="5">
        <f>SUM(G4:G171)</f>
        <v>38655137.674000017</v>
      </c>
      <c r="H2" s="7">
        <f>C2-G2</f>
        <v>-4365775.396333985</v>
      </c>
      <c r="I2" s="6">
        <f>IFERROR(H2/G2, 0)</f>
        <v>-0.11294165948011786</v>
      </c>
    </row>
    <row r="3" spans="1:9" ht="14.25" customHeight="1">
      <c r="A3" s="12" t="s">
        <v>3</v>
      </c>
      <c r="B3" s="12" t="s">
        <v>4</v>
      </c>
      <c r="C3" s="19" t="s">
        <v>5</v>
      </c>
      <c r="D3" s="20" t="s">
        <v>6</v>
      </c>
      <c r="E3" s="20" t="s">
        <v>7</v>
      </c>
      <c r="F3" s="21" t="s">
        <v>8</v>
      </c>
      <c r="G3" s="22" t="s">
        <v>9</v>
      </c>
      <c r="H3" s="23" t="s">
        <v>7</v>
      </c>
      <c r="I3" s="24" t="s">
        <v>8</v>
      </c>
    </row>
    <row r="4" spans="1:9" ht="15.6">
      <c r="A4" s="26" t="str" cm="1">
        <f t="array" ref="A4:A85">Sites[Site]</f>
        <v>Lexington - Cotting School</v>
      </c>
      <c r="B4" s="27" t="str" cm="1">
        <f t="array" ref="B4:B85">Sites[State]</f>
        <v>MA</v>
      </c>
      <c r="C4" s="28">
        <f>SUM('1st Qtr'!C4, '2nd Qtr'!C4, '3rd Qtr'!C4, '4th Qtr'!C4)</f>
        <v>293928.38799999998</v>
      </c>
      <c r="D4" s="29">
        <f>SUM('1st Qtr'!D4, '2nd Qtr'!D4, '3rd Qtr'!D4, '4th Qtr'!D4)</f>
        <v>0</v>
      </c>
      <c r="E4" s="29">
        <f>IF(AND(ISNUMBER(C4),ISNUMBER(D4)), C4-D4, "")</f>
        <v>293928.38799999998</v>
      </c>
      <c r="F4" s="30" t="str">
        <f>IFERROR(E4/D4, "")</f>
        <v/>
      </c>
      <c r="G4" s="31">
        <f>SUM('1st Qtr'!G4, '2nd Qtr'!G4, '3rd Qtr'!G4, '4th Qtr'!G4)</f>
        <v>0</v>
      </c>
      <c r="H4" s="31">
        <f>SUM('1st Qtr'!H4, '2nd Qtr'!H4, '3rd Qtr'!H4, '4th Qtr'!H4)</f>
        <v>18073.600000000002</v>
      </c>
      <c r="I4" s="32" t="str">
        <f>IFERROR(H4/G4, "")</f>
        <v/>
      </c>
    </row>
    <row r="5" spans="1:9" ht="15.6">
      <c r="A5" s="33" t="str">
        <v>Pacoima - Whiteman Airport</v>
      </c>
      <c r="B5" s="34" t="str">
        <v>CA</v>
      </c>
      <c r="C5" s="35">
        <f>SUM('1st Qtr'!C5, '2nd Qtr'!C5, '3rd Qtr'!C5, '4th Qtr'!C5)</f>
        <v>240830.2</v>
      </c>
      <c r="D5" s="35">
        <f>SUM('1st Qtr'!D5, '2nd Qtr'!D5, '3rd Qtr'!D5, '4th Qtr'!D5)</f>
        <v>0</v>
      </c>
      <c r="E5" s="36">
        <f t="shared" ref="E5:E6" si="0">IF(AND(ISNUMBER(C5),ISNUMBER(D5)), C5-D5, "")</f>
        <v>240830.2</v>
      </c>
      <c r="F5" s="37" t="str">
        <f>IFERROR(E5/D5, "")</f>
        <v/>
      </c>
      <c r="G5" s="38">
        <f>SUM('1st Qtr'!G5, '2nd Qtr'!G5, '3rd Qtr'!G5, '4th Qtr'!G5)</f>
        <v>436867.6</v>
      </c>
      <c r="H5" s="38">
        <f>SUM('1st Qtr'!H5, '2nd Qtr'!H5, '3rd Qtr'!H5, '4th Qtr'!H5)</f>
        <v>-196037.4</v>
      </c>
      <c r="I5" s="37">
        <f>IFERROR(H5/G5, "")</f>
        <v>-0.44873412448073513</v>
      </c>
    </row>
    <row r="6" spans="1:9" ht="15.6">
      <c r="A6" s="26" t="str">
        <v>Hyannis - Sturgis Charter School</v>
      </c>
      <c r="B6" s="27" t="str">
        <v>MA</v>
      </c>
      <c r="C6" s="28">
        <f>SUM('1st Qtr'!C6, '2nd Qtr'!C6, '3rd Qtr'!C6, '4th Qtr'!C6)</f>
        <v>302119.6445215625</v>
      </c>
      <c r="D6" s="29">
        <f>SUM('1st Qtr'!D6, '2nd Qtr'!D6, '3rd Qtr'!D6, '4th Qtr'!D6)</f>
        <v>0</v>
      </c>
      <c r="E6" s="29">
        <f t="shared" si="0"/>
        <v>302119.6445215625</v>
      </c>
      <c r="F6" s="30" t="str">
        <f t="shared" ref="F6:F69" si="1">IFERROR(E6/D6, "")</f>
        <v/>
      </c>
      <c r="G6" s="31">
        <f>SUM('1st Qtr'!G6, '2nd Qtr'!G6, '3rd Qtr'!G6, '4th Qtr'!G6)</f>
        <v>285349.08</v>
      </c>
      <c r="H6" s="31">
        <f>SUM('1st Qtr'!H6, '2nd Qtr'!H6, '3rd Qtr'!H6, '4th Qtr'!H6)</f>
        <v>16770.564521562483</v>
      </c>
      <c r="I6" s="32">
        <f t="shared" ref="I6:I69" si="2">IFERROR(H6/G6, "")</f>
        <v>5.8772099498489647E-2</v>
      </c>
    </row>
    <row r="7" spans="1:9" ht="15.6">
      <c r="A7" s="33" t="str">
        <v>South Dennis - Tony Kent Arena</v>
      </c>
      <c r="B7" s="34" t="str">
        <v>MA</v>
      </c>
      <c r="C7" s="35">
        <f>SUM('1st Qtr'!C7, '2nd Qtr'!C7, '3rd Qtr'!C7, '4th Qtr'!C7)</f>
        <v>340128.18</v>
      </c>
      <c r="D7" s="35">
        <f>SUM('1st Qtr'!D7, '2nd Qtr'!D7, '3rd Qtr'!D7, '4th Qtr'!D7)</f>
        <v>0</v>
      </c>
      <c r="E7" s="36">
        <f t="shared" ref="E7:E70" si="3">IF(AND(ISNUMBER(C7),ISNUMBER(D7)), C7-D7, "")</f>
        <v>340128.18</v>
      </c>
      <c r="F7" s="37" t="str">
        <f t="shared" si="1"/>
        <v/>
      </c>
      <c r="G7" s="38">
        <f>SUM('1st Qtr'!G7, '2nd Qtr'!G7, '3rd Qtr'!G7, '4th Qtr'!G7)</f>
        <v>0</v>
      </c>
      <c r="H7" s="38">
        <f>SUM('1st Qtr'!H7, '2nd Qtr'!H7, '3rd Qtr'!H7, '4th Qtr'!H7)</f>
        <v>30999.119999999999</v>
      </c>
      <c r="I7" s="37" t="str">
        <f t="shared" si="2"/>
        <v/>
      </c>
    </row>
    <row r="8" spans="1:9" ht="15.6">
      <c r="A8" s="26" t="str">
        <v xml:space="preserve"> Caropolis - Felician Sisters</v>
      </c>
      <c r="B8" s="27" t="str">
        <v>PA</v>
      </c>
      <c r="C8" s="28">
        <f>SUM('1st Qtr'!C8, '2nd Qtr'!C8, '3rd Qtr'!C8, '4th Qtr'!C8)</f>
        <v>440883.30000000005</v>
      </c>
      <c r="D8" s="29">
        <f>SUM('1st Qtr'!D8, '2nd Qtr'!D8, '3rd Qtr'!D8, '4th Qtr'!D8)</f>
        <v>0</v>
      </c>
      <c r="E8" s="29">
        <f t="shared" si="3"/>
        <v>440883.30000000005</v>
      </c>
      <c r="F8" s="30" t="str">
        <f t="shared" si="1"/>
        <v/>
      </c>
      <c r="G8" s="31">
        <f>SUM('1st Qtr'!G8, '2nd Qtr'!G8, '3rd Qtr'!G8, '4th Qtr'!G8)</f>
        <v>0</v>
      </c>
      <c r="H8" s="31">
        <f>SUM('1st Qtr'!H8, '2nd Qtr'!H8, '3rd Qtr'!H8, '4th Qtr'!H8)</f>
        <v>0</v>
      </c>
      <c r="I8" s="32" t="str">
        <f t="shared" si="2"/>
        <v/>
      </c>
    </row>
    <row r="9" spans="1:9" ht="15.6">
      <c r="A9" s="33" t="str">
        <v>Clear Lake - Eastlake Gohman</v>
      </c>
      <c r="B9" s="34" t="str">
        <v>MN</v>
      </c>
      <c r="C9" s="35">
        <f>SUM('1st Qtr'!C9, '2nd Qtr'!C9, '3rd Qtr'!C9, '4th Qtr'!C9)</f>
        <v>1414003.0959785711</v>
      </c>
      <c r="D9" s="35">
        <f>SUM('1st Qtr'!D9, '2nd Qtr'!D9, '3rd Qtr'!D9, '4th Qtr'!D9)</f>
        <v>0</v>
      </c>
      <c r="E9" s="36">
        <f t="shared" si="3"/>
        <v>1414003.0959785711</v>
      </c>
      <c r="F9" s="37" t="str">
        <f t="shared" si="1"/>
        <v/>
      </c>
      <c r="G9" s="38">
        <f>SUM('1st Qtr'!G9, '2nd Qtr'!G9, '3rd Qtr'!G9, '4th Qtr'!G9)</f>
        <v>1550595.2699999998</v>
      </c>
      <c r="H9" s="38">
        <f>SUM('1st Qtr'!H9, '2nd Qtr'!H9, '3rd Qtr'!H9, '4th Qtr'!H9)</f>
        <v>-136592.17402142903</v>
      </c>
      <c r="I9" s="37">
        <f t="shared" si="2"/>
        <v>-8.8090152642751871E-2</v>
      </c>
    </row>
    <row r="10" spans="1:9" ht="15.6">
      <c r="A10" s="26" t="str">
        <v>Zumbrota - Eastlake Brenda Luhman</v>
      </c>
      <c r="B10" s="27" t="str">
        <v>MN</v>
      </c>
      <c r="C10" s="28">
        <f>SUM('1st Qtr'!C10, '2nd Qtr'!C10, '3rd Qtr'!C10, '4th Qtr'!C10)</f>
        <v>1556602.1269</v>
      </c>
      <c r="D10" s="29">
        <f>SUM('1st Qtr'!D10, '2nd Qtr'!D10, '3rd Qtr'!D10, '4th Qtr'!D10)</f>
        <v>0</v>
      </c>
      <c r="E10" s="29">
        <f t="shared" si="3"/>
        <v>1556602.1269</v>
      </c>
      <c r="F10" s="30" t="str">
        <f t="shared" si="1"/>
        <v/>
      </c>
      <c r="G10" s="31">
        <f>SUM('1st Qtr'!G10, '2nd Qtr'!G10, '3rd Qtr'!G10, '4th Qtr'!G10)</f>
        <v>1519282.6400000001</v>
      </c>
      <c r="H10" s="31">
        <f>SUM('1st Qtr'!H10, '2nd Qtr'!H10, '3rd Qtr'!H10, '4th Qtr'!H10)</f>
        <v>37319.486900000018</v>
      </c>
      <c r="I10" s="32">
        <f t="shared" si="2"/>
        <v>2.4563886874926718E-2</v>
      </c>
    </row>
    <row r="11" spans="1:9" ht="15.6">
      <c r="A11" s="33" t="str">
        <v>Cokato - Eastlake Carlson</v>
      </c>
      <c r="B11" s="34" t="str">
        <v>MN</v>
      </c>
      <c r="C11" s="35">
        <f>SUM('1st Qtr'!C11, '2nd Qtr'!C11, '3rd Qtr'!C11, '4th Qtr'!C11)</f>
        <v>1404216.4842000001</v>
      </c>
      <c r="D11" s="35">
        <f>SUM('1st Qtr'!D11, '2nd Qtr'!D11, '3rd Qtr'!D11, '4th Qtr'!D11)</f>
        <v>0</v>
      </c>
      <c r="E11" s="36">
        <f t="shared" si="3"/>
        <v>1404216.4842000001</v>
      </c>
      <c r="F11" s="37" t="str">
        <f t="shared" si="1"/>
        <v/>
      </c>
      <c r="G11" s="38">
        <f>SUM('1st Qtr'!G11, '2nd Qtr'!G11, '3rd Qtr'!G11, '4th Qtr'!G11)</f>
        <v>1651546.7</v>
      </c>
      <c r="H11" s="38">
        <f>SUM('1st Qtr'!H11, '2nd Qtr'!H11, '3rd Qtr'!H11, '4th Qtr'!H11)</f>
        <v>-247330.21580000001</v>
      </c>
      <c r="I11" s="37">
        <f t="shared" si="2"/>
        <v>-0.14975671944365848</v>
      </c>
    </row>
    <row r="12" spans="1:9" ht="15.6">
      <c r="A12" s="26" t="str">
        <v>North Branch - Cornille 2</v>
      </c>
      <c r="B12" s="27" t="str">
        <v>MN</v>
      </c>
      <c r="C12" s="28">
        <f>SUM('1st Qtr'!C12, '2nd Qtr'!C12, '3rd Qtr'!C12, '4th Qtr'!C12)</f>
        <v>1418053.66243</v>
      </c>
      <c r="D12" s="29">
        <f>SUM('1st Qtr'!D12, '2nd Qtr'!D12, '3rd Qtr'!D12, '4th Qtr'!D12)</f>
        <v>0</v>
      </c>
      <c r="E12" s="29">
        <f t="shared" si="3"/>
        <v>1418053.66243</v>
      </c>
      <c r="F12" s="30" t="str">
        <f t="shared" si="1"/>
        <v/>
      </c>
      <c r="G12" s="31">
        <f>SUM('1st Qtr'!G12, '2nd Qtr'!G12, '3rd Qtr'!G12, '4th Qtr'!G12)</f>
        <v>1556841.96</v>
      </c>
      <c r="H12" s="31">
        <f>SUM('1st Qtr'!H12, '2nd Qtr'!H12, '3rd Qtr'!H12, '4th Qtr'!H12)</f>
        <v>-138788.29757</v>
      </c>
      <c r="I12" s="32">
        <f t="shared" si="2"/>
        <v>-8.9147325891704515E-2</v>
      </c>
    </row>
    <row r="13" spans="1:9" ht="15.6">
      <c r="A13" s="33" t="str">
        <v>Clear Lake - Eastlake Hammer</v>
      </c>
      <c r="B13" s="34" t="str">
        <v>MN</v>
      </c>
      <c r="C13" s="35">
        <f>SUM('1st Qtr'!C13, '2nd Qtr'!C13, '3rd Qtr'!C13, '4th Qtr'!C13)</f>
        <v>1672346.9999999991</v>
      </c>
      <c r="D13" s="35">
        <f>SUM('1st Qtr'!D13, '2nd Qtr'!D13, '3rd Qtr'!D13, '4th Qtr'!D13)</f>
        <v>0</v>
      </c>
      <c r="E13" s="36">
        <f t="shared" si="3"/>
        <v>1672346.9999999991</v>
      </c>
      <c r="F13" s="37" t="str">
        <f t="shared" si="1"/>
        <v/>
      </c>
      <c r="G13" s="38">
        <f>SUM('1st Qtr'!G13, '2nd Qtr'!G13, '3rd Qtr'!G13, '4th Qtr'!G13)</f>
        <v>1831435.6600000001</v>
      </c>
      <c r="H13" s="38">
        <f>SUM('1st Qtr'!H13, '2nd Qtr'!H13, '3rd Qtr'!H13, '4th Qtr'!H13)</f>
        <v>-159088.66000000102</v>
      </c>
      <c r="I13" s="37">
        <f t="shared" si="2"/>
        <v>-8.6865546780934152E-2</v>
      </c>
    </row>
    <row r="14" spans="1:9" ht="15.6">
      <c r="A14" s="26" t="str">
        <v>Eastlake - Hertzberg CSG 1</v>
      </c>
      <c r="B14" s="27" t="str">
        <v>MN</v>
      </c>
      <c r="C14" s="28">
        <f>SUM('1st Qtr'!C14, '2nd Qtr'!C14, '3rd Qtr'!C14, '4th Qtr'!C14)</f>
        <v>1551890.3327261719</v>
      </c>
      <c r="D14" s="29">
        <f>SUM('1st Qtr'!D14, '2nd Qtr'!D14, '3rd Qtr'!D14, '4th Qtr'!D14)</f>
        <v>0</v>
      </c>
      <c r="E14" s="29">
        <f t="shared" si="3"/>
        <v>1551890.3327261719</v>
      </c>
      <c r="F14" s="30" t="str">
        <f t="shared" si="1"/>
        <v/>
      </c>
      <c r="G14" s="31">
        <f>SUM('1st Qtr'!G14, '2nd Qtr'!G14, '3rd Qtr'!G14, '4th Qtr'!G14)</f>
        <v>1837454.9209999999</v>
      </c>
      <c r="H14" s="31">
        <f>SUM('1st Qtr'!H14, '2nd Qtr'!H14, '3rd Qtr'!H14, '4th Qtr'!H14)</f>
        <v>-285564.58827382803</v>
      </c>
      <c r="I14" s="32">
        <f t="shared" si="2"/>
        <v>-0.15541311245797254</v>
      </c>
    </row>
    <row r="15" spans="1:9" ht="15.6">
      <c r="A15" s="33" t="str">
        <v>Cokato - Eastlake Laurel Village</v>
      </c>
      <c r="B15" s="34" t="str">
        <v>MN</v>
      </c>
      <c r="C15" s="35">
        <f>SUM('1st Qtr'!C15, '2nd Qtr'!C15, '3rd Qtr'!C15, '4th Qtr'!C15)</f>
        <v>1683349.3139</v>
      </c>
      <c r="D15" s="35">
        <f>SUM('1st Qtr'!D15, '2nd Qtr'!D15, '3rd Qtr'!D15, '4th Qtr'!D15)</f>
        <v>0</v>
      </c>
      <c r="E15" s="36">
        <f t="shared" si="3"/>
        <v>1683349.3139</v>
      </c>
      <c r="F15" s="37" t="str">
        <f t="shared" si="1"/>
        <v/>
      </c>
      <c r="G15" s="38">
        <f>SUM('1st Qtr'!G15, '2nd Qtr'!G15, '3rd Qtr'!G15, '4th Qtr'!G15)</f>
        <v>1848908.1099999999</v>
      </c>
      <c r="H15" s="38">
        <f>SUM('1st Qtr'!H15, '2nd Qtr'!H15, '3rd Qtr'!H15, '4th Qtr'!H15)</f>
        <v>-165558.79609999998</v>
      </c>
      <c r="I15" s="37">
        <f t="shared" si="2"/>
        <v>-8.9544091025702724E-2</v>
      </c>
    </row>
    <row r="16" spans="1:9" ht="15.6">
      <c r="A16" s="26" t="str">
        <v>St. Peter - Eastlake Paulson</v>
      </c>
      <c r="B16" s="27" t="str">
        <v>MN</v>
      </c>
      <c r="C16" s="28">
        <f>SUM('1st Qtr'!C16, '2nd Qtr'!C16, '3rd Qtr'!C16, '4th Qtr'!C16)</f>
        <v>1501686.8673685731</v>
      </c>
      <c r="D16" s="29">
        <f>SUM('1st Qtr'!D16, '2nd Qtr'!D16, '3rd Qtr'!D16, '4th Qtr'!D16)</f>
        <v>0</v>
      </c>
      <c r="E16" s="29">
        <f t="shared" si="3"/>
        <v>1501686.8673685731</v>
      </c>
      <c r="F16" s="30" t="str">
        <f t="shared" si="1"/>
        <v/>
      </c>
      <c r="G16" s="31">
        <f>SUM('1st Qtr'!G16, '2nd Qtr'!G16, '3rd Qtr'!G16, '4th Qtr'!G16)</f>
        <v>1650195.5</v>
      </c>
      <c r="H16" s="31">
        <f>SUM('1st Qtr'!H16, '2nd Qtr'!H16, '3rd Qtr'!H16, '4th Qtr'!H16)</f>
        <v>-148508.632631427</v>
      </c>
      <c r="I16" s="32">
        <f t="shared" si="2"/>
        <v>-8.9994568904973385E-2</v>
      </c>
    </row>
    <row r="17" spans="1:9" ht="15.6">
      <c r="A17" s="33" t="str">
        <v>Felician Sisters Convent</v>
      </c>
      <c r="B17" s="34" t="str">
        <v>NJ</v>
      </c>
      <c r="C17" s="35">
        <f>SUM('1st Qtr'!C17, '2nd Qtr'!C17, '3rd Qtr'!C17, '4th Qtr'!C17)</f>
        <v>128101.2</v>
      </c>
      <c r="D17" s="35">
        <f>SUM('1st Qtr'!D17, '2nd Qtr'!D17, '3rd Qtr'!D17, '4th Qtr'!D17)</f>
        <v>0</v>
      </c>
      <c r="E17" s="36">
        <f t="shared" si="3"/>
        <v>128101.2</v>
      </c>
      <c r="F17" s="37" t="str">
        <f t="shared" si="1"/>
        <v/>
      </c>
      <c r="G17" s="38">
        <f>SUM('1st Qtr'!G17, '2nd Qtr'!G17, '3rd Qtr'!G17, '4th Qtr'!G17)</f>
        <v>0</v>
      </c>
      <c r="H17" s="38">
        <f>SUM('1st Qtr'!H17, '2nd Qtr'!H17, '3rd Qtr'!H17, '4th Qtr'!H17)</f>
        <v>0</v>
      </c>
      <c r="I17" s="37" t="str">
        <f t="shared" si="2"/>
        <v/>
      </c>
    </row>
    <row r="18" spans="1:9" ht="15.6">
      <c r="A18" s="26" t="str">
        <v>Sussex County Fairgrounds</v>
      </c>
      <c r="B18" s="27" t="str">
        <v>NJ</v>
      </c>
      <c r="C18" s="28">
        <f>SUM('1st Qtr'!C18, '2nd Qtr'!C18, '3rd Qtr'!C18, '4th Qtr'!C18)</f>
        <v>410332.18</v>
      </c>
      <c r="D18" s="29">
        <f>SUM('1st Qtr'!D18, '2nd Qtr'!D18, '3rd Qtr'!D18, '4th Qtr'!D18)</f>
        <v>0</v>
      </c>
      <c r="E18" s="29">
        <f t="shared" si="3"/>
        <v>410332.18</v>
      </c>
      <c r="F18" s="30" t="str">
        <f t="shared" si="1"/>
        <v/>
      </c>
      <c r="G18" s="31">
        <f>SUM('1st Qtr'!G18, '2nd Qtr'!G18, '3rd Qtr'!G18, '4th Qtr'!G18)</f>
        <v>0</v>
      </c>
      <c r="H18" s="31">
        <f>SUM('1st Qtr'!H18, '2nd Qtr'!H18, '3rd Qtr'!H18, '4th Qtr'!H18)</f>
        <v>0</v>
      </c>
      <c r="I18" s="32" t="str">
        <f t="shared" si="2"/>
        <v/>
      </c>
    </row>
    <row r="19" spans="1:9" ht="15.6">
      <c r="A19" s="33" t="str">
        <v>Gateway Church</v>
      </c>
      <c r="B19" s="34" t="str">
        <v>NJ</v>
      </c>
      <c r="C19" s="35">
        <f>SUM('1st Qtr'!C19, '2nd Qtr'!C19, '3rd Qtr'!C19, '4th Qtr'!C19)</f>
        <v>230122</v>
      </c>
      <c r="D19" s="35">
        <f>SUM('1st Qtr'!D19, '2nd Qtr'!D19, '3rd Qtr'!D19, '4th Qtr'!D19)</f>
        <v>0</v>
      </c>
      <c r="E19" s="36">
        <f t="shared" si="3"/>
        <v>230122</v>
      </c>
      <c r="F19" s="37" t="str">
        <f t="shared" si="1"/>
        <v/>
      </c>
      <c r="G19" s="38">
        <f>SUM('1st Qtr'!G19, '2nd Qtr'!G19, '3rd Qtr'!G19, '4th Qtr'!G19)</f>
        <v>0</v>
      </c>
      <c r="H19" s="38">
        <f>SUM('1st Qtr'!H19, '2nd Qtr'!H19, '3rd Qtr'!H19, '4th Qtr'!H19)</f>
        <v>0</v>
      </c>
      <c r="I19" s="37" t="str">
        <f t="shared" si="2"/>
        <v/>
      </c>
    </row>
    <row r="20" spans="1:9" ht="15.6">
      <c r="A20" s="26" t="str">
        <v>Beaver Falls - Felician Sisters</v>
      </c>
      <c r="B20" s="27" t="str">
        <v>PA</v>
      </c>
      <c r="C20" s="28">
        <f>SUM('1st Qtr'!C20, '2nd Qtr'!C20, '3rd Qtr'!C20, '4th Qtr'!C20)</f>
        <v>343831</v>
      </c>
      <c r="D20" s="29">
        <f>SUM('1st Qtr'!D20, '2nd Qtr'!D20, '3rd Qtr'!D20, '4th Qtr'!D20)</f>
        <v>0</v>
      </c>
      <c r="E20" s="29">
        <f t="shared" si="3"/>
        <v>343831</v>
      </c>
      <c r="F20" s="30" t="str">
        <f t="shared" si="1"/>
        <v/>
      </c>
      <c r="G20" s="31">
        <f>SUM('1st Qtr'!G20, '2nd Qtr'!G20, '3rd Qtr'!G20, '4th Qtr'!G20)</f>
        <v>0</v>
      </c>
      <c r="H20" s="31">
        <f>SUM('1st Qtr'!H20, '2nd Qtr'!H20, '3rd Qtr'!H20, '4th Qtr'!H20)</f>
        <v>0</v>
      </c>
      <c r="I20" s="32" t="str">
        <f t="shared" si="2"/>
        <v/>
      </c>
    </row>
    <row r="21" spans="1:9" ht="15.6">
      <c r="A21" s="33" t="str">
        <v>Livonia - Felician Sisters Ground</v>
      </c>
      <c r="B21" s="34" t="str">
        <v>MI</v>
      </c>
      <c r="C21" s="35">
        <f>SUM('1st Qtr'!C21, '2nd Qtr'!C21, '3rd Qtr'!C21, '4th Qtr'!C21)</f>
        <v>29319.8</v>
      </c>
      <c r="D21" s="35">
        <f>SUM('1st Qtr'!D21, '2nd Qtr'!D21, '3rd Qtr'!D21, '4th Qtr'!D21)</f>
        <v>0</v>
      </c>
      <c r="E21" s="36">
        <f t="shared" si="3"/>
        <v>29319.8</v>
      </c>
      <c r="F21" s="37" t="str">
        <f t="shared" si="1"/>
        <v/>
      </c>
      <c r="G21" s="38">
        <f>SUM('1st Qtr'!G21, '2nd Qtr'!G21, '3rd Qtr'!G21, '4th Qtr'!G21)</f>
        <v>0</v>
      </c>
      <c r="H21" s="38">
        <f>SUM('1st Qtr'!H21, '2nd Qtr'!H21, '3rd Qtr'!H21, '4th Qtr'!H21)</f>
        <v>0</v>
      </c>
      <c r="I21" s="37" t="str">
        <f t="shared" si="2"/>
        <v/>
      </c>
    </row>
    <row r="22" spans="1:9" ht="15.6">
      <c r="A22" s="26" t="str">
        <v>Livonia - Felician Sisters Roof</v>
      </c>
      <c r="B22" s="27" t="str">
        <v>MI</v>
      </c>
      <c r="C22" s="28">
        <f>SUM('1st Qtr'!C22, '2nd Qtr'!C22, '3rd Qtr'!C22, '4th Qtr'!C22)</f>
        <v>126422</v>
      </c>
      <c r="D22" s="29">
        <f>SUM('1st Qtr'!D22, '2nd Qtr'!D22, '3rd Qtr'!D22, '4th Qtr'!D22)</f>
        <v>0</v>
      </c>
      <c r="E22" s="29">
        <f t="shared" si="3"/>
        <v>126422</v>
      </c>
      <c r="F22" s="30" t="str">
        <f t="shared" si="1"/>
        <v/>
      </c>
      <c r="G22" s="31">
        <f>SUM('1st Qtr'!G22, '2nd Qtr'!G22, '3rd Qtr'!G22, '4th Qtr'!G22)</f>
        <v>0</v>
      </c>
      <c r="H22" s="31">
        <f>SUM('1st Qtr'!H22, '2nd Qtr'!H22, '3rd Qtr'!H22, '4th Qtr'!H22)</f>
        <v>0</v>
      </c>
      <c r="I22" s="32" t="str">
        <f t="shared" si="2"/>
        <v/>
      </c>
    </row>
    <row r="23" spans="1:9" ht="15.6">
      <c r="A23" s="33" t="str">
        <v>Monmouth Worship Ctr</v>
      </c>
      <c r="B23" s="34" t="str">
        <v>NJ</v>
      </c>
      <c r="C23" s="35">
        <f>SUM('1st Qtr'!C23, '2nd Qtr'!C23, '3rd Qtr'!C23, '4th Qtr'!C23)</f>
        <v>79646.050000000017</v>
      </c>
      <c r="D23" s="35">
        <f>SUM('1st Qtr'!D23, '2nd Qtr'!D23, '3rd Qtr'!D23, '4th Qtr'!D23)</f>
        <v>0</v>
      </c>
      <c r="E23" s="36">
        <f t="shared" si="3"/>
        <v>79646.050000000017</v>
      </c>
      <c r="F23" s="37" t="str">
        <f t="shared" si="1"/>
        <v/>
      </c>
      <c r="G23" s="38">
        <f>SUM('1st Qtr'!G23, '2nd Qtr'!G23, '3rd Qtr'!G23, '4th Qtr'!G23)</f>
        <v>0</v>
      </c>
      <c r="H23" s="38">
        <f>SUM('1st Qtr'!H23, '2nd Qtr'!H23, '3rd Qtr'!H23, '4th Qtr'!H23)</f>
        <v>0</v>
      </c>
      <c r="I23" s="37" t="str">
        <f t="shared" si="2"/>
        <v/>
      </c>
    </row>
    <row r="24" spans="1:9" ht="15.6">
      <c r="A24" s="26" t="str">
        <v xml:space="preserve"> Audubon - Senior Citizens United</v>
      </c>
      <c r="B24" s="27" t="str">
        <v>NJ</v>
      </c>
      <c r="C24" s="28">
        <f>SUM('1st Qtr'!C24, '2nd Qtr'!C24, '3rd Qtr'!C24, '4th Qtr'!C24)</f>
        <v>84909.875</v>
      </c>
      <c r="D24" s="29">
        <f>SUM('1st Qtr'!D24, '2nd Qtr'!D24, '3rd Qtr'!D24, '4th Qtr'!D24)</f>
        <v>0</v>
      </c>
      <c r="E24" s="29">
        <f t="shared" si="3"/>
        <v>84909.875</v>
      </c>
      <c r="F24" s="30" t="str">
        <f t="shared" si="1"/>
        <v/>
      </c>
      <c r="G24" s="31">
        <f>SUM('1st Qtr'!G24, '2nd Qtr'!G24, '3rd Qtr'!G24, '4th Qtr'!G24)</f>
        <v>0</v>
      </c>
      <c r="H24" s="31">
        <f>SUM('1st Qtr'!H24, '2nd Qtr'!H24, '3rd Qtr'!H24, '4th Qtr'!H24)</f>
        <v>0</v>
      </c>
      <c r="I24" s="32" t="str">
        <f t="shared" si="2"/>
        <v/>
      </c>
    </row>
    <row r="25" spans="1:9" ht="15.6">
      <c r="A25" s="33" t="str">
        <v>Hollister - PG&amp;E (Enerparc)</v>
      </c>
      <c r="B25" s="34" t="str">
        <v>CA</v>
      </c>
      <c r="C25" s="35">
        <f>SUM('1st Qtr'!C25, '2nd Qtr'!C25, '3rd Qtr'!C25, '4th Qtr'!C25)</f>
        <v>979668.61</v>
      </c>
      <c r="D25" s="35">
        <f>SUM('1st Qtr'!D25, '2nd Qtr'!D25, '3rd Qtr'!D25, '4th Qtr'!D25)</f>
        <v>249767.7</v>
      </c>
      <c r="E25" s="36">
        <f t="shared" si="3"/>
        <v>729900.90999999992</v>
      </c>
      <c r="F25" s="37">
        <f t="shared" si="1"/>
        <v>2.9223190588695012</v>
      </c>
      <c r="G25" s="38">
        <f>SUM('1st Qtr'!G25, '2nd Qtr'!G25, '3rd Qtr'!G25, '4th Qtr'!G25)</f>
        <v>2378198.4000000004</v>
      </c>
      <c r="H25" s="38">
        <f>SUM('1st Qtr'!H25, '2nd Qtr'!H25, '3rd Qtr'!H25, '4th Qtr'!H25)</f>
        <v>-1398529.79</v>
      </c>
      <c r="I25" s="37">
        <f t="shared" si="2"/>
        <v>-0.58806270746797229</v>
      </c>
    </row>
    <row r="26" spans="1:9" ht="15.6">
      <c r="A26" s="26" t="str">
        <v>Taos County - Kit Carson Electric Co-Op</v>
      </c>
      <c r="B26" s="27" t="str">
        <v>NM</v>
      </c>
      <c r="C26" s="28">
        <f>SUM('1st Qtr'!C26, '2nd Qtr'!C26, '3rd Qtr'!C26, '4th Qtr'!C26)</f>
        <v>1644570</v>
      </c>
      <c r="D26" s="29">
        <f>SUM('1st Qtr'!D26, '2nd Qtr'!D26, '3rd Qtr'!D26, '4th Qtr'!D26)</f>
        <v>1438276</v>
      </c>
      <c r="E26" s="29">
        <f t="shared" si="3"/>
        <v>206294</v>
      </c>
      <c r="F26" s="30">
        <f t="shared" si="1"/>
        <v>0.14343144153138898</v>
      </c>
      <c r="G26" s="31">
        <f>SUM('1st Qtr'!G26, '2nd Qtr'!G26, '3rd Qtr'!G26, '4th Qtr'!G26)</f>
        <v>1259981.81</v>
      </c>
      <c r="H26" s="31">
        <f>SUM('1st Qtr'!H26, '2nd Qtr'!H26, '3rd Qtr'!H26, '4th Qtr'!H26)</f>
        <v>384588.18999999994</v>
      </c>
      <c r="I26" s="32">
        <f t="shared" si="2"/>
        <v>0.30523312872270747</v>
      </c>
    </row>
    <row r="27" spans="1:9" ht="15.6">
      <c r="A27" s="33" t="str">
        <v>Commerce City - Adams City HS</v>
      </c>
      <c r="B27" s="34" t="str">
        <v>CO</v>
      </c>
      <c r="C27" s="35">
        <f>SUM('1st Qtr'!C27, '2nd Qtr'!C27, '3rd Qtr'!C27, '4th Qtr'!C27)</f>
        <v>98549</v>
      </c>
      <c r="D27" s="35">
        <f>SUM('1st Qtr'!D27, '2nd Qtr'!D27, '3rd Qtr'!D27, '4th Qtr'!D27)</f>
        <v>81680.84</v>
      </c>
      <c r="E27" s="36">
        <f t="shared" si="3"/>
        <v>16868.160000000003</v>
      </c>
      <c r="F27" s="37">
        <f t="shared" si="1"/>
        <v>0.20651305740734308</v>
      </c>
      <c r="G27" s="38">
        <f>SUM('1st Qtr'!G27, '2nd Qtr'!G27, '3rd Qtr'!G27, '4th Qtr'!G27)</f>
        <v>89133.776000000013</v>
      </c>
      <c r="H27" s="38">
        <f>SUM('1st Qtr'!H27, '2nd Qtr'!H27, '3rd Qtr'!H27, '4th Qtr'!H27)</f>
        <v>9415.2239999999983</v>
      </c>
      <c r="I27" s="37">
        <f t="shared" si="2"/>
        <v>0.10563026074425476</v>
      </c>
    </row>
    <row r="28" spans="1:9" ht="15.6">
      <c r="A28" s="26" t="str">
        <v>Commerce City - Adams City MS</v>
      </c>
      <c r="B28" s="27" t="str">
        <v>CO</v>
      </c>
      <c r="C28" s="28">
        <f>SUM('1st Qtr'!C28, '2nd Qtr'!C28, '3rd Qtr'!C28, '4th Qtr'!C28)</f>
        <v>80357</v>
      </c>
      <c r="D28" s="29">
        <f>SUM('1st Qtr'!D28, '2nd Qtr'!D28, '3rd Qtr'!D28, '4th Qtr'!D28)</f>
        <v>74212.502000000008</v>
      </c>
      <c r="E28" s="29">
        <f t="shared" si="3"/>
        <v>6144.4979999999923</v>
      </c>
      <c r="F28" s="30">
        <f t="shared" si="1"/>
        <v>8.2795995747454942E-2</v>
      </c>
      <c r="G28" s="31">
        <f>SUM('1st Qtr'!G28, '2nd Qtr'!G28, '3rd Qtr'!G28, '4th Qtr'!G28)</f>
        <v>78423.790999999997</v>
      </c>
      <c r="H28" s="31">
        <f>SUM('1st Qtr'!H28, '2nd Qtr'!H28, '3rd Qtr'!H28, '4th Qtr'!H28)</f>
        <v>1933.208999999998</v>
      </c>
      <c r="I28" s="32">
        <f t="shared" si="2"/>
        <v>2.4650797613188554E-2</v>
      </c>
    </row>
    <row r="29" spans="1:9" ht="15.6">
      <c r="A29" s="33" t="str">
        <v>Commerce City - Central ES</v>
      </c>
      <c r="B29" s="34" t="str">
        <v>CO</v>
      </c>
      <c r="C29" s="35">
        <f>SUM('1st Qtr'!C29, '2nd Qtr'!C29, '3rd Qtr'!C29, '4th Qtr'!C29)</f>
        <v>20975</v>
      </c>
      <c r="D29" s="35">
        <f>SUM('1st Qtr'!D29, '2nd Qtr'!D29, '3rd Qtr'!D29, '4th Qtr'!D29)</f>
        <v>21090.502999999997</v>
      </c>
      <c r="E29" s="36">
        <f t="shared" si="3"/>
        <v>-115.50299999999697</v>
      </c>
      <c r="F29" s="37">
        <f t="shared" si="1"/>
        <v>-5.476540791843466E-3</v>
      </c>
      <c r="G29" s="38">
        <f>SUM('1st Qtr'!G29, '2nd Qtr'!G29, '3rd Qtr'!G29, '4th Qtr'!G29)</f>
        <v>22836.633000000002</v>
      </c>
      <c r="H29" s="38">
        <f>SUM('1st Qtr'!H29, '2nd Qtr'!H29, '3rd Qtr'!H29, '4th Qtr'!H29)</f>
        <v>-1861.6329999999998</v>
      </c>
      <c r="I29" s="37">
        <f t="shared" si="2"/>
        <v>-8.1519591789209894E-2</v>
      </c>
    </row>
    <row r="30" spans="1:9" ht="15.6">
      <c r="A30" s="26" t="str">
        <v>Commerce City - Dupont ES</v>
      </c>
      <c r="B30" s="27" t="str">
        <v>CO</v>
      </c>
      <c r="C30" s="28">
        <f>SUM('1st Qtr'!C30, '2nd Qtr'!C30, '3rd Qtr'!C30, '4th Qtr'!C30)</f>
        <v>60237</v>
      </c>
      <c r="D30" s="29">
        <f>SUM('1st Qtr'!D30, '2nd Qtr'!D30, '3rd Qtr'!D30, '4th Qtr'!D30)</f>
        <v>59071.015999999996</v>
      </c>
      <c r="E30" s="29">
        <f t="shared" si="3"/>
        <v>1165.984000000004</v>
      </c>
      <c r="F30" s="30">
        <f t="shared" si="1"/>
        <v>1.9738681995921725E-2</v>
      </c>
      <c r="G30" s="31">
        <f>SUM('1st Qtr'!G30, '2nd Qtr'!G30, '3rd Qtr'!G30, '4th Qtr'!G30)</f>
        <v>64844.744999999995</v>
      </c>
      <c r="H30" s="31">
        <f>SUM('1st Qtr'!H30, '2nd Qtr'!H30, '3rd Qtr'!H30, '4th Qtr'!H30)</f>
        <v>-4607.7449999999999</v>
      </c>
      <c r="I30" s="32">
        <f t="shared" si="2"/>
        <v>-7.1058109643271791E-2</v>
      </c>
    </row>
    <row r="31" spans="1:9" ht="15.6">
      <c r="A31" s="33" t="str">
        <v>Commerce City - Educational Support Services</v>
      </c>
      <c r="B31" s="34" t="str">
        <v>CO</v>
      </c>
      <c r="C31" s="35">
        <f>SUM('1st Qtr'!C31, '2nd Qtr'!C31, '3rd Qtr'!C31, '4th Qtr'!C31)</f>
        <v>37977</v>
      </c>
      <c r="D31" s="35">
        <f>SUM('1st Qtr'!D31, '2nd Qtr'!D31, '3rd Qtr'!D31, '4th Qtr'!D31)</f>
        <v>62511.685999999994</v>
      </c>
      <c r="E31" s="36">
        <f t="shared" si="3"/>
        <v>-24534.685999999994</v>
      </c>
      <c r="F31" s="37">
        <f t="shared" si="1"/>
        <v>-0.39248159136197347</v>
      </c>
      <c r="G31" s="38">
        <f>SUM('1st Qtr'!G31, '2nd Qtr'!G31, '3rd Qtr'!G31, '4th Qtr'!G31)</f>
        <v>67921.063999999998</v>
      </c>
      <c r="H31" s="38">
        <f>SUM('1st Qtr'!H31, '2nd Qtr'!H31, '3rd Qtr'!H31, '4th Qtr'!H31)</f>
        <v>-29944.063999999998</v>
      </c>
      <c r="I31" s="37">
        <f t="shared" si="2"/>
        <v>-0.44086564957227409</v>
      </c>
    </row>
    <row r="32" spans="1:9" ht="15.6">
      <c r="A32" s="26" t="str">
        <v>Commerce City - Hanson ES</v>
      </c>
      <c r="B32" s="27" t="str">
        <v>CO</v>
      </c>
      <c r="C32" s="28">
        <f>SUM('1st Qtr'!C32, '2nd Qtr'!C32, '3rd Qtr'!C32, '4th Qtr'!C32)</f>
        <v>85739</v>
      </c>
      <c r="D32" s="29">
        <f>SUM('1st Qtr'!D32, '2nd Qtr'!D32, '3rd Qtr'!D32, '4th Qtr'!D32)</f>
        <v>81517.094000000012</v>
      </c>
      <c r="E32" s="29">
        <f t="shared" si="3"/>
        <v>4221.9059999999881</v>
      </c>
      <c r="F32" s="30">
        <f t="shared" si="1"/>
        <v>5.1791664702865725E-2</v>
      </c>
      <c r="G32" s="31">
        <f>SUM('1st Qtr'!G32, '2nd Qtr'!G32, '3rd Qtr'!G32, '4th Qtr'!G32)</f>
        <v>88799.956000000006</v>
      </c>
      <c r="H32" s="31">
        <f>SUM('1st Qtr'!H32, '2nd Qtr'!H32, '3rd Qtr'!H32, '4th Qtr'!H32)</f>
        <v>-3060.956000000001</v>
      </c>
      <c r="I32" s="32">
        <f t="shared" si="2"/>
        <v>-3.4470242305075026E-2</v>
      </c>
    </row>
    <row r="33" spans="1:9" ht="15.6">
      <c r="A33" s="33" t="str">
        <v>Commerce City - Kemp ES</v>
      </c>
      <c r="B33" s="34" t="str">
        <v>CO</v>
      </c>
      <c r="C33" s="35">
        <f>SUM('1st Qtr'!C33, '2nd Qtr'!C33, '3rd Qtr'!C33, '4th Qtr'!C33)</f>
        <v>76419.322499000002</v>
      </c>
      <c r="D33" s="35">
        <f>SUM('1st Qtr'!D33, '2nd Qtr'!D33, '3rd Qtr'!D33, '4th Qtr'!D33)</f>
        <v>81476.009999999995</v>
      </c>
      <c r="E33" s="36">
        <f t="shared" si="3"/>
        <v>-5056.6875009999931</v>
      </c>
      <c r="F33" s="37">
        <f t="shared" si="1"/>
        <v>-6.2063514168158126E-2</v>
      </c>
      <c r="G33" s="38">
        <f>SUM('1st Qtr'!G33, '2nd Qtr'!G33, '3rd Qtr'!G33, '4th Qtr'!G33)</f>
        <v>88885.517000000007</v>
      </c>
      <c r="H33" s="38">
        <f>SUM('1st Qtr'!H33, '2nd Qtr'!H33, '3rd Qtr'!H33, '4th Qtr'!H33)</f>
        <v>-12466.194500999998</v>
      </c>
      <c r="I33" s="37">
        <f t="shared" si="2"/>
        <v>-0.14025000834500403</v>
      </c>
    </row>
    <row r="34" spans="1:9" ht="15.6">
      <c r="A34" s="26" t="str">
        <v>Commerce City -  Lester Arnold HS</v>
      </c>
      <c r="B34" s="27" t="str">
        <v>CO</v>
      </c>
      <c r="C34" s="28">
        <f>SUM('1st Qtr'!C34, '2nd Qtr'!C34, '3rd Qtr'!C34, '4th Qtr'!C34)</f>
        <v>54056.998354481999</v>
      </c>
      <c r="D34" s="29">
        <f>SUM('1st Qtr'!D34, '2nd Qtr'!D34, '3rd Qtr'!D34, '4th Qtr'!D34)</f>
        <v>78764.445999999996</v>
      </c>
      <c r="E34" s="29">
        <f t="shared" si="3"/>
        <v>-24707.447645517997</v>
      </c>
      <c r="F34" s="30">
        <f t="shared" si="1"/>
        <v>-0.31368782363451142</v>
      </c>
      <c r="G34" s="31">
        <f>SUM('1st Qtr'!G34, '2nd Qtr'!G34, '3rd Qtr'!G34, '4th Qtr'!G34)</f>
        <v>86167.379000000015</v>
      </c>
      <c r="H34" s="31">
        <f>SUM('1st Qtr'!H34, '2nd Qtr'!H34, '3rd Qtr'!H34, '4th Qtr'!H34)</f>
        <v>-32110.380645517998</v>
      </c>
      <c r="I34" s="32">
        <f t="shared" si="2"/>
        <v>-0.37265124015804163</v>
      </c>
    </row>
    <row r="35" spans="1:9" ht="15.6">
      <c r="A35" s="33" t="str">
        <v>Commerce City - Monaco ES</v>
      </c>
      <c r="B35" s="34" t="str">
        <v>CO</v>
      </c>
      <c r="C35" s="35">
        <f>SUM('1st Qtr'!C35, '2nd Qtr'!C35, '3rd Qtr'!C35, '4th Qtr'!C35)</f>
        <v>79422</v>
      </c>
      <c r="D35" s="35">
        <f>SUM('1st Qtr'!D35, '2nd Qtr'!D35, '3rd Qtr'!D35, '4th Qtr'!D35)</f>
        <v>81520.63</v>
      </c>
      <c r="E35" s="36">
        <f t="shared" si="3"/>
        <v>-2098.6300000000047</v>
      </c>
      <c r="F35" s="37">
        <f t="shared" si="1"/>
        <v>-2.5743544916176489E-2</v>
      </c>
      <c r="G35" s="38">
        <f>SUM('1st Qtr'!G35, '2nd Qtr'!G35, '3rd Qtr'!G35, '4th Qtr'!G35)</f>
        <v>88799.956000000006</v>
      </c>
      <c r="H35" s="38">
        <f>SUM('1st Qtr'!H35, '2nd Qtr'!H35, '3rd Qtr'!H35, '4th Qtr'!H35)</f>
        <v>-9377.9560000000019</v>
      </c>
      <c r="I35" s="37">
        <f t="shared" si="2"/>
        <v>-0.1056076649407349</v>
      </c>
    </row>
    <row r="36" spans="1:9" ht="15.6">
      <c r="A36" s="26" t="str">
        <v>Denver - Northgate / Old Fort Logan ES</v>
      </c>
      <c r="B36" s="27" t="str">
        <v>CO</v>
      </c>
      <c r="C36" s="28">
        <f>SUM('1st Qtr'!C36, '2nd Qtr'!C36, '3rd Qtr'!C36, '4th Qtr'!C36)</f>
        <v>80764</v>
      </c>
      <c r="D36" s="29">
        <f>SUM('1st Qtr'!D36, '2nd Qtr'!D36, '3rd Qtr'!D36, '4th Qtr'!D36)</f>
        <v>70709.326000000001</v>
      </c>
      <c r="E36" s="29">
        <f t="shared" si="3"/>
        <v>10054.673999999999</v>
      </c>
      <c r="F36" s="30">
        <f t="shared" si="1"/>
        <v>0.14219728243485164</v>
      </c>
      <c r="G36" s="31">
        <f>SUM('1st Qtr'!G36, '2nd Qtr'!G36, '3rd Qtr'!G36, '4th Qtr'!G36)</f>
        <v>84552.703999999998</v>
      </c>
      <c r="H36" s="31">
        <f>SUM('1st Qtr'!H36, '2nd Qtr'!H36, '3rd Qtr'!H36, '4th Qtr'!H36)</f>
        <v>-3788.7040000000015</v>
      </c>
      <c r="I36" s="32">
        <f t="shared" si="2"/>
        <v>-4.4808785772244515E-2</v>
      </c>
    </row>
    <row r="37" spans="1:9" ht="15.6">
      <c r="A37" s="33" t="str">
        <v>Denver - Sheridan High School</v>
      </c>
      <c r="B37" s="34" t="str">
        <v>CO</v>
      </c>
      <c r="C37" s="35">
        <f>SUM('1st Qtr'!C37, '2nd Qtr'!C37, '3rd Qtr'!C37, '4th Qtr'!C37)</f>
        <v>93099</v>
      </c>
      <c r="D37" s="35">
        <f>SUM('1st Qtr'!D37, '2nd Qtr'!D37, '3rd Qtr'!D37, '4th Qtr'!D37)</f>
        <v>81626.012000000002</v>
      </c>
      <c r="E37" s="36">
        <f t="shared" si="3"/>
        <v>11472.987999999998</v>
      </c>
      <c r="F37" s="37">
        <f t="shared" si="1"/>
        <v>0.14055553761465153</v>
      </c>
      <c r="G37" s="38">
        <f>SUM('1st Qtr'!G37, '2nd Qtr'!G37, '3rd Qtr'!G37, '4th Qtr'!G37)</f>
        <v>85436.513999999996</v>
      </c>
      <c r="H37" s="38">
        <f>SUM('1st Qtr'!H37, '2nd Qtr'!H37, '3rd Qtr'!H37, '4th Qtr'!H37)</f>
        <v>7662.4860000000008</v>
      </c>
      <c r="I37" s="37">
        <f t="shared" si="2"/>
        <v>8.9686313746368457E-2</v>
      </c>
    </row>
    <row r="38" spans="1:9" ht="15.6">
      <c r="A38" s="26" t="str">
        <v>Englewood -  Alice Terry Elementary</v>
      </c>
      <c r="B38" s="27" t="str">
        <v>CO</v>
      </c>
      <c r="C38" s="28">
        <f>SUM('1st Qtr'!C38, '2nd Qtr'!C38, '3rd Qtr'!C38, '4th Qtr'!C38)</f>
        <v>89502</v>
      </c>
      <c r="D38" s="29">
        <f>SUM('1st Qtr'!D38, '2nd Qtr'!D38, '3rd Qtr'!D38, '4th Qtr'!D38)</f>
        <v>81628.722999999998</v>
      </c>
      <c r="E38" s="29">
        <f t="shared" si="3"/>
        <v>7873.2770000000019</v>
      </c>
      <c r="F38" s="30">
        <f t="shared" si="1"/>
        <v>9.6452286776555374E-2</v>
      </c>
      <c r="G38" s="31">
        <f>SUM('1st Qtr'!G38, '2nd Qtr'!G38, '3rd Qtr'!G38, '4th Qtr'!G38)</f>
        <v>85790.706000000006</v>
      </c>
      <c r="H38" s="31">
        <f>SUM('1st Qtr'!H38, '2nd Qtr'!H38, '3rd Qtr'!H38, '4th Qtr'!H38)</f>
        <v>3711.2939999999999</v>
      </c>
      <c r="I38" s="32">
        <f t="shared" si="2"/>
        <v>4.325986080590128E-2</v>
      </c>
    </row>
    <row r="39" spans="1:9" ht="15.6">
      <c r="A39" s="33" t="str">
        <v>Englewood - Sheridan Middle School</v>
      </c>
      <c r="B39" s="34" t="str">
        <v>CO</v>
      </c>
      <c r="C39" s="35">
        <f>SUM('1st Qtr'!C39, '2nd Qtr'!C39, '3rd Qtr'!C39, '4th Qtr'!C39)</f>
        <v>44857</v>
      </c>
      <c r="D39" s="35">
        <f>SUM('1st Qtr'!D39, '2nd Qtr'!D39, '3rd Qtr'!D39, '4th Qtr'!D39)</f>
        <v>46696.506999999998</v>
      </c>
      <c r="E39" s="36">
        <f t="shared" si="3"/>
        <v>-1839.5069999999978</v>
      </c>
      <c r="F39" s="37">
        <f t="shared" si="1"/>
        <v>-3.9392817968161901E-2</v>
      </c>
      <c r="G39" s="38">
        <f>SUM('1st Qtr'!G39, '2nd Qtr'!G39, '3rd Qtr'!G39, '4th Qtr'!G39)</f>
        <v>50227.26</v>
      </c>
      <c r="H39" s="38">
        <f>SUM('1st Qtr'!H39, '2nd Qtr'!H39, '3rd Qtr'!H39, '4th Qtr'!H39)</f>
        <v>-5370.2600000000011</v>
      </c>
      <c r="I39" s="37">
        <f t="shared" si="2"/>
        <v>-0.10691923071256526</v>
      </c>
    </row>
    <row r="40" spans="1:9" ht="15.6">
      <c r="A40" s="26" t="str">
        <v>Goshen - NIPSCO</v>
      </c>
      <c r="B40" s="27" t="str">
        <v>IN</v>
      </c>
      <c r="C40" s="28">
        <f>SUM('1st Qtr'!C40, '2nd Qtr'!C40, '3rd Qtr'!C40, '4th Qtr'!C40)</f>
        <v>315359</v>
      </c>
      <c r="D40" s="29">
        <f>SUM('1st Qtr'!D40, '2nd Qtr'!D40, '3rd Qtr'!D40, '4th Qtr'!D40)</f>
        <v>328413.09000000003</v>
      </c>
      <c r="E40" s="29">
        <f t="shared" si="3"/>
        <v>-13054.090000000026</v>
      </c>
      <c r="F40" s="30">
        <f t="shared" si="1"/>
        <v>-3.9748994170725728E-2</v>
      </c>
      <c r="G40" s="31">
        <f>SUM('1st Qtr'!G40, '2nd Qtr'!G40, '3rd Qtr'!G40, '4th Qtr'!G40)</f>
        <v>395310.92000000004</v>
      </c>
      <c r="H40" s="31">
        <f>SUM('1st Qtr'!H40, '2nd Qtr'!H40, '3rd Qtr'!H40, '4th Qtr'!H40)</f>
        <v>-79951.92</v>
      </c>
      <c r="I40" s="32">
        <f t="shared" si="2"/>
        <v>-0.20225072456890386</v>
      </c>
    </row>
    <row r="41" spans="1:9" ht="15.6">
      <c r="A41" s="33" t="str">
        <v>Alamogordo - City of Alamogordo - Effluent</v>
      </c>
      <c r="B41" s="34" t="str">
        <v>NM</v>
      </c>
      <c r="C41" s="35">
        <f>SUM('1st Qtr'!C41, '2nd Qtr'!C41, '3rd Qtr'!C41, '4th Qtr'!C41)</f>
        <v>165985</v>
      </c>
      <c r="D41" s="35">
        <f>SUM('1st Qtr'!D41, '2nd Qtr'!D41, '3rd Qtr'!D41, '4th Qtr'!D41)</f>
        <v>199114.82</v>
      </c>
      <c r="E41" s="36">
        <f t="shared" si="3"/>
        <v>-33129.820000000007</v>
      </c>
      <c r="F41" s="37">
        <f t="shared" si="1"/>
        <v>-0.16638550560927612</v>
      </c>
      <c r="G41" s="38">
        <f>SUM('1st Qtr'!G41, '2nd Qtr'!G41, '3rd Qtr'!G41, '4th Qtr'!G41)</f>
        <v>200196.84</v>
      </c>
      <c r="H41" s="38">
        <f>SUM('1st Qtr'!H41, '2nd Qtr'!H41, '3rd Qtr'!H41, '4th Qtr'!H41)</f>
        <v>-34211.840000000004</v>
      </c>
      <c r="I41" s="37">
        <f t="shared" si="2"/>
        <v>-0.17089100906887444</v>
      </c>
    </row>
    <row r="42" spans="1:9" ht="15.6">
      <c r="A42" s="26" t="str">
        <v>Alamogordo - City of Alamogordo - WWTP</v>
      </c>
      <c r="B42" s="27" t="str">
        <v>NM</v>
      </c>
      <c r="C42" s="28">
        <f>SUM('1st Qtr'!C42, '2nd Qtr'!C42, '3rd Qtr'!C42, '4th Qtr'!C42)</f>
        <v>510790</v>
      </c>
      <c r="D42" s="29">
        <f>SUM('1st Qtr'!D42, '2nd Qtr'!D42, '3rd Qtr'!D42, '4th Qtr'!D42)</f>
        <v>8.2374156000000004E-2</v>
      </c>
      <c r="E42" s="29">
        <f t="shared" si="3"/>
        <v>510789.91762584401</v>
      </c>
      <c r="F42" s="30">
        <f t="shared" si="1"/>
        <v>6200851.6072182152</v>
      </c>
      <c r="G42" s="31">
        <f>SUM('1st Qtr'!G42, '2nd Qtr'!G42, '3rd Qtr'!G42, '4th Qtr'!G42)</f>
        <v>849005.67</v>
      </c>
      <c r="H42" s="31">
        <f>SUM('1st Qtr'!H42, '2nd Qtr'!H42, '3rd Qtr'!H42, '4th Qtr'!H42)</f>
        <v>-338215.67</v>
      </c>
      <c r="I42" s="32">
        <f t="shared" si="2"/>
        <v>-0.3983667977152614</v>
      </c>
    </row>
    <row r="43" spans="1:9" ht="15.6">
      <c r="A43" s="33" t="str">
        <v>Deming - Bilbo Booster</v>
      </c>
      <c r="B43" s="34" t="str">
        <v>NM</v>
      </c>
      <c r="C43" s="35">
        <f>SUM('1st Qtr'!C43, '2nd Qtr'!C43, '3rd Qtr'!C43, '4th Qtr'!C43)</f>
        <v>84176</v>
      </c>
      <c r="D43" s="35">
        <f>SUM('1st Qtr'!D43, '2nd Qtr'!D43, '3rd Qtr'!D43, '4th Qtr'!D43)</f>
        <v>0</v>
      </c>
      <c r="E43" s="36">
        <f t="shared" si="3"/>
        <v>84176</v>
      </c>
      <c r="F43" s="37" t="str">
        <f t="shared" si="1"/>
        <v/>
      </c>
      <c r="G43" s="38">
        <f>SUM('1st Qtr'!G43, '2nd Qtr'!G43, '3rd Qtr'!G43, '4th Qtr'!G43)</f>
        <v>80252.565999999992</v>
      </c>
      <c r="H43" s="38">
        <f>SUM('1st Qtr'!H43, '2nd Qtr'!H43, '3rd Qtr'!H43, '4th Qtr'!H43)</f>
        <v>3923.4340000000002</v>
      </c>
      <c r="I43" s="37">
        <f t="shared" si="2"/>
        <v>4.8888580086024917E-2</v>
      </c>
    </row>
    <row r="44" spans="1:9" ht="15.6">
      <c r="A44" s="26" t="str">
        <v>Deming - Bilbo Well</v>
      </c>
      <c r="B44" s="27" t="str">
        <v>NM</v>
      </c>
      <c r="C44" s="28">
        <f>SUM('1st Qtr'!C44, '2nd Qtr'!C44, '3rd Qtr'!C44, '4th Qtr'!C44)</f>
        <v>155800</v>
      </c>
      <c r="D44" s="29">
        <f>SUM('1st Qtr'!D44, '2nd Qtr'!D44, '3rd Qtr'!D44, '4th Qtr'!D44)</f>
        <v>0</v>
      </c>
      <c r="E44" s="29">
        <f t="shared" si="3"/>
        <v>155800</v>
      </c>
      <c r="F44" s="30" t="str">
        <f t="shared" si="1"/>
        <v/>
      </c>
      <c r="G44" s="31">
        <f>SUM('1st Qtr'!G44, '2nd Qtr'!G44, '3rd Qtr'!G44, '4th Qtr'!G44)</f>
        <v>145073.1</v>
      </c>
      <c r="H44" s="31">
        <f>SUM('1st Qtr'!H44, '2nd Qtr'!H44, '3rd Qtr'!H44, '4th Qtr'!H44)</f>
        <v>10726.899999999998</v>
      </c>
      <c r="I44" s="32">
        <f t="shared" si="2"/>
        <v>7.3941344053446142E-2</v>
      </c>
    </row>
    <row r="45" spans="1:9" ht="15.6">
      <c r="A45" s="33" t="str">
        <v>Deming - WWTP</v>
      </c>
      <c r="B45" s="34" t="str">
        <v>NM</v>
      </c>
      <c r="C45" s="35">
        <f>SUM('1st Qtr'!C45, '2nd Qtr'!C45, '3rd Qtr'!C45, '4th Qtr'!C45)</f>
        <v>521736</v>
      </c>
      <c r="D45" s="35">
        <f>SUM('1st Qtr'!D45, '2nd Qtr'!D45, '3rd Qtr'!D45, '4th Qtr'!D45)</f>
        <v>505228.79</v>
      </c>
      <c r="E45" s="36">
        <f t="shared" si="3"/>
        <v>16507.210000000021</v>
      </c>
      <c r="F45" s="37">
        <f t="shared" si="1"/>
        <v>3.2672742184783297E-2</v>
      </c>
      <c r="G45" s="38">
        <f>SUM('1st Qtr'!G45, '2nd Qtr'!G45, '3rd Qtr'!G45, '4th Qtr'!G45)</f>
        <v>619770.04</v>
      </c>
      <c r="H45" s="38">
        <f>SUM('1st Qtr'!H45, '2nd Qtr'!H45, '3rd Qtr'!H45, '4th Qtr'!H45)</f>
        <v>-98034.039999999979</v>
      </c>
      <c r="I45" s="37">
        <f t="shared" si="2"/>
        <v>-0.15817808811797351</v>
      </c>
    </row>
    <row r="46" spans="1:9" ht="15.6">
      <c r="A46" s="26" t="str">
        <v>Truth or Consequences - Walmart</v>
      </c>
      <c r="B46" s="27" t="str">
        <v>NM</v>
      </c>
      <c r="C46" s="28">
        <f>SUM('1st Qtr'!C46, '2nd Qtr'!C46, '3rd Qtr'!C46, '4th Qtr'!C46)</f>
        <v>1029700</v>
      </c>
      <c r="D46" s="29">
        <f>SUM('1st Qtr'!D46, '2nd Qtr'!D46, '3rd Qtr'!D46, '4th Qtr'!D46)</f>
        <v>2228541.7999999998</v>
      </c>
      <c r="E46" s="29">
        <f t="shared" si="3"/>
        <v>-1198841.7999999998</v>
      </c>
      <c r="F46" s="30">
        <f t="shared" si="1"/>
        <v>-0.537948985296125</v>
      </c>
      <c r="G46" s="31">
        <f>SUM('1st Qtr'!G46, '2nd Qtr'!G46, '3rd Qtr'!G46, '4th Qtr'!G46)</f>
        <v>1242249.8</v>
      </c>
      <c r="H46" s="31">
        <f>SUM('1st Qtr'!H46, '2nd Qtr'!H46, '3rd Qtr'!H46, '4th Qtr'!H46)</f>
        <v>-212549.8</v>
      </c>
      <c r="I46" s="32">
        <f t="shared" si="2"/>
        <v>-0.17110069166443012</v>
      </c>
    </row>
    <row r="47" spans="1:9" ht="15.6">
      <c r="A47" s="33" t="str">
        <v>CA: Stockton - SUSD - Merlo</v>
      </c>
      <c r="B47" s="34" t="str">
        <v>CA</v>
      </c>
      <c r="C47" s="35">
        <f>SUM('1st Qtr'!C47, '2nd Qtr'!C47, '3rd Qtr'!C47, '4th Qtr'!C47)</f>
        <v>2694.8748120886739</v>
      </c>
      <c r="D47" s="35">
        <f>SUM('1st Qtr'!D47, '2nd Qtr'!D47, '3rd Qtr'!D47, '4th Qtr'!D47)</f>
        <v>54652.572</v>
      </c>
      <c r="E47" s="36">
        <f t="shared" si="3"/>
        <v>-51957.697187911326</v>
      </c>
      <c r="F47" s="37">
        <f t="shared" si="1"/>
        <v>-0.95069079617902208</v>
      </c>
      <c r="G47" s="38">
        <f>SUM('1st Qtr'!G47, '2nd Qtr'!G47, '3rd Qtr'!G47, '4th Qtr'!G47)</f>
        <v>69707.288</v>
      </c>
      <c r="H47" s="38">
        <f>SUM('1st Qtr'!H47, '2nd Qtr'!H47, '3rd Qtr'!H47, '4th Qtr'!H47)</f>
        <v>-67012.413187911327</v>
      </c>
      <c r="I47" s="37">
        <f t="shared" si="2"/>
        <v>-0.96134012827914528</v>
      </c>
    </row>
    <row r="48" spans="1:9" ht="15.6">
      <c r="A48" s="26" t="str">
        <v>Stockton Unified School Dist. - Bush Elementary</v>
      </c>
      <c r="B48" s="27" t="str">
        <v>CA</v>
      </c>
      <c r="C48" s="28">
        <f>SUM('1st Qtr'!C48, '2nd Qtr'!C48, '3rd Qtr'!C48, '4th Qtr'!C48)</f>
        <v>122569.5</v>
      </c>
      <c r="D48" s="29">
        <f>SUM('1st Qtr'!D48, '2nd Qtr'!D48, '3rd Qtr'!D48, '4th Qtr'!D48)</f>
        <v>173990.01699999999</v>
      </c>
      <c r="E48" s="29">
        <f t="shared" si="3"/>
        <v>-51420.516999999993</v>
      </c>
      <c r="F48" s="30">
        <f t="shared" si="1"/>
        <v>-0.29553716866410784</v>
      </c>
      <c r="G48" s="31">
        <f>SUM('1st Qtr'!G48, '2nd Qtr'!G48, '3rd Qtr'!G48, '4th Qtr'!G48)</f>
        <v>184470.29100000003</v>
      </c>
      <c r="H48" s="31">
        <f>SUM('1st Qtr'!H48, '2nd Qtr'!H48, '3rd Qtr'!H48, '4th Qtr'!H48)</f>
        <v>-61900.790999999997</v>
      </c>
      <c r="I48" s="32">
        <f t="shared" si="2"/>
        <v>-0.33555967556857158</v>
      </c>
    </row>
    <row r="49" spans="1:9" ht="15.6">
      <c r="A49" s="33" t="str">
        <v>CA: Stockton - SUSD - Marshall JHS</v>
      </c>
      <c r="B49" s="34" t="str">
        <v>CA</v>
      </c>
      <c r="C49" s="35">
        <f>SUM('1st Qtr'!C49, '2nd Qtr'!C49, '3rd Qtr'!C49, '4th Qtr'!C49)</f>
        <v>33460.75</v>
      </c>
      <c r="D49" s="35">
        <f>SUM('1st Qtr'!D49, '2nd Qtr'!D49, '3rd Qtr'!D49, '4th Qtr'!D49)</f>
        <v>112386.42600000001</v>
      </c>
      <c r="E49" s="36">
        <f t="shared" si="3"/>
        <v>-78925.676000000007</v>
      </c>
      <c r="F49" s="37">
        <f t="shared" si="1"/>
        <v>-0.70227053932651973</v>
      </c>
      <c r="G49" s="38">
        <f>SUM('1st Qtr'!G49, '2nd Qtr'!G49, '3rd Qtr'!G49, '4th Qtr'!G49)</f>
        <v>121995.988</v>
      </c>
      <c r="H49" s="38">
        <f>SUM('1st Qtr'!H49, '2nd Qtr'!H49, '3rd Qtr'!H49, '4th Qtr'!H49)</f>
        <v>-88535.237999999998</v>
      </c>
      <c r="I49" s="37">
        <f t="shared" si="2"/>
        <v>-0.72572253769525596</v>
      </c>
    </row>
    <row r="50" spans="1:9" ht="15.6">
      <c r="A50" s="26" t="str">
        <v>CA: Stockton - SUSD - Hong-Kingston ES</v>
      </c>
      <c r="B50" s="27" t="str">
        <v>CA</v>
      </c>
      <c r="C50" s="28">
        <f>SUM('1st Qtr'!C50, '2nd Qtr'!C50, '3rd Qtr'!C50, '4th Qtr'!C50)</f>
        <v>39986.75</v>
      </c>
      <c r="D50" s="29">
        <f>SUM('1st Qtr'!D50, '2nd Qtr'!D50, '3rd Qtr'!D50, '4th Qtr'!D50)</f>
        <v>190167.19</v>
      </c>
      <c r="E50" s="29">
        <f t="shared" si="3"/>
        <v>-150180.44</v>
      </c>
      <c r="F50" s="30">
        <f t="shared" si="1"/>
        <v>-0.78972844895063132</v>
      </c>
      <c r="G50" s="31">
        <f>SUM('1st Qtr'!G50, '2nd Qtr'!G50, '3rd Qtr'!G50, '4th Qtr'!G50)</f>
        <v>198604.2</v>
      </c>
      <c r="H50" s="31">
        <f>SUM('1st Qtr'!H50, '2nd Qtr'!H50, '3rd Qtr'!H50, '4th Qtr'!H50)</f>
        <v>-158617.45000000001</v>
      </c>
      <c r="I50" s="32">
        <f t="shared" si="2"/>
        <v>-0.79866110585778149</v>
      </c>
    </row>
    <row r="51" spans="1:9" ht="15.6">
      <c r="A51" s="33" t="str">
        <v>CA: Stockton - SUSD - Hamilton ES</v>
      </c>
      <c r="B51" s="34" t="str">
        <v>CA</v>
      </c>
      <c r="C51" s="35">
        <f>SUM('1st Qtr'!C51, '2nd Qtr'!C51, '3rd Qtr'!C51, '4th Qtr'!C51)</f>
        <v>30280.5</v>
      </c>
      <c r="D51" s="35">
        <f>SUM('1st Qtr'!D51, '2nd Qtr'!D51, '3rd Qtr'!D51, '4th Qtr'!D51)</f>
        <v>97822.215999999986</v>
      </c>
      <c r="E51" s="36">
        <f t="shared" si="3"/>
        <v>-67541.715999999986</v>
      </c>
      <c r="F51" s="37">
        <f t="shared" si="1"/>
        <v>-0.69045375132372788</v>
      </c>
      <c r="G51" s="38">
        <f>SUM('1st Qtr'!G51, '2nd Qtr'!G51, '3rd Qtr'!G51, '4th Qtr'!G51)</f>
        <v>105879.75</v>
      </c>
      <c r="H51" s="38">
        <f>SUM('1st Qtr'!H51, '2nd Qtr'!H51, '3rd Qtr'!H51, '4th Qtr'!H51)</f>
        <v>-75599.25</v>
      </c>
      <c r="I51" s="37">
        <f t="shared" si="2"/>
        <v>-0.71401046942404001</v>
      </c>
    </row>
    <row r="52" spans="1:9" ht="15.6">
      <c r="A52" s="26" t="str">
        <v>CA: Stockton - SUSD - Franklin - North</v>
      </c>
      <c r="B52" s="27" t="str">
        <v>CA</v>
      </c>
      <c r="C52" s="28">
        <f>SUM('1st Qtr'!C52, '2nd Qtr'!C52, '3rd Qtr'!C52, '4th Qtr'!C52)</f>
        <v>136078.7499999991</v>
      </c>
      <c r="D52" s="29">
        <f>SUM('1st Qtr'!D52, '2nd Qtr'!D52, '3rd Qtr'!D52, '4th Qtr'!D52)</f>
        <v>488943.54999999993</v>
      </c>
      <c r="E52" s="29">
        <f t="shared" si="3"/>
        <v>-352864.80000000086</v>
      </c>
      <c r="F52" s="30">
        <f t="shared" si="1"/>
        <v>-0.72168821942737749</v>
      </c>
      <c r="G52" s="31">
        <f>SUM('1st Qtr'!G52, '2nd Qtr'!G52, '3rd Qtr'!G52, '4th Qtr'!G52)</f>
        <v>280037.83</v>
      </c>
      <c r="H52" s="31">
        <f>SUM('1st Qtr'!H52, '2nd Qtr'!H52, '3rd Qtr'!H52, '4th Qtr'!H52)</f>
        <v>-143959.08000000089</v>
      </c>
      <c r="I52" s="32">
        <f t="shared" si="2"/>
        <v>-0.51407011688385418</v>
      </c>
    </row>
    <row r="53" spans="1:9" ht="15.6">
      <c r="A53" s="33" t="str">
        <v>Stockton Unified School Dist. - Fillmore Elementary</v>
      </c>
      <c r="B53" s="34" t="str">
        <v>CA</v>
      </c>
      <c r="C53" s="35">
        <f>SUM('1st Qtr'!C53, '2nd Qtr'!C53, '3rd Qtr'!C53, '4th Qtr'!C53)</f>
        <v>21748.25</v>
      </c>
      <c r="D53" s="35">
        <f>SUM('1st Qtr'!D53, '2nd Qtr'!D53, '3rd Qtr'!D53, '4th Qtr'!D53)</f>
        <v>80658.58600000001</v>
      </c>
      <c r="E53" s="36">
        <f t="shared" si="3"/>
        <v>-58910.33600000001</v>
      </c>
      <c r="F53" s="37">
        <f t="shared" si="1"/>
        <v>-0.7303665849039308</v>
      </c>
      <c r="G53" s="38">
        <f>SUM('1st Qtr'!G53, '2nd Qtr'!G53, '3rd Qtr'!G53, '4th Qtr'!G53)</f>
        <v>86340.76999999999</v>
      </c>
      <c r="H53" s="38">
        <f>SUM('1st Qtr'!H53, '2nd Qtr'!H53, '3rd Qtr'!H53, '4th Qtr'!H53)</f>
        <v>-64592.52</v>
      </c>
      <c r="I53" s="37">
        <f t="shared" si="2"/>
        <v>-0.74811146576524634</v>
      </c>
    </row>
    <row r="54" spans="1:9" ht="15.6">
      <c r="A54" s="26" t="str">
        <v>CA: Stockton - SUSD - El Dorado ES</v>
      </c>
      <c r="B54" s="27" t="str">
        <v>CA</v>
      </c>
      <c r="C54" s="28">
        <f>SUM('1st Qtr'!C54, '2nd Qtr'!C54, '3rd Qtr'!C54, '4th Qtr'!C54)</f>
        <v>25808.125</v>
      </c>
      <c r="D54" s="29">
        <f>SUM('1st Qtr'!D54, '2nd Qtr'!D54, '3rd Qtr'!D54, '4th Qtr'!D54)</f>
        <v>104010.137</v>
      </c>
      <c r="E54" s="29">
        <f t="shared" si="3"/>
        <v>-78202.012000000002</v>
      </c>
      <c r="F54" s="30">
        <f t="shared" si="1"/>
        <v>-0.7518691375245472</v>
      </c>
      <c r="G54" s="31">
        <f>SUM('1st Qtr'!G54, '2nd Qtr'!G54, '3rd Qtr'!G54, '4th Qtr'!G54)</f>
        <v>0</v>
      </c>
      <c r="H54" s="31">
        <f>SUM('1st Qtr'!H54, '2nd Qtr'!H54, '3rd Qtr'!H54, '4th Qtr'!H54)</f>
        <v>25808.125</v>
      </c>
      <c r="I54" s="32" t="str">
        <f t="shared" si="2"/>
        <v/>
      </c>
    </row>
    <row r="55" spans="1:9" ht="15.6">
      <c r="A55" s="33" t="str">
        <v>CA: Stockton - SUSD - Edison HS</v>
      </c>
      <c r="B55" s="34" t="str">
        <v>CA</v>
      </c>
      <c r="C55" s="35">
        <f>SUM('1st Qtr'!C55, '2nd Qtr'!C55, '3rd Qtr'!C55, '4th Qtr'!C55)</f>
        <v>177166.5</v>
      </c>
      <c r="D55" s="35">
        <f>SUM('1st Qtr'!D55, '2nd Qtr'!D55, '3rd Qtr'!D55, '4th Qtr'!D55)</f>
        <v>267100.58999999997</v>
      </c>
      <c r="E55" s="36">
        <f t="shared" si="3"/>
        <v>-89934.089999999967</v>
      </c>
      <c r="F55" s="37">
        <f t="shared" si="1"/>
        <v>-0.33670494700142733</v>
      </c>
      <c r="G55" s="38">
        <f>SUM('1st Qtr'!G55, '2nd Qtr'!G55, '3rd Qtr'!G55, '4th Qtr'!G55)</f>
        <v>291882.74</v>
      </c>
      <c r="H55" s="38">
        <f>SUM('1st Qtr'!H55, '2nd Qtr'!H55, '3rd Qtr'!H55, '4th Qtr'!H55)</f>
        <v>-114716.24000000002</v>
      </c>
      <c r="I55" s="37">
        <f t="shared" si="2"/>
        <v>-0.39302166342552503</v>
      </c>
    </row>
    <row r="56" spans="1:9" ht="15.6">
      <c r="A56" s="26" t="str">
        <v>CA: Stockton - SUSD - Chavez HS - Large</v>
      </c>
      <c r="B56" s="27" t="str">
        <v>CA</v>
      </c>
      <c r="C56" s="28">
        <f>SUM('1st Qtr'!C56, '2nd Qtr'!C56, '3rd Qtr'!C56, '4th Qtr'!C56)</f>
        <v>186681</v>
      </c>
      <c r="D56" s="29">
        <f>SUM('1st Qtr'!D56, '2nd Qtr'!D56, '3rd Qtr'!D56, '4th Qtr'!D56)</f>
        <v>608138.36</v>
      </c>
      <c r="E56" s="29">
        <f t="shared" si="3"/>
        <v>-421457.36</v>
      </c>
      <c r="F56" s="30">
        <f t="shared" si="1"/>
        <v>-0.69302873773659002</v>
      </c>
      <c r="G56" s="31">
        <f>SUM('1st Qtr'!G56, '2nd Qtr'!G56, '3rd Qtr'!G56, '4th Qtr'!G56)</f>
        <v>605873.26</v>
      </c>
      <c r="H56" s="31">
        <f>SUM('1st Qtr'!H56, '2nd Qtr'!H56, '3rd Qtr'!H56, '4th Qtr'!H56)</f>
        <v>-419192.26</v>
      </c>
      <c r="I56" s="32">
        <f t="shared" si="2"/>
        <v>-0.69188110397874303</v>
      </c>
    </row>
    <row r="57" spans="1:9" ht="15.6">
      <c r="A57" s="33" t="str">
        <v>CA: San Jose - GE Mobile Water</v>
      </c>
      <c r="B57" s="34" t="str">
        <v>CA</v>
      </c>
      <c r="C57" s="35">
        <f>SUM('1st Qtr'!C57, '2nd Qtr'!C57, '3rd Qtr'!C57, '4th Qtr'!C57)</f>
        <v>143068</v>
      </c>
      <c r="D57" s="35">
        <f>SUM('1st Qtr'!D57, '2nd Qtr'!D57, '3rd Qtr'!D57, '4th Qtr'!D57)</f>
        <v>159452.41999999998</v>
      </c>
      <c r="E57" s="36">
        <f t="shared" si="3"/>
        <v>-16384.419999999984</v>
      </c>
      <c r="F57" s="37">
        <f t="shared" si="1"/>
        <v>-0.10275428870881975</v>
      </c>
      <c r="G57" s="38">
        <f>SUM('1st Qtr'!G57, '2nd Qtr'!G57, '3rd Qtr'!G57, '4th Qtr'!G57)</f>
        <v>162715.85999999999</v>
      </c>
      <c r="H57" s="38">
        <f>SUM('1st Qtr'!H57, '2nd Qtr'!H57, '3rd Qtr'!H57, '4th Qtr'!H57)</f>
        <v>-19647.86</v>
      </c>
      <c r="I57" s="37">
        <f t="shared" si="2"/>
        <v>-0.1207495077615667</v>
      </c>
    </row>
    <row r="58" spans="1:9" ht="15.6">
      <c r="A58" s="26" t="str">
        <v>CA: San Marcos - Vallecitos Water - Lift Station</v>
      </c>
      <c r="B58" s="27" t="str">
        <v>CA</v>
      </c>
      <c r="C58" s="28">
        <f>SUM('1st Qtr'!C58, '2nd Qtr'!C58, '3rd Qtr'!C58, '4th Qtr'!C58)</f>
        <v>199900.75</v>
      </c>
      <c r="D58" s="29">
        <f>SUM('1st Qtr'!D58, '2nd Qtr'!D58, '3rd Qtr'!D58, '4th Qtr'!D58)</f>
        <v>206406.34999999998</v>
      </c>
      <c r="E58" s="29">
        <f t="shared" si="3"/>
        <v>-6505.5999999999767</v>
      </c>
      <c r="F58" s="30">
        <f t="shared" si="1"/>
        <v>-3.1518410165191031E-2</v>
      </c>
      <c r="G58" s="31">
        <f>SUM('1st Qtr'!G58, '2nd Qtr'!G58, '3rd Qtr'!G58, '4th Qtr'!G58)</f>
        <v>205700.01</v>
      </c>
      <c r="H58" s="31">
        <f>SUM('1st Qtr'!H58, '2nd Qtr'!H58, '3rd Qtr'!H58, '4th Qtr'!H58)</f>
        <v>-5799.2600000000057</v>
      </c>
      <c r="I58" s="32">
        <f t="shared" si="2"/>
        <v>-2.8192803685327995E-2</v>
      </c>
    </row>
    <row r="59" spans="1:9" ht="15.6">
      <c r="A59" s="33" t="str">
        <v>CA: San Marcos - Vallecitos Water - Twin Oaks Reservoir</v>
      </c>
      <c r="B59" s="34" t="str">
        <v>CA</v>
      </c>
      <c r="C59" s="35">
        <f>SUM('1st Qtr'!C59, '2nd Qtr'!C59, '3rd Qtr'!C59, '4th Qtr'!C59)</f>
        <v>1583161.9999999981</v>
      </c>
      <c r="D59" s="35">
        <f>SUM('1st Qtr'!D59, '2nd Qtr'!D59, '3rd Qtr'!D59, '4th Qtr'!D59)</f>
        <v>1834706.5999999999</v>
      </c>
      <c r="E59" s="36">
        <f t="shared" si="3"/>
        <v>-251544.60000000172</v>
      </c>
      <c r="F59" s="37">
        <f t="shared" si="1"/>
        <v>-0.13710344749400352</v>
      </c>
      <c r="G59" s="38">
        <f>SUM('1st Qtr'!G59, '2nd Qtr'!G59, '3rd Qtr'!G59, '4th Qtr'!G59)</f>
        <v>1362132</v>
      </c>
      <c r="H59" s="38">
        <f>SUM('1st Qtr'!H59, '2nd Qtr'!H59, '3rd Qtr'!H59, '4th Qtr'!H59)</f>
        <v>221029.99999999802</v>
      </c>
      <c r="I59" s="37">
        <f t="shared" si="2"/>
        <v>0.16226768037165121</v>
      </c>
    </row>
    <row r="60" spans="1:9" ht="15.6">
      <c r="A60" s="26" t="str">
        <v>CA: Stockton - SUSD - Wilhelmina Henry ES</v>
      </c>
      <c r="B60" s="27" t="str">
        <v>CA</v>
      </c>
      <c r="C60" s="28">
        <f>SUM('1st Qtr'!C60, '2nd Qtr'!C60, '3rd Qtr'!C60, '4th Qtr'!C60)</f>
        <v>39334.75</v>
      </c>
      <c r="D60" s="29">
        <f>SUM('1st Qtr'!D60, '2nd Qtr'!D60, '3rd Qtr'!D60, '4th Qtr'!D60)</f>
        <v>233169.62</v>
      </c>
      <c r="E60" s="29">
        <f t="shared" si="3"/>
        <v>-193834.87</v>
      </c>
      <c r="F60" s="30">
        <f t="shared" si="1"/>
        <v>-0.83130413816345372</v>
      </c>
      <c r="G60" s="31">
        <f>SUM('1st Qtr'!G60, '2nd Qtr'!G60, '3rd Qtr'!G60, '4th Qtr'!G60)</f>
        <v>195445.19</v>
      </c>
      <c r="H60" s="31">
        <f>SUM('1st Qtr'!H60, '2nd Qtr'!H60, '3rd Qtr'!H60, '4th Qtr'!H60)</f>
        <v>-156110.44</v>
      </c>
      <c r="I60" s="32">
        <f t="shared" si="2"/>
        <v>-0.79874280866159975</v>
      </c>
    </row>
    <row r="61" spans="1:9" ht="15.6">
      <c r="A61" s="33" t="str">
        <v>Stockton Unified School Dist. - Franklin (North)</v>
      </c>
      <c r="B61" s="34" t="str">
        <v>CA</v>
      </c>
      <c r="C61" s="35">
        <f>SUM('1st Qtr'!C61, '2nd Qtr'!C61, '3rd Qtr'!C61, '4th Qtr'!C61)</f>
        <v>112480.9</v>
      </c>
      <c r="D61" s="35">
        <f>SUM('1st Qtr'!D61, '2nd Qtr'!D61, '3rd Qtr'!D61, '4th Qtr'!D61)</f>
        <v>387502.24000000005</v>
      </c>
      <c r="E61" s="36">
        <f t="shared" si="3"/>
        <v>-275021.34000000008</v>
      </c>
      <c r="F61" s="37">
        <f t="shared" si="1"/>
        <v>-0.70972838763461099</v>
      </c>
      <c r="G61" s="38">
        <f>SUM('1st Qtr'!G61, '2nd Qtr'!G61, '3rd Qtr'!G61, '4th Qtr'!G61)</f>
        <v>222450.16999999998</v>
      </c>
      <c r="H61" s="38">
        <f>SUM('1st Qtr'!H61, '2nd Qtr'!H61, '3rd Qtr'!H61, '4th Qtr'!H61)</f>
        <v>-109969.27</v>
      </c>
      <c r="I61" s="37">
        <f t="shared" si="2"/>
        <v>-0.49435462332980018</v>
      </c>
    </row>
    <row r="62" spans="1:9" ht="15.6">
      <c r="A62" s="26" t="str">
        <v>CA: Stockton - SUSD - Franklin - South</v>
      </c>
      <c r="B62" s="27" t="str">
        <v>CA</v>
      </c>
      <c r="C62" s="28">
        <f>SUM('1st Qtr'!C62, '2nd Qtr'!C62, '3rd Qtr'!C62, '4th Qtr'!C62)</f>
        <v>183660.25</v>
      </c>
      <c r="D62" s="29">
        <f>SUM('1st Qtr'!D62, '2nd Qtr'!D62, '3rd Qtr'!D62, '4th Qtr'!D62)</f>
        <v>445756.65</v>
      </c>
      <c r="E62" s="29">
        <f t="shared" si="3"/>
        <v>-262096.40000000002</v>
      </c>
      <c r="F62" s="30">
        <f t="shared" si="1"/>
        <v>-0.58798090841718231</v>
      </c>
      <c r="G62" s="31">
        <f>SUM('1st Qtr'!G62, '2nd Qtr'!G62, '3rd Qtr'!G62, '4th Qtr'!G62)</f>
        <v>454268.59000000008</v>
      </c>
      <c r="H62" s="31">
        <f>SUM('1st Qtr'!H62, '2nd Qtr'!H62, '3rd Qtr'!H62, '4th Qtr'!H62)</f>
        <v>-270608.33999999997</v>
      </c>
      <c r="I62" s="32">
        <f t="shared" si="2"/>
        <v>-0.59570119078671036</v>
      </c>
    </row>
    <row r="63" spans="1:9" ht="15.6">
      <c r="A63" s="33" t="str">
        <v>CA: Stockton - SUSD - Chavez HS - Small</v>
      </c>
      <c r="B63" s="34" t="str">
        <v>CA</v>
      </c>
      <c r="C63" s="35">
        <f>SUM('1st Qtr'!C63, '2nd Qtr'!C63, '3rd Qtr'!C63, '4th Qtr'!C63)</f>
        <v>115410.5</v>
      </c>
      <c r="D63" s="35">
        <f>SUM('1st Qtr'!D63, '2nd Qtr'!D63, '3rd Qtr'!D63, '4th Qtr'!D63)</f>
        <v>118847.963</v>
      </c>
      <c r="E63" s="36">
        <f t="shared" si="3"/>
        <v>-3437.4630000000034</v>
      </c>
      <c r="F63" s="37">
        <f t="shared" si="1"/>
        <v>-2.8923196605397463E-2</v>
      </c>
      <c r="G63" s="38">
        <f>SUM('1st Qtr'!G63, '2nd Qtr'!G63, '3rd Qtr'!G63, '4th Qtr'!G63)</f>
        <v>171113.07</v>
      </c>
      <c r="H63" s="38">
        <f>SUM('1st Qtr'!H63, '2nd Qtr'!H63, '3rd Qtr'!H63, '4th Qtr'!H63)</f>
        <v>-55702.57</v>
      </c>
      <c r="I63" s="37">
        <f t="shared" si="2"/>
        <v>-0.32553077330679647</v>
      </c>
    </row>
    <row r="64" spans="1:9" ht="15.6">
      <c r="A64" s="26" t="str">
        <v>CA: Stockton - SUSD - Facilities</v>
      </c>
      <c r="B64" s="27" t="str">
        <v>CA</v>
      </c>
      <c r="C64" s="28">
        <f>SUM('1st Qtr'!C64, '2nd Qtr'!C64, '3rd Qtr'!C64, '4th Qtr'!C64)</f>
        <v>94006</v>
      </c>
      <c r="D64" s="29">
        <f>SUM('1st Qtr'!D64, '2nd Qtr'!D64, '3rd Qtr'!D64, '4th Qtr'!D64)</f>
        <v>256001.81</v>
      </c>
      <c r="E64" s="29">
        <f t="shared" si="3"/>
        <v>-161995.81</v>
      </c>
      <c r="F64" s="30">
        <f t="shared" si="1"/>
        <v>-0.63279165877772503</v>
      </c>
      <c r="G64" s="31">
        <f>SUM('1st Qtr'!G64, '2nd Qtr'!G64, '3rd Qtr'!G64, '4th Qtr'!G64)</f>
        <v>293384.67000000004</v>
      </c>
      <c r="H64" s="31">
        <f>SUM('1st Qtr'!H64, '2nd Qtr'!H64, '3rd Qtr'!H64, '4th Qtr'!H64)</f>
        <v>-199378.67</v>
      </c>
      <c r="I64" s="32">
        <f t="shared" si="2"/>
        <v>-0.67958107695265735</v>
      </c>
    </row>
    <row r="65" spans="1:9" ht="15.6">
      <c r="A65" s="33" t="str">
        <v>CA: Stockton - SUSD - Harrison</v>
      </c>
      <c r="B65" s="34" t="str">
        <v>CA</v>
      </c>
      <c r="C65" s="35">
        <f>SUM('1st Qtr'!C65, '2nd Qtr'!C65, '3rd Qtr'!C65, '4th Qtr'!C65)</f>
        <v>67338.375</v>
      </c>
      <c r="D65" s="35">
        <f>SUM('1st Qtr'!D65, '2nd Qtr'!D65, '3rd Qtr'!D65, '4th Qtr'!D65)</f>
        <v>101103.23300000001</v>
      </c>
      <c r="E65" s="36">
        <f t="shared" si="3"/>
        <v>-33764.858000000007</v>
      </c>
      <c r="F65" s="37">
        <f t="shared" si="1"/>
        <v>-0.33396417699125414</v>
      </c>
      <c r="G65" s="38">
        <f>SUM('1st Qtr'!G65, '2nd Qtr'!G65, '3rd Qtr'!G65, '4th Qtr'!G65)</f>
        <v>104581.76700000001</v>
      </c>
      <c r="H65" s="38">
        <f>SUM('1st Qtr'!H65, '2nd Qtr'!H65, '3rd Qtr'!H65, '4th Qtr'!H65)</f>
        <v>-37243.392000000007</v>
      </c>
      <c r="I65" s="37">
        <f t="shared" si="2"/>
        <v>-0.35611744827375125</v>
      </c>
    </row>
    <row r="66" spans="1:9" ht="15.6">
      <c r="A66" s="26" t="str">
        <v>CA: Stockton - SUSD - Commodore Skills School</v>
      </c>
      <c r="B66" s="27" t="str">
        <v>CA</v>
      </c>
      <c r="C66" s="28">
        <f>SUM('1st Qtr'!C66, '2nd Qtr'!C66, '3rd Qtr'!C66, '4th Qtr'!C66)</f>
        <v>37639</v>
      </c>
      <c r="D66" s="29">
        <f>SUM('1st Qtr'!D66, '2nd Qtr'!D66, '3rd Qtr'!D66, '4th Qtr'!D66)</f>
        <v>205133.56</v>
      </c>
      <c r="E66" s="29">
        <f t="shared" si="3"/>
        <v>-167494.56</v>
      </c>
      <c r="F66" s="30">
        <f t="shared" si="1"/>
        <v>-0.81651466488467317</v>
      </c>
      <c r="G66" s="31">
        <f>SUM('1st Qtr'!G66, '2nd Qtr'!G66, '3rd Qtr'!G66, '4th Qtr'!G66)</f>
        <v>229379.92</v>
      </c>
      <c r="H66" s="31">
        <f>SUM('1st Qtr'!H66, '2nd Qtr'!H66, '3rd Qtr'!H66, '4th Qtr'!H66)</f>
        <v>-191740.92</v>
      </c>
      <c r="I66" s="32">
        <f t="shared" si="2"/>
        <v>-0.83590978669798122</v>
      </c>
    </row>
    <row r="67" spans="1:9" ht="15.6">
      <c r="A67" s="33" t="str">
        <v>CA: Stockton - SUSD - Nightingale ES</v>
      </c>
      <c r="B67" s="34" t="str">
        <v>CA</v>
      </c>
      <c r="C67" s="35">
        <f>SUM('1st Qtr'!C67, '2nd Qtr'!C67, '3rd Qtr'!C67, '4th Qtr'!C67)</f>
        <v>89790</v>
      </c>
      <c r="D67" s="35">
        <f>SUM('1st Qtr'!D67, '2nd Qtr'!D67, '3rd Qtr'!D67, '4th Qtr'!D67)</f>
        <v>100436.579</v>
      </c>
      <c r="E67" s="36">
        <f t="shared" si="3"/>
        <v>-10646.578999999998</v>
      </c>
      <c r="F67" s="37">
        <f t="shared" si="1"/>
        <v>-0.10600300314888263</v>
      </c>
      <c r="G67" s="38">
        <f>SUM('1st Qtr'!G67, '2nd Qtr'!G67, '3rd Qtr'!G67, '4th Qtr'!G67)</f>
        <v>106243.678</v>
      </c>
      <c r="H67" s="38">
        <f>SUM('1st Qtr'!H67, '2nd Qtr'!H67, '3rd Qtr'!H67, '4th Qtr'!H67)</f>
        <v>-16453.678</v>
      </c>
      <c r="I67" s="37">
        <f t="shared" si="2"/>
        <v>-0.15486736067250986</v>
      </c>
    </row>
    <row r="68" spans="1:9" ht="15.6">
      <c r="A68" s="26" t="str">
        <v>CA: Stockton - SUSD - Weber Institute</v>
      </c>
      <c r="B68" s="27" t="str">
        <v>CA</v>
      </c>
      <c r="C68" s="28">
        <f>SUM('1st Qtr'!C68, '2nd Qtr'!C68, '3rd Qtr'!C68, '4th Qtr'!C68)</f>
        <v>39787.5</v>
      </c>
      <c r="D68" s="29">
        <f>SUM('1st Qtr'!D68, '2nd Qtr'!D68, '3rd Qtr'!D68, '4th Qtr'!D68)</f>
        <v>251100.34</v>
      </c>
      <c r="E68" s="29">
        <f t="shared" si="3"/>
        <v>-211312.84</v>
      </c>
      <c r="F68" s="30">
        <f t="shared" si="1"/>
        <v>-0.84154740690514396</v>
      </c>
      <c r="G68" s="31">
        <f>SUM('1st Qtr'!G68, '2nd Qtr'!G68, '3rd Qtr'!G68, '4th Qtr'!G68)</f>
        <v>220447.19</v>
      </c>
      <c r="H68" s="31">
        <f>SUM('1st Qtr'!H68, '2nd Qtr'!H68, '3rd Qtr'!H68, '4th Qtr'!H68)</f>
        <v>-180659.69</v>
      </c>
      <c r="I68" s="32">
        <f t="shared" si="2"/>
        <v>-0.81951459667052229</v>
      </c>
    </row>
    <row r="69" spans="1:9" ht="15.6">
      <c r="A69" s="33" t="str">
        <v>CA: Stockton - SUSD - Warehouse</v>
      </c>
      <c r="B69" s="34" t="str">
        <v>CA</v>
      </c>
      <c r="C69" s="35">
        <f>SUM('1st Qtr'!C69, '2nd Qtr'!C69, '3rd Qtr'!C69, '4th Qtr'!C69)</f>
        <v>78428.25</v>
      </c>
      <c r="D69" s="35">
        <f>SUM('1st Qtr'!D69, '2nd Qtr'!D69, '3rd Qtr'!D69, '4th Qtr'!D69)</f>
        <v>176439.36</v>
      </c>
      <c r="E69" s="36">
        <f t="shared" si="3"/>
        <v>-98011.109999999986</v>
      </c>
      <c r="F69" s="37">
        <f t="shared" si="1"/>
        <v>-0.55549459032270343</v>
      </c>
      <c r="G69" s="38">
        <f>SUM('1st Qtr'!G69, '2nd Qtr'!G69, '3rd Qtr'!G69, '4th Qtr'!G69)</f>
        <v>206475.30000000002</v>
      </c>
      <c r="H69" s="38">
        <f>SUM('1st Qtr'!H69, '2nd Qtr'!H69, '3rd Qtr'!H69, '4th Qtr'!H69)</f>
        <v>-128047.05</v>
      </c>
      <c r="I69" s="37">
        <f t="shared" si="2"/>
        <v>-0.62015674514094421</v>
      </c>
    </row>
    <row r="70" spans="1:9" ht="15.6">
      <c r="A70" s="26" t="str">
        <v>CA: Stockton - SUSD - Walton Special Center</v>
      </c>
      <c r="B70" s="27" t="str">
        <v>CA</v>
      </c>
      <c r="C70" s="28">
        <f>SUM('1st Qtr'!C70, '2nd Qtr'!C70, '3rd Qtr'!C70, '4th Qtr'!C70)</f>
        <v>68339.5</v>
      </c>
      <c r="D70" s="29">
        <f>SUM('1st Qtr'!D70, '2nd Qtr'!D70, '3rd Qtr'!D70, '4th Qtr'!D70)</f>
        <v>141197.40600000002</v>
      </c>
      <c r="E70" s="29">
        <f t="shared" si="3"/>
        <v>-72857.906000000017</v>
      </c>
      <c r="F70" s="30">
        <f t="shared" ref="F70:F85" si="4">IFERROR(E70/D70, "")</f>
        <v>-0.5160003151899264</v>
      </c>
      <c r="G70" s="31">
        <f>SUM('1st Qtr'!G70, '2nd Qtr'!G70, '3rd Qtr'!G70, '4th Qtr'!G70)</f>
        <v>150004.25</v>
      </c>
      <c r="H70" s="31">
        <f>SUM('1st Qtr'!H70, '2nd Qtr'!H70, '3rd Qtr'!H70, '4th Qtr'!H70)</f>
        <v>-81664.75</v>
      </c>
      <c r="I70" s="32">
        <f t="shared" ref="I70:I85" si="5">IFERROR(H70/G70, "")</f>
        <v>-0.54441624153982304</v>
      </c>
    </row>
    <row r="71" spans="1:9" ht="15.6">
      <c r="A71" s="33" t="str">
        <v>CA: Stockton - SUSD - Stagg HS</v>
      </c>
      <c r="B71" s="34" t="str">
        <v>CA</v>
      </c>
      <c r="C71" s="35">
        <f>SUM('1st Qtr'!C71, '2nd Qtr'!C71, '3rd Qtr'!C71, '4th Qtr'!C71)</f>
        <v>389129</v>
      </c>
      <c r="D71" s="35">
        <f>SUM('1st Qtr'!D71, '2nd Qtr'!D71, '3rd Qtr'!D71, '4th Qtr'!D71)</f>
        <v>552449.36</v>
      </c>
      <c r="E71" s="36">
        <f t="shared" ref="E71:E85" si="6">IF(AND(ISNUMBER(C71),ISNUMBER(D71)), C71-D71, "")</f>
        <v>-163320.35999999999</v>
      </c>
      <c r="F71" s="37">
        <f t="shared" si="4"/>
        <v>-0.29562955779331518</v>
      </c>
      <c r="G71" s="38">
        <f>SUM('1st Qtr'!G71, '2nd Qtr'!G71, '3rd Qtr'!G71, '4th Qtr'!G71)</f>
        <v>576739.69999999995</v>
      </c>
      <c r="H71" s="38">
        <f>SUM('1st Qtr'!H71, '2nd Qtr'!H71, '3rd Qtr'!H71, '4th Qtr'!H71)</f>
        <v>-187610.7</v>
      </c>
      <c r="I71" s="37">
        <f t="shared" si="5"/>
        <v>-0.32529527618785392</v>
      </c>
    </row>
    <row r="72" spans="1:9" ht="15.6">
      <c r="A72" s="26" t="str">
        <v>CA: Stockton - SUSD - School for Adults</v>
      </c>
      <c r="B72" s="27" t="str">
        <v>CA</v>
      </c>
      <c r="C72" s="28">
        <f>SUM('1st Qtr'!C72, '2nd Qtr'!C72, '3rd Qtr'!C72, '4th Qtr'!C72)</f>
        <v>39866.25</v>
      </c>
      <c r="D72" s="29">
        <f>SUM('1st Qtr'!D72, '2nd Qtr'!D72, '3rd Qtr'!D72, '4th Qtr'!D72)</f>
        <v>118544.31099999999</v>
      </c>
      <c r="E72" s="29">
        <f t="shared" si="6"/>
        <v>-78678.060999999987</v>
      </c>
      <c r="F72" s="30">
        <f t="shared" si="4"/>
        <v>-0.66370170222677316</v>
      </c>
      <c r="G72" s="31">
        <f>SUM('1st Qtr'!G72, '2nd Qtr'!G72, '3rd Qtr'!G72, '4th Qtr'!G72)</f>
        <v>125097.85</v>
      </c>
      <c r="H72" s="31">
        <f>SUM('1st Qtr'!H72, '2nd Qtr'!H72, '3rd Qtr'!H72, '4th Qtr'!H72)</f>
        <v>-85231.6</v>
      </c>
      <c r="I72" s="32">
        <f t="shared" si="5"/>
        <v>-0.68131946312426639</v>
      </c>
    </row>
    <row r="73" spans="1:9" ht="15.6">
      <c r="A73" s="33" t="str">
        <v>CA: Stockton - SUSD - San Joaquin</v>
      </c>
      <c r="B73" s="34" t="str">
        <v>CA</v>
      </c>
      <c r="C73" s="35">
        <f>SUM('1st Qtr'!C73, '2nd Qtr'!C73, '3rd Qtr'!C73, '4th Qtr'!C73)</f>
        <v>56043.125</v>
      </c>
      <c r="D73" s="35">
        <f>SUM('1st Qtr'!D73, '2nd Qtr'!D73, '3rd Qtr'!D73, '4th Qtr'!D73)</f>
        <v>105866.36</v>
      </c>
      <c r="E73" s="36">
        <f t="shared" si="6"/>
        <v>-49823.235000000001</v>
      </c>
      <c r="F73" s="37">
        <f t="shared" si="4"/>
        <v>-0.47062386011949403</v>
      </c>
      <c r="G73" s="38">
        <f>SUM('1st Qtr'!G73, '2nd Qtr'!G73, '3rd Qtr'!G73, '4th Qtr'!G73)</f>
        <v>116795.89200000001</v>
      </c>
      <c r="H73" s="38">
        <f>SUM('1st Qtr'!H73, '2nd Qtr'!H73, '3rd Qtr'!H73, '4th Qtr'!H73)</f>
        <v>-60752.767</v>
      </c>
      <c r="I73" s="37">
        <f t="shared" si="5"/>
        <v>-0.52016184781567487</v>
      </c>
    </row>
    <row r="74" spans="1:9" ht="15.6">
      <c r="A74" s="26" t="str">
        <v>CA: Stockton - SUSD - Rio Calaveras</v>
      </c>
      <c r="B74" s="27" t="str">
        <v>CA</v>
      </c>
      <c r="C74" s="28">
        <f>SUM('1st Qtr'!C74, '2nd Qtr'!C74, '3rd Qtr'!C74, '4th Qtr'!C74)</f>
        <v>21712</v>
      </c>
      <c r="D74" s="29">
        <f>SUM('1st Qtr'!D74, '2nd Qtr'!D74, '3rd Qtr'!D74, '4th Qtr'!D74)</f>
        <v>92193.33</v>
      </c>
      <c r="E74" s="29">
        <f t="shared" si="6"/>
        <v>-70481.33</v>
      </c>
      <c r="F74" s="30">
        <f t="shared" si="4"/>
        <v>-0.76449489350259936</v>
      </c>
      <c r="G74" s="31">
        <f>SUM('1st Qtr'!G74, '2nd Qtr'!G74, '3rd Qtr'!G74, '4th Qtr'!G74)</f>
        <v>0</v>
      </c>
      <c r="H74" s="31">
        <f>SUM('1st Qtr'!H74, '2nd Qtr'!H74, '3rd Qtr'!H74, '4th Qtr'!H74)</f>
        <v>21712</v>
      </c>
      <c r="I74" s="32" t="str">
        <f t="shared" si="5"/>
        <v/>
      </c>
    </row>
    <row r="75" spans="1:9" ht="15.6">
      <c r="A75" s="33" t="str">
        <v>CA: Stockton - SUSD - Peyton</v>
      </c>
      <c r="B75" s="34" t="str">
        <v>CA</v>
      </c>
      <c r="C75" s="35">
        <f>SUM('1st Qtr'!C75, '2nd Qtr'!C75, '3rd Qtr'!C75, '4th Qtr'!C75)</f>
        <v>209751</v>
      </c>
      <c r="D75" s="35">
        <f>SUM('1st Qtr'!D75, '2nd Qtr'!D75, '3rd Qtr'!D75, '4th Qtr'!D75)</f>
        <v>253835.96999999997</v>
      </c>
      <c r="E75" s="36">
        <f t="shared" si="6"/>
        <v>-44084.969999999972</v>
      </c>
      <c r="F75" s="37">
        <f t="shared" si="4"/>
        <v>-0.17367503116284103</v>
      </c>
      <c r="G75" s="38">
        <f>SUM('1st Qtr'!G75, '2nd Qtr'!G75, '3rd Qtr'!G75, '4th Qtr'!G75)</f>
        <v>254725.61000000002</v>
      </c>
      <c r="H75" s="38">
        <f>SUM('1st Qtr'!H75, '2nd Qtr'!H75, '3rd Qtr'!H75, '4th Qtr'!H75)</f>
        <v>-44974.61</v>
      </c>
      <c r="I75" s="37">
        <f t="shared" si="5"/>
        <v>-0.17656100617444787</v>
      </c>
    </row>
    <row r="76" spans="1:9" ht="15.6">
      <c r="A76" s="26" t="str">
        <v>TX: Barnhart - 42917 Ranch RD 2469</v>
      </c>
      <c r="B76" s="27" t="str">
        <v>TX</v>
      </c>
      <c r="C76" s="28">
        <f>SUM('1st Qtr'!C76, '2nd Qtr'!C76, '3rd Qtr'!C76, '4th Qtr'!C76)</f>
        <v>1093530</v>
      </c>
      <c r="D76" s="29">
        <f>SUM('1st Qtr'!D76, '2nd Qtr'!D76, '3rd Qtr'!D76, '4th Qtr'!D76)</f>
        <v>1210559.3999999999</v>
      </c>
      <c r="E76" s="29">
        <f t="shared" si="6"/>
        <v>-117029.39999999991</v>
      </c>
      <c r="F76" s="30">
        <f t="shared" si="4"/>
        <v>-9.667381873206711E-2</v>
      </c>
      <c r="G76" s="31">
        <f>SUM('1st Qtr'!G76, '2nd Qtr'!G76, '3rd Qtr'!G76, '4th Qtr'!G76)</f>
        <v>1141173.2</v>
      </c>
      <c r="H76" s="31">
        <f>SUM('1st Qtr'!H76, '2nd Qtr'!H76, '3rd Qtr'!H76, '4th Qtr'!H76)</f>
        <v>-47643.200000000012</v>
      </c>
      <c r="I76" s="32">
        <f t="shared" si="5"/>
        <v>-4.1749315528966165E-2</v>
      </c>
    </row>
    <row r="77" spans="1:9" ht="15.6">
      <c r="A77" s="33" t="str">
        <v>AZ: San Manuel - Senior &amp; Junior HS</v>
      </c>
      <c r="B77" s="34" t="str">
        <v>AZ</v>
      </c>
      <c r="C77" s="35">
        <f>SUM('1st Qtr'!C77, '2nd Qtr'!C77, '3rd Qtr'!C77, '4th Qtr'!C77)</f>
        <v>167845</v>
      </c>
      <c r="D77" s="35">
        <f>SUM('1st Qtr'!D77, '2nd Qtr'!D77, '3rd Qtr'!D77, '4th Qtr'!D77)</f>
        <v>0</v>
      </c>
      <c r="E77" s="36">
        <f t="shared" si="6"/>
        <v>167845</v>
      </c>
      <c r="F77" s="37" t="str">
        <f t="shared" si="4"/>
        <v/>
      </c>
      <c r="G77" s="38">
        <f>SUM('1st Qtr'!G77, '2nd Qtr'!G77, '3rd Qtr'!G77, '4th Qtr'!G77)</f>
        <v>201273</v>
      </c>
      <c r="H77" s="38">
        <f>SUM('1st Qtr'!H77, '2nd Qtr'!H77, '3rd Qtr'!H77, '4th Qtr'!H77)</f>
        <v>-33428</v>
      </c>
      <c r="I77" s="37">
        <f t="shared" si="5"/>
        <v>-0.16608288245318548</v>
      </c>
    </row>
    <row r="78" spans="1:9" ht="15.6">
      <c r="A78" s="26" t="str">
        <v>AZ: Sierra Vista - Colonel Smith MS</v>
      </c>
      <c r="B78" s="27" t="str">
        <v>AZ</v>
      </c>
      <c r="C78" s="28">
        <f>SUM('1st Qtr'!C78, '2nd Qtr'!C78, '3rd Qtr'!C78, '4th Qtr'!C78)</f>
        <v>172990</v>
      </c>
      <c r="D78" s="29">
        <f>SUM('1st Qtr'!D78, '2nd Qtr'!D78, '3rd Qtr'!D78, '4th Qtr'!D78)</f>
        <v>300365.84999999998</v>
      </c>
      <c r="E78" s="29">
        <f t="shared" si="6"/>
        <v>-127375.84999999998</v>
      </c>
      <c r="F78" s="30">
        <f t="shared" si="4"/>
        <v>-0.42406901450347961</v>
      </c>
      <c r="G78" s="31">
        <f>SUM('1st Qtr'!G78, '2nd Qtr'!G78, '3rd Qtr'!G78, '4th Qtr'!G78)</f>
        <v>256534.63</v>
      </c>
      <c r="H78" s="31">
        <f>SUM('1st Qtr'!H78, '2nd Qtr'!H78, '3rd Qtr'!H78, '4th Qtr'!H78)</f>
        <v>-83544.63</v>
      </c>
      <c r="I78" s="32">
        <f t="shared" si="5"/>
        <v>-0.32566609038319699</v>
      </c>
    </row>
    <row r="79" spans="1:9" ht="15.6">
      <c r="A79" s="33" t="str">
        <v>AZ: Sierra Vista - Colonel Johnston ES</v>
      </c>
      <c r="B79" s="34" t="str">
        <v>AZ</v>
      </c>
      <c r="C79" s="35">
        <f>SUM('1st Qtr'!C79, '2nd Qtr'!C79, '3rd Qtr'!C79, '4th Qtr'!C79)</f>
        <v>57710</v>
      </c>
      <c r="D79" s="35">
        <f>SUM('1st Qtr'!D79, '2nd Qtr'!D79, '3rd Qtr'!D79, '4th Qtr'!D79)</f>
        <v>100968.19</v>
      </c>
      <c r="E79" s="36">
        <f t="shared" si="6"/>
        <v>-43258.19</v>
      </c>
      <c r="F79" s="37">
        <f t="shared" si="4"/>
        <v>-0.42843384634309084</v>
      </c>
      <c r="G79" s="38">
        <f>SUM('1st Qtr'!G79, '2nd Qtr'!G79, '3rd Qtr'!G79, '4th Qtr'!G79)</f>
        <v>85319.51999999999</v>
      </c>
      <c r="H79" s="38">
        <f>SUM('1st Qtr'!H79, '2nd Qtr'!H79, '3rd Qtr'!H79, '4th Qtr'!H79)</f>
        <v>-27609.519999999997</v>
      </c>
      <c r="I79" s="37">
        <f t="shared" si="5"/>
        <v>-0.32360144548398773</v>
      </c>
    </row>
    <row r="80" spans="1:9" ht="15.6">
      <c r="A80" s="26" t="str">
        <v>NH: Dover - Dover HS</v>
      </c>
      <c r="B80" s="27" t="str">
        <v>NH</v>
      </c>
      <c r="C80" s="28">
        <f>SUM('1st Qtr'!C80, '2nd Qtr'!C80, '3rd Qtr'!C80, '4th Qtr'!C80)</f>
        <v>397552.5</v>
      </c>
      <c r="D80" s="29">
        <f>SUM('1st Qtr'!D80, '2nd Qtr'!D80, '3rd Qtr'!D80, '4th Qtr'!D80)</f>
        <v>557368.73</v>
      </c>
      <c r="E80" s="29">
        <f t="shared" si="6"/>
        <v>-159816.22999999998</v>
      </c>
      <c r="F80" s="30">
        <f t="shared" si="4"/>
        <v>-0.28673339819404647</v>
      </c>
      <c r="G80" s="31">
        <f>SUM('1st Qtr'!G80, '2nd Qtr'!G80, '3rd Qtr'!G80, '4th Qtr'!G80)</f>
        <v>487787.38</v>
      </c>
      <c r="H80" s="31">
        <f>SUM('1st Qtr'!H80, '2nd Qtr'!H80, '3rd Qtr'!H80, '4th Qtr'!H80)</f>
        <v>-90234.880000000005</v>
      </c>
      <c r="I80" s="32">
        <f t="shared" si="5"/>
        <v>-0.18498813970955952</v>
      </c>
    </row>
    <row r="81" spans="1:9" ht="15.6">
      <c r="A81" s="33" t="str">
        <v>MA: Somerville - 30 Inner Belt Rd</v>
      </c>
      <c r="B81" s="34" t="str">
        <v>MA</v>
      </c>
      <c r="C81" s="35">
        <f>SUM('1st Qtr'!C81, '2nd Qtr'!C81, '3rd Qtr'!C81, '4th Qtr'!C81)</f>
        <v>389059</v>
      </c>
      <c r="D81" s="35">
        <f>SUM('1st Qtr'!D81, '2nd Qtr'!D81, '3rd Qtr'!D81, '4th Qtr'!D81)</f>
        <v>381843.99</v>
      </c>
      <c r="E81" s="36">
        <f t="shared" si="6"/>
        <v>7215.0100000000093</v>
      </c>
      <c r="F81" s="37">
        <f t="shared" si="4"/>
        <v>1.8895177582865741E-2</v>
      </c>
      <c r="G81" s="38">
        <f>SUM('1st Qtr'!G81, '2nd Qtr'!G81, '3rd Qtr'!G81, '4th Qtr'!G81)</f>
        <v>704588.87999999989</v>
      </c>
      <c r="H81" s="38">
        <f>SUM('1st Qtr'!H81, '2nd Qtr'!H81, '3rd Qtr'!H81, '4th Qtr'!H81)</f>
        <v>-315529.88</v>
      </c>
      <c r="I81" s="37">
        <f t="shared" si="5"/>
        <v>-0.44782125996652128</v>
      </c>
    </row>
    <row r="82" spans="1:9" ht="15.6">
      <c r="A82" s="26" t="str">
        <v>MA: Boxborough - 1414 Massachusetts Ave</v>
      </c>
      <c r="B82" s="27" t="str">
        <v>MA</v>
      </c>
      <c r="C82" s="28">
        <f>SUM('1st Qtr'!C82, '2nd Qtr'!C82, '3rd Qtr'!C82, '4th Qtr'!C82)</f>
        <v>2960904.1836889</v>
      </c>
      <c r="D82" s="29">
        <f>SUM('1st Qtr'!D82, '2nd Qtr'!D82, '3rd Qtr'!D82, '4th Qtr'!D82)</f>
        <v>1115813.1000000001</v>
      </c>
      <c r="E82" s="29">
        <f t="shared" si="6"/>
        <v>1845091.0836888999</v>
      </c>
      <c r="F82" s="30">
        <f t="shared" si="4"/>
        <v>1.6535843535883381</v>
      </c>
      <c r="G82" s="31">
        <f>SUM('1st Qtr'!G82, '2nd Qtr'!G82, '3rd Qtr'!G82, '4th Qtr'!G82)</f>
        <v>3102600</v>
      </c>
      <c r="H82" s="31">
        <f>SUM('1st Qtr'!H82, '2nd Qtr'!H82, '3rd Qtr'!H82, '4th Qtr'!H82)</f>
        <v>-141695.81631110003</v>
      </c>
      <c r="I82" s="32">
        <f t="shared" si="5"/>
        <v>-4.5670023951234456E-2</v>
      </c>
    </row>
    <row r="83" spans="1:9" ht="15.6">
      <c r="A83" s="33" t="str">
        <v>NY: Amsterdam - 153 NY Route 67</v>
      </c>
      <c r="B83" s="34" t="str">
        <v>NY</v>
      </c>
      <c r="C83" s="35">
        <f>SUM('1st Qtr'!C83, '2nd Qtr'!C83, '3rd Qtr'!C83, '4th Qtr'!C83)</f>
        <v>1581460</v>
      </c>
      <c r="D83" s="35">
        <f>SUM('1st Qtr'!D83, '2nd Qtr'!D83, '3rd Qtr'!D83, '4th Qtr'!D83)</f>
        <v>1279202.2000000002</v>
      </c>
      <c r="E83" s="36">
        <f t="shared" si="6"/>
        <v>302257.79999999981</v>
      </c>
      <c r="F83" s="37">
        <f t="shared" si="4"/>
        <v>0.23628617899500154</v>
      </c>
      <c r="G83" s="38">
        <f>SUM('1st Qtr'!G83, '2nd Qtr'!G83, '3rd Qtr'!G83, '4th Qtr'!G83)</f>
        <v>1542579.3</v>
      </c>
      <c r="H83" s="38">
        <f>SUM('1st Qtr'!H83, '2nd Qtr'!H83, '3rd Qtr'!H83, '4th Qtr'!H83)</f>
        <v>38880.700000000012</v>
      </c>
      <c r="I83" s="37">
        <f t="shared" si="5"/>
        <v>2.5204992702806274E-2</v>
      </c>
    </row>
    <row r="84" spans="1:9" ht="15.6">
      <c r="A84" s="26" t="str">
        <v>CA: San Jose - GE Mobile Water</v>
      </c>
      <c r="B84" s="27" t="str">
        <v>CA</v>
      </c>
      <c r="C84" s="28">
        <f>SUM('1st Qtr'!C84, '2nd Qtr'!C84, '3rd Qtr'!C84, '4th Qtr'!C84)</f>
        <v>110710</v>
      </c>
      <c r="D84" s="29">
        <f>SUM('1st Qtr'!D84, '2nd Qtr'!D84, '3rd Qtr'!D84, '4th Qtr'!D84)</f>
        <v>123707.80499999999</v>
      </c>
      <c r="E84" s="29">
        <f t="shared" si="6"/>
        <v>-12997.804999999993</v>
      </c>
      <c r="F84" s="30">
        <f t="shared" si="4"/>
        <v>-0.10506859288304399</v>
      </c>
      <c r="G84" s="31">
        <f>SUM('1st Qtr'!G84, '2nd Qtr'!G84, '3rd Qtr'!G84, '4th Qtr'!G84)</f>
        <v>127324.542</v>
      </c>
      <c r="H84" s="31">
        <f>SUM('1st Qtr'!H84, '2nd Qtr'!H84, '3rd Qtr'!H84, '4th Qtr'!H84)</f>
        <v>-16614.542000000001</v>
      </c>
      <c r="I84" s="32">
        <f t="shared" si="5"/>
        <v>-0.13048970559030168</v>
      </c>
    </row>
    <row r="85" spans="1:9" ht="15.6">
      <c r="A85" s="33" t="str">
        <v>NY: Rome - 7776 Tannery RD</v>
      </c>
      <c r="B85" s="34" t="str">
        <v>NY</v>
      </c>
      <c r="C85" s="35">
        <f>SUM('1st Qtr'!C85, '2nd Qtr'!C85, '3rd Qtr'!C85, '4th Qtr'!C85)</f>
        <v>1449817.8122866899</v>
      </c>
      <c r="D85" s="35">
        <f>SUM('1st Qtr'!D85, '2nd Qtr'!D85, '3rd Qtr'!D85, '4th Qtr'!D85)</f>
        <v>1606409.5</v>
      </c>
      <c r="E85" s="36">
        <f t="shared" si="6"/>
        <v>-156591.68771331012</v>
      </c>
      <c r="F85" s="37">
        <f t="shared" si="4"/>
        <v>-9.7479308802213963E-2</v>
      </c>
      <c r="G85" s="38">
        <f>SUM('1st Qtr'!G85, '2nd Qtr'!G85, '3rd Qtr'!G85, '4th Qtr'!G85)</f>
        <v>1583127.7999999998</v>
      </c>
      <c r="H85" s="38">
        <f>SUM('1st Qtr'!H85, '2nd Qtr'!H85, '3rd Qtr'!H85, '4th Qtr'!H85)</f>
        <v>-133309.98771330994</v>
      </c>
      <c r="I85" s="37">
        <f t="shared" si="5"/>
        <v>-8.4206712631355443E-2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85 I4:I8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64" activePane="bottomRight" state="frozen"/>
      <selection pane="bottomRight" activeCell="F90" sqref="F9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10</v>
      </c>
      <c r="E1" s="120"/>
      <c r="F1" s="120"/>
      <c r="G1" s="118" t="s">
        <v>11</v>
      </c>
      <c r="H1" s="118"/>
      <c r="I1" s="118"/>
    </row>
    <row r="2" spans="1:9" ht="19.5" customHeight="1">
      <c r="A2" s="121" t="s">
        <v>2</v>
      </c>
      <c r="B2" s="121"/>
      <c r="C2" s="5">
        <f>SUM(C4:C179)</f>
        <v>1827946.6861654297</v>
      </c>
      <c r="D2" s="5">
        <f>SUM(D4:D179)</f>
        <v>0</v>
      </c>
      <c r="E2" s="5">
        <f>C2-D2</f>
        <v>1827946.6861654297</v>
      </c>
      <c r="F2" s="6">
        <f>IFERROR(E2/D2, 0)</f>
        <v>0</v>
      </c>
      <c r="G2" s="5">
        <f>SUM(G4:G179)</f>
        <v>1530690.2</v>
      </c>
      <c r="H2" s="7">
        <f>C2-G2</f>
        <v>297256.4861654297</v>
      </c>
      <c r="I2" s="6">
        <f>IFERROR(H2/G2, 0)</f>
        <v>0.19419768034408902</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SUM(Jan!C4, Feb!C4, Mar!C4)</f>
        <v>45888.639999999999</v>
      </c>
      <c r="D4" s="29">
        <f>SUM(Jan!D4, Feb!D4, Mar!D4)</f>
        <v>0</v>
      </c>
      <c r="E4" s="29">
        <f>IF(AND(ISNUMBER(C4),ISNUMBER(D4)), C4-D4, "")</f>
        <v>45888.639999999999</v>
      </c>
      <c r="F4" s="30" t="str">
        <f>IFERROR(E4/D4, "")</f>
        <v/>
      </c>
      <c r="G4" s="31">
        <f>SUM(Jan!G4, Feb!G4, Mar!G4)</f>
        <v>0</v>
      </c>
      <c r="H4" s="31">
        <f>SUM(Jan!H4, Feb!H4, Mar!H4)</f>
        <v>18073.600000000002</v>
      </c>
      <c r="I4" s="32" t="str">
        <f>IFERROR(H4/G4, "")</f>
        <v/>
      </c>
    </row>
    <row r="5" spans="1:9" ht="15.6">
      <c r="A5" s="48" t="str">
        <v>Pacoima - Whiteman Airport</v>
      </c>
      <c r="B5" s="34" t="str">
        <v>CA</v>
      </c>
      <c r="C5" s="35">
        <f>SUM(Jan!C5, Feb!C5, Mar!C5)</f>
        <v>58146</v>
      </c>
      <c r="D5" s="36">
        <f>SUM(Jan!D5, Feb!D5, Mar!D5)</f>
        <v>0</v>
      </c>
      <c r="E5" s="36">
        <f t="shared" ref="E5:E7" si="0">IF(AND(ISNUMBER(C5),ISNUMBER(D5)), C5-D5, "")</f>
        <v>58146</v>
      </c>
      <c r="F5" s="37" t="str">
        <f>IFERROR(E5/D5, "")</f>
        <v/>
      </c>
      <c r="G5" s="38">
        <f>SUM(Jan!G5, Feb!G5, Mar!G5)</f>
        <v>108680</v>
      </c>
      <c r="H5" s="38">
        <f>SUM(Jan!H5, Feb!H5, Mar!H5)</f>
        <v>-50534</v>
      </c>
      <c r="I5" s="37">
        <f>IFERROR(H5/G5, "")</f>
        <v>-0.46497975708502026</v>
      </c>
    </row>
    <row r="6" spans="1:9" ht="15.6">
      <c r="A6" s="47" t="str">
        <v>Hyannis - Sturgis Charter School</v>
      </c>
      <c r="B6" s="27" t="str">
        <v>MA</v>
      </c>
      <c r="C6" s="28">
        <f>SUM(Jan!C6, Feb!C6, Mar!C6)</f>
        <v>56832.394765429686</v>
      </c>
      <c r="D6" s="29">
        <f>SUM(Jan!D6, Feb!D6, Mar!D6)</f>
        <v>0</v>
      </c>
      <c r="E6" s="29">
        <f t="shared" si="0"/>
        <v>56832.394765429686</v>
      </c>
      <c r="F6" s="30" t="str">
        <f t="shared" ref="F6:F7" si="1">IFERROR(E6/D6, "")</f>
        <v/>
      </c>
      <c r="G6" s="31">
        <f>SUM(Jan!G6, Feb!G6, Mar!G6)</f>
        <v>54540</v>
      </c>
      <c r="H6" s="31">
        <f>SUM(Jan!H6, Feb!H6, Mar!H6)</f>
        <v>2292.3947654296862</v>
      </c>
      <c r="I6" s="32">
        <f t="shared" ref="I6:I7" si="2">IFERROR(H6/G6, "")</f>
        <v>4.203144051026194E-2</v>
      </c>
    </row>
    <row r="7" spans="1:9" ht="15.6">
      <c r="A7" s="48" t="str">
        <v>South Dennis - Tony Kent Arena</v>
      </c>
      <c r="B7" s="34" t="str">
        <v>MA</v>
      </c>
      <c r="C7" s="35">
        <f>SUM(Jan!C7, Feb!C7, Mar!C7)</f>
        <v>61513.2</v>
      </c>
      <c r="D7" s="36">
        <f>SUM(Jan!D7, Feb!D7, Mar!D7)</f>
        <v>0</v>
      </c>
      <c r="E7" s="36">
        <f t="shared" si="0"/>
        <v>61513.2</v>
      </c>
      <c r="F7" s="37" t="str">
        <f t="shared" si="1"/>
        <v/>
      </c>
      <c r="G7" s="38">
        <f>SUM(Jan!G7, Feb!G7, Mar!G7)</f>
        <v>0</v>
      </c>
      <c r="H7" s="38">
        <f>SUM(Jan!H7, Feb!H7, Mar!H7)</f>
        <v>30999.119999999999</v>
      </c>
      <c r="I7" s="37" t="str">
        <f t="shared" si="2"/>
        <v/>
      </c>
    </row>
    <row r="8" spans="1:9" ht="15.6">
      <c r="A8" s="47" t="str">
        <v xml:space="preserve"> Caropolis - Felician Sisters</v>
      </c>
      <c r="B8" s="27" t="str">
        <v>PA</v>
      </c>
      <c r="C8" s="28">
        <f>SUM(Jan!C8, Feb!C8, Mar!C8)</f>
        <v>51053.4</v>
      </c>
      <c r="D8" s="29">
        <f>SUM(Jan!D8, Feb!D8, Mar!D8)</f>
        <v>0</v>
      </c>
      <c r="E8" s="29">
        <f t="shared" ref="E8:E46" si="3">IF(AND(ISNUMBER(C8),ISNUMBER(D8)), C8-D8, "")</f>
        <v>51053.4</v>
      </c>
      <c r="F8" s="30" t="str">
        <f t="shared" ref="F8:F46" si="4">IFERROR(E8/D8, "")</f>
        <v/>
      </c>
      <c r="G8" s="31">
        <f>SUM(Jan!G8, Feb!G8, Mar!G8)</f>
        <v>0</v>
      </c>
      <c r="H8" s="31">
        <f>SUM(Jan!H8, Feb!H8, Mar!H8)</f>
        <v>0</v>
      </c>
      <c r="I8" s="32" t="str">
        <f t="shared" ref="I8:I46" si="5">IFERROR(H8/G8, "")</f>
        <v/>
      </c>
    </row>
    <row r="9" spans="1:9" ht="15.6">
      <c r="A9" s="48" t="str">
        <v>Clear Lake - Eastlake Gohman</v>
      </c>
      <c r="B9" s="34" t="str">
        <v>MN</v>
      </c>
      <c r="C9" s="35">
        <f>SUM(Jan!C9, Feb!C9, Mar!C9)</f>
        <v>174810</v>
      </c>
      <c r="D9" s="36">
        <f>SUM(Jan!D9, Feb!D9, Mar!D9)</f>
        <v>0</v>
      </c>
      <c r="E9" s="36">
        <f t="shared" si="3"/>
        <v>174810</v>
      </c>
      <c r="F9" s="71" t="str">
        <f t="shared" si="4"/>
        <v/>
      </c>
      <c r="G9" s="72">
        <f>SUM(Jan!G9, Feb!G9, Mar!G9)</f>
        <v>155938.5</v>
      </c>
      <c r="H9" s="72">
        <f>SUM(Jan!H9, Feb!H9, Mar!H9)</f>
        <v>18871.5</v>
      </c>
      <c r="I9" s="71">
        <f t="shared" si="5"/>
        <v>0.12101886320568686</v>
      </c>
    </row>
    <row r="10" spans="1:9" ht="15.6">
      <c r="A10" s="47" t="str">
        <v>Zumbrota - Eastlake Brenda Luhman</v>
      </c>
      <c r="B10" s="27" t="str">
        <v>MN</v>
      </c>
      <c r="C10" s="28">
        <f>SUM(Jan!C10, Feb!C10, Mar!C10)</f>
        <v>179285.1269</v>
      </c>
      <c r="D10" s="29">
        <f>SUM(Jan!D10, Feb!D10, Mar!D10)</f>
        <v>0</v>
      </c>
      <c r="E10" s="29">
        <f t="shared" si="3"/>
        <v>179285.1269</v>
      </c>
      <c r="F10" s="30" t="str">
        <f t="shared" si="4"/>
        <v/>
      </c>
      <c r="G10" s="31">
        <f>SUM(Jan!G10, Feb!G10, Mar!G10)</f>
        <v>161850.1</v>
      </c>
      <c r="H10" s="31">
        <f>SUM(Jan!H10, Feb!H10, Mar!H10)</f>
        <v>17435.026899999997</v>
      </c>
      <c r="I10" s="32">
        <f t="shared" si="5"/>
        <v>0.10772330014006785</v>
      </c>
    </row>
    <row r="11" spans="1:9" ht="15.6">
      <c r="A11" s="48" t="str">
        <v>Cokato - Eastlake Carlson</v>
      </c>
      <c r="B11" s="34" t="str">
        <v>MN</v>
      </c>
      <c r="C11" s="35">
        <f>SUM(Jan!C11, Feb!C11, Mar!C11)</f>
        <v>147025.48420000001</v>
      </c>
      <c r="D11" s="36">
        <f>SUM(Jan!D11, Feb!D11, Mar!D11)</f>
        <v>0</v>
      </c>
      <c r="E11" s="36">
        <f t="shared" si="3"/>
        <v>147025.48420000001</v>
      </c>
      <c r="F11" s="71" t="str">
        <f t="shared" si="4"/>
        <v/>
      </c>
      <c r="G11" s="72">
        <f>SUM(Jan!G11, Feb!G11, Mar!G11)</f>
        <v>189506</v>
      </c>
      <c r="H11" s="72">
        <f>SUM(Jan!H11, Feb!H11, Mar!H11)</f>
        <v>-42480.515799999994</v>
      </c>
      <c r="I11" s="71">
        <f t="shared" si="5"/>
        <v>-0.22416448977868772</v>
      </c>
    </row>
    <row r="12" spans="1:9" ht="15.6">
      <c r="A12" s="47" t="str">
        <v>North Branch - Cornille 2</v>
      </c>
      <c r="B12" s="27" t="str">
        <v>MN</v>
      </c>
      <c r="C12" s="28">
        <f>SUM(Jan!C12, Feb!C12, Mar!C12)</f>
        <v>142625</v>
      </c>
      <c r="D12" s="29">
        <f>SUM(Jan!D12, Feb!D12, Mar!D12)</f>
        <v>0</v>
      </c>
      <c r="E12" s="29">
        <f t="shared" si="3"/>
        <v>142625</v>
      </c>
      <c r="F12" s="30" t="str">
        <f t="shared" si="4"/>
        <v/>
      </c>
      <c r="G12" s="31">
        <f>SUM(Jan!G12, Feb!G12, Mar!G12)</f>
        <v>156749.79999999999</v>
      </c>
      <c r="H12" s="31">
        <f>SUM(Jan!H12, Feb!H12, Mar!H12)</f>
        <v>-14124.799999999988</v>
      </c>
      <c r="I12" s="32">
        <f t="shared" si="5"/>
        <v>-9.0110481799657735E-2</v>
      </c>
    </row>
    <row r="13" spans="1:9" ht="15.6">
      <c r="A13" s="48" t="str">
        <v>Clear Lake - Eastlake Hammer</v>
      </c>
      <c r="B13" s="34" t="str">
        <v>MN</v>
      </c>
      <c r="C13" s="35">
        <f>SUM(Jan!C13, Feb!C13, Mar!C13)</f>
        <v>196603.0325</v>
      </c>
      <c r="D13" s="36">
        <f>SUM(Jan!D13, Feb!D13, Mar!D13)</f>
        <v>0</v>
      </c>
      <c r="E13" s="36">
        <f t="shared" si="3"/>
        <v>196603.0325</v>
      </c>
      <c r="F13" s="71" t="str">
        <f t="shared" si="4"/>
        <v/>
      </c>
      <c r="G13" s="72">
        <f>SUM(Jan!G13, Feb!G13, Mar!G13)</f>
        <v>181153.8</v>
      </c>
      <c r="H13" s="72">
        <f>SUM(Jan!H13, Feb!H13, Mar!H13)</f>
        <v>15449.232500000013</v>
      </c>
      <c r="I13" s="71">
        <f t="shared" si="5"/>
        <v>8.5282409201463141E-2</v>
      </c>
    </row>
    <row r="14" spans="1:9" ht="15.6">
      <c r="A14" s="47" t="str">
        <v>Eastlake - Hertzberg CSG 1</v>
      </c>
      <c r="B14" s="27" t="str">
        <v>MN</v>
      </c>
      <c r="C14" s="28">
        <f>SUM(Jan!C14, Feb!C14, Mar!C14)</f>
        <v>178773.26439999999</v>
      </c>
      <c r="D14" s="29">
        <f>SUM(Jan!D14, Feb!D14, Mar!D14)</f>
        <v>0</v>
      </c>
      <c r="E14" s="29">
        <f t="shared" si="3"/>
        <v>178773.26439999999</v>
      </c>
      <c r="F14" s="30" t="str">
        <f t="shared" si="4"/>
        <v/>
      </c>
      <c r="G14" s="31">
        <f>SUM(Jan!G14, Feb!G14, Mar!G14)</f>
        <v>179090.7</v>
      </c>
      <c r="H14" s="31">
        <f>SUM(Jan!H14, Feb!H14, Mar!H14)</f>
        <v>-317.43560000002617</v>
      </c>
      <c r="I14" s="32">
        <f t="shared" si="5"/>
        <v>-1.7724851150842905E-3</v>
      </c>
    </row>
    <row r="15" spans="1:9" ht="15.6">
      <c r="A15" s="48" t="str">
        <v>Cokato - Eastlake Laurel Village</v>
      </c>
      <c r="B15" s="34" t="str">
        <v>MN</v>
      </c>
      <c r="C15" s="35">
        <f>SUM(Jan!C15, Feb!C15, Mar!C15)</f>
        <v>192745.31390000001</v>
      </c>
      <c r="D15" s="36">
        <f>SUM(Jan!D15, Feb!D15, Mar!D15)</f>
        <v>0</v>
      </c>
      <c r="E15" s="36">
        <f t="shared" si="3"/>
        <v>192745.31390000001</v>
      </c>
      <c r="F15" s="71" t="str">
        <f t="shared" si="4"/>
        <v/>
      </c>
      <c r="G15" s="72">
        <f>SUM(Jan!G15, Feb!G15, Mar!G15)</f>
        <v>177944.7</v>
      </c>
      <c r="H15" s="72">
        <f>SUM(Jan!H15, Feb!H15, Mar!H15)</f>
        <v>14800.613899999997</v>
      </c>
      <c r="I15" s="71">
        <f t="shared" si="5"/>
        <v>8.3175356725994062E-2</v>
      </c>
    </row>
    <row r="16" spans="1:9" ht="15.6">
      <c r="A16" s="47" t="str">
        <v>St. Peter - Eastlake Paulson</v>
      </c>
      <c r="B16" s="27" t="str">
        <v>MN</v>
      </c>
      <c r="C16" s="28">
        <f>SUM(Jan!C16, Feb!C16, Mar!C16)</f>
        <v>167620.9295</v>
      </c>
      <c r="D16" s="29">
        <f>SUM(Jan!D16, Feb!D16, Mar!D16)</f>
        <v>0</v>
      </c>
      <c r="E16" s="29">
        <f t="shared" si="3"/>
        <v>167620.9295</v>
      </c>
      <c r="F16" s="30" t="str">
        <f t="shared" si="4"/>
        <v/>
      </c>
      <c r="G16" s="31">
        <f>SUM(Jan!G16, Feb!G16, Mar!G16)</f>
        <v>165236.6</v>
      </c>
      <c r="H16" s="31">
        <f>SUM(Jan!H16, Feb!H16, Mar!H16)</f>
        <v>2384.3294999999925</v>
      </c>
      <c r="I16" s="32">
        <f t="shared" si="5"/>
        <v>1.4429790373319182E-2</v>
      </c>
    </row>
    <row r="17" spans="1:9" ht="15.6">
      <c r="A17" s="48" t="str">
        <v>Felician Sisters Convent</v>
      </c>
      <c r="B17" s="34" t="str">
        <v>NJ</v>
      </c>
      <c r="C17" s="35">
        <f>SUM(Jan!C17, Feb!C17, Mar!C17)</f>
        <v>34597.199999999997</v>
      </c>
      <c r="D17" s="36">
        <f>SUM(Jan!D17, Feb!D17, Mar!D17)</f>
        <v>0</v>
      </c>
      <c r="E17" s="36">
        <f t="shared" si="3"/>
        <v>34597.199999999997</v>
      </c>
      <c r="F17" s="71" t="str">
        <f t="shared" si="4"/>
        <v/>
      </c>
      <c r="G17" s="72">
        <f>SUM(Jan!G17, Feb!G17, Mar!G17)</f>
        <v>0</v>
      </c>
      <c r="H17" s="72">
        <f>SUM(Jan!H17, Feb!H17, Mar!H17)</f>
        <v>0</v>
      </c>
      <c r="I17" s="71" t="str">
        <f t="shared" si="5"/>
        <v/>
      </c>
    </row>
    <row r="18" spans="1:9" ht="15.6">
      <c r="A18" s="47" t="str">
        <v>Sussex County Fairgrounds</v>
      </c>
      <c r="B18" s="27" t="str">
        <v>NJ</v>
      </c>
      <c r="C18" s="28">
        <f>SUM(Jan!C18, Feb!C18, Mar!C18)</f>
        <v>44370</v>
      </c>
      <c r="D18" s="29">
        <f>SUM(Jan!D18, Feb!D18, Mar!D18)</f>
        <v>0</v>
      </c>
      <c r="E18" s="29">
        <f t="shared" si="3"/>
        <v>44370</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26234</v>
      </c>
      <c r="D19" s="36">
        <f>SUM(Jan!D19, Feb!D19, Mar!D19)</f>
        <v>0</v>
      </c>
      <c r="E19" s="36">
        <f t="shared" si="3"/>
        <v>26234</v>
      </c>
      <c r="F19" s="71" t="str">
        <f t="shared" si="4"/>
        <v/>
      </c>
      <c r="G19" s="72">
        <f>SUM(Jan!G19, Feb!G19, Mar!G19)</f>
        <v>0</v>
      </c>
      <c r="H19" s="72">
        <f>SUM(Jan!H19, Feb!H19, Mar!H19)</f>
        <v>0</v>
      </c>
      <c r="I19" s="71" t="str">
        <f t="shared" si="5"/>
        <v/>
      </c>
    </row>
    <row r="20" spans="1:9" ht="15.6">
      <c r="A20" s="47" t="str">
        <v>Beaver Falls - Felician Sisters</v>
      </c>
      <c r="B20" s="27" t="str">
        <v>PA</v>
      </c>
      <c r="C20" s="28">
        <f>SUM(Jan!C20, Feb!C20, Mar!C20)</f>
        <v>36640</v>
      </c>
      <c r="D20" s="29">
        <f>SUM(Jan!D20, Feb!D20, Mar!D20)</f>
        <v>0</v>
      </c>
      <c r="E20" s="29">
        <f t="shared" si="3"/>
        <v>36640</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0</v>
      </c>
      <c r="D21" s="36">
        <f>SUM(Jan!D21, Feb!D21, Mar!D21)</f>
        <v>0</v>
      </c>
      <c r="E21" s="36">
        <f t="shared" si="3"/>
        <v>0</v>
      </c>
      <c r="F21" s="71" t="str">
        <f t="shared" si="4"/>
        <v/>
      </c>
      <c r="G21" s="72">
        <f>SUM(Jan!G21, Feb!G21, Mar!G21)</f>
        <v>0</v>
      </c>
      <c r="H21" s="72">
        <f>SUM(Jan!H21, Feb!H21, Mar!H21)</f>
        <v>0</v>
      </c>
      <c r="I21" s="71" t="str">
        <f t="shared" si="5"/>
        <v/>
      </c>
    </row>
    <row r="22" spans="1:9" ht="15.6">
      <c r="A22" s="47" t="str">
        <v>Livonia - Felician Sisters Roof</v>
      </c>
      <c r="B22" s="27" t="str">
        <v>MI</v>
      </c>
      <c r="C22" s="28">
        <f>SUM(Jan!C22, Feb!C22, Mar!C22)</f>
        <v>12782</v>
      </c>
      <c r="D22" s="29">
        <f>SUM(Jan!D22, Feb!D22, Mar!D22)</f>
        <v>0</v>
      </c>
      <c r="E22" s="29">
        <f t="shared" si="3"/>
        <v>12782</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11687.5</v>
      </c>
      <c r="D23" s="36">
        <f>SUM(Jan!D23, Feb!D23, Mar!D23)</f>
        <v>0</v>
      </c>
      <c r="E23" s="36">
        <f t="shared" si="3"/>
        <v>11687.5</v>
      </c>
      <c r="F23" s="71" t="str">
        <f t="shared" si="4"/>
        <v/>
      </c>
      <c r="G23" s="72">
        <f>SUM(Jan!G23, Feb!G23, Mar!G23)</f>
        <v>0</v>
      </c>
      <c r="H23" s="72">
        <f>SUM(Jan!H23, Feb!H23, Mar!H23)</f>
        <v>0</v>
      </c>
      <c r="I23" s="71" t="str">
        <f t="shared" si="5"/>
        <v/>
      </c>
    </row>
    <row r="24" spans="1:9" ht="15.6">
      <c r="A24" s="47" t="str">
        <v xml:space="preserve"> Audubon - Senior Citizens United</v>
      </c>
      <c r="B24" s="27" t="str">
        <v>NJ</v>
      </c>
      <c r="C24" s="28">
        <f>SUM(Jan!C24, Feb!C24, Mar!C24)</f>
        <v>8714.2000000000007</v>
      </c>
      <c r="D24" s="29">
        <f>SUM(Jan!D24, Feb!D24, Mar!D24)</f>
        <v>0</v>
      </c>
      <c r="E24" s="29">
        <f t="shared" si="3"/>
        <v>8714.2000000000007</v>
      </c>
      <c r="F24" s="30" t="str">
        <f t="shared" si="4"/>
        <v/>
      </c>
      <c r="G24" s="31">
        <f>SUM(Jan!G24, Feb!G24, Mar!G24)</f>
        <v>0</v>
      </c>
      <c r="H24" s="31">
        <f>SUM(Jan!H24, Feb!H24, Mar!H24)</f>
        <v>0</v>
      </c>
      <c r="I24" s="32" t="str">
        <f t="shared" si="5"/>
        <v/>
      </c>
    </row>
    <row r="25" spans="1:9" ht="15.6">
      <c r="A25" s="48" t="str">
        <v>Hollister - PG&amp;E (Enerparc)</v>
      </c>
      <c r="B25" s="34" t="str">
        <v>CA</v>
      </c>
      <c r="C25" s="35">
        <f>SUM(Jan!C25, Feb!C25, Mar!C25)</f>
        <v>0</v>
      </c>
      <c r="D25" s="36">
        <f>SUM(Jan!D25, Feb!D25, Mar!D25)</f>
        <v>0</v>
      </c>
      <c r="E25" s="36">
        <f t="shared" si="3"/>
        <v>0</v>
      </c>
      <c r="F25" s="71" t="str">
        <f t="shared" si="4"/>
        <v/>
      </c>
      <c r="G25" s="72">
        <f>SUM(Jan!G25, Feb!G25, Mar!G25)</f>
        <v>0</v>
      </c>
      <c r="H25" s="72">
        <f>SUM(Jan!H25, Feb!H25, Mar!H25)</f>
        <v>0</v>
      </c>
      <c r="I25" s="71" t="str">
        <f t="shared" si="5"/>
        <v/>
      </c>
    </row>
    <row r="26" spans="1:9" ht="15.6">
      <c r="A26" s="47" t="str">
        <v>Taos County - Kit Carson Electric Co-Op</v>
      </c>
      <c r="B26" s="27" t="str">
        <v>NM</v>
      </c>
      <c r="C26" s="28">
        <f>SUM(Jan!C26, Feb!C26, Mar!C26)</f>
        <v>0</v>
      </c>
      <c r="D26" s="29">
        <f>SUM(Jan!D26, Feb!D26, Mar!D26)</f>
        <v>0</v>
      </c>
      <c r="E26" s="29">
        <f t="shared" si="3"/>
        <v>0</v>
      </c>
      <c r="F26" s="30" t="str">
        <f t="shared" si="4"/>
        <v/>
      </c>
      <c r="G26" s="31">
        <f>SUM(Jan!G26, Feb!G26, Mar!G26)</f>
        <v>0</v>
      </c>
      <c r="H26" s="31">
        <f>SUM(Jan!H26, Feb!H26, Mar!H26)</f>
        <v>0</v>
      </c>
      <c r="I26" s="32" t="str">
        <f t="shared" si="5"/>
        <v/>
      </c>
    </row>
    <row r="27" spans="1:9" ht="15.6">
      <c r="A27" s="48" t="str">
        <v>Commerce City - Adams City HS</v>
      </c>
      <c r="B27" s="34" t="str">
        <v>CO</v>
      </c>
      <c r="C27" s="35">
        <f>SUM(Jan!C27, Feb!C27, Mar!C27)</f>
        <v>0</v>
      </c>
      <c r="D27" s="36">
        <f>SUM(Jan!D27, Feb!D27, Mar!D27)</f>
        <v>0</v>
      </c>
      <c r="E27" s="36">
        <f t="shared" si="3"/>
        <v>0</v>
      </c>
      <c r="F27" s="71" t="str">
        <f t="shared" si="4"/>
        <v/>
      </c>
      <c r="G27" s="72">
        <f>SUM(Jan!G27, Feb!G27, Mar!G27)</f>
        <v>0</v>
      </c>
      <c r="H27" s="72">
        <f>SUM(Jan!H27, Feb!H27, Mar!H27)</f>
        <v>0</v>
      </c>
      <c r="I27" s="71" t="str">
        <f t="shared" si="5"/>
        <v/>
      </c>
    </row>
    <row r="28" spans="1:9" ht="15.6">
      <c r="A28" s="47" t="str">
        <v>Commerce City - Adams City MS</v>
      </c>
      <c r="B28" s="27" t="str">
        <v>CO</v>
      </c>
      <c r="C28" s="28">
        <f>SUM(Jan!C28, Feb!C28, Mar!C28)</f>
        <v>0</v>
      </c>
      <c r="D28" s="29">
        <f>SUM(Jan!D28, Feb!D28, Mar!D28)</f>
        <v>0</v>
      </c>
      <c r="E28" s="29">
        <f t="shared" si="3"/>
        <v>0</v>
      </c>
      <c r="F28" s="30" t="str">
        <f t="shared" si="4"/>
        <v/>
      </c>
      <c r="G28" s="31">
        <f>SUM(Jan!G28, Feb!G28, Mar!G28)</f>
        <v>0</v>
      </c>
      <c r="H28" s="31">
        <f>SUM(Jan!H28, Feb!H28, Mar!H28)</f>
        <v>0</v>
      </c>
      <c r="I28" s="32" t="str">
        <f t="shared" si="5"/>
        <v/>
      </c>
    </row>
    <row r="29" spans="1:9" ht="15.6">
      <c r="A29" s="48" t="str">
        <v>Commerce City - Central ES</v>
      </c>
      <c r="B29" s="34" t="str">
        <v>CO</v>
      </c>
      <c r="C29" s="35">
        <f>SUM(Jan!C29, Feb!C29, Mar!C29)</f>
        <v>0</v>
      </c>
      <c r="D29" s="36">
        <f>SUM(Jan!D29, Feb!D29, Mar!D29)</f>
        <v>0</v>
      </c>
      <c r="E29" s="36">
        <f t="shared" si="3"/>
        <v>0</v>
      </c>
      <c r="F29" s="71" t="str">
        <f t="shared" si="4"/>
        <v/>
      </c>
      <c r="G29" s="72">
        <f>SUM(Jan!G29, Feb!G29, Mar!G29)</f>
        <v>0</v>
      </c>
      <c r="H29" s="72">
        <f>SUM(Jan!H29, Feb!H29, Mar!H29)</f>
        <v>0</v>
      </c>
      <c r="I29" s="71" t="str">
        <f t="shared" si="5"/>
        <v/>
      </c>
    </row>
    <row r="30" spans="1:9" ht="15.6">
      <c r="A30" s="47" t="str">
        <v>Commerce City - Dupont ES</v>
      </c>
      <c r="B30" s="27" t="str">
        <v>CO</v>
      </c>
      <c r="C30" s="28">
        <f>SUM(Jan!C30, Feb!C30, Mar!C30)</f>
        <v>0</v>
      </c>
      <c r="D30" s="29">
        <f>SUM(Jan!D30, Feb!D30, Mar!D30)</f>
        <v>0</v>
      </c>
      <c r="E30" s="29">
        <f t="shared" si="3"/>
        <v>0</v>
      </c>
      <c r="F30" s="30" t="str">
        <f t="shared" si="4"/>
        <v/>
      </c>
      <c r="G30" s="31">
        <f>SUM(Jan!G30, Feb!G30, Mar!G30)</f>
        <v>0</v>
      </c>
      <c r="H30" s="31">
        <f>SUM(Jan!H30, Feb!H30, Mar!H30)</f>
        <v>0</v>
      </c>
      <c r="I30" s="32" t="str">
        <f t="shared" si="5"/>
        <v/>
      </c>
    </row>
    <row r="31" spans="1:9" ht="15.6">
      <c r="A31" s="48" t="str">
        <v>Commerce City - Educational Support Services</v>
      </c>
      <c r="B31" s="34" t="str">
        <v>CO</v>
      </c>
      <c r="C31" s="35">
        <f>SUM(Jan!C31, Feb!C31, Mar!C31)</f>
        <v>0</v>
      </c>
      <c r="D31" s="36">
        <f>SUM(Jan!D31, Feb!D31, Mar!D31)</f>
        <v>0</v>
      </c>
      <c r="E31" s="36">
        <f t="shared" si="3"/>
        <v>0</v>
      </c>
      <c r="F31" s="71" t="str">
        <f t="shared" si="4"/>
        <v/>
      </c>
      <c r="G31" s="72">
        <f>SUM(Jan!G31, Feb!G31, Mar!G31)</f>
        <v>0</v>
      </c>
      <c r="H31" s="72">
        <f>SUM(Jan!H31, Feb!H31, Mar!H31)</f>
        <v>0</v>
      </c>
      <c r="I31" s="71" t="str">
        <f t="shared" si="5"/>
        <v/>
      </c>
    </row>
    <row r="32" spans="1:9" ht="15.6">
      <c r="A32" s="47" t="str">
        <v>Commerce City - Hanson ES</v>
      </c>
      <c r="B32" s="27" t="str">
        <v>CO</v>
      </c>
      <c r="C32" s="28">
        <f>SUM(Jan!C32, Feb!C32, Mar!C32)</f>
        <v>0</v>
      </c>
      <c r="D32" s="29">
        <f>SUM(Jan!D32, Feb!D32, Mar!D32)</f>
        <v>0</v>
      </c>
      <c r="E32" s="29">
        <f t="shared" si="3"/>
        <v>0</v>
      </c>
      <c r="F32" s="30" t="str">
        <f t="shared" si="4"/>
        <v/>
      </c>
      <c r="G32" s="31">
        <f>SUM(Jan!G32, Feb!G32, Mar!G32)</f>
        <v>0</v>
      </c>
      <c r="H32" s="31">
        <f>SUM(Jan!H32, Feb!H32, Mar!H32)</f>
        <v>0</v>
      </c>
      <c r="I32" s="32" t="str">
        <f t="shared" si="5"/>
        <v/>
      </c>
    </row>
    <row r="33" spans="1:9" ht="15.6">
      <c r="A33" s="48" t="str">
        <v>Commerce City - Kemp ES</v>
      </c>
      <c r="B33" s="34" t="str">
        <v>CO</v>
      </c>
      <c r="C33" s="35">
        <f>SUM(Jan!C33, Feb!C33, Mar!C33)</f>
        <v>0</v>
      </c>
      <c r="D33" s="36">
        <f>SUM(Jan!D33, Feb!D33, Mar!D33)</f>
        <v>0</v>
      </c>
      <c r="E33" s="36">
        <f t="shared" si="3"/>
        <v>0</v>
      </c>
      <c r="F33" s="71" t="str">
        <f t="shared" si="4"/>
        <v/>
      </c>
      <c r="G33" s="72">
        <f>SUM(Jan!G33, Feb!G33, Mar!G33)</f>
        <v>0</v>
      </c>
      <c r="H33" s="72">
        <f>SUM(Jan!H33, Feb!H33, Mar!H33)</f>
        <v>0</v>
      </c>
      <c r="I33" s="71" t="str">
        <f t="shared" si="5"/>
        <v/>
      </c>
    </row>
    <row r="34" spans="1:9" ht="15.6">
      <c r="A34" s="47" t="str">
        <v>Commerce City -  Lester Arnold HS</v>
      </c>
      <c r="B34" s="27" t="str">
        <v>CO</v>
      </c>
      <c r="C34" s="28">
        <f>SUM(Jan!C34, Feb!C34, Mar!C34)</f>
        <v>0</v>
      </c>
      <c r="D34" s="29">
        <f>SUM(Jan!D34, Feb!D34, Mar!D34)</f>
        <v>0</v>
      </c>
      <c r="E34" s="29">
        <f t="shared" si="3"/>
        <v>0</v>
      </c>
      <c r="F34" s="30" t="str">
        <f t="shared" si="4"/>
        <v/>
      </c>
      <c r="G34" s="31">
        <f>SUM(Jan!G34, Feb!G34, Mar!G34)</f>
        <v>0</v>
      </c>
      <c r="H34" s="31">
        <f>SUM(Jan!H34, Feb!H34, Mar!H34)</f>
        <v>0</v>
      </c>
      <c r="I34" s="32" t="str">
        <f t="shared" si="5"/>
        <v/>
      </c>
    </row>
    <row r="35" spans="1:9" ht="15.6">
      <c r="A35" s="48" t="str">
        <v>Commerce City - Monaco ES</v>
      </c>
      <c r="B35" s="34" t="str">
        <v>CO</v>
      </c>
      <c r="C35" s="35">
        <f>SUM(Jan!C35, Feb!C35, Mar!C35)</f>
        <v>0</v>
      </c>
      <c r="D35" s="36">
        <f>SUM(Jan!D35, Feb!D35, Mar!D35)</f>
        <v>0</v>
      </c>
      <c r="E35" s="36">
        <f t="shared" si="3"/>
        <v>0</v>
      </c>
      <c r="F35" s="71" t="str">
        <f t="shared" si="4"/>
        <v/>
      </c>
      <c r="G35" s="72">
        <f>SUM(Jan!G35, Feb!G35, Mar!G35)</f>
        <v>0</v>
      </c>
      <c r="H35" s="72">
        <f>SUM(Jan!H35, Feb!H35, Mar!H35)</f>
        <v>0</v>
      </c>
      <c r="I35" s="71" t="str">
        <f t="shared" si="5"/>
        <v/>
      </c>
    </row>
    <row r="36" spans="1:9" ht="15.6">
      <c r="A36" s="47" t="str">
        <v>Denver - Northgate / Old Fort Logan ES</v>
      </c>
      <c r="B36" s="27" t="str">
        <v>CO</v>
      </c>
      <c r="C36" s="28">
        <f>SUM(Jan!C36, Feb!C36, Mar!C36)</f>
        <v>0</v>
      </c>
      <c r="D36" s="29">
        <f>SUM(Jan!D36, Feb!D36, Mar!D36)</f>
        <v>0</v>
      </c>
      <c r="E36" s="29">
        <f t="shared" si="3"/>
        <v>0</v>
      </c>
      <c r="F36" s="30" t="str">
        <f t="shared" si="4"/>
        <v/>
      </c>
      <c r="G36" s="31">
        <f>SUM(Jan!G36, Feb!G36, Mar!G36)</f>
        <v>0</v>
      </c>
      <c r="H36" s="31">
        <f>SUM(Jan!H36, Feb!H36, Mar!H36)</f>
        <v>0</v>
      </c>
      <c r="I36" s="32" t="str">
        <f t="shared" si="5"/>
        <v/>
      </c>
    </row>
    <row r="37" spans="1:9" ht="15.6">
      <c r="A37" s="48" t="str">
        <v>Denver - Sheridan High School</v>
      </c>
      <c r="B37" s="34" t="str">
        <v>CO</v>
      </c>
      <c r="C37" s="35">
        <f>SUM(Jan!C37, Feb!C37, Mar!C37)</f>
        <v>0</v>
      </c>
      <c r="D37" s="36">
        <f>SUM(Jan!D37, Feb!D37, Mar!D37)</f>
        <v>0</v>
      </c>
      <c r="E37" s="36">
        <f t="shared" si="3"/>
        <v>0</v>
      </c>
      <c r="F37" s="71" t="str">
        <f t="shared" si="4"/>
        <v/>
      </c>
      <c r="G37" s="72">
        <f>SUM(Jan!G37, Feb!G37, Mar!G37)</f>
        <v>0</v>
      </c>
      <c r="H37" s="72">
        <f>SUM(Jan!H37, Feb!H37, Mar!H37)</f>
        <v>0</v>
      </c>
      <c r="I37" s="71" t="str">
        <f t="shared" si="5"/>
        <v/>
      </c>
    </row>
    <row r="38" spans="1:9" ht="15.6">
      <c r="A38" s="47" t="str">
        <v>Englewood -  Alice Terry Elementary</v>
      </c>
      <c r="B38" s="27" t="str">
        <v>CO</v>
      </c>
      <c r="C38" s="28">
        <f>SUM(Jan!C38, Feb!C38, Mar!C38)</f>
        <v>0</v>
      </c>
      <c r="D38" s="29">
        <f>SUM(Jan!D38, Feb!D38, Mar!D38)</f>
        <v>0</v>
      </c>
      <c r="E38" s="29">
        <f t="shared" si="3"/>
        <v>0</v>
      </c>
      <c r="F38" s="30" t="str">
        <f t="shared" si="4"/>
        <v/>
      </c>
      <c r="G38" s="31">
        <f>SUM(Jan!G38, Feb!G38, Mar!G38)</f>
        <v>0</v>
      </c>
      <c r="H38" s="31">
        <f>SUM(Jan!H38, Feb!H38, Mar!H38)</f>
        <v>0</v>
      </c>
      <c r="I38" s="32" t="str">
        <f t="shared" si="5"/>
        <v/>
      </c>
    </row>
    <row r="39" spans="1:9" ht="15.6">
      <c r="A39" s="48" t="str">
        <v>Englewood - Sheridan Middle School</v>
      </c>
      <c r="B39" s="34" t="str">
        <v>CO</v>
      </c>
      <c r="C39" s="35">
        <f>SUM(Jan!C39, Feb!C39, Mar!C39)</f>
        <v>0</v>
      </c>
      <c r="D39" s="36">
        <f>SUM(Jan!D39, Feb!D39, Mar!D39)</f>
        <v>0</v>
      </c>
      <c r="E39" s="36">
        <f t="shared" si="3"/>
        <v>0</v>
      </c>
      <c r="F39" s="71" t="str">
        <f t="shared" si="4"/>
        <v/>
      </c>
      <c r="G39" s="72">
        <f>SUM(Jan!G39, Feb!G39, Mar!G39)</f>
        <v>0</v>
      </c>
      <c r="H39" s="72">
        <f>SUM(Jan!H39, Feb!H39, Mar!H39)</f>
        <v>0</v>
      </c>
      <c r="I39" s="71" t="str">
        <f t="shared" si="5"/>
        <v/>
      </c>
    </row>
    <row r="40" spans="1:9" ht="15.6">
      <c r="A40" s="47" t="str">
        <v>Goshen - NIPSCO</v>
      </c>
      <c r="B40" s="27" t="str">
        <v>IN</v>
      </c>
      <c r="C40" s="28">
        <f>SUM(Jan!C40, Feb!C40, Mar!C40)</f>
        <v>0</v>
      </c>
      <c r="D40" s="29">
        <f>SUM(Jan!D40, Feb!D40, Mar!D40)</f>
        <v>0</v>
      </c>
      <c r="E40" s="29">
        <f t="shared" si="3"/>
        <v>0</v>
      </c>
      <c r="F40" s="30" t="str">
        <f t="shared" si="4"/>
        <v/>
      </c>
      <c r="G40" s="31">
        <f>SUM(Jan!G40, Feb!G40, Mar!G40)</f>
        <v>0</v>
      </c>
      <c r="H40" s="31">
        <f>SUM(Jan!H40, Feb!H40, Mar!H40)</f>
        <v>0</v>
      </c>
      <c r="I40" s="32" t="str">
        <f t="shared" si="5"/>
        <v/>
      </c>
    </row>
    <row r="41" spans="1:9" ht="15.6">
      <c r="A41" s="48" t="str">
        <v>Alamogordo - City of Alamogordo - Effluent</v>
      </c>
      <c r="B41" s="34" t="str">
        <v>NM</v>
      </c>
      <c r="C41" s="35">
        <f>SUM(Jan!C41, Feb!C41, Mar!C41)</f>
        <v>0</v>
      </c>
      <c r="D41" s="36">
        <f>SUM(Jan!D41, Feb!D41, Mar!D41)</f>
        <v>0</v>
      </c>
      <c r="E41" s="36">
        <f t="shared" si="3"/>
        <v>0</v>
      </c>
      <c r="F41" s="71" t="str">
        <f t="shared" si="4"/>
        <v/>
      </c>
      <c r="G41" s="72">
        <f>SUM(Jan!G41, Feb!G41, Mar!G41)</f>
        <v>0</v>
      </c>
      <c r="H41" s="72">
        <f>SUM(Jan!H41, Feb!H41, Mar!H41)</f>
        <v>0</v>
      </c>
      <c r="I41" s="71" t="str">
        <f t="shared" si="5"/>
        <v/>
      </c>
    </row>
    <row r="42" spans="1:9" ht="15.6">
      <c r="A42" s="47" t="str">
        <v>Alamogordo - City of Alamogordo - WWTP</v>
      </c>
      <c r="B42" s="27" t="str">
        <v>NM</v>
      </c>
      <c r="C42" s="28">
        <f>SUM(Jan!C42, Feb!C42, Mar!C42)</f>
        <v>0</v>
      </c>
      <c r="D42" s="29">
        <f>SUM(Jan!D42, Feb!D42, Mar!D42)</f>
        <v>0</v>
      </c>
      <c r="E42" s="29">
        <f t="shared" si="3"/>
        <v>0</v>
      </c>
      <c r="F42" s="30" t="str">
        <f t="shared" si="4"/>
        <v/>
      </c>
      <c r="G42" s="31">
        <f>SUM(Jan!G42, Feb!G42, Mar!G42)</f>
        <v>0</v>
      </c>
      <c r="H42" s="31">
        <f>SUM(Jan!H42, Feb!H42, Mar!H42)</f>
        <v>0</v>
      </c>
      <c r="I42" s="32" t="str">
        <f t="shared" si="5"/>
        <v/>
      </c>
    </row>
    <row r="43" spans="1:9" ht="15.6">
      <c r="A43" s="48" t="str">
        <v>Deming - Bilbo Booster</v>
      </c>
      <c r="B43" s="34" t="str">
        <v>NM</v>
      </c>
      <c r="C43" s="35">
        <f>SUM(Jan!C43, Feb!C43, Mar!C43)</f>
        <v>0</v>
      </c>
      <c r="D43" s="36">
        <f>SUM(Jan!D43, Feb!D43, Mar!D43)</f>
        <v>0</v>
      </c>
      <c r="E43" s="36">
        <f t="shared" si="3"/>
        <v>0</v>
      </c>
      <c r="F43" s="71" t="str">
        <f t="shared" si="4"/>
        <v/>
      </c>
      <c r="G43" s="72">
        <f>SUM(Jan!G43, Feb!G43, Mar!G43)</f>
        <v>0</v>
      </c>
      <c r="H43" s="72">
        <f>SUM(Jan!H43, Feb!H43, Mar!H43)</f>
        <v>0</v>
      </c>
      <c r="I43" s="71" t="str">
        <f t="shared" si="5"/>
        <v/>
      </c>
    </row>
    <row r="44" spans="1:9" ht="15.6">
      <c r="A44" s="47" t="str">
        <v>Deming - Bilbo Well</v>
      </c>
      <c r="B44" s="27" t="str">
        <v>NM</v>
      </c>
      <c r="C44" s="28">
        <f>SUM(Jan!C44, Feb!C44, Mar!C44)</f>
        <v>0</v>
      </c>
      <c r="D44" s="29">
        <f>SUM(Jan!D44, Feb!D44, Mar!D44)</f>
        <v>0</v>
      </c>
      <c r="E44" s="29">
        <f t="shared" si="3"/>
        <v>0</v>
      </c>
      <c r="F44" s="30" t="str">
        <f t="shared" si="4"/>
        <v/>
      </c>
      <c r="G44" s="31">
        <f>SUM(Jan!G44, Feb!G44, Mar!G44)</f>
        <v>0</v>
      </c>
      <c r="H44" s="31">
        <f>SUM(Jan!H44, Feb!H44, Mar!H44)</f>
        <v>0</v>
      </c>
      <c r="I44" s="32" t="str">
        <f t="shared" si="5"/>
        <v/>
      </c>
    </row>
    <row r="45" spans="1:9" ht="15.6">
      <c r="A45" s="48" t="str">
        <v>Deming - WWTP</v>
      </c>
      <c r="B45" s="34" t="str">
        <v>NM</v>
      </c>
      <c r="C45" s="35">
        <f>SUM(Jan!C45, Feb!C45, Mar!C45)</f>
        <v>0</v>
      </c>
      <c r="D45" s="36">
        <f>SUM(Jan!D45, Feb!D45, Mar!D45)</f>
        <v>0</v>
      </c>
      <c r="E45" s="36">
        <f t="shared" si="3"/>
        <v>0</v>
      </c>
      <c r="F45" s="71" t="str">
        <f t="shared" si="4"/>
        <v/>
      </c>
      <c r="G45" s="72">
        <f>SUM(Jan!G45, Feb!G45, Mar!G45)</f>
        <v>0</v>
      </c>
      <c r="H45" s="72">
        <f>SUM(Jan!H45, Feb!H45, Mar!H45)</f>
        <v>0</v>
      </c>
      <c r="I45" s="71" t="str">
        <f t="shared" si="5"/>
        <v/>
      </c>
    </row>
    <row r="46" spans="1:9" ht="15.6">
      <c r="A46" s="47" t="str">
        <v>Truth or Consequences - Walmart</v>
      </c>
      <c r="B46" s="27" t="str">
        <v>NM</v>
      </c>
      <c r="C46" s="28">
        <f>SUM(Jan!C46, Feb!C46, Mar!C46)</f>
        <v>0</v>
      </c>
      <c r="D46" s="29">
        <f>SUM(Jan!D46, Feb!D46, Mar!D46)</f>
        <v>0</v>
      </c>
      <c r="E46" s="29">
        <f t="shared" si="3"/>
        <v>0</v>
      </c>
      <c r="F46" s="30" t="str">
        <f t="shared" si="4"/>
        <v/>
      </c>
      <c r="G46" s="31">
        <f>SUM(Jan!G46, Feb!G46, Mar!G46)</f>
        <v>0</v>
      </c>
      <c r="H46" s="31">
        <f>SUM(Jan!H46, Feb!H46, Mar!H46)</f>
        <v>0</v>
      </c>
      <c r="I46" s="32" t="str">
        <f t="shared" si="5"/>
        <v/>
      </c>
    </row>
    <row r="47" spans="1:9" ht="15.6">
      <c r="A47" s="48" t="str">
        <v>CA: Stockton - SUSD - Merlo</v>
      </c>
      <c r="B47" s="34" t="str">
        <v>CA</v>
      </c>
      <c r="C47" s="35">
        <f>SUM(Jan!C47, Feb!C47, Mar!C47)</f>
        <v>0</v>
      </c>
      <c r="D47" s="36">
        <f>SUM(Jan!D47, Feb!D47, Mar!D47)</f>
        <v>0</v>
      </c>
      <c r="E47" s="36">
        <f t="shared" ref="E47:E75" si="6">IF(AND(ISNUMBER(C47),ISNUMBER(D47)), C47-D47, "")</f>
        <v>0</v>
      </c>
      <c r="F47" s="71" t="str">
        <f t="shared" ref="F47:F75" si="7">IFERROR(E47/D47, "")</f>
        <v/>
      </c>
      <c r="G47" s="72">
        <f>SUM(Jan!G47, Feb!G47, Mar!G47)</f>
        <v>0</v>
      </c>
      <c r="H47" s="72">
        <f>SUM(Jan!H47, Feb!H47, Mar!H47)</f>
        <v>0</v>
      </c>
      <c r="I47" s="71" t="str">
        <f t="shared" ref="I47:I75" si="8">IFERROR(H47/G47, "")</f>
        <v/>
      </c>
    </row>
    <row r="48" spans="1:9" ht="15.6">
      <c r="A48" s="47" t="str">
        <v>Stockton Unified School Dist. - Bush Elementary</v>
      </c>
      <c r="B48" s="27" t="str">
        <v>CA</v>
      </c>
      <c r="C48" s="28">
        <f>SUM(Jan!C48, Feb!C48, Mar!C48)</f>
        <v>0</v>
      </c>
      <c r="D48" s="29">
        <f>SUM(Jan!D48, Feb!D48, Mar!D48)</f>
        <v>0</v>
      </c>
      <c r="E48" s="29">
        <f t="shared" si="6"/>
        <v>0</v>
      </c>
      <c r="F48" s="30" t="str">
        <f t="shared" si="7"/>
        <v/>
      </c>
      <c r="G48" s="31">
        <f>SUM(Jan!G48, Feb!G48, Mar!G48)</f>
        <v>0</v>
      </c>
      <c r="H48" s="31">
        <f>SUM(Jan!H48, Feb!H48, Mar!H48)</f>
        <v>0</v>
      </c>
      <c r="I48" s="32" t="str">
        <f t="shared" si="8"/>
        <v/>
      </c>
    </row>
    <row r="49" spans="1:9" ht="15.6">
      <c r="A49" s="48" t="str">
        <v>CA: Stockton - SUSD - Marshall JHS</v>
      </c>
      <c r="B49" s="34" t="str">
        <v>CA</v>
      </c>
      <c r="C49" s="35">
        <f>SUM(Jan!C49, Feb!C49, Mar!C49)</f>
        <v>0</v>
      </c>
      <c r="D49" s="36">
        <f>SUM(Jan!D49, Feb!D49, Mar!D49)</f>
        <v>0</v>
      </c>
      <c r="E49" s="36">
        <f t="shared" si="6"/>
        <v>0</v>
      </c>
      <c r="F49" s="71" t="str">
        <f t="shared" si="7"/>
        <v/>
      </c>
      <c r="G49" s="72">
        <f>SUM(Jan!G49, Feb!G49, Mar!G49)</f>
        <v>0</v>
      </c>
      <c r="H49" s="72">
        <f>SUM(Jan!H49, Feb!H49, Mar!H49)</f>
        <v>0</v>
      </c>
      <c r="I49" s="71" t="str">
        <f t="shared" si="8"/>
        <v/>
      </c>
    </row>
    <row r="50" spans="1:9" ht="15.6">
      <c r="A50" s="47" t="str">
        <v>CA: Stockton - SUSD - Hong-Kingston ES</v>
      </c>
      <c r="B50" s="27" t="str">
        <v>CA</v>
      </c>
      <c r="C50" s="28">
        <f>SUM(Jan!C50, Feb!C50, Mar!C50)</f>
        <v>0</v>
      </c>
      <c r="D50" s="29">
        <f>SUM(Jan!D50, Feb!D50, Mar!D50)</f>
        <v>0</v>
      </c>
      <c r="E50" s="29">
        <f t="shared" si="6"/>
        <v>0</v>
      </c>
      <c r="F50" s="30" t="str">
        <f t="shared" si="7"/>
        <v/>
      </c>
      <c r="G50" s="31">
        <f>SUM(Jan!G50, Feb!G50, Mar!G50)</f>
        <v>0</v>
      </c>
      <c r="H50" s="31">
        <f>SUM(Jan!H50, Feb!H50, Mar!H50)</f>
        <v>0</v>
      </c>
      <c r="I50" s="32" t="str">
        <f t="shared" si="8"/>
        <v/>
      </c>
    </row>
    <row r="51" spans="1:9" ht="15.6">
      <c r="A51" s="48" t="str">
        <v>CA: Stockton - SUSD - Hamilton ES</v>
      </c>
      <c r="B51" s="34" t="str">
        <v>CA</v>
      </c>
      <c r="C51" s="35">
        <f>SUM(Jan!C51, Feb!C51, Mar!C51)</f>
        <v>0</v>
      </c>
      <c r="D51" s="36">
        <f>SUM(Jan!D51, Feb!D51, Mar!D51)</f>
        <v>0</v>
      </c>
      <c r="E51" s="36">
        <f t="shared" si="6"/>
        <v>0</v>
      </c>
      <c r="F51" s="71" t="str">
        <f t="shared" si="7"/>
        <v/>
      </c>
      <c r="G51" s="72">
        <f>SUM(Jan!G51, Feb!G51, Mar!G51)</f>
        <v>0</v>
      </c>
      <c r="H51" s="72">
        <f>SUM(Jan!H51, Feb!H51, Mar!H51)</f>
        <v>0</v>
      </c>
      <c r="I51" s="71" t="str">
        <f t="shared" si="8"/>
        <v/>
      </c>
    </row>
    <row r="52" spans="1:9" ht="15.6">
      <c r="A52" s="47" t="str">
        <v>CA: Stockton - SUSD - Franklin - North</v>
      </c>
      <c r="B52" s="27" t="str">
        <v>CA</v>
      </c>
      <c r="C52" s="28">
        <f>SUM(Jan!C52, Feb!C52, Mar!C52)</f>
        <v>0</v>
      </c>
      <c r="D52" s="29">
        <f>SUM(Jan!D52, Feb!D52, Mar!D52)</f>
        <v>0</v>
      </c>
      <c r="E52" s="29">
        <f t="shared" si="6"/>
        <v>0</v>
      </c>
      <c r="F52" s="30" t="str">
        <f t="shared" si="7"/>
        <v/>
      </c>
      <c r="G52" s="31">
        <f>SUM(Jan!G52, Feb!G52, Mar!G52)</f>
        <v>0</v>
      </c>
      <c r="H52" s="31">
        <f>SUM(Jan!H52, Feb!H52, Mar!H52)</f>
        <v>0</v>
      </c>
      <c r="I52" s="32" t="str">
        <f t="shared" si="8"/>
        <v/>
      </c>
    </row>
    <row r="53" spans="1:9" ht="15.6">
      <c r="A53" s="48" t="str">
        <v>Stockton Unified School Dist. - Fillmore Elementary</v>
      </c>
      <c r="B53" s="34" t="str">
        <v>CA</v>
      </c>
      <c r="C53" s="35">
        <f>SUM(Jan!C53, Feb!C53, Mar!C53)</f>
        <v>0</v>
      </c>
      <c r="D53" s="36">
        <f>SUM(Jan!D53, Feb!D53, Mar!D53)</f>
        <v>0</v>
      </c>
      <c r="E53" s="36">
        <f t="shared" si="6"/>
        <v>0</v>
      </c>
      <c r="F53" s="71" t="str">
        <f t="shared" si="7"/>
        <v/>
      </c>
      <c r="G53" s="72">
        <f>SUM(Jan!G53, Feb!G53, Mar!G53)</f>
        <v>0</v>
      </c>
      <c r="H53" s="72">
        <f>SUM(Jan!H53, Feb!H53, Mar!H53)</f>
        <v>0</v>
      </c>
      <c r="I53" s="71" t="str">
        <f t="shared" si="8"/>
        <v/>
      </c>
    </row>
    <row r="54" spans="1:9" ht="15.6">
      <c r="A54" s="47" t="str">
        <v>CA: Stockton - SUSD - El Dorado ES</v>
      </c>
      <c r="B54" s="27" t="str">
        <v>CA</v>
      </c>
      <c r="C54" s="28">
        <f>SUM(Jan!C54, Feb!C54, Mar!C54)</f>
        <v>0</v>
      </c>
      <c r="D54" s="29">
        <f>SUM(Jan!D54, Feb!D54, Mar!D54)</f>
        <v>0</v>
      </c>
      <c r="E54" s="29">
        <f t="shared" si="6"/>
        <v>0</v>
      </c>
      <c r="F54" s="30" t="str">
        <f t="shared" si="7"/>
        <v/>
      </c>
      <c r="G54" s="31">
        <f>SUM(Jan!G54, Feb!G54, Mar!G54)</f>
        <v>0</v>
      </c>
      <c r="H54" s="31">
        <f>SUM(Jan!H54, Feb!H54, Mar!H54)</f>
        <v>0</v>
      </c>
      <c r="I54" s="32" t="str">
        <f t="shared" si="8"/>
        <v/>
      </c>
    </row>
    <row r="55" spans="1:9" ht="15.6">
      <c r="A55" s="48" t="str">
        <v>CA: Stockton - SUSD - Edison HS</v>
      </c>
      <c r="B55" s="34" t="str">
        <v>CA</v>
      </c>
      <c r="C55" s="35">
        <f>SUM(Jan!C55, Feb!C55, Mar!C55)</f>
        <v>0</v>
      </c>
      <c r="D55" s="36">
        <f>SUM(Jan!D55, Feb!D55, Mar!D55)</f>
        <v>0</v>
      </c>
      <c r="E55" s="36">
        <f t="shared" si="6"/>
        <v>0</v>
      </c>
      <c r="F55" s="71" t="str">
        <f t="shared" si="7"/>
        <v/>
      </c>
      <c r="G55" s="72">
        <f>SUM(Jan!G55, Feb!G55, Mar!G55)</f>
        <v>0</v>
      </c>
      <c r="H55" s="72">
        <f>SUM(Jan!H55, Feb!H55, Mar!H55)</f>
        <v>0</v>
      </c>
      <c r="I55" s="71" t="str">
        <f t="shared" si="8"/>
        <v/>
      </c>
    </row>
    <row r="56" spans="1:9" ht="15.6">
      <c r="A56" s="47" t="str">
        <v>CA: Stockton - SUSD - Chavez HS - Large</v>
      </c>
      <c r="B56" s="27" t="str">
        <v>CA</v>
      </c>
      <c r="C56" s="28">
        <f>SUM(Jan!C56, Feb!C56, Mar!C56)</f>
        <v>0</v>
      </c>
      <c r="D56" s="29">
        <f>SUM(Jan!D56, Feb!D56, Mar!D56)</f>
        <v>0</v>
      </c>
      <c r="E56" s="29">
        <f t="shared" si="6"/>
        <v>0</v>
      </c>
      <c r="F56" s="30" t="str">
        <f t="shared" si="7"/>
        <v/>
      </c>
      <c r="G56" s="31">
        <f>SUM(Jan!G56, Feb!G56, Mar!G56)</f>
        <v>0</v>
      </c>
      <c r="H56" s="31">
        <f>SUM(Jan!H56, Feb!H56, Mar!H56)</f>
        <v>0</v>
      </c>
      <c r="I56" s="32" t="str">
        <f t="shared" si="8"/>
        <v/>
      </c>
    </row>
    <row r="57" spans="1:9" ht="15.6">
      <c r="A57" s="48" t="str">
        <v>CA: San Jose - GE Mobile Water</v>
      </c>
      <c r="B57" s="34" t="str">
        <v>CA</v>
      </c>
      <c r="C57" s="35">
        <f>SUM(Jan!C57, Feb!C57, Mar!C57)</f>
        <v>0</v>
      </c>
      <c r="D57" s="36">
        <f>SUM(Jan!D57, Feb!D57, Mar!D57)</f>
        <v>0</v>
      </c>
      <c r="E57" s="36">
        <f t="shared" si="6"/>
        <v>0</v>
      </c>
      <c r="F57" s="71" t="str">
        <f t="shared" si="7"/>
        <v/>
      </c>
      <c r="G57" s="72">
        <f>SUM(Jan!G57, Feb!G57, Mar!G57)</f>
        <v>0</v>
      </c>
      <c r="H57" s="72">
        <f>SUM(Jan!H57, Feb!H57, Mar!H57)</f>
        <v>0</v>
      </c>
      <c r="I57" s="71" t="str">
        <f t="shared" si="8"/>
        <v/>
      </c>
    </row>
    <row r="58" spans="1:9" ht="15.6">
      <c r="A58" s="47" t="str">
        <v>CA: San Marcos - Vallecitos Water - Lift Station</v>
      </c>
      <c r="B58" s="27" t="str">
        <v>CA</v>
      </c>
      <c r="C58" s="28">
        <f>SUM(Jan!C58, Feb!C58, Mar!C58)</f>
        <v>0</v>
      </c>
      <c r="D58" s="29">
        <f>SUM(Jan!D58, Feb!D58, Mar!D58)</f>
        <v>0</v>
      </c>
      <c r="E58" s="29">
        <f t="shared" si="6"/>
        <v>0</v>
      </c>
      <c r="F58" s="30" t="str">
        <f t="shared" si="7"/>
        <v/>
      </c>
      <c r="G58" s="31">
        <f>SUM(Jan!G58, Feb!G58, Mar!G58)</f>
        <v>0</v>
      </c>
      <c r="H58" s="31">
        <f>SUM(Jan!H58, Feb!H58, Mar!H58)</f>
        <v>0</v>
      </c>
      <c r="I58" s="32" t="str">
        <f t="shared" si="8"/>
        <v/>
      </c>
    </row>
    <row r="59" spans="1:9" ht="15.6">
      <c r="A59" s="48" t="str">
        <v>CA: San Marcos - Vallecitos Water - Twin Oaks Reservoir</v>
      </c>
      <c r="B59" s="34" t="str">
        <v>CA</v>
      </c>
      <c r="C59" s="35">
        <f>SUM(Jan!C59, Feb!C59, Mar!C59)</f>
        <v>0</v>
      </c>
      <c r="D59" s="36">
        <f>SUM(Jan!D59, Feb!D59, Mar!D59)</f>
        <v>0</v>
      </c>
      <c r="E59" s="36">
        <f t="shared" si="6"/>
        <v>0</v>
      </c>
      <c r="F59" s="71" t="str">
        <f t="shared" si="7"/>
        <v/>
      </c>
      <c r="G59" s="72">
        <f>SUM(Jan!G59, Feb!G59, Mar!G59)</f>
        <v>0</v>
      </c>
      <c r="H59" s="72">
        <f>SUM(Jan!H59, Feb!H59, Mar!H59)</f>
        <v>0</v>
      </c>
      <c r="I59" s="71" t="str">
        <f t="shared" si="8"/>
        <v/>
      </c>
    </row>
    <row r="60" spans="1:9" ht="15.6">
      <c r="A60" s="47" t="str">
        <v>CA: Stockton - SUSD - Wilhelmina Henry ES</v>
      </c>
      <c r="B60" s="27" t="str">
        <v>CA</v>
      </c>
      <c r="C60" s="28">
        <f>SUM(Jan!C60, Feb!C60, Mar!C60)</f>
        <v>0</v>
      </c>
      <c r="D60" s="29">
        <f>SUM(Jan!D60, Feb!D60, Mar!D60)</f>
        <v>0</v>
      </c>
      <c r="E60" s="29">
        <f t="shared" si="6"/>
        <v>0</v>
      </c>
      <c r="F60" s="30" t="str">
        <f t="shared" si="7"/>
        <v/>
      </c>
      <c r="G60" s="31">
        <f>SUM(Jan!G60, Feb!G60, Mar!G60)</f>
        <v>0</v>
      </c>
      <c r="H60" s="31">
        <f>SUM(Jan!H60, Feb!H60, Mar!H60)</f>
        <v>0</v>
      </c>
      <c r="I60" s="32" t="str">
        <f t="shared" si="8"/>
        <v/>
      </c>
    </row>
    <row r="61" spans="1:9" ht="15.6">
      <c r="A61" s="48" t="str">
        <v>Stockton Unified School Dist. - Franklin (North)</v>
      </c>
      <c r="B61" s="34" t="str">
        <v>CA</v>
      </c>
      <c r="C61" s="35">
        <f>SUM(Jan!C61, Feb!C61, Mar!C61)</f>
        <v>0</v>
      </c>
      <c r="D61" s="36">
        <f>SUM(Jan!D61, Feb!D61, Mar!D61)</f>
        <v>0</v>
      </c>
      <c r="E61" s="36">
        <f t="shared" si="6"/>
        <v>0</v>
      </c>
      <c r="F61" s="71" t="str">
        <f t="shared" si="7"/>
        <v/>
      </c>
      <c r="G61" s="72">
        <f>SUM(Jan!G61, Feb!G61, Mar!G61)</f>
        <v>0</v>
      </c>
      <c r="H61" s="72">
        <f>SUM(Jan!H61, Feb!H61, Mar!H61)</f>
        <v>0</v>
      </c>
      <c r="I61" s="71" t="str">
        <f t="shared" si="8"/>
        <v/>
      </c>
    </row>
    <row r="62" spans="1:9" ht="15.6">
      <c r="A62" s="47" t="str">
        <v>CA: Stockton - SUSD - Franklin - South</v>
      </c>
      <c r="B62" s="27" t="str">
        <v>CA</v>
      </c>
      <c r="C62" s="28">
        <f>SUM(Jan!C62, Feb!C62, Mar!C62)</f>
        <v>0</v>
      </c>
      <c r="D62" s="29">
        <f>SUM(Jan!D62, Feb!D62, Mar!D62)</f>
        <v>0</v>
      </c>
      <c r="E62" s="29">
        <f t="shared" si="6"/>
        <v>0</v>
      </c>
      <c r="F62" s="30" t="str">
        <f t="shared" si="7"/>
        <v/>
      </c>
      <c r="G62" s="31">
        <f>SUM(Jan!G62, Feb!G62, Mar!G62)</f>
        <v>0</v>
      </c>
      <c r="H62" s="31">
        <f>SUM(Jan!H62, Feb!H62, Mar!H62)</f>
        <v>0</v>
      </c>
      <c r="I62" s="32" t="str">
        <f t="shared" si="8"/>
        <v/>
      </c>
    </row>
    <row r="63" spans="1:9" ht="15.6">
      <c r="A63" s="48" t="str">
        <v>CA: Stockton - SUSD - Chavez HS - Small</v>
      </c>
      <c r="B63" s="34" t="str">
        <v>CA</v>
      </c>
      <c r="C63" s="35">
        <f>SUM(Jan!C63, Feb!C63, Mar!C63)</f>
        <v>0</v>
      </c>
      <c r="D63" s="36">
        <f>SUM(Jan!D63, Feb!D63, Mar!D63)</f>
        <v>0</v>
      </c>
      <c r="E63" s="36">
        <f t="shared" si="6"/>
        <v>0</v>
      </c>
      <c r="F63" s="71" t="str">
        <f t="shared" si="7"/>
        <v/>
      </c>
      <c r="G63" s="72">
        <f>SUM(Jan!G63, Feb!G63, Mar!G63)</f>
        <v>0</v>
      </c>
      <c r="H63" s="72">
        <f>SUM(Jan!H63, Feb!H63, Mar!H63)</f>
        <v>0</v>
      </c>
      <c r="I63" s="71" t="str">
        <f t="shared" si="8"/>
        <v/>
      </c>
    </row>
    <row r="64" spans="1:9" ht="15.6">
      <c r="A64" s="47" t="str">
        <v>CA: Stockton - SUSD - Facilities</v>
      </c>
      <c r="B64" s="27" t="str">
        <v>CA</v>
      </c>
      <c r="C64" s="28">
        <f>SUM(Jan!C64, Feb!C64, Mar!C64)</f>
        <v>0</v>
      </c>
      <c r="D64" s="29">
        <f>SUM(Jan!D64, Feb!D64, Mar!D64)</f>
        <v>0</v>
      </c>
      <c r="E64" s="29">
        <f t="shared" si="6"/>
        <v>0</v>
      </c>
      <c r="F64" s="30" t="str">
        <f t="shared" si="7"/>
        <v/>
      </c>
      <c r="G64" s="31">
        <f>SUM(Jan!G64, Feb!G64, Mar!G64)</f>
        <v>0</v>
      </c>
      <c r="H64" s="31">
        <f>SUM(Jan!H64, Feb!H64, Mar!H64)</f>
        <v>0</v>
      </c>
      <c r="I64" s="32" t="str">
        <f t="shared" si="8"/>
        <v/>
      </c>
    </row>
    <row r="65" spans="1:9" ht="15.6">
      <c r="A65" s="48" t="str">
        <v>CA: Stockton - SUSD - Harrison</v>
      </c>
      <c r="B65" s="34" t="str">
        <v>CA</v>
      </c>
      <c r="C65" s="35">
        <f>SUM(Jan!C65, Feb!C65, Mar!C65)</f>
        <v>0</v>
      </c>
      <c r="D65" s="36">
        <f>SUM(Jan!D65, Feb!D65, Mar!D65)</f>
        <v>0</v>
      </c>
      <c r="E65" s="36">
        <f t="shared" si="6"/>
        <v>0</v>
      </c>
      <c r="F65" s="71" t="str">
        <f t="shared" si="7"/>
        <v/>
      </c>
      <c r="G65" s="72">
        <f>SUM(Jan!G65, Feb!G65, Mar!G65)</f>
        <v>0</v>
      </c>
      <c r="H65" s="72">
        <f>SUM(Jan!H65, Feb!H65, Mar!H65)</f>
        <v>0</v>
      </c>
      <c r="I65" s="71" t="str">
        <f t="shared" si="8"/>
        <v/>
      </c>
    </row>
    <row r="66" spans="1:9" ht="15.6">
      <c r="A66" s="47" t="str">
        <v>CA: Stockton - SUSD - Commodore Skills School</v>
      </c>
      <c r="B66" s="27" t="str">
        <v>CA</v>
      </c>
      <c r="C66" s="28">
        <f>SUM(Jan!C66, Feb!C66, Mar!C66)</f>
        <v>0</v>
      </c>
      <c r="D66" s="29">
        <f>SUM(Jan!D66, Feb!D66, Mar!D66)</f>
        <v>0</v>
      </c>
      <c r="E66" s="29">
        <f t="shared" si="6"/>
        <v>0</v>
      </c>
      <c r="F66" s="30" t="str">
        <f t="shared" si="7"/>
        <v/>
      </c>
      <c r="G66" s="31">
        <f>SUM(Jan!G66, Feb!G66, Mar!G66)</f>
        <v>0</v>
      </c>
      <c r="H66" s="31">
        <f>SUM(Jan!H66, Feb!H66, Mar!H66)</f>
        <v>0</v>
      </c>
      <c r="I66" s="32" t="str">
        <f t="shared" si="8"/>
        <v/>
      </c>
    </row>
    <row r="67" spans="1:9" ht="15.6">
      <c r="A67" s="48" t="str">
        <v>CA: Stockton - SUSD - Nightingale ES</v>
      </c>
      <c r="B67" s="34" t="str">
        <v>CA</v>
      </c>
      <c r="C67" s="35">
        <f>SUM(Jan!C67, Feb!C67, Mar!C67)</f>
        <v>0</v>
      </c>
      <c r="D67" s="36">
        <f>SUM(Jan!D67, Feb!D67, Mar!D67)</f>
        <v>0</v>
      </c>
      <c r="E67" s="36">
        <f t="shared" si="6"/>
        <v>0</v>
      </c>
      <c r="F67" s="71" t="str">
        <f t="shared" si="7"/>
        <v/>
      </c>
      <c r="G67" s="72">
        <f>SUM(Jan!G67, Feb!G67, Mar!G67)</f>
        <v>0</v>
      </c>
      <c r="H67" s="72">
        <f>SUM(Jan!H67, Feb!H67, Mar!H67)</f>
        <v>0</v>
      </c>
      <c r="I67" s="71" t="str">
        <f t="shared" si="8"/>
        <v/>
      </c>
    </row>
    <row r="68" spans="1:9" ht="15.6">
      <c r="A68" s="47" t="str">
        <v>CA: Stockton - SUSD - Weber Institute</v>
      </c>
      <c r="B68" s="27" t="str">
        <v>CA</v>
      </c>
      <c r="C68" s="28">
        <f>SUM(Jan!C68, Feb!C68, Mar!C68)</f>
        <v>0</v>
      </c>
      <c r="D68" s="29">
        <f>SUM(Jan!D68, Feb!D68, Mar!D68)</f>
        <v>0</v>
      </c>
      <c r="E68" s="29">
        <f t="shared" si="6"/>
        <v>0</v>
      </c>
      <c r="F68" s="30" t="str">
        <f t="shared" si="7"/>
        <v/>
      </c>
      <c r="G68" s="31">
        <f>SUM(Jan!G68, Feb!G68, Mar!G68)</f>
        <v>0</v>
      </c>
      <c r="H68" s="31">
        <f>SUM(Jan!H68, Feb!H68, Mar!H68)</f>
        <v>0</v>
      </c>
      <c r="I68" s="32" t="str">
        <f t="shared" si="8"/>
        <v/>
      </c>
    </row>
    <row r="69" spans="1:9" ht="15.6">
      <c r="A69" s="48" t="str">
        <v>CA: Stockton - SUSD - Warehouse</v>
      </c>
      <c r="B69" s="34" t="str">
        <v>CA</v>
      </c>
      <c r="C69" s="35">
        <f>SUM(Jan!C69, Feb!C69, Mar!C69)</f>
        <v>0</v>
      </c>
      <c r="D69" s="36">
        <f>SUM(Jan!D69, Feb!D69, Mar!D69)</f>
        <v>0</v>
      </c>
      <c r="E69" s="36">
        <f t="shared" si="6"/>
        <v>0</v>
      </c>
      <c r="F69" s="71" t="str">
        <f t="shared" si="7"/>
        <v/>
      </c>
      <c r="G69" s="72">
        <f>SUM(Jan!G69, Feb!G69, Mar!G69)</f>
        <v>0</v>
      </c>
      <c r="H69" s="72">
        <f>SUM(Jan!H69, Feb!H69, Mar!H69)</f>
        <v>0</v>
      </c>
      <c r="I69" s="71" t="str">
        <f t="shared" si="8"/>
        <v/>
      </c>
    </row>
    <row r="70" spans="1:9" ht="15.6">
      <c r="A70" s="47" t="str">
        <v>CA: Stockton - SUSD - Walton Special Center</v>
      </c>
      <c r="B70" s="27" t="str">
        <v>CA</v>
      </c>
      <c r="C70" s="28">
        <f>SUM(Jan!C70, Feb!C70, Mar!C70)</f>
        <v>0</v>
      </c>
      <c r="D70" s="29">
        <f>SUM(Jan!D70, Feb!D70, Mar!D70)</f>
        <v>0</v>
      </c>
      <c r="E70" s="29">
        <f t="shared" si="6"/>
        <v>0</v>
      </c>
      <c r="F70" s="30" t="str">
        <f t="shared" si="7"/>
        <v/>
      </c>
      <c r="G70" s="31">
        <f>SUM(Jan!G70, Feb!G70, Mar!G70)</f>
        <v>0</v>
      </c>
      <c r="H70" s="31">
        <f>SUM(Jan!H70, Feb!H70, Mar!H70)</f>
        <v>0</v>
      </c>
      <c r="I70" s="32" t="str">
        <f t="shared" si="8"/>
        <v/>
      </c>
    </row>
    <row r="71" spans="1:9" ht="15.6">
      <c r="A71" s="48" t="str">
        <v>CA: Stockton - SUSD - Stagg HS</v>
      </c>
      <c r="B71" s="34" t="str">
        <v>CA</v>
      </c>
      <c r="C71" s="35">
        <f>SUM(Jan!C71, Feb!C71, Mar!C71)</f>
        <v>0</v>
      </c>
      <c r="D71" s="36">
        <f>SUM(Jan!D71, Feb!D71, Mar!D71)</f>
        <v>0</v>
      </c>
      <c r="E71" s="36">
        <f t="shared" si="6"/>
        <v>0</v>
      </c>
      <c r="F71" s="71" t="str">
        <f t="shared" si="7"/>
        <v/>
      </c>
      <c r="G71" s="72">
        <f>SUM(Jan!G71, Feb!G71, Mar!G71)</f>
        <v>0</v>
      </c>
      <c r="H71" s="72">
        <f>SUM(Jan!H71, Feb!H71, Mar!H71)</f>
        <v>0</v>
      </c>
      <c r="I71" s="71" t="str">
        <f t="shared" si="8"/>
        <v/>
      </c>
    </row>
    <row r="72" spans="1:9" ht="15.6">
      <c r="A72" s="47" t="str">
        <v>CA: Stockton - SUSD - School for Adults</v>
      </c>
      <c r="B72" s="27" t="str">
        <v>CA</v>
      </c>
      <c r="C72" s="28">
        <f>SUM(Jan!C72, Feb!C72, Mar!C72)</f>
        <v>0</v>
      </c>
      <c r="D72" s="29">
        <f>SUM(Jan!D72, Feb!D72, Mar!D72)</f>
        <v>0</v>
      </c>
      <c r="E72" s="29">
        <f t="shared" si="6"/>
        <v>0</v>
      </c>
      <c r="F72" s="30" t="str">
        <f t="shared" si="7"/>
        <v/>
      </c>
      <c r="G72" s="31">
        <f>SUM(Jan!G72, Feb!G72, Mar!G72)</f>
        <v>0</v>
      </c>
      <c r="H72" s="31">
        <f>SUM(Jan!H72, Feb!H72, Mar!H72)</f>
        <v>0</v>
      </c>
      <c r="I72" s="32" t="str">
        <f t="shared" si="8"/>
        <v/>
      </c>
    </row>
    <row r="73" spans="1:9" ht="15.6">
      <c r="A73" s="48" t="str">
        <v>CA: Stockton - SUSD - San Joaquin</v>
      </c>
      <c r="B73" s="34" t="str">
        <v>CA</v>
      </c>
      <c r="C73" s="35">
        <f>SUM(Jan!C73, Feb!C73, Mar!C73)</f>
        <v>0</v>
      </c>
      <c r="D73" s="36">
        <f>SUM(Jan!D73, Feb!D73, Mar!D73)</f>
        <v>0</v>
      </c>
      <c r="E73" s="36">
        <f t="shared" si="6"/>
        <v>0</v>
      </c>
      <c r="F73" s="71" t="str">
        <f t="shared" si="7"/>
        <v/>
      </c>
      <c r="G73" s="72">
        <f>SUM(Jan!G73, Feb!G73, Mar!G73)</f>
        <v>0</v>
      </c>
      <c r="H73" s="72">
        <f>SUM(Jan!H73, Feb!H73, Mar!H73)</f>
        <v>0</v>
      </c>
      <c r="I73" s="71" t="str">
        <f t="shared" si="8"/>
        <v/>
      </c>
    </row>
    <row r="74" spans="1:9" ht="15.6">
      <c r="A74" s="47" t="str">
        <v>CA: Stockton - SUSD - Rio Calaveras</v>
      </c>
      <c r="B74" s="27" t="str">
        <v>CA</v>
      </c>
      <c r="C74" s="28">
        <f>SUM(Jan!C74, Feb!C74, Mar!C74)</f>
        <v>0</v>
      </c>
      <c r="D74" s="29">
        <f>SUM(Jan!D74, Feb!D74, Mar!D74)</f>
        <v>0</v>
      </c>
      <c r="E74" s="29">
        <f t="shared" si="6"/>
        <v>0</v>
      </c>
      <c r="F74" s="30" t="str">
        <f t="shared" si="7"/>
        <v/>
      </c>
      <c r="G74" s="31">
        <f>SUM(Jan!G74, Feb!G74, Mar!G74)</f>
        <v>0</v>
      </c>
      <c r="H74" s="31">
        <f>SUM(Jan!H74, Feb!H74, Mar!H74)</f>
        <v>0</v>
      </c>
      <c r="I74" s="32" t="str">
        <f t="shared" si="8"/>
        <v/>
      </c>
    </row>
    <row r="75" spans="1:9" ht="15.6">
      <c r="A75" s="48" t="str">
        <v>CA: Stockton - SUSD - Peyton</v>
      </c>
      <c r="B75" s="34" t="str">
        <v>CA</v>
      </c>
      <c r="C75" s="35">
        <f>SUM(Jan!C75, Feb!C75, Mar!C75)</f>
        <v>0</v>
      </c>
      <c r="D75" s="36">
        <f>SUM(Jan!D75, Feb!D75, Mar!D75)</f>
        <v>0</v>
      </c>
      <c r="E75" s="36">
        <f t="shared" si="6"/>
        <v>0</v>
      </c>
      <c r="F75" s="71" t="str">
        <f t="shared" si="7"/>
        <v/>
      </c>
      <c r="G75" s="72">
        <f>SUM(Jan!G75, Feb!G75, Mar!G75)</f>
        <v>0</v>
      </c>
      <c r="H75" s="72">
        <f>SUM(Jan!H75, Feb!H75, Mar!H75)</f>
        <v>0</v>
      </c>
      <c r="I75" s="71" t="str">
        <f t="shared" si="8"/>
        <v/>
      </c>
    </row>
    <row r="76" spans="1:9" ht="15.6">
      <c r="A76" s="47" t="str">
        <v>TX: Barnhart - 42917 Ranch RD 2469</v>
      </c>
      <c r="B76" s="27" t="str">
        <v>TX</v>
      </c>
      <c r="C76" s="28">
        <f>SUM(Jan!C76, Feb!C76, Mar!C76)</f>
        <v>0</v>
      </c>
      <c r="D76" s="29">
        <f>SUM(Jan!D76, Feb!D76, Mar!D76)</f>
        <v>0</v>
      </c>
      <c r="E76" s="29">
        <f t="shared" ref="E76:E85" si="9">IF(AND(ISNUMBER(C76),ISNUMBER(D76)), C76-D76, "")</f>
        <v>0</v>
      </c>
      <c r="F76" s="30" t="str">
        <f t="shared" ref="F76:F85" si="10">IFERROR(E76/D76, "")</f>
        <v/>
      </c>
      <c r="G76" s="31">
        <f>SUM(Jan!G76, Feb!G76, Mar!G76)</f>
        <v>0</v>
      </c>
      <c r="H76" s="31">
        <f>SUM(Jan!H76, Feb!H76, Mar!H76)</f>
        <v>0</v>
      </c>
      <c r="I76" s="32" t="str">
        <f t="shared" ref="I76:I85" si="11">IFERROR(H76/G76, "")</f>
        <v/>
      </c>
    </row>
    <row r="77" spans="1:9" ht="15.6">
      <c r="A77" s="48" t="str">
        <v>AZ: San Manuel - Senior &amp; Junior HS</v>
      </c>
      <c r="B77" s="34" t="str">
        <v>AZ</v>
      </c>
      <c r="C77" s="35">
        <f>SUM(Jan!C77, Feb!C77, Mar!C77)</f>
        <v>0</v>
      </c>
      <c r="D77" s="36">
        <f>SUM(Jan!D77, Feb!D77, Mar!D77)</f>
        <v>0</v>
      </c>
      <c r="E77" s="36">
        <f t="shared" si="9"/>
        <v>0</v>
      </c>
      <c r="F77" s="71" t="str">
        <f t="shared" si="10"/>
        <v/>
      </c>
      <c r="G77" s="72">
        <f>SUM(Jan!G77, Feb!G77, Mar!G77)</f>
        <v>0</v>
      </c>
      <c r="H77" s="72">
        <f>SUM(Jan!H77, Feb!H77, Mar!H77)</f>
        <v>0</v>
      </c>
      <c r="I77" s="71" t="str">
        <f t="shared" si="11"/>
        <v/>
      </c>
    </row>
    <row r="78" spans="1:9" ht="15.6">
      <c r="A78" s="47" t="str">
        <v>AZ: Sierra Vista - Colonel Smith MS</v>
      </c>
      <c r="B78" s="27" t="str">
        <v>AZ</v>
      </c>
      <c r="C78" s="28">
        <f>SUM(Jan!C78, Feb!C78, Mar!C78)</f>
        <v>0</v>
      </c>
      <c r="D78" s="29">
        <f>SUM(Jan!D78, Feb!D78, Mar!D78)</f>
        <v>0</v>
      </c>
      <c r="E78" s="29">
        <f t="shared" si="9"/>
        <v>0</v>
      </c>
      <c r="F78" s="30" t="str">
        <f t="shared" si="10"/>
        <v/>
      </c>
      <c r="G78" s="31">
        <f>SUM(Jan!G78, Feb!G78, Mar!G78)</f>
        <v>0</v>
      </c>
      <c r="H78" s="31">
        <f>SUM(Jan!H78, Feb!H78, Mar!H78)</f>
        <v>0</v>
      </c>
      <c r="I78" s="32" t="str">
        <f t="shared" si="11"/>
        <v/>
      </c>
    </row>
    <row r="79" spans="1:9" ht="15.6">
      <c r="A79" s="48" t="str">
        <v>AZ: Sierra Vista - Colonel Johnston ES</v>
      </c>
      <c r="B79" s="34" t="str">
        <v>AZ</v>
      </c>
      <c r="C79" s="35">
        <f>SUM(Jan!C79, Feb!C79, Mar!C79)</f>
        <v>0</v>
      </c>
      <c r="D79" s="36">
        <f>SUM(Jan!D79, Feb!D79, Mar!D79)</f>
        <v>0</v>
      </c>
      <c r="E79" s="36">
        <f t="shared" si="9"/>
        <v>0</v>
      </c>
      <c r="F79" s="71" t="str">
        <f t="shared" si="10"/>
        <v/>
      </c>
      <c r="G79" s="72">
        <f>SUM(Jan!G79, Feb!G79, Mar!G79)</f>
        <v>0</v>
      </c>
      <c r="H79" s="72">
        <f>SUM(Jan!H79, Feb!H79, Mar!H79)</f>
        <v>0</v>
      </c>
      <c r="I79" s="71" t="str">
        <f t="shared" si="11"/>
        <v/>
      </c>
    </row>
    <row r="80" spans="1:9" ht="15.6">
      <c r="A80" s="47" t="str">
        <v>NH: Dover - Dover HS</v>
      </c>
      <c r="B80" s="27" t="str">
        <v>NH</v>
      </c>
      <c r="C80" s="28">
        <f>SUM(Jan!C80, Feb!C80, Mar!C80)</f>
        <v>0</v>
      </c>
      <c r="D80" s="29">
        <f>SUM(Jan!D80, Feb!D80, Mar!D80)</f>
        <v>0</v>
      </c>
      <c r="E80" s="29">
        <f t="shared" si="9"/>
        <v>0</v>
      </c>
      <c r="F80" s="30" t="str">
        <f t="shared" si="10"/>
        <v/>
      </c>
      <c r="G80" s="31">
        <f>SUM(Jan!G80, Feb!G80, Mar!G80)</f>
        <v>0</v>
      </c>
      <c r="H80" s="31">
        <f>SUM(Jan!H80, Feb!H80, Mar!H80)</f>
        <v>0</v>
      </c>
      <c r="I80" s="32" t="str">
        <f t="shared" si="11"/>
        <v/>
      </c>
    </row>
    <row r="81" spans="1:9" ht="15.6">
      <c r="A81" s="48" t="str">
        <v>MA: Somerville - 30 Inner Belt Rd</v>
      </c>
      <c r="B81" s="34" t="str">
        <v>MA</v>
      </c>
      <c r="C81" s="35">
        <f>SUM(Jan!C81, Feb!C81, Mar!C81)</f>
        <v>0</v>
      </c>
      <c r="D81" s="36">
        <f>SUM(Jan!D81, Feb!D81, Mar!D81)</f>
        <v>0</v>
      </c>
      <c r="E81" s="36">
        <f t="shared" si="9"/>
        <v>0</v>
      </c>
      <c r="F81" s="71" t="str">
        <f t="shared" si="10"/>
        <v/>
      </c>
      <c r="G81" s="72">
        <f>SUM(Jan!G81, Feb!G81, Mar!G81)</f>
        <v>0</v>
      </c>
      <c r="H81" s="72">
        <f>SUM(Jan!H81, Feb!H81, Mar!H81)</f>
        <v>0</v>
      </c>
      <c r="I81" s="71" t="str">
        <f t="shared" si="11"/>
        <v/>
      </c>
    </row>
    <row r="82" spans="1:9" ht="15.6">
      <c r="A82" s="47" t="str">
        <v>MA: Boxborough - 1414 Massachusetts Ave</v>
      </c>
      <c r="B82" s="27" t="str">
        <v>MA</v>
      </c>
      <c r="C82" s="28">
        <f>SUM(Jan!C82, Feb!C82, Mar!C82)</f>
        <v>0</v>
      </c>
      <c r="D82" s="29">
        <f>SUM(Jan!D82, Feb!D82, Mar!D82)</f>
        <v>0</v>
      </c>
      <c r="E82" s="29">
        <f t="shared" si="9"/>
        <v>0</v>
      </c>
      <c r="F82" s="30" t="str">
        <f t="shared" si="10"/>
        <v/>
      </c>
      <c r="G82" s="31">
        <f>SUM(Jan!G82, Feb!G82, Mar!G82)</f>
        <v>0</v>
      </c>
      <c r="H82" s="31">
        <f>SUM(Jan!H82, Feb!H82, Mar!H82)</f>
        <v>0</v>
      </c>
      <c r="I82" s="32" t="str">
        <f t="shared" si="11"/>
        <v/>
      </c>
    </row>
    <row r="83" spans="1:9" ht="15.6">
      <c r="A83" s="48" t="str">
        <v>NY: Amsterdam - 153 NY Route 67</v>
      </c>
      <c r="B83" s="34" t="str">
        <v>NY</v>
      </c>
      <c r="C83" s="35">
        <f>SUM(Jan!C83, Feb!C83, Mar!C83)</f>
        <v>0</v>
      </c>
      <c r="D83" s="36">
        <f>SUM(Jan!D83, Feb!D83, Mar!D83)</f>
        <v>0</v>
      </c>
      <c r="E83" s="36">
        <f t="shared" si="9"/>
        <v>0</v>
      </c>
      <c r="F83" s="71" t="str">
        <f t="shared" si="10"/>
        <v/>
      </c>
      <c r="G83" s="72">
        <f>SUM(Jan!G83, Feb!G83, Mar!G83)</f>
        <v>0</v>
      </c>
      <c r="H83" s="72">
        <f>SUM(Jan!H83, Feb!H83, Mar!H83)</f>
        <v>0</v>
      </c>
      <c r="I83" s="71" t="str">
        <f t="shared" si="11"/>
        <v/>
      </c>
    </row>
    <row r="84" spans="1:9" ht="15.6">
      <c r="A84" s="47" t="str">
        <v>CA: San Jose - GE Mobile Water</v>
      </c>
      <c r="B84" s="27" t="str">
        <v>CA</v>
      </c>
      <c r="C84" s="28">
        <f>SUM(Jan!C84, Feb!C84, Mar!C84)</f>
        <v>0</v>
      </c>
      <c r="D84" s="29">
        <f>SUM(Jan!D84, Feb!D84, Mar!D84)</f>
        <v>0</v>
      </c>
      <c r="E84" s="29">
        <f t="shared" si="9"/>
        <v>0</v>
      </c>
      <c r="F84" s="30" t="str">
        <f t="shared" si="10"/>
        <v/>
      </c>
      <c r="G84" s="31">
        <f>SUM(Jan!G84, Feb!G84, Mar!G84)</f>
        <v>0</v>
      </c>
      <c r="H84" s="31">
        <f>SUM(Jan!H84, Feb!H84, Mar!H84)</f>
        <v>0</v>
      </c>
      <c r="I84" s="32" t="str">
        <f t="shared" si="11"/>
        <v/>
      </c>
    </row>
    <row r="85" spans="1:9" ht="15.6">
      <c r="A85" s="48" t="str">
        <v>NY: Rome - 7776 Tannery RD</v>
      </c>
      <c r="B85" s="34" t="str">
        <v>NY</v>
      </c>
      <c r="C85" s="35">
        <f>SUM(Jan!C85, Feb!C85, Mar!C85)</f>
        <v>0</v>
      </c>
      <c r="D85" s="36">
        <f>SUM(Jan!D85, Feb!D85, Mar!D85)</f>
        <v>0</v>
      </c>
      <c r="E85" s="36">
        <f t="shared" si="9"/>
        <v>0</v>
      </c>
      <c r="F85" s="71" t="str">
        <f t="shared" si="10"/>
        <v/>
      </c>
      <c r="G85" s="72">
        <f>SUM(Jan!G85, Feb!G85, Mar!G85)</f>
        <v>0</v>
      </c>
      <c r="H85" s="72">
        <f>SUM(Jan!H85, Feb!H85, Mar!H85)</f>
        <v>0</v>
      </c>
      <c r="I85" s="71" t="str">
        <f t="shared" si="11"/>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85 I4:I85">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32" activePane="bottomRight" state="frozen"/>
      <selection pane="bottomRight" activeCell="M73" sqref="M73"/>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12</v>
      </c>
      <c r="E1" s="120"/>
      <c r="F1" s="120"/>
      <c r="G1" s="118" t="s">
        <v>13</v>
      </c>
      <c r="H1" s="118"/>
      <c r="I1" s="118"/>
    </row>
    <row r="2" spans="1:9" ht="19.5" customHeight="1">
      <c r="A2" s="121" t="s">
        <v>2</v>
      </c>
      <c r="B2" s="121"/>
      <c r="C2" s="5">
        <f>SUM(C4:C179)</f>
        <v>8113968.152199164</v>
      </c>
      <c r="D2" s="5">
        <f>SUM(D4:D179)</f>
        <v>3491701.9215977946</v>
      </c>
      <c r="E2" s="5">
        <f>C2-D2</f>
        <v>4622266.2306013694</v>
      </c>
      <c r="F2" s="6">
        <f>IFERROR(E2/D2, 0)</f>
        <v>1.3237860316799983</v>
      </c>
      <c r="G2" s="5">
        <f>SUM(G4:G179)</f>
        <v>9641237.5</v>
      </c>
      <c r="H2" s="7">
        <f>C2-G2</f>
        <v>-1527269.347800836</v>
      </c>
      <c r="I2" s="6">
        <f>IFERROR(H2/G2, 0)</f>
        <v>-0.15841009494899758</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SUM(Apr!C4, May!C4, Jun!C4)</f>
        <v>79912.247999999992</v>
      </c>
      <c r="D4" s="29">
        <f>SUM(Apr!D4, May!D4, Jun!D4)</f>
        <v>0</v>
      </c>
      <c r="E4" s="29">
        <f>IF(AND(ISNUMBER(C4),ISNUMBER(D4)), C4-D4, "")</f>
        <v>79912.247999999992</v>
      </c>
      <c r="F4" s="30" t="str">
        <f>IFERROR(E4/D4, "")</f>
        <v/>
      </c>
      <c r="G4" s="31">
        <f>SUM(Apr!G4,May!G4,Jun!G4)</f>
        <v>0</v>
      </c>
      <c r="H4" s="31">
        <f>SUM(Apr!H4, May!H4, Jun!H4)</f>
        <v>0</v>
      </c>
      <c r="I4" s="32" t="str">
        <f>IFERROR(H4/G4, "")</f>
        <v/>
      </c>
    </row>
    <row r="5" spans="1:9" ht="15.6">
      <c r="A5" s="48" t="str">
        <v>Pacoima - Whiteman Airport</v>
      </c>
      <c r="B5" s="34" t="str">
        <v>CA</v>
      </c>
      <c r="C5" s="35">
        <f>SUM(Apr!C5, May!C5, Jun!C5)</f>
        <v>74866.5</v>
      </c>
      <c r="D5" s="36">
        <f>SUM(Apr!D5, May!D5, Jun!D5)</f>
        <v>0</v>
      </c>
      <c r="E5" s="36">
        <f t="shared" ref="E5:E7" si="0">IF(AND(ISNUMBER(C5),ISNUMBER(D5)), C5-D5, "")</f>
        <v>74866.5</v>
      </c>
      <c r="F5" s="71" t="str">
        <f>IFERROR(E5/D5, "")</f>
        <v/>
      </c>
      <c r="G5" s="72">
        <f>SUM(Apr!G5,May!G5,Jun!G5)</f>
        <v>124728.7</v>
      </c>
      <c r="H5" s="72">
        <f>SUM(Apr!H5, May!H5, Jun!H5)</f>
        <v>-49862.2</v>
      </c>
      <c r="I5" s="71">
        <f>IFERROR(H5/G5, "")</f>
        <v>-0.39976525049968448</v>
      </c>
    </row>
    <row r="6" spans="1:9" ht="15.6">
      <c r="A6" s="47" t="str">
        <v>Hyannis - Sturgis Charter School</v>
      </c>
      <c r="B6" s="27" t="str">
        <v>MA</v>
      </c>
      <c r="C6" s="28">
        <f>SUM(Apr!C6, May!C6, Jun!C6)</f>
        <v>104886.5505361328</v>
      </c>
      <c r="D6" s="29">
        <f>SUM(Apr!D6, May!D6, Jun!D6)</f>
        <v>0</v>
      </c>
      <c r="E6" s="29">
        <f t="shared" si="0"/>
        <v>104886.5505361328</v>
      </c>
      <c r="F6" s="30" t="str">
        <f t="shared" ref="F6:F7" si="1">IFERROR(E6/D6, "")</f>
        <v/>
      </c>
      <c r="G6" s="31">
        <f>SUM(Apr!G6,May!G6,Jun!G6)</f>
        <v>100940</v>
      </c>
      <c r="H6" s="31">
        <f>SUM(Apr!H6, May!H6, Jun!H6)</f>
        <v>3946.5505361327996</v>
      </c>
      <c r="I6" s="32">
        <f t="shared" ref="I6:I7" si="2">IFERROR(H6/G6, "")</f>
        <v>3.9097984308825037E-2</v>
      </c>
    </row>
    <row r="7" spans="1:9" ht="15.6">
      <c r="A7" s="48" t="str">
        <v>South Dennis - Tony Kent Arena</v>
      </c>
      <c r="B7" s="34" t="str">
        <v>MA</v>
      </c>
      <c r="C7" s="35">
        <f>SUM(Apr!C7, May!C7, Jun!C7)</f>
        <v>121443.18</v>
      </c>
      <c r="D7" s="36">
        <f>SUM(Apr!D7, May!D7, Jun!D7)</f>
        <v>0</v>
      </c>
      <c r="E7" s="36">
        <f t="shared" si="0"/>
        <v>121443.18</v>
      </c>
      <c r="F7" s="71" t="str">
        <f t="shared" si="1"/>
        <v/>
      </c>
      <c r="G7" s="72">
        <f>SUM(Apr!G7,May!G7,Jun!G7)</f>
        <v>0</v>
      </c>
      <c r="H7" s="72">
        <f>SUM(Apr!H7, May!H7, Jun!H7)</f>
        <v>0</v>
      </c>
      <c r="I7" s="71" t="str">
        <f t="shared" si="2"/>
        <v/>
      </c>
    </row>
    <row r="8" spans="1:9" ht="15.6">
      <c r="A8" s="47" t="str">
        <v xml:space="preserve"> Caropolis - Felician Sisters</v>
      </c>
      <c r="B8" s="27" t="str">
        <v>PA</v>
      </c>
      <c r="C8" s="28">
        <f>SUM(Apr!C8, May!C8, Jun!C8)</f>
        <v>176632.5</v>
      </c>
      <c r="D8" s="29">
        <f>SUM(Apr!D8, May!D8, Jun!D8)</f>
        <v>0</v>
      </c>
      <c r="E8" s="29">
        <f t="shared" ref="E8:E46" si="3">IF(AND(ISNUMBER(C8),ISNUMBER(D8)), C8-D8, "")</f>
        <v>176632.5</v>
      </c>
      <c r="F8" s="30" t="str">
        <f t="shared" ref="F8:F46" si="4">IFERROR(E8/D8, "")</f>
        <v/>
      </c>
      <c r="G8" s="31">
        <f>SUM(Apr!G8,May!G8,Jun!G8)</f>
        <v>0</v>
      </c>
      <c r="H8" s="31">
        <f>SUM(Apr!H8, May!H8, Jun!H8)</f>
        <v>0</v>
      </c>
      <c r="I8" s="32" t="str">
        <f t="shared" ref="I8:I46" si="5">IFERROR(H8/G8, "")</f>
        <v/>
      </c>
    </row>
    <row r="9" spans="1:9" ht="15.6">
      <c r="A9" s="48" t="str">
        <v>Clear Lake - Eastlake Gohman</v>
      </c>
      <c r="B9" s="34" t="str">
        <v>MN</v>
      </c>
      <c r="C9" s="35">
        <f>SUM(Apr!C9, May!C9, Jun!C9)</f>
        <v>526656</v>
      </c>
      <c r="D9" s="36">
        <f>SUM(Apr!D9, May!D9, Jun!D9)</f>
        <v>0</v>
      </c>
      <c r="E9" s="36">
        <f t="shared" si="3"/>
        <v>526656</v>
      </c>
      <c r="F9" s="71" t="str">
        <f t="shared" si="4"/>
        <v/>
      </c>
      <c r="G9" s="72">
        <f>SUM(Apr!G9+May!G9+Jun!G9)</f>
        <v>570311.39999999991</v>
      </c>
      <c r="H9" s="72">
        <f>SUM(Apr!H9, May!H9, Jun!H9)</f>
        <v>-43655.399999999994</v>
      </c>
      <c r="I9" s="71">
        <f t="shared" si="5"/>
        <v>-7.6546602435090733E-2</v>
      </c>
    </row>
    <row r="10" spans="1:9" ht="15.6">
      <c r="A10" s="47" t="str">
        <v>Zumbrota - Eastlake Brenda Luhman</v>
      </c>
      <c r="B10" s="27" t="str">
        <v>MN</v>
      </c>
      <c r="C10" s="28">
        <f>SUM(Apr!C10, May!C10, Jun!C10)</f>
        <v>552019</v>
      </c>
      <c r="D10" s="29">
        <f>SUM(Apr!D10, May!D10, Jun!D10)</f>
        <v>0</v>
      </c>
      <c r="E10" s="29">
        <f t="shared" si="3"/>
        <v>552019</v>
      </c>
      <c r="F10" s="30" t="str">
        <f t="shared" si="4"/>
        <v/>
      </c>
      <c r="G10" s="31">
        <f>SUM(Apr!G10+May!G10+Jun!G10)</f>
        <v>567651</v>
      </c>
      <c r="H10" s="31">
        <f>SUM(Apr!H10, May!H10, Jun!H10)</f>
        <v>-15632</v>
      </c>
      <c r="I10" s="32">
        <f t="shared" si="5"/>
        <v>-2.75380471451649E-2</v>
      </c>
    </row>
    <row r="11" spans="1:9" ht="15.6">
      <c r="A11" s="48" t="str">
        <v>Cokato - Eastlake Carlson</v>
      </c>
      <c r="B11" s="34" t="str">
        <v>MN</v>
      </c>
      <c r="C11" s="35">
        <f>SUM(Apr!C11, May!C11, Jun!C11)</f>
        <v>502584</v>
      </c>
      <c r="D11" s="36">
        <f>SUM(Apr!D11, May!D11, Jun!D11)</f>
        <v>0</v>
      </c>
      <c r="E11" s="36">
        <f t="shared" si="3"/>
        <v>502584</v>
      </c>
      <c r="F11" s="71" t="str">
        <f t="shared" si="4"/>
        <v/>
      </c>
      <c r="G11" s="72">
        <f>SUM(Apr!G11+May!G11+Jun!G11)</f>
        <v>605960.30000000005</v>
      </c>
      <c r="H11" s="72">
        <f>SUM(Apr!H11, May!H11, Jun!H11)</f>
        <v>-103376.30000000002</v>
      </c>
      <c r="I11" s="71">
        <f t="shared" si="5"/>
        <v>-0.17059913000901217</v>
      </c>
    </row>
    <row r="12" spans="1:9" ht="15.6">
      <c r="A12" s="47" t="str">
        <v>North Branch - Cornille 2</v>
      </c>
      <c r="B12" s="27" t="str">
        <v>MN</v>
      </c>
      <c r="C12" s="28">
        <f>SUM(Apr!C12, May!C12, Jun!C12)</f>
        <v>490309</v>
      </c>
      <c r="D12" s="29">
        <f>SUM(Apr!D12, May!D12, Jun!D12)</f>
        <v>0</v>
      </c>
      <c r="E12" s="29">
        <f t="shared" si="3"/>
        <v>490309</v>
      </c>
      <c r="F12" s="30" t="str">
        <f t="shared" si="4"/>
        <v/>
      </c>
      <c r="G12" s="31">
        <f>SUM(Apr!G12+May!G12+Jun!G12)</f>
        <v>590753.30000000005</v>
      </c>
      <c r="H12" s="31">
        <f>SUM(Apr!H12, May!H12, Jun!H12)</f>
        <v>-100444.30000000002</v>
      </c>
      <c r="I12" s="32">
        <f t="shared" si="5"/>
        <v>-0.17002748863188746</v>
      </c>
    </row>
    <row r="13" spans="1:9" ht="15.6">
      <c r="A13" s="48" t="str">
        <v>Clear Lake - Eastlake Hammer</v>
      </c>
      <c r="B13" s="34" t="str">
        <v>MN</v>
      </c>
      <c r="C13" s="35">
        <f>SUM(Apr!C13, May!C13, Jun!C13)</f>
        <v>637280.96749999898</v>
      </c>
      <c r="D13" s="36">
        <f>SUM(Apr!D13, May!D13, Jun!D13)</f>
        <v>0</v>
      </c>
      <c r="E13" s="36">
        <f t="shared" si="3"/>
        <v>637280.96749999898</v>
      </c>
      <c r="F13" s="71" t="str">
        <f t="shared" si="4"/>
        <v/>
      </c>
      <c r="G13" s="72">
        <f>SUM(Apr!G13+May!G13+Jun!G13)</f>
        <v>714867.60000000009</v>
      </c>
      <c r="H13" s="72">
        <f>SUM(Apr!H13, May!H13, Jun!H13)</f>
        <v>-77586.632500001026</v>
      </c>
      <c r="I13" s="71">
        <f t="shared" si="5"/>
        <v>-0.10853287028255444</v>
      </c>
    </row>
    <row r="14" spans="1:9" ht="15.6">
      <c r="A14" s="47" t="str">
        <v>Eastlake - Hertzberg CSG 1</v>
      </c>
      <c r="B14" s="27" t="str">
        <v>MN</v>
      </c>
      <c r="C14" s="28">
        <f>SUM(Apr!C14, May!C14, Jun!C14)</f>
        <v>645017.73562617204</v>
      </c>
      <c r="D14" s="29">
        <f>SUM(Apr!D14, May!D14, Jun!D14)</f>
        <v>0</v>
      </c>
      <c r="E14" s="29">
        <f t="shared" si="3"/>
        <v>645017.73562617204</v>
      </c>
      <c r="F14" s="30" t="str">
        <f t="shared" si="4"/>
        <v/>
      </c>
      <c r="G14" s="31">
        <f>SUM(Apr!G14+May!G14+Jun!G14)</f>
        <v>715062.3060000001</v>
      </c>
      <c r="H14" s="31">
        <f>SUM(Apr!H14, May!H14, Jun!H14)</f>
        <v>-70044.570373827999</v>
      </c>
      <c r="I14" s="32">
        <f t="shared" si="5"/>
        <v>-9.7955898089009313E-2</v>
      </c>
    </row>
    <row r="15" spans="1:9" ht="15.6">
      <c r="A15" s="48" t="str">
        <v>Cokato - Eastlake Laurel Village</v>
      </c>
      <c r="B15" s="34" t="str">
        <v>MN</v>
      </c>
      <c r="C15" s="35">
        <f>SUM(Apr!C15, May!C15, Jun!C15)</f>
        <v>659571</v>
      </c>
      <c r="D15" s="36">
        <f>SUM(Apr!D15, May!D15, Jun!D15)</f>
        <v>0</v>
      </c>
      <c r="E15" s="36">
        <f t="shared" si="3"/>
        <v>659571</v>
      </c>
      <c r="F15" s="71" t="str">
        <f t="shared" si="4"/>
        <v/>
      </c>
      <c r="G15" s="72">
        <f>SUM(Apr!G15+May!G15+Jun!G15)</f>
        <v>748373</v>
      </c>
      <c r="H15" s="72">
        <f>SUM(Apr!H15, May!H15, Jun!H15)</f>
        <v>-88802</v>
      </c>
      <c r="I15" s="71">
        <f t="shared" si="5"/>
        <v>-0.11866007993340219</v>
      </c>
    </row>
    <row r="16" spans="1:9" ht="15.6">
      <c r="A16" s="47" t="str">
        <v>St. Peter - Eastlake Paulson</v>
      </c>
      <c r="B16" s="27" t="str">
        <v>MN</v>
      </c>
      <c r="C16" s="28">
        <f>SUM(Apr!C16, May!C16, Jun!C16)</f>
        <v>545011.033650795</v>
      </c>
      <c r="D16" s="29">
        <f>SUM(Apr!D16, May!D16, Jun!D16)</f>
        <v>0</v>
      </c>
      <c r="E16" s="29">
        <f t="shared" si="3"/>
        <v>545011.033650795</v>
      </c>
      <c r="F16" s="30" t="str">
        <f t="shared" si="4"/>
        <v/>
      </c>
      <c r="G16" s="31">
        <f>SUM(Apr!G16+May!G16+Jun!G16)</f>
        <v>610393.59999999998</v>
      </c>
      <c r="H16" s="31">
        <f>SUM(Apr!H16, May!H16, Jun!H16)</f>
        <v>-65382.566349205008</v>
      </c>
      <c r="I16" s="32">
        <f t="shared" si="5"/>
        <v>-0.10711541921344689</v>
      </c>
    </row>
    <row r="17" spans="1:9" ht="15.6">
      <c r="A17" s="48" t="str">
        <v>Felician Sisters Convent</v>
      </c>
      <c r="B17" s="34" t="str">
        <v>NJ</v>
      </c>
      <c r="C17" s="35">
        <f>SUM(Apr!C17, May!C17, Jun!C17)</f>
        <v>53857.600000000006</v>
      </c>
      <c r="D17" s="36">
        <f>SUM(Apr!D17, May!D17, Jun!D17)</f>
        <v>0</v>
      </c>
      <c r="E17" s="36">
        <f t="shared" si="3"/>
        <v>53857.600000000006</v>
      </c>
      <c r="F17" s="71" t="str">
        <f t="shared" si="4"/>
        <v/>
      </c>
      <c r="G17" s="72">
        <f>SUM(Apr!G17,May!G17,Jun!G17)</f>
        <v>0</v>
      </c>
      <c r="H17" s="72">
        <f>SUM(Apr!H17, May!H17, Jun!H17)</f>
        <v>0</v>
      </c>
      <c r="I17" s="71" t="str">
        <f t="shared" si="5"/>
        <v/>
      </c>
    </row>
    <row r="18" spans="1:9" ht="15.6">
      <c r="A18" s="47" t="str">
        <v>Sussex County Fairgrounds</v>
      </c>
      <c r="B18" s="27" t="str">
        <v>NJ</v>
      </c>
      <c r="C18" s="28">
        <f>SUM(Apr!C18, May!C18, Jun!C18)</f>
        <v>124570.35999999999</v>
      </c>
      <c r="D18" s="29">
        <f>SUM(Apr!D18, May!D18, Jun!D18)</f>
        <v>0</v>
      </c>
      <c r="E18" s="29">
        <f t="shared" si="3"/>
        <v>124570.35999999999</v>
      </c>
      <c r="F18" s="30" t="str">
        <f t="shared" si="4"/>
        <v/>
      </c>
      <c r="G18" s="31">
        <f>SUM(Apr!G18,May!G18,Jun!G18)</f>
        <v>0</v>
      </c>
      <c r="H18" s="31">
        <f>SUM(Apr!H18, May!H18, Jun!H18)</f>
        <v>0</v>
      </c>
      <c r="I18" s="32" t="str">
        <f t="shared" si="5"/>
        <v/>
      </c>
    </row>
    <row r="19" spans="1:9" ht="15.6">
      <c r="A19" s="48" t="str">
        <v>Gateway Church</v>
      </c>
      <c r="B19" s="34" t="str">
        <v>NJ</v>
      </c>
      <c r="C19" s="35">
        <f>SUM(Apr!C19, May!C19, Jun!C19)</f>
        <v>81953</v>
      </c>
      <c r="D19" s="36">
        <f>SUM(Apr!D19, May!D19, Jun!D19)</f>
        <v>0</v>
      </c>
      <c r="E19" s="36">
        <f t="shared" si="3"/>
        <v>81953</v>
      </c>
      <c r="F19" s="71" t="str">
        <f t="shared" si="4"/>
        <v/>
      </c>
      <c r="G19" s="72">
        <f>SUM(Apr!G19,May!G19,Jun!G19)</f>
        <v>0</v>
      </c>
      <c r="H19" s="72">
        <f>SUM(Apr!H19, May!H19, Jun!H19)</f>
        <v>0</v>
      </c>
      <c r="I19" s="71" t="str">
        <f t="shared" si="5"/>
        <v/>
      </c>
    </row>
    <row r="20" spans="1:9" ht="15.6">
      <c r="A20" s="47" t="str">
        <v>Beaver Falls - Felician Sisters</v>
      </c>
      <c r="B20" s="27" t="str">
        <v>PA</v>
      </c>
      <c r="C20" s="28">
        <f>SUM(Apr!C20, May!C20, Jun!C20)</f>
        <v>123444</v>
      </c>
      <c r="D20" s="29">
        <f>SUM(Apr!D20, May!D20, Jun!D20)</f>
        <v>0</v>
      </c>
      <c r="E20" s="29">
        <f t="shared" si="3"/>
        <v>123444</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1" t="str">
        <f t="shared" si="4"/>
        <v/>
      </c>
      <c r="G21" s="72">
        <f>SUM(Apr!G21,May!G21,Jun!G21)</f>
        <v>0</v>
      </c>
      <c r="H21" s="72">
        <f>SUM(Apr!H21, May!H21, Jun!H21)</f>
        <v>0</v>
      </c>
      <c r="I21" s="71" t="str">
        <f t="shared" si="5"/>
        <v/>
      </c>
    </row>
    <row r="22" spans="1:9" ht="15.6">
      <c r="A22" s="47" t="str">
        <v>Livonia - Felician Sisters Roof</v>
      </c>
      <c r="B22" s="27" t="str">
        <v>MI</v>
      </c>
      <c r="C22" s="28">
        <f>SUM(Apr!C22, May!C22, Jun!C22)</f>
        <v>50116</v>
      </c>
      <c r="D22" s="29">
        <f>SUM(Apr!D22, May!D22, Jun!D22)</f>
        <v>0</v>
      </c>
      <c r="E22" s="29">
        <f t="shared" si="3"/>
        <v>50116</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35553.980000000025</v>
      </c>
      <c r="D23" s="36">
        <f>SUM(Apr!D23, May!D23, Jun!D23)</f>
        <v>0</v>
      </c>
      <c r="E23" s="36">
        <f t="shared" si="3"/>
        <v>35553.980000000025</v>
      </c>
      <c r="F23" s="71" t="str">
        <f t="shared" si="4"/>
        <v/>
      </c>
      <c r="G23" s="72">
        <f>SUM(Apr!G23,May!G23,Jun!G23)</f>
        <v>0</v>
      </c>
      <c r="H23" s="72">
        <f>SUM(Apr!H23, May!H23, Jun!H23)</f>
        <v>0</v>
      </c>
      <c r="I23" s="71" t="str">
        <f t="shared" si="5"/>
        <v/>
      </c>
    </row>
    <row r="24" spans="1:9" ht="15.6">
      <c r="A24" s="47" t="str">
        <v xml:space="preserve"> Audubon - Senior Citizens United</v>
      </c>
      <c r="B24" s="27" t="str">
        <v>NJ</v>
      </c>
      <c r="C24" s="28">
        <f>SUM(Apr!C24, May!C24, Jun!C24)</f>
        <v>26707.475000000002</v>
      </c>
      <c r="D24" s="29">
        <f>SUM(Apr!D24, May!D24, Jun!D24)</f>
        <v>0</v>
      </c>
      <c r="E24" s="29">
        <f t="shared" si="3"/>
        <v>26707.475000000002</v>
      </c>
      <c r="F24" s="30" t="str">
        <f t="shared" si="4"/>
        <v/>
      </c>
      <c r="G24" s="31">
        <f>SUM(Apr!G24,May!G24,Jun!G24)</f>
        <v>0</v>
      </c>
      <c r="H24" s="31">
        <f>SUM(Apr!H24, May!H24, Jun!H24)</f>
        <v>0</v>
      </c>
      <c r="I24" s="32" t="str">
        <f t="shared" si="5"/>
        <v/>
      </c>
    </row>
    <row r="25" spans="1:9" ht="15.6">
      <c r="A25" s="48" t="str">
        <v>Hollister - PG&amp;E (Enerparc)</v>
      </c>
      <c r="B25" s="34" t="str">
        <v>CA</v>
      </c>
      <c r="C25" s="35">
        <f>SUM(Apr!C25, May!C25, Jun!C25)</f>
        <v>0</v>
      </c>
      <c r="D25" s="36">
        <f>SUM(Apr!D25, May!D25, Jun!D25)</f>
        <v>0</v>
      </c>
      <c r="E25" s="36">
        <f t="shared" si="3"/>
        <v>0</v>
      </c>
      <c r="F25" s="71" t="str">
        <f t="shared" si="4"/>
        <v/>
      </c>
      <c r="G25" s="72">
        <f>SUM(Apr!G25,May!G25,Jun!G25)</f>
        <v>759371.60000000009</v>
      </c>
      <c r="H25" s="72">
        <f>SUM(Apr!H25, May!H25, Jun!H25)</f>
        <v>-759371.60000000009</v>
      </c>
      <c r="I25" s="71">
        <f t="shared" si="5"/>
        <v>-1</v>
      </c>
    </row>
    <row r="26" spans="1:9" ht="15.6">
      <c r="A26" s="47" t="str">
        <v>Taos County - Kit Carson Electric Co-Op</v>
      </c>
      <c r="B26" s="27" t="str">
        <v>NM</v>
      </c>
      <c r="C26" s="28">
        <f>SUM(Apr!C26, May!C26, Jun!C26)</f>
        <v>432600</v>
      </c>
      <c r="D26" s="29">
        <f>SUM(Apr!D26, May!D26, Jun!D26)</f>
        <v>508266.5</v>
      </c>
      <c r="E26" s="29">
        <f t="shared" si="3"/>
        <v>-75666.5</v>
      </c>
      <c r="F26" s="30">
        <f t="shared" si="4"/>
        <v>-0.1488717041158526</v>
      </c>
      <c r="G26" s="31">
        <f>SUM(Apr!G26,May!G26,Jun!G26)</f>
        <v>448501.1</v>
      </c>
      <c r="H26" s="31">
        <f>SUM(Apr!H26, May!H26, Jun!H26)</f>
        <v>-15901.100000000006</v>
      </c>
      <c r="I26" s="32">
        <f t="shared" si="5"/>
        <v>-3.545387068169957E-2</v>
      </c>
    </row>
    <row r="27" spans="1:9" ht="15.6">
      <c r="A27" s="48" t="str">
        <v>Commerce City - Adams City HS</v>
      </c>
      <c r="B27" s="34" t="str">
        <v>CO</v>
      </c>
      <c r="C27" s="35">
        <f>SUM(Apr!C27, May!C27, Jun!C27)</f>
        <v>33504</v>
      </c>
      <c r="D27" s="36">
        <f>SUM(Apr!D27, May!D27, Jun!D27)</f>
        <v>27090.29</v>
      </c>
      <c r="E27" s="36">
        <f t="shared" si="3"/>
        <v>6413.7099999999991</v>
      </c>
      <c r="F27" s="71">
        <f t="shared" si="4"/>
        <v>0.23675309492810889</v>
      </c>
      <c r="G27" s="72">
        <f>SUM(Apr!G27,May!G27,Jun!G27)</f>
        <v>30650.47</v>
      </c>
      <c r="H27" s="72">
        <f>SUM(Apr!H27, May!H27, Jun!H27)</f>
        <v>2853.5299999999988</v>
      </c>
      <c r="I27" s="71">
        <f t="shared" si="5"/>
        <v>9.3099061776214159E-2</v>
      </c>
    </row>
    <row r="28" spans="1:9" ht="15.6">
      <c r="A28" s="47" t="str">
        <v>Commerce City - Adams City MS</v>
      </c>
      <c r="B28" s="27" t="str">
        <v>CO</v>
      </c>
      <c r="C28" s="28">
        <f>SUM(Apr!C28, May!C28, Jun!C28)</f>
        <v>27929</v>
      </c>
      <c r="D28" s="29">
        <f>SUM(Apr!D28, May!D28, Jun!D28)</f>
        <v>24607.629999999997</v>
      </c>
      <c r="E28" s="29">
        <f t="shared" si="3"/>
        <v>3321.3700000000026</v>
      </c>
      <c r="F28" s="30">
        <f t="shared" si="4"/>
        <v>0.13497317701867279</v>
      </c>
      <c r="G28" s="31">
        <f>SUM(Apr!G28,May!G28,Jun!G28)</f>
        <v>26962.440000000002</v>
      </c>
      <c r="H28" s="31">
        <f>SUM(Apr!H28, May!H28, Jun!H28)</f>
        <v>966.55999999999949</v>
      </c>
      <c r="I28" s="32">
        <f t="shared" si="5"/>
        <v>3.5848387608836567E-2</v>
      </c>
    </row>
    <row r="29" spans="1:9" ht="15.6">
      <c r="A29" s="48" t="str">
        <v>Commerce City - Central ES</v>
      </c>
      <c r="B29" s="34" t="str">
        <v>CO</v>
      </c>
      <c r="C29" s="35">
        <f>SUM(Apr!C29, May!C29, Jun!C29)</f>
        <v>7311.2</v>
      </c>
      <c r="D29" s="36">
        <f>SUM(Apr!D29, May!D29, Jun!D29)</f>
        <v>7057.7749999999996</v>
      </c>
      <c r="E29" s="36">
        <f t="shared" si="3"/>
        <v>253.42500000000018</v>
      </c>
      <c r="F29" s="71">
        <f t="shared" si="4"/>
        <v>3.5907208716628142E-2</v>
      </c>
      <c r="G29" s="72">
        <f>SUM(Apr!G29,May!G29,Jun!G29)</f>
        <v>7899.8620000000001</v>
      </c>
      <c r="H29" s="72">
        <f>SUM(Apr!H29, May!H29, Jun!H29)</f>
        <v>-588.66200000000026</v>
      </c>
      <c r="I29" s="71">
        <f t="shared" si="5"/>
        <v>-7.45154788779855E-2</v>
      </c>
    </row>
    <row r="30" spans="1:9" ht="15.6">
      <c r="A30" s="47" t="str">
        <v>Commerce City - Dupont ES</v>
      </c>
      <c r="B30" s="27" t="str">
        <v>CO</v>
      </c>
      <c r="C30" s="28">
        <f>SUM(Apr!C30, May!C30, Jun!C30)</f>
        <v>18251</v>
      </c>
      <c r="D30" s="29">
        <f>SUM(Apr!D30, May!D30, Jun!D30)</f>
        <v>19959.264999999999</v>
      </c>
      <c r="E30" s="29">
        <f t="shared" si="3"/>
        <v>-1708.2649999999994</v>
      </c>
      <c r="F30" s="30">
        <f t="shared" si="4"/>
        <v>-8.5587570484183639E-2</v>
      </c>
      <c r="G30" s="31">
        <f>SUM(Apr!G30,May!G30,Jun!G30)</f>
        <v>22614.3</v>
      </c>
      <c r="H30" s="31">
        <f>SUM(Apr!H30, May!H30, Jun!H30)</f>
        <v>-4363.2999999999993</v>
      </c>
      <c r="I30" s="32">
        <f t="shared" si="5"/>
        <v>-0.19294428746412665</v>
      </c>
    </row>
    <row r="31" spans="1:9" ht="15.6">
      <c r="A31" s="48" t="str">
        <v>Commerce City - Educational Support Services</v>
      </c>
      <c r="B31" s="34" t="str">
        <v>CO</v>
      </c>
      <c r="C31" s="35">
        <f>SUM(Apr!C31, May!C31, Jun!C31)</f>
        <v>23462</v>
      </c>
      <c r="D31" s="36">
        <f>SUM(Apr!D31, May!D31, Jun!D31)</f>
        <v>20732.97</v>
      </c>
      <c r="E31" s="36">
        <f t="shared" si="3"/>
        <v>2729.0299999999988</v>
      </c>
      <c r="F31" s="71">
        <f t="shared" si="4"/>
        <v>0.13162754781394073</v>
      </c>
      <c r="G31" s="72">
        <f>SUM(Apr!G31,May!G31,Jun!G31)</f>
        <v>23359.45</v>
      </c>
      <c r="H31" s="72">
        <f>SUM(Apr!H31, May!H31, Jun!H31)</f>
        <v>102.54999999999927</v>
      </c>
      <c r="I31" s="71">
        <f t="shared" si="5"/>
        <v>4.3900862391879633E-3</v>
      </c>
    </row>
    <row r="32" spans="1:9" ht="15.6">
      <c r="A32" s="47" t="str">
        <v>Commerce City - Hanson ES</v>
      </c>
      <c r="B32" s="27" t="str">
        <v>CO</v>
      </c>
      <c r="C32" s="28">
        <f>SUM(Apr!C32, May!C32, Jun!C32)</f>
        <v>29578</v>
      </c>
      <c r="D32" s="29">
        <f>SUM(Apr!D32, May!D32, Jun!D32)</f>
        <v>27035.190000000002</v>
      </c>
      <c r="E32" s="29">
        <f t="shared" si="3"/>
        <v>2542.8099999999977</v>
      </c>
      <c r="F32" s="30">
        <f t="shared" si="4"/>
        <v>9.4055562398488696E-2</v>
      </c>
      <c r="G32" s="31">
        <f>SUM(Apr!G32,May!G32,Jun!G32)</f>
        <v>30535.919999999998</v>
      </c>
      <c r="H32" s="31">
        <f>SUM(Apr!H32, May!H32, Jun!H32)</f>
        <v>-957.92000000000007</v>
      </c>
      <c r="I32" s="32">
        <f t="shared" si="5"/>
        <v>-3.137026819562011E-2</v>
      </c>
    </row>
    <row r="33" spans="1:9" ht="15.6">
      <c r="A33" s="48" t="str">
        <v>Commerce City - Kemp ES</v>
      </c>
      <c r="B33" s="34" t="str">
        <v>CO</v>
      </c>
      <c r="C33" s="35">
        <f>SUM(Apr!C33, May!C33, Jun!C33)</f>
        <v>24673.322499000002</v>
      </c>
      <c r="D33" s="36">
        <f>SUM(Apr!D33, May!D33, Jun!D33)</f>
        <v>27022.59</v>
      </c>
      <c r="E33" s="36">
        <f t="shared" si="3"/>
        <v>-2349.2675009999984</v>
      </c>
      <c r="F33" s="71">
        <f t="shared" si="4"/>
        <v>-8.6937170012200846E-2</v>
      </c>
      <c r="G33" s="72">
        <f>SUM(Apr!G33,May!G33,Jun!G33)</f>
        <v>30520.84</v>
      </c>
      <c r="H33" s="72">
        <f>SUM(Apr!H33, May!H33, Jun!H33)</f>
        <v>-5847.5175009999984</v>
      </c>
      <c r="I33" s="71">
        <f t="shared" si="5"/>
        <v>-0.19159097524838761</v>
      </c>
    </row>
    <row r="34" spans="1:9" ht="15.6">
      <c r="A34" s="47" t="str">
        <v>Commerce City -  Lester Arnold HS</v>
      </c>
      <c r="B34" s="27" t="str">
        <v>CO</v>
      </c>
      <c r="C34" s="28">
        <f>SUM(Apr!C34, May!C34, Jun!C34)</f>
        <v>4975.9993870668113</v>
      </c>
      <c r="D34" s="29">
        <f>SUM(Apr!D34, May!D34, Jun!D34)</f>
        <v>26123.29</v>
      </c>
      <c r="E34" s="29">
        <f t="shared" si="3"/>
        <v>-21147.29061293319</v>
      </c>
      <c r="F34" s="30">
        <f t="shared" si="4"/>
        <v>-0.80951865607024187</v>
      </c>
      <c r="G34" s="31">
        <f>SUM(Apr!G34,May!G34,Jun!G34)</f>
        <v>29635.27</v>
      </c>
      <c r="H34" s="31">
        <f>SUM(Apr!H34, May!H34, Jun!H34)</f>
        <v>-24659.270612933189</v>
      </c>
      <c r="I34" s="32">
        <f t="shared" si="5"/>
        <v>-0.83209198407617646</v>
      </c>
    </row>
    <row r="35" spans="1:9" ht="15.6">
      <c r="A35" s="48" t="str">
        <v>Commerce City - Monaco ES</v>
      </c>
      <c r="B35" s="34" t="str">
        <v>CO</v>
      </c>
      <c r="C35" s="35">
        <f>SUM(Apr!C35, May!C35, Jun!C35)</f>
        <v>21225</v>
      </c>
      <c r="D35" s="36">
        <f>SUM(Apr!D35, May!D35, Jun!D35)</f>
        <v>27037.360000000001</v>
      </c>
      <c r="E35" s="36">
        <f t="shared" si="3"/>
        <v>-5812.3600000000006</v>
      </c>
      <c r="F35" s="71">
        <f t="shared" si="4"/>
        <v>-0.21497513070802773</v>
      </c>
      <c r="G35" s="72">
        <f>SUM(Apr!G35,May!G35,Jun!G35)</f>
        <v>30535.919999999998</v>
      </c>
      <c r="H35" s="72">
        <f>SUM(Apr!H35, May!H35, Jun!H35)</f>
        <v>-9310.92</v>
      </c>
      <c r="I35" s="71">
        <f t="shared" si="5"/>
        <v>-0.30491696336642227</v>
      </c>
    </row>
    <row r="36" spans="1:9" ht="15.6">
      <c r="A36" s="47" t="str">
        <v>Denver - Northgate / Old Fort Logan ES</v>
      </c>
      <c r="B36" s="27" t="str">
        <v>CO</v>
      </c>
      <c r="C36" s="28">
        <f>SUM(Apr!C36, May!C36, Jun!C36)</f>
        <v>27329</v>
      </c>
      <c r="D36" s="29">
        <f>SUM(Apr!D36, May!D36, Jun!D36)</f>
        <v>23468.06</v>
      </c>
      <c r="E36" s="29">
        <f t="shared" si="3"/>
        <v>3860.9399999999987</v>
      </c>
      <c r="F36" s="30">
        <f t="shared" si="4"/>
        <v>0.16451892487065392</v>
      </c>
      <c r="G36" s="31">
        <f>SUM(Apr!G36,May!G36,Jun!G36)</f>
        <v>28246.23</v>
      </c>
      <c r="H36" s="31">
        <f>SUM(Apr!H36, May!H36, Jun!H36)</f>
        <v>-917.22999999999956</v>
      </c>
      <c r="I36" s="32">
        <f t="shared" si="5"/>
        <v>-3.2472652102599163E-2</v>
      </c>
    </row>
    <row r="37" spans="1:9" ht="15.6">
      <c r="A37" s="48" t="str">
        <v>Denver - Sheridan High School</v>
      </c>
      <c r="B37" s="34" t="str">
        <v>CO</v>
      </c>
      <c r="C37" s="35">
        <f>SUM(Apr!C37, May!C37, Jun!C37)</f>
        <v>31942</v>
      </c>
      <c r="D37" s="36">
        <f>SUM(Apr!D37, May!D37, Jun!D37)</f>
        <v>27071.85</v>
      </c>
      <c r="E37" s="36">
        <f t="shared" si="3"/>
        <v>4870.1500000000015</v>
      </c>
      <c r="F37" s="71">
        <f t="shared" si="4"/>
        <v>0.17989719948950669</v>
      </c>
      <c r="G37" s="72">
        <f>SUM(Apr!G37,May!G37,Jun!G37)</f>
        <v>28121.68</v>
      </c>
      <c r="H37" s="72">
        <f>SUM(Apr!H37, May!H37, Jun!H37)</f>
        <v>3820.3199999999997</v>
      </c>
      <c r="I37" s="71">
        <f t="shared" si="5"/>
        <v>0.13584963629484439</v>
      </c>
    </row>
    <row r="38" spans="1:9" ht="15.6">
      <c r="A38" s="47" t="str">
        <v>Englewood -  Alice Terry Elementary</v>
      </c>
      <c r="B38" s="27" t="str">
        <v>CO</v>
      </c>
      <c r="C38" s="28">
        <f>SUM(Apr!C38, May!C38, Jun!C38)</f>
        <v>30261</v>
      </c>
      <c r="D38" s="29">
        <f>SUM(Apr!D38, May!D38, Jun!D38)</f>
        <v>27072.21</v>
      </c>
      <c r="E38" s="29">
        <f t="shared" si="3"/>
        <v>3188.7900000000009</v>
      </c>
      <c r="F38" s="30">
        <f t="shared" si="4"/>
        <v>0.11778831502858469</v>
      </c>
      <c r="G38" s="31">
        <f>SUM(Apr!G38,May!G38,Jun!G38)</f>
        <v>28246.23</v>
      </c>
      <c r="H38" s="31">
        <f>SUM(Apr!H38, May!H38, Jun!H38)</f>
        <v>2014.7700000000004</v>
      </c>
      <c r="I38" s="32">
        <f t="shared" si="5"/>
        <v>7.1328810959905106E-2</v>
      </c>
    </row>
    <row r="39" spans="1:9" ht="15.6">
      <c r="A39" s="48" t="str">
        <v>Englewood - Sheridan Middle School</v>
      </c>
      <c r="B39" s="34" t="str">
        <v>CO</v>
      </c>
      <c r="C39" s="35">
        <f>SUM(Apr!C39, May!C39, Jun!C39)</f>
        <v>15141</v>
      </c>
      <c r="D39" s="36">
        <f>SUM(Apr!D39, May!D39, Jun!D39)</f>
        <v>16182.924999999999</v>
      </c>
      <c r="E39" s="36">
        <f t="shared" si="3"/>
        <v>-1041.9249999999993</v>
      </c>
      <c r="F39" s="71">
        <f t="shared" si="4"/>
        <v>-6.4384219787213953E-2</v>
      </c>
      <c r="G39" s="72">
        <f>SUM(Apr!G39,May!G39,Jun!G39)</f>
        <v>16539.292000000001</v>
      </c>
      <c r="H39" s="72">
        <f>SUM(Apr!H39, May!H39, Jun!H39)</f>
        <v>-1398.2920000000004</v>
      </c>
      <c r="I39" s="71">
        <f t="shared" si="5"/>
        <v>-8.4543643101530605E-2</v>
      </c>
    </row>
    <row r="40" spans="1:9" ht="15.6">
      <c r="A40" s="47" t="str">
        <v>Goshen - NIPSCO</v>
      </c>
      <c r="B40" s="27" t="str">
        <v>IN</v>
      </c>
      <c r="C40" s="28">
        <f>SUM(Apr!C40, May!C40, Jun!C40)</f>
        <v>102351</v>
      </c>
      <c r="D40" s="29">
        <f>SUM(Apr!D40, May!D40, Jun!D40)</f>
        <v>112278.37</v>
      </c>
      <c r="E40" s="29">
        <f t="shared" si="3"/>
        <v>-9927.3699999999953</v>
      </c>
      <c r="F40" s="30">
        <f t="shared" si="4"/>
        <v>-8.8417475244786645E-2</v>
      </c>
      <c r="G40" s="31">
        <f>SUM(Apr!G40,May!G40,Jun!G40)</f>
        <v>145618.46000000002</v>
      </c>
      <c r="H40" s="31">
        <f>SUM(Apr!H40, May!H40, Jun!H40)</f>
        <v>-43267.460000000006</v>
      </c>
      <c r="I40" s="32">
        <f t="shared" si="5"/>
        <v>-0.29712894917306498</v>
      </c>
    </row>
    <row r="41" spans="1:9" ht="15.6">
      <c r="A41" s="48" t="str">
        <v>Alamogordo - City of Alamogordo - Effluent</v>
      </c>
      <c r="B41" s="34" t="str">
        <v>NM</v>
      </c>
      <c r="C41" s="35">
        <f>SUM(Apr!C41, May!C41, Jun!C41)</f>
        <v>50183</v>
      </c>
      <c r="D41" s="36">
        <f>SUM(Apr!D41, May!D41, Jun!D41)</f>
        <v>60060.7</v>
      </c>
      <c r="E41" s="36">
        <f t="shared" si="3"/>
        <v>-9877.6999999999971</v>
      </c>
      <c r="F41" s="71">
        <f t="shared" si="4"/>
        <v>-0.1644619526578944</v>
      </c>
      <c r="G41" s="72">
        <f>SUM(Apr!G41,May!G41,Jun!G41)</f>
        <v>70557.16</v>
      </c>
      <c r="H41" s="72">
        <f>SUM(Apr!H41, May!H41, Jun!H41)</f>
        <v>-20374.160000000003</v>
      </c>
      <c r="I41" s="71">
        <f t="shared" si="5"/>
        <v>-0.28876105557536619</v>
      </c>
    </row>
    <row r="42" spans="1:9" ht="15.6">
      <c r="A42" s="47" t="str">
        <v>Alamogordo - City of Alamogordo - WWTP</v>
      </c>
      <c r="B42" s="27" t="str">
        <v>NM</v>
      </c>
      <c r="C42" s="28">
        <f>SUM(Apr!C42, May!C42, Jun!C42)</f>
        <v>86630</v>
      </c>
      <c r="D42" s="29">
        <f>SUM(Apr!D42, May!D42, Jun!D42)</f>
        <v>6.597795E-3</v>
      </c>
      <c r="E42" s="29">
        <f t="shared" si="3"/>
        <v>86629.993402205</v>
      </c>
      <c r="F42" s="30">
        <f t="shared" si="4"/>
        <v>13130143.237582404</v>
      </c>
      <c r="G42" s="31">
        <f>SUM(Apr!G42,May!G42,Jun!G42)</f>
        <v>299222.7</v>
      </c>
      <c r="H42" s="31">
        <f>SUM(Apr!H42, May!H42, Jun!H42)</f>
        <v>-212592.7</v>
      </c>
      <c r="I42" s="32">
        <f t="shared" si="5"/>
        <v>-0.71048319529233583</v>
      </c>
    </row>
    <row r="43" spans="1:9" ht="15.6">
      <c r="A43" s="48" t="str">
        <v>Deming - Bilbo Booster</v>
      </c>
      <c r="B43" s="34" t="str">
        <v>NM</v>
      </c>
      <c r="C43" s="35">
        <f>SUM(Apr!C43, May!C43, Jun!C43)</f>
        <v>26356</v>
      </c>
      <c r="D43" s="36">
        <f>SUM(Apr!D43, May!D43, Jun!D43)</f>
        <v>0</v>
      </c>
      <c r="E43" s="36">
        <f t="shared" si="3"/>
        <v>26356</v>
      </c>
      <c r="F43" s="71" t="str">
        <f t="shared" si="4"/>
        <v/>
      </c>
      <c r="G43" s="72">
        <f>SUM(Apr!G43,May!G43,Jun!G43)</f>
        <v>28291.309999999998</v>
      </c>
      <c r="H43" s="72">
        <f>SUM(Apr!H43, May!H43, Jun!H43)</f>
        <v>-1935.3099999999995</v>
      </c>
      <c r="I43" s="71">
        <f t="shared" si="5"/>
        <v>-6.8406517761107552E-2</v>
      </c>
    </row>
    <row r="44" spans="1:9" ht="15.6">
      <c r="A44" s="47" t="str">
        <v>Deming - Bilbo Well</v>
      </c>
      <c r="B44" s="27" t="str">
        <v>NM</v>
      </c>
      <c r="C44" s="28">
        <f>SUM(Apr!C44, May!C44, Jun!C44)</f>
        <v>47769</v>
      </c>
      <c r="D44" s="29">
        <f>SUM(Apr!D44, May!D44, Jun!D44)</f>
        <v>0</v>
      </c>
      <c r="E44" s="29">
        <f t="shared" si="3"/>
        <v>47769</v>
      </c>
      <c r="F44" s="30" t="str">
        <f t="shared" si="4"/>
        <v/>
      </c>
      <c r="G44" s="31">
        <f>SUM(Apr!G44,May!G44,Jun!G44)</f>
        <v>51141.9</v>
      </c>
      <c r="H44" s="31">
        <f>SUM(Apr!H44, May!H44, Jun!H44)</f>
        <v>-3372.9000000000015</v>
      </c>
      <c r="I44" s="32">
        <f t="shared" si="5"/>
        <v>-6.5951792952549701E-2</v>
      </c>
    </row>
    <row r="45" spans="1:9" ht="15.6">
      <c r="A45" s="48" t="str">
        <v>Deming - WWTP</v>
      </c>
      <c r="B45" s="34" t="str">
        <v>NM</v>
      </c>
      <c r="C45" s="35">
        <f>SUM(Apr!C45, May!C45, Jun!C45)</f>
        <v>172240</v>
      </c>
      <c r="D45" s="36">
        <f>SUM(Apr!D45, May!D45, Jun!D45)</f>
        <v>148519.72999999998</v>
      </c>
      <c r="E45" s="36">
        <f t="shared" si="3"/>
        <v>23720.270000000019</v>
      </c>
      <c r="F45" s="71">
        <f t="shared" si="4"/>
        <v>0.15971123836543483</v>
      </c>
      <c r="G45" s="72">
        <f>SUM(Apr!G45,May!G45,Jun!G45)</f>
        <v>203508.8</v>
      </c>
      <c r="H45" s="72">
        <f>SUM(Apr!H45, May!H45, Jun!H45)</f>
        <v>-31268.800000000003</v>
      </c>
      <c r="I45" s="71">
        <f t="shared" si="5"/>
        <v>-0.15364839260022173</v>
      </c>
    </row>
    <row r="46" spans="1:9" ht="15.6">
      <c r="A46" s="47" t="str">
        <v>Truth or Consequences - Walmart</v>
      </c>
      <c r="B46" s="27" t="str">
        <v>NM</v>
      </c>
      <c r="C46" s="28">
        <f>SUM(Apr!C46, May!C46, Jun!C46)</f>
        <v>335200</v>
      </c>
      <c r="D46" s="29">
        <f>SUM(Apr!D46, May!D46, Jun!D46)</f>
        <v>688966.60000000009</v>
      </c>
      <c r="E46" s="29">
        <f t="shared" si="3"/>
        <v>-353766.60000000009</v>
      </c>
      <c r="F46" s="30">
        <f t="shared" si="4"/>
        <v>-0.51347423808352977</v>
      </c>
      <c r="G46" s="31">
        <f>SUM(Apr!G46,May!G46,Jun!G46)</f>
        <v>440987.1</v>
      </c>
      <c r="H46" s="31">
        <f>SUM(Apr!H46, May!H46, Jun!H46)</f>
        <v>-105787.1</v>
      </c>
      <c r="I46" s="32">
        <f t="shared" si="5"/>
        <v>-0.23988706245602198</v>
      </c>
    </row>
    <row r="47" spans="1:9" ht="15.6">
      <c r="A47" s="48" t="str">
        <v>CA: Stockton - SUSD - Merlo</v>
      </c>
      <c r="B47" s="34" t="str">
        <v>CA</v>
      </c>
      <c r="C47" s="35">
        <f>SUM(Apr!C47, May!C47, Jun!C47)</f>
        <v>0</v>
      </c>
      <c r="D47" s="36">
        <f>SUM(Apr!D47, May!D47, Jun!D47)</f>
        <v>0</v>
      </c>
      <c r="E47" s="36">
        <f t="shared" ref="E47:E75" si="6">IF(AND(ISNUMBER(C47),ISNUMBER(D47)), C47-D47, "")</f>
        <v>0</v>
      </c>
      <c r="F47" s="71" t="str">
        <f t="shared" ref="F47:F75" si="7">IFERROR(E47/D47, "")</f>
        <v/>
      </c>
      <c r="G47" s="72">
        <f>SUM(Apr!G47,May!G47,Jun!G47)</f>
        <v>0</v>
      </c>
      <c r="H47" s="72">
        <f>SUM(Apr!H47, May!H47, Jun!H47)</f>
        <v>0</v>
      </c>
      <c r="I47" s="71" t="str">
        <f t="shared" ref="I47:I75" si="8">IFERROR(H47/G47, "")</f>
        <v/>
      </c>
    </row>
    <row r="48" spans="1:9" ht="15.6">
      <c r="A48" s="47" t="str">
        <v>Stockton Unified School Dist. - Bush Elementary</v>
      </c>
      <c r="B48" s="27" t="str">
        <v>CA</v>
      </c>
      <c r="C48" s="28">
        <f>SUM(Apr!C48, May!C48, Jun!C48)</f>
        <v>28518.75</v>
      </c>
      <c r="D48" s="29">
        <f>SUM(Apr!D48, May!D48, Jun!D48)</f>
        <v>41029.64</v>
      </c>
      <c r="E48" s="29">
        <f t="shared" si="6"/>
        <v>-12510.89</v>
      </c>
      <c r="F48" s="30">
        <f t="shared" si="7"/>
        <v>-0.30492322135899802</v>
      </c>
      <c r="G48" s="31">
        <f>SUM(Apr!G48,May!G48,Jun!G48)</f>
        <v>41223.449999999997</v>
      </c>
      <c r="H48" s="31">
        <f>SUM(Apr!H48, May!H48, Jun!H48)</f>
        <v>-12704.699999999997</v>
      </c>
      <c r="I48" s="32">
        <f t="shared" si="8"/>
        <v>-0.30819109026537073</v>
      </c>
    </row>
    <row r="49" spans="1:9" ht="15.6">
      <c r="A49" s="48" t="str">
        <v>CA: Stockton - SUSD - Marshall JHS</v>
      </c>
      <c r="B49" s="34" t="str">
        <v>CA</v>
      </c>
      <c r="C49" s="35">
        <f>SUM(Apr!C49, May!C49, Jun!C49)</f>
        <v>9336.75</v>
      </c>
      <c r="D49" s="36">
        <f>SUM(Apr!D49, May!D49, Jun!D49)</f>
        <v>26671.02</v>
      </c>
      <c r="E49" s="36">
        <f t="shared" si="6"/>
        <v>-17334.27</v>
      </c>
      <c r="F49" s="71">
        <f t="shared" si="7"/>
        <v>-0.64992902408681785</v>
      </c>
      <c r="G49" s="72">
        <f>SUM(Apr!G49,May!G49,Jun!G49)</f>
        <v>27196.61</v>
      </c>
      <c r="H49" s="72">
        <f>SUM(Apr!H49, May!H49, Jun!H49)</f>
        <v>-17859.86</v>
      </c>
      <c r="I49" s="71">
        <f t="shared" si="8"/>
        <v>-0.65669434536142557</v>
      </c>
    </row>
    <row r="50" spans="1:9" ht="15.6">
      <c r="A50" s="47" t="str">
        <v>CA: Stockton - SUSD - Hong-Kingston ES</v>
      </c>
      <c r="B50" s="27" t="str">
        <v>CA</v>
      </c>
      <c r="C50" s="28">
        <f>SUM(Apr!C50, May!C50, Jun!C50)</f>
        <v>14926.5</v>
      </c>
      <c r="D50" s="29">
        <f>SUM(Apr!D50, May!D50, Jun!D50)</f>
        <v>44733.39</v>
      </c>
      <c r="E50" s="29">
        <f t="shared" si="6"/>
        <v>-29806.89</v>
      </c>
      <c r="F50" s="30">
        <f t="shared" si="7"/>
        <v>-0.666323075447669</v>
      </c>
      <c r="G50" s="31">
        <f>SUM(Apr!G50,May!G50,Jun!G50)</f>
        <v>44081.08</v>
      </c>
      <c r="H50" s="31">
        <f>SUM(Apr!H50, May!H50, Jun!H50)</f>
        <v>-29154.58</v>
      </c>
      <c r="I50" s="32">
        <f t="shared" si="8"/>
        <v>-0.66138533810877598</v>
      </c>
    </row>
    <row r="51" spans="1:9" ht="15.6">
      <c r="A51" s="48" t="str">
        <v>CA: Stockton - SUSD - Hamilton ES</v>
      </c>
      <c r="B51" s="34" t="str">
        <v>CA</v>
      </c>
      <c r="C51" s="35">
        <f>SUM(Apr!C51, May!C51, Jun!C51)</f>
        <v>7429.75</v>
      </c>
      <c r="D51" s="36">
        <f>SUM(Apr!D51, May!D51, Jun!D51)</f>
        <v>23069.73</v>
      </c>
      <c r="E51" s="36">
        <f t="shared" si="6"/>
        <v>-15639.98</v>
      </c>
      <c r="F51" s="71">
        <f t="shared" si="7"/>
        <v>-0.67794378174343606</v>
      </c>
      <c r="G51" s="72">
        <f>SUM(Apr!G51,May!G51,Jun!G51)</f>
        <v>23358.81</v>
      </c>
      <c r="H51" s="72">
        <f>SUM(Apr!H51, May!H51, Jun!H51)</f>
        <v>-15929.060000000001</v>
      </c>
      <c r="I51" s="71">
        <f t="shared" si="8"/>
        <v>-0.68192943048040544</v>
      </c>
    </row>
    <row r="52" spans="1:9" ht="15.6">
      <c r="A52" s="47" t="str">
        <v>CA: Stockton - SUSD - Franklin - North</v>
      </c>
      <c r="B52" s="27" t="str">
        <v>CA</v>
      </c>
      <c r="C52" s="28">
        <f>SUM(Apr!C52, May!C52, Jun!C52)</f>
        <v>38561.5</v>
      </c>
      <c r="D52" s="29">
        <f>SUM(Apr!D52, May!D52, Jun!D52)</f>
        <v>107498.1</v>
      </c>
      <c r="E52" s="29">
        <f t="shared" si="6"/>
        <v>-68936.600000000006</v>
      </c>
      <c r="F52" s="30">
        <f t="shared" si="7"/>
        <v>-0.64128203196149514</v>
      </c>
      <c r="G52" s="31">
        <f>SUM(Apr!G52,May!G52,Jun!G52)</f>
        <v>61870.89</v>
      </c>
      <c r="H52" s="31">
        <f>SUM(Apr!H52, May!H52, Jun!H52)</f>
        <v>-23309.39</v>
      </c>
      <c r="I52" s="32">
        <f t="shared" si="8"/>
        <v>-0.37674243897251197</v>
      </c>
    </row>
    <row r="53" spans="1:9" ht="15.6">
      <c r="A53" s="48" t="str">
        <v>Stockton Unified School Dist. - Fillmore Elementary</v>
      </c>
      <c r="B53" s="34" t="str">
        <v>CA</v>
      </c>
      <c r="C53" s="35">
        <f>SUM(Apr!C53, May!C53, Jun!C53)</f>
        <v>5137.75</v>
      </c>
      <c r="D53" s="36">
        <f>SUM(Apr!D53, May!D53, Jun!D53)</f>
        <v>18622.43</v>
      </c>
      <c r="E53" s="36">
        <f t="shared" si="6"/>
        <v>-13484.68</v>
      </c>
      <c r="F53" s="71">
        <f t="shared" si="7"/>
        <v>-0.7241095818322314</v>
      </c>
      <c r="G53" s="72">
        <f>SUM(Apr!G53,May!G53,Jun!G53)</f>
        <v>18734.84</v>
      </c>
      <c r="H53" s="72">
        <f>SUM(Apr!H53, May!H53, Jun!H53)</f>
        <v>-13597.09</v>
      </c>
      <c r="I53" s="71">
        <f t="shared" si="8"/>
        <v>-0.72576493847825763</v>
      </c>
    </row>
    <row r="54" spans="1:9" ht="15.6">
      <c r="A54" s="47" t="str">
        <v>CA: Stockton - SUSD - El Dorado ES</v>
      </c>
      <c r="B54" s="27" t="str">
        <v>CA</v>
      </c>
      <c r="C54" s="28">
        <f>SUM(Apr!C54, May!C54, Jun!C54)</f>
        <v>6179.375</v>
      </c>
      <c r="D54" s="29">
        <f>SUM(Apr!D54, May!D54, Jun!D54)</f>
        <v>24531.64</v>
      </c>
      <c r="E54" s="29">
        <f t="shared" si="6"/>
        <v>-18352.264999999999</v>
      </c>
      <c r="F54" s="30">
        <f t="shared" si="7"/>
        <v>-0.74810591546264338</v>
      </c>
      <c r="G54" s="31">
        <f>SUM(Apr!G54,May!G54,Jun!G54)</f>
        <v>0</v>
      </c>
      <c r="H54" s="31">
        <f>SUM(Apr!H54, May!H54, Jun!H54)</f>
        <v>6179.375</v>
      </c>
      <c r="I54" s="32" t="str">
        <f t="shared" si="8"/>
        <v/>
      </c>
    </row>
    <row r="55" spans="1:9" ht="15.6">
      <c r="A55" s="48" t="str">
        <v>CA: Stockton - SUSD - Edison HS</v>
      </c>
      <c r="B55" s="34" t="str">
        <v>CA</v>
      </c>
      <c r="C55" s="35">
        <f>SUM(Apr!C55, May!C55, Jun!C55)</f>
        <v>38415.5</v>
      </c>
      <c r="D55" s="36">
        <f>SUM(Apr!D55, May!D55, Jun!D55)</f>
        <v>63384.38</v>
      </c>
      <c r="E55" s="36">
        <f t="shared" si="6"/>
        <v>-24968.879999999997</v>
      </c>
      <c r="F55" s="71">
        <f t="shared" si="7"/>
        <v>-0.39392796774221028</v>
      </c>
      <c r="G55" s="72">
        <f>SUM(Apr!G55,May!G55,Jun!G55)</f>
        <v>63941.16</v>
      </c>
      <c r="H55" s="72">
        <f>SUM(Apr!H55, May!H55, Jun!H55)</f>
        <v>-25525.660000000003</v>
      </c>
      <c r="I55" s="71">
        <f t="shared" si="8"/>
        <v>-0.39920545701704507</v>
      </c>
    </row>
    <row r="56" spans="1:9" ht="15.6">
      <c r="A56" s="47" t="str">
        <v>CA: Stockton - SUSD - Chavez HS - Large</v>
      </c>
      <c r="B56" s="27" t="str">
        <v>CA</v>
      </c>
      <c r="C56" s="28">
        <f>SUM(Apr!C56, May!C56, Jun!C56)</f>
        <v>47486</v>
      </c>
      <c r="D56" s="29">
        <f>SUM(Apr!D56, May!D56, Jun!D56)</f>
        <v>136295.4</v>
      </c>
      <c r="E56" s="29">
        <f t="shared" si="6"/>
        <v>-88809.4</v>
      </c>
      <c r="F56" s="30">
        <f t="shared" si="7"/>
        <v>-0.65159499146706346</v>
      </c>
      <c r="G56" s="31">
        <f>SUM(Apr!G56,May!G56,Jun!G56)</f>
        <v>133980.29999999999</v>
      </c>
      <c r="H56" s="31">
        <f>SUM(Apr!H56, May!H56, Jun!H56)</f>
        <v>-86494.299999999988</v>
      </c>
      <c r="I56" s="32">
        <f t="shared" si="8"/>
        <v>-0.64557475987141388</v>
      </c>
    </row>
    <row r="57" spans="1:9" ht="15.6">
      <c r="A57" s="48" t="str">
        <v>CA: San Jose - GE Mobile Water</v>
      </c>
      <c r="B57" s="34" t="str">
        <v>CA</v>
      </c>
      <c r="C57" s="35">
        <f>SUM(Apr!C57, May!C57, Jun!C57)</f>
        <v>32358</v>
      </c>
      <c r="D57" s="36">
        <f>SUM(Apr!D57, May!D57, Jun!D57)</f>
        <v>35744.620000000003</v>
      </c>
      <c r="E57" s="36">
        <f t="shared" si="6"/>
        <v>-3386.6200000000026</v>
      </c>
      <c r="F57" s="71">
        <f t="shared" si="7"/>
        <v>-9.4744887482368048E-2</v>
      </c>
      <c r="G57" s="72">
        <f>SUM(Apr!G57,May!G57,Jun!G57)</f>
        <v>35095.11</v>
      </c>
      <c r="H57" s="72">
        <f>SUM(Apr!H57, May!H57, Jun!H57)</f>
        <v>-2737.1100000000006</v>
      </c>
      <c r="I57" s="71">
        <f t="shared" si="8"/>
        <v>-7.799120732204573E-2</v>
      </c>
    </row>
    <row r="58" spans="1:9" ht="15.6">
      <c r="A58" s="47" t="str">
        <v>CA: San Marcos - Vallecitos Water - Lift Station</v>
      </c>
      <c r="B58" s="27" t="str">
        <v>CA</v>
      </c>
      <c r="C58" s="28">
        <f>SUM(Apr!C58, May!C58, Jun!C58)</f>
        <v>37845.750000000196</v>
      </c>
      <c r="D58" s="29">
        <f>SUM(Apr!D58, May!D58, Jun!D58)</f>
        <v>36334.620000000003</v>
      </c>
      <c r="E58" s="29">
        <f t="shared" si="6"/>
        <v>1511.1300000001938</v>
      </c>
      <c r="F58" s="30">
        <f t="shared" si="7"/>
        <v>4.1589261150940721E-2</v>
      </c>
      <c r="G58" s="31">
        <f>SUM(Apr!G58,May!G58,Jun!G58)</f>
        <v>41212.51</v>
      </c>
      <c r="H58" s="31">
        <f>SUM(Apr!H58, May!H58, Jun!H58)</f>
        <v>-3366.7599999998056</v>
      </c>
      <c r="I58" s="32">
        <f t="shared" si="8"/>
        <v>-8.1692670502228698E-2</v>
      </c>
    </row>
    <row r="59" spans="1:9" ht="15.6">
      <c r="A59" s="48" t="str">
        <v>CA: San Marcos - Vallecitos Water - Twin Oaks Reservoir</v>
      </c>
      <c r="B59" s="34" t="str">
        <v>CA</v>
      </c>
      <c r="C59" s="35">
        <f>SUM(Apr!C59, May!C59, Jun!C59)</f>
        <v>279329.99999999802</v>
      </c>
      <c r="D59" s="36">
        <f>SUM(Apr!D59, May!D59, Jun!D59)</f>
        <v>287665.90000000002</v>
      </c>
      <c r="E59" s="36">
        <f t="shared" si="6"/>
        <v>-8335.9000000020023</v>
      </c>
      <c r="F59" s="71">
        <f t="shared" si="7"/>
        <v>-2.8977713382093609E-2</v>
      </c>
      <c r="G59" s="72">
        <f>SUM(Apr!G59,May!G59,Jun!G59)</f>
        <v>256482</v>
      </c>
      <c r="H59" s="72">
        <f>SUM(Apr!H59, May!H59, Jun!H59)</f>
        <v>22847.999999998021</v>
      </c>
      <c r="I59" s="71">
        <f t="shared" si="8"/>
        <v>8.9082274779508974E-2</v>
      </c>
    </row>
    <row r="60" spans="1:9" ht="15.6">
      <c r="A60" s="47" t="str">
        <v>CA: Stockton - SUSD - Wilhelmina Henry ES</v>
      </c>
      <c r="B60" s="27" t="str">
        <v>CA</v>
      </c>
      <c r="C60" s="28">
        <f>SUM(Apr!C60, May!C60, Jun!C60)</f>
        <v>9373.75</v>
      </c>
      <c r="D60" s="29">
        <f>SUM(Apr!D60, May!D60, Jun!D60)</f>
        <v>52210.21</v>
      </c>
      <c r="E60" s="29">
        <f t="shared" si="6"/>
        <v>-42836.46</v>
      </c>
      <c r="F60" s="30">
        <f t="shared" si="7"/>
        <v>-0.82046136186772667</v>
      </c>
      <c r="G60" s="31">
        <f>SUM(Apr!G60,May!G60,Jun!G60)</f>
        <v>43120.46</v>
      </c>
      <c r="H60" s="31">
        <f>SUM(Apr!H60, May!H60, Jun!H60)</f>
        <v>-33746.71</v>
      </c>
      <c r="I60" s="32">
        <f t="shared" si="8"/>
        <v>-0.78261479585329097</v>
      </c>
    </row>
    <row r="61" spans="1:9" ht="15.6">
      <c r="A61" s="48" t="str">
        <v>Stockton Unified School Dist. - Franklin (North)</v>
      </c>
      <c r="B61" s="34" t="str">
        <v>CA</v>
      </c>
      <c r="C61" s="35">
        <f>SUM(Apr!C61, May!C61, Jun!C61)</f>
        <v>38561.5</v>
      </c>
      <c r="D61" s="36">
        <f>SUM(Apr!D61, May!D61, Jun!D61)</f>
        <v>107498.1</v>
      </c>
      <c r="E61" s="36">
        <f t="shared" si="6"/>
        <v>-68936.600000000006</v>
      </c>
      <c r="F61" s="71">
        <f t="shared" si="7"/>
        <v>-0.64128203196149514</v>
      </c>
      <c r="G61" s="72">
        <f>SUM(Apr!G61,May!G61,Jun!G61)</f>
        <v>61870.89</v>
      </c>
      <c r="H61" s="72">
        <f>SUM(Apr!H61, May!H61, Jun!H61)</f>
        <v>-23309.39</v>
      </c>
      <c r="I61" s="71">
        <f t="shared" si="8"/>
        <v>-0.37674243897251197</v>
      </c>
    </row>
    <row r="62" spans="1:9" ht="15.6">
      <c r="A62" s="47" t="str">
        <v>CA: Stockton - SUSD - Franklin - South</v>
      </c>
      <c r="B62" s="27" t="str">
        <v>CA</v>
      </c>
      <c r="C62" s="28">
        <f>SUM(Apr!C62, May!C62, Jun!C62)</f>
        <v>46797.75</v>
      </c>
      <c r="D62" s="29">
        <f>SUM(Apr!D62, May!D62, Jun!D62)</f>
        <v>103691.9</v>
      </c>
      <c r="E62" s="29">
        <f t="shared" si="6"/>
        <v>-56894.149999999994</v>
      </c>
      <c r="F62" s="30">
        <f t="shared" si="7"/>
        <v>-0.54868461278074754</v>
      </c>
      <c r="G62" s="31">
        <f>SUM(Apr!G62,May!G62,Jun!G62)</f>
        <v>99884.52</v>
      </c>
      <c r="H62" s="31">
        <f>SUM(Apr!H62, May!H62, Jun!H62)</f>
        <v>-53086.770000000004</v>
      </c>
      <c r="I62" s="32">
        <f t="shared" si="8"/>
        <v>-0.53148145478398456</v>
      </c>
    </row>
    <row r="63" spans="1:9" ht="15.6">
      <c r="A63" s="48" t="str">
        <v>CA: Stockton - SUSD - Chavez HS - Small</v>
      </c>
      <c r="B63" s="34" t="str">
        <v>CA</v>
      </c>
      <c r="C63" s="35">
        <f>SUM(Apr!C63, May!C63, Jun!C63)</f>
        <v>27596.5</v>
      </c>
      <c r="D63" s="36">
        <f>SUM(Apr!D63, May!D63, Jun!D63)</f>
        <v>25880.94</v>
      </c>
      <c r="E63" s="36">
        <f t="shared" si="6"/>
        <v>1715.5600000000013</v>
      </c>
      <c r="F63" s="71">
        <f t="shared" si="7"/>
        <v>6.6286618646772544E-2</v>
      </c>
      <c r="G63" s="72">
        <f>SUM(Apr!G63,May!G63,Jun!G63)</f>
        <v>37889.96</v>
      </c>
      <c r="H63" s="72">
        <f>SUM(Apr!H63, May!H63, Jun!H63)</f>
        <v>-10293.459999999999</v>
      </c>
      <c r="I63" s="71">
        <f t="shared" si="8"/>
        <v>-0.27166721738423583</v>
      </c>
    </row>
    <row r="64" spans="1:9" ht="15.6">
      <c r="A64" s="47" t="str">
        <v>CA: Stockton - SUSD - Facilities</v>
      </c>
      <c r="B64" s="27" t="str">
        <v>CA</v>
      </c>
      <c r="C64" s="28">
        <f>SUM(Apr!C64, May!C64, Jun!C64)</f>
        <v>21223.5</v>
      </c>
      <c r="D64" s="29">
        <f>SUM(Apr!D64, May!D64, Jun!D64)</f>
        <v>58946.07</v>
      </c>
      <c r="E64" s="29">
        <f t="shared" si="6"/>
        <v>-37722.57</v>
      </c>
      <c r="F64" s="30">
        <f t="shared" si="7"/>
        <v>-0.63995055141080648</v>
      </c>
      <c r="G64" s="31">
        <f>SUM(Apr!G64,May!G64,Jun!G64)</f>
        <v>64262.86</v>
      </c>
      <c r="H64" s="31">
        <f>SUM(Apr!H64, May!H64, Jun!H64)</f>
        <v>-43039.360000000001</v>
      </c>
      <c r="I64" s="32">
        <f t="shared" si="8"/>
        <v>-0.66973925530236278</v>
      </c>
    </row>
    <row r="65" spans="1:9" ht="15.6">
      <c r="A65" s="48" t="str">
        <v>CA: Stockton - SUSD - Harrison</v>
      </c>
      <c r="B65" s="34" t="str">
        <v>CA</v>
      </c>
      <c r="C65" s="35">
        <f>SUM(Apr!C65, May!C65, Jun!C65)</f>
        <v>15057.125</v>
      </c>
      <c r="D65" s="36">
        <f>SUM(Apr!D65, May!D65, Jun!D65)</f>
        <v>23600.42</v>
      </c>
      <c r="E65" s="36">
        <f t="shared" si="6"/>
        <v>-8543.2949999999983</v>
      </c>
      <c r="F65" s="71">
        <f t="shared" si="7"/>
        <v>-0.36199758309386015</v>
      </c>
      <c r="G65" s="72">
        <f>SUM(Apr!G65,May!G65,Jun!G65)</f>
        <v>23028.240000000002</v>
      </c>
      <c r="H65" s="72">
        <f>SUM(Apr!H65, May!H65, Jun!H65)</f>
        <v>-7971.1150000000016</v>
      </c>
      <c r="I65" s="71">
        <f t="shared" si="8"/>
        <v>-0.34614521127103076</v>
      </c>
    </row>
    <row r="66" spans="1:9" ht="15.6">
      <c r="A66" s="47" t="str">
        <v>CA: Stockton - SUSD - Commodore Skills School</v>
      </c>
      <c r="B66" s="27" t="str">
        <v>CA</v>
      </c>
      <c r="C66" s="28">
        <f>SUM(Apr!C66, May!C66, Jun!C66)</f>
        <v>7851</v>
      </c>
      <c r="D66" s="29">
        <f>SUM(Apr!D66, May!D66, Jun!D66)</f>
        <v>47473.79</v>
      </c>
      <c r="E66" s="29">
        <f t="shared" si="6"/>
        <v>-39622.79</v>
      </c>
      <c r="F66" s="30">
        <f t="shared" si="7"/>
        <v>-0.83462453703401396</v>
      </c>
      <c r="G66" s="31">
        <f>SUM(Apr!G66,May!G66,Jun!G66)</f>
        <v>50004.5</v>
      </c>
      <c r="H66" s="31">
        <f>SUM(Apr!H66, May!H66, Jun!H66)</f>
        <v>-42153.5</v>
      </c>
      <c r="I66" s="32">
        <f t="shared" si="8"/>
        <v>-0.84299413052825245</v>
      </c>
    </row>
    <row r="67" spans="1:9" ht="15.6">
      <c r="A67" s="48" t="str">
        <v>CA: Stockton - SUSD - Nightingale ES</v>
      </c>
      <c r="B67" s="34" t="str">
        <v>CA</v>
      </c>
      <c r="C67" s="35">
        <f>SUM(Apr!C67, May!C67, Jun!C67)</f>
        <v>21480</v>
      </c>
      <c r="D67" s="36">
        <f>SUM(Apr!D67, May!D67, Jun!D67)</f>
        <v>23211.94</v>
      </c>
      <c r="E67" s="36">
        <f t="shared" si="6"/>
        <v>-1731.9399999999987</v>
      </c>
      <c r="F67" s="71">
        <f t="shared" si="7"/>
        <v>-7.4614185630326416E-2</v>
      </c>
      <c r="G67" s="72">
        <f>SUM(Apr!G67,May!G67,Jun!G67)</f>
        <v>23168.91</v>
      </c>
      <c r="H67" s="72">
        <f>SUM(Apr!H67, May!H67, Jun!H67)</f>
        <v>-1688.9099999999999</v>
      </c>
      <c r="I67" s="71">
        <f t="shared" si="8"/>
        <v>-7.2895531123389049E-2</v>
      </c>
    </row>
    <row r="68" spans="1:9" ht="15.6">
      <c r="A68" s="47" t="str">
        <v>CA: Stockton - SUSD - Weber Institute</v>
      </c>
      <c r="B68" s="27" t="str">
        <v>CA</v>
      </c>
      <c r="C68" s="28">
        <f>SUM(Apr!C68, May!C68, Jun!C68)</f>
        <v>9225.25</v>
      </c>
      <c r="D68" s="29">
        <f>SUM(Apr!D68, May!D68, Jun!D68)</f>
        <v>47274.77</v>
      </c>
      <c r="E68" s="29">
        <f t="shared" si="6"/>
        <v>-38049.519999999997</v>
      </c>
      <c r="F68" s="30">
        <f t="shared" si="7"/>
        <v>-0.80485891311581204</v>
      </c>
      <c r="G68" s="31">
        <f>SUM(Apr!G68,May!G68,Jun!G68)</f>
        <v>47822.98</v>
      </c>
      <c r="H68" s="31">
        <f>SUM(Apr!H68, May!H68, Jun!H68)</f>
        <v>-38597.730000000003</v>
      </c>
      <c r="I68" s="32">
        <f t="shared" si="8"/>
        <v>-0.80709587733763144</v>
      </c>
    </row>
    <row r="69" spans="1:9" ht="15.6">
      <c r="A69" s="48" t="str">
        <v>CA: Stockton - SUSD - Warehouse</v>
      </c>
      <c r="B69" s="34" t="str">
        <v>CA</v>
      </c>
      <c r="C69" s="35">
        <f>SUM(Apr!C69, May!C69, Jun!C69)</f>
        <v>15367.5</v>
      </c>
      <c r="D69" s="36">
        <f>SUM(Apr!D69, May!D69, Jun!D69)</f>
        <v>40420.620000000003</v>
      </c>
      <c r="E69" s="36">
        <f t="shared" si="6"/>
        <v>-25053.120000000003</v>
      </c>
      <c r="F69" s="71">
        <f t="shared" si="7"/>
        <v>-0.61981038390801524</v>
      </c>
      <c r="G69" s="72">
        <f>SUM(Apr!G69,May!G69,Jun!G69)</f>
        <v>45356.66</v>
      </c>
      <c r="H69" s="72">
        <f>SUM(Apr!H69, May!H69, Jun!H69)</f>
        <v>-29989.160000000003</v>
      </c>
      <c r="I69" s="71">
        <f t="shared" si="8"/>
        <v>-0.66118536946944506</v>
      </c>
    </row>
    <row r="70" spans="1:9" ht="15.6">
      <c r="A70" s="47" t="str">
        <v>CA: Stockton - SUSD - Walton Special Center</v>
      </c>
      <c r="B70" s="27" t="str">
        <v>CA</v>
      </c>
      <c r="C70" s="28">
        <f>SUM(Apr!C70, May!C70, Jun!C70)</f>
        <v>16659.5</v>
      </c>
      <c r="D70" s="29">
        <f>SUM(Apr!D70, May!D70, Jun!D70)</f>
        <v>32950.04</v>
      </c>
      <c r="E70" s="29">
        <f t="shared" si="6"/>
        <v>-16290.54</v>
      </c>
      <c r="F70" s="30">
        <f t="shared" si="7"/>
        <v>-0.49440122075724341</v>
      </c>
      <c r="G70" s="31">
        <f>SUM(Apr!G70,May!G70,Jun!G70)</f>
        <v>33380.559999999998</v>
      </c>
      <c r="H70" s="31">
        <f>SUM(Apr!H70, May!H70, Jun!H70)</f>
        <v>-16721.059999999998</v>
      </c>
      <c r="I70" s="32">
        <f t="shared" si="8"/>
        <v>-0.50092209357781892</v>
      </c>
    </row>
    <row r="71" spans="1:9" ht="15.6">
      <c r="A71" s="48" t="str">
        <v>CA: Stockton - SUSD - Stagg HS</v>
      </c>
      <c r="B71" s="34" t="str">
        <v>CA</v>
      </c>
      <c r="C71" s="35">
        <f>SUM(Apr!C71, May!C71, Jun!C71)</f>
        <v>96454</v>
      </c>
      <c r="D71" s="36">
        <f>SUM(Apr!D71, May!D71, Jun!D71)</f>
        <v>127090.1</v>
      </c>
      <c r="E71" s="36">
        <f t="shared" si="6"/>
        <v>-30636.100000000006</v>
      </c>
      <c r="F71" s="71">
        <f t="shared" si="7"/>
        <v>-0.24105811546296685</v>
      </c>
      <c r="G71" s="72">
        <f>SUM(Apr!G71,May!G71,Jun!G71)</f>
        <v>125207</v>
      </c>
      <c r="H71" s="72">
        <f>SUM(Apr!H71, May!H71, Jun!H71)</f>
        <v>-28753</v>
      </c>
      <c r="I71" s="71">
        <f t="shared" si="8"/>
        <v>-0.22964371001621314</v>
      </c>
    </row>
    <row r="72" spans="1:9" ht="15.6">
      <c r="A72" s="47" t="str">
        <v>CA: Stockton - SUSD - School for Adults</v>
      </c>
      <c r="B72" s="27" t="str">
        <v>CA</v>
      </c>
      <c r="C72" s="28">
        <f>SUM(Apr!C72, May!C72, Jun!C72)</f>
        <v>10459.25</v>
      </c>
      <c r="D72" s="29">
        <f>SUM(Apr!D72, May!D72, Jun!D72)</f>
        <v>27419.35</v>
      </c>
      <c r="E72" s="29">
        <f t="shared" si="6"/>
        <v>-16960.099999999999</v>
      </c>
      <c r="F72" s="30">
        <f t="shared" si="7"/>
        <v>-0.61854493268439992</v>
      </c>
      <c r="G72" s="31">
        <f>SUM(Apr!G72,May!G72,Jun!G72)</f>
        <v>27045.040000000001</v>
      </c>
      <c r="H72" s="31">
        <f>SUM(Apr!H72, May!H72, Jun!H72)</f>
        <v>-16585.79</v>
      </c>
      <c r="I72" s="32">
        <f t="shared" si="8"/>
        <v>-0.61326550080902087</v>
      </c>
    </row>
    <row r="73" spans="1:9" ht="15.6">
      <c r="A73" s="48" t="str">
        <v>CA: Stockton - SUSD - San Joaquin</v>
      </c>
      <c r="B73" s="34" t="str">
        <v>CA</v>
      </c>
      <c r="C73" s="35">
        <f>SUM(Apr!C73, May!C73, Jun!C73)</f>
        <v>14177.875</v>
      </c>
      <c r="D73" s="36">
        <f>SUM(Apr!D73, May!D73, Jun!D73)</f>
        <v>25583.21</v>
      </c>
      <c r="E73" s="36">
        <f t="shared" si="6"/>
        <v>-11405.334999999999</v>
      </c>
      <c r="F73" s="71">
        <f t="shared" si="7"/>
        <v>-0.44581328926276254</v>
      </c>
      <c r="G73" s="72">
        <f>SUM(Apr!G73,May!G73,Jun!G73)</f>
        <v>25981.17</v>
      </c>
      <c r="H73" s="72">
        <f>SUM(Apr!H73, May!H73, Jun!H73)</f>
        <v>-11803.294999999998</v>
      </c>
      <c r="I73" s="71">
        <f t="shared" si="8"/>
        <v>-0.45430190403280524</v>
      </c>
    </row>
    <row r="74" spans="1:9" ht="15.6">
      <c r="A74" s="47" t="str">
        <v>CA: Stockton - SUSD - Rio Calaveras</v>
      </c>
      <c r="B74" s="27" t="str">
        <v>CA</v>
      </c>
      <c r="C74" s="28">
        <f>SUM(Apr!C74, May!C74, Jun!C74)</f>
        <v>6763.375</v>
      </c>
      <c r="D74" s="29">
        <f>SUM(Apr!D74, May!D74, Jun!D74)</f>
        <v>27488.51</v>
      </c>
      <c r="E74" s="29">
        <f t="shared" si="6"/>
        <v>-20725.134999999998</v>
      </c>
      <c r="F74" s="30">
        <f t="shared" si="7"/>
        <v>-0.75395628937326908</v>
      </c>
      <c r="G74" s="31">
        <f>SUM(Apr!G74,May!G74,Jun!G74)</f>
        <v>0</v>
      </c>
      <c r="H74" s="31">
        <f>SUM(Apr!H74, May!H74, Jun!H74)</f>
        <v>6763.375</v>
      </c>
      <c r="I74" s="32" t="str">
        <f t="shared" si="8"/>
        <v/>
      </c>
    </row>
    <row r="75" spans="1:9" ht="15.6">
      <c r="A75" s="48" t="str">
        <v>CA: Stockton - SUSD - Peyton</v>
      </c>
      <c r="B75" s="34" t="str">
        <v>CA</v>
      </c>
      <c r="C75" s="35">
        <f>SUM(Apr!C75, May!C75, Jun!C75)</f>
        <v>50091</v>
      </c>
      <c r="D75" s="36">
        <f>SUM(Apr!D75, May!D75, Jun!D75)</f>
        <v>56827.77</v>
      </c>
      <c r="E75" s="36">
        <f t="shared" si="6"/>
        <v>-6736.7699999999968</v>
      </c>
      <c r="F75" s="71">
        <f t="shared" si="7"/>
        <v>-0.1185471469318609</v>
      </c>
      <c r="G75" s="72">
        <f>SUM(Apr!G75,May!G75,Jun!G75)</f>
        <v>55927.75</v>
      </c>
      <c r="H75" s="72">
        <f>SUM(Apr!H75, May!H75, Jun!H75)</f>
        <v>-5836.75</v>
      </c>
      <c r="I75" s="71">
        <f t="shared" si="8"/>
        <v>-0.10436232460630009</v>
      </c>
    </row>
    <row r="76" spans="1:9" ht="15.6">
      <c r="A76" s="47" t="str">
        <v>TX: Barnhart - 42917 Ranch RD 2469</v>
      </c>
      <c r="B76" s="27" t="str">
        <v>TX</v>
      </c>
      <c r="C76" s="28">
        <f>SUM(Apr!C76, May!C76, Jun!C76)</f>
        <v>0</v>
      </c>
      <c r="D76" s="29">
        <f>SUM(Apr!D76, May!D76, Jun!D76)</f>
        <v>0</v>
      </c>
      <c r="E76" s="29">
        <f t="shared" ref="E76:E85" si="9">IF(AND(ISNUMBER(C76),ISNUMBER(D76)), C76-D76, "")</f>
        <v>0</v>
      </c>
      <c r="F76" s="30" t="str">
        <f t="shared" ref="F76:F85" si="10">IFERROR(E76/D76, "")</f>
        <v/>
      </c>
      <c r="G76" s="31">
        <f>SUM(Apr!G76,May!G76,Jun!G76)</f>
        <v>0</v>
      </c>
      <c r="H76" s="31">
        <f>SUM(Apr!H76, May!H76, Jun!H76)</f>
        <v>0</v>
      </c>
      <c r="I76" s="32" t="str">
        <f t="shared" ref="I76:I85" si="11">IFERROR(H76/G76, "")</f>
        <v/>
      </c>
    </row>
    <row r="77" spans="1:9" ht="15.6">
      <c r="A77" s="48" t="str">
        <v>AZ: San Manuel - Senior &amp; Junior HS</v>
      </c>
      <c r="B77" s="34" t="str">
        <v>AZ</v>
      </c>
      <c r="C77" s="35">
        <f>SUM(Apr!C77, May!C77, Jun!C77)</f>
        <v>0</v>
      </c>
      <c r="D77" s="36">
        <f>SUM(Apr!D77, May!D77, Jun!D77)</f>
        <v>0</v>
      </c>
      <c r="E77" s="36">
        <f t="shared" si="9"/>
        <v>0</v>
      </c>
      <c r="F77" s="71" t="str">
        <f t="shared" si="10"/>
        <v/>
      </c>
      <c r="G77" s="72">
        <f>SUM(Apr!G77,May!G77,Jun!G77)</f>
        <v>0</v>
      </c>
      <c r="H77" s="72">
        <f>SUM(Apr!H77, May!H77, Jun!H77)</f>
        <v>0</v>
      </c>
      <c r="I77" s="71" t="str">
        <f t="shared" si="11"/>
        <v/>
      </c>
    </row>
    <row r="78" spans="1:9" ht="15.6">
      <c r="A78" s="47" t="str">
        <v>AZ: Sierra Vista - Colonel Smith MS</v>
      </c>
      <c r="B78" s="27" t="str">
        <v>AZ</v>
      </c>
      <c r="C78" s="28">
        <f>SUM(Apr!C78, May!C78, Jun!C78)</f>
        <v>0</v>
      </c>
      <c r="D78" s="29">
        <f>SUM(Apr!D78, May!D78, Jun!D78)</f>
        <v>0</v>
      </c>
      <c r="E78" s="29">
        <f t="shared" si="9"/>
        <v>0</v>
      </c>
      <c r="F78" s="30" t="str">
        <f t="shared" si="10"/>
        <v/>
      </c>
      <c r="G78" s="31">
        <f>SUM(Apr!G78,May!G78,Jun!G78)</f>
        <v>0</v>
      </c>
      <c r="H78" s="31">
        <f>SUM(Apr!H78, May!H78, Jun!H78)</f>
        <v>0</v>
      </c>
      <c r="I78" s="32" t="str">
        <f t="shared" si="11"/>
        <v/>
      </c>
    </row>
    <row r="79" spans="1:9" ht="15.6">
      <c r="A79" s="48" t="str">
        <v>AZ: Sierra Vista - Colonel Johnston ES</v>
      </c>
      <c r="B79" s="34" t="str">
        <v>AZ</v>
      </c>
      <c r="C79" s="35">
        <f>SUM(Apr!C79, May!C79, Jun!C79)</f>
        <v>0</v>
      </c>
      <c r="D79" s="36">
        <f>SUM(Apr!D79, May!D79, Jun!D79)</f>
        <v>0</v>
      </c>
      <c r="E79" s="36">
        <f t="shared" si="9"/>
        <v>0</v>
      </c>
      <c r="F79" s="71" t="str">
        <f t="shared" si="10"/>
        <v/>
      </c>
      <c r="G79" s="72">
        <f>SUM(Apr!G79,May!G79,Jun!G79)</f>
        <v>0</v>
      </c>
      <c r="H79" s="72">
        <f>SUM(Apr!H79, May!H79, Jun!H79)</f>
        <v>0</v>
      </c>
      <c r="I79" s="71" t="str">
        <f t="shared" si="11"/>
        <v/>
      </c>
    </row>
    <row r="80" spans="1:9" ht="15.6">
      <c r="A80" s="47" t="str">
        <v>NH: Dover - Dover HS</v>
      </c>
      <c r="B80" s="27" t="str">
        <v>NH</v>
      </c>
      <c r="C80" s="28">
        <f>SUM(Apr!C80, May!C80, Jun!C80)</f>
        <v>0</v>
      </c>
      <c r="D80" s="29">
        <f>SUM(Apr!D80, May!D80, Jun!D80)</f>
        <v>0</v>
      </c>
      <c r="E80" s="29">
        <f t="shared" si="9"/>
        <v>0</v>
      </c>
      <c r="F80" s="30" t="str">
        <f t="shared" si="10"/>
        <v/>
      </c>
      <c r="G80" s="31">
        <f>SUM(Apr!G80,May!G80,Jun!G80)</f>
        <v>0</v>
      </c>
      <c r="H80" s="31">
        <f>SUM(Apr!H80, May!H80, Jun!H80)</f>
        <v>0</v>
      </c>
      <c r="I80" s="32" t="str">
        <f t="shared" si="11"/>
        <v/>
      </c>
    </row>
    <row r="81" spans="1:9" ht="15.6">
      <c r="A81" s="48" t="str">
        <v>MA: Somerville - 30 Inner Belt Rd</v>
      </c>
      <c r="B81" s="34" t="str">
        <v>MA</v>
      </c>
      <c r="C81" s="35">
        <f>SUM(Apr!C81, May!C81, Jun!C81)</f>
        <v>0</v>
      </c>
      <c r="D81" s="36">
        <f>SUM(Apr!D81, May!D81, Jun!D81)</f>
        <v>0</v>
      </c>
      <c r="E81" s="36">
        <f t="shared" si="9"/>
        <v>0</v>
      </c>
      <c r="F81" s="71" t="str">
        <f t="shared" si="10"/>
        <v/>
      </c>
      <c r="G81" s="72">
        <f>SUM(Apr!G81,May!G81,Jun!G81)</f>
        <v>0</v>
      </c>
      <c r="H81" s="72">
        <f>SUM(Apr!H81, May!H81, Jun!H81)</f>
        <v>0</v>
      </c>
      <c r="I81" s="71" t="str">
        <f t="shared" si="11"/>
        <v/>
      </c>
    </row>
    <row r="82" spans="1:9" ht="15.6">
      <c r="A82" s="47" t="str">
        <v>MA: Boxborough - 1414 Massachusetts Ave</v>
      </c>
      <c r="B82" s="27" t="str">
        <v>MA</v>
      </c>
      <c r="C82" s="28">
        <f>SUM(Apr!C82, May!C82, Jun!C82)</f>
        <v>0</v>
      </c>
      <c r="D82" s="29">
        <f>SUM(Apr!D82, May!D82, Jun!D82)</f>
        <v>0</v>
      </c>
      <c r="E82" s="29">
        <f t="shared" si="9"/>
        <v>0</v>
      </c>
      <c r="F82" s="30" t="str">
        <f t="shared" si="10"/>
        <v/>
      </c>
      <c r="G82" s="31">
        <f>SUM(Apr!G82,May!G82,Jun!G82)</f>
        <v>0</v>
      </c>
      <c r="H82" s="31">
        <f>SUM(Apr!H82, May!H82, Jun!H82)</f>
        <v>0</v>
      </c>
      <c r="I82" s="32" t="str">
        <f t="shared" si="11"/>
        <v/>
      </c>
    </row>
    <row r="83" spans="1:9" ht="15.6">
      <c r="A83" s="48" t="str">
        <v>NY: Amsterdam - 153 NY Route 67</v>
      </c>
      <c r="B83" s="34" t="str">
        <v>NY</v>
      </c>
      <c r="C83" s="35">
        <f>SUM(Apr!C83, May!C83, Jun!C83)</f>
        <v>0</v>
      </c>
      <c r="D83" s="36">
        <f>SUM(Apr!D83, May!D83, Jun!D83)</f>
        <v>0</v>
      </c>
      <c r="E83" s="36">
        <f t="shared" si="9"/>
        <v>0</v>
      </c>
      <c r="F83" s="71" t="str">
        <f t="shared" si="10"/>
        <v/>
      </c>
      <c r="G83" s="72">
        <f>SUM(Apr!G83,May!G83,Jun!G83)</f>
        <v>0</v>
      </c>
      <c r="H83" s="72">
        <f>SUM(Apr!H83, May!H83, Jun!H83)</f>
        <v>0</v>
      </c>
      <c r="I83" s="71" t="str">
        <f t="shared" si="11"/>
        <v/>
      </c>
    </row>
    <row r="84" spans="1:9" ht="15.6">
      <c r="A84" s="47" t="str">
        <v>CA: San Jose - GE Mobile Water</v>
      </c>
      <c r="B84" s="27" t="str">
        <v>CA</v>
      </c>
      <c r="C84" s="28">
        <f>SUM(Apr!C84, May!C84, Jun!C84)</f>
        <v>0</v>
      </c>
      <c r="D84" s="29">
        <f>SUM(Apr!D84, May!D84, Jun!D84)</f>
        <v>0</v>
      </c>
      <c r="E84" s="29">
        <f t="shared" si="9"/>
        <v>0</v>
      </c>
      <c r="F84" s="30" t="str">
        <f t="shared" si="10"/>
        <v/>
      </c>
      <c r="G84" s="31">
        <f>SUM(Apr!G84,May!G84,Jun!G84)</f>
        <v>0</v>
      </c>
      <c r="H84" s="31">
        <f>SUM(Apr!H84, May!H84, Jun!H84)</f>
        <v>0</v>
      </c>
      <c r="I84" s="32" t="str">
        <f t="shared" si="11"/>
        <v/>
      </c>
    </row>
    <row r="85" spans="1:9" ht="15.6">
      <c r="A85" s="48" t="str">
        <v>NY: Rome - 7776 Tannery RD</v>
      </c>
      <c r="B85" s="34" t="str">
        <v>NY</v>
      </c>
      <c r="C85" s="35">
        <f>SUM(Apr!C85, May!C85, Jun!C85)</f>
        <v>0</v>
      </c>
      <c r="D85" s="36">
        <f>SUM(Apr!D85, May!D85, Jun!D85)</f>
        <v>0</v>
      </c>
      <c r="E85" s="36">
        <f t="shared" si="9"/>
        <v>0</v>
      </c>
      <c r="F85" s="71" t="str">
        <f t="shared" si="10"/>
        <v/>
      </c>
      <c r="G85" s="72">
        <f>SUM(Apr!G85,May!G85,Jun!G85)</f>
        <v>0</v>
      </c>
      <c r="H85" s="72">
        <f>SUM(Apr!H85, May!H85, Jun!H85)</f>
        <v>0</v>
      </c>
      <c r="I85" s="71" t="str">
        <f t="shared" si="11"/>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85 I4:I85">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52" activePane="bottomRight" state="frozen"/>
      <selection pane="bottomRight" activeCell="K57" sqref="K5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14</v>
      </c>
      <c r="E1" s="120"/>
      <c r="F1" s="120"/>
      <c r="G1" s="118" t="s">
        <v>15</v>
      </c>
      <c r="H1" s="118"/>
      <c r="I1" s="118"/>
    </row>
    <row r="2" spans="1:9" ht="19.5" customHeight="1">
      <c r="A2" s="121" t="s">
        <v>2</v>
      </c>
      <c r="B2" s="121"/>
      <c r="C2" s="5">
        <f>SUM(C4:C179)</f>
        <v>17176529.219980378</v>
      </c>
      <c r="D2" s="5">
        <f>SUM(D4:D179)</f>
        <v>11534670.218776362</v>
      </c>
      <c r="E2" s="5">
        <f>C2-D2</f>
        <v>5641859.0012040157</v>
      </c>
      <c r="F2" s="6">
        <f>IFERROR(E2/D2, 0)</f>
        <v>0.4891218295968347</v>
      </c>
      <c r="G2" s="5">
        <f>SUM(G4:G179)</f>
        <v>19588978.453999996</v>
      </c>
      <c r="H2" s="7">
        <f>C2-G2</f>
        <v>-2412449.2340196185</v>
      </c>
      <c r="I2" s="6">
        <f>IFERROR(H2/G2, 0)</f>
        <v>-0.12315339667582335</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SUM(Jul!C4, Aug!C4, Sep!C4)</f>
        <v>125988.8</v>
      </c>
      <c r="D4" s="29">
        <f>SUM(Jul!D4, Aug!D4, Sep!D4)</f>
        <v>0</v>
      </c>
      <c r="E4" s="29">
        <f>IF(AND(ISNUMBER(C4),ISNUMBER(D4)), C4-D4, "")</f>
        <v>125988.8</v>
      </c>
      <c r="F4" s="30" t="str">
        <f>IFERROR(E4/D4, "")</f>
        <v/>
      </c>
      <c r="G4" s="31">
        <f>SUM(Jul!G4,Aug!G4,Sep!G4)</f>
        <v>0</v>
      </c>
      <c r="H4" s="31">
        <f>SUM(Jul!H4, Aug!H4, Sep!H4)</f>
        <v>0</v>
      </c>
      <c r="I4" s="32" t="str">
        <f>IFERROR(H4/G4, "")</f>
        <v/>
      </c>
    </row>
    <row r="5" spans="1:9" ht="15.6">
      <c r="A5" s="48" t="str">
        <v>Pacoima - Whiteman Airport</v>
      </c>
      <c r="B5" s="34" t="str">
        <v>CA</v>
      </c>
      <c r="C5" s="35">
        <f>SUM(Jul!C5, Aug!C5, Sep!C5)</f>
        <v>69837.100000000006</v>
      </c>
      <c r="D5" s="36">
        <f>SUM(Jul!D5, Aug!D5, Sep!D5)</f>
        <v>0</v>
      </c>
      <c r="E5" s="36">
        <f t="shared" ref="E5:E7" si="0">IF(AND(ISNUMBER(C5),ISNUMBER(D5)), C5-D5, "")</f>
        <v>69837.100000000006</v>
      </c>
      <c r="F5" s="37" t="str">
        <f>IFERROR(E5/D5, "")</f>
        <v/>
      </c>
      <c r="G5" s="38">
        <f>SUM(Jul!G5,Aug!G5,Sep!G5)</f>
        <v>134818.9</v>
      </c>
      <c r="H5" s="38">
        <f>SUM(Jul!H5, Aug!H5, Sep!H5)</f>
        <v>-64981.8</v>
      </c>
      <c r="I5" s="37">
        <f>IFERROR(H5/G5, "")</f>
        <v>-0.48199325168800522</v>
      </c>
    </row>
    <row r="6" spans="1:9" ht="15.6">
      <c r="A6" s="47" t="str">
        <v>Hyannis - Sturgis Charter School</v>
      </c>
      <c r="B6" s="27" t="str">
        <v>MA</v>
      </c>
      <c r="C6" s="28">
        <f>SUM(Jul!C6, Aug!C6, Sep!C6)</f>
        <v>106190.09509</v>
      </c>
      <c r="D6" s="29">
        <f>SUM(Jul!D6, Aug!D6, Sep!D6)</f>
        <v>0</v>
      </c>
      <c r="E6" s="29">
        <f t="shared" si="0"/>
        <v>106190.09509</v>
      </c>
      <c r="F6" s="30" t="str">
        <f t="shared" ref="F6:F7" si="1">IFERROR(E6/D6, "")</f>
        <v/>
      </c>
      <c r="G6" s="31">
        <f>SUM(Jul!G6,Aug!G6,Sep!G6)</f>
        <v>97999.08</v>
      </c>
      <c r="H6" s="31">
        <f>SUM(Jul!H6, Aug!H6, Sep!H6)</f>
        <v>8191.0150899999971</v>
      </c>
      <c r="I6" s="32">
        <f t="shared" ref="I6:I7" si="2">IFERROR(H6/G6, "")</f>
        <v>8.3582571285363061E-2</v>
      </c>
    </row>
    <row r="7" spans="1:9" ht="15.6">
      <c r="A7" s="48" t="str">
        <v>South Dennis - Tony Kent Arena</v>
      </c>
      <c r="B7" s="34" t="str">
        <v>MA</v>
      </c>
      <c r="C7" s="35">
        <f>SUM(Jul!C7, Aug!C7, Sep!C7)</f>
        <v>120140.6</v>
      </c>
      <c r="D7" s="36">
        <f>SUM(Jul!D7, Aug!D7, Sep!D7)</f>
        <v>0</v>
      </c>
      <c r="E7" s="36">
        <f t="shared" si="0"/>
        <v>120140.6</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141425.5</v>
      </c>
      <c r="D8" s="29">
        <f>SUM(Jul!D8, Aug!D8, Sep!D8)</f>
        <v>0</v>
      </c>
      <c r="E8" s="29">
        <f t="shared" ref="E8:E46" si="3">IF(AND(ISNUMBER(C8),ISNUMBER(D8)), C8-D8, "")</f>
        <v>141425.5</v>
      </c>
      <c r="F8" s="30" t="str">
        <f t="shared" ref="F8:F46" si="4">IFERROR(E8/D8, "")</f>
        <v/>
      </c>
      <c r="G8" s="31">
        <f>SUM(Jul!G8,Aug!G8,Sep!G8)</f>
        <v>0</v>
      </c>
      <c r="H8" s="31">
        <f>SUM(Jul!H8, Aug!H8, Sep!H8)</f>
        <v>0</v>
      </c>
      <c r="I8" s="32" t="str">
        <f t="shared" ref="I8:I46" si="5">IFERROR(H8/G8, "")</f>
        <v/>
      </c>
    </row>
    <row r="9" spans="1:9" ht="15.6">
      <c r="A9" s="48" t="str">
        <v>Clear Lake - Eastlake Gohman</v>
      </c>
      <c r="B9" s="34" t="str">
        <v>MN</v>
      </c>
      <c r="C9" s="35">
        <f>SUM(Jul!C9, Aug!C9, Sep!C9)</f>
        <v>504186.09597857099</v>
      </c>
      <c r="D9" s="36">
        <f>SUM(Jul!D9, Aug!D9, Sep!D9)</f>
        <v>0</v>
      </c>
      <c r="E9" s="36">
        <f t="shared" si="3"/>
        <v>504186.09597857099</v>
      </c>
      <c r="F9" s="71" t="str">
        <f t="shared" si="4"/>
        <v/>
      </c>
      <c r="G9" s="72">
        <f>SUM(Jul!G9,Aug!G9,Sep!G9)</f>
        <v>572348.9</v>
      </c>
      <c r="H9" s="72">
        <f>SUM(Jul!H9, Aug!H9, Sep!H9)</f>
        <v>-68162.804021429038</v>
      </c>
      <c r="I9" s="71">
        <f t="shared" si="5"/>
        <v>-0.1190930986701102</v>
      </c>
    </row>
    <row r="10" spans="1:9" ht="15.6">
      <c r="A10" s="47" t="str">
        <v>Zumbrota - Eastlake Brenda Luhman</v>
      </c>
      <c r="B10" s="27" t="str">
        <v>MN</v>
      </c>
      <c r="C10" s="28">
        <f>SUM(Jul!C10, Aug!C10, Sep!C10)</f>
        <v>575157</v>
      </c>
      <c r="D10" s="29">
        <f>SUM(Jul!D10, Aug!D10, Sep!D10)</f>
        <v>0</v>
      </c>
      <c r="E10" s="29">
        <f t="shared" si="3"/>
        <v>575157</v>
      </c>
      <c r="F10" s="30" t="str">
        <f t="shared" si="4"/>
        <v/>
      </c>
      <c r="G10" s="31">
        <f>SUM(Jul!G10,Aug!G10,Sep!G10)</f>
        <v>556918.5</v>
      </c>
      <c r="H10" s="31">
        <f>SUM(Jul!H10, Aug!H10, Sep!H10)</f>
        <v>18238.500000000029</v>
      </c>
      <c r="I10" s="32">
        <f t="shared" si="5"/>
        <v>3.2748956983831616E-2</v>
      </c>
    </row>
    <row r="11" spans="1:9" ht="15.6">
      <c r="A11" s="48" t="str">
        <v>Cokato - Eastlake Carlson</v>
      </c>
      <c r="B11" s="34" t="str">
        <v>MN</v>
      </c>
      <c r="C11" s="35">
        <f>SUM(Jul!C11, Aug!C11, Sep!C11)</f>
        <v>543099</v>
      </c>
      <c r="D11" s="36">
        <f>SUM(Jul!D11, Aug!D11, Sep!D11)</f>
        <v>0</v>
      </c>
      <c r="E11" s="36">
        <f t="shared" si="3"/>
        <v>543099</v>
      </c>
      <c r="F11" s="71" t="str">
        <f t="shared" si="4"/>
        <v/>
      </c>
      <c r="G11" s="72">
        <f>SUM(Jul!G11,Aug!G11,Sep!G11)</f>
        <v>604667.19999999995</v>
      </c>
      <c r="H11" s="72">
        <f>SUM(Jul!H11, Aug!H11, Sep!H11)</f>
        <v>-61568.199999999983</v>
      </c>
      <c r="I11" s="71">
        <f t="shared" si="5"/>
        <v>-0.10182163014630194</v>
      </c>
    </row>
    <row r="12" spans="1:9" ht="15.6">
      <c r="A12" s="47" t="str">
        <v>North Branch - Cornille 2</v>
      </c>
      <c r="B12" s="27" t="str">
        <v>MN</v>
      </c>
      <c r="C12" s="28">
        <f>SUM(Jul!C12, Aug!C12, Sep!C12)</f>
        <v>563255</v>
      </c>
      <c r="D12" s="29">
        <f>SUM(Jul!D12, Aug!D12, Sep!D12)</f>
        <v>0</v>
      </c>
      <c r="E12" s="29">
        <f t="shared" si="3"/>
        <v>563255</v>
      </c>
      <c r="F12" s="30" t="str">
        <f t="shared" si="4"/>
        <v/>
      </c>
      <c r="G12" s="31">
        <f>SUM(Jul!G12,Aug!G12,Sep!G12)</f>
        <v>570208</v>
      </c>
      <c r="H12" s="31">
        <f>SUM(Jul!H12, Aug!H12, Sep!H12)</f>
        <v>-6953</v>
      </c>
      <c r="I12" s="32">
        <f t="shared" si="5"/>
        <v>-1.2193795948145238E-2</v>
      </c>
    </row>
    <row r="13" spans="1:9" ht="15.6">
      <c r="A13" s="48" t="str">
        <v>Clear Lake - Eastlake Hammer</v>
      </c>
      <c r="B13" s="34" t="str">
        <v>MN</v>
      </c>
      <c r="C13" s="35">
        <f>SUM(Jul!C13, Aug!C13, Sep!C13)</f>
        <v>632010</v>
      </c>
      <c r="D13" s="36">
        <f>SUM(Jul!D13, Aug!D13, Sep!D13)</f>
        <v>0</v>
      </c>
      <c r="E13" s="36">
        <f t="shared" si="3"/>
        <v>632010</v>
      </c>
      <c r="F13" s="71" t="str">
        <f t="shared" si="4"/>
        <v/>
      </c>
      <c r="G13" s="72">
        <f>SUM(Jul!G13,Aug!G13,Sep!G13)</f>
        <v>695386.4</v>
      </c>
      <c r="H13" s="72">
        <f>SUM(Jul!H13, Aug!H13, Sep!H13)</f>
        <v>-63376.399999999994</v>
      </c>
      <c r="I13" s="71">
        <f t="shared" si="5"/>
        <v>-9.1138394423589522E-2</v>
      </c>
    </row>
    <row r="14" spans="1:9" ht="15.6">
      <c r="A14" s="47" t="str">
        <v>Eastlake - Hertzberg CSG 1</v>
      </c>
      <c r="B14" s="27" t="str">
        <v>MN</v>
      </c>
      <c r="C14" s="28">
        <f>SUM(Jul!C14, Aug!C14, Sep!C14)</f>
        <v>535713.77470000007</v>
      </c>
      <c r="D14" s="29">
        <f>SUM(Jul!D14, Aug!D14, Sep!D14)</f>
        <v>0</v>
      </c>
      <c r="E14" s="29">
        <f t="shared" si="3"/>
        <v>535713.77470000007</v>
      </c>
      <c r="F14" s="30" t="str">
        <f t="shared" si="4"/>
        <v/>
      </c>
      <c r="G14" s="31">
        <f>SUM(Jul!G14,Aug!G14,Sep!G14)</f>
        <v>702968.21499999997</v>
      </c>
      <c r="H14" s="31">
        <f>SUM(Jul!H14, Aug!H14, Sep!H14)</f>
        <v>-167254.44029999999</v>
      </c>
      <c r="I14" s="32">
        <f t="shared" si="5"/>
        <v>-0.23792603524755382</v>
      </c>
    </row>
    <row r="15" spans="1:9" ht="15.6">
      <c r="A15" s="48" t="str">
        <v>Cokato - Eastlake Laurel Village</v>
      </c>
      <c r="B15" s="34" t="str">
        <v>MN</v>
      </c>
      <c r="C15" s="35">
        <f>SUM(Jul!C15, Aug!C15, Sep!C15)</f>
        <v>624307.94999999995</v>
      </c>
      <c r="D15" s="36">
        <f>SUM(Jul!D15, Aug!D15, Sep!D15)</f>
        <v>0</v>
      </c>
      <c r="E15" s="36">
        <f t="shared" si="3"/>
        <v>624307.94999999995</v>
      </c>
      <c r="F15" s="71" t="str">
        <f t="shared" si="4"/>
        <v/>
      </c>
      <c r="G15" s="72">
        <f>SUM(Jul!G15,Aug!G15,Sep!G15)</f>
        <v>685835.7</v>
      </c>
      <c r="H15" s="72">
        <f>SUM(Jul!H15, Aug!H15, Sep!H15)</f>
        <v>-61527.75</v>
      </c>
      <c r="I15" s="71">
        <f t="shared" si="5"/>
        <v>-8.9712084104108317E-2</v>
      </c>
    </row>
    <row r="16" spans="1:9" ht="15.6">
      <c r="A16" s="47" t="str">
        <v>St. Peter - Eastlake Paulson</v>
      </c>
      <c r="B16" s="27" t="str">
        <v>MN</v>
      </c>
      <c r="C16" s="28">
        <f>SUM(Jul!C16, Aug!C16, Sep!C16)</f>
        <v>571528.15164141497</v>
      </c>
      <c r="D16" s="29">
        <f>SUM(Jul!D16, Aug!D16, Sep!D16)</f>
        <v>0</v>
      </c>
      <c r="E16" s="29">
        <f t="shared" si="3"/>
        <v>571528.15164141497</v>
      </c>
      <c r="F16" s="30" t="str">
        <f t="shared" si="4"/>
        <v/>
      </c>
      <c r="G16" s="31">
        <f>SUM(Jul!G16,Aug!G16,Sep!G16)</f>
        <v>618414.4</v>
      </c>
      <c r="H16" s="31">
        <f>SUM(Jul!H16, Aug!H16, Sep!H16)</f>
        <v>-46886.248358584999</v>
      </c>
      <c r="I16" s="32">
        <f t="shared" si="5"/>
        <v>-7.5816876771603314E-2</v>
      </c>
    </row>
    <row r="17" spans="1:9" ht="15.6">
      <c r="A17" s="48" t="str">
        <v>Felician Sisters Convent</v>
      </c>
      <c r="B17" s="34" t="str">
        <v>NJ</v>
      </c>
      <c r="C17" s="35">
        <f>SUM(Jul!C17, Aug!C17, Sep!C17)</f>
        <v>12853.099999999999</v>
      </c>
      <c r="D17" s="36">
        <f>SUM(Jul!D17, Aug!D17, Sep!D17)</f>
        <v>0</v>
      </c>
      <c r="E17" s="36">
        <f t="shared" si="3"/>
        <v>12853.099999999999</v>
      </c>
      <c r="F17" s="71" t="str">
        <f t="shared" si="4"/>
        <v/>
      </c>
      <c r="G17" s="72">
        <f>SUM(Jul!G17,Aug!G17,Sep!G17)</f>
        <v>0</v>
      </c>
      <c r="H17" s="72">
        <f>SUM(Jul!H17, Aug!H17, Sep!H17)</f>
        <v>0</v>
      </c>
      <c r="I17" s="71" t="str">
        <f t="shared" si="5"/>
        <v/>
      </c>
    </row>
    <row r="18" spans="1:9" ht="15.6">
      <c r="A18" s="47" t="str">
        <v>Sussex County Fairgrounds</v>
      </c>
      <c r="B18" s="27" t="str">
        <v>NJ</v>
      </c>
      <c r="C18" s="28">
        <f>SUM(Jul!C18, Aug!C18, Sep!C18)</f>
        <v>172876.76</v>
      </c>
      <c r="D18" s="29">
        <f>SUM(Jul!D18, Aug!D18, Sep!D18)</f>
        <v>0</v>
      </c>
      <c r="E18" s="29">
        <f t="shared" si="3"/>
        <v>172876.76</v>
      </c>
      <c r="F18" s="30" t="str">
        <f t="shared" si="4"/>
        <v/>
      </c>
      <c r="G18" s="31">
        <f>SUM(Jul!G18,Aug!G18,Sep!G18)</f>
        <v>0</v>
      </c>
      <c r="H18" s="31">
        <f>SUM(Jul!H18, Aug!H18, Sep!H18)</f>
        <v>0</v>
      </c>
      <c r="I18" s="32" t="str">
        <f t="shared" si="5"/>
        <v/>
      </c>
    </row>
    <row r="19" spans="1:9" ht="15.6">
      <c r="A19" s="48" t="str">
        <v>Gateway Church</v>
      </c>
      <c r="B19" s="34" t="str">
        <v>NJ</v>
      </c>
      <c r="C19" s="35">
        <f>SUM(Jul!C19, Aug!C19, Sep!C19)</f>
        <v>93100</v>
      </c>
      <c r="D19" s="36">
        <f>SUM(Jul!D19, Aug!D19, Sep!D19)</f>
        <v>0</v>
      </c>
      <c r="E19" s="36">
        <f t="shared" si="3"/>
        <v>93100</v>
      </c>
      <c r="F19" s="71" t="str">
        <f t="shared" si="4"/>
        <v/>
      </c>
      <c r="G19" s="72">
        <f>SUM(Jul!G19,Aug!G19,Sep!G19)</f>
        <v>0</v>
      </c>
      <c r="H19" s="72">
        <f>SUM(Jul!H19, Aug!H19, Sep!H19)</f>
        <v>0</v>
      </c>
      <c r="I19" s="71" t="str">
        <f t="shared" si="5"/>
        <v/>
      </c>
    </row>
    <row r="20" spans="1:9" ht="15.6">
      <c r="A20" s="47" t="str">
        <v>Beaver Falls - Felician Sisters</v>
      </c>
      <c r="B20" s="27" t="str">
        <v>PA</v>
      </c>
      <c r="C20" s="28">
        <f>SUM(Jul!C20, Aug!C20, Sep!C20)</f>
        <v>139960</v>
      </c>
      <c r="D20" s="29">
        <f>SUM(Jul!D20, Aug!D20, Sep!D20)</f>
        <v>0</v>
      </c>
      <c r="E20" s="29">
        <f t="shared" si="3"/>
        <v>139960</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13905.8</v>
      </c>
      <c r="D21" s="36">
        <f>SUM(Jul!D21, Aug!D21, Sep!D21)</f>
        <v>0</v>
      </c>
      <c r="E21" s="36">
        <f t="shared" si="3"/>
        <v>13905.8</v>
      </c>
      <c r="F21" s="71" t="str">
        <f t="shared" si="4"/>
        <v/>
      </c>
      <c r="G21" s="72">
        <f>SUM(Jul!G21,Aug!G21,Sep!G21)</f>
        <v>0</v>
      </c>
      <c r="H21" s="72">
        <f>SUM(Jul!H21, Aug!H21, Sep!H21)</f>
        <v>0</v>
      </c>
      <c r="I21" s="71" t="str">
        <f t="shared" si="5"/>
        <v/>
      </c>
    </row>
    <row r="22" spans="1:9" ht="15.6">
      <c r="A22" s="47" t="str">
        <v>Livonia - Felician Sisters Roof</v>
      </c>
      <c r="B22" s="27" t="str">
        <v>MI</v>
      </c>
      <c r="C22" s="28">
        <f>SUM(Jul!C22, Aug!C22, Sep!C22)</f>
        <v>46313</v>
      </c>
      <c r="D22" s="29">
        <f>SUM(Jul!D22, Aug!D22, Sep!D22)</f>
        <v>0</v>
      </c>
      <c r="E22" s="29">
        <f t="shared" si="3"/>
        <v>46313</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25779.57</v>
      </c>
      <c r="D23" s="36">
        <f>SUM(Jul!D23, Aug!D23, Sep!D23)</f>
        <v>0</v>
      </c>
      <c r="E23" s="36">
        <f t="shared" si="3"/>
        <v>25779.57</v>
      </c>
      <c r="F23" s="71" t="str">
        <f t="shared" si="4"/>
        <v/>
      </c>
      <c r="G23" s="72">
        <f>SUM(Jul!G23,Aug!G23,Sep!G23)</f>
        <v>0</v>
      </c>
      <c r="H23" s="72">
        <f>SUM(Jul!H23, Aug!H23, Sep!H23)</f>
        <v>0</v>
      </c>
      <c r="I23" s="71" t="str">
        <f t="shared" si="5"/>
        <v/>
      </c>
    </row>
    <row r="24" spans="1:9" ht="15.6">
      <c r="A24" s="47" t="str">
        <v xml:space="preserve"> Audubon - Senior Citizens United</v>
      </c>
      <c r="B24" s="27" t="str">
        <v>NJ</v>
      </c>
      <c r="C24" s="28">
        <f>SUM(Jul!C24, Aug!C24, Sep!C24)</f>
        <v>36451.300000000003</v>
      </c>
      <c r="D24" s="29">
        <f>SUM(Jul!D24, Aug!D24, Sep!D24)</f>
        <v>0</v>
      </c>
      <c r="E24" s="29">
        <f t="shared" si="3"/>
        <v>36451.300000000003</v>
      </c>
      <c r="F24" s="30" t="str">
        <f t="shared" si="4"/>
        <v/>
      </c>
      <c r="G24" s="31">
        <f>SUM(Jul!G24,Aug!G24,Sep!G24)</f>
        <v>0</v>
      </c>
      <c r="H24" s="31">
        <f>SUM(Jul!H24, Aug!H24, Sep!H24)</f>
        <v>0</v>
      </c>
      <c r="I24" s="32" t="str">
        <f t="shared" si="5"/>
        <v/>
      </c>
    </row>
    <row r="25" spans="1:9" ht="15.6">
      <c r="A25" s="48" t="str">
        <v>Hollister - PG&amp;E (Enerparc)</v>
      </c>
      <c r="B25" s="34" t="str">
        <v>CA</v>
      </c>
      <c r="C25" s="35">
        <f>SUM(Jul!C25, Aug!C25, Sep!C25)</f>
        <v>592023.95400000003</v>
      </c>
      <c r="D25" s="36">
        <f>SUM(Jul!D25, Aug!D25, Sep!D25)</f>
        <v>0</v>
      </c>
      <c r="E25" s="36">
        <f t="shared" si="3"/>
        <v>592023.95400000003</v>
      </c>
      <c r="F25" s="71" t="str">
        <f t="shared" si="4"/>
        <v/>
      </c>
      <c r="G25" s="72">
        <f>SUM(Jul!G25,Aug!G25,Sep!G25)</f>
        <v>1150681.7000000002</v>
      </c>
      <c r="H25" s="72">
        <f>SUM(Jul!H25, Aug!H25, Sep!H25)</f>
        <v>-558657.74600000004</v>
      </c>
      <c r="I25" s="71">
        <f t="shared" si="5"/>
        <v>-0.48550154747398866</v>
      </c>
    </row>
    <row r="26" spans="1:9" ht="15.6">
      <c r="A26" s="47" t="str">
        <v>Taos County - Kit Carson Electric Co-Op</v>
      </c>
      <c r="B26" s="27" t="str">
        <v>NM</v>
      </c>
      <c r="C26" s="28">
        <f>SUM(Jul!C26, Aug!C26, Sep!C26)</f>
        <v>875120</v>
      </c>
      <c r="D26" s="29">
        <f>SUM(Jul!D26, Aug!D26, Sep!D26)</f>
        <v>636069.30000000005</v>
      </c>
      <c r="E26" s="29">
        <f t="shared" si="3"/>
        <v>239050.69999999995</v>
      </c>
      <c r="F26" s="30">
        <f t="shared" si="4"/>
        <v>0.37582492976787268</v>
      </c>
      <c r="G26" s="31">
        <f>SUM(Jul!G26,Aug!G26,Sep!G26)</f>
        <v>576091.69999999995</v>
      </c>
      <c r="H26" s="31">
        <f>SUM(Jul!H26, Aug!H26, Sep!H26)</f>
        <v>299028.3</v>
      </c>
      <c r="I26" s="32">
        <f t="shared" si="5"/>
        <v>0.51906371850175936</v>
      </c>
    </row>
    <row r="27" spans="1:9" ht="15.6">
      <c r="A27" s="48" t="str">
        <v>Commerce City - Adams City HS</v>
      </c>
      <c r="B27" s="34" t="str">
        <v>CO</v>
      </c>
      <c r="C27" s="35">
        <f>SUM(Jul!C27, Aug!C27, Sep!C27)</f>
        <v>44635</v>
      </c>
      <c r="D27" s="36">
        <f>SUM(Jul!D27, Aug!D27, Sep!D27)</f>
        <v>37435.89</v>
      </c>
      <c r="E27" s="36">
        <f t="shared" si="3"/>
        <v>7199.1100000000006</v>
      </c>
      <c r="F27" s="71">
        <f t="shared" si="4"/>
        <v>0.19230503134825966</v>
      </c>
      <c r="G27" s="72">
        <f>SUM(Jul!G27,Aug!G27,Sep!G27)</f>
        <v>41243.79</v>
      </c>
      <c r="H27" s="72">
        <f>SUM(Jul!H27, Aug!H27, Sep!H27)</f>
        <v>3391.2099999999991</v>
      </c>
      <c r="I27" s="71">
        <f t="shared" si="5"/>
        <v>8.2223529893833691E-2</v>
      </c>
    </row>
    <row r="28" spans="1:9" ht="15.6">
      <c r="A28" s="47" t="str">
        <v>Commerce City - Adams City MS</v>
      </c>
      <c r="B28" s="27" t="str">
        <v>CO</v>
      </c>
      <c r="C28" s="28">
        <f>SUM(Jul!C28, Aug!C28, Sep!C28)</f>
        <v>36543</v>
      </c>
      <c r="D28" s="29">
        <f>SUM(Jul!D28, Aug!D28, Sep!D28)</f>
        <v>34016.300000000003</v>
      </c>
      <c r="E28" s="29">
        <f t="shared" si="3"/>
        <v>2526.6999999999971</v>
      </c>
      <c r="F28" s="30">
        <f t="shared" si="4"/>
        <v>7.4279095610045684E-2</v>
      </c>
      <c r="G28" s="31">
        <f>SUM(Jul!G28,Aug!G28,Sep!G28)</f>
        <v>36286.720000000001</v>
      </c>
      <c r="H28" s="31">
        <f>SUM(Jul!H28, Aug!H28, Sep!H28)</f>
        <v>256.27999999999884</v>
      </c>
      <c r="I28" s="32">
        <f t="shared" si="5"/>
        <v>7.0626388937881082E-3</v>
      </c>
    </row>
    <row r="29" spans="1:9" ht="15.6">
      <c r="A29" s="48" t="str">
        <v>Commerce City - Central ES</v>
      </c>
      <c r="B29" s="34" t="str">
        <v>CO</v>
      </c>
      <c r="C29" s="35">
        <f>SUM(Jul!C29, Aug!C29, Sep!C29)</f>
        <v>9560.7000000000007</v>
      </c>
      <c r="D29" s="36">
        <f>SUM(Jul!D29, Aug!D29, Sep!D29)</f>
        <v>9714.1409999999996</v>
      </c>
      <c r="E29" s="36">
        <f t="shared" si="3"/>
        <v>-153.44099999999889</v>
      </c>
      <c r="F29" s="71">
        <f t="shared" si="4"/>
        <v>-1.5795632367287947E-2</v>
      </c>
      <c r="G29" s="72">
        <f>SUM(Jul!G29,Aug!G29,Sep!G29)</f>
        <v>10605.710999999999</v>
      </c>
      <c r="H29" s="72">
        <f>SUM(Jul!H29, Aug!H29, Sep!H29)</f>
        <v>-1045.0109999999995</v>
      </c>
      <c r="I29" s="71">
        <f t="shared" si="5"/>
        <v>-9.8532856495901086E-2</v>
      </c>
    </row>
    <row r="30" spans="1:9" ht="15.6">
      <c r="A30" s="47" t="str">
        <v>Commerce City - Dupont ES</v>
      </c>
      <c r="B30" s="27" t="str">
        <v>CO</v>
      </c>
      <c r="C30" s="28">
        <f>SUM(Jul!C30, Aug!C30, Sep!C30)</f>
        <v>29564</v>
      </c>
      <c r="D30" s="29">
        <f>SUM(Jul!D30, Aug!D30, Sep!D30)</f>
        <v>27341.724999999999</v>
      </c>
      <c r="E30" s="29">
        <f t="shared" si="3"/>
        <v>2222.2750000000015</v>
      </c>
      <c r="F30" s="30">
        <f t="shared" si="4"/>
        <v>8.1277790629523256E-2</v>
      </c>
      <c r="G30" s="31">
        <f>SUM(Jul!G30,Aug!G30,Sep!G30)</f>
        <v>30319.884999999998</v>
      </c>
      <c r="H30" s="31">
        <f>SUM(Jul!H30, Aug!H30, Sep!H30)</f>
        <v>-755.88500000000022</v>
      </c>
      <c r="I30" s="32">
        <f t="shared" si="5"/>
        <v>-2.4930338621007311E-2</v>
      </c>
    </row>
    <row r="31" spans="1:9" ht="15.6">
      <c r="A31" s="48" t="str">
        <v>Commerce City - Educational Support Services</v>
      </c>
      <c r="B31" s="34" t="str">
        <v>CO</v>
      </c>
      <c r="C31" s="35">
        <f>SUM(Jul!C31, Aug!C31, Sep!C31)</f>
        <v>14515</v>
      </c>
      <c r="D31" s="36">
        <f>SUM(Jul!D31, Aug!D31, Sep!D31)</f>
        <v>28612.225999999999</v>
      </c>
      <c r="E31" s="36">
        <f t="shared" si="3"/>
        <v>-14097.225999999999</v>
      </c>
      <c r="F31" s="71">
        <f t="shared" si="4"/>
        <v>-0.49269937962883414</v>
      </c>
      <c r="G31" s="72">
        <f>SUM(Jul!G31,Aug!G31,Sep!G31)</f>
        <v>31442.954000000002</v>
      </c>
      <c r="H31" s="72">
        <f>SUM(Jul!H31, Aug!H31, Sep!H31)</f>
        <v>-16927.953999999998</v>
      </c>
      <c r="I31" s="71">
        <f t="shared" si="5"/>
        <v>-0.53837034522901372</v>
      </c>
    </row>
    <row r="32" spans="1:9" ht="15.6">
      <c r="A32" s="47" t="str">
        <v>Commerce City - Hanson ES</v>
      </c>
      <c r="B32" s="27" t="str">
        <v>CO</v>
      </c>
      <c r="C32" s="28">
        <f>SUM(Jul!C32, Aug!C32, Sep!C32)</f>
        <v>38811</v>
      </c>
      <c r="D32" s="29">
        <f>SUM(Jul!D32, Aug!D32, Sep!D32)</f>
        <v>37311.300000000003</v>
      </c>
      <c r="E32" s="29">
        <f t="shared" si="3"/>
        <v>1499.6999999999971</v>
      </c>
      <c r="F32" s="30">
        <f t="shared" si="4"/>
        <v>4.019425750375883E-2</v>
      </c>
      <c r="G32" s="31">
        <f>SUM(Jul!G32,Aug!G32,Sep!G32)</f>
        <v>41100.770000000004</v>
      </c>
      <c r="H32" s="31">
        <f>SUM(Jul!H32, Aug!H32, Sep!H32)</f>
        <v>-2289.7700000000004</v>
      </c>
      <c r="I32" s="32">
        <f t="shared" si="5"/>
        <v>-5.5711121713778115E-2</v>
      </c>
    </row>
    <row r="33" spans="1:9" ht="15.6">
      <c r="A33" s="48" t="str">
        <v>Commerce City - Kemp ES</v>
      </c>
      <c r="B33" s="34" t="str">
        <v>CO</v>
      </c>
      <c r="C33" s="35">
        <f>SUM(Jul!C33, Aug!C33, Sep!C33)</f>
        <v>35514</v>
      </c>
      <c r="D33" s="36">
        <f>SUM(Jul!D33, Aug!D33, Sep!D33)</f>
        <v>37292.099000000002</v>
      </c>
      <c r="E33" s="36">
        <f t="shared" si="3"/>
        <v>-1778.099000000002</v>
      </c>
      <c r="F33" s="71">
        <f t="shared" si="4"/>
        <v>-4.7680314267105263E-2</v>
      </c>
      <c r="G33" s="72">
        <f>SUM(Jul!G33,Aug!G33,Sep!G33)</f>
        <v>41037.457000000002</v>
      </c>
      <c r="H33" s="72">
        <f>SUM(Jul!H33, Aug!H33, Sep!H33)</f>
        <v>-5523.4570000000003</v>
      </c>
      <c r="I33" s="71">
        <f t="shared" si="5"/>
        <v>-0.134595498936496</v>
      </c>
    </row>
    <row r="34" spans="1:9" ht="15.6">
      <c r="A34" s="47" t="str">
        <v>Commerce City -  Lester Arnold HS</v>
      </c>
      <c r="B34" s="27" t="str">
        <v>CO</v>
      </c>
      <c r="C34" s="28">
        <f>SUM(Jul!C34, Aug!C34, Sep!C34)</f>
        <v>32468.998967415191</v>
      </c>
      <c r="D34" s="29">
        <f>SUM(Jul!D34, Aug!D34, Sep!D34)</f>
        <v>36050.92</v>
      </c>
      <c r="E34" s="29">
        <f t="shared" si="3"/>
        <v>-3581.9210325848071</v>
      </c>
      <c r="F34" s="30">
        <f t="shared" si="4"/>
        <v>-9.935727112053748E-2</v>
      </c>
      <c r="G34" s="31">
        <f>SUM(Jul!G34,Aug!G34,Sep!G34)</f>
        <v>39894.740000000005</v>
      </c>
      <c r="H34" s="31">
        <f>SUM(Jul!H34, Aug!H34, Sep!H34)</f>
        <v>-7425.7410325848114</v>
      </c>
      <c r="I34" s="32">
        <f t="shared" si="5"/>
        <v>-0.18613333568748186</v>
      </c>
    </row>
    <row r="35" spans="1:9" ht="15.6">
      <c r="A35" s="48" t="str">
        <v>Commerce City - Monaco ES</v>
      </c>
      <c r="B35" s="34" t="str">
        <v>CO</v>
      </c>
      <c r="C35" s="35">
        <f>SUM(Jul!C35, Aug!C35, Sep!C35)</f>
        <v>40151</v>
      </c>
      <c r="D35" s="36">
        <f>SUM(Jul!D35, Aug!D35, Sep!D35)</f>
        <v>37312.28</v>
      </c>
      <c r="E35" s="36">
        <f t="shared" si="3"/>
        <v>2838.7200000000012</v>
      </c>
      <c r="F35" s="71">
        <f t="shared" si="4"/>
        <v>7.6080046569118834E-2</v>
      </c>
      <c r="G35" s="72">
        <f>SUM(Jul!G35,Aug!G35,Sep!G35)</f>
        <v>41100.770000000004</v>
      </c>
      <c r="H35" s="72">
        <f>SUM(Jul!H35, Aug!H35, Sep!H35)</f>
        <v>-949.77000000000044</v>
      </c>
      <c r="I35" s="71">
        <f t="shared" si="5"/>
        <v>-2.3108326194375441E-2</v>
      </c>
    </row>
    <row r="36" spans="1:9" ht="15.6">
      <c r="A36" s="47" t="str">
        <v>Denver - Northgate / Old Fort Logan ES</v>
      </c>
      <c r="B36" s="27" t="str">
        <v>CO</v>
      </c>
      <c r="C36" s="28">
        <f>SUM(Jul!C36, Aug!C36, Sep!C36)</f>
        <v>36089</v>
      </c>
      <c r="D36" s="29">
        <f>SUM(Jul!D36, Aug!D36, Sep!D36)</f>
        <v>32414.025999999998</v>
      </c>
      <c r="E36" s="29">
        <f t="shared" si="3"/>
        <v>3674.974000000002</v>
      </c>
      <c r="F36" s="30">
        <f t="shared" si="4"/>
        <v>0.11337604282787958</v>
      </c>
      <c r="G36" s="31">
        <f>SUM(Jul!G36,Aug!G36,Sep!G36)</f>
        <v>38273.578000000001</v>
      </c>
      <c r="H36" s="31">
        <f>SUM(Jul!H36, Aug!H36, Sep!H36)</f>
        <v>-2184.5780000000013</v>
      </c>
      <c r="I36" s="32">
        <f t="shared" si="5"/>
        <v>-5.707796642372974E-2</v>
      </c>
    </row>
    <row r="37" spans="1:9" ht="15.6">
      <c r="A37" s="48" t="str">
        <v>Denver - Sheridan High School</v>
      </c>
      <c r="B37" s="34" t="str">
        <v>CO</v>
      </c>
      <c r="C37" s="35">
        <f>SUM(Jul!C37, Aug!C37, Sep!C37)</f>
        <v>41755</v>
      </c>
      <c r="D37" s="36">
        <f>SUM(Jul!D37, Aug!D37, Sep!D37)</f>
        <v>37412.58</v>
      </c>
      <c r="E37" s="36">
        <f t="shared" si="3"/>
        <v>4342.4199999999983</v>
      </c>
      <c r="F37" s="71">
        <f t="shared" si="4"/>
        <v>0.11606844542664521</v>
      </c>
      <c r="G37" s="72">
        <f>SUM(Jul!G37,Aug!G37,Sep!G37)</f>
        <v>39348.869999999995</v>
      </c>
      <c r="H37" s="72">
        <f>SUM(Jul!H37, Aug!H37, Sep!H37)</f>
        <v>2406.130000000001</v>
      </c>
      <c r="I37" s="71">
        <f t="shared" si="5"/>
        <v>6.1148642896225514E-2</v>
      </c>
    </row>
    <row r="38" spans="1:9" ht="15.6">
      <c r="A38" s="47" t="str">
        <v>Englewood -  Alice Terry Elementary</v>
      </c>
      <c r="B38" s="27" t="str">
        <v>CO</v>
      </c>
      <c r="C38" s="28">
        <f>SUM(Jul!C38, Aug!C38, Sep!C38)</f>
        <v>39854</v>
      </c>
      <c r="D38" s="29">
        <f>SUM(Jul!D38, Aug!D38, Sep!D38)</f>
        <v>37413.760000000002</v>
      </c>
      <c r="E38" s="29">
        <f t="shared" si="3"/>
        <v>2440.239999999998</v>
      </c>
      <c r="F38" s="30">
        <f t="shared" si="4"/>
        <v>6.5223062317179503E-2</v>
      </c>
      <c r="G38" s="31">
        <f>SUM(Jul!G38,Aug!G38,Sep!G38)</f>
        <v>39511.58</v>
      </c>
      <c r="H38" s="31">
        <f>SUM(Jul!H38, Aug!H38, Sep!H38)</f>
        <v>342.42000000000007</v>
      </c>
      <c r="I38" s="32">
        <f t="shared" si="5"/>
        <v>8.6663201016005959E-3</v>
      </c>
    </row>
    <row r="39" spans="1:9" ht="15.6">
      <c r="A39" s="48" t="str">
        <v>Englewood - Sheridan Middle School</v>
      </c>
      <c r="B39" s="34" t="str">
        <v>CO</v>
      </c>
      <c r="C39" s="35">
        <f>SUM(Jul!C39, Aug!C39, Sep!C39)</f>
        <v>20865</v>
      </c>
      <c r="D39" s="36">
        <f>SUM(Jul!D39, Aug!D39, Sep!D39)</f>
        <v>21767.154000000002</v>
      </c>
      <c r="E39" s="36">
        <f t="shared" si="3"/>
        <v>-902.15400000000227</v>
      </c>
      <c r="F39" s="71">
        <f t="shared" si="4"/>
        <v>-4.1445657066606051E-2</v>
      </c>
      <c r="G39" s="72">
        <f>SUM(Jul!G39,Aug!G39,Sep!G39)</f>
        <v>23126.911</v>
      </c>
      <c r="H39" s="72">
        <f>SUM(Jul!H39, Aug!H39, Sep!H39)</f>
        <v>-2261.9110000000001</v>
      </c>
      <c r="I39" s="71">
        <f t="shared" si="5"/>
        <v>-9.7804285232904645E-2</v>
      </c>
    </row>
    <row r="40" spans="1:9" ht="15.6">
      <c r="A40" s="47" t="str">
        <v>Goshen - NIPSCO</v>
      </c>
      <c r="B40" s="27" t="str">
        <v>IN</v>
      </c>
      <c r="C40" s="28">
        <f>SUM(Jul!C40, Aug!C40, Sep!C40)</f>
        <v>162039</v>
      </c>
      <c r="D40" s="29">
        <f>SUM(Jul!D40, Aug!D40, Sep!D40)</f>
        <v>163663.02000000002</v>
      </c>
      <c r="E40" s="29">
        <f t="shared" si="3"/>
        <v>-1624.0200000000186</v>
      </c>
      <c r="F40" s="30">
        <f t="shared" si="4"/>
        <v>-9.9229502180762548E-3</v>
      </c>
      <c r="G40" s="31">
        <f>SUM(Jul!G40,Aug!G40,Sep!G40)</f>
        <v>190161.13</v>
      </c>
      <c r="H40" s="31">
        <f>SUM(Jul!H40, Aug!H40, Sep!H40)</f>
        <v>-28122.129999999997</v>
      </c>
      <c r="I40" s="32">
        <f t="shared" si="5"/>
        <v>-0.14788579558819406</v>
      </c>
    </row>
    <row r="41" spans="1:9" ht="15.6">
      <c r="A41" s="48" t="str">
        <v>Alamogordo - City of Alamogordo - Effluent</v>
      </c>
      <c r="B41" s="34" t="str">
        <v>NM</v>
      </c>
      <c r="C41" s="35">
        <f>SUM(Jul!C41, Aug!C41, Sep!C41)</f>
        <v>69896</v>
      </c>
      <c r="D41" s="36">
        <f>SUM(Jul!D41, Aug!D41, Sep!D41)</f>
        <v>84976.33</v>
      </c>
      <c r="E41" s="36">
        <f t="shared" si="3"/>
        <v>-15080.330000000002</v>
      </c>
      <c r="F41" s="71">
        <f t="shared" si="4"/>
        <v>-0.17746506586010483</v>
      </c>
      <c r="G41" s="72">
        <f>SUM(Jul!G41,Aug!G41,Sep!G41)</f>
        <v>89314.5</v>
      </c>
      <c r="H41" s="72">
        <f>SUM(Jul!H41, Aug!H41, Sep!H41)</f>
        <v>-19418.5</v>
      </c>
      <c r="I41" s="71">
        <f t="shared" si="5"/>
        <v>-0.21741710472543652</v>
      </c>
    </row>
    <row r="42" spans="1:9" ht="15.6">
      <c r="A42" s="47" t="str">
        <v>Alamogordo - City of Alamogordo - WWTP</v>
      </c>
      <c r="B42" s="27" t="str">
        <v>NM</v>
      </c>
      <c r="C42" s="28">
        <f>SUM(Jul!C42, Aug!C42, Sep!C42)</f>
        <v>251450</v>
      </c>
      <c r="D42" s="29">
        <f>SUM(Jul!D42, Aug!D42, Sep!D42)</f>
        <v>7.5776361E-2</v>
      </c>
      <c r="E42" s="29">
        <f t="shared" si="3"/>
        <v>251449.92422363901</v>
      </c>
      <c r="F42" s="30">
        <f t="shared" si="4"/>
        <v>3318316.1728185788</v>
      </c>
      <c r="G42" s="31">
        <f>SUM(Jul!G42,Aug!G42,Sep!G42)</f>
        <v>378766.6</v>
      </c>
      <c r="H42" s="31">
        <f>SUM(Jul!H42, Aug!H42, Sep!H42)</f>
        <v>-127316.59999999999</v>
      </c>
      <c r="I42" s="32">
        <f t="shared" si="5"/>
        <v>-0.33613470670328377</v>
      </c>
    </row>
    <row r="43" spans="1:9" ht="15.6">
      <c r="A43" s="48" t="str">
        <v>Deming - Bilbo Booster</v>
      </c>
      <c r="B43" s="34" t="str">
        <v>NM</v>
      </c>
      <c r="C43" s="35">
        <f>SUM(Jul!C43, Aug!C43, Sep!C43)</f>
        <v>34309</v>
      </c>
      <c r="D43" s="36">
        <f>SUM(Jul!D43, Aug!D43, Sep!D43)</f>
        <v>0</v>
      </c>
      <c r="E43" s="36">
        <f t="shared" si="3"/>
        <v>34309</v>
      </c>
      <c r="F43" s="71" t="str">
        <f t="shared" si="4"/>
        <v/>
      </c>
      <c r="G43" s="72">
        <f>SUM(Jul!G43,Aug!G43,Sep!G43)</f>
        <v>35802.07</v>
      </c>
      <c r="H43" s="72">
        <f>SUM(Jul!H43, Aug!H43, Sep!H43)</f>
        <v>-1493.0699999999997</v>
      </c>
      <c r="I43" s="71">
        <f t="shared" si="5"/>
        <v>-4.170345457678843E-2</v>
      </c>
    </row>
    <row r="44" spans="1:9" ht="15.6">
      <c r="A44" s="47" t="str">
        <v>Deming - Bilbo Well</v>
      </c>
      <c r="B44" s="27" t="str">
        <v>NM</v>
      </c>
      <c r="C44" s="28">
        <f>SUM(Jul!C44, Aug!C44, Sep!C44)</f>
        <v>65668.000000000102</v>
      </c>
      <c r="D44" s="29">
        <f>SUM(Jul!D44, Aug!D44, Sep!D44)</f>
        <v>0</v>
      </c>
      <c r="E44" s="29">
        <f t="shared" si="3"/>
        <v>65668.000000000102</v>
      </c>
      <c r="F44" s="30" t="str">
        <f t="shared" si="4"/>
        <v/>
      </c>
      <c r="G44" s="31">
        <f>SUM(Jul!G44,Aug!G44,Sep!G44)</f>
        <v>64719.640000000007</v>
      </c>
      <c r="H44" s="31">
        <f>SUM(Jul!H44, Aug!H44, Sep!H44)</f>
        <v>948.36000000009517</v>
      </c>
      <c r="I44" s="32">
        <f t="shared" si="5"/>
        <v>1.4653357157117918E-2</v>
      </c>
    </row>
    <row r="45" spans="1:9" ht="15.6">
      <c r="A45" s="48" t="str">
        <v>Deming - WWTP</v>
      </c>
      <c r="B45" s="34" t="str">
        <v>NM</v>
      </c>
      <c r="C45" s="35">
        <f>SUM(Jul!C45, Aug!C45, Sep!C45)</f>
        <v>236860</v>
      </c>
      <c r="D45" s="36">
        <f>SUM(Jul!D45, Aug!D45, Sep!D45)</f>
        <v>217211.3</v>
      </c>
      <c r="E45" s="36">
        <f t="shared" si="3"/>
        <v>19648.700000000012</v>
      </c>
      <c r="F45" s="71">
        <f t="shared" si="4"/>
        <v>9.0458921796425937E-2</v>
      </c>
      <c r="G45" s="72">
        <f>SUM(Jul!G45,Aug!G45,Sep!G45)</f>
        <v>270305.44</v>
      </c>
      <c r="H45" s="72">
        <f>SUM(Jul!H45, Aug!H45, Sep!H45)</f>
        <v>-33445.439999999988</v>
      </c>
      <c r="I45" s="71">
        <f t="shared" si="5"/>
        <v>-0.12373202699879066</v>
      </c>
    </row>
    <row r="46" spans="1:9" ht="15.6">
      <c r="A46" s="47" t="str">
        <v>Truth or Consequences - Walmart</v>
      </c>
      <c r="B46" s="27" t="str">
        <v>NM</v>
      </c>
      <c r="C46" s="28">
        <f>SUM(Jul!C46, Aug!C46, Sep!C46)</f>
        <v>479300</v>
      </c>
      <c r="D46" s="29">
        <f>SUM(Jul!D46, Aug!D46, Sep!D46)</f>
        <v>1018880</v>
      </c>
      <c r="E46" s="29">
        <f t="shared" si="3"/>
        <v>-539580</v>
      </c>
      <c r="F46" s="30">
        <f t="shared" si="4"/>
        <v>-0.52958150125628145</v>
      </c>
      <c r="G46" s="31">
        <f>SUM(Jul!G46,Aug!G46,Sep!G46)</f>
        <v>552587.80000000005</v>
      </c>
      <c r="H46" s="31">
        <f>SUM(Jul!H46, Aug!H46, Sep!H46)</f>
        <v>-73287.799999999988</v>
      </c>
      <c r="I46" s="32">
        <f t="shared" si="5"/>
        <v>-0.13262652559466565</v>
      </c>
    </row>
    <row r="47" spans="1:9" ht="15.6">
      <c r="A47" s="48" t="str">
        <v>CA: Stockton - SUSD - Merlo</v>
      </c>
      <c r="B47" s="34" t="str">
        <v>CA</v>
      </c>
      <c r="C47" s="35">
        <f>SUM(Jul!C47, Aug!C47, Sep!C47)</f>
        <v>2694.8748120886739</v>
      </c>
      <c r="D47" s="36">
        <f>SUM(Jul!D47, Aug!D47, Sep!D47)</f>
        <v>40987.839999999997</v>
      </c>
      <c r="E47" s="36">
        <f t="shared" ref="E47:E85" si="6">IF(AND(ISNUMBER(C47),ISNUMBER(D47)), C47-D47, "")</f>
        <v>-38292.965187911323</v>
      </c>
      <c r="F47" s="71">
        <f t="shared" ref="F47:F85" si="7">IFERROR(E47/D47, "")</f>
        <v>-0.93425184610634093</v>
      </c>
      <c r="G47" s="72">
        <f>SUM(Jul!G47,Aug!G47,Sep!G47)</f>
        <v>51723.63</v>
      </c>
      <c r="H47" s="72">
        <f>SUM(Jul!H47, Aug!H47, Sep!H47)</f>
        <v>-49028.755187911323</v>
      </c>
      <c r="I47" s="71">
        <f t="shared" ref="I47:I85" si="8">IFERROR(H47/G47, "")</f>
        <v>-0.94789857533029542</v>
      </c>
    </row>
    <row r="48" spans="1:9" ht="15.6">
      <c r="A48" s="47" t="str">
        <v>Stockton Unified School Dist. - Bush Elementary</v>
      </c>
      <c r="B48" s="27" t="str">
        <v>CA</v>
      </c>
      <c r="C48" s="28">
        <f>SUM(Jul!C48, Aug!C48, Sep!C48)</f>
        <v>70529.5</v>
      </c>
      <c r="D48" s="29">
        <f>SUM(Jul!D48, Aug!D48, Sep!D48)</f>
        <v>101074.05699999999</v>
      </c>
      <c r="E48" s="29">
        <f t="shared" si="6"/>
        <v>-30544.556999999986</v>
      </c>
      <c r="F48" s="30">
        <f t="shared" si="7"/>
        <v>-0.30219977219277933</v>
      </c>
      <c r="G48" s="31">
        <f>SUM(Jul!G48,Aug!G48,Sep!G48)</f>
        <v>108200.54100000001</v>
      </c>
      <c r="H48" s="31">
        <f>SUM(Jul!H48, Aug!H48, Sep!H48)</f>
        <v>-37671.041000000005</v>
      </c>
      <c r="I48" s="32">
        <f t="shared" si="8"/>
        <v>-0.34815945143934168</v>
      </c>
    </row>
    <row r="49" spans="1:9" ht="15.6">
      <c r="A49" s="48" t="str">
        <v>CA: Stockton - SUSD - Marshall JHS</v>
      </c>
      <c r="B49" s="34" t="str">
        <v>CA</v>
      </c>
      <c r="C49" s="35">
        <f>SUM(Jul!C49, Aug!C49, Sep!C49)</f>
        <v>20537.25</v>
      </c>
      <c r="D49" s="36">
        <f>SUM(Jul!D49, Aug!D49, Sep!D49)</f>
        <v>66354.31</v>
      </c>
      <c r="E49" s="36">
        <f t="shared" si="6"/>
        <v>-45817.06</v>
      </c>
      <c r="F49" s="71">
        <f t="shared" si="7"/>
        <v>-0.69049109243996354</v>
      </c>
      <c r="G49" s="72">
        <f>SUM(Jul!G49,Aug!G49,Sep!G49)</f>
        <v>71179.89</v>
      </c>
      <c r="H49" s="72">
        <f>SUM(Jul!H49, Aug!H49, Sep!H49)</f>
        <v>-50642.64</v>
      </c>
      <c r="I49" s="71">
        <f t="shared" si="8"/>
        <v>-0.71147398513821813</v>
      </c>
    </row>
    <row r="50" spans="1:9" ht="15.6">
      <c r="A50" s="47" t="str">
        <v>CA: Stockton - SUSD - Hong-Kingston ES</v>
      </c>
      <c r="B50" s="27" t="str">
        <v>CA</v>
      </c>
      <c r="C50" s="28">
        <f>SUM(Jul!C50, Aug!C50, Sep!C50)</f>
        <v>20668.25</v>
      </c>
      <c r="D50" s="29">
        <f>SUM(Jul!D50, Aug!D50, Sep!D50)</f>
        <v>111996.29</v>
      </c>
      <c r="E50" s="29">
        <f t="shared" si="6"/>
        <v>-91328.04</v>
      </c>
      <c r="F50" s="30">
        <f t="shared" si="7"/>
        <v>-0.81545594054945925</v>
      </c>
      <c r="G50" s="31">
        <f>SUM(Jul!G50,Aug!G50,Sep!G50)</f>
        <v>115769.45000000001</v>
      </c>
      <c r="H50" s="31">
        <f>SUM(Jul!H50, Aug!H50, Sep!H50)</f>
        <v>-95101.200000000012</v>
      </c>
      <c r="I50" s="32">
        <f t="shared" si="8"/>
        <v>-0.82147060385965387</v>
      </c>
    </row>
    <row r="51" spans="1:9" ht="15.6">
      <c r="A51" s="48" t="str">
        <v>CA: Stockton - SUSD - Hamilton ES</v>
      </c>
      <c r="B51" s="34" t="str">
        <v>CA</v>
      </c>
      <c r="C51" s="35">
        <f>SUM(Jul!C51, Aug!C51, Sep!C51)</f>
        <v>17163.5</v>
      </c>
      <c r="D51" s="36">
        <f>SUM(Jul!D51, Aug!D51, Sep!D51)</f>
        <v>57557.7</v>
      </c>
      <c r="E51" s="36">
        <f t="shared" si="6"/>
        <v>-40394.199999999997</v>
      </c>
      <c r="F51" s="71">
        <f t="shared" si="7"/>
        <v>-0.70180358144957145</v>
      </c>
      <c r="G51" s="72">
        <f>SUM(Jul!G51,Aug!G51,Sep!G51)</f>
        <v>61625.770000000004</v>
      </c>
      <c r="H51" s="72">
        <f>SUM(Jul!H51, Aug!H51, Sep!H51)</f>
        <v>-44462.270000000004</v>
      </c>
      <c r="I51" s="71">
        <f t="shared" si="8"/>
        <v>-0.72148826700258673</v>
      </c>
    </row>
    <row r="52" spans="1:9" ht="15.6">
      <c r="A52" s="47" t="str">
        <v>CA: Stockton - SUSD - Franklin - North</v>
      </c>
      <c r="B52" s="27" t="str">
        <v>CA</v>
      </c>
      <c r="C52" s="28">
        <f>SUM(Jul!C52, Aug!C52, Sep!C52)</f>
        <v>72935.5</v>
      </c>
      <c r="D52" s="29">
        <f>SUM(Jul!D52, Aug!D52, Sep!D52)</f>
        <v>283715.99</v>
      </c>
      <c r="E52" s="29">
        <f t="shared" si="6"/>
        <v>-210780.49</v>
      </c>
      <c r="F52" s="30">
        <f t="shared" si="7"/>
        <v>-0.74292777788097175</v>
      </c>
      <c r="G52" s="31">
        <f>SUM(Jul!G52,Aug!G52,Sep!G52)</f>
        <v>163057.67000000001</v>
      </c>
      <c r="H52" s="31">
        <f>SUM(Jul!H52, Aug!H52, Sep!H52)</f>
        <v>-90122.17</v>
      </c>
      <c r="I52" s="32">
        <f t="shared" si="8"/>
        <v>-0.55270120074695039</v>
      </c>
    </row>
    <row r="53" spans="1:9" ht="15.6">
      <c r="A53" s="48" t="str">
        <v>Stockton Unified School Dist. - Fillmore Elementary</v>
      </c>
      <c r="B53" s="34" t="str">
        <v>CA</v>
      </c>
      <c r="C53" s="35">
        <f>SUM(Jul!C53, Aug!C53, Sep!C53)</f>
        <v>12262.625</v>
      </c>
      <c r="D53" s="36">
        <f>SUM(Jul!D53, Aug!D53, Sep!D53)</f>
        <v>47164.810000000005</v>
      </c>
      <c r="E53" s="36">
        <f t="shared" si="6"/>
        <v>-34902.185000000005</v>
      </c>
      <c r="F53" s="71">
        <f t="shared" si="7"/>
        <v>-0.74000478322715602</v>
      </c>
      <c r="G53" s="72">
        <f>SUM(Jul!G53,Aug!G53,Sep!G53)</f>
        <v>49998.329999999994</v>
      </c>
      <c r="H53" s="72">
        <f>SUM(Jul!H53, Aug!H53, Sep!H53)</f>
        <v>-37735.705000000002</v>
      </c>
      <c r="I53" s="71">
        <f t="shared" si="8"/>
        <v>-0.75473930829289715</v>
      </c>
    </row>
    <row r="54" spans="1:9" ht="15.6">
      <c r="A54" s="47" t="str">
        <v>CA: Stockton - SUSD - El Dorado ES</v>
      </c>
      <c r="B54" s="27" t="str">
        <v>CA</v>
      </c>
      <c r="C54" s="28">
        <f>SUM(Jul!C54, Aug!C54, Sep!C54)</f>
        <v>14616.75</v>
      </c>
      <c r="D54" s="29">
        <f>SUM(Jul!D54, Aug!D54, Sep!D54)</f>
        <v>61203.53</v>
      </c>
      <c r="E54" s="29">
        <f t="shared" si="6"/>
        <v>-46586.78</v>
      </c>
      <c r="F54" s="30">
        <f t="shared" si="7"/>
        <v>-0.76117799087732363</v>
      </c>
      <c r="G54" s="31">
        <f>SUM(Jul!G54,Aug!G54,Sep!G54)</f>
        <v>0</v>
      </c>
      <c r="H54" s="31">
        <f>SUM(Jul!H54, Aug!H54, Sep!H54)</f>
        <v>14616.75</v>
      </c>
      <c r="I54" s="32" t="str">
        <f t="shared" si="8"/>
        <v/>
      </c>
    </row>
    <row r="55" spans="1:9" ht="15.6">
      <c r="A55" s="48" t="str">
        <v>CA: Stockton - SUSD - Edison HS</v>
      </c>
      <c r="B55" s="34" t="str">
        <v>CA</v>
      </c>
      <c r="C55" s="35">
        <f>SUM(Jul!C55, Aug!C55, Sep!C55)</f>
        <v>108074</v>
      </c>
      <c r="D55" s="36">
        <f>SUM(Jul!D55, Aug!D55, Sep!D55)</f>
        <v>157905.43</v>
      </c>
      <c r="E55" s="36">
        <f t="shared" si="6"/>
        <v>-49831.429999999993</v>
      </c>
      <c r="F55" s="71">
        <f t="shared" si="7"/>
        <v>-0.31557768469393355</v>
      </c>
      <c r="G55" s="72">
        <f>SUM(Jul!G55,Aug!G55,Sep!G55)</f>
        <v>169692.76</v>
      </c>
      <c r="H55" s="72">
        <f>SUM(Jul!H55, Aug!H55, Sep!H55)</f>
        <v>-61618.76</v>
      </c>
      <c r="I55" s="71">
        <f t="shared" si="8"/>
        <v>-0.36311955795874851</v>
      </c>
    </row>
    <row r="56" spans="1:9" ht="15.6">
      <c r="A56" s="47" t="str">
        <v>CA: Stockton - SUSD - Chavez HS - Large</v>
      </c>
      <c r="B56" s="27" t="str">
        <v>CA</v>
      </c>
      <c r="C56" s="28">
        <f>SUM(Jul!C56, Aug!C56, Sep!C56)</f>
        <v>97653</v>
      </c>
      <c r="D56" s="29">
        <f>SUM(Jul!D56, Aug!D56, Sep!D56)</f>
        <v>357496.07</v>
      </c>
      <c r="E56" s="29">
        <f t="shared" si="6"/>
        <v>-259843.07</v>
      </c>
      <c r="F56" s="30">
        <f t="shared" si="7"/>
        <v>-0.72684175241422933</v>
      </c>
      <c r="G56" s="31">
        <f>SUM(Jul!G56,Aug!G56,Sep!G56)</f>
        <v>353019.59</v>
      </c>
      <c r="H56" s="31">
        <f>SUM(Jul!H56, Aug!H56, Sep!H56)</f>
        <v>-255366.59000000003</v>
      </c>
      <c r="I56" s="32">
        <f t="shared" si="8"/>
        <v>-0.72337795758020118</v>
      </c>
    </row>
    <row r="57" spans="1:9" ht="15.6">
      <c r="A57" s="48" t="str">
        <v>CA: San Jose - GE Mobile Water</v>
      </c>
      <c r="B57" s="34" t="str">
        <v>CA</v>
      </c>
      <c r="C57" s="35">
        <f>SUM(Jul!C57, Aug!C57, Sep!C57)</f>
        <v>78390</v>
      </c>
      <c r="D57" s="36">
        <f>SUM(Jul!D57, Aug!D57, Sep!D57)</f>
        <v>89675.839999999997</v>
      </c>
      <c r="E57" s="36">
        <f t="shared" si="6"/>
        <v>-11285.839999999997</v>
      </c>
      <c r="F57" s="71">
        <f t="shared" si="7"/>
        <v>-0.12585151139927986</v>
      </c>
      <c r="G57" s="72">
        <f>SUM(Jul!G57,Aug!G57,Sep!G57)</f>
        <v>93217.48</v>
      </c>
      <c r="H57" s="72">
        <f>SUM(Jul!H57, Aug!H57, Sep!H57)</f>
        <v>-14827.48</v>
      </c>
      <c r="I57" s="71">
        <f t="shared" si="8"/>
        <v>-0.15906330014499426</v>
      </c>
    </row>
    <row r="58" spans="1:9" ht="15.6">
      <c r="A58" s="47" t="str">
        <v>CA: San Marcos - Vallecitos Water - Lift Station</v>
      </c>
      <c r="B58" s="27" t="str">
        <v>CA</v>
      </c>
      <c r="C58" s="28">
        <f>SUM(Jul!C58, Aug!C58, Sep!C58)</f>
        <v>113785.4999999998</v>
      </c>
      <c r="D58" s="29">
        <f>SUM(Jul!D58, Aug!D58, Sep!D58)</f>
        <v>118404.53</v>
      </c>
      <c r="E58" s="29">
        <f t="shared" si="6"/>
        <v>-4619.0300000002026</v>
      </c>
      <c r="F58" s="30">
        <f t="shared" si="7"/>
        <v>-3.9010585152444779E-2</v>
      </c>
      <c r="G58" s="31">
        <f>SUM(Jul!G58,Aug!G58,Sep!G58)</f>
        <v>114393.87</v>
      </c>
      <c r="H58" s="31">
        <f>SUM(Jul!H58, Aug!H58, Sep!H58)</f>
        <v>-608.37000000019907</v>
      </c>
      <c r="I58" s="32">
        <f t="shared" si="8"/>
        <v>-5.3182045506476794E-3</v>
      </c>
    </row>
    <row r="59" spans="1:9" ht="15.6">
      <c r="A59" s="48" t="str">
        <v>CA: San Marcos - Vallecitos Water - Twin Oaks Reservoir</v>
      </c>
      <c r="B59" s="34" t="str">
        <v>CA</v>
      </c>
      <c r="C59" s="35">
        <f>SUM(Jul!C59, Aug!C59, Sep!C59)</f>
        <v>871644</v>
      </c>
      <c r="D59" s="36">
        <f>SUM(Jul!D59, Aug!D59, Sep!D59)</f>
        <v>971004</v>
      </c>
      <c r="E59" s="36">
        <f t="shared" si="6"/>
        <v>-99360</v>
      </c>
      <c r="F59" s="71">
        <f t="shared" si="7"/>
        <v>-0.10232707589258129</v>
      </c>
      <c r="G59" s="72">
        <f>SUM(Jul!G59,Aug!G59,Sep!G59)</f>
        <v>744966</v>
      </c>
      <c r="H59" s="72">
        <f>SUM(Jul!H59, Aug!H59, Sep!H59)</f>
        <v>126678</v>
      </c>
      <c r="I59" s="71">
        <f t="shared" si="8"/>
        <v>0.17004534435128582</v>
      </c>
    </row>
    <row r="60" spans="1:9" ht="15.6">
      <c r="A60" s="47" t="str">
        <v>CA: Stockton - SUSD - Wilhelmina Henry ES</v>
      </c>
      <c r="B60" s="27" t="str">
        <v>CA</v>
      </c>
      <c r="C60" s="28">
        <f>SUM(Jul!C60, Aug!C60, Sep!C60)</f>
        <v>22150.75</v>
      </c>
      <c r="D60" s="29">
        <f>SUM(Jul!D60, Aug!D60, Sep!D60)</f>
        <v>137432.29</v>
      </c>
      <c r="E60" s="29">
        <f t="shared" si="6"/>
        <v>-115281.54000000001</v>
      </c>
      <c r="F60" s="30">
        <f t="shared" si="7"/>
        <v>-0.83882426757205308</v>
      </c>
      <c r="G60" s="31">
        <f>SUM(Jul!G60,Aug!G60,Sep!G60)</f>
        <v>113798.17</v>
      </c>
      <c r="H60" s="31">
        <f>SUM(Jul!H60, Aug!H60, Sep!H60)</f>
        <v>-91647.42</v>
      </c>
      <c r="I60" s="32">
        <f t="shared" si="8"/>
        <v>-0.80535056055822341</v>
      </c>
    </row>
    <row r="61" spans="1:9" ht="15.6">
      <c r="A61" s="48" t="str">
        <v>Stockton Unified School Dist. - Franklin (North)</v>
      </c>
      <c r="B61" s="34" t="str">
        <v>CA</v>
      </c>
      <c r="C61" s="35">
        <f>SUM(Jul!C61, Aug!C61, Sep!C61)</f>
        <v>49337.7</v>
      </c>
      <c r="D61" s="36">
        <f>SUM(Jul!D61, Aug!D61, Sep!D61)</f>
        <v>182274.69</v>
      </c>
      <c r="E61" s="36">
        <f t="shared" si="6"/>
        <v>-132936.99</v>
      </c>
      <c r="F61" s="71">
        <f t="shared" si="7"/>
        <v>-0.72932226630038421</v>
      </c>
      <c r="G61" s="72">
        <f>SUM(Jul!G61,Aug!G61,Sep!G61)</f>
        <v>105264.66</v>
      </c>
      <c r="H61" s="72">
        <f>SUM(Jul!H61, Aug!H61, Sep!H61)</f>
        <v>-55926.960000000006</v>
      </c>
      <c r="I61" s="71">
        <f t="shared" si="8"/>
        <v>-0.53129853836985752</v>
      </c>
    </row>
    <row r="62" spans="1:9" ht="15.6">
      <c r="A62" s="47" t="str">
        <v>CA: Stockton - SUSD - Franklin - South</v>
      </c>
      <c r="B62" s="27" t="str">
        <v>CA</v>
      </c>
      <c r="C62" s="28">
        <f>SUM(Jul!C62, Aug!C62, Sep!C62)</f>
        <v>100627.5</v>
      </c>
      <c r="D62" s="29">
        <f>SUM(Jul!D62, Aug!D62, Sep!D62)</f>
        <v>263495.49</v>
      </c>
      <c r="E62" s="29">
        <f t="shared" si="6"/>
        <v>-162867.99</v>
      </c>
      <c r="F62" s="30">
        <f t="shared" si="7"/>
        <v>-0.6181054180471931</v>
      </c>
      <c r="G62" s="31">
        <f>SUM(Jul!G62,Aug!G62,Sep!G62)</f>
        <v>264455.42000000004</v>
      </c>
      <c r="H62" s="31">
        <f>SUM(Jul!H62, Aug!H62, Sep!H62)</f>
        <v>-163827.92000000001</v>
      </c>
      <c r="I62" s="32">
        <f t="shared" si="8"/>
        <v>-0.61949163303213817</v>
      </c>
    </row>
    <row r="63" spans="1:9" ht="15.6">
      <c r="A63" s="48" t="str">
        <v>CA: Stockton - SUSD - Chavez HS - Small</v>
      </c>
      <c r="B63" s="34" t="str">
        <v>CA</v>
      </c>
      <c r="C63" s="35">
        <f>SUM(Jul!C63, Aug!C63, Sep!C63)</f>
        <v>63440.75</v>
      </c>
      <c r="D63" s="36">
        <f>SUM(Jul!D63, Aug!D63, Sep!D63)</f>
        <v>68255.17</v>
      </c>
      <c r="E63" s="36">
        <f t="shared" si="6"/>
        <v>-4814.4199999999983</v>
      </c>
      <c r="F63" s="71">
        <f t="shared" si="7"/>
        <v>-7.0535609243959074E-2</v>
      </c>
      <c r="G63" s="72">
        <f>SUM(Jul!G63,Aug!G63,Sep!G63)</f>
        <v>99652.75</v>
      </c>
      <c r="H63" s="72">
        <f>SUM(Jul!H63, Aug!H63, Sep!H63)</f>
        <v>-36212</v>
      </c>
      <c r="I63" s="71">
        <f t="shared" si="8"/>
        <v>-0.36338184345138491</v>
      </c>
    </row>
    <row r="64" spans="1:9" ht="15.6">
      <c r="A64" s="47" t="str">
        <v>CA: Stockton - SUSD - Facilities</v>
      </c>
      <c r="B64" s="27" t="str">
        <v>CA</v>
      </c>
      <c r="C64" s="28">
        <f>SUM(Jul!C64, Aug!C64, Sep!C64)</f>
        <v>55088</v>
      </c>
      <c r="D64" s="29">
        <f>SUM(Jul!D64, Aug!D64, Sep!D64)</f>
        <v>150771.90999999997</v>
      </c>
      <c r="E64" s="29">
        <f t="shared" si="6"/>
        <v>-95683.909999999974</v>
      </c>
      <c r="F64" s="30">
        <f t="shared" si="7"/>
        <v>-0.63462690099236652</v>
      </c>
      <c r="G64" s="31">
        <f>SUM(Jul!G64,Aug!G64,Sep!G64)</f>
        <v>170536.59</v>
      </c>
      <c r="H64" s="31">
        <f>SUM(Jul!H64, Aug!H64, Sep!H64)</f>
        <v>-115448.59</v>
      </c>
      <c r="I64" s="32">
        <f t="shared" si="8"/>
        <v>-0.6769725488236864</v>
      </c>
    </row>
    <row r="65" spans="1:9" ht="15.6">
      <c r="A65" s="48" t="str">
        <v>CA: Stockton - SUSD - Harrison</v>
      </c>
      <c r="B65" s="34" t="str">
        <v>CA</v>
      </c>
      <c r="C65" s="35">
        <f>SUM(Jul!C65, Aug!C65, Sep!C65)</f>
        <v>39732.25</v>
      </c>
      <c r="D65" s="36">
        <f>SUM(Jul!D65, Aug!D65, Sep!D65)</f>
        <v>59912.310000000005</v>
      </c>
      <c r="E65" s="36">
        <f t="shared" si="6"/>
        <v>-20180.060000000005</v>
      </c>
      <c r="F65" s="71">
        <f t="shared" si="7"/>
        <v>-0.33682660541715054</v>
      </c>
      <c r="G65" s="72">
        <f>SUM(Jul!G65,Aug!G65,Sep!G65)</f>
        <v>60887.64</v>
      </c>
      <c r="H65" s="72">
        <f>SUM(Jul!H65, Aug!H65, Sep!H65)</f>
        <v>-21155.390000000003</v>
      </c>
      <c r="I65" s="71">
        <f t="shared" si="8"/>
        <v>-0.34744966301863567</v>
      </c>
    </row>
    <row r="66" spans="1:9" ht="15.6">
      <c r="A66" s="47" t="str">
        <v>CA: Stockton - SUSD - Commodore Skills School</v>
      </c>
      <c r="B66" s="27" t="str">
        <v>CA</v>
      </c>
      <c r="C66" s="28">
        <f>SUM(Jul!C66, Aug!C66, Sep!C66)</f>
        <v>18963.5</v>
      </c>
      <c r="D66" s="29">
        <f>SUM(Jul!D66, Aug!D66, Sep!D66)</f>
        <v>119959.59</v>
      </c>
      <c r="E66" s="29">
        <f t="shared" si="6"/>
        <v>-100996.09</v>
      </c>
      <c r="F66" s="30">
        <f t="shared" si="7"/>
        <v>-0.84191759908482511</v>
      </c>
      <c r="G66" s="31">
        <f>SUM(Jul!G66,Aug!G66,Sep!G66)</f>
        <v>132974.52000000002</v>
      </c>
      <c r="H66" s="31">
        <f>SUM(Jul!H66, Aug!H66, Sep!H66)</f>
        <v>-114011.02</v>
      </c>
      <c r="I66" s="32">
        <f t="shared" si="8"/>
        <v>-0.85738997215406376</v>
      </c>
    </row>
    <row r="67" spans="1:9" ht="15.6">
      <c r="A67" s="48" t="str">
        <v>CA: Stockton - SUSD - Nightingale ES</v>
      </c>
      <c r="B67" s="34" t="str">
        <v>CA</v>
      </c>
      <c r="C67" s="35">
        <f>SUM(Jul!C67, Aug!C67, Sep!C67)</f>
        <v>50600</v>
      </c>
      <c r="D67" s="36">
        <f>SUM(Jul!D67, Aug!D67, Sep!D67)</f>
        <v>58606.89</v>
      </c>
      <c r="E67" s="36">
        <f t="shared" si="6"/>
        <v>-8006.8899999999994</v>
      </c>
      <c r="F67" s="71">
        <f t="shared" si="7"/>
        <v>-0.13662028474809018</v>
      </c>
      <c r="G67" s="72">
        <f>SUM(Jul!G67,Aug!G67,Sep!G67)</f>
        <v>61576.92</v>
      </c>
      <c r="H67" s="72">
        <f>SUM(Jul!H67, Aug!H67, Sep!H67)</f>
        <v>-10976.919999999998</v>
      </c>
      <c r="I67" s="71">
        <f t="shared" si="8"/>
        <v>-0.1782635441980534</v>
      </c>
    </row>
    <row r="68" spans="1:9" ht="15.6">
      <c r="A68" s="47" t="str">
        <v>CA: Stockton - SUSD - Weber Institute</v>
      </c>
      <c r="B68" s="27" t="str">
        <v>CA</v>
      </c>
      <c r="C68" s="28">
        <f>SUM(Jul!C68, Aug!C68, Sep!C68)</f>
        <v>22237</v>
      </c>
      <c r="D68" s="29">
        <f>SUM(Jul!D68, Aug!D68, Sep!D68)</f>
        <v>120924.38</v>
      </c>
      <c r="E68" s="29">
        <f t="shared" si="6"/>
        <v>-98687.38</v>
      </c>
      <c r="F68" s="30">
        <f t="shared" si="7"/>
        <v>-0.81610821572953285</v>
      </c>
      <c r="G68" s="31">
        <f>SUM(Jul!G68,Aug!G68,Sep!G68)</f>
        <v>127679.29</v>
      </c>
      <c r="H68" s="31">
        <f>SUM(Jul!H68, Aug!H68, Sep!H68)</f>
        <v>-105442.29</v>
      </c>
      <c r="I68" s="32">
        <f t="shared" si="8"/>
        <v>-0.82583706410021551</v>
      </c>
    </row>
    <row r="69" spans="1:9" ht="15.6">
      <c r="A69" s="48" t="str">
        <v>CA: Stockton - SUSD - Warehouse</v>
      </c>
      <c r="B69" s="34" t="str">
        <v>CA</v>
      </c>
      <c r="C69" s="35">
        <f>SUM(Jul!C69, Aug!C69, Sep!C69)</f>
        <v>49973.25</v>
      </c>
      <c r="D69" s="36">
        <f>SUM(Jul!D69, Aug!D69, Sep!D69)</f>
        <v>105383.63</v>
      </c>
      <c r="E69" s="36">
        <f t="shared" si="6"/>
        <v>-55410.380000000005</v>
      </c>
      <c r="F69" s="71">
        <f t="shared" si="7"/>
        <v>-0.52579684339968169</v>
      </c>
      <c r="G69" s="72">
        <f>SUM(Jul!G69,Aug!G69,Sep!G69)</f>
        <v>120139.17</v>
      </c>
      <c r="H69" s="72">
        <f>SUM(Jul!H69, Aug!H69, Sep!H69)</f>
        <v>-70165.919999999998</v>
      </c>
      <c r="I69" s="71">
        <f t="shared" si="8"/>
        <v>-0.58403866116271652</v>
      </c>
    </row>
    <row r="70" spans="1:9" ht="15.6">
      <c r="A70" s="47" t="str">
        <v>CA: Stockton - SUSD - Walton Special Center</v>
      </c>
      <c r="B70" s="27" t="str">
        <v>CA</v>
      </c>
      <c r="C70" s="28">
        <f>SUM(Jul!C70, Aug!C70, Sep!C70)</f>
        <v>37112</v>
      </c>
      <c r="D70" s="29">
        <f>SUM(Jul!D70, Aug!D70, Sep!D70)</f>
        <v>83256.179999999993</v>
      </c>
      <c r="E70" s="29">
        <f t="shared" si="6"/>
        <v>-46144.179999999993</v>
      </c>
      <c r="F70" s="30">
        <f t="shared" si="7"/>
        <v>-0.55424330061744365</v>
      </c>
      <c r="G70" s="31">
        <f>SUM(Jul!G70,Aug!G70,Sep!G70)</f>
        <v>87379.89</v>
      </c>
      <c r="H70" s="31">
        <f>SUM(Jul!H70, Aug!H70, Sep!H70)</f>
        <v>-50267.89</v>
      </c>
      <c r="I70" s="32">
        <f t="shared" si="8"/>
        <v>-0.57527984986019098</v>
      </c>
    </row>
    <row r="71" spans="1:9" ht="15.6">
      <c r="A71" s="48" t="str">
        <v>CA: Stockton - SUSD - Stagg HS</v>
      </c>
      <c r="B71" s="34" t="str">
        <v>CA</v>
      </c>
      <c r="C71" s="35">
        <f>SUM(Jul!C71, Aug!C71, Sep!C71)</f>
        <v>208042</v>
      </c>
      <c r="D71" s="36">
        <f>SUM(Jul!D71, Aug!D71, Sep!D71)</f>
        <v>323543.03000000003</v>
      </c>
      <c r="E71" s="36">
        <f t="shared" si="6"/>
        <v>-115501.03000000003</v>
      </c>
      <c r="F71" s="71">
        <f t="shared" si="7"/>
        <v>-0.35698815703123016</v>
      </c>
      <c r="G71" s="72">
        <f>SUM(Jul!G71,Aug!G71,Sep!G71)</f>
        <v>334220.51</v>
      </c>
      <c r="H71" s="72">
        <f>SUM(Jul!H71, Aug!H71, Sep!H71)</f>
        <v>-126178.51</v>
      </c>
      <c r="I71" s="71">
        <f t="shared" si="8"/>
        <v>-0.37753072066103899</v>
      </c>
    </row>
    <row r="72" spans="1:9" ht="15.6">
      <c r="A72" s="47" t="str">
        <v>CA: Stockton - SUSD - School for Adults</v>
      </c>
      <c r="B72" s="27" t="str">
        <v>CA</v>
      </c>
      <c r="C72" s="28">
        <f>SUM(Jul!C72, Aug!C72, Sep!C72)</f>
        <v>24897.125</v>
      </c>
      <c r="D72" s="29">
        <f>SUM(Jul!D72, Aug!D72, Sep!D72)</f>
        <v>70237.61</v>
      </c>
      <c r="E72" s="29">
        <f t="shared" si="6"/>
        <v>-45340.485000000001</v>
      </c>
      <c r="F72" s="30">
        <f t="shared" si="7"/>
        <v>-0.64553000878019628</v>
      </c>
      <c r="G72" s="31">
        <f>SUM(Jul!G72,Aug!G72,Sep!G72)</f>
        <v>72428.850000000006</v>
      </c>
      <c r="H72" s="31">
        <f>SUM(Jul!H72, Aug!H72, Sep!H72)</f>
        <v>-47531.725000000006</v>
      </c>
      <c r="I72" s="32">
        <f t="shared" si="8"/>
        <v>-0.65625403413142691</v>
      </c>
    </row>
    <row r="73" spans="1:9" ht="15.6">
      <c r="A73" s="48" t="str">
        <v>CA: Stockton - SUSD - San Joaquin</v>
      </c>
      <c r="B73" s="34" t="str">
        <v>CA</v>
      </c>
      <c r="C73" s="35">
        <f>SUM(Jul!C73, Aug!C73, Sep!C73)</f>
        <v>31946.875</v>
      </c>
      <c r="D73" s="36">
        <f>SUM(Jul!D73, Aug!D73, Sep!D73)</f>
        <v>62495.01</v>
      </c>
      <c r="E73" s="36">
        <f t="shared" si="6"/>
        <v>-30548.135000000002</v>
      </c>
      <c r="F73" s="71">
        <f t="shared" si="7"/>
        <v>-0.48880918652545219</v>
      </c>
      <c r="G73" s="72">
        <f>SUM(Jul!G73,Aug!G73,Sep!G73)</f>
        <v>68174.070000000007</v>
      </c>
      <c r="H73" s="72">
        <f>SUM(Jul!H73, Aug!H73, Sep!H73)</f>
        <v>-36227.195</v>
      </c>
      <c r="I73" s="71">
        <f t="shared" si="8"/>
        <v>-0.53139258078621388</v>
      </c>
    </row>
    <row r="74" spans="1:9" ht="15.6">
      <c r="A74" s="47" t="str">
        <v>CA: Stockton - SUSD - Rio Calaveras</v>
      </c>
      <c r="B74" s="27" t="str">
        <v>CA</v>
      </c>
      <c r="C74" s="28">
        <f>SUM(Jul!C74, Aug!C74, Sep!C74)</f>
        <v>14948.625</v>
      </c>
      <c r="D74" s="29">
        <f>SUM(Jul!D74, Aug!D74, Sep!D74)</f>
        <v>64704.82</v>
      </c>
      <c r="E74" s="29">
        <f t="shared" si="6"/>
        <v>-49756.195</v>
      </c>
      <c r="F74" s="30">
        <f t="shared" si="7"/>
        <v>-0.76897200239487573</v>
      </c>
      <c r="G74" s="31">
        <f>SUM(Jul!G74,Aug!G74,Sep!G74)</f>
        <v>0</v>
      </c>
      <c r="H74" s="31">
        <f>SUM(Jul!H74, Aug!H74, Sep!H74)</f>
        <v>14948.625</v>
      </c>
      <c r="I74" s="32" t="str">
        <f t="shared" si="8"/>
        <v/>
      </c>
    </row>
    <row r="75" spans="1:9" ht="15.6">
      <c r="A75" s="48" t="str">
        <v>CA: Stockton - SUSD - Peyton</v>
      </c>
      <c r="B75" s="34" t="str">
        <v>CA</v>
      </c>
      <c r="C75" s="35">
        <f>SUM(Jul!C75, Aug!C75, Sep!C75)</f>
        <v>117440</v>
      </c>
      <c r="D75" s="36">
        <f>SUM(Jul!D75, Aug!D75, Sep!D75)</f>
        <v>147504.32999999999</v>
      </c>
      <c r="E75" s="36">
        <f t="shared" si="6"/>
        <v>-30064.329999999987</v>
      </c>
      <c r="F75" s="71">
        <f t="shared" si="7"/>
        <v>-0.20381998277609878</v>
      </c>
      <c r="G75" s="72">
        <f>SUM(Jul!G75,Aug!G75,Sep!G75)</f>
        <v>147961.60000000001</v>
      </c>
      <c r="H75" s="72">
        <f>SUM(Jul!H75, Aug!H75, Sep!H75)</f>
        <v>-30521.599999999999</v>
      </c>
      <c r="I75" s="71">
        <f t="shared" si="8"/>
        <v>-0.20628054846662916</v>
      </c>
    </row>
    <row r="76" spans="1:9" ht="15.6">
      <c r="A76" s="47" t="str">
        <v>TX: Barnhart - 42917 Ranch RD 2469</v>
      </c>
      <c r="B76" s="27" t="str">
        <v>TX</v>
      </c>
      <c r="C76" s="28">
        <f>SUM(Jul!C76, Aug!C76, Sep!C76)</f>
        <v>696070</v>
      </c>
      <c r="D76" s="29">
        <f>SUM(Jul!D76, Aug!D76, Sep!D76)</f>
        <v>787566.7</v>
      </c>
      <c r="E76" s="29">
        <f t="shared" si="6"/>
        <v>-91496.699999999953</v>
      </c>
      <c r="F76" s="30">
        <f t="shared" si="7"/>
        <v>-0.11617644575373738</v>
      </c>
      <c r="G76" s="31">
        <f>SUM(Jul!G76,Aug!G76,Sep!G76)</f>
        <v>767290.1</v>
      </c>
      <c r="H76" s="31">
        <f>SUM(Jul!H76, Aug!H76, Sep!H76)</f>
        <v>-71220.100000000006</v>
      </c>
      <c r="I76" s="32">
        <f t="shared" si="8"/>
        <v>-9.2820303559240508E-2</v>
      </c>
    </row>
    <row r="77" spans="1:9" ht="15.6">
      <c r="A77" s="48" t="str">
        <v>AZ: San Manuel - Senior &amp; Junior HS</v>
      </c>
      <c r="B77" s="34" t="str">
        <v>AZ</v>
      </c>
      <c r="C77" s="35">
        <f>SUM(Jul!C77, Aug!C77, Sep!C77)</f>
        <v>98262</v>
      </c>
      <c r="D77" s="36">
        <f>SUM(Jul!D77, Aug!D77, Sep!D77)</f>
        <v>0</v>
      </c>
      <c r="E77" s="36">
        <f t="shared" si="6"/>
        <v>98262</v>
      </c>
      <c r="F77" s="71" t="str">
        <f t="shared" si="7"/>
        <v/>
      </c>
      <c r="G77" s="72">
        <f>SUM(Jul!G77,Aug!G77,Sep!G77)</f>
        <v>138630</v>
      </c>
      <c r="H77" s="72">
        <f>SUM(Jul!H77, Aug!H77, Sep!H77)</f>
        <v>-40368</v>
      </c>
      <c r="I77" s="71">
        <f t="shared" si="8"/>
        <v>-0.29119238260116859</v>
      </c>
    </row>
    <row r="78" spans="1:9" ht="15.6">
      <c r="A78" s="47" t="str">
        <v>AZ: Sierra Vista - Colonel Smith MS</v>
      </c>
      <c r="B78" s="27" t="str">
        <v>AZ</v>
      </c>
      <c r="C78" s="28">
        <f>SUM(Jul!C78, Aug!C78, Sep!C78)</f>
        <v>112090</v>
      </c>
      <c r="D78" s="29">
        <f>SUM(Jul!D78, Aug!D78, Sep!D78)</f>
        <v>185354.5</v>
      </c>
      <c r="E78" s="29">
        <f t="shared" si="6"/>
        <v>-73264.5</v>
      </c>
      <c r="F78" s="30">
        <f t="shared" si="7"/>
        <v>-0.39526690746650339</v>
      </c>
      <c r="G78" s="31">
        <f>SUM(Jul!G78,Aug!G78,Sep!G78)</f>
        <v>168323.32</v>
      </c>
      <c r="H78" s="31">
        <f>SUM(Jul!H78, Aug!H78, Sep!H78)</f>
        <v>-56233.320000000007</v>
      </c>
      <c r="I78" s="32">
        <f t="shared" si="8"/>
        <v>-0.33407919948347031</v>
      </c>
    </row>
    <row r="79" spans="1:9" ht="15.6">
      <c r="A79" s="48" t="str">
        <v>AZ: Sierra Vista - Colonel Johnston ES</v>
      </c>
      <c r="B79" s="34" t="str">
        <v>AZ</v>
      </c>
      <c r="C79" s="35">
        <f>SUM(Jul!C79, Aug!C79, Sep!C79)</f>
        <v>36480</v>
      </c>
      <c r="D79" s="36">
        <f>SUM(Jul!D79, Aug!D79, Sep!D79)</f>
        <v>61926.17</v>
      </c>
      <c r="E79" s="36">
        <f t="shared" si="6"/>
        <v>-25446.17</v>
      </c>
      <c r="F79" s="71">
        <f t="shared" si="7"/>
        <v>-0.41091141273552034</v>
      </c>
      <c r="G79" s="72">
        <f>SUM(Jul!G79,Aug!G79,Sep!G79)</f>
        <v>55452.739999999991</v>
      </c>
      <c r="H79" s="72">
        <f>SUM(Jul!H79, Aug!H79, Sep!H79)</f>
        <v>-18972.739999999998</v>
      </c>
      <c r="I79" s="71">
        <f t="shared" si="8"/>
        <v>-0.34214251631208847</v>
      </c>
    </row>
    <row r="80" spans="1:9" ht="15.6">
      <c r="A80" s="47" t="str">
        <v>NH: Dover - Dover HS</v>
      </c>
      <c r="B80" s="27" t="str">
        <v>NH</v>
      </c>
      <c r="C80" s="28">
        <f>SUM(Jul!C80, Aug!C80, Sep!C80)</f>
        <v>289567.5</v>
      </c>
      <c r="D80" s="29">
        <f>SUM(Jul!D80, Aug!D80, Sep!D80)</f>
        <v>415620.4</v>
      </c>
      <c r="E80" s="29">
        <f t="shared" si="6"/>
        <v>-126052.90000000002</v>
      </c>
      <c r="F80" s="30">
        <f t="shared" si="7"/>
        <v>-0.30328852962944075</v>
      </c>
      <c r="G80" s="31">
        <f>SUM(Jul!G80,Aug!G80,Sep!G80)</f>
        <v>369426.9</v>
      </c>
      <c r="H80" s="31">
        <f>SUM(Jul!H80, Aug!H80, Sep!H80)</f>
        <v>-79859.400000000009</v>
      </c>
      <c r="I80" s="32">
        <f t="shared" si="8"/>
        <v>-0.21617104764163086</v>
      </c>
    </row>
    <row r="81" spans="1:9" ht="15.6">
      <c r="A81" s="48" t="str">
        <v>MA: Somerville - 30 Inner Belt Rd</v>
      </c>
      <c r="B81" s="34" t="str">
        <v>MA</v>
      </c>
      <c r="C81" s="35">
        <f>SUM(Jul!C81, Aug!C81, Sep!C81)</f>
        <v>293764</v>
      </c>
      <c r="D81" s="36">
        <f>SUM(Jul!D81, Aug!D81, Sep!D81)</f>
        <v>284797.55</v>
      </c>
      <c r="E81" s="36">
        <f t="shared" si="6"/>
        <v>8966.4500000000116</v>
      </c>
      <c r="F81" s="71">
        <f t="shared" si="7"/>
        <v>3.1483592467702097E-2</v>
      </c>
      <c r="G81" s="72">
        <f>SUM(Jul!G81,Aug!G81,Sep!G81)</f>
        <v>521446.77999999991</v>
      </c>
      <c r="H81" s="72">
        <f>SUM(Jul!H81, Aug!H81, Sep!H81)</f>
        <v>-227682.77999999997</v>
      </c>
      <c r="I81" s="71">
        <f t="shared" si="8"/>
        <v>-0.43663665925792083</v>
      </c>
    </row>
    <row r="82" spans="1:9" ht="15.6">
      <c r="A82" s="47" t="str">
        <v>MA: Boxborough - 1414 Massachusetts Ave</v>
      </c>
      <c r="B82" s="27" t="str">
        <v>MA</v>
      </c>
      <c r="C82" s="28">
        <f>SUM(Jul!C82, Aug!C82, Sep!C82)</f>
        <v>2092462.8979404429</v>
      </c>
      <c r="D82" s="29">
        <f>SUM(Jul!D82, Aug!D82, Sep!D82)</f>
        <v>604281.59999999998</v>
      </c>
      <c r="E82" s="29">
        <f t="shared" si="6"/>
        <v>1488181.2979404428</v>
      </c>
      <c r="F82" s="30">
        <f t="shared" si="7"/>
        <v>2.4627281352608499</v>
      </c>
      <c r="G82" s="31">
        <f>SUM(Jul!G82,Aug!G82,Sep!G82)</f>
        <v>2151400</v>
      </c>
      <c r="H82" s="31">
        <f>SUM(Jul!H82, Aug!H82, Sep!H82)</f>
        <v>-58937.102059557103</v>
      </c>
      <c r="I82" s="32">
        <f t="shared" si="8"/>
        <v>-2.7394767156064471E-2</v>
      </c>
    </row>
    <row r="83" spans="1:9" ht="15.6">
      <c r="A83" s="48" t="str">
        <v>NY: Amsterdam - 153 NY Route 67</v>
      </c>
      <c r="B83" s="34" t="str">
        <v>NY</v>
      </c>
      <c r="C83" s="35">
        <f>SUM(Jul!C83, Aug!C83, Sep!C83)</f>
        <v>1162888</v>
      </c>
      <c r="D83" s="36">
        <f>SUM(Jul!D83, Aug!D83, Sep!D83)</f>
        <v>911727.8</v>
      </c>
      <c r="E83" s="36">
        <f t="shared" si="6"/>
        <v>251160.19999999995</v>
      </c>
      <c r="F83" s="71">
        <f t="shared" si="7"/>
        <v>0.27547717641164388</v>
      </c>
      <c r="G83" s="72">
        <f>SUM(Jul!G83,Aug!G83,Sep!G83)</f>
        <v>1099775</v>
      </c>
      <c r="H83" s="72">
        <f>SUM(Jul!H83, Aug!H83, Sep!H83)</f>
        <v>63113</v>
      </c>
      <c r="I83" s="71">
        <f t="shared" si="8"/>
        <v>5.738719283489805E-2</v>
      </c>
    </row>
    <row r="84" spans="1:9" ht="15.6">
      <c r="A84" s="47" t="str">
        <v>CA: San Jose - GE Mobile Water</v>
      </c>
      <c r="B84" s="27" t="str">
        <v>CA</v>
      </c>
      <c r="C84" s="28">
        <f>SUM(Jul!C84, Aug!C84, Sep!C84)</f>
        <v>78390</v>
      </c>
      <c r="D84" s="29">
        <f>SUM(Jul!D84, Aug!D84, Sep!D84)</f>
        <v>89675.845000000001</v>
      </c>
      <c r="E84" s="29">
        <f t="shared" si="6"/>
        <v>-11285.845000000001</v>
      </c>
      <c r="F84" s="30">
        <f t="shared" si="7"/>
        <v>-0.12585156013863044</v>
      </c>
      <c r="G84" s="31">
        <f>SUM(Jul!G84,Aug!G84,Sep!G84)</f>
        <v>92921.271999999997</v>
      </c>
      <c r="H84" s="31">
        <f>SUM(Jul!H84, Aug!H84, Sep!H84)</f>
        <v>-14531.272000000001</v>
      </c>
      <c r="I84" s="32">
        <f t="shared" si="8"/>
        <v>-0.15638262033261879</v>
      </c>
    </row>
    <row r="85" spans="1:9" ht="15.6">
      <c r="A85" s="48" t="str">
        <v>NY: Rome - 7776 Tannery RD</v>
      </c>
      <c r="B85" s="34" t="str">
        <v>NY</v>
      </c>
      <c r="C85" s="35">
        <f>SUM(Jul!C85, Aug!C85, Sep!C85)</f>
        <v>1067992.4968504459</v>
      </c>
      <c r="D85" s="36">
        <f>SUM(Jul!D85, Aug!D85, Sep!D85)</f>
        <v>1175527.5</v>
      </c>
      <c r="E85" s="36">
        <f t="shared" si="6"/>
        <v>-107535.00314955413</v>
      </c>
      <c r="F85" s="71">
        <f t="shared" si="7"/>
        <v>-9.1478083796044024E-2</v>
      </c>
      <c r="G85" s="72">
        <f>SUM(Jul!G85,Aug!G85,Sep!G85)</f>
        <v>1159047.7</v>
      </c>
      <c r="H85" s="72">
        <f>SUM(Jul!H85, Aug!H85, Sep!H85)</f>
        <v>-91055.20314955397</v>
      </c>
      <c r="I85" s="71">
        <f t="shared" si="8"/>
        <v>-7.8560358775185843E-2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85 I4:I8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workbookViewId="0">
      <pane xSplit="2" ySplit="3" topLeftCell="C67" activePane="bottomRight" state="frozen"/>
      <selection pane="bottomRight" activeCell="H88" sqref="H8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16</v>
      </c>
      <c r="E1" s="120"/>
      <c r="F1" s="120"/>
      <c r="G1" s="118" t="s">
        <v>17</v>
      </c>
      <c r="H1" s="118"/>
      <c r="I1" s="118"/>
    </row>
    <row r="2" spans="1:9" ht="19.5" customHeight="1">
      <c r="A2" s="121" t="s">
        <v>2</v>
      </c>
      <c r="B2" s="121"/>
      <c r="C2" s="5">
        <f>SUM(C4:C178)</f>
        <v>7170918.2193210628</v>
      </c>
      <c r="D2" s="5">
        <f>SUM(D4:D178)</f>
        <v>5419727.3080000011</v>
      </c>
      <c r="E2" s="5">
        <f>C2-D2</f>
        <v>1751190.9113210617</v>
      </c>
      <c r="F2" s="6">
        <f>IFERROR(E2/D2, 0)</f>
        <v>0.32311421069767615</v>
      </c>
      <c r="G2" s="5">
        <f>SUM(G4:G178)</f>
        <v>7894231.5199999986</v>
      </c>
      <c r="H2" s="7">
        <f>C2-G2</f>
        <v>-723313.30067893583</v>
      </c>
      <c r="I2" s="6">
        <f>IFERROR(H2/G2, 0)</f>
        <v>-9.1625549471968867E-2</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SUM(Oct!C4, Nov!C4, Dec!C4)</f>
        <v>42138.7</v>
      </c>
      <c r="D4" s="29">
        <f>SUM(Oct!D4, Nov!D4, Dec!D4)</f>
        <v>0</v>
      </c>
      <c r="E4" s="29">
        <f>IF(AND(ISNUMBER(C4),ISNUMBER(D4)), C4-D4, "")</f>
        <v>42138.7</v>
      </c>
      <c r="F4" s="30" t="str">
        <f>IFERROR(E4/D4, "")</f>
        <v/>
      </c>
      <c r="G4" s="31">
        <f>SUM(Oct!G4,Nov!G4,Dec!G4)</f>
        <v>0</v>
      </c>
      <c r="H4" s="31">
        <f>SUM(Oct!H4, Nov!H4, Dec!H4)</f>
        <v>0</v>
      </c>
      <c r="I4" s="32" t="str">
        <f>IFERROR(H4/G4, "")</f>
        <v/>
      </c>
    </row>
    <row r="5" spans="1:9" ht="15.6">
      <c r="A5" s="48" t="str">
        <v>Pacoima - Whiteman Airport</v>
      </c>
      <c r="B5" s="34" t="str">
        <v>CA</v>
      </c>
      <c r="C5" s="35">
        <f>SUM(Oct!C5, Nov!C5, Dec!C5)</f>
        <v>37980.6</v>
      </c>
      <c r="D5" s="36">
        <f>SUM(Oct!D5, Nov!D5, Dec!D5)</f>
        <v>0</v>
      </c>
      <c r="E5" s="36">
        <f t="shared" ref="E5:E7" si="0">IF(AND(ISNUMBER(C5),ISNUMBER(D5)), C5-D5, "")</f>
        <v>37980.6</v>
      </c>
      <c r="F5" s="37" t="str">
        <f>IFERROR(E5/D5, "")</f>
        <v/>
      </c>
      <c r="G5" s="36">
        <f>SUM(Oct!G5,Nov!G5,Dec!G5)</f>
        <v>68640</v>
      </c>
      <c r="H5" s="38">
        <f>SUM(Oct!H5, Nov!H5, Dec!H5)</f>
        <v>-30659.4</v>
      </c>
      <c r="I5" s="37">
        <f>IFERROR(H5/G5, "")</f>
        <v>-0.44666958041958044</v>
      </c>
    </row>
    <row r="6" spans="1:9" ht="15.6">
      <c r="A6" s="47" t="str">
        <v>Hyannis - Sturgis Charter School</v>
      </c>
      <c r="B6" s="27" t="str">
        <v>MA</v>
      </c>
      <c r="C6" s="28">
        <f>SUM(Oct!C6, Nov!C6, Dec!C6)</f>
        <v>34210.60413</v>
      </c>
      <c r="D6" s="29">
        <f>SUM(Oct!D6, Nov!D6, Dec!D6)</f>
        <v>0</v>
      </c>
      <c r="E6" s="29">
        <f t="shared" si="0"/>
        <v>34210.60413</v>
      </c>
      <c r="F6" s="30" t="str">
        <f t="shared" ref="F6:F7" si="1">IFERROR(E6/D6, "")</f>
        <v/>
      </c>
      <c r="G6" s="31">
        <f>SUM(Oct!G6,Nov!G6,Dec!G6)</f>
        <v>31870</v>
      </c>
      <c r="H6" s="31">
        <f>SUM(Oct!H6, Nov!H6, Dec!H6)</f>
        <v>2340.6041299999997</v>
      </c>
      <c r="I6" s="32">
        <f t="shared" ref="I6:I7" si="2">IFERROR(H6/G6, "")</f>
        <v>7.3442238155004697E-2</v>
      </c>
    </row>
    <row r="7" spans="1:9" ht="15.6">
      <c r="A7" s="48" t="str">
        <v>South Dennis - Tony Kent Arena</v>
      </c>
      <c r="B7" s="34" t="str">
        <v>MA</v>
      </c>
      <c r="C7" s="35">
        <f>SUM(Oct!C7, Nov!C7, Dec!C7)</f>
        <v>37031.199999999997</v>
      </c>
      <c r="D7" s="36">
        <f>SUM(Oct!D7, Nov!D7, Dec!D7)</f>
        <v>0</v>
      </c>
      <c r="E7" s="36">
        <f t="shared" si="0"/>
        <v>37031.199999999997</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71771.899999999994</v>
      </c>
      <c r="D8" s="29">
        <f>SUM(Oct!D8, Nov!D8, Dec!D8)</f>
        <v>0</v>
      </c>
      <c r="E8" s="29">
        <f t="shared" ref="E8:E24" si="3">IF(AND(ISNUMBER(C8),ISNUMBER(D8)), C8-D8, "")</f>
        <v>71771.899999999994</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208351</v>
      </c>
      <c r="D9" s="36">
        <f>SUM(Oct!D9, Nov!D9, Dec!D9)</f>
        <v>0</v>
      </c>
      <c r="E9" s="36">
        <f t="shared" si="3"/>
        <v>208351</v>
      </c>
      <c r="F9" s="71" t="str">
        <f t="shared" si="4"/>
        <v/>
      </c>
      <c r="G9" s="36">
        <f>SUM(Oct!G9,Nov!G9,Dec!G9)</f>
        <v>251996.46999999997</v>
      </c>
      <c r="H9" s="72">
        <f>SUM(Oct!H9, Nov!H9, Dec!H9)</f>
        <v>-43645.469999999987</v>
      </c>
      <c r="I9" s="71">
        <f t="shared" si="5"/>
        <v>-0.17319873568070215</v>
      </c>
    </row>
    <row r="10" spans="1:9" ht="15.6">
      <c r="A10" s="47" t="str">
        <v>Zumbrota - Eastlake Brenda Luhman</v>
      </c>
      <c r="B10" s="27" t="str">
        <v>MN</v>
      </c>
      <c r="C10" s="28">
        <f>SUM(Oct!C10, Nov!C10, Dec!C10)</f>
        <v>250141</v>
      </c>
      <c r="D10" s="29">
        <f>SUM(Oct!D10, Nov!D10, Dec!D10)</f>
        <v>0</v>
      </c>
      <c r="E10" s="29">
        <f t="shared" si="3"/>
        <v>250141</v>
      </c>
      <c r="F10" s="30" t="str">
        <f t="shared" si="4"/>
        <v/>
      </c>
      <c r="G10" s="31">
        <f>SUM(Oct!G10,Nov!G10,Dec!G10)</f>
        <v>232863.04</v>
      </c>
      <c r="H10" s="31">
        <f>SUM(Oct!H10, Nov!H10, Dec!H10)</f>
        <v>17277.959999999992</v>
      </c>
      <c r="I10" s="32">
        <f t="shared" si="5"/>
        <v>7.419794914641667E-2</v>
      </c>
    </row>
    <row r="11" spans="1:9" ht="15.6">
      <c r="A11" s="48" t="str">
        <v>Cokato - Eastlake Carlson</v>
      </c>
      <c r="B11" s="34" t="str">
        <v>MN</v>
      </c>
      <c r="C11" s="35">
        <f>SUM(Oct!C11, Nov!C11, Dec!C11)</f>
        <v>211508</v>
      </c>
      <c r="D11" s="36">
        <f>SUM(Oct!D11, Nov!D11, Dec!D11)</f>
        <v>0</v>
      </c>
      <c r="E11" s="36">
        <f t="shared" si="3"/>
        <v>211508</v>
      </c>
      <c r="F11" s="71" t="str">
        <f t="shared" si="4"/>
        <v/>
      </c>
      <c r="G11" s="36">
        <f>SUM(Oct!G11,Nov!G11,Dec!G11)</f>
        <v>251413.2</v>
      </c>
      <c r="H11" s="72">
        <f>SUM(Oct!H11, Nov!H11, Dec!H11)</f>
        <v>-39905.200000000012</v>
      </c>
      <c r="I11" s="71">
        <f t="shared" si="5"/>
        <v>-0.15872356741809901</v>
      </c>
    </row>
    <row r="12" spans="1:9" ht="15.6">
      <c r="A12" s="47" t="str">
        <v>North Branch - Cornille 2</v>
      </c>
      <c r="B12" s="27" t="str">
        <v>MN</v>
      </c>
      <c r="C12" s="28">
        <f>SUM(Oct!C12, Nov!C12, Dec!C12)</f>
        <v>221864.66243</v>
      </c>
      <c r="D12" s="29">
        <f>SUM(Oct!D12, Nov!D12, Dec!D12)</f>
        <v>0</v>
      </c>
      <c r="E12" s="29">
        <f t="shared" si="3"/>
        <v>221864.66243</v>
      </c>
      <c r="F12" s="30" t="str">
        <f t="shared" si="4"/>
        <v/>
      </c>
      <c r="G12" s="31">
        <f>SUM(Oct!G12,Nov!G12,Dec!G12)</f>
        <v>239130.86</v>
      </c>
      <c r="H12" s="31">
        <f>SUM(Oct!H12, Nov!H12, Dec!H12)</f>
        <v>-17266.197569999989</v>
      </c>
      <c r="I12" s="32">
        <f t="shared" si="5"/>
        <v>-7.2203970537303264E-2</v>
      </c>
    </row>
    <row r="13" spans="1:9" ht="15.6">
      <c r="A13" s="48" t="str">
        <v>Clear Lake - Eastlake Hammer</v>
      </c>
      <c r="B13" s="34" t="str">
        <v>MN</v>
      </c>
      <c r="C13" s="35">
        <f>SUM(Oct!C13, Nov!C13, Dec!C13)</f>
        <v>206453</v>
      </c>
      <c r="D13" s="36">
        <f>SUM(Oct!D13, Nov!D13, Dec!D13)</f>
        <v>0</v>
      </c>
      <c r="E13" s="36">
        <f t="shared" si="3"/>
        <v>206453</v>
      </c>
      <c r="F13" s="71" t="str">
        <f t="shared" si="4"/>
        <v/>
      </c>
      <c r="G13" s="36">
        <f>SUM(Oct!G13,Nov!G13,Dec!G13)</f>
        <v>240027.86</v>
      </c>
      <c r="H13" s="72">
        <f>SUM(Oct!H13, Nov!H13, Dec!H13)</f>
        <v>-33574.86</v>
      </c>
      <c r="I13" s="71">
        <f t="shared" si="5"/>
        <v>-0.13987901237797981</v>
      </c>
    </row>
    <row r="14" spans="1:9" ht="15.6">
      <c r="A14" s="47" t="str">
        <v>Eastlake - Hertzberg CSG 1</v>
      </c>
      <c r="B14" s="27" t="str">
        <v>MN</v>
      </c>
      <c r="C14" s="28">
        <f>SUM(Oct!C14, Nov!C14, Dec!C14)</f>
        <v>192385.55800000002</v>
      </c>
      <c r="D14" s="29">
        <f>SUM(Oct!D14, Nov!D14, Dec!D14)</f>
        <v>0</v>
      </c>
      <c r="E14" s="29">
        <f t="shared" si="3"/>
        <v>192385.55800000002</v>
      </c>
      <c r="F14" s="30" t="str">
        <f t="shared" si="4"/>
        <v/>
      </c>
      <c r="G14" s="31">
        <f>SUM(Oct!G14,Nov!G14,Dec!G14)</f>
        <v>240333.7</v>
      </c>
      <c r="H14" s="31">
        <f>SUM(Oct!H14, Nov!H14, Dec!H14)</f>
        <v>-47948.142000000007</v>
      </c>
      <c r="I14" s="32">
        <f t="shared" si="5"/>
        <v>-0.19950652779864</v>
      </c>
    </row>
    <row r="15" spans="1:9" ht="15.6">
      <c r="A15" s="48" t="str">
        <v>Cokato - Eastlake Laurel Village</v>
      </c>
      <c r="B15" s="34" t="str">
        <v>MN</v>
      </c>
      <c r="C15" s="35">
        <f>SUM(Oct!C15, Nov!C15, Dec!C15)</f>
        <v>206725.05</v>
      </c>
      <c r="D15" s="36">
        <f>SUM(Oct!D15, Nov!D15, Dec!D15)</f>
        <v>0</v>
      </c>
      <c r="E15" s="36">
        <f t="shared" si="3"/>
        <v>206725.05</v>
      </c>
      <c r="F15" s="71" t="str">
        <f t="shared" si="4"/>
        <v/>
      </c>
      <c r="G15" s="36">
        <f>SUM(Oct!G15,Nov!G15,Dec!G15)</f>
        <v>236754.71</v>
      </c>
      <c r="H15" s="72">
        <f>SUM(Oct!H15, Nov!H15, Dec!H15)</f>
        <v>-30029.659999999989</v>
      </c>
      <c r="I15" s="71">
        <f t="shared" si="5"/>
        <v>-0.12683870154050997</v>
      </c>
    </row>
    <row r="16" spans="1:9" ht="15.6">
      <c r="A16" s="47" t="str">
        <v>St. Peter - Eastlake Paulson</v>
      </c>
      <c r="B16" s="27" t="str">
        <v>MN</v>
      </c>
      <c r="C16" s="28">
        <f>SUM(Oct!C16, Nov!C16, Dec!C16)</f>
        <v>217526.75257636301</v>
      </c>
      <c r="D16" s="29">
        <f>SUM(Oct!D16, Nov!D16, Dec!D16)</f>
        <v>0</v>
      </c>
      <c r="E16" s="29">
        <f t="shared" si="3"/>
        <v>217526.75257636301</v>
      </c>
      <c r="F16" s="30" t="str">
        <f t="shared" si="4"/>
        <v/>
      </c>
      <c r="G16" s="31">
        <f>SUM(Oct!G16,Nov!G16,Dec!G16)</f>
        <v>256150.9</v>
      </c>
      <c r="H16" s="31">
        <f>SUM(Oct!H16, Nov!H16, Dec!H16)</f>
        <v>-38624.147423636983</v>
      </c>
      <c r="I16" s="32">
        <f t="shared" si="5"/>
        <v>-0.1507866941854859</v>
      </c>
    </row>
    <row r="17" spans="1:9" ht="15.6">
      <c r="A17" s="48" t="str">
        <v>Felician Sisters Convent</v>
      </c>
      <c r="B17" s="34" t="str">
        <v>NJ</v>
      </c>
      <c r="C17" s="35">
        <f>SUM(Oct!C17, Nov!C17, Dec!C17)</f>
        <v>26793.3</v>
      </c>
      <c r="D17" s="36">
        <f>SUM(Oct!D17, Nov!D17, Dec!D17)</f>
        <v>0</v>
      </c>
      <c r="E17" s="36">
        <f t="shared" si="3"/>
        <v>26793.3</v>
      </c>
      <c r="F17" s="71" t="str">
        <f t="shared" si="4"/>
        <v/>
      </c>
      <c r="G17" s="36">
        <f>SUM(Oct!G17,Nov!G17,Dec!G17)</f>
        <v>0</v>
      </c>
      <c r="H17" s="72">
        <f>SUM(Oct!H17, Nov!H17, Dec!H17)</f>
        <v>0</v>
      </c>
      <c r="I17" s="71" t="str">
        <f t="shared" si="5"/>
        <v/>
      </c>
    </row>
    <row r="18" spans="1:9" ht="15.6">
      <c r="A18" s="47" t="str">
        <v>Sussex County Fairgrounds</v>
      </c>
      <c r="B18" s="27" t="str">
        <v>NJ</v>
      </c>
      <c r="C18" s="28">
        <f>SUM(Oct!C18, Nov!C18, Dec!C18)</f>
        <v>68515.06</v>
      </c>
      <c r="D18" s="29">
        <f>SUM(Oct!D18, Nov!D18, Dec!D18)</f>
        <v>0</v>
      </c>
      <c r="E18" s="29">
        <f t="shared" si="3"/>
        <v>68515.06</v>
      </c>
      <c r="F18" s="30" t="str">
        <f t="shared" si="4"/>
        <v/>
      </c>
      <c r="G18" s="31">
        <f>SUM(Oct!G18,Nov!G18,Dec!G18)</f>
        <v>0</v>
      </c>
      <c r="H18" s="31">
        <f>SUM(Oct!H18, Nov!H18, Dec!H18)</f>
        <v>0</v>
      </c>
      <c r="I18" s="32" t="str">
        <f t="shared" si="5"/>
        <v/>
      </c>
    </row>
    <row r="19" spans="1:9" ht="15.6">
      <c r="A19" s="48" t="str">
        <v>Gateway Church</v>
      </c>
      <c r="B19" s="34" t="str">
        <v>NJ</v>
      </c>
      <c r="C19" s="35">
        <f>SUM(Oct!C19, Nov!C19, Dec!C19)</f>
        <v>28835</v>
      </c>
      <c r="D19" s="36">
        <f>SUM(Oct!D19, Nov!D19, Dec!D19)</f>
        <v>0</v>
      </c>
      <c r="E19" s="36">
        <f t="shared" si="3"/>
        <v>28835</v>
      </c>
      <c r="F19" s="71" t="str">
        <f t="shared" si="4"/>
        <v/>
      </c>
      <c r="G19" s="36">
        <f>SUM(Oct!G19,Nov!G19,Dec!G19)</f>
        <v>0</v>
      </c>
      <c r="H19" s="72">
        <f>SUM(Oct!H19, Nov!H19, Dec!H19)</f>
        <v>0</v>
      </c>
      <c r="I19" s="71" t="str">
        <f t="shared" si="5"/>
        <v/>
      </c>
    </row>
    <row r="20" spans="1:9" ht="15.6">
      <c r="A20" s="47" t="str">
        <v>Beaver Falls - Felician Sisters</v>
      </c>
      <c r="B20" s="27" t="str">
        <v>PA</v>
      </c>
      <c r="C20" s="28">
        <f>SUM(Oct!C20, Nov!C20, Dec!C20)</f>
        <v>43787</v>
      </c>
      <c r="D20" s="29">
        <f>SUM(Oct!D20, Nov!D20, Dec!D20)</f>
        <v>0</v>
      </c>
      <c r="E20" s="29">
        <f t="shared" si="3"/>
        <v>43787</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15414</v>
      </c>
      <c r="D21" s="36">
        <f>SUM(Oct!D21, Nov!D21, Dec!D21)</f>
        <v>0</v>
      </c>
      <c r="E21" s="36">
        <f t="shared" si="3"/>
        <v>15414</v>
      </c>
      <c r="F21" s="71" t="str">
        <f t="shared" si="4"/>
        <v/>
      </c>
      <c r="G21" s="36">
        <f>SUM(Oct!G21,Nov!G21,Dec!G21)</f>
        <v>0</v>
      </c>
      <c r="H21" s="72">
        <f>SUM(Oct!H21, Nov!H21, Dec!H21)</f>
        <v>0</v>
      </c>
      <c r="I21" s="71" t="str">
        <f t="shared" si="5"/>
        <v/>
      </c>
    </row>
    <row r="22" spans="1:9" ht="15.6">
      <c r="A22" s="47" t="str">
        <v>Livonia - Felician Sisters Roof</v>
      </c>
      <c r="B22" s="27" t="str">
        <v>MI</v>
      </c>
      <c r="C22" s="28">
        <f>SUM(Oct!C22, Nov!C22, Dec!C22)</f>
        <v>17211</v>
      </c>
      <c r="D22" s="29">
        <f>SUM(Oct!D22, Nov!D22, Dec!D22)</f>
        <v>0</v>
      </c>
      <c r="E22" s="29">
        <f t="shared" si="3"/>
        <v>17211</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6625</v>
      </c>
      <c r="D23" s="36">
        <f>SUM(Oct!D23, Nov!D23, Dec!D23)</f>
        <v>0</v>
      </c>
      <c r="E23" s="36">
        <f t="shared" si="3"/>
        <v>6625</v>
      </c>
      <c r="F23" s="71" t="str">
        <f t="shared" si="4"/>
        <v/>
      </c>
      <c r="G23" s="36">
        <f>SUM(Oct!G23,Nov!G23,Dec!G23)</f>
        <v>0</v>
      </c>
      <c r="H23" s="72">
        <f>SUM(Oct!H23, Nov!H23, Dec!H23)</f>
        <v>0</v>
      </c>
      <c r="I23" s="71" t="str">
        <f t="shared" si="5"/>
        <v/>
      </c>
    </row>
    <row r="24" spans="1:9" ht="15.6">
      <c r="A24" s="47" t="str">
        <v xml:space="preserve"> Audubon - Senior Citizens United</v>
      </c>
      <c r="B24" s="27" t="str">
        <v>NJ</v>
      </c>
      <c r="C24" s="28">
        <f>SUM(Oct!C24, Nov!C24, Dec!C24)</f>
        <v>13036.900000000001</v>
      </c>
      <c r="D24" s="29">
        <f>SUM(Oct!D24, Nov!D24, Dec!D24)</f>
        <v>0</v>
      </c>
      <c r="E24" s="29">
        <f t="shared" si="3"/>
        <v>13036.900000000001</v>
      </c>
      <c r="F24" s="30" t="str">
        <f t="shared" si="4"/>
        <v/>
      </c>
      <c r="G24" s="31">
        <f>SUM(Oct!G24,Nov!G24,Dec!G24)</f>
        <v>0</v>
      </c>
      <c r="H24" s="31">
        <f>SUM(Oct!H24, Nov!H24, Dec!H24)</f>
        <v>0</v>
      </c>
      <c r="I24" s="32" t="str">
        <f t="shared" si="5"/>
        <v/>
      </c>
    </row>
    <row r="25" spans="1:9" ht="15.6">
      <c r="A25" s="48" t="str">
        <v>Hollister - PG&amp;E (Enerparc)</v>
      </c>
      <c r="B25" s="34" t="str">
        <v>CA</v>
      </c>
      <c r="C25" s="35">
        <f>SUM(Oct!C25, Nov!C25, Dec!C25)</f>
        <v>387644.65599999996</v>
      </c>
      <c r="D25" s="36">
        <f>SUM(Oct!D25, Nov!D25, Dec!D25)</f>
        <v>249767.7</v>
      </c>
      <c r="E25" s="36">
        <f t="shared" ref="E25:E56" si="6">IF(AND(ISNUMBER(C25),ISNUMBER(D25)), C25-D25, "")</f>
        <v>137876.95599999995</v>
      </c>
      <c r="F25" s="71">
        <f t="shared" ref="F25:F56" si="7">IFERROR(E25/D25, "")</f>
        <v>0.55202076169176373</v>
      </c>
      <c r="G25" s="36">
        <f>SUM(Oct!G25,Nov!G25,Dec!G25)</f>
        <v>468145.1</v>
      </c>
      <c r="H25" s="72">
        <f>SUM(Oct!H25, Nov!H25, Dec!H25)</f>
        <v>-80500.443999999989</v>
      </c>
      <c r="I25" s="71">
        <f t="shared" ref="I25:I56" si="8">IFERROR(H25/G25, "")</f>
        <v>-0.17195618196153284</v>
      </c>
    </row>
    <row r="26" spans="1:9" ht="15.6">
      <c r="A26" s="47" t="str">
        <v>Taos County - Kit Carson Electric Co-Op</v>
      </c>
      <c r="B26" s="27" t="str">
        <v>NM</v>
      </c>
      <c r="C26" s="28">
        <f>SUM(Oct!C26, Nov!C26, Dec!C26)</f>
        <v>336850</v>
      </c>
      <c r="D26" s="29">
        <f>SUM(Oct!D26, Nov!D26, Dec!D26)</f>
        <v>293940.2</v>
      </c>
      <c r="E26" s="29">
        <f t="shared" si="6"/>
        <v>42909.799999999988</v>
      </c>
      <c r="F26" s="30">
        <f t="shared" si="7"/>
        <v>0.14598139349432296</v>
      </c>
      <c r="G26" s="31">
        <f>SUM(Oct!G26,Nov!G26,Dec!G26)</f>
        <v>235389.01</v>
      </c>
      <c r="H26" s="31">
        <f>SUM(Oct!H26, Nov!H26, Dec!H26)</f>
        <v>101460.98999999999</v>
      </c>
      <c r="I26" s="32">
        <f t="shared" si="8"/>
        <v>0.43103537416636395</v>
      </c>
    </row>
    <row r="27" spans="1:9" ht="15.6">
      <c r="A27" s="48" t="str">
        <v>Commerce City - Adams City HS</v>
      </c>
      <c r="B27" s="34" t="str">
        <v>CO</v>
      </c>
      <c r="C27" s="35">
        <f>SUM(Oct!C27, Nov!C27, Dec!C27)</f>
        <v>20410</v>
      </c>
      <c r="D27" s="36">
        <f>SUM(Oct!D27, Nov!D27, Dec!D27)</f>
        <v>17154.66</v>
      </c>
      <c r="E27" s="36">
        <f t="shared" si="6"/>
        <v>3255.34</v>
      </c>
      <c r="F27" s="71">
        <f t="shared" si="7"/>
        <v>0.1897641806949249</v>
      </c>
      <c r="G27" s="36">
        <f>SUM(Oct!G27,Nov!G27,Dec!G27)</f>
        <v>17239.516</v>
      </c>
      <c r="H27" s="72">
        <f>SUM(Oct!H27, Nov!H27, Dec!H27)</f>
        <v>3170.4840000000004</v>
      </c>
      <c r="I27" s="71">
        <f t="shared" si="8"/>
        <v>0.1839079472996806</v>
      </c>
    </row>
    <row r="28" spans="1:9" ht="15.6">
      <c r="A28" s="47" t="str">
        <v>Commerce City - Adams City MS</v>
      </c>
      <c r="B28" s="27" t="str">
        <v>CO</v>
      </c>
      <c r="C28" s="28">
        <f>SUM(Oct!C28, Nov!C28, Dec!C28)</f>
        <v>15885</v>
      </c>
      <c r="D28" s="29">
        <f>SUM(Oct!D28, Nov!D28, Dec!D28)</f>
        <v>15588.572</v>
      </c>
      <c r="E28" s="29">
        <f t="shared" si="6"/>
        <v>296.42799999999988</v>
      </c>
      <c r="F28" s="30">
        <f t="shared" si="7"/>
        <v>1.9015725109394234E-2</v>
      </c>
      <c r="G28" s="31">
        <f>SUM(Oct!G28,Nov!G28,Dec!G28)</f>
        <v>15174.631000000001</v>
      </c>
      <c r="H28" s="31">
        <f>SUM(Oct!H28, Nov!H28, Dec!H28)</f>
        <v>710.36899999999969</v>
      </c>
      <c r="I28" s="32">
        <f t="shared" si="8"/>
        <v>4.6812934034442068E-2</v>
      </c>
    </row>
    <row r="29" spans="1:9" ht="15.6">
      <c r="A29" s="48" t="str">
        <v>Commerce City - Central ES</v>
      </c>
      <c r="B29" s="34" t="str">
        <v>CO</v>
      </c>
      <c r="C29" s="35">
        <f>SUM(Oct!C29, Nov!C29, Dec!C29)</f>
        <v>4103.1000000000004</v>
      </c>
      <c r="D29" s="36">
        <f>SUM(Oct!D29, Nov!D29, Dec!D29)</f>
        <v>4318.5870000000004</v>
      </c>
      <c r="E29" s="36">
        <f t="shared" si="6"/>
        <v>-215.48700000000008</v>
      </c>
      <c r="F29" s="71">
        <f t="shared" si="7"/>
        <v>-4.9897570663737942E-2</v>
      </c>
      <c r="G29" s="36">
        <f>SUM(Oct!G29,Nov!G29,Dec!G29)</f>
        <v>4331.0599999999995</v>
      </c>
      <c r="H29" s="72">
        <f>SUM(Oct!H29, Nov!H29, Dec!H29)</f>
        <v>-227.96000000000004</v>
      </c>
      <c r="I29" s="71">
        <f t="shared" si="8"/>
        <v>-5.2633766329720687E-2</v>
      </c>
    </row>
    <row r="30" spans="1:9" ht="15.6">
      <c r="A30" s="47" t="str">
        <v>Commerce City - Dupont ES</v>
      </c>
      <c r="B30" s="27" t="str">
        <v>CO</v>
      </c>
      <c r="C30" s="28">
        <f>SUM(Oct!C30, Nov!C30, Dec!C30)</f>
        <v>12422</v>
      </c>
      <c r="D30" s="29">
        <f>SUM(Oct!D30, Nov!D30, Dec!D30)</f>
        <v>11770.026</v>
      </c>
      <c r="E30" s="29">
        <f t="shared" si="6"/>
        <v>651.97400000000016</v>
      </c>
      <c r="F30" s="30">
        <f t="shared" si="7"/>
        <v>5.5392740848660839E-2</v>
      </c>
      <c r="G30" s="31">
        <f>SUM(Oct!G30,Nov!G30,Dec!G30)</f>
        <v>11910.560000000001</v>
      </c>
      <c r="H30" s="31">
        <f>SUM(Oct!H30, Nov!H30, Dec!H30)</f>
        <v>511.4399999999996</v>
      </c>
      <c r="I30" s="32">
        <f t="shared" si="8"/>
        <v>4.2940046479762461E-2</v>
      </c>
    </row>
    <row r="31" spans="1:9" ht="15.6">
      <c r="A31" s="48" t="str">
        <v>Commerce City - Educational Support Services</v>
      </c>
      <c r="B31" s="34" t="str">
        <v>CO</v>
      </c>
      <c r="C31" s="35">
        <f>SUM(Oct!C31, Nov!C31, Dec!C31)</f>
        <v>0</v>
      </c>
      <c r="D31" s="36">
        <f>SUM(Oct!D31, Nov!D31, Dec!D31)</f>
        <v>13166.49</v>
      </c>
      <c r="E31" s="36">
        <f t="shared" si="6"/>
        <v>-13166.49</v>
      </c>
      <c r="F31" s="71">
        <f t="shared" si="7"/>
        <v>-1</v>
      </c>
      <c r="G31" s="36">
        <f>SUM(Oct!G31,Nov!G31,Dec!G31)</f>
        <v>13118.66</v>
      </c>
      <c r="H31" s="72">
        <f>SUM(Oct!H31, Nov!H31, Dec!H31)</f>
        <v>-13118.66</v>
      </c>
      <c r="I31" s="71">
        <f t="shared" si="8"/>
        <v>-1</v>
      </c>
    </row>
    <row r="32" spans="1:9" ht="15.6">
      <c r="A32" s="47" t="str">
        <v>Commerce City - Hanson ES</v>
      </c>
      <c r="B32" s="27" t="str">
        <v>CO</v>
      </c>
      <c r="C32" s="28">
        <f>SUM(Oct!C32, Nov!C32, Dec!C32)</f>
        <v>17350</v>
      </c>
      <c r="D32" s="29">
        <f>SUM(Oct!D32, Nov!D32, Dec!D32)</f>
        <v>17170.603999999999</v>
      </c>
      <c r="E32" s="29">
        <f t="shared" si="6"/>
        <v>179.39600000000064</v>
      </c>
      <c r="F32" s="30">
        <f t="shared" si="7"/>
        <v>1.0447856115020802E-2</v>
      </c>
      <c r="G32" s="31">
        <f>SUM(Oct!G32,Nov!G32,Dec!G32)</f>
        <v>17163.266</v>
      </c>
      <c r="H32" s="31">
        <f>SUM(Oct!H32, Nov!H32, Dec!H32)</f>
        <v>186.73399999999947</v>
      </c>
      <c r="I32" s="32">
        <f t="shared" si="8"/>
        <v>1.0879864007234955E-2</v>
      </c>
    </row>
    <row r="33" spans="1:9" ht="15.6">
      <c r="A33" s="48" t="str">
        <v>Commerce City - Kemp ES</v>
      </c>
      <c r="B33" s="34" t="str">
        <v>CO</v>
      </c>
      <c r="C33" s="35">
        <f>SUM(Oct!C33, Nov!C33, Dec!C33)</f>
        <v>16232</v>
      </c>
      <c r="D33" s="36">
        <f>SUM(Oct!D33, Nov!D33, Dec!D33)</f>
        <v>17161.321</v>
      </c>
      <c r="E33" s="36">
        <f t="shared" si="6"/>
        <v>-929.32099999999991</v>
      </c>
      <c r="F33" s="71">
        <f t="shared" si="7"/>
        <v>-5.4152066731925817E-2</v>
      </c>
      <c r="G33" s="36">
        <f>SUM(Oct!G33,Nov!G33,Dec!G33)</f>
        <v>17327.22</v>
      </c>
      <c r="H33" s="72">
        <f>SUM(Oct!H33, Nov!H33, Dec!H33)</f>
        <v>-1095.2199999999993</v>
      </c>
      <c r="I33" s="71">
        <f t="shared" si="8"/>
        <v>-6.3208062228101172E-2</v>
      </c>
    </row>
    <row r="34" spans="1:9" ht="15.6">
      <c r="A34" s="47" t="str">
        <v>Commerce City -  Lester Arnold HS</v>
      </c>
      <c r="B34" s="27" t="str">
        <v>CO</v>
      </c>
      <c r="C34" s="28">
        <f>SUM(Oct!C34, Nov!C34, Dec!C34)</f>
        <v>16612</v>
      </c>
      <c r="D34" s="29">
        <f>SUM(Oct!D34, Nov!D34, Dec!D34)</f>
        <v>16590.236000000001</v>
      </c>
      <c r="E34" s="29">
        <f t="shared" si="6"/>
        <v>21.763999999999214</v>
      </c>
      <c r="F34" s="30">
        <f t="shared" si="7"/>
        <v>1.3118559615426335E-3</v>
      </c>
      <c r="G34" s="31">
        <f>SUM(Oct!G34,Nov!G34,Dec!G34)</f>
        <v>16637.368999999999</v>
      </c>
      <c r="H34" s="31">
        <f>SUM(Oct!H34, Nov!H34, Dec!H34)</f>
        <v>-25.368999999999687</v>
      </c>
      <c r="I34" s="32">
        <f t="shared" si="8"/>
        <v>-1.5248204208249327E-3</v>
      </c>
    </row>
    <row r="35" spans="1:9" ht="15.6">
      <c r="A35" s="48" t="str">
        <v>Commerce City - Monaco ES</v>
      </c>
      <c r="B35" s="34" t="str">
        <v>CO</v>
      </c>
      <c r="C35" s="35">
        <f>SUM(Oct!C35, Nov!C35, Dec!C35)</f>
        <v>18046</v>
      </c>
      <c r="D35" s="36">
        <f>SUM(Oct!D35, Nov!D35, Dec!D35)</f>
        <v>17170.989999999998</v>
      </c>
      <c r="E35" s="36">
        <f t="shared" si="6"/>
        <v>875.01000000000204</v>
      </c>
      <c r="F35" s="71">
        <f t="shared" si="7"/>
        <v>5.0958622653673562E-2</v>
      </c>
      <c r="G35" s="36">
        <f>SUM(Oct!G35,Nov!G35,Dec!G35)</f>
        <v>17163.266</v>
      </c>
      <c r="H35" s="72">
        <f>SUM(Oct!H35, Nov!H35, Dec!H35)</f>
        <v>882.73399999999947</v>
      </c>
      <c r="I35" s="71">
        <f t="shared" si="8"/>
        <v>5.1431586505738446E-2</v>
      </c>
    </row>
    <row r="36" spans="1:9" ht="15.6">
      <c r="A36" s="47" t="str">
        <v>Denver - Northgate / Old Fort Logan ES</v>
      </c>
      <c r="B36" s="27" t="str">
        <v>CO</v>
      </c>
      <c r="C36" s="28">
        <f>SUM(Oct!C36, Nov!C36, Dec!C36)</f>
        <v>17346</v>
      </c>
      <c r="D36" s="29">
        <f>SUM(Oct!D36, Nov!D36, Dec!D36)</f>
        <v>14827.240000000002</v>
      </c>
      <c r="E36" s="29">
        <f t="shared" si="6"/>
        <v>2518.7599999999984</v>
      </c>
      <c r="F36" s="30">
        <f t="shared" si="7"/>
        <v>0.16987382682144472</v>
      </c>
      <c r="G36" s="31">
        <f>SUM(Oct!G36,Nov!G36,Dec!G36)</f>
        <v>18032.896000000001</v>
      </c>
      <c r="H36" s="31">
        <f>SUM(Oct!H36, Nov!H36, Dec!H36)</f>
        <v>-686.89600000000064</v>
      </c>
      <c r="I36" s="32">
        <f t="shared" si="8"/>
        <v>-3.8091274967703502E-2</v>
      </c>
    </row>
    <row r="37" spans="1:9" ht="15.6">
      <c r="A37" s="48" t="str">
        <v>Denver - Sheridan High School</v>
      </c>
      <c r="B37" s="34" t="str">
        <v>CO</v>
      </c>
      <c r="C37" s="35">
        <f>SUM(Oct!C37, Nov!C37, Dec!C37)</f>
        <v>19402</v>
      </c>
      <c r="D37" s="36">
        <f>SUM(Oct!D37, Nov!D37, Dec!D37)</f>
        <v>17141.582000000002</v>
      </c>
      <c r="E37" s="36">
        <f t="shared" si="6"/>
        <v>2260.4179999999978</v>
      </c>
      <c r="F37" s="71">
        <f t="shared" si="7"/>
        <v>0.13186752541276514</v>
      </c>
      <c r="G37" s="36">
        <f>SUM(Oct!G37,Nov!G37,Dec!G37)</f>
        <v>17965.964</v>
      </c>
      <c r="H37" s="72">
        <f>SUM(Oct!H37, Nov!H37, Dec!H37)</f>
        <v>1436.0360000000001</v>
      </c>
      <c r="I37" s="71">
        <f t="shared" si="8"/>
        <v>7.9930918262999973E-2</v>
      </c>
    </row>
    <row r="38" spans="1:9" ht="15.6">
      <c r="A38" s="47" t="str">
        <v>Englewood -  Alice Terry Elementary</v>
      </c>
      <c r="B38" s="27" t="str">
        <v>CO</v>
      </c>
      <c r="C38" s="28">
        <f>SUM(Oct!C38, Nov!C38, Dec!C38)</f>
        <v>19387</v>
      </c>
      <c r="D38" s="29">
        <f>SUM(Oct!D38, Nov!D38, Dec!D38)</f>
        <v>17142.753000000001</v>
      </c>
      <c r="E38" s="29">
        <f t="shared" si="6"/>
        <v>2244.2469999999994</v>
      </c>
      <c r="F38" s="30">
        <f t="shared" si="7"/>
        <v>0.13091520364319542</v>
      </c>
      <c r="G38" s="31">
        <f>SUM(Oct!G38,Nov!G38,Dec!G38)</f>
        <v>18032.896000000001</v>
      </c>
      <c r="H38" s="31">
        <f>SUM(Oct!H38, Nov!H38, Dec!H38)</f>
        <v>1354.1039999999994</v>
      </c>
      <c r="I38" s="32">
        <f t="shared" si="8"/>
        <v>7.5090767450774365E-2</v>
      </c>
    </row>
    <row r="39" spans="1:9" ht="15.6">
      <c r="A39" s="48" t="str">
        <v>Englewood - Sheridan Middle School</v>
      </c>
      <c r="B39" s="34" t="str">
        <v>CO</v>
      </c>
      <c r="C39" s="35">
        <f>SUM(Oct!C39, Nov!C39, Dec!C39)</f>
        <v>8851</v>
      </c>
      <c r="D39" s="36">
        <f>SUM(Oct!D39, Nov!D39, Dec!D39)</f>
        <v>8746.4279999999999</v>
      </c>
      <c r="E39" s="36">
        <f t="shared" si="6"/>
        <v>104.57200000000012</v>
      </c>
      <c r="F39" s="71">
        <f t="shared" si="7"/>
        <v>1.1955966481402479E-2</v>
      </c>
      <c r="G39" s="36">
        <f>SUM(Oct!G39,Nov!G39,Dec!G39)</f>
        <v>10561.057000000001</v>
      </c>
      <c r="H39" s="72">
        <f>SUM(Oct!H39, Nov!H39, Dec!H39)</f>
        <v>-1710.0570000000007</v>
      </c>
      <c r="I39" s="71">
        <f t="shared" si="8"/>
        <v>-0.16192100847481464</v>
      </c>
    </row>
    <row r="40" spans="1:9" ht="15.6">
      <c r="A40" s="47" t="str">
        <v>Goshen - NIPSCO</v>
      </c>
      <c r="B40" s="27" t="str">
        <v>IN</v>
      </c>
      <c r="C40" s="28">
        <f>SUM(Oct!C40, Nov!C40, Dec!C40)</f>
        <v>50969</v>
      </c>
      <c r="D40" s="29">
        <f>SUM(Oct!D40, Nov!D40, Dec!D40)</f>
        <v>52471.7</v>
      </c>
      <c r="E40" s="29">
        <f t="shared" si="6"/>
        <v>-1502.6999999999971</v>
      </c>
      <c r="F40" s="30">
        <f t="shared" si="7"/>
        <v>-2.863829454734642E-2</v>
      </c>
      <c r="G40" s="31">
        <f>SUM(Oct!G40,Nov!G40,Dec!G40)</f>
        <v>59531.33</v>
      </c>
      <c r="H40" s="31">
        <f>SUM(Oct!H40, Nov!H40, Dec!H40)</f>
        <v>-8562.3299999999981</v>
      </c>
      <c r="I40" s="32">
        <f t="shared" si="8"/>
        <v>-0.14382897207235246</v>
      </c>
    </row>
    <row r="41" spans="1:9" ht="15.6">
      <c r="A41" s="48" t="str">
        <v>Alamogordo - City of Alamogordo - Effluent</v>
      </c>
      <c r="B41" s="34" t="str">
        <v>NM</v>
      </c>
      <c r="C41" s="35">
        <f>SUM(Oct!C41, Nov!C41, Dec!C41)</f>
        <v>45906</v>
      </c>
      <c r="D41" s="36">
        <f>SUM(Oct!D41, Nov!D41, Dec!D41)</f>
        <v>54077.79</v>
      </c>
      <c r="E41" s="36">
        <f t="shared" si="6"/>
        <v>-8171.7900000000009</v>
      </c>
      <c r="F41" s="71">
        <f t="shared" si="7"/>
        <v>-0.15111175955970096</v>
      </c>
      <c r="G41" s="36">
        <f>SUM(Oct!G41,Nov!G41,Dec!G41)</f>
        <v>40325.18</v>
      </c>
      <c r="H41" s="72">
        <f>SUM(Oct!H41, Nov!H41, Dec!H41)</f>
        <v>5580.82</v>
      </c>
      <c r="I41" s="71">
        <f t="shared" si="8"/>
        <v>0.13839541447800108</v>
      </c>
    </row>
    <row r="42" spans="1:9" ht="15.6">
      <c r="A42" s="47" t="str">
        <v>Alamogordo - City of Alamogordo - WWTP</v>
      </c>
      <c r="B42" s="27" t="str">
        <v>NM</v>
      </c>
      <c r="C42" s="28">
        <f>SUM(Oct!C42, Nov!C42, Dec!C42)</f>
        <v>172710</v>
      </c>
      <c r="D42" s="29">
        <f>SUM(Oct!D42, Nov!D42, Dec!D42)</f>
        <v>0</v>
      </c>
      <c r="E42" s="29">
        <f t="shared" si="6"/>
        <v>172710</v>
      </c>
      <c r="F42" s="30" t="str">
        <f t="shared" si="7"/>
        <v/>
      </c>
      <c r="G42" s="31">
        <f>SUM(Oct!G42,Nov!G42,Dec!G42)</f>
        <v>171016.37</v>
      </c>
      <c r="H42" s="31">
        <f>SUM(Oct!H42, Nov!H42, Dec!H42)</f>
        <v>1693.6299999999901</v>
      </c>
      <c r="I42" s="32">
        <f t="shared" si="8"/>
        <v>9.9033209510878406E-3</v>
      </c>
    </row>
    <row r="43" spans="1:9" ht="15.6">
      <c r="A43" s="48" t="str">
        <v>Deming - Bilbo Booster</v>
      </c>
      <c r="B43" s="34" t="str">
        <v>NM</v>
      </c>
      <c r="C43" s="35">
        <f>SUM(Oct!C43, Nov!C43, Dec!C43)</f>
        <v>23511</v>
      </c>
      <c r="D43" s="36">
        <f>SUM(Oct!D43, Nov!D43, Dec!D43)</f>
        <v>0</v>
      </c>
      <c r="E43" s="36">
        <f t="shared" si="6"/>
        <v>23511</v>
      </c>
      <c r="F43" s="71" t="str">
        <f t="shared" si="7"/>
        <v/>
      </c>
      <c r="G43" s="36">
        <f>SUM(Oct!G43,Nov!G43,Dec!G43)</f>
        <v>16159.186000000002</v>
      </c>
      <c r="H43" s="72">
        <f>SUM(Oct!H43, Nov!H43, Dec!H43)</f>
        <v>7351.8139999999994</v>
      </c>
      <c r="I43" s="71">
        <f t="shared" si="8"/>
        <v>0.45496190216512133</v>
      </c>
    </row>
    <row r="44" spans="1:9" ht="15.6">
      <c r="A44" s="47" t="str">
        <v>Deming - Bilbo Well</v>
      </c>
      <c r="B44" s="27" t="str">
        <v>NM</v>
      </c>
      <c r="C44" s="28">
        <f>SUM(Oct!C44, Nov!C44, Dec!C44)</f>
        <v>42362.999999999898</v>
      </c>
      <c r="D44" s="29">
        <f>SUM(Oct!D44, Nov!D44, Dec!D44)</f>
        <v>0</v>
      </c>
      <c r="E44" s="29">
        <f t="shared" si="6"/>
        <v>42362.999999999898</v>
      </c>
      <c r="F44" s="30" t="str">
        <f t="shared" si="7"/>
        <v/>
      </c>
      <c r="G44" s="31">
        <f>SUM(Oct!G44,Nov!G44,Dec!G44)</f>
        <v>29211.559999999998</v>
      </c>
      <c r="H44" s="31">
        <f>SUM(Oct!H44, Nov!H44, Dec!H44)</f>
        <v>13151.439999999904</v>
      </c>
      <c r="I44" s="32">
        <f t="shared" si="8"/>
        <v>0.45021354559632915</v>
      </c>
    </row>
    <row r="45" spans="1:9" ht="15.6">
      <c r="A45" s="48" t="str">
        <v>Deming - WWTP</v>
      </c>
      <c r="B45" s="34" t="str">
        <v>NM</v>
      </c>
      <c r="C45" s="35">
        <f>SUM(Oct!C45, Nov!C45, Dec!C45)</f>
        <v>112636</v>
      </c>
      <c r="D45" s="36">
        <f>SUM(Oct!D45, Nov!D45, Dec!D45)</f>
        <v>139497.76</v>
      </c>
      <c r="E45" s="36">
        <f t="shared" si="6"/>
        <v>-26861.760000000009</v>
      </c>
      <c r="F45" s="71">
        <f t="shared" si="7"/>
        <v>-0.19256051136591731</v>
      </c>
      <c r="G45" s="36">
        <f>SUM(Oct!G45,Nov!G45,Dec!G45)</f>
        <v>145955.79999999999</v>
      </c>
      <c r="H45" s="72">
        <f>SUM(Oct!H45, Nov!H45, Dec!H45)</f>
        <v>-33319.799999999996</v>
      </c>
      <c r="I45" s="71">
        <f t="shared" si="8"/>
        <v>-0.2282869197387154</v>
      </c>
    </row>
    <row r="46" spans="1:9" ht="15.6">
      <c r="A46" s="47" t="str">
        <v>Truth or Consequences - Walmart</v>
      </c>
      <c r="B46" s="27" t="str">
        <v>NM</v>
      </c>
      <c r="C46" s="28">
        <f>SUM(Oct!C46, Nov!C46, Dec!C46)</f>
        <v>215200</v>
      </c>
      <c r="D46" s="29">
        <f>SUM(Oct!D46, Nov!D46, Dec!D46)</f>
        <v>520695.19999999995</v>
      </c>
      <c r="E46" s="29">
        <f t="shared" si="6"/>
        <v>-305495.19999999995</v>
      </c>
      <c r="F46" s="30">
        <f t="shared" si="7"/>
        <v>-0.58670638792137897</v>
      </c>
      <c r="G46" s="31">
        <f>SUM(Oct!G46,Nov!G46,Dec!G46)</f>
        <v>248674.9</v>
      </c>
      <c r="H46" s="31">
        <f>SUM(Oct!H46, Nov!H46, Dec!H46)</f>
        <v>-33474.899999999994</v>
      </c>
      <c r="I46" s="32">
        <f t="shared" si="8"/>
        <v>-0.13461310329269258</v>
      </c>
    </row>
    <row r="47" spans="1:9" ht="15.6">
      <c r="A47" s="48" t="str">
        <v>CA: Stockton - SUSD - Merlo</v>
      </c>
      <c r="B47" s="34" t="str">
        <v>CA</v>
      </c>
      <c r="C47" s="35">
        <f>SUM(Oct!C47, Nov!C47, Dec!C47)</f>
        <v>0</v>
      </c>
      <c r="D47" s="36">
        <f>SUM(Oct!D47, Nov!D47, Dec!D47)</f>
        <v>13664.732</v>
      </c>
      <c r="E47" s="36">
        <f t="shared" si="6"/>
        <v>-13664.732</v>
      </c>
      <c r="F47" s="71">
        <f t="shared" si="7"/>
        <v>-1</v>
      </c>
      <c r="G47" s="36">
        <f>SUM(Oct!G47,Nov!G47,Dec!G47)</f>
        <v>17983.657999999999</v>
      </c>
      <c r="H47" s="72">
        <f>SUM(Oct!H47, Nov!H47, Dec!H47)</f>
        <v>-17983.657999999999</v>
      </c>
      <c r="I47" s="71">
        <f t="shared" si="8"/>
        <v>-1</v>
      </c>
    </row>
    <row r="48" spans="1:9" ht="15.6">
      <c r="A48" s="47" t="str">
        <v>Stockton Unified School Dist. - Bush Elementary</v>
      </c>
      <c r="B48" s="27" t="str">
        <v>CA</v>
      </c>
      <c r="C48" s="28">
        <f>SUM(Oct!C48, Nov!C48, Dec!C48)</f>
        <v>23521.25</v>
      </c>
      <c r="D48" s="29">
        <f>SUM(Oct!D48, Nov!D48, Dec!D48)</f>
        <v>31886.32</v>
      </c>
      <c r="E48" s="29">
        <f t="shared" si="6"/>
        <v>-8365.07</v>
      </c>
      <c r="F48" s="30">
        <f t="shared" si="7"/>
        <v>-0.26234040177731388</v>
      </c>
      <c r="G48" s="31">
        <f>SUM(Oct!G48,Nov!G48,Dec!G48)</f>
        <v>35046.300000000003</v>
      </c>
      <c r="H48" s="31">
        <f>SUM(Oct!H48, Nov!H48, Dec!H48)</f>
        <v>-11525.05</v>
      </c>
      <c r="I48" s="32">
        <f t="shared" si="8"/>
        <v>-0.32885211848326351</v>
      </c>
    </row>
    <row r="49" spans="1:9" ht="15.6">
      <c r="A49" s="48" t="str">
        <v>CA: Stockton - SUSD - Marshall JHS</v>
      </c>
      <c r="B49" s="34" t="str">
        <v>CA</v>
      </c>
      <c r="C49" s="35">
        <f>SUM(Oct!C49, Nov!C49, Dec!C49)</f>
        <v>3586.75</v>
      </c>
      <c r="D49" s="36">
        <f>SUM(Oct!D49, Nov!D49, Dec!D49)</f>
        <v>19361.095999999998</v>
      </c>
      <c r="E49" s="36">
        <f t="shared" si="6"/>
        <v>-15774.345999999998</v>
      </c>
      <c r="F49" s="71">
        <f t="shared" si="7"/>
        <v>-0.81474447520946125</v>
      </c>
      <c r="G49" s="36">
        <f>SUM(Oct!G49,Nov!G49,Dec!G49)</f>
        <v>23619.488000000001</v>
      </c>
      <c r="H49" s="72">
        <f>SUM(Oct!H49, Nov!H49, Dec!H49)</f>
        <v>-20032.738000000001</v>
      </c>
      <c r="I49" s="71">
        <f t="shared" si="8"/>
        <v>-0.84814446443546954</v>
      </c>
    </row>
    <row r="50" spans="1:9" ht="15.6">
      <c r="A50" s="47" t="str">
        <v>CA: Stockton - SUSD - Hong-Kingston ES</v>
      </c>
      <c r="B50" s="27" t="str">
        <v>CA</v>
      </c>
      <c r="C50" s="28">
        <f>SUM(Oct!C50, Nov!C50, Dec!C50)</f>
        <v>4392</v>
      </c>
      <c r="D50" s="29">
        <f>SUM(Oct!D50, Nov!D50, Dec!D50)</f>
        <v>33437.51</v>
      </c>
      <c r="E50" s="29">
        <f t="shared" si="6"/>
        <v>-29045.510000000002</v>
      </c>
      <c r="F50" s="30">
        <f t="shared" si="7"/>
        <v>-0.86865050657181109</v>
      </c>
      <c r="G50" s="31">
        <f>SUM(Oct!G50,Nov!G50,Dec!G50)</f>
        <v>38753.67</v>
      </c>
      <c r="H50" s="31">
        <f>SUM(Oct!H50, Nov!H50, Dec!H50)</f>
        <v>-34361.67</v>
      </c>
      <c r="I50" s="32">
        <f t="shared" si="8"/>
        <v>-0.8866687980777046</v>
      </c>
    </row>
    <row r="51" spans="1:9" ht="15.6">
      <c r="A51" s="48" t="str">
        <v>CA: Stockton - SUSD - Hamilton ES</v>
      </c>
      <c r="B51" s="34" t="str">
        <v>CA</v>
      </c>
      <c r="C51" s="35">
        <f>SUM(Oct!C51, Nov!C51, Dec!C51)</f>
        <v>5687.25</v>
      </c>
      <c r="D51" s="36">
        <f>SUM(Oct!D51, Nov!D51, Dec!D51)</f>
        <v>17194.786</v>
      </c>
      <c r="E51" s="36">
        <f t="shared" si="6"/>
        <v>-11507.536</v>
      </c>
      <c r="F51" s="71">
        <f t="shared" si="7"/>
        <v>-0.66924566551744236</v>
      </c>
      <c r="G51" s="36">
        <f>SUM(Oct!G51,Nov!G51,Dec!G51)</f>
        <v>20895.169999999998</v>
      </c>
      <c r="H51" s="72">
        <f>SUM(Oct!H51, Nov!H51, Dec!H51)</f>
        <v>-15207.92</v>
      </c>
      <c r="I51" s="71">
        <f t="shared" si="8"/>
        <v>-0.72781987416230642</v>
      </c>
    </row>
    <row r="52" spans="1:9" ht="15.6">
      <c r="A52" s="47" t="str">
        <v>CA: Stockton - SUSD - Franklin - North</v>
      </c>
      <c r="B52" s="27" t="str">
        <v>CA</v>
      </c>
      <c r="C52" s="28">
        <f>SUM(Oct!C52, Nov!C52, Dec!C52)</f>
        <v>24581.749999999098</v>
      </c>
      <c r="D52" s="29">
        <f>SUM(Oct!D52, Nov!D52, Dec!D52)</f>
        <v>97729.459999999992</v>
      </c>
      <c r="E52" s="29">
        <f t="shared" si="6"/>
        <v>-73147.710000000894</v>
      </c>
      <c r="F52" s="30">
        <f t="shared" si="7"/>
        <v>-0.74847144351356187</v>
      </c>
      <c r="G52" s="31">
        <f>SUM(Oct!G52,Nov!G52,Dec!G52)</f>
        <v>55109.270000000004</v>
      </c>
      <c r="H52" s="31">
        <f>SUM(Oct!H52, Nov!H52, Dec!H52)</f>
        <v>-30527.520000000899</v>
      </c>
      <c r="I52" s="32">
        <f t="shared" si="8"/>
        <v>-0.55394527998648679</v>
      </c>
    </row>
    <row r="53" spans="1:9" ht="15.6">
      <c r="A53" s="48" t="str">
        <v>Stockton Unified School Dist. - Fillmore Elementary</v>
      </c>
      <c r="B53" s="34" t="str">
        <v>CA</v>
      </c>
      <c r="C53" s="35">
        <f>SUM(Oct!C53, Nov!C53, Dec!C53)</f>
        <v>4347.875</v>
      </c>
      <c r="D53" s="36">
        <f>SUM(Oct!D53, Nov!D53, Dec!D53)</f>
        <v>14871.346</v>
      </c>
      <c r="E53" s="36">
        <f t="shared" si="6"/>
        <v>-10523.471</v>
      </c>
      <c r="F53" s="71">
        <f t="shared" si="7"/>
        <v>-0.70763406352054481</v>
      </c>
      <c r="G53" s="36">
        <f>SUM(Oct!G53,Nov!G53,Dec!G53)</f>
        <v>17607.599999999999</v>
      </c>
      <c r="H53" s="72">
        <f>SUM(Oct!H53, Nov!H53, Dec!H53)</f>
        <v>-13259.724999999999</v>
      </c>
      <c r="I53" s="71">
        <f t="shared" si="8"/>
        <v>-0.75306827733478721</v>
      </c>
    </row>
    <row r="54" spans="1:9" ht="15.6">
      <c r="A54" s="47" t="str">
        <v>CA: Stockton - SUSD - El Dorado ES</v>
      </c>
      <c r="B54" s="27" t="str">
        <v>CA</v>
      </c>
      <c r="C54" s="28">
        <f>SUM(Oct!C54, Nov!C54, Dec!C54)</f>
        <v>5012</v>
      </c>
      <c r="D54" s="29">
        <f>SUM(Oct!D54, Nov!D54, Dec!D54)</f>
        <v>18274.967000000001</v>
      </c>
      <c r="E54" s="29">
        <f t="shared" si="6"/>
        <v>-13262.967000000001</v>
      </c>
      <c r="F54" s="30">
        <f t="shared" si="7"/>
        <v>-0.72574505880092699</v>
      </c>
      <c r="G54" s="31">
        <f>SUM(Oct!G54,Nov!G54,Dec!G54)</f>
        <v>0</v>
      </c>
      <c r="H54" s="31">
        <f>SUM(Oct!H54, Nov!H54, Dec!H54)</f>
        <v>5012</v>
      </c>
      <c r="I54" s="32" t="str">
        <f t="shared" si="8"/>
        <v/>
      </c>
    </row>
    <row r="55" spans="1:9" ht="15.6">
      <c r="A55" s="48" t="str">
        <v>CA: Stockton - SUSD - Edison HS</v>
      </c>
      <c r="B55" s="34" t="str">
        <v>CA</v>
      </c>
      <c r="C55" s="35">
        <f>SUM(Oct!C55, Nov!C55, Dec!C55)</f>
        <v>30677</v>
      </c>
      <c r="D55" s="36">
        <f>SUM(Oct!D55, Nov!D55, Dec!D55)</f>
        <v>45810.78</v>
      </c>
      <c r="E55" s="36">
        <f t="shared" si="6"/>
        <v>-15133.779999999999</v>
      </c>
      <c r="F55" s="71">
        <f t="shared" si="7"/>
        <v>-0.33035412189008784</v>
      </c>
      <c r="G55" s="36">
        <f>SUM(Oct!G55,Nov!G55,Dec!G55)</f>
        <v>58248.820000000007</v>
      </c>
      <c r="H55" s="72">
        <f>SUM(Oct!H55, Nov!H55, Dec!H55)</f>
        <v>-27571.820000000003</v>
      </c>
      <c r="I55" s="71">
        <f t="shared" si="8"/>
        <v>-0.47334555446788451</v>
      </c>
    </row>
    <row r="56" spans="1:9" ht="15.6">
      <c r="A56" s="47" t="str">
        <v>CA: Stockton - SUSD - Chavez HS - Large</v>
      </c>
      <c r="B56" s="27" t="str">
        <v>CA</v>
      </c>
      <c r="C56" s="28">
        <f>SUM(Oct!C56, Nov!C56, Dec!C56)</f>
        <v>41542</v>
      </c>
      <c r="D56" s="29">
        <f>SUM(Oct!D56, Nov!D56, Dec!D56)</f>
        <v>114346.88999999998</v>
      </c>
      <c r="E56" s="29">
        <f t="shared" si="6"/>
        <v>-72804.889999999985</v>
      </c>
      <c r="F56" s="30">
        <f t="shared" si="7"/>
        <v>-0.63670196889482511</v>
      </c>
      <c r="G56" s="31">
        <f>SUM(Oct!G56,Nov!G56,Dec!G56)</f>
        <v>118873.37</v>
      </c>
      <c r="H56" s="31">
        <f>SUM(Oct!H56, Nov!H56, Dec!H56)</f>
        <v>-77331.37</v>
      </c>
      <c r="I56" s="32">
        <f t="shared" si="8"/>
        <v>-0.65053569188793081</v>
      </c>
    </row>
    <row r="57" spans="1:9" ht="15.6">
      <c r="A57" s="48" t="str">
        <v>CA: San Jose - GE Mobile Water</v>
      </c>
      <c r="B57" s="34" t="str">
        <v>CA</v>
      </c>
      <c r="C57" s="35">
        <f>SUM(Oct!C57, Nov!C57, Dec!C57)</f>
        <v>32320</v>
      </c>
      <c r="D57" s="36">
        <f>SUM(Oct!D57, Nov!D57, Dec!D57)</f>
        <v>34031.96</v>
      </c>
      <c r="E57" s="36">
        <f t="shared" ref="E57:E85" si="9">IF(AND(ISNUMBER(C57),ISNUMBER(D57)), C57-D57, "")</f>
        <v>-1711.9599999999991</v>
      </c>
      <c r="F57" s="71">
        <f t="shared" ref="F57:F85" si="10">IFERROR(E57/D57, "")</f>
        <v>-5.0304478496095997E-2</v>
      </c>
      <c r="G57" s="36">
        <f>SUM(Oct!G57,Nov!G57,Dec!G57)</f>
        <v>34403.270000000004</v>
      </c>
      <c r="H57" s="72">
        <f>SUM(Oct!H57, Nov!H57, Dec!H57)</f>
        <v>-2083.2700000000004</v>
      </c>
      <c r="I57" s="71">
        <f t="shared" ref="I57:I85" si="11">IFERROR(H57/G57, "")</f>
        <v>-6.0554418228267258E-2</v>
      </c>
    </row>
    <row r="58" spans="1:9" ht="15.6">
      <c r="A58" s="47" t="str">
        <v>CA: San Marcos - Vallecitos Water - Lift Station</v>
      </c>
      <c r="B58" s="27" t="str">
        <v>CA</v>
      </c>
      <c r="C58" s="28">
        <f>SUM(Oct!C58, Nov!C58, Dec!C58)</f>
        <v>48269.5</v>
      </c>
      <c r="D58" s="29">
        <f>SUM(Oct!D58, Nov!D58, Dec!D58)</f>
        <v>51667.199999999997</v>
      </c>
      <c r="E58" s="29">
        <f t="shared" si="9"/>
        <v>-3397.6999999999971</v>
      </c>
      <c r="F58" s="30">
        <f t="shared" si="10"/>
        <v>-6.5761256657995731E-2</v>
      </c>
      <c r="G58" s="31">
        <f>SUM(Oct!G58,Nov!G58,Dec!G58)</f>
        <v>50093.630000000005</v>
      </c>
      <c r="H58" s="31">
        <f>SUM(Oct!H58, Nov!H58, Dec!H58)</f>
        <v>-1824.130000000001</v>
      </c>
      <c r="I58" s="32">
        <f t="shared" si="11"/>
        <v>-3.6414410375131545E-2</v>
      </c>
    </row>
    <row r="59" spans="1:9" ht="15.6">
      <c r="A59" s="48" t="str">
        <v>CA: San Marcos - Vallecitos Water - Twin Oaks Reservoir</v>
      </c>
      <c r="B59" s="34" t="str">
        <v>CA</v>
      </c>
      <c r="C59" s="35">
        <f>SUM(Oct!C59, Nov!C59, Dec!C59)</f>
        <v>432188</v>
      </c>
      <c r="D59" s="36">
        <f>SUM(Oct!D59, Nov!D59, Dec!D59)</f>
        <v>576036.69999999995</v>
      </c>
      <c r="E59" s="36">
        <f t="shared" si="9"/>
        <v>-143848.69999999995</v>
      </c>
      <c r="F59" s="71">
        <f t="shared" si="10"/>
        <v>-0.24972141531954467</v>
      </c>
      <c r="G59" s="36">
        <f>SUM(Oct!G59,Nov!G59,Dec!G59)</f>
        <v>360684</v>
      </c>
      <c r="H59" s="72">
        <f>SUM(Oct!H59, Nov!H59, Dec!H59)</f>
        <v>71504</v>
      </c>
      <c r="I59" s="71">
        <f t="shared" si="11"/>
        <v>0.19824555566645596</v>
      </c>
    </row>
    <row r="60" spans="1:9" ht="15.6">
      <c r="A60" s="47" t="str">
        <v>CA: Stockton - SUSD - Wilhelmina Henry ES</v>
      </c>
      <c r="B60" s="27" t="str">
        <v>CA</v>
      </c>
      <c r="C60" s="28">
        <f>SUM(Oct!C60, Nov!C60, Dec!C60)</f>
        <v>7810.25</v>
      </c>
      <c r="D60" s="29">
        <f>SUM(Oct!D60, Nov!D60, Dec!D60)</f>
        <v>43527.119999999995</v>
      </c>
      <c r="E60" s="29">
        <f t="shared" si="9"/>
        <v>-35716.869999999995</v>
      </c>
      <c r="F60" s="30">
        <f t="shared" si="10"/>
        <v>-0.82056589087447085</v>
      </c>
      <c r="G60" s="31">
        <f>SUM(Oct!G60,Nov!G60,Dec!G60)</f>
        <v>38526.559999999998</v>
      </c>
      <c r="H60" s="31">
        <f>SUM(Oct!H60, Nov!H60, Dec!H60)</f>
        <v>-30716.31</v>
      </c>
      <c r="I60" s="32">
        <f t="shared" si="11"/>
        <v>-0.79727621671906346</v>
      </c>
    </row>
    <row r="61" spans="1:9" ht="15.6">
      <c r="A61" s="48" t="str">
        <v>Stockton Unified School Dist. - Franklin (North)</v>
      </c>
      <c r="B61" s="34" t="str">
        <v>CA</v>
      </c>
      <c r="C61" s="35">
        <f>SUM(Oct!C61, Nov!C61, Dec!C61)</f>
        <v>24581.7</v>
      </c>
      <c r="D61" s="36">
        <f>SUM(Oct!D61, Nov!D61, Dec!D61)</f>
        <v>97729.45</v>
      </c>
      <c r="E61" s="36">
        <f t="shared" si="9"/>
        <v>-73147.75</v>
      </c>
      <c r="F61" s="71">
        <f t="shared" si="10"/>
        <v>-0.74847192939282892</v>
      </c>
      <c r="G61" s="36">
        <f>SUM(Oct!G61,Nov!G61,Dec!G61)</f>
        <v>55314.619999999995</v>
      </c>
      <c r="H61" s="72">
        <f>SUM(Oct!H61, Nov!H61, Dec!H61)</f>
        <v>-30732.92</v>
      </c>
      <c r="I61" s="71">
        <f t="shared" si="11"/>
        <v>-0.55560211748720323</v>
      </c>
    </row>
    <row r="62" spans="1:9" ht="15.6">
      <c r="A62" s="47" t="str">
        <v>CA: Stockton - SUSD - Franklin - South</v>
      </c>
      <c r="B62" s="27" t="str">
        <v>CA</v>
      </c>
      <c r="C62" s="28">
        <f>SUM(Oct!C62, Nov!C62, Dec!C62)</f>
        <v>36235</v>
      </c>
      <c r="D62" s="29">
        <f>SUM(Oct!D62, Nov!D62, Dec!D62)</f>
        <v>78569.259999999995</v>
      </c>
      <c r="E62" s="29">
        <f t="shared" si="9"/>
        <v>-42334.259999999995</v>
      </c>
      <c r="F62" s="30">
        <f t="shared" si="10"/>
        <v>-0.53881454400868734</v>
      </c>
      <c r="G62" s="31">
        <f>SUM(Oct!G62,Nov!G62,Dec!G62)</f>
        <v>89928.65</v>
      </c>
      <c r="H62" s="31">
        <f>SUM(Oct!H62, Nov!H62, Dec!H62)</f>
        <v>-53693.649999999994</v>
      </c>
      <c r="I62" s="32">
        <f t="shared" si="11"/>
        <v>-0.59706945450643367</v>
      </c>
    </row>
    <row r="63" spans="1:9" ht="15.6">
      <c r="A63" s="48" t="str">
        <v>CA: Stockton - SUSD - Chavez HS - Small</v>
      </c>
      <c r="B63" s="34" t="str">
        <v>CA</v>
      </c>
      <c r="C63" s="35">
        <f>SUM(Oct!C63, Nov!C63, Dec!C63)</f>
        <v>24373.25</v>
      </c>
      <c r="D63" s="36">
        <f>SUM(Oct!D63, Nov!D63, Dec!D63)</f>
        <v>24711.852999999999</v>
      </c>
      <c r="E63" s="36">
        <f t="shared" si="9"/>
        <v>-338.60299999999916</v>
      </c>
      <c r="F63" s="71">
        <f t="shared" si="10"/>
        <v>-1.3702048162879536E-2</v>
      </c>
      <c r="G63" s="36">
        <f>SUM(Oct!G63,Nov!G63,Dec!G63)</f>
        <v>33570.36</v>
      </c>
      <c r="H63" s="72">
        <f>SUM(Oct!H63, Nov!H63, Dec!H63)</f>
        <v>-9197.1099999999988</v>
      </c>
      <c r="I63" s="71">
        <f t="shared" si="11"/>
        <v>-0.27396518833876071</v>
      </c>
    </row>
    <row r="64" spans="1:9" ht="15.6">
      <c r="A64" s="47" t="str">
        <v>CA: Stockton - SUSD - Facilities</v>
      </c>
      <c r="B64" s="27" t="str">
        <v>CA</v>
      </c>
      <c r="C64" s="28">
        <f>SUM(Oct!C64, Nov!C64, Dec!C64)</f>
        <v>17694.5</v>
      </c>
      <c r="D64" s="29">
        <f>SUM(Oct!D64, Nov!D64, Dec!D64)</f>
        <v>46283.83</v>
      </c>
      <c r="E64" s="29">
        <f t="shared" si="9"/>
        <v>-28589.33</v>
      </c>
      <c r="F64" s="30">
        <f t="shared" si="10"/>
        <v>-0.61769585619859035</v>
      </c>
      <c r="G64" s="31">
        <f>SUM(Oct!G64,Nov!G64,Dec!G64)</f>
        <v>58585.22</v>
      </c>
      <c r="H64" s="31">
        <f>SUM(Oct!H64, Nov!H64, Dec!H64)</f>
        <v>-40890.720000000001</v>
      </c>
      <c r="I64" s="32">
        <f t="shared" si="11"/>
        <v>-0.69796989752705552</v>
      </c>
    </row>
    <row r="65" spans="1:9" ht="15.6">
      <c r="A65" s="48" t="str">
        <v>CA: Stockton - SUSD - Harrison</v>
      </c>
      <c r="B65" s="34" t="str">
        <v>CA</v>
      </c>
      <c r="C65" s="35">
        <f>SUM(Oct!C65, Nov!C65, Dec!C65)</f>
        <v>12549</v>
      </c>
      <c r="D65" s="36">
        <f>SUM(Oct!D65, Nov!D65, Dec!D65)</f>
        <v>17590.503000000001</v>
      </c>
      <c r="E65" s="36">
        <f t="shared" si="9"/>
        <v>-5041.5030000000006</v>
      </c>
      <c r="F65" s="71">
        <f t="shared" si="10"/>
        <v>-0.28660368609129599</v>
      </c>
      <c r="G65" s="36">
        <f>SUM(Oct!G65,Nov!G65,Dec!G65)</f>
        <v>20665.886999999999</v>
      </c>
      <c r="H65" s="72">
        <f>SUM(Oct!H65, Nov!H65, Dec!H65)</f>
        <v>-8116.8869999999988</v>
      </c>
      <c r="I65" s="71">
        <f t="shared" si="11"/>
        <v>-0.39276741424164369</v>
      </c>
    </row>
    <row r="66" spans="1:9" ht="15.6">
      <c r="A66" s="47" t="str">
        <v>CA: Stockton - SUSD - Commodore Skills School</v>
      </c>
      <c r="B66" s="27" t="str">
        <v>CA</v>
      </c>
      <c r="C66" s="28">
        <f>SUM(Oct!C66, Nov!C66, Dec!C66)</f>
        <v>10824.5</v>
      </c>
      <c r="D66" s="29">
        <f>SUM(Oct!D66, Nov!D66, Dec!D66)</f>
        <v>37700.18</v>
      </c>
      <c r="E66" s="29">
        <f t="shared" si="9"/>
        <v>-26875.68</v>
      </c>
      <c r="F66" s="30">
        <f t="shared" si="10"/>
        <v>-0.71287935495268195</v>
      </c>
      <c r="G66" s="31">
        <f>SUM(Oct!G66,Nov!G66,Dec!G66)</f>
        <v>46400.899999999994</v>
      </c>
      <c r="H66" s="31">
        <f>SUM(Oct!H66, Nov!H66, Dec!H66)</f>
        <v>-35576.399999999994</v>
      </c>
      <c r="I66" s="32">
        <f t="shared" si="11"/>
        <v>-0.76671788693753784</v>
      </c>
    </row>
    <row r="67" spans="1:9" ht="15.6">
      <c r="A67" s="48" t="str">
        <v>CA: Stockton - SUSD - Nightingale ES</v>
      </c>
      <c r="B67" s="34" t="str">
        <v>CA</v>
      </c>
      <c r="C67" s="35">
        <f>SUM(Oct!C67, Nov!C67, Dec!C67)</f>
        <v>17710</v>
      </c>
      <c r="D67" s="36">
        <f>SUM(Oct!D67, Nov!D67, Dec!D67)</f>
        <v>18617.749</v>
      </c>
      <c r="E67" s="36">
        <f t="shared" si="9"/>
        <v>-907.7489999999998</v>
      </c>
      <c r="F67" s="71">
        <f t="shared" si="10"/>
        <v>-4.8757183266355121E-2</v>
      </c>
      <c r="G67" s="36">
        <f>SUM(Oct!G67,Nov!G67,Dec!G67)</f>
        <v>21497.847999999998</v>
      </c>
      <c r="H67" s="72">
        <f>SUM(Oct!H67, Nov!H67, Dec!H67)</f>
        <v>-3787.848</v>
      </c>
      <c r="I67" s="71">
        <f t="shared" si="11"/>
        <v>-0.17619661279584822</v>
      </c>
    </row>
    <row r="68" spans="1:9" ht="15.6">
      <c r="A68" s="47" t="str">
        <v>CA: Stockton - SUSD - Weber Institute</v>
      </c>
      <c r="B68" s="27" t="str">
        <v>CA</v>
      </c>
      <c r="C68" s="28">
        <f>SUM(Oct!C68, Nov!C68, Dec!C68)</f>
        <v>8325.25</v>
      </c>
      <c r="D68" s="29">
        <f>SUM(Oct!D68, Nov!D68, Dec!D68)</f>
        <v>82901.19</v>
      </c>
      <c r="E68" s="29">
        <f t="shared" si="9"/>
        <v>-74575.94</v>
      </c>
      <c r="F68" s="30">
        <f t="shared" si="10"/>
        <v>-0.89957623044976798</v>
      </c>
      <c r="G68" s="31">
        <f>SUM(Oct!G68,Nov!G68,Dec!G68)</f>
        <v>44944.92</v>
      </c>
      <c r="H68" s="31">
        <f>SUM(Oct!H68, Nov!H68, Dec!H68)</f>
        <v>-36619.67</v>
      </c>
      <c r="I68" s="32">
        <f t="shared" si="11"/>
        <v>-0.81476772013388832</v>
      </c>
    </row>
    <row r="69" spans="1:9" ht="15.6">
      <c r="A69" s="48" t="str">
        <v>CA: Stockton - SUSD - Warehouse</v>
      </c>
      <c r="B69" s="34" t="str">
        <v>CA</v>
      </c>
      <c r="C69" s="35">
        <f>SUM(Oct!C69, Nov!C69, Dec!C69)</f>
        <v>13087.5</v>
      </c>
      <c r="D69" s="36">
        <f>SUM(Oct!D69, Nov!D69, Dec!D69)</f>
        <v>30635.11</v>
      </c>
      <c r="E69" s="36">
        <f t="shared" si="9"/>
        <v>-17547.61</v>
      </c>
      <c r="F69" s="71">
        <f t="shared" si="10"/>
        <v>-0.5727940914852272</v>
      </c>
      <c r="G69" s="36">
        <f>SUM(Oct!G69,Nov!G69,Dec!G69)</f>
        <v>40979.47</v>
      </c>
      <c r="H69" s="72">
        <f>SUM(Oct!H69, Nov!H69, Dec!H69)</f>
        <v>-27891.97</v>
      </c>
      <c r="I69" s="71">
        <f t="shared" si="11"/>
        <v>-0.68063276562630015</v>
      </c>
    </row>
    <row r="70" spans="1:9" ht="15.6">
      <c r="A70" s="47" t="str">
        <v>CA: Stockton - SUSD - Walton Special Center</v>
      </c>
      <c r="B70" s="27" t="str">
        <v>CA</v>
      </c>
      <c r="C70" s="28">
        <f>SUM(Oct!C70, Nov!C70, Dec!C70)</f>
        <v>14568</v>
      </c>
      <c r="D70" s="29">
        <f>SUM(Oct!D70, Nov!D70, Dec!D70)</f>
        <v>24991.186000000002</v>
      </c>
      <c r="E70" s="29">
        <f t="shared" si="9"/>
        <v>-10423.186000000002</v>
      </c>
      <c r="F70" s="30">
        <f t="shared" si="10"/>
        <v>-0.4170744837800015</v>
      </c>
      <c r="G70" s="31">
        <f>SUM(Oct!G70,Nov!G70,Dec!G70)</f>
        <v>29243.800000000003</v>
      </c>
      <c r="H70" s="31">
        <f>SUM(Oct!H70, Nov!H70, Dec!H70)</f>
        <v>-14675.800000000001</v>
      </c>
      <c r="I70" s="32">
        <f t="shared" si="11"/>
        <v>-0.50184312572237533</v>
      </c>
    </row>
    <row r="71" spans="1:9" ht="15.6">
      <c r="A71" s="48" t="str">
        <v>CA: Stockton - SUSD - Stagg HS</v>
      </c>
      <c r="B71" s="34" t="str">
        <v>CA</v>
      </c>
      <c r="C71" s="35">
        <f>SUM(Oct!C71, Nov!C71, Dec!C71)</f>
        <v>84633</v>
      </c>
      <c r="D71" s="36">
        <f>SUM(Oct!D71, Nov!D71, Dec!D71)</f>
        <v>101816.23</v>
      </c>
      <c r="E71" s="36">
        <f t="shared" si="9"/>
        <v>-17183.229999999996</v>
      </c>
      <c r="F71" s="71">
        <f t="shared" si="10"/>
        <v>-0.16876710127648603</v>
      </c>
      <c r="G71" s="36">
        <f>SUM(Oct!G71,Nov!G71,Dec!G71)</f>
        <v>117312.19</v>
      </c>
      <c r="H71" s="72">
        <f>SUM(Oct!H71, Nov!H71, Dec!H71)</f>
        <v>-32679.189999999995</v>
      </c>
      <c r="I71" s="71">
        <f t="shared" si="11"/>
        <v>-0.27856602114409418</v>
      </c>
    </row>
    <row r="72" spans="1:9" ht="15.6">
      <c r="A72" s="47" t="str">
        <v>CA: Stockton - SUSD - School for Adults</v>
      </c>
      <c r="B72" s="27" t="str">
        <v>CA</v>
      </c>
      <c r="C72" s="28">
        <f>SUM(Oct!C72, Nov!C72, Dec!C72)</f>
        <v>4509.875</v>
      </c>
      <c r="D72" s="29">
        <f>SUM(Oct!D72, Nov!D72, Dec!D72)</f>
        <v>20887.351000000002</v>
      </c>
      <c r="E72" s="29">
        <f t="shared" si="9"/>
        <v>-16377.476000000002</v>
      </c>
      <c r="F72" s="30">
        <f t="shared" si="10"/>
        <v>-0.78408583261707054</v>
      </c>
      <c r="G72" s="31">
        <f>SUM(Oct!G72,Nov!G72,Dec!G72)</f>
        <v>25623.96</v>
      </c>
      <c r="H72" s="31">
        <f>SUM(Oct!H72, Nov!H72, Dec!H72)</f>
        <v>-21114.084999999999</v>
      </c>
      <c r="I72" s="32">
        <f t="shared" si="11"/>
        <v>-0.82399773493246165</v>
      </c>
    </row>
    <row r="73" spans="1:9" ht="15.6">
      <c r="A73" s="48" t="str">
        <v>CA: Stockton - SUSD - San Joaquin</v>
      </c>
      <c r="B73" s="34" t="str">
        <v>CA</v>
      </c>
      <c r="C73" s="35">
        <f>SUM(Oct!C73, Nov!C73, Dec!C73)</f>
        <v>9918.375</v>
      </c>
      <c r="D73" s="36">
        <f>SUM(Oct!D73, Nov!D73, Dec!D73)</f>
        <v>17788.14</v>
      </c>
      <c r="E73" s="36">
        <f t="shared" si="9"/>
        <v>-7869.7649999999994</v>
      </c>
      <c r="F73" s="71">
        <f t="shared" si="10"/>
        <v>-0.44241640778631153</v>
      </c>
      <c r="G73" s="36">
        <f>SUM(Oct!G73,Nov!G73,Dec!G73)</f>
        <v>22640.652000000002</v>
      </c>
      <c r="H73" s="72">
        <f>SUM(Oct!H73, Nov!H73, Dec!H73)</f>
        <v>-12722.277</v>
      </c>
      <c r="I73" s="71">
        <f t="shared" si="11"/>
        <v>-0.561921847480364</v>
      </c>
    </row>
    <row r="74" spans="1:9" ht="15.6">
      <c r="A74" s="47" t="str">
        <v>CA: Stockton - SUSD - Rio Calaveras</v>
      </c>
      <c r="B74" s="27" t="str">
        <v>CA</v>
      </c>
      <c r="C74" s="28">
        <f>SUM(Oct!C74, Nov!C74, Dec!C74)</f>
        <v>0</v>
      </c>
      <c r="D74" s="29">
        <f>SUM(Oct!D74, Nov!D74, Dec!D74)</f>
        <v>0</v>
      </c>
      <c r="E74" s="29">
        <f t="shared" si="9"/>
        <v>0</v>
      </c>
      <c r="F74" s="30" t="str">
        <f t="shared" si="10"/>
        <v/>
      </c>
      <c r="G74" s="31">
        <f>SUM(Oct!G74,Nov!G74,Dec!G74)</f>
        <v>0</v>
      </c>
      <c r="H74" s="31">
        <f>SUM(Oct!H74, Nov!H74, Dec!H74)</f>
        <v>0</v>
      </c>
      <c r="I74" s="32" t="str">
        <f t="shared" si="11"/>
        <v/>
      </c>
    </row>
    <row r="75" spans="1:9" ht="15.6">
      <c r="A75" s="48" t="str">
        <v>CA: Stockton - SUSD - Peyton</v>
      </c>
      <c r="B75" s="34" t="str">
        <v>CA</v>
      </c>
      <c r="C75" s="35">
        <f>SUM(Oct!C75, Nov!C75, Dec!C75)</f>
        <v>42220</v>
      </c>
      <c r="D75" s="36">
        <f>SUM(Oct!D75, Nov!D75, Dec!D75)</f>
        <v>49503.869999999995</v>
      </c>
      <c r="E75" s="36">
        <f t="shared" si="9"/>
        <v>-7283.8699999999953</v>
      </c>
      <c r="F75" s="71">
        <f t="shared" si="10"/>
        <v>-0.14713738542057411</v>
      </c>
      <c r="G75" s="36">
        <f>SUM(Oct!G75,Nov!G75,Dec!G75)</f>
        <v>50836.26</v>
      </c>
      <c r="H75" s="72">
        <f>SUM(Oct!H75, Nov!H75, Dec!H75)</f>
        <v>-8616.260000000002</v>
      </c>
      <c r="I75" s="71">
        <f t="shared" si="11"/>
        <v>-0.16949043851770373</v>
      </c>
    </row>
    <row r="76" spans="1:9" ht="15.6">
      <c r="A76" s="47" t="str">
        <v>TX: Barnhart - 42917 Ranch RD 2469</v>
      </c>
      <c r="B76" s="27" t="str">
        <v>TX</v>
      </c>
      <c r="C76" s="28">
        <f>SUM(Oct!C76, Nov!C76, Dec!C76)</f>
        <v>397460</v>
      </c>
      <c r="D76" s="29">
        <f>SUM(Oct!D76, Nov!D76, Dec!D76)</f>
        <v>422992.69999999995</v>
      </c>
      <c r="E76" s="29">
        <f t="shared" si="9"/>
        <v>-25532.699999999953</v>
      </c>
      <c r="F76" s="30">
        <f t="shared" si="10"/>
        <v>-6.0362034616672951E-2</v>
      </c>
      <c r="G76" s="31">
        <f>SUM(Oct!G76,Nov!G76,Dec!G76)</f>
        <v>373883.1</v>
      </c>
      <c r="H76" s="31">
        <f>SUM(Oct!H76, Nov!H76, Dec!H76)</f>
        <v>23576.899999999994</v>
      </c>
      <c r="I76" s="32">
        <f t="shared" si="11"/>
        <v>6.3059549896745795E-2</v>
      </c>
    </row>
    <row r="77" spans="1:9" ht="15.6">
      <c r="A77" s="48" t="str">
        <v>AZ: San Manuel - Senior &amp; Junior HS</v>
      </c>
      <c r="B77" s="34" t="str">
        <v>AZ</v>
      </c>
      <c r="C77" s="35">
        <f>SUM(Oct!C77, Nov!C77, Dec!C77)</f>
        <v>69583</v>
      </c>
      <c r="D77" s="36">
        <f>SUM(Oct!D77, Nov!D77, Dec!D77)</f>
        <v>0</v>
      </c>
      <c r="E77" s="36">
        <f t="shared" si="9"/>
        <v>69583</v>
      </c>
      <c r="F77" s="71" t="str">
        <f t="shared" si="10"/>
        <v/>
      </c>
      <c r="G77" s="36">
        <f>SUM(Oct!G77,Nov!G77,Dec!G77)</f>
        <v>62643</v>
      </c>
      <c r="H77" s="72">
        <f>SUM(Oct!H77, Nov!H77, Dec!H77)</f>
        <v>6940</v>
      </c>
      <c r="I77" s="71">
        <f t="shared" si="11"/>
        <v>0.11078652044123047</v>
      </c>
    </row>
    <row r="78" spans="1:9" ht="15.6">
      <c r="A78" s="47" t="str">
        <v>AZ: Sierra Vista - Colonel Smith MS</v>
      </c>
      <c r="B78" s="27" t="str">
        <v>AZ</v>
      </c>
      <c r="C78" s="28">
        <f>SUM(Oct!C78, Nov!C78, Dec!C78)</f>
        <v>60900</v>
      </c>
      <c r="D78" s="29">
        <f>SUM(Oct!D78, Nov!D78, Dec!D78)</f>
        <v>115011.35</v>
      </c>
      <c r="E78" s="29">
        <f t="shared" si="9"/>
        <v>-54111.350000000006</v>
      </c>
      <c r="F78" s="30">
        <f t="shared" si="10"/>
        <v>-0.47048704323529811</v>
      </c>
      <c r="G78" s="31">
        <f>SUM(Oct!G78,Nov!G78,Dec!G78)</f>
        <v>88211.31</v>
      </c>
      <c r="H78" s="31">
        <f>SUM(Oct!H78, Nov!H78, Dec!H78)</f>
        <v>-27311.309999999998</v>
      </c>
      <c r="I78" s="32">
        <f t="shared" si="11"/>
        <v>-0.30961233882593964</v>
      </c>
    </row>
    <row r="79" spans="1:9" ht="15.6">
      <c r="A79" s="48" t="str">
        <v>AZ: Sierra Vista - Colonel Johnston ES</v>
      </c>
      <c r="B79" s="34" t="str">
        <v>AZ</v>
      </c>
      <c r="C79" s="35">
        <f>SUM(Oct!C79, Nov!C79, Dec!C79)</f>
        <v>21230</v>
      </c>
      <c r="D79" s="36">
        <f>SUM(Oct!D79, Nov!D79, Dec!D79)</f>
        <v>39042.020000000004</v>
      </c>
      <c r="E79" s="36">
        <f t="shared" si="9"/>
        <v>-17812.020000000004</v>
      </c>
      <c r="F79" s="71">
        <f t="shared" si="10"/>
        <v>-0.45622690629224621</v>
      </c>
      <c r="G79" s="36">
        <f>SUM(Oct!G79,Nov!G79,Dec!G79)</f>
        <v>29866.78</v>
      </c>
      <c r="H79" s="72">
        <f>SUM(Oct!H79, Nov!H79, Dec!H79)</f>
        <v>-8636.7800000000007</v>
      </c>
      <c r="I79" s="71">
        <f t="shared" si="11"/>
        <v>-0.2891768044630188</v>
      </c>
    </row>
    <row r="80" spans="1:9" ht="15.6">
      <c r="A80" s="47" t="str">
        <v>NH: Dover - Dover HS</v>
      </c>
      <c r="B80" s="27" t="str">
        <v>NH</v>
      </c>
      <c r="C80" s="28">
        <f>SUM(Oct!C80, Nov!C80, Dec!C80)</f>
        <v>107985</v>
      </c>
      <c r="D80" s="29">
        <f>SUM(Oct!D80, Nov!D80, Dec!D80)</f>
        <v>141748.32999999999</v>
      </c>
      <c r="E80" s="29">
        <f t="shared" si="9"/>
        <v>-33763.329999999987</v>
      </c>
      <c r="F80" s="30">
        <f t="shared" si="10"/>
        <v>-0.23819208310955051</v>
      </c>
      <c r="G80" s="31">
        <f>SUM(Oct!G80,Nov!G80,Dec!G80)</f>
        <v>118360.48</v>
      </c>
      <c r="H80" s="31">
        <f>SUM(Oct!H80, Nov!H80, Dec!H80)</f>
        <v>-10375.479999999996</v>
      </c>
      <c r="I80" s="32">
        <f t="shared" si="11"/>
        <v>-8.7660002730641146E-2</v>
      </c>
    </row>
    <row r="81" spans="1:9" ht="15.6">
      <c r="A81" s="48" t="str">
        <v>MA: Somerville - 30 Inner Belt Rd</v>
      </c>
      <c r="B81" s="34" t="str">
        <v>MA</v>
      </c>
      <c r="C81" s="35">
        <f>SUM(Oct!C81, Nov!C81, Dec!C81)</f>
        <v>95295</v>
      </c>
      <c r="D81" s="36">
        <f>SUM(Oct!D81, Nov!D81, Dec!D81)</f>
        <v>97046.44</v>
      </c>
      <c r="E81" s="36">
        <f t="shared" si="9"/>
        <v>-1751.4400000000023</v>
      </c>
      <c r="F81" s="71">
        <f t="shared" si="10"/>
        <v>-1.8047442028785419E-2</v>
      </c>
      <c r="G81" s="36">
        <f>SUM(Oct!G81,Nov!G81,Dec!G81)</f>
        <v>183142.1</v>
      </c>
      <c r="H81" s="72">
        <f>SUM(Oct!H81, Nov!H81, Dec!H81)</f>
        <v>-87847.1</v>
      </c>
      <c r="I81" s="71">
        <f t="shared" si="11"/>
        <v>-0.47966633559405514</v>
      </c>
    </row>
    <row r="82" spans="1:9" ht="15.6">
      <c r="A82" s="47" t="str">
        <v>MA: Boxborough - 1414 Massachusetts Ave</v>
      </c>
      <c r="B82" s="27" t="str">
        <v>MA</v>
      </c>
      <c r="C82" s="28">
        <f>SUM(Oct!C82, Nov!C82, Dec!C82)</f>
        <v>868441.28574845707</v>
      </c>
      <c r="D82" s="29">
        <f>SUM(Oct!D82, Nov!D82, Dec!D82)</f>
        <v>511531.5</v>
      </c>
      <c r="E82" s="29">
        <f t="shared" si="9"/>
        <v>356909.78574845707</v>
      </c>
      <c r="F82" s="30">
        <f t="shared" si="10"/>
        <v>0.69772787354924781</v>
      </c>
      <c r="G82" s="31">
        <f>SUM(Oct!G82,Nov!G82,Dec!G82)</f>
        <v>951200</v>
      </c>
      <c r="H82" s="31">
        <f>SUM(Oct!H82, Nov!H82, Dec!H82)</f>
        <v>-82758.71425154293</v>
      </c>
      <c r="I82" s="32">
        <f t="shared" si="11"/>
        <v>-8.7004535588249499E-2</v>
      </c>
    </row>
    <row r="83" spans="1:9" ht="15.6">
      <c r="A83" s="48" t="str">
        <v>NY: Amsterdam - 153 NY Route 67</v>
      </c>
      <c r="B83" s="34" t="str">
        <v>NY</v>
      </c>
      <c r="C83" s="35">
        <f>SUM(Oct!C83, Nov!C83, Dec!C83)</f>
        <v>418572</v>
      </c>
      <c r="D83" s="36">
        <f>SUM(Oct!D83, Nov!D83, Dec!D83)</f>
        <v>367474.4</v>
      </c>
      <c r="E83" s="36">
        <f t="shared" si="9"/>
        <v>51097.599999999977</v>
      </c>
      <c r="F83" s="71">
        <f t="shared" si="10"/>
        <v>0.13905077469342075</v>
      </c>
      <c r="G83" s="36">
        <f>SUM(Oct!G83,Nov!G83,Dec!G83)</f>
        <v>442804.3</v>
      </c>
      <c r="H83" s="72">
        <f>SUM(Oct!H83, Nov!H83, Dec!H83)</f>
        <v>-24232.299999999988</v>
      </c>
      <c r="I83" s="71">
        <f t="shared" si="11"/>
        <v>-5.4724626657871187E-2</v>
      </c>
    </row>
    <row r="84" spans="1:9" ht="15.6">
      <c r="A84" s="47" t="str">
        <v>CA: San Jose - GE Mobile Water</v>
      </c>
      <c r="B84" s="27" t="str">
        <v>CA</v>
      </c>
      <c r="C84" s="28">
        <f>SUM(Oct!C84, Nov!C84, Dec!C84)</f>
        <v>32320</v>
      </c>
      <c r="D84" s="29">
        <f>SUM(Oct!D84, Nov!D84, Dec!D84)</f>
        <v>34031.96</v>
      </c>
      <c r="E84" s="29">
        <f t="shared" si="9"/>
        <v>-1711.9599999999991</v>
      </c>
      <c r="F84" s="30">
        <f t="shared" si="10"/>
        <v>-5.0304478496095997E-2</v>
      </c>
      <c r="G84" s="31">
        <f>SUM(Oct!G84,Nov!G84,Dec!G84)</f>
        <v>34403.270000000004</v>
      </c>
      <c r="H84" s="31">
        <f>SUM(Oct!H84, Nov!H84, Dec!H84)</f>
        <v>-2083.2700000000004</v>
      </c>
      <c r="I84" s="32">
        <f t="shared" si="11"/>
        <v>-6.0554418228267258E-2</v>
      </c>
    </row>
    <row r="85" spans="1:9" ht="15.6">
      <c r="A85" s="48" t="str">
        <v>NY: Rome - 7776 Tannery RD</v>
      </c>
      <c r="B85" s="34" t="str">
        <v>NY</v>
      </c>
      <c r="C85" s="35">
        <f>SUM(Oct!C85, Nov!C85, Dec!C85)</f>
        <v>381825.31543624401</v>
      </c>
      <c r="D85" s="36">
        <f>SUM(Oct!D85, Nov!D85, Dec!D85)</f>
        <v>430882</v>
      </c>
      <c r="E85" s="36">
        <f t="shared" si="9"/>
        <v>-49056.684563755989</v>
      </c>
      <c r="F85" s="71">
        <f t="shared" si="10"/>
        <v>-0.11385178439516153</v>
      </c>
      <c r="G85" s="36">
        <f>SUM(Oct!G85,Nov!G85,Dec!G85)</f>
        <v>424080.1</v>
      </c>
      <c r="H85" s="72">
        <f>SUM(Oct!H85, Nov!H85, Dec!H85)</f>
        <v>-42254.784563755966</v>
      </c>
      <c r="I85" s="71">
        <f t="shared" si="11"/>
        <v>-9.9638687511524285E-2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85 I4:I8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zoomScale="85" zoomScaleNormal="85" workbookViewId="0">
      <pane xSplit="2" ySplit="3" topLeftCell="G20" activePane="bottomRight" state="frozen"/>
      <selection pane="bottomRight" activeCell="G31" sqref="G31:G32"/>
      <selection pane="bottomLeft" activeCell="E11" sqref="E11"/>
      <selection pane="topRight" activeCell="E11" sqref="E11"/>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119" t="str" cm="1">
        <f t="array" ref="A1">portfolio</f>
        <v>Clean Capital</v>
      </c>
      <c r="B1" s="119"/>
      <c r="C1" s="119"/>
      <c r="D1" s="120" t="s">
        <v>18</v>
      </c>
      <c r="E1" s="120"/>
      <c r="F1" s="120"/>
      <c r="G1" s="118" t="s">
        <v>19</v>
      </c>
      <c r="H1" s="118"/>
      <c r="I1" s="118"/>
      <c r="J1" s="4"/>
      <c r="K1" s="4"/>
    </row>
    <row r="2" spans="1:11" ht="15.6">
      <c r="A2" s="121" t="s">
        <v>2</v>
      </c>
      <c r="B2" s="121"/>
      <c r="C2" s="5">
        <f>SUM(C4:C78)</f>
        <v>52388.975010000002</v>
      </c>
      <c r="D2" s="5">
        <f>SUM(D4:D78)</f>
        <v>0</v>
      </c>
      <c r="E2" s="5">
        <f>C2-D2</f>
        <v>52388.975010000002</v>
      </c>
      <c r="F2" s="6">
        <f>IFERROR(E2/D2, 0)</f>
        <v>0</v>
      </c>
      <c r="G2" s="5">
        <f>SUM(G4:G78)</f>
        <v>40330</v>
      </c>
      <c r="H2" s="7">
        <f>C2-G2</f>
        <v>12058.975010000002</v>
      </c>
      <c r="I2" s="6">
        <f>IFERROR(H2/G2, 0)</f>
        <v>0.29900756285643448</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2" t="s">
        <v>3</v>
      </c>
      <c r="B3" s="12" t="s">
        <v>4</v>
      </c>
      <c r="C3" s="19" t="s">
        <v>5</v>
      </c>
      <c r="D3" s="20" t="s">
        <v>6</v>
      </c>
      <c r="E3" s="20" t="s">
        <v>7</v>
      </c>
      <c r="F3" s="21" t="s">
        <v>8</v>
      </c>
      <c r="G3" s="25" t="s">
        <v>9</v>
      </c>
      <c r="H3" s="23" t="s">
        <v>7</v>
      </c>
      <c r="I3" s="24" t="s">
        <v>8</v>
      </c>
      <c r="J3" s="10" t="s">
        <v>20</v>
      </c>
      <c r="K3" s="10" t="s">
        <v>21</v>
      </c>
    </row>
    <row r="4" spans="1:11" ht="15.6">
      <c r="A4" s="44" t="str" cm="1">
        <f t="array" ref="A4:A85">Sites[Site]</f>
        <v>Lexington - Cotting School</v>
      </c>
      <c r="B4" s="40" t="str" cm="1">
        <f t="array" ref="B4:B85">Sites[State]</f>
        <v>MA</v>
      </c>
      <c r="C4" s="28">
        <v>10561.04</v>
      </c>
      <c r="D4" s="29">
        <v>0</v>
      </c>
      <c r="E4" s="29">
        <f>IF(AND(ISNUMBER(C4),ISNUMBER(D4)), C4-D4, "")</f>
        <v>10561.04</v>
      </c>
      <c r="F4" s="32" t="str">
        <f>IFERROR(E4/D4, "")</f>
        <v/>
      </c>
      <c r="G4" s="31">
        <v>0</v>
      </c>
      <c r="H4" s="31">
        <f>IF(AND(ISNUMBER(C4),ISNUMBER(G4)), C4-G4, "")</f>
        <v>10561.04</v>
      </c>
      <c r="I4" s="32" t="str">
        <f>IFERROR(H4/G4, "")</f>
        <v/>
      </c>
      <c r="J4" s="49" t="s">
        <v>22</v>
      </c>
      <c r="K4" s="67" t="s">
        <v>23</v>
      </c>
    </row>
    <row r="5" spans="1:11" ht="75" customHeight="1">
      <c r="A5" s="45" t="str">
        <v>Pacoima - Whiteman Airport</v>
      </c>
      <c r="B5" s="42" t="str">
        <v>CA</v>
      </c>
      <c r="C5" s="36">
        <v>14475.1</v>
      </c>
      <c r="D5" s="36">
        <v>0</v>
      </c>
      <c r="E5" s="36">
        <f t="shared" ref="E5:E7" si="0">IF(AND(ISNUMBER(C5),ISNUMBER(D5)), C5-D5, "")</f>
        <v>14475.1</v>
      </c>
      <c r="F5" s="37" t="str">
        <f t="shared" ref="F5:F7" si="1">IFERROR(E5/D5, "")</f>
        <v/>
      </c>
      <c r="G5" s="38">
        <v>28600</v>
      </c>
      <c r="H5" s="38">
        <f t="shared" ref="H5:H6" si="2">IF(AND(ISNUMBER(C5),ISNUMBER(G5)), C5-G5, "")</f>
        <v>-14124.9</v>
      </c>
      <c r="I5" s="37">
        <f t="shared" ref="I5:I6" si="3">IFERROR(H5/G5, "")</f>
        <v>-0.49387762237762234</v>
      </c>
      <c r="J5" s="66" t="s">
        <v>24</v>
      </c>
      <c r="K5" s="68" t="s">
        <v>25</v>
      </c>
    </row>
    <row r="6" spans="1:11" ht="15.6">
      <c r="A6" s="46" t="str">
        <v>Hyannis - Sturgis Charter School</v>
      </c>
      <c r="B6" s="40" t="str">
        <v>MA</v>
      </c>
      <c r="C6" s="28">
        <v>13994.515009999999</v>
      </c>
      <c r="D6" s="29">
        <v>0</v>
      </c>
      <c r="E6" s="29">
        <f t="shared" si="0"/>
        <v>13994.515009999999</v>
      </c>
      <c r="F6" s="32" t="str">
        <f t="shared" si="1"/>
        <v/>
      </c>
      <c r="G6" s="31">
        <v>11730</v>
      </c>
      <c r="H6" s="31">
        <f t="shared" si="2"/>
        <v>2264.5150099999992</v>
      </c>
      <c r="I6" s="32">
        <f t="shared" si="3"/>
        <v>0.19305328303495303</v>
      </c>
      <c r="J6" s="49"/>
      <c r="K6" s="49"/>
    </row>
    <row r="7" spans="1:11" ht="15.6">
      <c r="A7" s="45" t="str">
        <v>South Dennis - Tony Kent Arena</v>
      </c>
      <c r="B7" s="42" t="str">
        <v>MA</v>
      </c>
      <c r="C7" s="36">
        <v>13358.32</v>
      </c>
      <c r="D7" s="36">
        <v>0</v>
      </c>
      <c r="E7" s="36">
        <f t="shared" si="0"/>
        <v>13358.32</v>
      </c>
      <c r="F7" s="37" t="str">
        <f t="shared" si="1"/>
        <v/>
      </c>
      <c r="G7" s="38">
        <v>0</v>
      </c>
      <c r="H7" s="38">
        <f t="shared" ref="H7" si="4">IF(AND(ISNUMBER(C7),ISNUMBER(G7)), C7-G7, "")</f>
        <v>13358.32</v>
      </c>
      <c r="I7" s="37" t="str">
        <f t="shared" ref="I7" si="5">IFERROR(H7/G7, "")</f>
        <v/>
      </c>
      <c r="J7" s="50" t="s">
        <v>26</v>
      </c>
      <c r="K7" s="69" t="s">
        <v>27</v>
      </c>
    </row>
    <row r="8" spans="1:11" ht="15.6">
      <c r="A8" s="44" t="str">
        <v xml:space="preserve"> Caropolis - Felician Sisters</v>
      </c>
      <c r="B8" s="40" t="str">
        <v>PA</v>
      </c>
      <c r="C8" s="28"/>
      <c r="D8" s="29"/>
      <c r="E8" s="29"/>
      <c r="F8" s="32"/>
      <c r="G8" s="31"/>
      <c r="H8" s="31"/>
      <c r="I8" s="32"/>
      <c r="J8" s="49"/>
      <c r="K8" s="67"/>
    </row>
    <row r="9" spans="1:11" ht="15.6">
      <c r="A9" s="45" t="str">
        <v>Clear Lake - Eastlake Gohman</v>
      </c>
      <c r="B9" s="42" t="str">
        <v>MN</v>
      </c>
      <c r="C9" s="36"/>
      <c r="D9" s="36"/>
      <c r="E9" s="36"/>
      <c r="F9" s="37"/>
      <c r="G9" s="38"/>
      <c r="H9" s="38"/>
      <c r="I9" s="37"/>
      <c r="J9" s="66"/>
      <c r="K9" s="68"/>
    </row>
    <row r="10" spans="1:11" ht="15.6">
      <c r="A10" s="46" t="str">
        <v>Zumbrota - Eastlake Brenda Luhman</v>
      </c>
      <c r="B10" s="40" t="str">
        <v>MN</v>
      </c>
      <c r="C10" s="28"/>
      <c r="D10" s="29"/>
      <c r="E10" s="29"/>
      <c r="F10" s="32"/>
      <c r="G10" s="31"/>
      <c r="H10" s="31"/>
      <c r="I10" s="32"/>
      <c r="J10" s="49"/>
      <c r="K10" s="49"/>
    </row>
    <row r="11" spans="1:11" ht="15.6">
      <c r="A11" s="45" t="str">
        <v>Cokato - Eastlake Carlson</v>
      </c>
      <c r="B11" s="42" t="str">
        <v>MN</v>
      </c>
      <c r="C11" s="36"/>
      <c r="D11" s="36"/>
      <c r="E11" s="36"/>
      <c r="F11" s="37"/>
      <c r="G11" s="38"/>
      <c r="H11" s="38"/>
      <c r="I11" s="37"/>
      <c r="J11" s="50"/>
      <c r="K11" s="69"/>
    </row>
    <row r="12" spans="1:11" ht="15.6">
      <c r="A12" s="44" t="str">
        <v>North Branch - Cornille 2</v>
      </c>
      <c r="B12" s="40" t="str">
        <v>MN</v>
      </c>
      <c r="C12" s="28"/>
      <c r="D12" s="29"/>
      <c r="E12" s="29"/>
      <c r="F12" s="32"/>
      <c r="G12" s="31"/>
      <c r="H12" s="31"/>
      <c r="I12" s="32"/>
      <c r="J12" s="49"/>
      <c r="K12" s="67"/>
    </row>
    <row r="13" spans="1:11" ht="15.6">
      <c r="A13" s="45" t="str">
        <v>Clear Lake - Eastlake Hammer</v>
      </c>
      <c r="B13" s="42" t="str">
        <v>MN</v>
      </c>
      <c r="C13" s="36"/>
      <c r="D13" s="36"/>
      <c r="E13" s="36"/>
      <c r="F13" s="37"/>
      <c r="G13" s="38"/>
      <c r="H13" s="38"/>
      <c r="I13" s="37"/>
      <c r="J13" s="66"/>
      <c r="K13" s="68"/>
    </row>
    <row r="14" spans="1:11" ht="15.6">
      <c r="A14" s="46" t="str">
        <v>Eastlake - Hertzberg CSG 1</v>
      </c>
      <c r="B14" s="40" t="str">
        <v>MN</v>
      </c>
      <c r="C14" s="28"/>
      <c r="D14" s="29"/>
      <c r="E14" s="29"/>
      <c r="F14" s="32"/>
      <c r="G14" s="31"/>
      <c r="H14" s="31"/>
      <c r="I14" s="32"/>
      <c r="J14" s="49"/>
      <c r="K14" s="49"/>
    </row>
    <row r="15" spans="1:11" ht="15.6">
      <c r="A15" s="45" t="str">
        <v>Cokato - Eastlake Laurel Village</v>
      </c>
      <c r="B15" s="42" t="str">
        <v>MN</v>
      </c>
      <c r="C15" s="36"/>
      <c r="D15" s="36"/>
      <c r="E15" s="36"/>
      <c r="F15" s="37"/>
      <c r="G15" s="38"/>
      <c r="H15" s="38"/>
      <c r="I15" s="37"/>
      <c r="J15" s="50"/>
      <c r="K15" s="69"/>
    </row>
    <row r="16" spans="1:11" ht="15.6">
      <c r="A16" s="44" t="str">
        <v>St. Peter - Eastlake Paulson</v>
      </c>
      <c r="B16" s="40" t="str">
        <v>MN</v>
      </c>
      <c r="C16" s="28"/>
      <c r="D16" s="29"/>
      <c r="E16" s="29"/>
      <c r="F16" s="32"/>
      <c r="G16" s="31"/>
      <c r="H16" s="31"/>
      <c r="I16" s="32"/>
      <c r="J16" s="49"/>
      <c r="K16" s="67"/>
    </row>
    <row r="17" spans="1:11" ht="15.6">
      <c r="A17" s="45" t="str">
        <v>Felician Sisters Convent</v>
      </c>
      <c r="B17" s="42" t="str">
        <v>NJ</v>
      </c>
      <c r="C17" s="36"/>
      <c r="D17" s="36"/>
      <c r="E17" s="36"/>
      <c r="F17" s="37"/>
      <c r="G17" s="38"/>
      <c r="H17" s="38"/>
      <c r="I17" s="37"/>
      <c r="J17" s="66"/>
      <c r="K17" s="68"/>
    </row>
    <row r="18" spans="1:11" ht="15.6">
      <c r="A18" s="46" t="str">
        <v>Sussex County Fairgrounds</v>
      </c>
      <c r="B18" s="40" t="str">
        <v>NJ</v>
      </c>
      <c r="C18" s="28"/>
      <c r="D18" s="29"/>
      <c r="E18" s="29"/>
      <c r="F18" s="32"/>
      <c r="G18" s="31"/>
      <c r="H18" s="31"/>
      <c r="I18" s="32"/>
      <c r="J18" s="49"/>
      <c r="K18" s="49"/>
    </row>
    <row r="19" spans="1:11" ht="15.6">
      <c r="A19" s="45" t="str">
        <v>Gateway Church</v>
      </c>
      <c r="B19" s="42" t="str">
        <v>NJ</v>
      </c>
      <c r="C19" s="36"/>
      <c r="D19" s="36"/>
      <c r="E19" s="36"/>
      <c r="F19" s="37"/>
      <c r="G19" s="38"/>
      <c r="H19" s="38"/>
      <c r="I19" s="37"/>
      <c r="J19" s="50"/>
      <c r="K19" s="69"/>
    </row>
    <row r="20" spans="1:11" ht="15.6">
      <c r="A20" s="44" t="str">
        <v>Beaver Falls - Felician Sisters</v>
      </c>
      <c r="B20" s="40" t="str">
        <v>PA</v>
      </c>
      <c r="C20" s="28"/>
      <c r="D20" s="29"/>
      <c r="E20" s="29"/>
      <c r="F20" s="32"/>
      <c r="G20" s="31"/>
      <c r="H20" s="31"/>
      <c r="I20" s="32"/>
      <c r="J20" s="49"/>
      <c r="K20" s="67"/>
    </row>
    <row r="21" spans="1:11" ht="15.6">
      <c r="A21" s="45" t="str">
        <v>Livonia - Felician Sisters Ground</v>
      </c>
      <c r="B21" s="42" t="str">
        <v>MI</v>
      </c>
      <c r="C21" s="36"/>
      <c r="D21" s="36"/>
      <c r="E21" s="36"/>
      <c r="F21" s="37"/>
      <c r="G21" s="38"/>
      <c r="H21" s="38"/>
      <c r="I21" s="37"/>
      <c r="J21" s="66"/>
      <c r="K21" s="68"/>
    </row>
    <row r="22" spans="1:11" ht="15.6">
      <c r="A22" s="46" t="str">
        <v>Livonia - Felician Sisters Roof</v>
      </c>
      <c r="B22" s="40" t="str">
        <v>MI</v>
      </c>
      <c r="C22" s="28"/>
      <c r="D22" s="29"/>
      <c r="E22" s="29"/>
      <c r="F22" s="32"/>
      <c r="G22" s="31"/>
      <c r="H22" s="31"/>
      <c r="I22" s="32"/>
      <c r="J22" s="49"/>
      <c r="K22" s="49"/>
    </row>
    <row r="23" spans="1:11" ht="15.6">
      <c r="A23" s="45" t="str">
        <v>Monmouth Worship Ctr</v>
      </c>
      <c r="B23" s="42" t="str">
        <v>NJ</v>
      </c>
      <c r="C23" s="36"/>
      <c r="D23" s="36"/>
      <c r="E23" s="36"/>
      <c r="F23" s="37"/>
      <c r="G23" s="38"/>
      <c r="H23" s="38"/>
      <c r="I23" s="37"/>
      <c r="J23" s="50"/>
      <c r="K23" s="69"/>
    </row>
    <row r="24" spans="1:11" ht="15.6">
      <c r="A24" s="44" t="str">
        <v xml:space="preserve"> Audubon - Senior Citizens United</v>
      </c>
      <c r="B24" s="40" t="str">
        <v>NJ</v>
      </c>
      <c r="C24" s="28"/>
      <c r="D24" s="29"/>
      <c r="E24" s="29"/>
      <c r="F24" s="32"/>
      <c r="G24" s="31"/>
      <c r="H24" s="31"/>
      <c r="I24" s="32"/>
      <c r="J24" s="49"/>
      <c r="K24" s="67"/>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sheetData>
  <mergeCells count="4">
    <mergeCell ref="D1:F1"/>
    <mergeCell ref="A1:C1"/>
    <mergeCell ref="G1:I1"/>
    <mergeCell ref="A2:B2"/>
  </mergeCells>
  <conditionalFormatting sqref="F2 I2 F4:F78 I4:I78">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5368" xr:uid="{B5207AF9-0E3D-4996-A55E-2E1A85C6F34D}"/>
    <hyperlink ref="K5" r:id="rId2" display="https://us3.assetplanner.com/service_request?ID=095501" xr:uid="{B81C90BE-9F0E-4FC5-A606-3FA6193536EC}"/>
    <hyperlink ref="K7" r:id="rId3" display="https://us3.assetplanner.com/service_request?ID=096179" xr:uid="{E3B1486E-D9D5-4C6D-94C2-1FA026C7161E}"/>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workbookViewId="0">
      <pane xSplit="2" ySplit="3" topLeftCell="G27" activePane="bottomRight" state="frozen"/>
      <selection pane="bottomRight" activeCell="G27" sqref="G27"/>
      <selection pane="bottomLeft" activeCell="A14" sqref="A14"/>
      <selection pane="topRight" activeCell="A14" sqref="A14"/>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119" t="str" cm="1">
        <f t="array" ref="A1">portfolio</f>
        <v>Clean Capital</v>
      </c>
      <c r="B1" s="119"/>
      <c r="C1" s="119"/>
      <c r="D1" s="120" t="s">
        <v>28</v>
      </c>
      <c r="E1" s="120"/>
      <c r="F1" s="120"/>
      <c r="G1" s="118" t="s">
        <v>29</v>
      </c>
      <c r="H1" s="118"/>
      <c r="I1" s="118"/>
      <c r="J1" s="4"/>
      <c r="K1" s="4"/>
    </row>
    <row r="2" spans="1:14" ht="19.5" customHeight="1">
      <c r="A2" s="121" t="s">
        <v>2</v>
      </c>
      <c r="B2" s="121"/>
      <c r="C2" s="5">
        <f>SUM(C4:C80)</f>
        <v>65342.145815429685</v>
      </c>
      <c r="D2" s="5">
        <f>SUM(D4:D80)</f>
        <v>0</v>
      </c>
      <c r="E2" s="5">
        <f>C2-D2</f>
        <v>65342.145815429685</v>
      </c>
      <c r="F2" s="6">
        <f>IFERROR(E2/D2, 0)</f>
        <v>0</v>
      </c>
      <c r="G2" s="5">
        <f>SUM(G4:G80)</f>
        <v>50120</v>
      </c>
      <c r="H2" s="7">
        <f>C2-G2</f>
        <v>15222.145815429685</v>
      </c>
      <c r="I2" s="6">
        <f>IFERROR(H2/G2, 0)</f>
        <v>0.30371400270210863</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49"/>
      <c r="K3" s="10" t="s">
        <v>21</v>
      </c>
    </row>
    <row r="4" spans="1:14" ht="28.9">
      <c r="A4" s="44" t="str" cm="1">
        <f t="array" ref="A4:A85">Sites[Site]</f>
        <v>Lexington - Cotting School</v>
      </c>
      <c r="B4" s="40" t="str" cm="1">
        <f t="array" ref="B4:B85">Sites[State]</f>
        <v>MA</v>
      </c>
      <c r="C4" s="28">
        <v>7512.56</v>
      </c>
      <c r="D4" s="29">
        <v>0</v>
      </c>
      <c r="E4" s="29">
        <f>IF(AND(ISNUMBER(C4),ISNUMBER(D4)), C4-D4, "")</f>
        <v>7512.56</v>
      </c>
      <c r="F4" s="30" t="str">
        <f>IFERROR(E4/D4, "")</f>
        <v/>
      </c>
      <c r="G4" s="31">
        <v>0</v>
      </c>
      <c r="H4" s="31">
        <f>IF(AND(ISNUMBER(C4),ISNUMBER(G4)), C4-G4, "")</f>
        <v>7512.56</v>
      </c>
      <c r="I4" s="32" t="str">
        <f>IFERROR(H4/G4, "")</f>
        <v/>
      </c>
      <c r="J4" s="49" t="s">
        <v>30</v>
      </c>
      <c r="K4" s="67" t="s">
        <v>31</v>
      </c>
      <c r="L4" s="76" t="s">
        <v>32</v>
      </c>
      <c r="M4" s="77"/>
      <c r="N4" s="77"/>
    </row>
    <row r="5" spans="1:14" ht="100.9">
      <c r="A5" s="45" t="str">
        <v>Pacoima - Whiteman Airport</v>
      </c>
      <c r="B5" s="42" t="str">
        <v>CA</v>
      </c>
      <c r="C5" s="35">
        <v>23461.7</v>
      </c>
      <c r="D5" s="36">
        <v>0</v>
      </c>
      <c r="E5" s="36">
        <f t="shared" ref="E5:E7" si="0">IF(AND(ISNUMBER(C5),ISNUMBER(D5)), C5-D5, "")</f>
        <v>23461.7</v>
      </c>
      <c r="F5" s="37" t="str">
        <f>IFERROR(E5/D5, "")</f>
        <v/>
      </c>
      <c r="G5" s="38">
        <v>34320</v>
      </c>
      <c r="H5" s="38">
        <f t="shared" ref="H5:H7" si="1">IF(AND(ISNUMBER(C5),ISNUMBER(G5)), C5-G5, "")</f>
        <v>-10858.3</v>
      </c>
      <c r="I5" s="37">
        <f t="shared" ref="I5:I7" si="2">IFERROR(H5/G5, "")</f>
        <v>-0.31638403263403259</v>
      </c>
      <c r="J5" s="50" t="s">
        <v>33</v>
      </c>
      <c r="K5" s="75" t="s">
        <v>34</v>
      </c>
      <c r="L5" s="76" t="s">
        <v>35</v>
      </c>
      <c r="M5" s="76" t="s">
        <v>36</v>
      </c>
      <c r="N5" s="77"/>
    </row>
    <row r="6" spans="1:14" ht="15.6">
      <c r="A6" s="44" t="str">
        <v>Hyannis - Sturgis Charter School</v>
      </c>
      <c r="B6" s="40" t="str">
        <v>MA</v>
      </c>
      <c r="C6" s="28">
        <v>16727.085815429688</v>
      </c>
      <c r="D6" s="29">
        <v>0</v>
      </c>
      <c r="E6" s="29">
        <f t="shared" si="0"/>
        <v>16727.085815429688</v>
      </c>
      <c r="F6" s="30" t="str">
        <f t="shared" ref="F6:F7" si="3">IFERROR(E6/D6, "")</f>
        <v/>
      </c>
      <c r="G6" s="31">
        <v>15800</v>
      </c>
      <c r="H6" s="31">
        <f t="shared" si="1"/>
        <v>927.0858154296875</v>
      </c>
      <c r="I6" s="32">
        <f t="shared" si="2"/>
        <v>5.86763174322587E-2</v>
      </c>
      <c r="J6" s="49"/>
      <c r="K6" s="49"/>
      <c r="L6" s="77"/>
      <c r="M6" s="77"/>
      <c r="N6" s="77"/>
    </row>
    <row r="7" spans="1:14" ht="57.6">
      <c r="A7" s="45" t="str">
        <v>South Dennis - Tony Kent Arena</v>
      </c>
      <c r="B7" s="42" t="str">
        <v>MA</v>
      </c>
      <c r="C7" s="35">
        <v>17640.8</v>
      </c>
      <c r="D7" s="36">
        <v>0</v>
      </c>
      <c r="E7" s="36">
        <f t="shared" si="0"/>
        <v>17640.8</v>
      </c>
      <c r="F7" s="37" t="str">
        <f t="shared" si="3"/>
        <v/>
      </c>
      <c r="G7" s="38">
        <v>0</v>
      </c>
      <c r="H7" s="38">
        <f t="shared" si="1"/>
        <v>17640.8</v>
      </c>
      <c r="I7" s="37" t="str">
        <f t="shared" si="2"/>
        <v/>
      </c>
      <c r="J7" s="50" t="s">
        <v>37</v>
      </c>
      <c r="K7" s="68" t="s">
        <v>38</v>
      </c>
      <c r="L7" s="76" t="s">
        <v>39</v>
      </c>
      <c r="M7" s="77"/>
      <c r="N7" s="77"/>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6"/>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6"/>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6"/>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6"/>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6"/>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6"/>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6"/>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6"/>
    </row>
    <row r="24" spans="1:11" ht="15.6">
      <c r="A24" s="44" t="str">
        <v xml:space="preserve"> Audubon - Senior Citizens United</v>
      </c>
      <c r="B24" s="40" t="str">
        <v>NJ</v>
      </c>
      <c r="C24" s="28"/>
      <c r="D24" s="29"/>
      <c r="E24" s="29"/>
      <c r="F24" s="30"/>
      <c r="G24" s="31"/>
      <c r="H24" s="31"/>
      <c r="I24" s="32"/>
      <c r="J24" s="49"/>
      <c r="K24" s="4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6"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5368" xr:uid="{53DB68D7-5E05-4603-B061-9F52F8E02F18}"/>
    <hyperlink ref="L4" r:id="rId2" display="https://us3.assetplanner.com/service_request?ID=097850" xr:uid="{C9F325E2-3281-4180-938D-C43389948958}"/>
    <hyperlink ref="K5" r:id="rId3" display="https://us3.assetplanner.com/service_request?ID=096409" xr:uid="{5802BF7E-22DA-43ED-8E60-D4085977B190}"/>
    <hyperlink ref="L5" r:id="rId4" display="https://us3.assetplanner.com/service_request?ID=097783" xr:uid="{AA14C007-EAF5-4092-A648-1083FCA42634}"/>
    <hyperlink ref="M5" r:id="rId5" display="https://us3.assetplanner.com/service_request?ID=095501" xr:uid="{0A2AA9BB-E8C3-4BC5-A2C5-9CC8B3BC0DA4}"/>
    <hyperlink ref="K7" r:id="rId6" display="https://us3.assetplanner.com/service_request?ID=096179" xr:uid="{311FA8EB-4318-4390-91BD-F9EAC4391EC3}"/>
    <hyperlink ref="L7" r:id="rId7" display="https://us3.assetplanner.com/service_request?ID=096262" xr:uid="{451301DD-CBD4-4BE0-BB9D-B0B746A0FBB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80" zoomScaleNormal="80" workbookViewId="0">
      <pane xSplit="2" ySplit="3" topLeftCell="C4" activePane="bottomRight" state="frozen"/>
      <selection pane="bottomRight" activeCell="C21" sqref="C2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119" t="str" cm="1">
        <f t="array" ref="A1">portfolio</f>
        <v>Clean Capital</v>
      </c>
      <c r="B1" s="119"/>
      <c r="C1" s="119"/>
      <c r="D1" s="120" t="s">
        <v>40</v>
      </c>
      <c r="E1" s="120"/>
      <c r="F1" s="120"/>
      <c r="G1" s="118" t="s">
        <v>41</v>
      </c>
      <c r="H1" s="118"/>
      <c r="I1" s="118"/>
      <c r="J1" s="4"/>
      <c r="K1" s="4"/>
    </row>
    <row r="2" spans="1:16" ht="19.5" customHeight="1">
      <c r="A2" s="121" t="s">
        <v>2</v>
      </c>
      <c r="B2" s="121"/>
      <c r="C2" s="5">
        <f>SUM(C4:C85)</f>
        <v>1710215.56534</v>
      </c>
      <c r="D2" s="5">
        <f>SUM(D4:D85)</f>
        <v>0</v>
      </c>
      <c r="E2" s="5">
        <f>C2-D2</f>
        <v>1710215.56534</v>
      </c>
      <c r="F2" s="6">
        <f>IFERROR(E2/D2, 0)</f>
        <v>0</v>
      </c>
      <c r="G2" s="5">
        <f>SUM(G4:G85)</f>
        <v>1440240.2</v>
      </c>
      <c r="H2" s="7">
        <f>C2-G2</f>
        <v>269975.36534000002</v>
      </c>
      <c r="I2" s="6">
        <f>IFERROR(H2/G2, 0)</f>
        <v>0.18745162462483692</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43.15">
      <c r="A4" s="44" t="str" cm="1">
        <f t="array" ref="A4:A85">Sites[Site]</f>
        <v>Lexington - Cotting School</v>
      </c>
      <c r="B4" s="40" t="str" cm="1">
        <f t="array" ref="B4:B85">Sites[State]</f>
        <v>MA</v>
      </c>
      <c r="C4" s="28">
        <v>27815.040000000001</v>
      </c>
      <c r="D4" s="29" t="s">
        <v>43</v>
      </c>
      <c r="E4" s="29" t="str">
        <f>IF(AND(ISNUMBER(C4),ISNUMBER(D4)), C4-D4, "")</f>
        <v/>
      </c>
      <c r="F4" s="30" t="str">
        <f>IFERROR(E4/D4, "")</f>
        <v/>
      </c>
      <c r="G4" s="73" t="s">
        <v>43</v>
      </c>
      <c r="H4" s="31" t="str">
        <f>IF(AND(ISNUMBER(C4),ISNUMBER(G4)), C4-G4, "")</f>
        <v/>
      </c>
      <c r="I4" s="32" t="str">
        <f>IFERROR(H4/G4, "")</f>
        <v/>
      </c>
      <c r="J4" s="53" t="s">
        <v>44</v>
      </c>
      <c r="K4" s="78" t="s">
        <v>31</v>
      </c>
      <c r="L4" s="76" t="s">
        <v>32</v>
      </c>
      <c r="M4" s="81"/>
      <c r="N4" s="77"/>
      <c r="O4" s="77"/>
      <c r="P4" s="77"/>
    </row>
    <row r="5" spans="1:16" ht="178.5" customHeight="1">
      <c r="A5" s="45" t="str">
        <v>Pacoima - Whiteman Airport</v>
      </c>
      <c r="B5" s="42" t="str">
        <v>CA</v>
      </c>
      <c r="C5" s="35">
        <v>20209.2</v>
      </c>
      <c r="D5" s="36" t="s">
        <v>43</v>
      </c>
      <c r="E5" s="36" t="str">
        <f t="shared" ref="E5:E11" si="0">IF(AND(ISNUMBER(C5),ISNUMBER(D5)), C5-D5, "")</f>
        <v/>
      </c>
      <c r="F5" s="37" t="str">
        <f>IFERROR(E5/D5, "")</f>
        <v/>
      </c>
      <c r="G5" s="38">
        <v>45760</v>
      </c>
      <c r="H5" s="38">
        <f t="shared" ref="H5:H11" si="1">IF(AND(ISNUMBER(C5),ISNUMBER(G5)), C5-G5, "")</f>
        <v>-25550.799999999999</v>
      </c>
      <c r="I5" s="37">
        <f t="shared" ref="I5:I11" si="2">IFERROR(H5/G5, "")</f>
        <v>-0.55836538461538465</v>
      </c>
      <c r="J5" s="54" t="s">
        <v>45</v>
      </c>
      <c r="K5" s="75" t="s">
        <v>46</v>
      </c>
      <c r="L5" s="76" t="s">
        <v>47</v>
      </c>
      <c r="M5" s="82" t="s">
        <v>48</v>
      </c>
      <c r="N5" s="76" t="s">
        <v>49</v>
      </c>
      <c r="O5" s="76" t="s">
        <v>35</v>
      </c>
      <c r="P5" s="76" t="s">
        <v>50</v>
      </c>
    </row>
    <row r="6" spans="1:16" ht="15.6">
      <c r="A6" s="46" t="str">
        <v>Hyannis - Sturgis Charter School</v>
      </c>
      <c r="B6" s="40" t="str">
        <v>MA</v>
      </c>
      <c r="C6" s="28">
        <v>26110.79394</v>
      </c>
      <c r="D6" s="29" t="s">
        <v>43</v>
      </c>
      <c r="E6" s="29" t="str">
        <f t="shared" si="0"/>
        <v/>
      </c>
      <c r="F6" s="30" t="str">
        <f t="shared" ref="F6:F11" si="3">IFERROR(E6/D6, "")</f>
        <v/>
      </c>
      <c r="G6" s="31">
        <v>27010</v>
      </c>
      <c r="H6" s="31">
        <f t="shared" si="1"/>
        <v>-899.20606000000043</v>
      </c>
      <c r="I6" s="32">
        <f t="shared" si="2"/>
        <v>-3.3291597926693832E-2</v>
      </c>
      <c r="J6" s="53"/>
      <c r="K6" s="53"/>
      <c r="L6" s="77"/>
      <c r="M6" s="81"/>
      <c r="N6" s="77"/>
      <c r="O6" s="77"/>
      <c r="P6" s="77"/>
    </row>
    <row r="7" spans="1:16" ht="57.6">
      <c r="A7" s="45" t="str">
        <v>South Dennis - Tony Kent Arena</v>
      </c>
      <c r="B7" s="42" t="str">
        <v>MA</v>
      </c>
      <c r="C7" s="35">
        <v>30514.080000000002</v>
      </c>
      <c r="D7" s="36" t="s">
        <v>43</v>
      </c>
      <c r="E7" s="36" t="str">
        <f t="shared" si="0"/>
        <v/>
      </c>
      <c r="F7" s="37" t="str">
        <f t="shared" si="3"/>
        <v/>
      </c>
      <c r="G7" s="74" t="s">
        <v>43</v>
      </c>
      <c r="H7" s="38" t="str">
        <f t="shared" si="1"/>
        <v/>
      </c>
      <c r="I7" s="37" t="str">
        <f t="shared" si="2"/>
        <v/>
      </c>
      <c r="J7" s="60" t="s">
        <v>51</v>
      </c>
      <c r="K7" s="75" t="s">
        <v>52</v>
      </c>
      <c r="L7" s="76" t="s">
        <v>53</v>
      </c>
      <c r="M7" s="81"/>
      <c r="N7" s="77"/>
      <c r="O7" s="77"/>
      <c r="P7" s="77"/>
    </row>
    <row r="8" spans="1:16" ht="15.6">
      <c r="A8" s="46" t="str">
        <v xml:space="preserve"> Caropolis - Felician Sisters</v>
      </c>
      <c r="B8" s="40" t="str">
        <v>PA</v>
      </c>
      <c r="C8" s="28">
        <v>51053.4</v>
      </c>
      <c r="D8" s="29" t="s">
        <v>43</v>
      </c>
      <c r="E8" s="29" t="str">
        <f t="shared" si="0"/>
        <v/>
      </c>
      <c r="F8" s="30" t="str">
        <f t="shared" si="3"/>
        <v/>
      </c>
      <c r="G8" s="31"/>
      <c r="H8" s="31" t="str">
        <f t="shared" si="1"/>
        <v/>
      </c>
      <c r="I8" s="32" t="str">
        <f t="shared" si="2"/>
        <v/>
      </c>
      <c r="J8" s="53" t="s">
        <v>54</v>
      </c>
      <c r="K8" s="79" t="s">
        <v>55</v>
      </c>
      <c r="L8" s="77"/>
      <c r="M8" s="81"/>
      <c r="N8" s="77"/>
      <c r="O8" s="77"/>
      <c r="P8" s="77"/>
    </row>
    <row r="9" spans="1:16" ht="15.6">
      <c r="A9" s="45" t="str">
        <v>Clear Lake - Eastlake Gohman</v>
      </c>
      <c r="B9" s="42" t="str">
        <v>MN</v>
      </c>
      <c r="C9" s="35">
        <v>174810</v>
      </c>
      <c r="D9" s="36" t="s">
        <v>43</v>
      </c>
      <c r="E9" s="36" t="str">
        <f t="shared" si="0"/>
        <v/>
      </c>
      <c r="F9" s="37" t="str">
        <f t="shared" si="3"/>
        <v/>
      </c>
      <c r="G9" s="38">
        <v>155938.5</v>
      </c>
      <c r="H9" s="38">
        <f t="shared" si="1"/>
        <v>18871.5</v>
      </c>
      <c r="I9" s="37">
        <f t="shared" si="2"/>
        <v>0.12101886320568686</v>
      </c>
      <c r="J9" s="54"/>
      <c r="K9" s="55"/>
      <c r="L9" s="77"/>
      <c r="M9" s="81"/>
      <c r="N9" s="77"/>
      <c r="O9" s="77"/>
      <c r="P9" s="77"/>
    </row>
    <row r="10" spans="1:16" ht="21" customHeight="1">
      <c r="A10" s="46" t="str">
        <v>Zumbrota - Eastlake Brenda Luhman</v>
      </c>
      <c r="B10" s="40" t="str">
        <v>MN</v>
      </c>
      <c r="C10" s="28">
        <v>179285.1269</v>
      </c>
      <c r="D10" s="29" t="s">
        <v>43</v>
      </c>
      <c r="E10" s="29" t="str">
        <f t="shared" si="0"/>
        <v/>
      </c>
      <c r="F10" s="30" t="str">
        <f t="shared" si="3"/>
        <v/>
      </c>
      <c r="G10" s="31">
        <v>161850.1</v>
      </c>
      <c r="H10" s="31">
        <f t="shared" si="1"/>
        <v>17435.026899999997</v>
      </c>
      <c r="I10" s="32">
        <f t="shared" si="2"/>
        <v>0.10772330014006785</v>
      </c>
      <c r="J10" s="53"/>
      <c r="K10" s="53"/>
      <c r="L10" s="77"/>
      <c r="M10" s="81"/>
      <c r="N10" s="77"/>
      <c r="O10" s="77"/>
      <c r="P10" s="77"/>
    </row>
    <row r="11" spans="1:16" ht="68.25" customHeight="1">
      <c r="A11" s="45" t="str">
        <v>Cokato - Eastlake Carlson</v>
      </c>
      <c r="B11" s="42" t="str">
        <v>MN</v>
      </c>
      <c r="C11" s="35">
        <v>147025.48420000001</v>
      </c>
      <c r="D11" s="36" t="s">
        <v>43</v>
      </c>
      <c r="E11" s="36" t="str">
        <f t="shared" si="0"/>
        <v/>
      </c>
      <c r="F11" s="37" t="str">
        <f t="shared" si="3"/>
        <v/>
      </c>
      <c r="G11" s="38">
        <v>189506</v>
      </c>
      <c r="H11" s="38">
        <f t="shared" si="1"/>
        <v>-42480.515799999994</v>
      </c>
      <c r="I11" s="37">
        <f t="shared" si="2"/>
        <v>-0.22416448977868772</v>
      </c>
      <c r="J11" s="60" t="s">
        <v>56</v>
      </c>
      <c r="K11" s="75" t="s">
        <v>57</v>
      </c>
      <c r="L11" s="76" t="s">
        <v>58</v>
      </c>
      <c r="M11" s="81"/>
      <c r="N11" s="77"/>
      <c r="O11" s="77"/>
      <c r="P11" s="77"/>
    </row>
    <row r="12" spans="1:16" ht="87.75" customHeight="1">
      <c r="A12" s="46" t="str">
        <v>North Branch - Cornille 2</v>
      </c>
      <c r="B12" s="40" t="str">
        <v>MN</v>
      </c>
      <c r="C12" s="28">
        <v>142625</v>
      </c>
      <c r="D12" s="29" t="s">
        <v>43</v>
      </c>
      <c r="E12" s="29" t="str">
        <f t="shared" ref="E12:E24" si="4">IF(AND(ISNUMBER(C12),ISNUMBER(D12)), C12-D12, "")</f>
        <v/>
      </c>
      <c r="F12" s="30" t="str">
        <f t="shared" ref="F12:F24" si="5">IFERROR(E12/D12, "")</f>
        <v/>
      </c>
      <c r="G12" s="31">
        <v>156749.79999999999</v>
      </c>
      <c r="H12" s="31">
        <f t="shared" ref="H12:H24" si="6">IF(AND(ISNUMBER(C12),ISNUMBER(G12)), C12-G12, "")</f>
        <v>-14124.799999999988</v>
      </c>
      <c r="I12" s="32">
        <f t="shared" ref="I12:I24" si="7">IFERROR(H12/G12, "")</f>
        <v>-9.0110481799657735E-2</v>
      </c>
      <c r="J12" s="62" t="s">
        <v>59</v>
      </c>
      <c r="K12" s="78" t="s">
        <v>60</v>
      </c>
      <c r="L12" s="76" t="s">
        <v>61</v>
      </c>
      <c r="M12" s="82" t="s">
        <v>62</v>
      </c>
      <c r="N12" s="77"/>
      <c r="O12" s="77"/>
      <c r="P12" s="77"/>
    </row>
    <row r="13" spans="1:16" ht="64.5" customHeight="1">
      <c r="A13" s="45" t="str">
        <v>Clear Lake - Eastlake Hammer</v>
      </c>
      <c r="B13" s="42" t="str">
        <v>MN</v>
      </c>
      <c r="C13" s="35">
        <v>196603.0325</v>
      </c>
      <c r="D13" s="36" t="s">
        <v>43</v>
      </c>
      <c r="E13" s="36" t="str">
        <f t="shared" si="4"/>
        <v/>
      </c>
      <c r="F13" s="37" t="str">
        <f t="shared" si="5"/>
        <v/>
      </c>
      <c r="G13" s="38">
        <v>181153.8</v>
      </c>
      <c r="H13" s="38">
        <f t="shared" si="6"/>
        <v>15449.232500000013</v>
      </c>
      <c r="I13" s="37">
        <f t="shared" si="7"/>
        <v>8.5282409201463141E-2</v>
      </c>
      <c r="J13" s="54" t="s">
        <v>63</v>
      </c>
      <c r="K13" s="75" t="s">
        <v>64</v>
      </c>
      <c r="L13" s="76" t="s">
        <v>65</v>
      </c>
      <c r="M13" s="81"/>
      <c r="N13" s="77"/>
      <c r="O13" s="77"/>
      <c r="P13" s="77"/>
    </row>
    <row r="14" spans="1:16" ht="27.75" customHeight="1">
      <c r="A14" s="46" t="str">
        <v>Eastlake - Hertzberg CSG 1</v>
      </c>
      <c r="B14" s="40" t="str">
        <v>MN</v>
      </c>
      <c r="C14" s="28">
        <v>178773.26439999999</v>
      </c>
      <c r="D14" s="29" t="s">
        <v>43</v>
      </c>
      <c r="E14" s="29" t="str">
        <f t="shared" si="4"/>
        <v/>
      </c>
      <c r="F14" s="30" t="str">
        <f t="shared" si="5"/>
        <v/>
      </c>
      <c r="G14" s="31">
        <v>179090.7</v>
      </c>
      <c r="H14" s="31">
        <f t="shared" si="6"/>
        <v>-317.43560000002617</v>
      </c>
      <c r="I14" s="32">
        <f t="shared" si="7"/>
        <v>-1.7724851150842905E-3</v>
      </c>
      <c r="J14" s="62" t="s">
        <v>66</v>
      </c>
      <c r="K14" s="78" t="s">
        <v>67</v>
      </c>
      <c r="L14" s="77"/>
      <c r="M14" s="81"/>
      <c r="N14" s="77"/>
      <c r="O14" s="77"/>
      <c r="P14" s="77"/>
    </row>
    <row r="15" spans="1:16" ht="51" customHeight="1">
      <c r="A15" s="45" t="str">
        <v>Cokato - Eastlake Laurel Village</v>
      </c>
      <c r="B15" s="42" t="str">
        <v>MN</v>
      </c>
      <c r="C15" s="35">
        <v>192745.31390000001</v>
      </c>
      <c r="D15" s="36" t="s">
        <v>43</v>
      </c>
      <c r="E15" s="36" t="str">
        <f t="shared" si="4"/>
        <v/>
      </c>
      <c r="F15" s="37" t="str">
        <f t="shared" si="5"/>
        <v/>
      </c>
      <c r="G15" s="38">
        <v>177944.7</v>
      </c>
      <c r="H15" s="38">
        <f t="shared" si="6"/>
        <v>14800.613899999997</v>
      </c>
      <c r="I15" s="37">
        <f t="shared" si="7"/>
        <v>8.3175356725994062E-2</v>
      </c>
      <c r="J15" s="60" t="s">
        <v>68</v>
      </c>
      <c r="K15" s="75" t="s">
        <v>69</v>
      </c>
      <c r="L15" s="76" t="s">
        <v>70</v>
      </c>
      <c r="M15" s="81"/>
      <c r="N15" s="77"/>
      <c r="O15" s="77"/>
      <c r="P15" s="77"/>
    </row>
    <row r="16" spans="1:16" ht="21" customHeight="1">
      <c r="A16" s="46" t="str">
        <v>St. Peter - Eastlake Paulson</v>
      </c>
      <c r="B16" s="40" t="str">
        <v>MN</v>
      </c>
      <c r="C16" s="28">
        <v>167620.9295</v>
      </c>
      <c r="D16" s="29" t="s">
        <v>43</v>
      </c>
      <c r="E16" s="29" t="str">
        <f t="shared" si="4"/>
        <v/>
      </c>
      <c r="F16" s="30" t="str">
        <f t="shared" si="5"/>
        <v/>
      </c>
      <c r="G16" s="31">
        <v>165236.6</v>
      </c>
      <c r="H16" s="31">
        <f t="shared" si="6"/>
        <v>2384.3294999999925</v>
      </c>
      <c r="I16" s="32">
        <f t="shared" si="7"/>
        <v>1.4429790373319182E-2</v>
      </c>
      <c r="J16" s="62"/>
      <c r="K16" s="53"/>
      <c r="L16" s="77"/>
      <c r="M16" s="81"/>
      <c r="N16" s="77"/>
      <c r="O16" s="77"/>
      <c r="P16" s="77"/>
    </row>
    <row r="17" spans="1:16" ht="16.5" customHeight="1">
      <c r="A17" s="45" t="str">
        <v>Felician Sisters Convent</v>
      </c>
      <c r="B17" s="42" t="str">
        <v>NJ</v>
      </c>
      <c r="C17" s="35">
        <v>34597.199999999997</v>
      </c>
      <c r="D17" s="36" t="s">
        <v>43</v>
      </c>
      <c r="E17" s="36" t="str">
        <f t="shared" si="4"/>
        <v/>
      </c>
      <c r="F17" s="37" t="str">
        <f t="shared" si="5"/>
        <v/>
      </c>
      <c r="G17" s="38"/>
      <c r="H17" s="38" t="str">
        <f t="shared" si="6"/>
        <v/>
      </c>
      <c r="I17" s="37" t="str">
        <f t="shared" si="7"/>
        <v/>
      </c>
      <c r="J17" s="54" t="s">
        <v>71</v>
      </c>
      <c r="K17" s="80" t="s">
        <v>72</v>
      </c>
      <c r="L17" s="77"/>
      <c r="M17" s="81"/>
      <c r="N17" s="77"/>
      <c r="O17" s="77"/>
      <c r="P17" s="77"/>
    </row>
    <row r="18" spans="1:16" ht="59.25" customHeight="1">
      <c r="A18" s="46" t="str">
        <v>Sussex County Fairgrounds</v>
      </c>
      <c r="B18" s="40" t="str">
        <v>NJ</v>
      </c>
      <c r="C18" s="28">
        <v>44370</v>
      </c>
      <c r="D18" s="29" t="s">
        <v>43</v>
      </c>
      <c r="E18" s="29" t="str">
        <f t="shared" si="4"/>
        <v/>
      </c>
      <c r="F18" s="30" t="str">
        <f t="shared" si="5"/>
        <v/>
      </c>
      <c r="G18" s="73" t="s">
        <v>43</v>
      </c>
      <c r="H18" s="31" t="str">
        <f t="shared" si="6"/>
        <v/>
      </c>
      <c r="I18" s="32" t="str">
        <f t="shared" si="7"/>
        <v/>
      </c>
      <c r="J18" s="62" t="s">
        <v>73</v>
      </c>
      <c r="K18" s="78" t="s">
        <v>74</v>
      </c>
      <c r="L18" s="77"/>
      <c r="M18" s="81"/>
      <c r="N18" s="77"/>
      <c r="O18" s="77"/>
      <c r="P18" s="77"/>
    </row>
    <row r="19" spans="1:16" ht="85.5" customHeight="1">
      <c r="A19" s="45" t="str">
        <v>Gateway Church</v>
      </c>
      <c r="B19" s="42" t="str">
        <v>NJ</v>
      </c>
      <c r="C19" s="35">
        <v>26234</v>
      </c>
      <c r="D19" s="36" t="s">
        <v>43</v>
      </c>
      <c r="E19" s="36" t="str">
        <f t="shared" si="4"/>
        <v/>
      </c>
      <c r="F19" s="37" t="str">
        <f t="shared" si="5"/>
        <v/>
      </c>
      <c r="G19" s="74" t="s">
        <v>43</v>
      </c>
      <c r="H19" s="38" t="str">
        <f t="shared" si="6"/>
        <v/>
      </c>
      <c r="I19" s="37" t="str">
        <f t="shared" si="7"/>
        <v/>
      </c>
      <c r="J19" s="60" t="s">
        <v>75</v>
      </c>
      <c r="K19" s="75" t="s">
        <v>76</v>
      </c>
      <c r="L19" s="76" t="s">
        <v>77</v>
      </c>
      <c r="M19" s="81"/>
      <c r="N19" s="77"/>
      <c r="O19" s="77"/>
      <c r="P19" s="77"/>
    </row>
    <row r="20" spans="1:16" ht="21" customHeight="1">
      <c r="A20" s="46" t="str">
        <v>Beaver Falls - Felician Sisters</v>
      </c>
      <c r="B20" s="40" t="str">
        <v>PA</v>
      </c>
      <c r="C20" s="28">
        <v>36640</v>
      </c>
      <c r="D20" s="29" t="s">
        <v>43</v>
      </c>
      <c r="E20" s="29" t="str">
        <f t="shared" si="4"/>
        <v/>
      </c>
      <c r="F20" s="30" t="str">
        <f t="shared" si="5"/>
        <v/>
      </c>
      <c r="G20" s="73" t="s">
        <v>43</v>
      </c>
      <c r="H20" s="31" t="str">
        <f t="shared" si="6"/>
        <v/>
      </c>
      <c r="I20" s="32" t="str">
        <f t="shared" si="7"/>
        <v/>
      </c>
      <c r="J20" s="53"/>
      <c r="K20" s="53"/>
      <c r="L20" s="77"/>
      <c r="M20" s="81"/>
      <c r="N20" s="77"/>
      <c r="O20" s="77"/>
      <c r="P20" s="77"/>
    </row>
    <row r="21" spans="1:16" ht="36.75" customHeight="1">
      <c r="A21" s="45" t="str">
        <v>Livonia - Felician Sisters Ground</v>
      </c>
      <c r="B21" s="42" t="str">
        <v>MI</v>
      </c>
      <c r="C21" s="35">
        <v>0</v>
      </c>
      <c r="D21" s="36" t="s">
        <v>43</v>
      </c>
      <c r="E21" s="36" t="str">
        <f t="shared" si="4"/>
        <v/>
      </c>
      <c r="F21" s="37" t="str">
        <f t="shared" si="5"/>
        <v/>
      </c>
      <c r="G21" s="74" t="s">
        <v>43</v>
      </c>
      <c r="H21" s="38" t="str">
        <f t="shared" si="6"/>
        <v/>
      </c>
      <c r="I21" s="37" t="str">
        <f t="shared" si="7"/>
        <v/>
      </c>
      <c r="J21" s="54" t="s">
        <v>78</v>
      </c>
      <c r="K21" s="80" t="s">
        <v>79</v>
      </c>
      <c r="L21" s="76" t="s">
        <v>80</v>
      </c>
      <c r="M21" s="81"/>
      <c r="N21" s="77"/>
      <c r="O21" s="77"/>
      <c r="P21" s="77"/>
    </row>
    <row r="22" spans="1:16" ht="21" customHeight="1">
      <c r="A22" s="46" t="str">
        <v>Livonia - Felician Sisters Roof</v>
      </c>
      <c r="B22" s="40" t="str">
        <v>MI</v>
      </c>
      <c r="C22" s="28">
        <v>12782</v>
      </c>
      <c r="D22" s="29" t="s">
        <v>43</v>
      </c>
      <c r="E22" s="29" t="str">
        <f t="shared" si="4"/>
        <v/>
      </c>
      <c r="F22" s="30" t="str">
        <f t="shared" si="5"/>
        <v/>
      </c>
      <c r="G22" s="73" t="s">
        <v>43</v>
      </c>
      <c r="H22" s="31" t="str">
        <f t="shared" si="6"/>
        <v/>
      </c>
      <c r="I22" s="32" t="str">
        <f t="shared" si="7"/>
        <v/>
      </c>
      <c r="J22" s="53"/>
      <c r="K22" s="53"/>
      <c r="M22" s="52"/>
    </row>
    <row r="23" spans="1:16" ht="21" customHeight="1">
      <c r="A23" s="45" t="str">
        <v>Monmouth Worship Ctr</v>
      </c>
      <c r="B23" s="42" t="str">
        <v>NJ</v>
      </c>
      <c r="C23" s="35">
        <v>11687.5</v>
      </c>
      <c r="D23" s="36" t="s">
        <v>43</v>
      </c>
      <c r="E23" s="36" t="str">
        <f t="shared" si="4"/>
        <v/>
      </c>
      <c r="F23" s="37" t="str">
        <f t="shared" si="5"/>
        <v/>
      </c>
      <c r="G23" s="74" t="s">
        <v>43</v>
      </c>
      <c r="H23" s="38" t="str">
        <f t="shared" si="6"/>
        <v/>
      </c>
      <c r="I23" s="37" t="str">
        <f t="shared" si="7"/>
        <v/>
      </c>
      <c r="J23" s="54"/>
      <c r="K23" s="55"/>
      <c r="M23" s="52"/>
    </row>
    <row r="24" spans="1:16" ht="21" customHeight="1">
      <c r="A24" s="46" t="str">
        <v xml:space="preserve"> Audubon - Senior Citizens United</v>
      </c>
      <c r="B24" s="40" t="str">
        <v>NJ</v>
      </c>
      <c r="C24" s="28">
        <v>8714.2000000000007</v>
      </c>
      <c r="D24" s="29" t="s">
        <v>43</v>
      </c>
      <c r="E24" s="29" t="str">
        <f t="shared" si="4"/>
        <v/>
      </c>
      <c r="F24" s="30" t="str">
        <f t="shared" si="5"/>
        <v/>
      </c>
      <c r="G24" s="73" t="s">
        <v>43</v>
      </c>
      <c r="H24" s="31" t="str">
        <f t="shared" si="6"/>
        <v/>
      </c>
      <c r="I24" s="32" t="str">
        <f t="shared" si="7"/>
        <v/>
      </c>
      <c r="J24" s="53"/>
      <c r="K24" s="53"/>
      <c r="M24" s="52"/>
    </row>
    <row r="25" spans="1:16" ht="14.45">
      <c r="A25" s="8" t="str">
        <v>Hollister - PG&amp;E (Enerparc)</v>
      </c>
      <c r="B25" s="13" t="str">
        <v>CA</v>
      </c>
      <c r="C25" s="8"/>
      <c r="D25" s="8"/>
      <c r="E25" s="8"/>
      <c r="F25" s="9"/>
      <c r="G25" s="8"/>
      <c r="H25" s="8"/>
      <c r="I25" s="9"/>
      <c r="J25" s="8"/>
      <c r="K25" s="8"/>
      <c r="M25" s="52"/>
    </row>
    <row r="26" spans="1:16" ht="14.45">
      <c r="A26" s="8" t="str">
        <v>Taos County - Kit Carson Electric Co-Op</v>
      </c>
      <c r="B26" s="13" t="str">
        <v>NM</v>
      </c>
      <c r="C26" s="8"/>
      <c r="D26" s="8"/>
      <c r="E26" s="8"/>
      <c r="F26" s="9"/>
      <c r="G26" s="8"/>
      <c r="H26" s="8"/>
      <c r="I26" s="9"/>
      <c r="J26" s="8"/>
      <c r="K26" s="8"/>
      <c r="M26" s="52"/>
    </row>
    <row r="27" spans="1:16" ht="14.45">
      <c r="A27" s="8" t="str">
        <v>Commerce City - Adams City HS</v>
      </c>
      <c r="B27" s="13" t="str">
        <v>CO</v>
      </c>
      <c r="C27" s="8"/>
      <c r="D27" s="8"/>
      <c r="E27" s="8"/>
      <c r="F27" s="9"/>
      <c r="G27" s="8"/>
      <c r="H27" s="8"/>
      <c r="I27" s="9"/>
      <c r="J27" s="8"/>
      <c r="K27" s="8"/>
      <c r="M27" s="52"/>
    </row>
    <row r="28" spans="1:16" ht="14.45">
      <c r="A28" s="8" t="str">
        <v>Commerce City - Adams City MS</v>
      </c>
      <c r="B28" s="13" t="str">
        <v>CO</v>
      </c>
      <c r="C28" s="8"/>
      <c r="D28" s="8"/>
      <c r="E28" s="8"/>
      <c r="F28" s="9"/>
      <c r="G28" s="8"/>
      <c r="H28" s="8"/>
      <c r="I28" s="9"/>
      <c r="J28" s="8"/>
      <c r="K28" s="8"/>
      <c r="M28" s="52"/>
    </row>
    <row r="29" spans="1:16" ht="14.45">
      <c r="A29" s="8" t="str">
        <v>Commerce City - Central ES</v>
      </c>
      <c r="B29" s="13" t="str">
        <v>CO</v>
      </c>
      <c r="C29" s="8"/>
      <c r="D29" s="8"/>
      <c r="E29" s="8"/>
      <c r="F29" s="9"/>
      <c r="G29" s="8"/>
      <c r="H29" s="8"/>
      <c r="I29" s="9"/>
      <c r="J29" s="8"/>
      <c r="K29" s="8"/>
      <c r="M29" s="52"/>
    </row>
    <row r="30" spans="1:16" ht="14.45">
      <c r="A30" s="8" t="str">
        <v>Commerce City - Dupont ES</v>
      </c>
      <c r="B30" s="13" t="str">
        <v>CO</v>
      </c>
      <c r="C30" s="8"/>
      <c r="D30" s="8"/>
      <c r="E30" s="8"/>
      <c r="F30" s="9"/>
      <c r="G30" s="8"/>
      <c r="H30" s="8"/>
      <c r="I30" s="9"/>
      <c r="J30" s="8"/>
      <c r="K30" s="8"/>
      <c r="M30" s="52"/>
    </row>
    <row r="31" spans="1:16" ht="14.45">
      <c r="A31" s="8" t="str">
        <v>Commerce City - Educational Support Services</v>
      </c>
      <c r="B31" s="13" t="str">
        <v>CO</v>
      </c>
      <c r="C31" s="8"/>
      <c r="D31" s="8"/>
      <c r="E31" s="8"/>
      <c r="F31" s="9"/>
      <c r="G31" s="8"/>
      <c r="H31" s="8"/>
      <c r="I31" s="9"/>
      <c r="J31" s="8"/>
      <c r="K31" s="8"/>
      <c r="M31" s="52"/>
    </row>
    <row r="32" spans="1:16" ht="14.45">
      <c r="A32" s="8" t="str">
        <v>Commerce City - Hanson ES</v>
      </c>
      <c r="B32" s="13" t="str">
        <v>CO</v>
      </c>
      <c r="C32" s="8"/>
      <c r="D32" s="8"/>
      <c r="E32" s="8"/>
      <c r="F32" s="9"/>
      <c r="G32" s="8"/>
      <c r="H32" s="8"/>
      <c r="I32" s="9"/>
      <c r="J32" s="8"/>
      <c r="K32" s="8"/>
      <c r="M32" s="52"/>
    </row>
    <row r="33" spans="1:13" ht="14.45">
      <c r="A33" s="8" t="str">
        <v>Commerce City - Kemp ES</v>
      </c>
      <c r="B33" s="13" t="str">
        <v>CO</v>
      </c>
      <c r="C33" s="8"/>
      <c r="D33" s="8"/>
      <c r="E33" s="8"/>
      <c r="F33" s="9"/>
      <c r="G33" s="8"/>
      <c r="H33" s="8"/>
      <c r="I33" s="9"/>
      <c r="J33" s="8"/>
      <c r="K33" s="8"/>
      <c r="M33" s="52"/>
    </row>
    <row r="34" spans="1:13" ht="14.45">
      <c r="A34" s="8" t="str">
        <v>Commerce City -  Lester Arnold HS</v>
      </c>
      <c r="B34" s="13" t="str">
        <v>CO</v>
      </c>
      <c r="C34" s="8"/>
      <c r="D34" s="8"/>
      <c r="E34" s="8"/>
      <c r="F34" s="9"/>
      <c r="G34" s="8"/>
      <c r="H34" s="8"/>
      <c r="I34" s="9"/>
      <c r="J34" s="8"/>
      <c r="K34" s="8"/>
      <c r="M34" s="52"/>
    </row>
    <row r="35" spans="1:13" ht="14.45">
      <c r="A35" s="8" t="str">
        <v>Commerce City - Monaco ES</v>
      </c>
      <c r="B35" s="13" t="str">
        <v>CO</v>
      </c>
      <c r="C35" s="8"/>
      <c r="D35" s="8"/>
      <c r="E35" s="8"/>
      <c r="F35" s="9"/>
      <c r="G35" s="8"/>
      <c r="H35" s="8"/>
      <c r="I35" s="9"/>
      <c r="J35" s="8"/>
      <c r="K35" s="8"/>
    </row>
    <row r="36" spans="1:13" ht="14.45">
      <c r="A36" s="8" t="str">
        <v>Denver - Northgate / Old Fort Logan ES</v>
      </c>
      <c r="B36" s="13" t="str">
        <v>CO</v>
      </c>
      <c r="C36" s="8"/>
      <c r="D36" s="8"/>
      <c r="E36" s="8"/>
      <c r="F36" s="9"/>
      <c r="G36" s="8"/>
      <c r="H36" s="8"/>
      <c r="I36" s="9"/>
      <c r="J36" s="8"/>
      <c r="K36" s="8"/>
    </row>
    <row r="37" spans="1:13" ht="14.45">
      <c r="A37" s="8" t="str">
        <v>Denver - Sheridan High School</v>
      </c>
      <c r="B37" s="13" t="str">
        <v>CO</v>
      </c>
      <c r="C37" s="8"/>
      <c r="D37" s="8"/>
      <c r="E37" s="8"/>
      <c r="F37" s="9"/>
      <c r="G37" s="8"/>
      <c r="H37" s="8"/>
      <c r="I37" s="9"/>
      <c r="J37" s="8"/>
      <c r="K37" s="8"/>
    </row>
    <row r="38" spans="1:13" ht="14.45">
      <c r="A38" s="8" t="str">
        <v>Englewood -  Alice Terry Elementary</v>
      </c>
      <c r="B38" s="13" t="str">
        <v>CO</v>
      </c>
      <c r="C38" s="8"/>
      <c r="D38" s="8"/>
      <c r="E38" s="8"/>
      <c r="F38" s="9"/>
      <c r="G38" s="8"/>
      <c r="H38" s="8"/>
      <c r="I38" s="9"/>
      <c r="J38" s="8"/>
      <c r="K38" s="8"/>
    </row>
    <row r="39" spans="1:13" ht="14.45">
      <c r="A39" s="8" t="str">
        <v>Englewood - Sheridan Middle School</v>
      </c>
      <c r="B39" s="13" t="str">
        <v>CO</v>
      </c>
      <c r="C39" s="8"/>
      <c r="D39" s="8"/>
      <c r="E39" s="8"/>
      <c r="F39" s="9"/>
      <c r="G39" s="8"/>
      <c r="H39" s="8"/>
      <c r="I39" s="9"/>
      <c r="J39" s="8"/>
      <c r="K39" s="8"/>
    </row>
    <row r="40" spans="1:13" ht="14.45">
      <c r="A40" s="8" t="str">
        <v>Goshen - NIPSCO</v>
      </c>
      <c r="B40" s="13" t="str">
        <v>IN</v>
      </c>
      <c r="C40" s="8"/>
      <c r="D40" s="8"/>
      <c r="E40" s="8"/>
      <c r="F40" s="9"/>
      <c r="G40" s="8"/>
      <c r="H40" s="8"/>
      <c r="I40" s="9"/>
      <c r="J40" s="8"/>
      <c r="K40" s="8"/>
    </row>
    <row r="41" spans="1:13" ht="14.45">
      <c r="A41" s="8" t="str">
        <v>Alamogordo - City of Alamogordo - Effluent</v>
      </c>
      <c r="B41" s="13" t="str">
        <v>NM</v>
      </c>
      <c r="C41" s="8"/>
      <c r="D41" s="8"/>
      <c r="E41" s="8"/>
      <c r="F41" s="9"/>
      <c r="G41" s="8"/>
      <c r="H41" s="8"/>
      <c r="I41" s="9"/>
      <c r="J41" s="8"/>
      <c r="K41" s="8"/>
    </row>
    <row r="42" spans="1:13" ht="14.45">
      <c r="A42" s="8" t="str">
        <v>Alamogordo - City of Alamogordo - WWTP</v>
      </c>
      <c r="B42" s="13" t="str">
        <v>NM</v>
      </c>
      <c r="C42" s="8"/>
      <c r="D42" s="8"/>
      <c r="E42" s="8"/>
      <c r="F42" s="9"/>
      <c r="G42" s="8"/>
      <c r="H42" s="8"/>
      <c r="I42" s="9"/>
      <c r="J42" s="8"/>
      <c r="K42" s="8"/>
    </row>
    <row r="43" spans="1:13" ht="14.45">
      <c r="A43" s="8" t="str">
        <v>Deming - Bilbo Booster</v>
      </c>
      <c r="B43" s="13" t="str">
        <v>NM</v>
      </c>
      <c r="C43" s="8"/>
      <c r="D43" s="8"/>
      <c r="E43" s="8"/>
      <c r="F43" s="9"/>
      <c r="G43" s="8"/>
      <c r="H43" s="8"/>
      <c r="I43" s="9"/>
      <c r="J43" s="8"/>
      <c r="K43" s="8"/>
    </row>
    <row r="44" spans="1:13" ht="14.45">
      <c r="A44" s="8" t="str">
        <v>Deming - Bilbo Well</v>
      </c>
      <c r="B44" s="13" t="str">
        <v>NM</v>
      </c>
      <c r="C44" s="8"/>
      <c r="D44" s="8"/>
      <c r="E44" s="8"/>
      <c r="F44" s="9"/>
      <c r="G44" s="8"/>
      <c r="H44" s="8"/>
      <c r="I44" s="9"/>
      <c r="J44" s="8"/>
      <c r="K44" s="8"/>
    </row>
    <row r="45" spans="1:13" ht="14.45">
      <c r="A45" s="8" t="str">
        <v>Deming - WWTP</v>
      </c>
      <c r="B45" s="13" t="str">
        <v>NM</v>
      </c>
      <c r="C45" s="8"/>
      <c r="D45" s="8"/>
      <c r="E45" s="8"/>
      <c r="F45" s="9"/>
      <c r="G45" s="8"/>
      <c r="H45" s="8"/>
      <c r="I45" s="9"/>
      <c r="J45" s="8"/>
      <c r="K45" s="8"/>
    </row>
    <row r="46" spans="1:13" ht="14.45">
      <c r="A46" s="8" t="str">
        <v>Truth or Consequences - Walmart</v>
      </c>
      <c r="B46" s="13" t="str">
        <v>NM</v>
      </c>
      <c r="C46" s="8"/>
      <c r="D46" s="8"/>
      <c r="E46" s="8"/>
      <c r="F46" s="9"/>
      <c r="G46" s="8"/>
      <c r="H46" s="8"/>
      <c r="I46" s="9"/>
      <c r="J46" s="8"/>
      <c r="K46" s="8"/>
    </row>
    <row r="47" spans="1:13" ht="14.45">
      <c r="A47" s="8" t="str">
        <v>CA: Stockton - SUSD - Merlo</v>
      </c>
      <c r="B47" s="13" t="str">
        <v>CA</v>
      </c>
      <c r="C47" s="8"/>
      <c r="D47" s="8"/>
      <c r="E47" s="8"/>
      <c r="F47" s="9"/>
      <c r="G47" s="8"/>
      <c r="H47" s="8"/>
      <c r="I47" s="9"/>
      <c r="J47" s="8"/>
      <c r="K47" s="8"/>
    </row>
    <row r="48" spans="1:13"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5368" xr:uid="{297E6928-4B4A-4EF0-8C71-9190C691A012}"/>
    <hyperlink ref="L4" r:id="rId2" display="https://us3.assetplanner.com/service_request?ID=097850" xr:uid="{BD76DBF8-E6F0-4048-88B5-9B261BC50F53}"/>
    <hyperlink ref="K5" r:id="rId3" display="https://us3.assetplanner.com/service_request?ID=097975" xr:uid="{EA604493-7104-40A2-8D93-4615D7D26EAC}"/>
    <hyperlink ref="L5" r:id="rId4" display="https://us3.assetplanner.com/service_request?ID=097975" xr:uid="{34513E3A-55F7-4F79-AC43-3F49463E1F40}"/>
    <hyperlink ref="M5" r:id="rId5" display="https://us3.assetplanner.com/service_request?ID=098262" xr:uid="{EE95123B-89E9-4FD6-AB16-1D9B6076CDA5}"/>
    <hyperlink ref="N5" r:id="rId6" display="https://us3.assetplanner.com/service_request?ID=098783" xr:uid="{3992E0A8-790F-45CB-BF37-B840C9C6B54F}"/>
    <hyperlink ref="O5" r:id="rId7" display="https://us3.assetplanner.com/service_request?ID=097783" xr:uid="{12AEBADB-14FE-47FA-BF5B-8871A9CC0B93}"/>
    <hyperlink ref="P5" r:id="rId8" display="https://us3.assetplanner.com/service_request?ID=098428" xr:uid="{E1604669-0B9F-452C-93D5-29A71E902974}"/>
    <hyperlink ref="K7" r:id="rId9" display="https://us3.assetplanner.com/service_request?ID=096262" xr:uid="{EA02246F-49C4-4229-A7FA-8B022E22A617}"/>
    <hyperlink ref="L7" r:id="rId10" display="https://us3.assetplanner.com/service_request?ID=099066" xr:uid="{20FFCEC8-4064-40FF-96C0-23D325901C42}"/>
    <hyperlink ref="K8" r:id="rId11" display="https://us3.assetplanner.com/service_request?ID=098870" xr:uid="{9F56D8F7-1732-499B-B614-82B5E57641C4}"/>
    <hyperlink ref="K11" r:id="rId12" display="https://us3.assetplanner.com/service_request?ID=098497" xr:uid="{FEB79FFB-DFE5-4FE6-AA78-C684A579F7B7}"/>
    <hyperlink ref="L11" r:id="rId13" display="https://us3.assetplanner.com/service_request?ID=098613" xr:uid="{B8678B24-0FB9-4EEE-81F5-EA904E65107F}"/>
    <hyperlink ref="K12" r:id="rId14" display="https://us3.assetplanner.com/service_request?ID=098046" xr:uid="{68D40A0B-418D-4660-9534-1D5BBCAD1B66}"/>
    <hyperlink ref="L12" r:id="rId15" display="https://us3.assetplanner.com/service_request?ID=098496" xr:uid="{0452EBD7-0703-41F8-BC34-A6E20529AB8A}"/>
    <hyperlink ref="M12" r:id="rId16" display="https://us3.assetplanner.com/service_request?ID=098614" xr:uid="{D173FE29-D87F-40B3-B1E7-36789A3C527C}"/>
    <hyperlink ref="K13" r:id="rId17" display="https://us3.assetplanner.com/service_request?ID=098047" xr:uid="{4C1A18D9-8D1F-4895-9BA8-AE5E51CCAD62}"/>
    <hyperlink ref="L13" r:id="rId18" display="https://us3.assetplanner.com/service_request?ID=099230" xr:uid="{F4413B6D-8E54-4F64-A68D-3DBE4C7E237B}"/>
    <hyperlink ref="K14" r:id="rId19" display="https://us3.assetplanner.com/service_request?ID=099167" xr:uid="{45B76ED4-79F3-40E1-A5B2-760240A8C90D}"/>
    <hyperlink ref="K15" r:id="rId20" display="https://us3.assetplanner.com/service_request?ID=098048" xr:uid="{6CBF1DDF-6EA0-41BA-A7A5-289DF983572A}"/>
    <hyperlink ref="L15" r:id="rId21" display="https://us3.assetplanner.com/service_request?ID=099150" xr:uid="{693E4E51-6818-4415-876E-C9558C0AFB90}"/>
    <hyperlink ref="K17" r:id="rId22" display="https://us3.assetplanner.com/service_request?ID=098818" xr:uid="{3F961D29-09A0-4AE3-BCC9-6A84B2748D09}"/>
    <hyperlink ref="K18" r:id="rId23" display="https://us3.assetplanner.com/service_request?ID=098819" xr:uid="{23CDDFAF-9E30-405A-81AE-4FADF06B91F9}"/>
    <hyperlink ref="K19" r:id="rId24" display="https://us3.assetplanner.com/service_request?ID=098076" xr:uid="{970D6C1E-D7BA-4AF7-85A4-E26322488E91}"/>
    <hyperlink ref="L19" r:id="rId25" display="https://us3.assetplanner.com/service_request?ID=098231" xr:uid="{AC4198AD-8D30-4B0A-9791-8141268A9F7B}"/>
    <hyperlink ref="K21" r:id="rId26" display="https://us3.assetplanner.com/service_request?ID=098015" xr:uid="{A87533E8-CD30-4D28-84B7-E0AEB2059298}"/>
    <hyperlink ref="L21" r:id="rId27" display="https://us3.assetplanner.com/service_request?ID=098016" xr:uid="{84EB6EFC-8990-480C-8FF3-FA88A715AEB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zoomScale="80" zoomScaleNormal="80" workbookViewId="0">
      <pane xSplit="2" ySplit="3" topLeftCell="H17" activePane="bottomRight" state="frozen"/>
      <selection pane="bottomRight" activeCell="H30" sqref="H3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7"/>
  </cols>
  <sheetData>
    <row r="1" spans="1:15" ht="19.5" customHeight="1">
      <c r="A1" s="119" t="str" cm="1">
        <f t="array" ref="A1">portfolio</f>
        <v>Clean Capital</v>
      </c>
      <c r="B1" s="119"/>
      <c r="C1" s="119"/>
      <c r="D1" s="120" t="s">
        <v>81</v>
      </c>
      <c r="E1" s="120"/>
      <c r="F1" s="120"/>
      <c r="G1" s="118" t="s">
        <v>82</v>
      </c>
      <c r="H1" s="118"/>
      <c r="I1" s="118"/>
      <c r="J1" s="4"/>
      <c r="K1" s="4"/>
    </row>
    <row r="2" spans="1:15" ht="19.5" customHeight="1">
      <c r="A2" s="121" t="s">
        <v>2</v>
      </c>
      <c r="B2" s="121"/>
      <c r="C2" s="5">
        <f>SUM(C4:C85)</f>
        <v>1758365.2870908768</v>
      </c>
      <c r="D2" s="5">
        <f>SUM(D4:D85)</f>
        <v>0</v>
      </c>
      <c r="E2" s="5">
        <f>C2-D2</f>
        <v>1758365.2870908768</v>
      </c>
      <c r="F2" s="6">
        <f>IFERROR(E2/D2, 0)</f>
        <v>0</v>
      </c>
      <c r="G2" s="5">
        <f>SUM(G4:G85)</f>
        <v>1632050.7</v>
      </c>
      <c r="H2" s="7">
        <f>C2-G2</f>
        <v>126314.58709087688</v>
      </c>
      <c r="I2" s="6">
        <f>IFERROR(H2/G2, 0)</f>
        <v>7.7396239645543416E-2</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72">
      <c r="A4" s="85" t="str" cm="1">
        <f t="array" ref="A4:A85">Sites[Site]</f>
        <v>Lexington - Cotting School</v>
      </c>
      <c r="B4" s="40" t="str" cm="1">
        <f t="array" ref="B4:B85">Sites[State]</f>
        <v>MA</v>
      </c>
      <c r="C4" s="28">
        <v>3263.0479999999998</v>
      </c>
      <c r="D4" s="29" t="s">
        <v>43</v>
      </c>
      <c r="E4" s="29" t="str">
        <f>IF(AND(ISNUMBER(C4),ISNUMBER(D4)), C4-D4, "")</f>
        <v/>
      </c>
      <c r="F4" s="30" t="str">
        <f>IFERROR(E4/D4, "")</f>
        <v/>
      </c>
      <c r="G4" s="73" t="s">
        <v>43</v>
      </c>
      <c r="H4" s="31" t="str">
        <f>IF(AND(ISNUMBER(C4),ISNUMBER(G4)), C4-G4, "")</f>
        <v/>
      </c>
      <c r="I4" s="32" t="str">
        <f>IFERROR(H4/G4, "")</f>
        <v/>
      </c>
      <c r="J4" s="62" t="s">
        <v>83</v>
      </c>
      <c r="K4" s="67" t="s">
        <v>84</v>
      </c>
      <c r="L4" s="76" t="s">
        <v>85</v>
      </c>
      <c r="M4" s="76" t="s">
        <v>86</v>
      </c>
    </row>
    <row r="5" spans="1:15" ht="158.44999999999999">
      <c r="A5" s="41" t="str">
        <v>Pacoima - Whiteman Airport</v>
      </c>
      <c r="B5" s="42" t="str">
        <v>CA</v>
      </c>
      <c r="C5" s="35">
        <v>38033.5</v>
      </c>
      <c r="D5" s="36" t="s">
        <v>43</v>
      </c>
      <c r="E5" s="36" t="str">
        <f t="shared" ref="E5:E12" si="0">IF(AND(ISNUMBER(C5),ISNUMBER(D5)), C5-D5, "")</f>
        <v/>
      </c>
      <c r="F5" s="37" t="str">
        <f>IFERROR(E5/D5, "")</f>
        <v/>
      </c>
      <c r="G5" s="56">
        <v>57200</v>
      </c>
      <c r="H5" s="38">
        <f t="shared" ref="H5:H24" si="1">IF(AND(ISNUMBER(C5),ISNUMBER(G5)), C5-G5, "")</f>
        <v>-19166.5</v>
      </c>
      <c r="I5" s="37">
        <f t="shared" ref="I5:I24" si="2">IFERROR(H5/G5, "")</f>
        <v>-0.33507867132867131</v>
      </c>
      <c r="J5" s="86" t="s">
        <v>87</v>
      </c>
      <c r="K5" s="68" t="s">
        <v>88</v>
      </c>
      <c r="L5" s="76" t="s">
        <v>47</v>
      </c>
      <c r="M5" s="76" t="s">
        <v>89</v>
      </c>
      <c r="N5" s="76" t="s">
        <v>90</v>
      </c>
      <c r="O5" s="76" t="s">
        <v>35</v>
      </c>
    </row>
    <row r="6" spans="1:15" ht="30" customHeight="1">
      <c r="A6" s="43" t="str">
        <v>Hyannis - Sturgis Charter School</v>
      </c>
      <c r="B6" s="40" t="str">
        <v>MA</v>
      </c>
      <c r="C6" s="28">
        <v>31798.899536132802</v>
      </c>
      <c r="D6" s="29" t="s">
        <v>43</v>
      </c>
      <c r="E6" s="29" t="str">
        <f t="shared" si="0"/>
        <v/>
      </c>
      <c r="F6" s="30" t="str">
        <f t="shared" ref="F6:F12" si="3">IFERROR(E6/D6, "")</f>
        <v/>
      </c>
      <c r="G6" s="31">
        <v>32170</v>
      </c>
      <c r="H6" s="31">
        <f t="shared" si="1"/>
        <v>-371.10046386719841</v>
      </c>
      <c r="I6" s="32">
        <f t="shared" si="2"/>
        <v>-1.1535606585862555E-2</v>
      </c>
      <c r="J6" s="62"/>
      <c r="K6" s="49"/>
    </row>
    <row r="7" spans="1:15" ht="54.75" customHeight="1">
      <c r="A7" s="41" t="str">
        <v>South Dennis - Tony Kent Arena</v>
      </c>
      <c r="B7" s="42" t="str">
        <v>MA</v>
      </c>
      <c r="C7" s="35">
        <v>36670.400000000001</v>
      </c>
      <c r="D7" s="36" t="s">
        <v>43</v>
      </c>
      <c r="E7" s="36" t="str">
        <f t="shared" si="0"/>
        <v/>
      </c>
      <c r="F7" s="37" t="str">
        <f t="shared" si="3"/>
        <v/>
      </c>
      <c r="G7" s="74" t="s">
        <v>43</v>
      </c>
      <c r="H7" s="38" t="str">
        <f t="shared" si="1"/>
        <v/>
      </c>
      <c r="I7" s="37" t="str">
        <f t="shared" si="2"/>
        <v/>
      </c>
      <c r="J7" s="86" t="s">
        <v>91</v>
      </c>
      <c r="K7" s="75" t="s">
        <v>92</v>
      </c>
      <c r="L7" s="76" t="s">
        <v>53</v>
      </c>
    </row>
    <row r="8" spans="1:15" ht="72">
      <c r="A8" s="43" t="str">
        <v xml:space="preserve"> Caropolis - Felician Sisters</v>
      </c>
      <c r="B8" s="40" t="str">
        <v>PA</v>
      </c>
      <c r="C8" s="28">
        <v>56484</v>
      </c>
      <c r="D8" s="29" t="s">
        <v>43</v>
      </c>
      <c r="E8" s="29" t="str">
        <f t="shared" si="0"/>
        <v/>
      </c>
      <c r="F8" s="30" t="str">
        <f t="shared" si="3"/>
        <v/>
      </c>
      <c r="G8" s="73" t="s">
        <v>43</v>
      </c>
      <c r="H8" s="31" t="str">
        <f t="shared" si="1"/>
        <v/>
      </c>
      <c r="I8" s="32" t="str">
        <f t="shared" si="2"/>
        <v/>
      </c>
      <c r="J8" s="62" t="s">
        <v>93</v>
      </c>
      <c r="K8" s="78" t="s">
        <v>94</v>
      </c>
      <c r="L8" s="76" t="s">
        <v>95</v>
      </c>
    </row>
    <row r="9" spans="1:15" ht="28.9">
      <c r="A9" s="41" t="str">
        <v>Clear Lake - Eastlake Gohman</v>
      </c>
      <c r="B9" s="42" t="str">
        <v>MN</v>
      </c>
      <c r="C9" s="35">
        <v>166857</v>
      </c>
      <c r="D9" s="36" t="s">
        <v>43</v>
      </c>
      <c r="E9" s="36" t="str">
        <f t="shared" si="0"/>
        <v/>
      </c>
      <c r="F9" s="37" t="str">
        <f t="shared" si="3"/>
        <v/>
      </c>
      <c r="G9" s="38">
        <v>175953.3</v>
      </c>
      <c r="H9" s="38">
        <f t="shared" si="1"/>
        <v>-9096.2999999999884</v>
      </c>
      <c r="I9" s="37">
        <f t="shared" si="2"/>
        <v>-5.1697240119963586E-2</v>
      </c>
      <c r="J9" s="86" t="s">
        <v>96</v>
      </c>
      <c r="K9" s="75" t="s">
        <v>97</v>
      </c>
    </row>
    <row r="10" spans="1:15" ht="15.6">
      <c r="A10" s="43" t="str">
        <v>Zumbrota - Eastlake Brenda Luhman</v>
      </c>
      <c r="B10" s="40" t="str">
        <v>MN</v>
      </c>
      <c r="C10" s="28">
        <v>171462</v>
      </c>
      <c r="D10" s="29" t="s">
        <v>43</v>
      </c>
      <c r="E10" s="29" t="str">
        <f t="shared" si="0"/>
        <v/>
      </c>
      <c r="F10" s="30" t="str">
        <f t="shared" si="3"/>
        <v/>
      </c>
      <c r="G10" s="31">
        <v>177314.6</v>
      </c>
      <c r="H10" s="31">
        <f t="shared" si="1"/>
        <v>-5852.6000000000058</v>
      </c>
      <c r="I10" s="32">
        <f t="shared" si="2"/>
        <v>-3.3006870274641824E-2</v>
      </c>
      <c r="J10" s="62"/>
      <c r="K10" s="62"/>
    </row>
    <row r="11" spans="1:15" ht="129.6">
      <c r="A11" s="41" t="str">
        <v>Cokato - Eastlake Carlson</v>
      </c>
      <c r="B11" s="42" t="str">
        <v>MN</v>
      </c>
      <c r="C11" s="35">
        <v>155585</v>
      </c>
      <c r="D11" s="36" t="s">
        <v>43</v>
      </c>
      <c r="E11" s="36" t="str">
        <f t="shared" si="0"/>
        <v/>
      </c>
      <c r="F11" s="37" t="str">
        <f t="shared" si="3"/>
        <v/>
      </c>
      <c r="G11" s="38">
        <v>195439.7</v>
      </c>
      <c r="H11" s="38">
        <f t="shared" si="1"/>
        <v>-39854.700000000012</v>
      </c>
      <c r="I11" s="37">
        <f t="shared" si="2"/>
        <v>-0.20392325612452336</v>
      </c>
      <c r="J11" s="86" t="s">
        <v>98</v>
      </c>
      <c r="K11" s="75" t="s">
        <v>99</v>
      </c>
      <c r="L11" s="76" t="s">
        <v>100</v>
      </c>
      <c r="M11" s="76" t="s">
        <v>101</v>
      </c>
    </row>
    <row r="12" spans="1:15" ht="72">
      <c r="A12" s="43" t="str">
        <v>North Branch - Cornille 2</v>
      </c>
      <c r="B12" s="40" t="str">
        <v>MN</v>
      </c>
      <c r="C12" s="28">
        <v>147463</v>
      </c>
      <c r="D12" s="29" t="s">
        <v>43</v>
      </c>
      <c r="E12" s="29" t="str">
        <f t="shared" si="0"/>
        <v/>
      </c>
      <c r="F12" s="30" t="str">
        <f t="shared" si="3"/>
        <v/>
      </c>
      <c r="G12" s="31">
        <v>178898.6</v>
      </c>
      <c r="H12" s="31">
        <f t="shared" si="1"/>
        <v>-31435.600000000006</v>
      </c>
      <c r="I12" s="32">
        <f t="shared" si="2"/>
        <v>-0.17571741757621359</v>
      </c>
      <c r="J12" s="62" t="s">
        <v>102</v>
      </c>
      <c r="K12" s="78" t="s">
        <v>103</v>
      </c>
      <c r="L12" s="76" t="s">
        <v>104</v>
      </c>
      <c r="M12" s="76" t="s">
        <v>105</v>
      </c>
    </row>
    <row r="13" spans="1:15" ht="86.45">
      <c r="A13" s="41" t="str">
        <v>Clear Lake - Eastlake Hammer</v>
      </c>
      <c r="B13" s="42" t="str">
        <v>MN</v>
      </c>
      <c r="C13" s="35">
        <v>193331.15</v>
      </c>
      <c r="D13" s="36" t="s">
        <v>43</v>
      </c>
      <c r="E13" s="36"/>
      <c r="F13" s="37"/>
      <c r="G13" s="38">
        <v>209933.6</v>
      </c>
      <c r="H13" s="38">
        <f t="shared" si="1"/>
        <v>-16602.450000000012</v>
      </c>
      <c r="I13" s="37">
        <f t="shared" si="2"/>
        <v>-7.9084291414047159E-2</v>
      </c>
      <c r="J13" s="86" t="s">
        <v>106</v>
      </c>
      <c r="K13" s="75" t="s">
        <v>107</v>
      </c>
      <c r="L13" s="76" t="s">
        <v>65</v>
      </c>
    </row>
    <row r="14" spans="1:15" ht="144">
      <c r="A14" s="43" t="str">
        <v>Eastlake - Hertzberg CSG 1</v>
      </c>
      <c r="B14" s="40" t="str">
        <v>MN</v>
      </c>
      <c r="C14" s="28">
        <v>202083.10312617201</v>
      </c>
      <c r="D14" s="29" t="s">
        <v>43</v>
      </c>
      <c r="E14" s="29"/>
      <c r="F14" s="30"/>
      <c r="G14" s="31">
        <v>204889.7</v>
      </c>
      <c r="H14" s="31">
        <f t="shared" si="1"/>
        <v>-2806.5968738280062</v>
      </c>
      <c r="I14" s="32">
        <f t="shared" si="2"/>
        <v>-1.369808669653968E-2</v>
      </c>
      <c r="J14" s="62" t="s">
        <v>108</v>
      </c>
      <c r="K14" s="78" t="s">
        <v>109</v>
      </c>
      <c r="L14" s="76" t="s">
        <v>110</v>
      </c>
      <c r="M14" s="76" t="s">
        <v>111</v>
      </c>
      <c r="N14" s="76" t="s">
        <v>112</v>
      </c>
    </row>
    <row r="15" spans="1:15" ht="15.6">
      <c r="A15" s="41" t="str">
        <v>Cokato - Eastlake Laurel Village</v>
      </c>
      <c r="B15" s="42" t="str">
        <v>MN</v>
      </c>
      <c r="C15" s="35">
        <v>212645</v>
      </c>
      <c r="D15" s="36" t="s">
        <v>43</v>
      </c>
      <c r="E15" s="36"/>
      <c r="F15" s="37"/>
      <c r="G15" s="38">
        <v>213345</v>
      </c>
      <c r="H15" s="38">
        <f t="shared" si="1"/>
        <v>-700</v>
      </c>
      <c r="I15" s="37">
        <f t="shared" si="2"/>
        <v>-3.2810705664533973E-3</v>
      </c>
      <c r="J15" s="86" t="s">
        <v>113</v>
      </c>
      <c r="K15" s="88" t="s">
        <v>114</v>
      </c>
    </row>
    <row r="16" spans="1:15" ht="15.6">
      <c r="A16" s="43" t="str">
        <v>St. Peter - Eastlake Paulson</v>
      </c>
      <c r="B16" s="40" t="str">
        <v>MN</v>
      </c>
      <c r="C16" s="28">
        <v>170931.53142857199</v>
      </c>
      <c r="D16" s="29" t="s">
        <v>43</v>
      </c>
      <c r="E16" s="29"/>
      <c r="F16" s="30"/>
      <c r="G16" s="31">
        <v>186906.2</v>
      </c>
      <c r="H16" s="31">
        <f t="shared" si="1"/>
        <v>-15974.668571428017</v>
      </c>
      <c r="I16" s="32">
        <f t="shared" si="2"/>
        <v>-8.5468906710574694E-2</v>
      </c>
      <c r="J16" s="62"/>
      <c r="K16" s="62"/>
    </row>
    <row r="17" spans="1:14" ht="98.25" customHeight="1">
      <c r="A17" s="41" t="str">
        <v>Felician Sisters Convent</v>
      </c>
      <c r="B17" s="42" t="str">
        <v>NJ</v>
      </c>
      <c r="C17" s="35">
        <v>36712.300000000003</v>
      </c>
      <c r="D17" s="36" t="s">
        <v>43</v>
      </c>
      <c r="E17" s="36"/>
      <c r="F17" s="37"/>
      <c r="G17" s="74" t="s">
        <v>43</v>
      </c>
      <c r="H17" s="38" t="str">
        <f t="shared" si="1"/>
        <v/>
      </c>
      <c r="I17" s="37" t="str">
        <f t="shared" si="2"/>
        <v/>
      </c>
      <c r="J17" s="86" t="s">
        <v>115</v>
      </c>
      <c r="K17" s="75" t="s">
        <v>116</v>
      </c>
      <c r="L17" s="76" t="s">
        <v>117</v>
      </c>
    </row>
    <row r="18" spans="1:14" ht="143.25" customHeight="1">
      <c r="A18" s="43" t="str">
        <v>Sussex County Fairgrounds</v>
      </c>
      <c r="B18" s="40" t="str">
        <v>NJ</v>
      </c>
      <c r="C18" s="28">
        <v>32793.699999999997</v>
      </c>
      <c r="D18" s="29" t="s">
        <v>43</v>
      </c>
      <c r="E18" s="29"/>
      <c r="F18" s="30"/>
      <c r="G18" s="84" t="s">
        <v>43</v>
      </c>
      <c r="H18" s="31" t="str">
        <f t="shared" si="1"/>
        <v/>
      </c>
      <c r="I18" s="32" t="str">
        <f t="shared" si="2"/>
        <v/>
      </c>
      <c r="J18" s="62" t="s">
        <v>118</v>
      </c>
      <c r="K18" s="78" t="s">
        <v>119</v>
      </c>
      <c r="L18" s="76" t="s">
        <v>120</v>
      </c>
      <c r="M18" s="76" t="s">
        <v>121</v>
      </c>
    </row>
    <row r="19" spans="1:14" ht="237.75" customHeight="1">
      <c r="A19" s="41" t="str">
        <v>Gateway Church</v>
      </c>
      <c r="B19" s="42" t="str">
        <v>NJ</v>
      </c>
      <c r="C19" s="35">
        <v>25984</v>
      </c>
      <c r="D19" s="36" t="s">
        <v>43</v>
      </c>
      <c r="E19" s="36"/>
      <c r="F19" s="37"/>
      <c r="G19" s="83" t="s">
        <v>43</v>
      </c>
      <c r="H19" s="38" t="str">
        <f t="shared" si="1"/>
        <v/>
      </c>
      <c r="I19" s="37" t="str">
        <f t="shared" si="2"/>
        <v/>
      </c>
      <c r="J19" s="60" t="s">
        <v>122</v>
      </c>
      <c r="K19" s="75" t="s">
        <v>123</v>
      </c>
      <c r="L19" s="76" t="s">
        <v>77</v>
      </c>
      <c r="M19" s="76" t="s">
        <v>124</v>
      </c>
    </row>
    <row r="20" spans="1:14" ht="15.6">
      <c r="A20" s="43" t="str">
        <v>Beaver Falls - Felician Sisters</v>
      </c>
      <c r="B20" s="40" t="str">
        <v>PA</v>
      </c>
      <c r="C20" s="28">
        <v>39677</v>
      </c>
      <c r="D20" s="29" t="s">
        <v>43</v>
      </c>
      <c r="E20" s="29"/>
      <c r="F20" s="30"/>
      <c r="G20" s="84" t="s">
        <v>43</v>
      </c>
      <c r="H20" s="31" t="str">
        <f t="shared" si="1"/>
        <v/>
      </c>
      <c r="I20" s="32" t="str">
        <f t="shared" si="2"/>
        <v/>
      </c>
      <c r="J20" s="62"/>
      <c r="K20" s="62"/>
    </row>
    <row r="21" spans="1:14" ht="72">
      <c r="A21" s="41" t="str">
        <v>Livonia - Felician Sisters Ground</v>
      </c>
      <c r="B21" s="42" t="str">
        <v>MI</v>
      </c>
      <c r="C21" s="35">
        <v>0</v>
      </c>
      <c r="D21" s="36" t="s">
        <v>43</v>
      </c>
      <c r="E21" s="36"/>
      <c r="F21" s="37"/>
      <c r="G21" s="83" t="s">
        <v>43</v>
      </c>
      <c r="H21" s="38" t="str">
        <f t="shared" si="1"/>
        <v/>
      </c>
      <c r="I21" s="37" t="str">
        <f t="shared" si="2"/>
        <v/>
      </c>
      <c r="J21" s="86" t="s">
        <v>125</v>
      </c>
      <c r="K21" s="75" t="s">
        <v>126</v>
      </c>
      <c r="L21" s="76" t="s">
        <v>80</v>
      </c>
      <c r="M21" s="76" t="s">
        <v>127</v>
      </c>
      <c r="N21" s="76" t="s">
        <v>80</v>
      </c>
    </row>
    <row r="22" spans="1:14" ht="15.6">
      <c r="A22" s="43" t="str">
        <v>Livonia - Felician Sisters Roof</v>
      </c>
      <c r="B22" s="40" t="str">
        <v>MI</v>
      </c>
      <c r="C22" s="28">
        <v>16168</v>
      </c>
      <c r="D22" s="29" t="s">
        <v>43</v>
      </c>
      <c r="E22" s="29"/>
      <c r="F22" s="30"/>
      <c r="G22" s="84" t="s">
        <v>43</v>
      </c>
      <c r="H22" s="31" t="str">
        <f t="shared" si="1"/>
        <v/>
      </c>
      <c r="I22" s="32" t="str">
        <f t="shared" si="2"/>
        <v/>
      </c>
      <c r="J22" s="62"/>
      <c r="K22" s="62"/>
    </row>
    <row r="23" spans="1:14" ht="15.6">
      <c r="A23" s="41" t="str">
        <v>Monmouth Worship Ctr</v>
      </c>
      <c r="B23" s="42" t="str">
        <v>NJ</v>
      </c>
      <c r="C23" s="35">
        <v>11787.28000000003</v>
      </c>
      <c r="D23" s="36" t="s">
        <v>43</v>
      </c>
      <c r="E23" s="36"/>
      <c r="F23" s="37"/>
      <c r="G23" s="83" t="s">
        <v>43</v>
      </c>
      <c r="H23" s="38" t="str">
        <f t="shared" si="1"/>
        <v/>
      </c>
      <c r="I23" s="37" t="str">
        <f t="shared" si="2"/>
        <v/>
      </c>
      <c r="J23" s="86"/>
      <c r="K23" s="87"/>
    </row>
    <row r="24" spans="1:14" ht="15.6">
      <c r="A24" s="43" t="str">
        <v xml:space="preserve"> Audubon - Senior Citizens United</v>
      </c>
      <c r="B24" s="40" t="str">
        <v>NJ</v>
      </c>
      <c r="C24" s="28">
        <v>8635.375</v>
      </c>
      <c r="D24" s="29" t="s">
        <v>43</v>
      </c>
      <c r="E24" s="29"/>
      <c r="F24" s="30"/>
      <c r="G24" s="84" t="s">
        <v>43</v>
      </c>
      <c r="H24" s="31" t="str">
        <f t="shared" si="1"/>
        <v/>
      </c>
      <c r="I24" s="32" t="str">
        <f t="shared" si="2"/>
        <v/>
      </c>
      <c r="J24" s="62"/>
      <c r="K24" s="62"/>
    </row>
    <row r="25" spans="1:14" ht="14.45">
      <c r="A25" s="8" t="str">
        <v>Hollister - PG&amp;E (Enerparc)</v>
      </c>
      <c r="B25" s="13" t="str">
        <v>CA</v>
      </c>
      <c r="C25" s="8"/>
      <c r="D25" s="8"/>
      <c r="E25" s="8"/>
      <c r="F25" s="9"/>
      <c r="G25" s="8"/>
      <c r="H25" s="8"/>
      <c r="I25" s="9"/>
      <c r="J25" s="8"/>
      <c r="K25" s="8"/>
    </row>
    <row r="26" spans="1:14" ht="14.45">
      <c r="A26" s="8" t="str">
        <v>Taos County - Kit Carson Electric Co-Op</v>
      </c>
      <c r="B26" s="13" t="str">
        <v>NM</v>
      </c>
      <c r="C26" s="8"/>
      <c r="D26" s="8"/>
      <c r="E26" s="8"/>
      <c r="F26" s="9"/>
      <c r="G26" s="8"/>
      <c r="H26" s="8"/>
      <c r="I26" s="9"/>
      <c r="J26" s="8"/>
      <c r="K26" s="8"/>
    </row>
    <row r="27" spans="1:14" ht="14.45">
      <c r="A27" s="8" t="str">
        <v>Commerce City - Adams City HS</v>
      </c>
      <c r="B27" s="13" t="str">
        <v>CO</v>
      </c>
      <c r="C27" s="8"/>
      <c r="D27" s="8"/>
      <c r="E27" s="8"/>
      <c r="F27" s="9"/>
      <c r="G27" s="8"/>
      <c r="H27" s="8"/>
      <c r="I27" s="9"/>
      <c r="J27" s="8"/>
      <c r="K27" s="8"/>
    </row>
    <row r="28" spans="1:14" ht="14.45">
      <c r="A28" s="8" t="str">
        <v>Commerce City - Adams City MS</v>
      </c>
      <c r="B28" s="13" t="str">
        <v>CO</v>
      </c>
      <c r="C28" s="8"/>
      <c r="D28" s="8"/>
      <c r="E28" s="8"/>
      <c r="F28" s="9"/>
      <c r="G28" s="8"/>
      <c r="H28" s="8"/>
      <c r="I28" s="9"/>
      <c r="J28" s="8"/>
      <c r="K28" s="8"/>
    </row>
    <row r="29" spans="1:14" ht="14.45">
      <c r="A29" s="8" t="str">
        <v>Commerce City - Central ES</v>
      </c>
      <c r="B29" s="13" t="str">
        <v>CO</v>
      </c>
      <c r="C29" s="8"/>
      <c r="D29" s="8"/>
      <c r="E29" s="8"/>
      <c r="F29" s="9"/>
      <c r="G29" s="8"/>
      <c r="H29" s="8"/>
      <c r="I29" s="9"/>
      <c r="J29" s="8"/>
      <c r="K29" s="8"/>
    </row>
    <row r="30" spans="1:14" ht="14.45">
      <c r="A30" s="8" t="str">
        <v>Commerce City - Dupont ES</v>
      </c>
      <c r="B30" s="13" t="str">
        <v>CO</v>
      </c>
      <c r="C30" s="8"/>
      <c r="D30" s="8"/>
      <c r="E30" s="8"/>
      <c r="F30" s="9"/>
      <c r="G30" s="8"/>
      <c r="H30" s="8"/>
      <c r="I30" s="9"/>
      <c r="J30" s="8"/>
      <c r="K30" s="8"/>
    </row>
    <row r="31" spans="1:14" ht="14.45">
      <c r="A31" s="8" t="str">
        <v>Commerce City - Educational Support Services</v>
      </c>
      <c r="B31" s="13" t="str">
        <v>CO</v>
      </c>
      <c r="C31" s="8"/>
      <c r="D31" s="8"/>
      <c r="E31" s="8"/>
      <c r="F31" s="9"/>
      <c r="G31" s="8"/>
      <c r="H31" s="8"/>
      <c r="I31" s="9"/>
      <c r="J31" s="8"/>
      <c r="K31" s="8"/>
    </row>
    <row r="32" spans="1:14"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hyperlinks>
    <hyperlink ref="K4" r:id="rId1" display="https://us3.assetplanner.com/service_request?ID=097850" xr:uid="{BE7DCD54-7901-4825-ADF1-D2306D6AC759}"/>
    <hyperlink ref="L4" r:id="rId2" display="https://us3.assetplanner.com/service_request?ID=095368" xr:uid="{07286541-05F5-4C1E-94A2-59A216F51208}"/>
    <hyperlink ref="M4" r:id="rId3" display="https://us3.assetplanner.com/service_request?ID=099290" xr:uid="{2BCCF8DF-5376-461F-B2E0-955F44511786}"/>
    <hyperlink ref="K5" r:id="rId4" display="https://us3.assetplanner.com/service_request?ID=097975" xr:uid="{8F43903F-8D72-42F3-9517-E4D6FC44998D}"/>
    <hyperlink ref="L5" r:id="rId5" display="https://us3.assetplanner.com/service_request?ID=097975" xr:uid="{D1005FAC-A6B1-4BDD-9C87-35D02BC75335}"/>
    <hyperlink ref="M5" r:id="rId6" display="https://us3.assetplanner.com/service_request?ID=099501" xr:uid="{B7080889-EA9A-404B-86A8-85A37740D859}"/>
    <hyperlink ref="N5" r:id="rId7" display="https://us3.assetplanner.com/service_request?ID=099508" xr:uid="{EA0DFC10-B90B-4249-8C76-B4E91F65C75E}"/>
    <hyperlink ref="O5" r:id="rId8" display="https://us3.assetplanner.com/service_request?ID=097783" xr:uid="{9C53DF09-1C9A-4C11-A0B8-3A6419FBAD73}"/>
    <hyperlink ref="K7" r:id="rId9" display="https://us3.assetplanner.com/service_request?ID=096262" xr:uid="{2100C41D-583C-4E8C-B812-6A068FC39851}"/>
    <hyperlink ref="L7" r:id="rId10" display="https://us3.assetplanner.com/service_request?ID=099066" xr:uid="{1BBDB912-EF4D-4269-9FDD-598D15480018}"/>
    <hyperlink ref="K8" r:id="rId11" display="https://us3.assetplanner.com/service_request?ID=098870" xr:uid="{F9FDE7A5-4B1A-4B72-BC07-2E3B089A9DE5}"/>
    <hyperlink ref="L8" r:id="rId12" display="https://us3.assetplanner.com/service_request?ID=099461" xr:uid="{B0B849F0-5AF8-44E7-9572-85F406DAB67F}"/>
    <hyperlink ref="K9" r:id="rId13" display="https://us3.assetplanner.com/service_request?ID=100445" xr:uid="{EA7E0885-0787-4AF4-BDD1-69FFFCBDE494}"/>
    <hyperlink ref="K11" r:id="rId14" display="https://us3.assetplanner.com/service_request?ID=100131" xr:uid="{AD914194-840F-4C0A-BD08-3A0D87844E4A}"/>
    <hyperlink ref="L11" r:id="rId15" display="https://us3.assetplanner.com/service_request?ID=100417" xr:uid="{F78C8A4A-DD8E-46F3-B81C-2E480F067524}"/>
    <hyperlink ref="M11" r:id="rId16" display="https://us3.assetplanner.com/service_request?ID=100617" xr:uid="{5C952256-4313-4790-BB0F-1861BC139E54}"/>
    <hyperlink ref="K12" r:id="rId17" display="https://us3.assetplanner.com/service_request?ID=099457" xr:uid="{4E905212-3C02-42D4-B97F-E73BB8E1EF14}"/>
    <hyperlink ref="L12" r:id="rId18" display="https://us3.assetplanner.com/service_request?ID=100618" xr:uid="{F74DD3DC-D9BC-4A96-B357-32AB6E6B59CE}"/>
    <hyperlink ref="M12" r:id="rId19" display="https://us3.assetplanner.com/service_request?ID=098046" xr:uid="{A9E6212E-0771-4839-B54D-8349394292BA}"/>
    <hyperlink ref="K13" r:id="rId20" display="https://us3.assetplanner.com/service_request?ID=098047" xr:uid="{C682C554-2381-4B67-98E8-AE95C05D2E9E}"/>
    <hyperlink ref="L13" r:id="rId21" display="https://us3.assetplanner.com/service_request?ID=099230" xr:uid="{424B386B-31D3-40E1-8EB4-09214F5497D4}"/>
    <hyperlink ref="K14" r:id="rId22" display="https://us3.assetplanner.com/service_request?ID=099167" xr:uid="{208C404D-541F-4148-927D-50616181A8B8}"/>
    <hyperlink ref="L14" r:id="rId23" display="https://us3.assetplanner.com/service_request?ID=099789" xr:uid="{C6DD9109-C21A-4D5F-9288-AEDDEA00832F}"/>
    <hyperlink ref="M14" r:id="rId24" display="https://us3.assetplanner.com/service_request?ID=100621" xr:uid="{890D57B9-F0F4-4454-8D02-E1923166B472}"/>
    <hyperlink ref="N14" r:id="rId25" display="https://us3.assetplanner.com/service_request?ID=099110" xr:uid="{A887106B-D2FE-47C9-AB52-64708D3983C8}"/>
    <hyperlink ref="K15" r:id="rId26" display="https://us3.assetplanner.com/service_request?ID=098048" xr:uid="{CAFB54BD-C979-40C1-8FAA-C0BE279C8213}"/>
    <hyperlink ref="K17" r:id="rId27" display="https://us3.assetplanner.com/service_request?ID=098818" xr:uid="{9EACFAF0-0E8E-4280-B475-DC5A5031EC1A}"/>
    <hyperlink ref="L17" r:id="rId28" display="https://us3.assetplanner.com/service_request?ID=099746" xr:uid="{BF66982E-2E73-41F7-A5A5-500CF32F3880}"/>
    <hyperlink ref="K18" r:id="rId29" display="https://us3.assetplanner.com/service_request?ID=098819" xr:uid="{55247E6D-CB0F-4BC9-80D4-B270C45AB548}"/>
    <hyperlink ref="L18" r:id="rId30" display="https://us3.assetplanner.com/service_request?ID=099691" xr:uid="{75DFF452-B723-478D-B8D6-8EA9D016F0B6}"/>
    <hyperlink ref="M18" r:id="rId31" display="https://us3.assetplanner.com/service_request?ID=101068" xr:uid="{62DA8944-F67F-4F70-B3D8-5CE3E16208B8}"/>
    <hyperlink ref="K19" r:id="rId32" display="https://us3.assetplanner.com/service_request?ID=098076" xr:uid="{1F5E7AB2-2CF2-4FEA-89B7-E23D22CB2BFB}"/>
    <hyperlink ref="L19" r:id="rId33" display="https://us3.assetplanner.com/service_request?ID=098231" xr:uid="{3CF58C1B-3924-4F28-89C3-3D2ECA65AA11}"/>
    <hyperlink ref="M19" r:id="rId34" display="https://us3.assetplanner.com/service_request?ID=099730" xr:uid="{DC1F240B-EE21-4D9C-BB9A-CFF9690664B2}"/>
    <hyperlink ref="K21" r:id="rId35" display="https://us3.assetplanner.com/service_request?ID=098015" xr:uid="{8726E27A-7B45-4F77-9FF2-7DD68F2E6A40}"/>
    <hyperlink ref="L21" r:id="rId36" display="https://us3.assetplanner.com/service_request?ID=098016" xr:uid="{8682D32A-12FB-44BD-B7AC-CF9D53213355}"/>
    <hyperlink ref="M21" r:id="rId37" display="https://us3.assetplanner.com/service_request?ID=099500" xr:uid="{08FBD7B1-401E-4DAE-AC09-6D65A7702800}"/>
    <hyperlink ref="N21" r:id="rId38" display="https://us3.assetplanner.com/service_request?ID=098016" xr:uid="{7FF8A864-CACE-4D85-8CE1-745730A926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7"/>
  <sheetViews>
    <sheetView zoomScale="70" zoomScaleNormal="70" workbookViewId="0">
      <pane xSplit="2" ySplit="3" topLeftCell="C5" activePane="bottomRight" state="frozen"/>
      <selection pane="bottomRight" activeCell="J46" sqref="J46"/>
      <selection pane="bottomLeft" activeCell="H13" sqref="H13"/>
      <selection pane="topRight" activeCell="H13" sqref="H13"/>
    </sheetView>
  </sheetViews>
  <sheetFormatPr defaultRowHeight="13.9"/>
  <cols>
    <col min="1" max="1" width="47.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19" t="str" cm="1">
        <f t="array" ref="A1">portfolio</f>
        <v>Clean Capital</v>
      </c>
      <c r="B1" s="119"/>
      <c r="C1" s="119"/>
      <c r="D1" s="120" t="s">
        <v>128</v>
      </c>
      <c r="E1" s="120"/>
      <c r="F1" s="120"/>
      <c r="G1" s="118" t="s">
        <v>129</v>
      </c>
      <c r="H1" s="118"/>
      <c r="I1" s="118"/>
      <c r="J1" s="4"/>
      <c r="K1" s="4"/>
    </row>
    <row r="2" spans="1:16" ht="19.5" customHeight="1">
      <c r="A2" s="121" t="s">
        <v>2</v>
      </c>
      <c r="B2" s="121"/>
      <c r="C2" s="5">
        <f>SUM(C4:C85)</f>
        <v>2827723.5569098927</v>
      </c>
      <c r="D2" s="5">
        <f>SUM(D4:D85)</f>
        <v>943768.39424758288</v>
      </c>
      <c r="E2" s="5">
        <f>C2-D2</f>
        <v>1883955.1626623098</v>
      </c>
      <c r="F2" s="6">
        <f>IFERROR(E2/D2, 0)</f>
        <v>1.9962049737470693</v>
      </c>
      <c r="G2" s="5">
        <f>SUM(G4:G85)</f>
        <v>3193582.9870000007</v>
      </c>
      <c r="H2" s="7">
        <f>C2-G2</f>
        <v>-365859.43009010796</v>
      </c>
      <c r="I2" s="6">
        <f>IFERROR(H2/G2, 0)</f>
        <v>-0.11456080257798164</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121.5" customHeight="1">
      <c r="A4" s="39" t="str" cm="1">
        <f t="array" ref="A4:A85">Sites[Site]</f>
        <v>Lexington - Cotting School</v>
      </c>
      <c r="B4" s="40" t="str" cm="1">
        <f t="array" ref="B4:B85">Sites[State]</f>
        <v>MA</v>
      </c>
      <c r="C4" s="28">
        <v>35088</v>
      </c>
      <c r="D4" s="29" t="s">
        <v>43</v>
      </c>
      <c r="E4" s="29" t="str">
        <f>IF(AND(ISNUMBER(C4),ISNUMBER(D4)), C4-D4, "")</f>
        <v/>
      </c>
      <c r="F4" s="30" t="str">
        <f>IFERROR(E4/D4, "")</f>
        <v/>
      </c>
      <c r="G4" s="73" t="s">
        <v>43</v>
      </c>
      <c r="H4" s="31" t="str">
        <f>IF(AND(ISNUMBER(C4),ISNUMBER(G4)), C4-G4, "")</f>
        <v/>
      </c>
      <c r="I4" s="32" t="str">
        <f>IFERROR(H4/G4, "")</f>
        <v/>
      </c>
      <c r="J4" s="49" t="s">
        <v>130</v>
      </c>
      <c r="K4" s="67" t="s">
        <v>131</v>
      </c>
      <c r="L4" s="95" t="s">
        <v>32</v>
      </c>
      <c r="M4" s="95" t="s">
        <v>86</v>
      </c>
      <c r="N4" s="95" t="s">
        <v>132</v>
      </c>
    </row>
    <row r="5" spans="1:16" ht="232.5" customHeight="1">
      <c r="A5" s="41" t="str">
        <v>Pacoima - Whiteman Airport</v>
      </c>
      <c r="B5" s="42" t="str">
        <v>CA</v>
      </c>
      <c r="C5" s="35">
        <v>2023</v>
      </c>
      <c r="D5" s="36" t="s">
        <v>43</v>
      </c>
      <c r="E5" s="36" t="str">
        <f>IF(AND(ISNUMBER(C5),ISNUMBER(D5)), C5-D5, "")</f>
        <v/>
      </c>
      <c r="F5" s="37" t="str">
        <f>IFERROR(E5/D5, "")</f>
        <v/>
      </c>
      <c r="G5" s="38">
        <v>4608.7</v>
      </c>
      <c r="H5" s="38">
        <f t="shared" ref="H5:H46" si="0">IF(AND(ISNUMBER(C5),ISNUMBER(G5)), C5-G5, "")</f>
        <v>-2585.6999999999998</v>
      </c>
      <c r="I5" s="37">
        <f t="shared" ref="I5:I46" si="1">IFERROR(H5/G5, "")</f>
        <v>-0.56104758391737364</v>
      </c>
      <c r="J5" s="50" t="s">
        <v>133</v>
      </c>
      <c r="K5" s="75" t="s">
        <v>134</v>
      </c>
      <c r="L5" s="95" t="s">
        <v>135</v>
      </c>
      <c r="M5" s="95" t="s">
        <v>135</v>
      </c>
      <c r="N5" s="95" t="s">
        <v>135</v>
      </c>
      <c r="O5" s="95" t="s">
        <v>136</v>
      </c>
    </row>
    <row r="6" spans="1:16" ht="15.6">
      <c r="A6" s="43" t="str">
        <v>Hyannis - Sturgis Charter School</v>
      </c>
      <c r="B6" s="40" t="str">
        <v>MA</v>
      </c>
      <c r="C6" s="28">
        <v>35801.705320000001</v>
      </c>
      <c r="D6" s="29" t="s">
        <v>43</v>
      </c>
      <c r="E6" s="29" t="str">
        <f t="shared" ref="E6:E46" si="2">IF(AND(ISNUMBER(C6),ISNUMBER(D6)), C6-D6, "")</f>
        <v/>
      </c>
      <c r="F6" s="30" t="str">
        <f t="shared" ref="F6:F47" si="3">IFERROR(E6/D6, "")</f>
        <v/>
      </c>
      <c r="G6" s="31">
        <v>31250</v>
      </c>
      <c r="H6" s="31">
        <f t="shared" si="0"/>
        <v>4551.7053200000009</v>
      </c>
      <c r="I6" s="32">
        <f t="shared" si="1"/>
        <v>0.14565457024000003</v>
      </c>
      <c r="J6" s="49"/>
      <c r="K6" s="49"/>
    </row>
    <row r="7" spans="1:16" ht="57.6">
      <c r="A7" s="41" t="str">
        <v>South Dennis - Tony Kent Arena</v>
      </c>
      <c r="B7" s="42" t="str">
        <v>MA</v>
      </c>
      <c r="C7" s="35">
        <v>40411.9</v>
      </c>
      <c r="D7" s="36" t="s">
        <v>43</v>
      </c>
      <c r="E7" s="36" t="str">
        <f t="shared" si="2"/>
        <v/>
      </c>
      <c r="F7" s="37" t="str">
        <f t="shared" si="3"/>
        <v/>
      </c>
      <c r="G7" s="83" t="s">
        <v>43</v>
      </c>
      <c r="H7" s="38" t="str">
        <f t="shared" si="0"/>
        <v/>
      </c>
      <c r="I7" s="37" t="str">
        <f t="shared" si="1"/>
        <v/>
      </c>
      <c r="J7" s="50" t="s">
        <v>91</v>
      </c>
      <c r="K7" s="68" t="s">
        <v>137</v>
      </c>
      <c r="L7" s="95" t="s">
        <v>53</v>
      </c>
    </row>
    <row r="8" spans="1:16" ht="72">
      <c r="A8" s="43" t="str">
        <v xml:space="preserve"> Caropolis - Felician Sisters</v>
      </c>
      <c r="B8" s="40" t="str">
        <v>PA</v>
      </c>
      <c r="C8" s="28">
        <v>56475.3</v>
      </c>
      <c r="D8" s="29" t="s">
        <v>43</v>
      </c>
      <c r="E8" s="29" t="str">
        <f t="shared" si="2"/>
        <v/>
      </c>
      <c r="F8" s="30" t="str">
        <f t="shared" si="3"/>
        <v/>
      </c>
      <c r="G8" s="84" t="s">
        <v>43</v>
      </c>
      <c r="H8" s="31" t="str">
        <f t="shared" si="0"/>
        <v/>
      </c>
      <c r="I8" s="32" t="str">
        <f t="shared" si="1"/>
        <v/>
      </c>
      <c r="J8" s="49" t="s">
        <v>138</v>
      </c>
      <c r="K8" s="67" t="s">
        <v>94</v>
      </c>
      <c r="L8" s="95" t="s">
        <v>95</v>
      </c>
    </row>
    <row r="9" spans="1:16" ht="158.44999999999999">
      <c r="A9" s="41" t="str">
        <v>Clear Lake - Eastlake Gohman</v>
      </c>
      <c r="B9" s="42" t="str">
        <v>MN</v>
      </c>
      <c r="C9" s="35">
        <v>198397</v>
      </c>
      <c r="D9" s="36" t="s">
        <v>43</v>
      </c>
      <c r="E9" s="36" t="str">
        <f t="shared" si="2"/>
        <v/>
      </c>
      <c r="F9" s="37" t="str">
        <f t="shared" si="3"/>
        <v/>
      </c>
      <c r="G9" s="38">
        <v>199753.9</v>
      </c>
      <c r="H9" s="38">
        <f t="shared" si="0"/>
        <v>-1356.8999999999942</v>
      </c>
      <c r="I9" s="37">
        <f t="shared" si="1"/>
        <v>-6.7928586125226799E-3</v>
      </c>
      <c r="J9" s="50" t="s">
        <v>139</v>
      </c>
      <c r="K9" s="75" t="s">
        <v>140</v>
      </c>
      <c r="L9" s="95" t="s">
        <v>141</v>
      </c>
    </row>
    <row r="10" spans="1:16" ht="15.6">
      <c r="A10" s="43" t="str">
        <v>Zumbrota - Eastlake Brenda Luhman</v>
      </c>
      <c r="B10" s="40" t="str">
        <v>MN</v>
      </c>
      <c r="C10" s="28">
        <v>205051</v>
      </c>
      <c r="D10" s="29" t="s">
        <v>43</v>
      </c>
      <c r="E10" s="29" t="str">
        <f t="shared" si="2"/>
        <v/>
      </c>
      <c r="F10" s="30" t="str">
        <f t="shared" si="3"/>
        <v/>
      </c>
      <c r="G10" s="31">
        <v>194233.4</v>
      </c>
      <c r="H10" s="31">
        <f t="shared" si="0"/>
        <v>10817.600000000006</v>
      </c>
      <c r="I10" s="32">
        <f t="shared" si="1"/>
        <v>5.5693819909449181E-2</v>
      </c>
      <c r="J10" s="49"/>
      <c r="K10" s="49"/>
    </row>
    <row r="11" spans="1:16" ht="115.15">
      <c r="A11" s="41" t="str">
        <v>Cokato - Eastlake Carlson</v>
      </c>
      <c r="B11" s="42" t="str">
        <v>MN</v>
      </c>
      <c r="C11" s="35">
        <v>188253</v>
      </c>
      <c r="D11" s="36" t="s">
        <v>43</v>
      </c>
      <c r="E11" s="36" t="str">
        <f t="shared" si="2"/>
        <v/>
      </c>
      <c r="F11" s="37" t="str">
        <f t="shared" si="3"/>
        <v/>
      </c>
      <c r="G11" s="38">
        <v>198830.9</v>
      </c>
      <c r="H11" s="38">
        <f t="shared" si="0"/>
        <v>-10577.899999999994</v>
      </c>
      <c r="I11" s="37">
        <f t="shared" si="1"/>
        <v>-5.320048342586587E-2</v>
      </c>
      <c r="J11" s="60" t="s">
        <v>142</v>
      </c>
      <c r="K11" s="75" t="s">
        <v>143</v>
      </c>
      <c r="L11" s="95" t="s">
        <v>144</v>
      </c>
      <c r="M11" s="95" t="s">
        <v>145</v>
      </c>
    </row>
    <row r="12" spans="1:16" ht="244.9">
      <c r="A12" s="43" t="str">
        <v>North Branch - Cornille 2</v>
      </c>
      <c r="B12" s="40" t="str">
        <v>MN</v>
      </c>
      <c r="C12" s="28">
        <v>185597</v>
      </c>
      <c r="D12" s="29" t="s">
        <v>43</v>
      </c>
      <c r="E12" s="29" t="str">
        <f t="shared" si="2"/>
        <v/>
      </c>
      <c r="F12" s="30" t="str">
        <f t="shared" si="3"/>
        <v/>
      </c>
      <c r="G12" s="31">
        <v>204259.6</v>
      </c>
      <c r="H12" s="31">
        <f t="shared" si="0"/>
        <v>-18662.600000000006</v>
      </c>
      <c r="I12" s="32">
        <f t="shared" si="1"/>
        <v>-9.1367064265278131E-2</v>
      </c>
      <c r="J12" s="49" t="s">
        <v>146</v>
      </c>
      <c r="K12" s="67" t="s">
        <v>147</v>
      </c>
      <c r="L12" s="95" t="s">
        <v>148</v>
      </c>
      <c r="M12" s="95" t="s">
        <v>149</v>
      </c>
      <c r="N12" s="95" t="s">
        <v>150</v>
      </c>
      <c r="O12" s="95" t="s">
        <v>151</v>
      </c>
      <c r="P12" s="95" t="s">
        <v>152</v>
      </c>
    </row>
    <row r="13" spans="1:16" ht="15.6">
      <c r="A13" s="41" t="str">
        <v>Clear Lake - Eastlake Hammer</v>
      </c>
      <c r="B13" s="42" t="str">
        <v>MN</v>
      </c>
      <c r="C13" s="35">
        <v>260043.817499998</v>
      </c>
      <c r="D13" s="36" t="s">
        <v>43</v>
      </c>
      <c r="E13" s="36" t="str">
        <f t="shared" si="2"/>
        <v/>
      </c>
      <c r="F13" s="37" t="str">
        <f t="shared" si="3"/>
        <v/>
      </c>
      <c r="G13" s="38">
        <v>246556.3</v>
      </c>
      <c r="H13" s="38">
        <f t="shared" si="0"/>
        <v>13487.517499998008</v>
      </c>
      <c r="I13" s="37">
        <f t="shared" si="1"/>
        <v>5.4703601165324141E-2</v>
      </c>
      <c r="J13" s="50"/>
      <c r="K13" s="51"/>
    </row>
    <row r="14" spans="1:16" ht="91.5" customHeight="1">
      <c r="A14" s="43" t="str">
        <v>Eastlake - Hertzberg CSG 1</v>
      </c>
      <c r="B14" s="40" t="str">
        <v>MN</v>
      </c>
      <c r="C14" s="28">
        <v>254551.63250000001</v>
      </c>
      <c r="D14" s="29" t="s">
        <v>43</v>
      </c>
      <c r="E14" s="29" t="str">
        <f t="shared" si="2"/>
        <v/>
      </c>
      <c r="F14" s="30" t="str">
        <f t="shared" si="3"/>
        <v/>
      </c>
      <c r="G14" s="31">
        <v>255012.1</v>
      </c>
      <c r="H14" s="31">
        <f t="shared" si="0"/>
        <v>-460.46749999999884</v>
      </c>
      <c r="I14" s="32">
        <f t="shared" si="1"/>
        <v>-1.8056692211859706E-3</v>
      </c>
      <c r="J14" s="49" t="s">
        <v>153</v>
      </c>
      <c r="K14" s="67" t="s">
        <v>154</v>
      </c>
      <c r="L14" s="95" t="s">
        <v>112</v>
      </c>
    </row>
    <row r="15" spans="1:16" ht="106.5" customHeight="1">
      <c r="A15" s="41" t="str">
        <v>Cokato - Eastlake Laurel Village</v>
      </c>
      <c r="B15" s="42" t="str">
        <v>MN</v>
      </c>
      <c r="C15" s="35">
        <v>242819.80499999999</v>
      </c>
      <c r="D15" s="36" t="s">
        <v>43</v>
      </c>
      <c r="E15" s="36" t="str">
        <f t="shared" si="2"/>
        <v/>
      </c>
      <c r="F15" s="37" t="str">
        <f t="shared" si="3"/>
        <v/>
      </c>
      <c r="G15" s="38">
        <v>258683</v>
      </c>
      <c r="H15" s="38">
        <f t="shared" si="0"/>
        <v>-15863.195000000007</v>
      </c>
      <c r="I15" s="37">
        <f t="shared" si="1"/>
        <v>-6.132291259959103E-2</v>
      </c>
      <c r="J15" s="50" t="s">
        <v>155</v>
      </c>
      <c r="K15" s="75" t="s">
        <v>156</v>
      </c>
      <c r="L15" s="95" t="s">
        <v>157</v>
      </c>
    </row>
    <row r="16" spans="1:16" ht="28.9">
      <c r="A16" s="43" t="str">
        <v>St. Peter - Eastlake Paulson</v>
      </c>
      <c r="B16" s="40" t="str">
        <v>MN</v>
      </c>
      <c r="C16" s="28">
        <v>201936.795220895</v>
      </c>
      <c r="D16" s="29" t="s">
        <v>43</v>
      </c>
      <c r="E16" s="29" t="str">
        <f t="shared" si="2"/>
        <v/>
      </c>
      <c r="F16" s="30" t="str">
        <f t="shared" si="3"/>
        <v/>
      </c>
      <c r="G16" s="31">
        <v>210220.3</v>
      </c>
      <c r="H16" s="31">
        <f t="shared" si="0"/>
        <v>-8283.5047791049874</v>
      </c>
      <c r="I16" s="32">
        <f t="shared" si="1"/>
        <v>-3.9403924259954856E-2</v>
      </c>
      <c r="J16" s="49" t="s">
        <v>158</v>
      </c>
      <c r="K16" s="67" t="s">
        <v>159</v>
      </c>
    </row>
    <row r="17" spans="1:14" ht="115.15">
      <c r="A17" s="41" t="str">
        <v>Felician Sisters Convent</v>
      </c>
      <c r="B17" s="42" t="str">
        <v>NJ</v>
      </c>
      <c r="C17" s="35">
        <v>3676.9</v>
      </c>
      <c r="D17" s="36" t="s">
        <v>43</v>
      </c>
      <c r="E17" s="36" t="str">
        <f t="shared" si="2"/>
        <v/>
      </c>
      <c r="F17" s="37" t="str">
        <f t="shared" si="3"/>
        <v/>
      </c>
      <c r="G17" s="83" t="s">
        <v>43</v>
      </c>
      <c r="H17" s="38" t="str">
        <f t="shared" si="0"/>
        <v/>
      </c>
      <c r="I17" s="37" t="str">
        <f t="shared" si="1"/>
        <v/>
      </c>
      <c r="J17" s="50" t="s">
        <v>160</v>
      </c>
      <c r="K17" s="75" t="s">
        <v>161</v>
      </c>
      <c r="L17" s="95" t="s">
        <v>117</v>
      </c>
      <c r="M17" s="95" t="s">
        <v>162</v>
      </c>
    </row>
    <row r="18" spans="1:14" ht="100.9">
      <c r="A18" s="43" t="str">
        <v>Sussex County Fairgrounds</v>
      </c>
      <c r="B18" s="40" t="str">
        <v>NJ</v>
      </c>
      <c r="C18" s="28">
        <v>38854.14</v>
      </c>
      <c r="D18" s="29" t="s">
        <v>43</v>
      </c>
      <c r="E18" s="29" t="str">
        <f t="shared" si="2"/>
        <v/>
      </c>
      <c r="F18" s="30" t="str">
        <f t="shared" si="3"/>
        <v/>
      </c>
      <c r="G18" s="84" t="s">
        <v>43</v>
      </c>
      <c r="H18" s="31" t="str">
        <f t="shared" si="0"/>
        <v/>
      </c>
      <c r="I18" s="32" t="str">
        <f t="shared" si="1"/>
        <v/>
      </c>
      <c r="J18" s="49" t="s">
        <v>163</v>
      </c>
      <c r="K18" s="67" t="s">
        <v>164</v>
      </c>
      <c r="L18" s="95" t="s">
        <v>121</v>
      </c>
    </row>
    <row r="19" spans="1:14" ht="172.9">
      <c r="A19" s="41" t="str">
        <v>Gateway Church</v>
      </c>
      <c r="B19" s="42" t="str">
        <v>NJ</v>
      </c>
      <c r="C19" s="35">
        <v>26806</v>
      </c>
      <c r="D19" s="36" t="s">
        <v>43</v>
      </c>
      <c r="E19" s="36" t="str">
        <f t="shared" si="2"/>
        <v/>
      </c>
      <c r="F19" s="37" t="str">
        <f t="shared" si="3"/>
        <v/>
      </c>
      <c r="G19" s="83" t="s">
        <v>43</v>
      </c>
      <c r="H19" s="38" t="str">
        <f t="shared" si="0"/>
        <v/>
      </c>
      <c r="I19" s="37" t="str">
        <f t="shared" si="1"/>
        <v/>
      </c>
      <c r="J19" s="60" t="s">
        <v>165</v>
      </c>
      <c r="K19" s="75" t="s">
        <v>166</v>
      </c>
      <c r="L19" s="95" t="s">
        <v>124</v>
      </c>
      <c r="M19" s="95" t="s">
        <v>167</v>
      </c>
    </row>
    <row r="20" spans="1:14" ht="15.6">
      <c r="A20" s="43" t="str">
        <v>Beaver Falls - Felician Sisters</v>
      </c>
      <c r="B20" s="40" t="str">
        <v>PA</v>
      </c>
      <c r="C20" s="28">
        <v>39310</v>
      </c>
      <c r="D20" s="29" t="s">
        <v>43</v>
      </c>
      <c r="E20" s="29" t="str">
        <f t="shared" si="2"/>
        <v/>
      </c>
      <c r="F20" s="30" t="str">
        <f t="shared" si="3"/>
        <v/>
      </c>
      <c r="G20" s="84" t="s">
        <v>43</v>
      </c>
      <c r="H20" s="31" t="str">
        <f t="shared" si="0"/>
        <v/>
      </c>
      <c r="I20" s="32" t="str">
        <f t="shared" si="1"/>
        <v/>
      </c>
      <c r="J20" s="49"/>
      <c r="K20" s="49"/>
    </row>
    <row r="21" spans="1:14" ht="72">
      <c r="A21" s="41" t="str">
        <v>Livonia - Felician Sisters Ground</v>
      </c>
      <c r="B21" s="42" t="str">
        <v>MI</v>
      </c>
      <c r="C21" s="35">
        <v>0</v>
      </c>
      <c r="D21" s="36" t="s">
        <v>43</v>
      </c>
      <c r="E21" s="36" t="str">
        <f t="shared" si="2"/>
        <v/>
      </c>
      <c r="F21" s="37" t="str">
        <f t="shared" si="3"/>
        <v/>
      </c>
      <c r="G21" s="83" t="s">
        <v>43</v>
      </c>
      <c r="H21" s="38" t="str">
        <f t="shared" si="0"/>
        <v/>
      </c>
      <c r="I21" s="37" t="str">
        <f t="shared" si="1"/>
        <v/>
      </c>
      <c r="J21" s="50" t="s">
        <v>125</v>
      </c>
      <c r="K21" s="75" t="s">
        <v>126</v>
      </c>
      <c r="L21" s="95" t="s">
        <v>80</v>
      </c>
      <c r="M21" s="95" t="s">
        <v>127</v>
      </c>
      <c r="N21" s="95" t="s">
        <v>80</v>
      </c>
    </row>
    <row r="22" spans="1:14" ht="15.6">
      <c r="A22" s="43" t="str">
        <v>Livonia - Felician Sisters Roof</v>
      </c>
      <c r="B22" s="40" t="str">
        <v>MI</v>
      </c>
      <c r="C22" s="28">
        <v>16092</v>
      </c>
      <c r="D22" s="29" t="s">
        <v>43</v>
      </c>
      <c r="E22" s="29" t="str">
        <f t="shared" si="2"/>
        <v/>
      </c>
      <c r="F22" s="30" t="str">
        <f t="shared" si="3"/>
        <v/>
      </c>
      <c r="G22" s="84" t="s">
        <v>43</v>
      </c>
      <c r="H22" s="31" t="str">
        <f t="shared" si="0"/>
        <v/>
      </c>
      <c r="I22" s="32" t="str">
        <f t="shared" si="1"/>
        <v/>
      </c>
      <c r="J22" s="49"/>
      <c r="K22" s="49"/>
    </row>
    <row r="23" spans="1:14" ht="15.6">
      <c r="A23" s="41" t="str">
        <v>Monmouth Worship Ctr</v>
      </c>
      <c r="B23" s="42" t="str">
        <v>NJ</v>
      </c>
      <c r="C23" s="35">
        <v>12020.5</v>
      </c>
      <c r="D23" s="36" t="s">
        <v>43</v>
      </c>
      <c r="E23" s="36" t="str">
        <f t="shared" si="2"/>
        <v/>
      </c>
      <c r="F23" s="37" t="str">
        <f t="shared" si="3"/>
        <v/>
      </c>
      <c r="G23" s="83" t="s">
        <v>43</v>
      </c>
      <c r="H23" s="38" t="str">
        <f t="shared" si="0"/>
        <v/>
      </c>
      <c r="I23" s="37" t="str">
        <f t="shared" si="1"/>
        <v/>
      </c>
      <c r="J23" s="50"/>
      <c r="K23" s="51"/>
    </row>
    <row r="24" spans="1:14" ht="15.6">
      <c r="A24" s="43" t="str">
        <v xml:space="preserve"> Audubon - Senior Citizens United</v>
      </c>
      <c r="B24" s="40" t="str">
        <v>NJ</v>
      </c>
      <c r="C24" s="28">
        <v>8373.4</v>
      </c>
      <c r="D24" s="29" t="s">
        <v>43</v>
      </c>
      <c r="E24" s="29" t="str">
        <f t="shared" si="2"/>
        <v/>
      </c>
      <c r="F24" s="30" t="str">
        <f t="shared" si="3"/>
        <v/>
      </c>
      <c r="G24" s="84" t="s">
        <v>43</v>
      </c>
      <c r="H24" s="31" t="str">
        <f t="shared" si="0"/>
        <v/>
      </c>
      <c r="I24" s="32" t="str">
        <f t="shared" si="1"/>
        <v/>
      </c>
      <c r="J24" s="49"/>
      <c r="K24" s="49"/>
    </row>
    <row r="25" spans="1:14" ht="104.25" customHeight="1">
      <c r="A25" s="41" t="str">
        <v>Hollister - PG&amp;E (Enerparc)</v>
      </c>
      <c r="B25" s="42" t="str">
        <v>CA</v>
      </c>
      <c r="C25" s="35">
        <v>0</v>
      </c>
      <c r="D25" s="36">
        <v>0</v>
      </c>
      <c r="E25" s="36">
        <f t="shared" si="2"/>
        <v>0</v>
      </c>
      <c r="F25" s="37" t="str">
        <f t="shared" si="3"/>
        <v/>
      </c>
      <c r="G25" s="72">
        <v>378519.7</v>
      </c>
      <c r="H25" s="38">
        <f t="shared" si="0"/>
        <v>-378519.7</v>
      </c>
      <c r="I25" s="37">
        <f t="shared" si="1"/>
        <v>-1</v>
      </c>
      <c r="J25" s="50" t="s">
        <v>168</v>
      </c>
      <c r="K25" s="75" t="s">
        <v>169</v>
      </c>
      <c r="L25" s="95" t="s">
        <v>170</v>
      </c>
      <c r="M25" s="95" t="s">
        <v>171</v>
      </c>
    </row>
    <row r="26" spans="1:14" ht="28.9">
      <c r="A26" s="43" t="str">
        <v>Taos County - Kit Carson Electric Co-Op</v>
      </c>
      <c r="B26" s="40" t="str">
        <v>NM</v>
      </c>
      <c r="C26" s="28">
        <v>208950</v>
      </c>
      <c r="D26" s="29">
        <v>262727.8</v>
      </c>
      <c r="E26" s="29">
        <f t="shared" si="2"/>
        <v>-53777.799999999988</v>
      </c>
      <c r="F26" s="30">
        <f t="shared" si="3"/>
        <v>-0.20469017743839818</v>
      </c>
      <c r="G26" s="31">
        <v>222002.7</v>
      </c>
      <c r="H26" s="31">
        <f t="shared" si="0"/>
        <v>-13052.700000000012</v>
      </c>
      <c r="I26" s="32">
        <f t="shared" si="1"/>
        <v>-5.8795230868813809E-2</v>
      </c>
      <c r="J26" s="49" t="s">
        <v>172</v>
      </c>
      <c r="K26" s="67" t="s">
        <v>173</v>
      </c>
    </row>
    <row r="27" spans="1:14" ht="15.6">
      <c r="A27" s="41" t="str">
        <v>Commerce City - Adams City HS</v>
      </c>
      <c r="B27" s="42" t="str">
        <v>CO</v>
      </c>
      <c r="C27" s="35">
        <v>16933</v>
      </c>
      <c r="D27" s="36">
        <v>13265.67</v>
      </c>
      <c r="E27" s="36">
        <f t="shared" si="2"/>
        <v>3667.33</v>
      </c>
      <c r="F27" s="37">
        <f t="shared" si="3"/>
        <v>0.27645267822884179</v>
      </c>
      <c r="G27" s="72">
        <v>14930.87</v>
      </c>
      <c r="H27" s="38">
        <f t="shared" si="0"/>
        <v>2002.1299999999992</v>
      </c>
      <c r="I27" s="37">
        <f t="shared" si="1"/>
        <v>0.1340933247694206</v>
      </c>
      <c r="J27" s="50" t="s">
        <v>174</v>
      </c>
      <c r="K27" s="75" t="s">
        <v>175</v>
      </c>
    </row>
    <row r="28" spans="1:14" ht="15.6">
      <c r="A28" s="43" t="str">
        <v>Commerce City - Adams City MS</v>
      </c>
      <c r="B28" s="40" t="str">
        <v>CO</v>
      </c>
      <c r="C28" s="28">
        <v>14198</v>
      </c>
      <c r="D28" s="29">
        <v>12047.05</v>
      </c>
      <c r="E28" s="29">
        <f t="shared" si="2"/>
        <v>2150.9500000000007</v>
      </c>
      <c r="F28" s="30">
        <f t="shared" si="3"/>
        <v>0.17854578506771374</v>
      </c>
      <c r="G28" s="31">
        <v>13139.15</v>
      </c>
      <c r="H28" s="31">
        <f t="shared" si="0"/>
        <v>1058.8500000000004</v>
      </c>
      <c r="I28" s="32">
        <f t="shared" si="1"/>
        <v>8.0587404816902186E-2</v>
      </c>
      <c r="J28" s="49"/>
      <c r="K28" s="49"/>
    </row>
    <row r="29" spans="1:14" ht="15.6">
      <c r="A29" s="41" t="str">
        <v>Commerce City - Central ES</v>
      </c>
      <c r="B29" s="42" t="str">
        <v>CO</v>
      </c>
      <c r="C29" s="35">
        <v>3710.2</v>
      </c>
      <c r="D29" s="36">
        <v>3461.8870000000002</v>
      </c>
      <c r="E29" s="36">
        <f t="shared" si="2"/>
        <v>248.31299999999965</v>
      </c>
      <c r="F29" s="37">
        <f t="shared" si="3"/>
        <v>7.1727644489840259E-2</v>
      </c>
      <c r="G29" s="72">
        <v>3842.98</v>
      </c>
      <c r="H29" s="38">
        <f t="shared" si="0"/>
        <v>-132.7800000000002</v>
      </c>
      <c r="I29" s="37">
        <f t="shared" si="1"/>
        <v>-3.4551311742449922E-2</v>
      </c>
      <c r="J29" s="50"/>
      <c r="K29" s="51"/>
    </row>
    <row r="30" spans="1:14" ht="43.15">
      <c r="A30" s="43" t="str">
        <v>Commerce City - Dupont ES</v>
      </c>
      <c r="B30" s="40" t="str">
        <v>CO</v>
      </c>
      <c r="C30" s="28">
        <v>11670</v>
      </c>
      <c r="D30" s="29">
        <v>9782.4249999999993</v>
      </c>
      <c r="E30" s="29">
        <f t="shared" si="2"/>
        <v>1887.5750000000007</v>
      </c>
      <c r="F30" s="30">
        <f t="shared" si="3"/>
        <v>0.19295573439101255</v>
      </c>
      <c r="G30" s="31">
        <v>10978.82</v>
      </c>
      <c r="H30" s="31">
        <f t="shared" si="0"/>
        <v>691.18000000000029</v>
      </c>
      <c r="I30" s="32">
        <f t="shared" si="1"/>
        <v>6.2955763916340765E-2</v>
      </c>
      <c r="J30" s="49" t="s">
        <v>176</v>
      </c>
      <c r="K30" s="67" t="s">
        <v>177</v>
      </c>
    </row>
    <row r="31" spans="1:14" ht="15.6">
      <c r="A31" s="41" t="str">
        <v>Commerce City - Educational Support Services</v>
      </c>
      <c r="B31" s="42" t="str">
        <v>CO</v>
      </c>
      <c r="C31" s="35">
        <v>11891</v>
      </c>
      <c r="D31" s="36">
        <v>10164.36</v>
      </c>
      <c r="E31" s="36">
        <f t="shared" si="2"/>
        <v>1726.6399999999994</v>
      </c>
      <c r="F31" s="37">
        <f t="shared" si="3"/>
        <v>0.16987198406982823</v>
      </c>
      <c r="G31" s="72">
        <v>11375.6</v>
      </c>
      <c r="H31" s="38">
        <f t="shared" si="0"/>
        <v>515.39999999999964</v>
      </c>
      <c r="I31" s="37">
        <f t="shared" si="1"/>
        <v>4.5307500263722322E-2</v>
      </c>
      <c r="J31" s="50"/>
      <c r="K31" s="60"/>
    </row>
    <row r="32" spans="1:14" ht="15.6">
      <c r="A32" s="43" t="str">
        <v>Commerce City - Hanson ES</v>
      </c>
      <c r="B32" s="40" t="str">
        <v>CO</v>
      </c>
      <c r="C32" s="28">
        <v>14925</v>
      </c>
      <c r="D32" s="29">
        <v>13253.54</v>
      </c>
      <c r="E32" s="29">
        <f t="shared" si="2"/>
        <v>1671.4599999999991</v>
      </c>
      <c r="F32" s="30">
        <f t="shared" si="3"/>
        <v>0.12611423061310403</v>
      </c>
      <c r="G32" s="31">
        <v>14873.58</v>
      </c>
      <c r="H32" s="31">
        <f t="shared" si="0"/>
        <v>51.420000000000073</v>
      </c>
      <c r="I32" s="32">
        <f t="shared" si="1"/>
        <v>3.4571367485165018E-3</v>
      </c>
      <c r="J32" s="49" t="s">
        <v>178</v>
      </c>
      <c r="K32" s="67" t="s">
        <v>179</v>
      </c>
    </row>
    <row r="33" spans="1:12" ht="28.9">
      <c r="A33" s="41" t="str">
        <v>Commerce City - Kemp ES</v>
      </c>
      <c r="B33" s="42" t="str">
        <v>CO</v>
      </c>
      <c r="C33" s="35">
        <v>5886.4613689999996</v>
      </c>
      <c r="D33" s="36">
        <v>13247.98</v>
      </c>
      <c r="E33" s="36">
        <f t="shared" si="2"/>
        <v>-7361.5186309999999</v>
      </c>
      <c r="F33" s="37">
        <f t="shared" si="3"/>
        <v>-0.5556710253940601</v>
      </c>
      <c r="G33" s="72">
        <v>14866.23</v>
      </c>
      <c r="H33" s="38">
        <f t="shared" si="0"/>
        <v>-8979.768630999999</v>
      </c>
      <c r="I33" s="37">
        <f t="shared" si="1"/>
        <v>-0.6040380534271298</v>
      </c>
      <c r="J33" s="60" t="s">
        <v>180</v>
      </c>
      <c r="K33" s="75" t="s">
        <v>181</v>
      </c>
    </row>
    <row r="34" spans="1:12" ht="86.45">
      <c r="A34" s="43" t="str">
        <v>Commerce City -  Lester Arnold HS</v>
      </c>
      <c r="B34" s="40" t="str">
        <v>CO</v>
      </c>
      <c r="C34" s="28">
        <v>4738</v>
      </c>
      <c r="D34" s="29">
        <v>12807.06</v>
      </c>
      <c r="E34" s="29">
        <f t="shared" si="2"/>
        <v>-8069.0599999999995</v>
      </c>
      <c r="F34" s="30">
        <f t="shared" si="3"/>
        <v>-0.63004780175934205</v>
      </c>
      <c r="G34" s="31">
        <v>14432.74</v>
      </c>
      <c r="H34" s="31">
        <f t="shared" si="0"/>
        <v>-9694.74</v>
      </c>
      <c r="I34" s="32">
        <f t="shared" si="1"/>
        <v>-0.6717186064461772</v>
      </c>
      <c r="J34" s="62" t="s">
        <v>182</v>
      </c>
      <c r="K34" s="78" t="s">
        <v>183</v>
      </c>
    </row>
    <row r="35" spans="1:12" ht="72">
      <c r="A35" s="41" t="str">
        <v>Commerce City - Monaco ES</v>
      </c>
      <c r="B35" s="42" t="str">
        <v>CO</v>
      </c>
      <c r="C35" s="35">
        <v>7723</v>
      </c>
      <c r="D35" s="36">
        <v>13255.17</v>
      </c>
      <c r="E35" s="36">
        <f t="shared" si="2"/>
        <v>-5532.17</v>
      </c>
      <c r="F35" s="37">
        <f t="shared" si="3"/>
        <v>-0.41735941523194348</v>
      </c>
      <c r="G35" s="72">
        <v>14873.58</v>
      </c>
      <c r="H35" s="38">
        <f t="shared" si="0"/>
        <v>-7150.58</v>
      </c>
      <c r="I35" s="37">
        <f t="shared" si="1"/>
        <v>-0.48075715463257668</v>
      </c>
      <c r="J35" s="60" t="s">
        <v>184</v>
      </c>
      <c r="K35" s="75" t="s">
        <v>185</v>
      </c>
      <c r="L35" s="95" t="s">
        <v>186</v>
      </c>
    </row>
    <row r="36" spans="1:12" ht="15.6">
      <c r="A36" s="43" t="str">
        <v>Denver - Northgate / Old Fort Logan ES</v>
      </c>
      <c r="B36" s="40" t="str">
        <v>CO</v>
      </c>
      <c r="C36" s="28">
        <v>14110</v>
      </c>
      <c r="D36" s="29">
        <v>11489.7</v>
      </c>
      <c r="E36" s="29">
        <f t="shared" si="2"/>
        <v>2620.2999999999993</v>
      </c>
      <c r="F36" s="30">
        <f t="shared" si="3"/>
        <v>0.22805643315317189</v>
      </c>
      <c r="G36" s="31">
        <v>14384.82</v>
      </c>
      <c r="H36" s="31">
        <f t="shared" si="0"/>
        <v>-274.81999999999971</v>
      </c>
      <c r="I36" s="32">
        <f t="shared" si="1"/>
        <v>-1.9104861930840964E-2</v>
      </c>
      <c r="J36" s="62"/>
      <c r="K36" s="62"/>
    </row>
    <row r="37" spans="1:12" ht="15.6">
      <c r="A37" s="41" t="str">
        <v>Denver - Sheridan High School</v>
      </c>
      <c r="B37" s="42" t="str">
        <v>CO</v>
      </c>
      <c r="C37" s="35">
        <v>16526</v>
      </c>
      <c r="D37" s="36">
        <v>13256.88</v>
      </c>
      <c r="E37" s="36">
        <f t="shared" si="2"/>
        <v>3269.1200000000008</v>
      </c>
      <c r="F37" s="37">
        <f t="shared" si="3"/>
        <v>0.24659799289123843</v>
      </c>
      <c r="G37" s="72">
        <v>14317.74</v>
      </c>
      <c r="H37" s="38">
        <f t="shared" si="0"/>
        <v>2208.2600000000002</v>
      </c>
      <c r="I37" s="37">
        <f t="shared" si="1"/>
        <v>0.15423244171216968</v>
      </c>
      <c r="J37" s="60"/>
      <c r="K37" s="59"/>
    </row>
    <row r="38" spans="1:12" ht="15.6">
      <c r="A38" s="43" t="str">
        <v>Englewood -  Alice Terry Elementary</v>
      </c>
      <c r="B38" s="40" t="str">
        <v>CO</v>
      </c>
      <c r="C38" s="28">
        <v>15679</v>
      </c>
      <c r="D38" s="29">
        <v>13257.15</v>
      </c>
      <c r="E38" s="29">
        <f t="shared" si="2"/>
        <v>2421.8500000000004</v>
      </c>
      <c r="F38" s="30">
        <f t="shared" si="3"/>
        <v>0.18268255243396964</v>
      </c>
      <c r="G38" s="31">
        <v>14384.82</v>
      </c>
      <c r="H38" s="31">
        <f t="shared" si="0"/>
        <v>1294.1800000000003</v>
      </c>
      <c r="I38" s="32">
        <f t="shared" si="1"/>
        <v>8.9968452855162612E-2</v>
      </c>
      <c r="J38" s="62"/>
      <c r="K38" s="62"/>
    </row>
    <row r="39" spans="1:12" ht="28.9">
      <c r="A39" s="41" t="str">
        <v>Englewood - Sheridan Middle School</v>
      </c>
      <c r="B39" s="42" t="str">
        <v>CO</v>
      </c>
      <c r="C39" s="35">
        <v>6542</v>
      </c>
      <c r="D39" s="36">
        <v>7855.0709999999999</v>
      </c>
      <c r="E39" s="36">
        <f t="shared" si="2"/>
        <v>-1313.0709999999999</v>
      </c>
      <c r="F39" s="37">
        <f t="shared" si="3"/>
        <v>-0.16716220642690563</v>
      </c>
      <c r="G39" s="72">
        <v>8423.277</v>
      </c>
      <c r="H39" s="38">
        <f t="shared" si="0"/>
        <v>-1881.277</v>
      </c>
      <c r="I39" s="37">
        <f t="shared" si="1"/>
        <v>-0.22334264918510932</v>
      </c>
      <c r="J39" s="60" t="s">
        <v>187</v>
      </c>
      <c r="K39" s="75" t="s">
        <v>188</v>
      </c>
    </row>
    <row r="40" spans="1:12" ht="57.6">
      <c r="A40" s="43" t="str">
        <v>Goshen - NIPSCO</v>
      </c>
      <c r="B40" s="40" t="str">
        <v>IN</v>
      </c>
      <c r="C40" s="28">
        <v>49128</v>
      </c>
      <c r="D40" s="29">
        <v>54524.15</v>
      </c>
      <c r="E40" s="29">
        <f t="shared" si="2"/>
        <v>-5396.1500000000015</v>
      </c>
      <c r="F40" s="30">
        <f t="shared" si="3"/>
        <v>-9.8968071946100966E-2</v>
      </c>
      <c r="G40" s="31">
        <v>71872.850000000006</v>
      </c>
      <c r="H40" s="31">
        <f t="shared" si="0"/>
        <v>-22744.850000000006</v>
      </c>
      <c r="I40" s="32">
        <f t="shared" si="1"/>
        <v>-0.31645955322489649</v>
      </c>
      <c r="J40" s="62" t="s">
        <v>189</v>
      </c>
      <c r="K40" s="78" t="s">
        <v>190</v>
      </c>
    </row>
    <row r="41" spans="1:12" ht="26.45">
      <c r="A41" s="41" t="str">
        <v>Alamogordo - City of Alamogordo - Effluent</v>
      </c>
      <c r="B41" s="42" t="str">
        <v>NM</v>
      </c>
      <c r="C41" s="35">
        <v>26336</v>
      </c>
      <c r="D41" s="36">
        <v>31408.3</v>
      </c>
      <c r="E41" s="36">
        <f t="shared" si="2"/>
        <v>-5072.2999999999993</v>
      </c>
      <c r="F41" s="37">
        <f t="shared" si="3"/>
        <v>-0.16149552825208621</v>
      </c>
      <c r="G41" s="72">
        <v>35349.800000000003</v>
      </c>
      <c r="H41" s="38">
        <f t="shared" si="0"/>
        <v>-9013.8000000000029</v>
      </c>
      <c r="I41" s="37">
        <f t="shared" si="1"/>
        <v>-0.25498871280742752</v>
      </c>
      <c r="J41" s="60" t="s">
        <v>191</v>
      </c>
      <c r="K41" s="75" t="s">
        <v>192</v>
      </c>
      <c r="L41" s="95" t="s">
        <v>193</v>
      </c>
    </row>
    <row r="42" spans="1:12" ht="72">
      <c r="A42" s="43" t="str">
        <v>Alamogordo - City of Alamogordo - WWTP</v>
      </c>
      <c r="B42" s="40" t="str">
        <v>NM</v>
      </c>
      <c r="C42" s="28">
        <v>33510</v>
      </c>
      <c r="D42" s="29">
        <v>1.247583E-3</v>
      </c>
      <c r="E42" s="29">
        <f t="shared" si="2"/>
        <v>33509.998752416999</v>
      </c>
      <c r="F42" s="30">
        <f t="shared" si="3"/>
        <v>26859935.372970775</v>
      </c>
      <c r="G42" s="31">
        <v>149913.1</v>
      </c>
      <c r="H42" s="31">
        <f t="shared" si="0"/>
        <v>-116403.1</v>
      </c>
      <c r="I42" s="32">
        <f t="shared" si="1"/>
        <v>-0.7764705019107736</v>
      </c>
      <c r="J42" s="62" t="s">
        <v>194</v>
      </c>
      <c r="K42" s="78" t="s">
        <v>195</v>
      </c>
      <c r="L42" s="95" t="s">
        <v>196</v>
      </c>
    </row>
    <row r="43" spans="1:12" ht="15.6">
      <c r="A43" s="41" t="str">
        <v>Deming - Bilbo Booster</v>
      </c>
      <c r="B43" s="42" t="str">
        <v>NM</v>
      </c>
      <c r="C43" s="35">
        <v>13955</v>
      </c>
      <c r="D43" s="36">
        <v>0</v>
      </c>
      <c r="E43" s="36">
        <f t="shared" si="2"/>
        <v>13955</v>
      </c>
      <c r="F43" s="37" t="str">
        <f t="shared" si="3"/>
        <v/>
      </c>
      <c r="G43" s="72">
        <v>14175</v>
      </c>
      <c r="H43" s="38">
        <f t="shared" si="0"/>
        <v>-220</v>
      </c>
      <c r="I43" s="37">
        <f t="shared" si="1"/>
        <v>-1.5520282186948854E-2</v>
      </c>
      <c r="J43" s="60"/>
      <c r="K43" s="59"/>
    </row>
    <row r="44" spans="1:12" ht="43.15">
      <c r="A44" s="43" t="str">
        <v>Deming - Bilbo Well</v>
      </c>
      <c r="B44" s="40" t="str">
        <v>NM</v>
      </c>
      <c r="C44" s="28">
        <v>25230</v>
      </c>
      <c r="D44" s="29">
        <v>0</v>
      </c>
      <c r="E44" s="29">
        <f t="shared" si="2"/>
        <v>25230</v>
      </c>
      <c r="F44" s="30" t="str">
        <f t="shared" si="3"/>
        <v/>
      </c>
      <c r="G44" s="31">
        <v>25624.43</v>
      </c>
      <c r="H44" s="31">
        <f t="shared" si="0"/>
        <v>-394.43000000000029</v>
      </c>
      <c r="I44" s="32">
        <f t="shared" si="1"/>
        <v>-1.5392732638345527E-2</v>
      </c>
      <c r="J44" s="62" t="s">
        <v>197</v>
      </c>
      <c r="K44" s="78" t="s">
        <v>198</v>
      </c>
    </row>
    <row r="45" spans="1:12" ht="57.6">
      <c r="A45" s="41" t="str">
        <v>Deming - WWTP</v>
      </c>
      <c r="B45" s="42" t="str">
        <v>NM</v>
      </c>
      <c r="C45" s="35">
        <v>89500</v>
      </c>
      <c r="D45" s="36">
        <v>72718</v>
      </c>
      <c r="E45" s="36">
        <f t="shared" si="2"/>
        <v>16782</v>
      </c>
      <c r="F45" s="93">
        <f t="shared" si="3"/>
        <v>0.23078192469539865</v>
      </c>
      <c r="G45" s="72">
        <v>102941.5</v>
      </c>
      <c r="H45" s="38">
        <f t="shared" si="0"/>
        <v>-13441.5</v>
      </c>
      <c r="I45" s="37">
        <f t="shared" si="1"/>
        <v>-0.13057416105263669</v>
      </c>
      <c r="J45" s="60" t="s">
        <v>199</v>
      </c>
      <c r="K45" s="75" t="s">
        <v>200</v>
      </c>
    </row>
    <row r="46" spans="1:12" ht="109.5" customHeight="1">
      <c r="A46" s="43" t="str">
        <v>Truth or Consequences - Walmart</v>
      </c>
      <c r="B46" s="40" t="str">
        <v>NM</v>
      </c>
      <c r="C46" s="28">
        <v>185000</v>
      </c>
      <c r="D46" s="29">
        <v>375246.2</v>
      </c>
      <c r="E46" s="91">
        <f t="shared" si="2"/>
        <v>-190246.2</v>
      </c>
      <c r="F46" s="90">
        <f t="shared" si="3"/>
        <v>-0.50699034393952558</v>
      </c>
      <c r="G46" s="92">
        <v>224951.5</v>
      </c>
      <c r="H46" s="31">
        <f t="shared" si="0"/>
        <v>-39951.5</v>
      </c>
      <c r="I46" s="32">
        <f t="shared" si="1"/>
        <v>-0.17760050499774396</v>
      </c>
      <c r="J46" s="62" t="s">
        <v>201</v>
      </c>
      <c r="K46" s="78" t="s">
        <v>202</v>
      </c>
      <c r="L46" s="95" t="s">
        <v>203</v>
      </c>
    </row>
    <row r="47" spans="1:12" ht="14.45">
      <c r="A47" s="8" t="str">
        <v>CA: Stockton - SUSD - Merlo</v>
      </c>
      <c r="B47" s="13" t="str">
        <v>CA</v>
      </c>
      <c r="C47" s="8"/>
      <c r="D47" s="8"/>
      <c r="E47" s="8"/>
      <c r="F47" s="89" t="str">
        <f t="shared" si="3"/>
        <v/>
      </c>
      <c r="G47" s="8"/>
      <c r="H47" s="8"/>
      <c r="I47" s="9"/>
      <c r="J47" s="94"/>
      <c r="K47" s="94"/>
    </row>
    <row r="48" spans="1:12"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hyperlinks>
    <hyperlink ref="K4" r:id="rId1" display="https://us3.assetplanner.com/service_request?ID=095368" xr:uid="{DCAE6B13-345B-4B44-9C37-99AAE33CB13C}"/>
    <hyperlink ref="L4" r:id="rId2" display="https://us3.assetplanner.com/service_request?ID=097850" xr:uid="{AF379E99-5ACF-4627-8CEC-8331704C8EB1}"/>
    <hyperlink ref="M4" r:id="rId3" display="https://us3.assetplanner.com/service_request?ID=099290" xr:uid="{ABC80F1C-128B-470A-8899-F60875031240}"/>
    <hyperlink ref="N4" r:id="rId4" display="https://us3.assetplanner.com/service_request?ID=101343" xr:uid="{2603D974-4721-480F-AAFC-FB9E191CB2B6}"/>
    <hyperlink ref="K5" r:id="rId5" display="https://us3.assetplanner.com/service_request?ID=101243" xr:uid="{48A0E50E-CB87-4D09-B78B-FAF0A2A7C24F}"/>
    <hyperlink ref="L5" r:id="rId6" display="https://us3.assetplanner.com/service_request?ID=101243" xr:uid="{2A89D2A7-1656-4DCE-A190-9566085395C8}"/>
    <hyperlink ref="M5" r:id="rId7" display="https://us3.assetplanner.com/service_request?ID=101243" xr:uid="{665E4074-5831-4ED1-9BE8-49AB2153A006}"/>
    <hyperlink ref="N5" r:id="rId8" display="https://us3.assetplanner.com/service_request?ID=101243" xr:uid="{9AA680E0-9146-4083-BA65-01AFE3EF4527}"/>
    <hyperlink ref="O5" r:id="rId9" display="https://us3.assetplanner.com/service_request?ID=101245" xr:uid="{2524CAE2-6790-4C8A-8742-34F22BC4E220}"/>
    <hyperlink ref="K7" r:id="rId10" display="https://us3.assetplanner.com/service_request?ID=096262" xr:uid="{EBED6F70-AC5C-40E9-9D03-1987BED83858}"/>
    <hyperlink ref="L7" r:id="rId11" display="https://us3.assetplanner.com/service_request?ID=099066" xr:uid="{8A70A606-9A31-40D3-8563-8CD422ED456B}"/>
    <hyperlink ref="K8" r:id="rId12" display="https://us3.assetplanner.com/service_request?ID=098870" xr:uid="{F3B8B6B3-FA1D-47D8-8072-93912FA004FC}"/>
    <hyperlink ref="L8" r:id="rId13" display="https://us3.assetplanner.com/service_request?ID=099461" xr:uid="{C4CFD1D8-8939-4485-80C9-9109EC4C3F03}"/>
    <hyperlink ref="K9" r:id="rId14" display="https://us3.assetplanner.com/service_request?ID=101286" xr:uid="{F4E5BADC-5C41-4419-A871-C74AED476E8C}"/>
    <hyperlink ref="L9" r:id="rId15" display="https://us3.assetplanner.com/service_request?ID=101468" xr:uid="{8B3B8071-B41C-434B-8343-39AFD83E53C1}"/>
    <hyperlink ref="K11" r:id="rId16" display="https://us3.assetplanner.com/service_request?ID=100903" xr:uid="{20350F32-1E00-499E-923D-98AD328E31A2}"/>
    <hyperlink ref="L11" r:id="rId17" display="https://us3.assetplanner.com/service_request?ID=101277" xr:uid="{FCF67153-D4BE-42E5-9D2D-98FA762ADC0A}"/>
    <hyperlink ref="M11" r:id="rId18" display="https://us3.assetplanner.com/service_request?ID=101563" xr:uid="{DF89CF93-B819-4A18-80A5-557B1529A507}"/>
    <hyperlink ref="K12" r:id="rId19" display="https://us3.assetplanner.com/service_request?ID=100902" xr:uid="{16DC8D6A-1ADA-4F66-BD56-D9AC2F51CA0B}"/>
    <hyperlink ref="L12" r:id="rId20" display="https://us3.assetplanner.com/service_request?ID=101276" xr:uid="{A407A25B-E061-4054-A951-94B21242DC13}"/>
    <hyperlink ref="M12" r:id="rId21" display="https://us3.assetplanner.com/service_request?ID=101564" xr:uid="{9428DFF8-D143-41DC-A60E-2121AB492460}"/>
    <hyperlink ref="N12" r:id="rId22" display="https://us3.assetplanner.com/service_request?ID=101628" xr:uid="{2271C070-A310-49C2-B91A-DA9FDA53FCC0}"/>
    <hyperlink ref="O12" r:id="rId23" display="https://us3.assetplanner.com/service_request?ID=101867" xr:uid="{9CFD9937-A3C9-4514-B27D-6397103EC5CF}"/>
    <hyperlink ref="P12" r:id="rId24" display="https://us3.assetplanner.com/service_request?ID=102209" xr:uid="{DF3911C7-A352-4E1F-8926-A5DC92069B6D}"/>
    <hyperlink ref="K14" r:id="rId25" display="https://us3.assetplanner.com/service_request?ID=101470" xr:uid="{D490BA08-BB31-4F5E-80BC-E00146D39509}"/>
    <hyperlink ref="L14" r:id="rId26" display="https://us3.assetplanner.com/service_request?ID=099110" xr:uid="{2A1C21F8-237D-4771-A9E1-CBC9033BDE08}"/>
    <hyperlink ref="K15" r:id="rId27" display="https://us3.assetplanner.com/service_request?ID=101919" xr:uid="{8FE785D9-91CF-4D8C-B1FF-A82224A6191B}"/>
    <hyperlink ref="L15" r:id="rId28" display="https://us3.assetplanner.com/service_request?ID=102140" xr:uid="{AC241A7A-EB20-4E4C-8086-A2EA082B7620}"/>
    <hyperlink ref="K16" r:id="rId29" display="https://us3.assetplanner.com/service_request?ID=101596" xr:uid="{B9D0E94B-009F-450D-9E9E-3F8FEE4AB812}"/>
    <hyperlink ref="K17" r:id="rId30" display="https://us3.assetplanner.com/service_request?ID=099746" xr:uid="{8CEC4411-762B-4AA1-88D8-6FF55A21FD7A}"/>
    <hyperlink ref="L17" r:id="rId31" display="https://us3.assetplanner.com/service_request?ID=099746" xr:uid="{C302FC1A-BDF7-4AA9-B1E1-A5625FEE132B}"/>
    <hyperlink ref="M17" r:id="rId32" display="https://us3.assetplanner.com/service_request?ID=100930" xr:uid="{640C85DC-9DB9-46D7-81D5-A1458EFB1A56}"/>
    <hyperlink ref="K18" r:id="rId33" display="https://us3.assetplanner.com/service_request?ID=101068" xr:uid="{12D19595-BFBE-4471-BFEA-F497540A5EFD}"/>
    <hyperlink ref="L18" r:id="rId34" display="https://us3.assetplanner.com/service_request?ID=101068" xr:uid="{85CAF707-35C2-4B67-9B6D-3A05DF7C62E8}"/>
    <hyperlink ref="K19" r:id="rId35" display="https://us3.assetplanner.com/service_request?ID=098231" xr:uid="{68639C07-126C-4444-85FC-593BC29AA161}"/>
    <hyperlink ref="L19" r:id="rId36" display="https://us3.assetplanner.com/service_request?ID=099730" xr:uid="{46D9BCE5-5061-47C2-AEB8-F9D653416486}"/>
    <hyperlink ref="M19" r:id="rId37" display="https://us3.assetplanner.com/service_request?ID=098076" xr:uid="{732E3DE3-DAA8-4271-97EB-902FE1372F03}"/>
    <hyperlink ref="K21" r:id="rId38" display="https://us3.assetplanner.com/service_request?ID=098015" xr:uid="{DEBB15A5-9116-4075-9754-809887D51B9F}"/>
    <hyperlink ref="L21" r:id="rId39" display="https://us3.assetplanner.com/service_request?ID=098016" xr:uid="{2AF1B0B6-0D80-4986-AF0D-20C55B96B758}"/>
    <hyperlink ref="M21" r:id="rId40" display="https://us3.assetplanner.com/service_request?ID=099500" xr:uid="{42B9BBDD-FF7C-489E-9A65-627FAB398D84}"/>
    <hyperlink ref="N21" r:id="rId41" display="https://us3.assetplanner.com/service_request?ID=098016" xr:uid="{44C76CEB-A815-4214-823D-DC8A1ED4F29D}"/>
    <hyperlink ref="K25" r:id="rId42" display="https://us3.assetplanner.com/service_request?ID=101017" xr:uid="{FFA40B69-FFA6-4685-BA0B-D0EBA1CDE067}"/>
    <hyperlink ref="L25" r:id="rId43" display="https://us3.assetplanner.com/service_request?ID=101372" xr:uid="{4ADE7035-F222-4B10-B807-45E9F0EE1311}"/>
    <hyperlink ref="M25" r:id="rId44" display="https://us3.assetplanner.com/service_request?ID=102011" xr:uid="{7B530C22-6EE4-4C96-A9F3-FFC8B82D5166}"/>
    <hyperlink ref="K26" r:id="rId45" display="https://us3.assetplanner.com/service_request?ID=100843" xr:uid="{1C53C713-9B2A-4BAC-9C31-4FC282AC30B2}"/>
    <hyperlink ref="K27" r:id="rId46" display="https://us3.assetplanner.com/service_request?ID=101040" xr:uid="{773C69B9-BE07-4BB2-87D9-E2340D549453}"/>
    <hyperlink ref="K30" r:id="rId47" display="https://us3.assetplanner.com/service_request?ID=102137" xr:uid="{047F6E64-364D-4215-8362-B6B29E3359C6}"/>
    <hyperlink ref="K32" r:id="rId48" display="https://us3.assetplanner.com/service_request?ID=101917" xr:uid="{75E604CA-AA4A-41AA-BE8F-8A0DD11EC1A6}"/>
    <hyperlink ref="K33" r:id="rId49" display="https://us3.assetplanner.com/service_request?ID=100833" xr:uid="{0561FFE8-6BE2-4999-A3D5-434372D208F8}"/>
    <hyperlink ref="K34" r:id="rId50" display="https://us3.assetplanner.com/service_request?ID=100883" xr:uid="{31D34E5A-F849-40DD-8E53-A357355CE87B}"/>
    <hyperlink ref="K35" r:id="rId51" display="https://us3.assetplanner.com/service_request?ID=101936" xr:uid="{0147B273-1668-4238-A4B8-451CB8FE1556}"/>
    <hyperlink ref="L35" r:id="rId52" display="https://us3.assetplanner.com/service_request?ID=100884" xr:uid="{42E27904-21B7-4CC0-AA68-7A383605D4B6}"/>
    <hyperlink ref="K39" r:id="rId53" display="https://us3.assetplanner.com/service_request?ID=100857" xr:uid="{41316D24-1B95-4352-BD87-285FFCA1063A}"/>
    <hyperlink ref="K40" r:id="rId54" display="https://us3.assetplanner.com/service_request?ID=101963" xr:uid="{C1D3A211-56CD-48BB-8A63-99704FD45E12}"/>
    <hyperlink ref="K41" r:id="rId55" display="https://us3.assetplanner.com/service_request?ID=101818" xr:uid="{96364904-9355-4FDC-9A9A-9F9678F7CFF5}"/>
    <hyperlink ref="L41" r:id="rId56" display="https://us3.assetplanner.com/service_request?ID=101668" xr:uid="{FDD973FA-C8CC-483B-8E9F-15E1D08906ED}"/>
    <hyperlink ref="K42" r:id="rId57" display="https://us3.assetplanner.com/service_request?ID=100834" xr:uid="{1638DDC5-39AE-4690-A4E9-F9125F977AA6}"/>
    <hyperlink ref="L42" r:id="rId58" display="https://us3.assetplanner.com/service_request?ID=101034" xr:uid="{6C5DBD08-1B36-41E6-A377-CDEE8531E060}"/>
    <hyperlink ref="K44" r:id="rId59" display="https://us3.assetplanner.com/service_request?ID=100915" xr:uid="{EFC83C48-B761-463A-9EF6-B9AC451FD5B0}"/>
    <hyperlink ref="K45" r:id="rId60" display="https://us3.assetplanner.com/service_request?ID=101100" xr:uid="{7C757554-9A99-4959-91A2-5F506BE49D91}"/>
    <hyperlink ref="K46" r:id="rId61" display="https://us3.assetplanner.com/service_request?ID=100906" xr:uid="{B1E432F8-532D-4D81-A521-3799119722CE}"/>
    <hyperlink ref="L46" r:id="rId62" display="https://us3.assetplanner.com/service_request?ID=101057" xr:uid="{552A528C-03CD-495B-AC52-6309752BDD11}"/>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27"/>
  <sheetViews>
    <sheetView zoomScale="85" zoomScaleNormal="85" workbookViewId="0">
      <pane xSplit="2" ySplit="3" topLeftCell="C21" activePane="bottomRight" state="frozen"/>
      <selection pane="bottomRight" activeCell="J73" sqref="J73"/>
      <selection pane="bottomLeft" activeCell="H13" sqref="H13"/>
      <selection pane="topRight" activeCell="H13" sqref="H13"/>
    </sheetView>
  </sheetViews>
  <sheetFormatPr defaultRowHeight="13.9"/>
  <cols>
    <col min="1" max="1" width="55.42578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77"/>
  </cols>
  <sheetData>
    <row r="1" spans="1:15" ht="19.5" customHeight="1">
      <c r="A1" s="119" t="str" cm="1">
        <f t="array" ref="A1">portfolio</f>
        <v>Clean Capital</v>
      </c>
      <c r="B1" s="119"/>
      <c r="C1" s="119"/>
      <c r="D1" s="120" t="s">
        <v>204</v>
      </c>
      <c r="E1" s="120"/>
      <c r="F1" s="120"/>
      <c r="G1" s="118" t="s">
        <v>205</v>
      </c>
      <c r="H1" s="118"/>
      <c r="I1" s="118"/>
      <c r="J1" s="4"/>
      <c r="K1" s="4"/>
    </row>
    <row r="2" spans="1:15" ht="19.5" customHeight="1">
      <c r="A2" s="121" t="s">
        <v>2</v>
      </c>
      <c r="B2" s="121"/>
      <c r="C2" s="5">
        <f>SUM(C4:C85)</f>
        <v>3527879.3081983938</v>
      </c>
      <c r="D2" s="5">
        <f>SUM(D4:D85)</f>
        <v>2547933.5273502115</v>
      </c>
      <c r="E2" s="5">
        <f>C2-D2</f>
        <v>979945.78084818227</v>
      </c>
      <c r="F2" s="6">
        <f>IFERROR(E2/D2, 0)</f>
        <v>0.38460413913046698</v>
      </c>
      <c r="G2" s="5">
        <f>SUM(G4:G85)</f>
        <v>4815603.813000001</v>
      </c>
      <c r="H2" s="7">
        <f>C2-G2</f>
        <v>-1287724.5048016072</v>
      </c>
      <c r="I2" s="6">
        <f>IFERROR(H2/G2, 0)</f>
        <v>-0.26740665445220396</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43.15">
      <c r="A4" s="39" t="str" cm="1">
        <f t="array" ref="A4:A85">Sites[Site]</f>
        <v>Lexington - Cotting School</v>
      </c>
      <c r="B4" s="40" t="str" cm="1">
        <f t="array" ref="B4:B85">Sites[State]</f>
        <v>MA</v>
      </c>
      <c r="C4" s="28">
        <v>41561.199999999997</v>
      </c>
      <c r="D4" s="97" t="s">
        <v>43</v>
      </c>
      <c r="E4" s="29" t="str">
        <f>IF(AND(ISNUMBER(C4),ISNUMBER(D4)), C4-D4, "")</f>
        <v/>
      </c>
      <c r="F4" s="30" t="str">
        <f>IFERROR(E4/D4, "")</f>
        <v/>
      </c>
      <c r="G4" s="84" t="s">
        <v>43</v>
      </c>
      <c r="H4" s="31" t="str">
        <f>IF(AND(ISNUMBER(C4),ISNUMBER(G4)), C4-G4, "")</f>
        <v/>
      </c>
      <c r="I4" s="32" t="str">
        <f>IFERROR(H4/G4, "")</f>
        <v/>
      </c>
      <c r="J4" s="57" t="s">
        <v>206</v>
      </c>
      <c r="K4" s="78" t="s">
        <v>207</v>
      </c>
    </row>
    <row r="5" spans="1:15" ht="209.25" customHeight="1">
      <c r="A5" s="41" t="str">
        <v>Pacoima - Whiteman Airport</v>
      </c>
      <c r="B5" s="42" t="str">
        <v>CA</v>
      </c>
      <c r="C5" s="35">
        <v>34810</v>
      </c>
      <c r="D5" s="98" t="s">
        <v>43</v>
      </c>
      <c r="E5" s="36" t="str">
        <f t="shared" ref="E5:E12" si="0">IF(AND(ISNUMBER(C5),ISNUMBER(D5)), C5-D5, "")</f>
        <v/>
      </c>
      <c r="F5" s="37" t="str">
        <f>IFERROR(E5/D5, "")</f>
        <v/>
      </c>
      <c r="G5" s="58">
        <v>62920</v>
      </c>
      <c r="H5" s="38">
        <f t="shared" ref="H5:H12" si="1">IF(AND(ISNUMBER(C5),ISNUMBER(G5)), C5-G5, "")</f>
        <v>-28110</v>
      </c>
      <c r="I5" s="37">
        <f t="shared" ref="I5:I68" si="2">IFERROR(H5/G5, "")</f>
        <v>-0.44675778766687857</v>
      </c>
      <c r="J5" s="99" t="s">
        <v>208</v>
      </c>
      <c r="K5" s="75" t="s">
        <v>134</v>
      </c>
      <c r="L5" s="76" t="s">
        <v>135</v>
      </c>
      <c r="M5" s="76" t="s">
        <v>135</v>
      </c>
      <c r="N5" s="76" t="s">
        <v>135</v>
      </c>
      <c r="O5" s="76" t="s">
        <v>136</v>
      </c>
    </row>
    <row r="6" spans="1:15" ht="15.6">
      <c r="A6" s="43" t="str">
        <v>Hyannis - Sturgis Charter School</v>
      </c>
      <c r="B6" s="40" t="str">
        <v>MA</v>
      </c>
      <c r="C6" s="28">
        <v>37285.945679999997</v>
      </c>
      <c r="D6" s="29" t="s">
        <v>43</v>
      </c>
      <c r="E6" s="29" t="str">
        <f t="shared" si="0"/>
        <v/>
      </c>
      <c r="F6" s="30" t="str">
        <f t="shared" ref="F6:F8" si="3">IFERROR(E6/D6, "")</f>
        <v/>
      </c>
      <c r="G6" s="31">
        <v>37520</v>
      </c>
      <c r="H6" s="31">
        <f t="shared" si="1"/>
        <v>-234.05432000000292</v>
      </c>
      <c r="I6" s="32">
        <f t="shared" si="2"/>
        <v>-6.2381215351813143E-3</v>
      </c>
      <c r="J6" s="57"/>
      <c r="K6" s="57"/>
    </row>
    <row r="7" spans="1:15" ht="57.6">
      <c r="A7" s="41" t="str">
        <v>South Dennis - Tony Kent Arena</v>
      </c>
      <c r="B7" s="42" t="str">
        <v>MA</v>
      </c>
      <c r="C7" s="35">
        <v>44360.88</v>
      </c>
      <c r="D7" s="96" t="s">
        <v>43</v>
      </c>
      <c r="E7" s="36" t="str">
        <f t="shared" si="0"/>
        <v/>
      </c>
      <c r="F7" s="37" t="str">
        <f t="shared" si="3"/>
        <v/>
      </c>
      <c r="G7" s="83" t="s">
        <v>43</v>
      </c>
      <c r="H7" s="38" t="str">
        <f t="shared" si="1"/>
        <v/>
      </c>
      <c r="I7" s="37" t="str">
        <f t="shared" si="2"/>
        <v/>
      </c>
      <c r="J7" s="100" t="s">
        <v>91</v>
      </c>
      <c r="K7" s="75" t="s">
        <v>137</v>
      </c>
      <c r="L7" s="76" t="s">
        <v>53</v>
      </c>
    </row>
    <row r="8" spans="1:15" ht="86.45">
      <c r="A8" s="43" t="str">
        <v xml:space="preserve"> Caropolis - Felician Sisters</v>
      </c>
      <c r="B8" s="40" t="str">
        <v>PA</v>
      </c>
      <c r="C8" s="28">
        <v>63673.2</v>
      </c>
      <c r="D8" s="29" t="s">
        <v>43</v>
      </c>
      <c r="E8" s="29" t="str">
        <f t="shared" si="0"/>
        <v/>
      </c>
      <c r="F8" s="30" t="str">
        <f t="shared" si="3"/>
        <v/>
      </c>
      <c r="G8" s="84" t="s">
        <v>43</v>
      </c>
      <c r="H8" s="31" t="str">
        <f t="shared" si="1"/>
        <v/>
      </c>
      <c r="I8" s="32" t="str">
        <f t="shared" si="2"/>
        <v/>
      </c>
      <c r="J8" s="57" t="s">
        <v>209</v>
      </c>
      <c r="K8" s="78" t="s">
        <v>210</v>
      </c>
      <c r="L8" s="76" t="s">
        <v>95</v>
      </c>
    </row>
    <row r="9" spans="1:15" ht="57" customHeight="1">
      <c r="A9" s="41" t="str">
        <v>Clear Lake - Eastlake Gohman</v>
      </c>
      <c r="B9" s="42" t="str">
        <v>MN</v>
      </c>
      <c r="C9" s="35">
        <v>161402</v>
      </c>
      <c r="D9" s="96" t="s">
        <v>43</v>
      </c>
      <c r="E9" s="36" t="str">
        <f t="shared" si="0"/>
        <v/>
      </c>
      <c r="F9" s="37" t="str">
        <f t="shared" ref="F9:F40" si="4">IFERROR(E9/D9, "")</f>
        <v/>
      </c>
      <c r="G9" s="38">
        <v>194604.2</v>
      </c>
      <c r="H9" s="38">
        <f t="shared" si="1"/>
        <v>-33202.200000000012</v>
      </c>
      <c r="I9" s="37">
        <f t="shared" si="2"/>
        <v>-0.17061399497030388</v>
      </c>
      <c r="J9" s="100" t="s">
        <v>211</v>
      </c>
      <c r="K9" s="88" t="s">
        <v>212</v>
      </c>
    </row>
    <row r="10" spans="1:15" ht="15.6">
      <c r="A10" s="43" t="str">
        <v>Zumbrota - Eastlake Brenda Luhman</v>
      </c>
      <c r="B10" s="40" t="str">
        <v>MN</v>
      </c>
      <c r="C10" s="28">
        <v>175506</v>
      </c>
      <c r="D10" s="29" t="s">
        <v>43</v>
      </c>
      <c r="E10" s="29" t="str">
        <f t="shared" si="0"/>
        <v/>
      </c>
      <c r="F10" s="30" t="str">
        <f t="shared" si="4"/>
        <v/>
      </c>
      <c r="G10" s="31">
        <v>196103</v>
      </c>
      <c r="H10" s="31">
        <f t="shared" si="1"/>
        <v>-20597</v>
      </c>
      <c r="I10" s="32">
        <f t="shared" si="2"/>
        <v>-0.10503153954809462</v>
      </c>
      <c r="J10" s="57" t="s">
        <v>213</v>
      </c>
      <c r="K10" s="57"/>
    </row>
    <row r="11" spans="1:15" ht="86.45">
      <c r="A11" s="41" t="str">
        <v>Cokato - Eastlake Carlson</v>
      </c>
      <c r="B11" s="42" t="str">
        <v>MN</v>
      </c>
      <c r="C11" s="35">
        <v>158746</v>
      </c>
      <c r="D11" s="96" t="s">
        <v>43</v>
      </c>
      <c r="E11" s="36" t="str">
        <f t="shared" si="0"/>
        <v/>
      </c>
      <c r="F11" s="37" t="str">
        <f t="shared" si="4"/>
        <v/>
      </c>
      <c r="G11" s="38">
        <v>211689.7</v>
      </c>
      <c r="H11" s="38">
        <f t="shared" si="1"/>
        <v>-52943.700000000012</v>
      </c>
      <c r="I11" s="37">
        <f t="shared" si="2"/>
        <v>-0.25010050087462926</v>
      </c>
      <c r="J11" s="100" t="s">
        <v>214</v>
      </c>
      <c r="K11" s="75" t="s">
        <v>215</v>
      </c>
      <c r="L11" s="76" t="s">
        <v>216</v>
      </c>
    </row>
    <row r="12" spans="1:15" ht="100.9">
      <c r="A12" s="43" t="str">
        <v>North Branch - Cornille 2</v>
      </c>
      <c r="B12" s="40" t="str">
        <v>MN</v>
      </c>
      <c r="C12" s="28">
        <v>157249</v>
      </c>
      <c r="D12" s="29" t="s">
        <v>43</v>
      </c>
      <c r="E12" s="29" t="str">
        <f t="shared" si="0"/>
        <v/>
      </c>
      <c r="F12" s="30" t="str">
        <f t="shared" si="4"/>
        <v/>
      </c>
      <c r="G12" s="31">
        <v>207595.1</v>
      </c>
      <c r="H12" s="31">
        <f t="shared" si="1"/>
        <v>-50346.100000000006</v>
      </c>
      <c r="I12" s="32">
        <f t="shared" si="2"/>
        <v>-0.24252065679777607</v>
      </c>
      <c r="J12" s="57" t="s">
        <v>217</v>
      </c>
      <c r="K12" s="78" t="s">
        <v>218</v>
      </c>
      <c r="L12" s="76" t="s">
        <v>152</v>
      </c>
      <c r="M12" s="76" t="s">
        <v>219</v>
      </c>
    </row>
    <row r="13" spans="1:15" ht="80.25" customHeight="1">
      <c r="A13" s="41" t="str">
        <v>Clear Lake - Eastlake Hammer</v>
      </c>
      <c r="B13" s="42" t="str">
        <v>MN</v>
      </c>
      <c r="C13" s="35">
        <v>183906.00000000099</v>
      </c>
      <c r="D13" s="96" t="s">
        <v>43</v>
      </c>
      <c r="E13" s="36" t="str">
        <f t="shared" ref="E13:E44" si="5">IF(AND(ISNUMBER(C13),ISNUMBER(D13)), C13-D13, "")</f>
        <v/>
      </c>
      <c r="F13" s="37" t="str">
        <f t="shared" si="4"/>
        <v/>
      </c>
      <c r="G13" s="38">
        <v>258377.7</v>
      </c>
      <c r="H13" s="38">
        <f t="shared" ref="H13:H44" si="6">IF(AND(ISNUMBER(C13),ISNUMBER(G13)), C13-G13, "")</f>
        <v>-74471.699999999022</v>
      </c>
      <c r="I13" s="37">
        <f t="shared" si="2"/>
        <v>-0.288228047544347</v>
      </c>
      <c r="J13" s="99" t="s">
        <v>220</v>
      </c>
      <c r="K13" s="88" t="s">
        <v>221</v>
      </c>
      <c r="L13" s="76" t="s">
        <v>222</v>
      </c>
      <c r="M13" s="76" t="s">
        <v>223</v>
      </c>
    </row>
    <row r="14" spans="1:15" ht="160.5" customHeight="1">
      <c r="A14" s="43" t="str">
        <v>Eastlake - Hertzberg CSG 1</v>
      </c>
      <c r="B14" s="40" t="str">
        <v>MN</v>
      </c>
      <c r="C14" s="28">
        <v>188383</v>
      </c>
      <c r="D14" s="29" t="s">
        <v>43</v>
      </c>
      <c r="E14" s="29" t="str">
        <f t="shared" si="5"/>
        <v/>
      </c>
      <c r="F14" s="30" t="str">
        <f t="shared" si="4"/>
        <v/>
      </c>
      <c r="G14" s="31">
        <v>255160.50599999999</v>
      </c>
      <c r="H14" s="31">
        <f t="shared" si="6"/>
        <v>-66777.505999999994</v>
      </c>
      <c r="I14" s="32">
        <f t="shared" si="2"/>
        <v>-0.26170784439500994</v>
      </c>
      <c r="J14" s="57" t="s">
        <v>224</v>
      </c>
      <c r="K14" s="78" t="s">
        <v>225</v>
      </c>
      <c r="L14" s="76" t="s">
        <v>226</v>
      </c>
      <c r="M14" s="76" t="s">
        <v>227</v>
      </c>
      <c r="N14" s="76" t="s">
        <v>228</v>
      </c>
      <c r="O14" s="76" t="s">
        <v>112</v>
      </c>
    </row>
    <row r="15" spans="1:15" ht="48.75" customHeight="1">
      <c r="A15" s="41" t="str">
        <v>Cokato - Eastlake Laurel Village</v>
      </c>
      <c r="B15" s="42" t="str">
        <v>MN</v>
      </c>
      <c r="C15" s="35">
        <v>204106.19500000001</v>
      </c>
      <c r="D15" s="96" t="s">
        <v>43</v>
      </c>
      <c r="E15" s="36" t="str">
        <f t="shared" si="5"/>
        <v/>
      </c>
      <c r="F15" s="37" t="str">
        <f t="shared" si="4"/>
        <v/>
      </c>
      <c r="G15" s="38">
        <v>276345</v>
      </c>
      <c r="H15" s="38">
        <f t="shared" si="6"/>
        <v>-72238.804999999993</v>
      </c>
      <c r="I15" s="37">
        <f t="shared" si="2"/>
        <v>-0.26140804067379542</v>
      </c>
      <c r="J15" s="99" t="s">
        <v>229</v>
      </c>
      <c r="K15" s="75" t="s">
        <v>230</v>
      </c>
    </row>
    <row r="16" spans="1:15" ht="48.75" customHeight="1">
      <c r="A16" s="43" t="str">
        <v>St. Peter - Eastlake Paulson</v>
      </c>
      <c r="B16" s="40" t="str">
        <v>MN</v>
      </c>
      <c r="C16" s="28">
        <v>172142.707001328</v>
      </c>
      <c r="D16" s="29" t="s">
        <v>43</v>
      </c>
      <c r="E16" s="29" t="str">
        <f t="shared" si="5"/>
        <v/>
      </c>
      <c r="F16" s="30" t="str">
        <f t="shared" si="4"/>
        <v/>
      </c>
      <c r="G16" s="31">
        <v>213267.1</v>
      </c>
      <c r="H16" s="31">
        <f t="shared" si="6"/>
        <v>-41124.392998672003</v>
      </c>
      <c r="I16" s="32">
        <f t="shared" si="2"/>
        <v>-0.19283046001315721</v>
      </c>
      <c r="J16" s="57" t="s">
        <v>231</v>
      </c>
      <c r="K16" s="78" t="s">
        <v>232</v>
      </c>
      <c r="L16" s="76" t="s">
        <v>233</v>
      </c>
    </row>
    <row r="17" spans="1:14" ht="43.15">
      <c r="A17" s="41" t="str">
        <v>Felician Sisters Convent</v>
      </c>
      <c r="B17" s="42" t="str">
        <v>NJ</v>
      </c>
      <c r="C17" s="35">
        <v>13468.4</v>
      </c>
      <c r="D17" s="96" t="s">
        <v>43</v>
      </c>
      <c r="E17" s="36" t="str">
        <f t="shared" si="5"/>
        <v/>
      </c>
      <c r="F17" s="37" t="str">
        <f t="shared" si="4"/>
        <v/>
      </c>
      <c r="G17" s="83" t="s">
        <v>43</v>
      </c>
      <c r="H17" s="38" t="str">
        <f t="shared" si="6"/>
        <v/>
      </c>
      <c r="I17" s="37" t="str">
        <f t="shared" si="2"/>
        <v/>
      </c>
      <c r="J17" s="99" t="s">
        <v>234</v>
      </c>
      <c r="K17" s="75" t="s">
        <v>235</v>
      </c>
    </row>
    <row r="18" spans="1:14" ht="86.45">
      <c r="A18" s="43" t="str">
        <v>Sussex County Fairgrounds</v>
      </c>
      <c r="B18" s="40" t="str">
        <v>NJ</v>
      </c>
      <c r="C18" s="28">
        <v>52922.52</v>
      </c>
      <c r="D18" s="29" t="s">
        <v>43</v>
      </c>
      <c r="E18" s="29" t="str">
        <f t="shared" si="5"/>
        <v/>
      </c>
      <c r="F18" s="30" t="str">
        <f t="shared" si="4"/>
        <v/>
      </c>
      <c r="G18" s="84" t="s">
        <v>43</v>
      </c>
      <c r="H18" s="31" t="str">
        <f t="shared" si="6"/>
        <v/>
      </c>
      <c r="I18" s="32" t="str">
        <f t="shared" si="2"/>
        <v/>
      </c>
      <c r="J18" s="57" t="s">
        <v>236</v>
      </c>
      <c r="K18" s="78" t="s">
        <v>237</v>
      </c>
      <c r="L18" s="76" t="s">
        <v>238</v>
      </c>
      <c r="M18" s="76" t="s">
        <v>121</v>
      </c>
    </row>
    <row r="19" spans="1:14" ht="60" customHeight="1">
      <c r="A19" s="41" t="str">
        <v>Gateway Church</v>
      </c>
      <c r="B19" s="42" t="str">
        <v>NJ</v>
      </c>
      <c r="C19" s="35">
        <v>29163</v>
      </c>
      <c r="D19" s="96" t="s">
        <v>43</v>
      </c>
      <c r="E19" s="36" t="str">
        <f t="shared" si="5"/>
        <v/>
      </c>
      <c r="F19" s="37" t="str">
        <f t="shared" si="4"/>
        <v/>
      </c>
      <c r="G19" s="83" t="s">
        <v>43</v>
      </c>
      <c r="H19" s="38" t="str">
        <f t="shared" si="6"/>
        <v/>
      </c>
      <c r="I19" s="37" t="str">
        <f t="shared" si="2"/>
        <v/>
      </c>
      <c r="J19" s="99" t="s">
        <v>239</v>
      </c>
      <c r="K19" s="75" t="s">
        <v>240</v>
      </c>
    </row>
    <row r="20" spans="1:14" ht="58.9" customHeight="1">
      <c r="A20" s="43" t="str">
        <v>Beaver Falls - Felician Sisters</v>
      </c>
      <c r="B20" s="40" t="str">
        <v>PA</v>
      </c>
      <c r="C20" s="28">
        <v>44457</v>
      </c>
      <c r="D20" s="29" t="s">
        <v>43</v>
      </c>
      <c r="E20" s="29" t="str">
        <f t="shared" si="5"/>
        <v/>
      </c>
      <c r="F20" s="30" t="str">
        <f t="shared" si="4"/>
        <v/>
      </c>
      <c r="G20" s="84" t="s">
        <v>43</v>
      </c>
      <c r="H20" s="31" t="str">
        <f t="shared" si="6"/>
        <v/>
      </c>
      <c r="I20" s="32" t="str">
        <f t="shared" si="2"/>
        <v/>
      </c>
      <c r="J20" s="57" t="s">
        <v>241</v>
      </c>
      <c r="K20" s="78" t="s">
        <v>242</v>
      </c>
    </row>
    <row r="21" spans="1:14" ht="84.75" customHeight="1">
      <c r="A21" s="41" t="str">
        <v>Livonia - Felician Sisters Ground</v>
      </c>
      <c r="B21" s="42" t="str">
        <v>MI</v>
      </c>
      <c r="C21" s="35">
        <v>0</v>
      </c>
      <c r="D21" s="96" t="s">
        <v>43</v>
      </c>
      <c r="E21" s="36" t="str">
        <f t="shared" si="5"/>
        <v/>
      </c>
      <c r="F21" s="37" t="str">
        <f t="shared" si="4"/>
        <v/>
      </c>
      <c r="G21" s="83" t="s">
        <v>43</v>
      </c>
      <c r="H21" s="38" t="str">
        <f t="shared" si="6"/>
        <v/>
      </c>
      <c r="I21" s="37" t="str">
        <f t="shared" si="2"/>
        <v/>
      </c>
      <c r="J21" s="99" t="s">
        <v>243</v>
      </c>
      <c r="K21" s="75" t="s">
        <v>244</v>
      </c>
      <c r="L21" s="76" t="s">
        <v>127</v>
      </c>
      <c r="M21" s="76" t="s">
        <v>80</v>
      </c>
    </row>
    <row r="22" spans="1:14" ht="15.6">
      <c r="A22" s="43" t="str">
        <v>Livonia - Felician Sisters Roof</v>
      </c>
      <c r="B22" s="40" t="str">
        <v>MI</v>
      </c>
      <c r="C22" s="28">
        <v>17856</v>
      </c>
      <c r="D22" s="29" t="s">
        <v>43</v>
      </c>
      <c r="E22" s="29" t="str">
        <f t="shared" si="5"/>
        <v/>
      </c>
      <c r="F22" s="30" t="str">
        <f t="shared" si="4"/>
        <v/>
      </c>
      <c r="G22" s="84" t="s">
        <v>43</v>
      </c>
      <c r="H22" s="31" t="str">
        <f t="shared" si="6"/>
        <v/>
      </c>
      <c r="I22" s="32" t="str">
        <f t="shared" si="2"/>
        <v/>
      </c>
      <c r="J22" s="57" t="s">
        <v>245</v>
      </c>
      <c r="K22" s="78" t="s">
        <v>246</v>
      </c>
    </row>
    <row r="23" spans="1:14" ht="15.6">
      <c r="A23" s="41" t="str">
        <v>Monmouth Worship Ctr</v>
      </c>
      <c r="B23" s="42" t="str">
        <v>NJ</v>
      </c>
      <c r="C23" s="35">
        <v>11746.2</v>
      </c>
      <c r="D23" s="96" t="s">
        <v>43</v>
      </c>
      <c r="E23" s="36" t="str">
        <f t="shared" si="5"/>
        <v/>
      </c>
      <c r="F23" s="37" t="str">
        <f t="shared" si="4"/>
        <v/>
      </c>
      <c r="G23" s="83" t="s">
        <v>43</v>
      </c>
      <c r="H23" s="38" t="str">
        <f t="shared" si="6"/>
        <v/>
      </c>
      <c r="I23" s="37" t="str">
        <f t="shared" si="2"/>
        <v/>
      </c>
      <c r="J23" s="100"/>
      <c r="K23" s="100"/>
    </row>
    <row r="24" spans="1:14" ht="15.6">
      <c r="A24" s="43" t="str">
        <v xml:space="preserve"> Audubon - Senior Citizens United</v>
      </c>
      <c r="B24" s="40" t="str">
        <v>NJ</v>
      </c>
      <c r="C24" s="28">
        <v>9698.7000000000007</v>
      </c>
      <c r="D24" s="29" t="s">
        <v>43</v>
      </c>
      <c r="E24" s="29" t="str">
        <f t="shared" si="5"/>
        <v/>
      </c>
      <c r="F24" s="30" t="str">
        <f t="shared" si="4"/>
        <v/>
      </c>
      <c r="G24" s="84" t="s">
        <v>43</v>
      </c>
      <c r="H24" s="31" t="str">
        <f t="shared" si="6"/>
        <v/>
      </c>
      <c r="I24" s="32" t="str">
        <f t="shared" si="2"/>
        <v/>
      </c>
      <c r="J24" s="57" t="s">
        <v>247</v>
      </c>
      <c r="K24" s="78" t="s">
        <v>248</v>
      </c>
    </row>
    <row r="25" spans="1:14" ht="129.6">
      <c r="A25" s="41" t="str">
        <v>Hollister - PG&amp;E (Enerparc)</v>
      </c>
      <c r="B25" s="42" t="str">
        <v>CA</v>
      </c>
      <c r="C25" s="35">
        <v>0</v>
      </c>
      <c r="D25" s="36">
        <v>0</v>
      </c>
      <c r="E25" s="36">
        <f t="shared" si="5"/>
        <v>0</v>
      </c>
      <c r="F25" s="37" t="str">
        <f t="shared" si="4"/>
        <v/>
      </c>
      <c r="G25" s="38">
        <v>380851.9</v>
      </c>
      <c r="H25" s="38">
        <f t="shared" si="6"/>
        <v>-380851.9</v>
      </c>
      <c r="I25" s="37">
        <f t="shared" si="2"/>
        <v>-1</v>
      </c>
      <c r="J25" s="99" t="s">
        <v>249</v>
      </c>
      <c r="K25" s="75" t="s">
        <v>250</v>
      </c>
      <c r="L25" s="76" t="s">
        <v>251</v>
      </c>
      <c r="M25" s="76" t="s">
        <v>252</v>
      </c>
      <c r="N25" s="76" t="s">
        <v>171</v>
      </c>
    </row>
    <row r="26" spans="1:14" ht="15.6">
      <c r="A26" s="43" t="str">
        <v>Taos County - Kit Carson Electric Co-Op</v>
      </c>
      <c r="B26" s="40" t="str">
        <v>NM</v>
      </c>
      <c r="C26" s="28">
        <v>223650</v>
      </c>
      <c r="D26" s="29">
        <v>245538.7</v>
      </c>
      <c r="E26" s="29">
        <f t="shared" si="5"/>
        <v>-21888.700000000012</v>
      </c>
      <c r="F26" s="30">
        <f t="shared" si="4"/>
        <v>-8.9145621443788736E-2</v>
      </c>
      <c r="G26" s="31">
        <v>226498.4</v>
      </c>
      <c r="H26" s="31">
        <f t="shared" si="6"/>
        <v>-2848.3999999999942</v>
      </c>
      <c r="I26" s="32">
        <f t="shared" si="2"/>
        <v>-1.2575806275011189E-2</v>
      </c>
      <c r="J26" s="57"/>
      <c r="K26" s="57"/>
    </row>
    <row r="27" spans="1:14" ht="15.6">
      <c r="A27" s="41" t="str">
        <v>Commerce City - Adams City HS</v>
      </c>
      <c r="B27" s="42" t="str">
        <v>CO</v>
      </c>
      <c r="C27" s="35">
        <v>16571</v>
      </c>
      <c r="D27" s="36">
        <v>13824.62</v>
      </c>
      <c r="E27" s="36">
        <f t="shared" si="5"/>
        <v>2746.3799999999992</v>
      </c>
      <c r="F27" s="37">
        <f t="shared" si="4"/>
        <v>0.19865862497486361</v>
      </c>
      <c r="G27" s="38">
        <v>15719.6</v>
      </c>
      <c r="H27" s="38">
        <f t="shared" si="6"/>
        <v>851.39999999999964</v>
      </c>
      <c r="I27" s="37">
        <f t="shared" si="2"/>
        <v>5.4161683503397007E-2</v>
      </c>
      <c r="J27" s="100"/>
      <c r="K27" s="100"/>
    </row>
    <row r="28" spans="1:14" ht="15.6">
      <c r="A28" s="43" t="str">
        <v>Commerce City - Adams City MS</v>
      </c>
      <c r="B28" s="40" t="str">
        <v>CO</v>
      </c>
      <c r="C28" s="28">
        <v>13731</v>
      </c>
      <c r="D28" s="29">
        <v>12560.58</v>
      </c>
      <c r="E28" s="29">
        <f t="shared" si="5"/>
        <v>1170.42</v>
      </c>
      <c r="F28" s="30">
        <f t="shared" si="4"/>
        <v>9.3182002741911601E-2</v>
      </c>
      <c r="G28" s="31">
        <v>13823.29</v>
      </c>
      <c r="H28" s="31">
        <f t="shared" si="6"/>
        <v>-92.290000000000873</v>
      </c>
      <c r="I28" s="32">
        <f t="shared" si="2"/>
        <v>-6.6764135021402911E-3</v>
      </c>
      <c r="J28" s="57"/>
      <c r="K28" s="57"/>
    </row>
    <row r="29" spans="1:14" ht="15.6">
      <c r="A29" s="41" t="str">
        <v>Commerce City - Central ES</v>
      </c>
      <c r="B29" s="42" t="str">
        <v>CO</v>
      </c>
      <c r="C29" s="35">
        <v>3601</v>
      </c>
      <c r="D29" s="36">
        <v>3595.8879999999999</v>
      </c>
      <c r="E29" s="36">
        <f t="shared" si="5"/>
        <v>5.11200000000008</v>
      </c>
      <c r="F29" s="37">
        <f t="shared" si="4"/>
        <v>1.421623810307796E-3</v>
      </c>
      <c r="G29" s="38">
        <v>4056.8820000000001</v>
      </c>
      <c r="H29" s="38">
        <f t="shared" si="6"/>
        <v>-455.88200000000006</v>
      </c>
      <c r="I29" s="37">
        <f t="shared" si="2"/>
        <v>-0.11237250676751261</v>
      </c>
      <c r="J29" s="100" t="s">
        <v>253</v>
      </c>
      <c r="K29" s="100"/>
    </row>
    <row r="30" spans="1:14" ht="57.6">
      <c r="A30" s="43" t="str">
        <v>Commerce City - Dupont ES</v>
      </c>
      <c r="B30" s="40" t="str">
        <v>CO</v>
      </c>
      <c r="C30" s="28">
        <v>6581</v>
      </c>
      <c r="D30" s="29">
        <v>10176.84</v>
      </c>
      <c r="E30" s="29">
        <f t="shared" si="5"/>
        <v>-3595.84</v>
      </c>
      <c r="F30" s="30">
        <f t="shared" si="4"/>
        <v>-0.35333561301936556</v>
      </c>
      <c r="G30" s="31">
        <v>11635.48</v>
      </c>
      <c r="H30" s="31">
        <f t="shared" si="6"/>
        <v>-5054.4799999999996</v>
      </c>
      <c r="I30" s="32">
        <f t="shared" si="2"/>
        <v>-0.43440236242939695</v>
      </c>
      <c r="J30" s="57" t="s">
        <v>254</v>
      </c>
      <c r="K30" s="78" t="s">
        <v>255</v>
      </c>
      <c r="L30" s="76" t="s">
        <v>256</v>
      </c>
      <c r="M30" s="76" t="s">
        <v>257</v>
      </c>
    </row>
    <row r="31" spans="1:14" ht="15.6">
      <c r="A31" s="41" t="str">
        <v>Commerce City - Educational Support Services</v>
      </c>
      <c r="B31" s="42" t="str">
        <v>CO</v>
      </c>
      <c r="C31" s="35">
        <v>11571</v>
      </c>
      <c r="D31" s="36">
        <v>10568.61</v>
      </c>
      <c r="E31" s="36">
        <f t="shared" si="5"/>
        <v>1002.3899999999994</v>
      </c>
      <c r="F31" s="37">
        <f t="shared" si="4"/>
        <v>9.4845963660310992E-2</v>
      </c>
      <c r="G31" s="38">
        <v>11983.85</v>
      </c>
      <c r="H31" s="38">
        <f t="shared" si="6"/>
        <v>-412.85000000000036</v>
      </c>
      <c r="I31" s="37">
        <f t="shared" si="2"/>
        <v>-3.4450531340095243E-2</v>
      </c>
      <c r="J31" s="100"/>
      <c r="K31" s="100"/>
    </row>
    <row r="32" spans="1:14" ht="15.6">
      <c r="A32" s="43" t="str">
        <v>Commerce City - Hanson ES</v>
      </c>
      <c r="B32" s="40" t="str">
        <v>CO</v>
      </c>
      <c r="C32" s="28">
        <v>14653</v>
      </c>
      <c r="D32" s="29">
        <v>13781.65</v>
      </c>
      <c r="E32" s="29">
        <f t="shared" si="5"/>
        <v>871.35000000000036</v>
      </c>
      <c r="F32" s="30">
        <f t="shared" si="4"/>
        <v>6.3225375771406203E-2</v>
      </c>
      <c r="G32" s="31">
        <v>15662.34</v>
      </c>
      <c r="H32" s="31">
        <f t="shared" si="6"/>
        <v>-1009.3400000000001</v>
      </c>
      <c r="I32" s="32">
        <f t="shared" si="2"/>
        <v>-6.4443754892308566E-2</v>
      </c>
      <c r="J32" s="57"/>
      <c r="K32" s="57"/>
    </row>
    <row r="33" spans="1:13" ht="69" customHeight="1">
      <c r="A33" s="41" t="str">
        <v>Commerce City - Kemp ES</v>
      </c>
      <c r="B33" s="42" t="str">
        <v>CO</v>
      </c>
      <c r="C33" s="35">
        <v>18786.861130000001</v>
      </c>
      <c r="D33" s="36">
        <v>13774.61</v>
      </c>
      <c r="E33" s="36">
        <f t="shared" si="5"/>
        <v>5012.2511300000006</v>
      </c>
      <c r="F33" s="37">
        <f t="shared" si="4"/>
        <v>0.36387608288002349</v>
      </c>
      <c r="G33" s="38">
        <v>15654.61</v>
      </c>
      <c r="H33" s="38">
        <f t="shared" si="6"/>
        <v>3132.2511300000006</v>
      </c>
      <c r="I33" s="37">
        <f t="shared" si="2"/>
        <v>0.20008490342461424</v>
      </c>
      <c r="J33" s="99" t="s">
        <v>258</v>
      </c>
      <c r="K33" s="75" t="s">
        <v>259</v>
      </c>
      <c r="L33" s="76" t="s">
        <v>260</v>
      </c>
      <c r="M33" s="76" t="s">
        <v>261</v>
      </c>
    </row>
    <row r="34" spans="1:13" ht="26.45">
      <c r="A34" s="43" t="str">
        <v>Commerce City -  Lester Arnold HS</v>
      </c>
      <c r="B34" s="40" t="str">
        <v>CO</v>
      </c>
      <c r="C34" s="28">
        <v>237.99938706681101</v>
      </c>
      <c r="D34" s="29">
        <v>13316.23</v>
      </c>
      <c r="E34" s="29">
        <f t="shared" si="5"/>
        <v>-13078.230612933188</v>
      </c>
      <c r="F34" s="30">
        <f t="shared" si="4"/>
        <v>-0.98212711953256959</v>
      </c>
      <c r="G34" s="31">
        <v>15202.53</v>
      </c>
      <c r="H34" s="31">
        <f t="shared" si="6"/>
        <v>-14964.530612933189</v>
      </c>
      <c r="I34" s="32">
        <f t="shared" si="2"/>
        <v>-0.98434475136264743</v>
      </c>
      <c r="J34" s="57" t="s">
        <v>262</v>
      </c>
      <c r="K34" s="78" t="s">
        <v>263</v>
      </c>
      <c r="L34" s="76" t="s">
        <v>264</v>
      </c>
      <c r="M34" s="76" t="s">
        <v>265</v>
      </c>
    </row>
    <row r="35" spans="1:13" ht="15.6">
      <c r="A35" s="41" t="str">
        <v>Commerce City - Monaco ES</v>
      </c>
      <c r="B35" s="42" t="str">
        <v>CO</v>
      </c>
      <c r="C35" s="35">
        <v>13502</v>
      </c>
      <c r="D35" s="36">
        <v>13782.19</v>
      </c>
      <c r="E35" s="36">
        <f t="shared" si="5"/>
        <v>-280.19000000000051</v>
      </c>
      <c r="F35" s="37">
        <f t="shared" si="4"/>
        <v>-2.0329860493869298E-2</v>
      </c>
      <c r="G35" s="38">
        <v>15662.34</v>
      </c>
      <c r="H35" s="38">
        <f t="shared" si="6"/>
        <v>-2160.34</v>
      </c>
      <c r="I35" s="37">
        <f t="shared" si="2"/>
        <v>-0.13793213530034465</v>
      </c>
      <c r="J35" s="100" t="s">
        <v>266</v>
      </c>
      <c r="K35" s="88" t="s">
        <v>267</v>
      </c>
    </row>
    <row r="36" spans="1:13" ht="15.6">
      <c r="A36" s="43" t="str">
        <v>Denver - Northgate / Old Fort Logan ES</v>
      </c>
      <c r="B36" s="40" t="str">
        <v>CO</v>
      </c>
      <c r="C36" s="28">
        <v>13219</v>
      </c>
      <c r="D36" s="29">
        <v>11978.36</v>
      </c>
      <c r="E36" s="29">
        <f t="shared" si="5"/>
        <v>1240.6399999999994</v>
      </c>
      <c r="F36" s="30">
        <f t="shared" si="4"/>
        <v>0.1035734441108799</v>
      </c>
      <c r="G36" s="31">
        <v>13861.41</v>
      </c>
      <c r="H36" s="31">
        <f t="shared" si="6"/>
        <v>-642.40999999999985</v>
      </c>
      <c r="I36" s="32">
        <f t="shared" si="2"/>
        <v>-4.6345213077168906E-2</v>
      </c>
      <c r="J36" s="57"/>
      <c r="K36" s="57"/>
    </row>
    <row r="37" spans="1:13" ht="15.6">
      <c r="A37" s="41" t="str">
        <v>Denver - Sheridan High School</v>
      </c>
      <c r="B37" s="42" t="str">
        <v>CO</v>
      </c>
      <c r="C37" s="35">
        <v>15416</v>
      </c>
      <c r="D37" s="36">
        <v>13814.97</v>
      </c>
      <c r="E37" s="36">
        <f t="shared" si="5"/>
        <v>1601.0300000000007</v>
      </c>
      <c r="F37" s="37">
        <f t="shared" si="4"/>
        <v>0.11589095017940688</v>
      </c>
      <c r="G37" s="38">
        <v>13803.94</v>
      </c>
      <c r="H37" s="38">
        <f t="shared" si="6"/>
        <v>1612.0599999999995</v>
      </c>
      <c r="I37" s="37">
        <f t="shared" si="2"/>
        <v>0.11678259975050598</v>
      </c>
      <c r="J37" s="100"/>
      <c r="K37" s="100"/>
    </row>
    <row r="38" spans="1:13" ht="15.6">
      <c r="A38" s="43" t="str">
        <v>Englewood -  Alice Terry Elementary</v>
      </c>
      <c r="B38" s="40" t="str">
        <v>CO</v>
      </c>
      <c r="C38" s="28">
        <v>14582</v>
      </c>
      <c r="D38" s="29">
        <v>13815.06</v>
      </c>
      <c r="E38" s="29">
        <f t="shared" si="5"/>
        <v>766.94000000000051</v>
      </c>
      <c r="F38" s="30">
        <f t="shared" si="4"/>
        <v>5.5514778799368267E-2</v>
      </c>
      <c r="G38" s="31">
        <v>13861.41</v>
      </c>
      <c r="H38" s="31">
        <f t="shared" si="6"/>
        <v>720.59000000000015</v>
      </c>
      <c r="I38" s="32">
        <f t="shared" si="2"/>
        <v>5.1985331939535744E-2</v>
      </c>
      <c r="J38" s="57"/>
      <c r="K38" s="57"/>
    </row>
    <row r="39" spans="1:13" ht="15.6">
      <c r="A39" s="41" t="str">
        <v>Englewood - Sheridan Middle School</v>
      </c>
      <c r="B39" s="42" t="str">
        <v>CO</v>
      </c>
      <c r="C39" s="35">
        <v>8599</v>
      </c>
      <c r="D39" s="36">
        <v>8327.8539999999994</v>
      </c>
      <c r="E39" s="36">
        <f t="shared" si="5"/>
        <v>271.14600000000064</v>
      </c>
      <c r="F39" s="37">
        <f t="shared" si="4"/>
        <v>3.2558928146434921E-2</v>
      </c>
      <c r="G39" s="38">
        <v>8116.0150000000003</v>
      </c>
      <c r="H39" s="38">
        <f t="shared" si="6"/>
        <v>482.98499999999967</v>
      </c>
      <c r="I39" s="37">
        <f t="shared" si="2"/>
        <v>5.9510116726004036E-2</v>
      </c>
      <c r="J39" s="100"/>
      <c r="K39" s="100"/>
    </row>
    <row r="40" spans="1:13" ht="54" customHeight="1">
      <c r="A40" s="43" t="str">
        <v>Goshen - NIPSCO</v>
      </c>
      <c r="B40" s="40" t="str">
        <v>IN</v>
      </c>
      <c r="C40" s="28">
        <v>53223</v>
      </c>
      <c r="D40" s="29">
        <v>57754.22</v>
      </c>
      <c r="E40" s="29">
        <f t="shared" si="5"/>
        <v>-4531.2200000000012</v>
      </c>
      <c r="F40" s="30">
        <f t="shared" si="4"/>
        <v>-7.8456950851383697E-2</v>
      </c>
      <c r="G40" s="31">
        <v>73745.61</v>
      </c>
      <c r="H40" s="31">
        <f t="shared" si="6"/>
        <v>-20522.61</v>
      </c>
      <c r="I40" s="32">
        <f t="shared" si="2"/>
        <v>-0.27828924325122539</v>
      </c>
      <c r="J40" s="57" t="s">
        <v>268</v>
      </c>
      <c r="K40" s="78" t="s">
        <v>190</v>
      </c>
    </row>
    <row r="41" spans="1:13" ht="28.9">
      <c r="A41" s="41" t="str">
        <v>Alamogordo - City of Alamogordo - Effluent</v>
      </c>
      <c r="B41" s="42" t="str">
        <v>NM</v>
      </c>
      <c r="C41" s="35">
        <v>23847</v>
      </c>
      <c r="D41" s="36">
        <v>28652.400000000001</v>
      </c>
      <c r="E41" s="36">
        <f t="shared" si="5"/>
        <v>-4805.4000000000015</v>
      </c>
      <c r="F41" s="37">
        <f t="shared" ref="F41:F72" si="7">IFERROR(E41/D41, "")</f>
        <v>-0.16771369937596856</v>
      </c>
      <c r="G41" s="38">
        <v>35207.360000000001</v>
      </c>
      <c r="H41" s="38">
        <f t="shared" si="6"/>
        <v>-11360.36</v>
      </c>
      <c r="I41" s="37">
        <f t="shared" si="2"/>
        <v>-0.32267003262954108</v>
      </c>
      <c r="J41" s="99" t="s">
        <v>269</v>
      </c>
      <c r="K41" s="75" t="s">
        <v>270</v>
      </c>
    </row>
    <row r="42" spans="1:13" ht="39.6">
      <c r="A42" s="43" t="str">
        <v>Alamogordo - City of Alamogordo - WWTP</v>
      </c>
      <c r="B42" s="40" t="str">
        <v>NM</v>
      </c>
      <c r="C42" s="28">
        <v>53120</v>
      </c>
      <c r="D42" s="29">
        <v>5.350212E-3</v>
      </c>
      <c r="E42" s="29">
        <f t="shared" si="5"/>
        <v>53119.994649788001</v>
      </c>
      <c r="F42" s="30">
        <f t="shared" si="7"/>
        <v>9928577.5310937222</v>
      </c>
      <c r="G42" s="31">
        <v>149309.6</v>
      </c>
      <c r="H42" s="31">
        <f t="shared" si="6"/>
        <v>-96189.6</v>
      </c>
      <c r="I42" s="32">
        <f t="shared" si="2"/>
        <v>-0.64422917213628594</v>
      </c>
      <c r="J42" s="57" t="s">
        <v>271</v>
      </c>
      <c r="K42" s="78" t="s">
        <v>272</v>
      </c>
      <c r="L42" s="76" t="s">
        <v>273</v>
      </c>
      <c r="M42" s="76" t="s">
        <v>274</v>
      </c>
    </row>
    <row r="43" spans="1:13" ht="15.6">
      <c r="A43" s="41" t="str">
        <v>Deming - Bilbo Booster</v>
      </c>
      <c r="B43" s="42" t="str">
        <v>NM</v>
      </c>
      <c r="C43" s="35">
        <v>12401</v>
      </c>
      <c r="D43" s="36">
        <v>0</v>
      </c>
      <c r="E43" s="36">
        <f t="shared" si="5"/>
        <v>12401</v>
      </c>
      <c r="F43" s="37" t="str">
        <f t="shared" si="7"/>
        <v/>
      </c>
      <c r="G43" s="38">
        <v>14116.31</v>
      </c>
      <c r="H43" s="38">
        <f t="shared" si="6"/>
        <v>-1715.3099999999995</v>
      </c>
      <c r="I43" s="37">
        <f t="shared" si="2"/>
        <v>-0.12151263325897486</v>
      </c>
      <c r="J43" s="100" t="s">
        <v>275</v>
      </c>
      <c r="K43" s="88" t="s">
        <v>276</v>
      </c>
    </row>
    <row r="44" spans="1:13" ht="28.9">
      <c r="A44" s="43" t="str">
        <v>Deming - Bilbo Well</v>
      </c>
      <c r="B44" s="40" t="str">
        <v>NM</v>
      </c>
      <c r="C44" s="28">
        <v>22539</v>
      </c>
      <c r="D44" s="29">
        <v>0</v>
      </c>
      <c r="E44" s="29">
        <f t="shared" si="5"/>
        <v>22539</v>
      </c>
      <c r="F44" s="30" t="str">
        <f t="shared" si="7"/>
        <v/>
      </c>
      <c r="G44" s="31">
        <v>25517.47</v>
      </c>
      <c r="H44" s="31">
        <f t="shared" si="6"/>
        <v>-2978.4700000000012</v>
      </c>
      <c r="I44" s="32">
        <f t="shared" si="2"/>
        <v>-0.11672277855132193</v>
      </c>
      <c r="J44" s="57" t="s">
        <v>277</v>
      </c>
      <c r="K44" s="78" t="s">
        <v>278</v>
      </c>
    </row>
    <row r="45" spans="1:13" ht="15.6">
      <c r="A45" s="41" t="str">
        <v>Deming - WWTP</v>
      </c>
      <c r="B45" s="42" t="str">
        <v>NM</v>
      </c>
      <c r="C45" s="35">
        <v>82740</v>
      </c>
      <c r="D45" s="36">
        <v>75801.73</v>
      </c>
      <c r="E45" s="36">
        <f t="shared" ref="E45:E75" si="8">IF(AND(ISNUMBER(C45),ISNUMBER(D45)), C45-D45, "")</f>
        <v>6938.2700000000041</v>
      </c>
      <c r="F45" s="37">
        <f t="shared" si="7"/>
        <v>9.1531815962511726E-2</v>
      </c>
      <c r="G45" s="38">
        <v>100567.3</v>
      </c>
      <c r="H45" s="38">
        <f t="shared" ref="H45:H75" si="9">IF(AND(ISNUMBER(C45),ISNUMBER(G45)), C45-G45, "")</f>
        <v>-17827.300000000003</v>
      </c>
      <c r="I45" s="37">
        <f t="shared" si="2"/>
        <v>-0.17726736225393347</v>
      </c>
      <c r="J45" s="100" t="s">
        <v>279</v>
      </c>
      <c r="K45" s="88" t="s">
        <v>200</v>
      </c>
    </row>
    <row r="46" spans="1:13" ht="94.5" customHeight="1">
      <c r="A46" s="43" t="str">
        <v>Truth or Consequences - Walmart</v>
      </c>
      <c r="B46" s="40" t="str">
        <v>NM</v>
      </c>
      <c r="C46" s="28">
        <v>150200</v>
      </c>
      <c r="D46" s="29">
        <v>313720.40000000002</v>
      </c>
      <c r="E46" s="29">
        <f t="shared" si="8"/>
        <v>-163520.40000000002</v>
      </c>
      <c r="F46" s="30">
        <f t="shared" si="7"/>
        <v>-0.52122973195240097</v>
      </c>
      <c r="G46" s="31">
        <v>216035.6</v>
      </c>
      <c r="H46" s="31">
        <f t="shared" si="9"/>
        <v>-65835.600000000006</v>
      </c>
      <c r="I46" s="32">
        <f t="shared" si="2"/>
        <v>-0.30474421808257529</v>
      </c>
      <c r="J46" s="57" t="s">
        <v>280</v>
      </c>
      <c r="K46" s="78" t="s">
        <v>281</v>
      </c>
      <c r="L46" s="76" t="s">
        <v>282</v>
      </c>
      <c r="M46" s="76" t="s">
        <v>283</v>
      </c>
    </row>
    <row r="47" spans="1:13" ht="43.5" customHeight="1">
      <c r="A47" s="41" t="str">
        <v>CA: Stockton - SUSD - Merlo</v>
      </c>
      <c r="B47" s="42" t="str">
        <v>CA</v>
      </c>
      <c r="C47" s="35">
        <v>0</v>
      </c>
      <c r="D47" s="36">
        <v>0</v>
      </c>
      <c r="E47" s="36">
        <f t="shared" si="8"/>
        <v>0</v>
      </c>
      <c r="F47" s="37" t="str">
        <f t="shared" si="7"/>
        <v/>
      </c>
      <c r="G47" s="38">
        <v>0</v>
      </c>
      <c r="H47" s="38">
        <f t="shared" si="9"/>
        <v>0</v>
      </c>
      <c r="I47" s="37" t="str">
        <f t="shared" si="2"/>
        <v/>
      </c>
      <c r="J47" s="100" t="s">
        <v>284</v>
      </c>
      <c r="K47" s="75" t="s">
        <v>285</v>
      </c>
    </row>
    <row r="48" spans="1:13" ht="72">
      <c r="A48" s="43" t="str">
        <v>Stockton Unified School Dist. - Bush Elementary</v>
      </c>
      <c r="B48" s="40" t="str">
        <v>CA</v>
      </c>
      <c r="C48" s="28">
        <v>28518.75</v>
      </c>
      <c r="D48" s="29">
        <v>41029.64</v>
      </c>
      <c r="E48" s="29">
        <f t="shared" si="8"/>
        <v>-12510.89</v>
      </c>
      <c r="F48" s="30">
        <f t="shared" si="7"/>
        <v>-0.30492322135899802</v>
      </c>
      <c r="G48" s="31">
        <v>41223.449999999997</v>
      </c>
      <c r="H48" s="31">
        <f t="shared" si="9"/>
        <v>-12704.699999999997</v>
      </c>
      <c r="I48" s="32">
        <f t="shared" si="2"/>
        <v>-0.30819109026537073</v>
      </c>
      <c r="J48" s="57" t="s">
        <v>286</v>
      </c>
      <c r="K48" s="78" t="s">
        <v>287</v>
      </c>
      <c r="L48" s="76" t="s">
        <v>288</v>
      </c>
    </row>
    <row r="49" spans="1:14" ht="43.15">
      <c r="A49" s="41" t="str">
        <v>CA: Stockton - SUSD - Marshall JHS</v>
      </c>
      <c r="B49" s="42" t="str">
        <v>CA</v>
      </c>
      <c r="C49" s="35">
        <v>9336.75</v>
      </c>
      <c r="D49" s="36">
        <v>26671.02</v>
      </c>
      <c r="E49" s="36">
        <f t="shared" si="8"/>
        <v>-17334.27</v>
      </c>
      <c r="F49" s="37">
        <f t="shared" si="7"/>
        <v>-0.64992902408681785</v>
      </c>
      <c r="G49" s="38">
        <v>27196.61</v>
      </c>
      <c r="H49" s="38">
        <f t="shared" si="9"/>
        <v>-17859.86</v>
      </c>
      <c r="I49" s="37">
        <f t="shared" si="2"/>
        <v>-0.65669434536142557</v>
      </c>
      <c r="J49" s="99" t="s">
        <v>289</v>
      </c>
      <c r="K49" s="75" t="s">
        <v>290</v>
      </c>
    </row>
    <row r="50" spans="1:14" ht="28.9">
      <c r="A50" s="43" t="str">
        <v>CA: Stockton - SUSD - Hong-Kingston ES</v>
      </c>
      <c r="B50" s="40" t="str">
        <v>CA</v>
      </c>
      <c r="C50" s="28">
        <v>14926.5</v>
      </c>
      <c r="D50" s="29">
        <v>44733.39</v>
      </c>
      <c r="E50" s="29">
        <f t="shared" si="8"/>
        <v>-29806.89</v>
      </c>
      <c r="F50" s="30">
        <f t="shared" si="7"/>
        <v>-0.666323075447669</v>
      </c>
      <c r="G50" s="31">
        <v>44081.08</v>
      </c>
      <c r="H50" s="31">
        <f t="shared" si="9"/>
        <v>-29154.58</v>
      </c>
      <c r="I50" s="32">
        <f t="shared" si="2"/>
        <v>-0.66138533810877598</v>
      </c>
      <c r="J50" s="57" t="s">
        <v>291</v>
      </c>
      <c r="K50" s="78" t="s">
        <v>292</v>
      </c>
    </row>
    <row r="51" spans="1:14" ht="28.9">
      <c r="A51" s="41" t="str">
        <v>CA: Stockton - SUSD - Hamilton ES</v>
      </c>
      <c r="B51" s="42" t="str">
        <v>CA</v>
      </c>
      <c r="C51" s="35">
        <v>7429.75</v>
      </c>
      <c r="D51" s="36">
        <v>23069.73</v>
      </c>
      <c r="E51" s="36">
        <f t="shared" si="8"/>
        <v>-15639.98</v>
      </c>
      <c r="F51" s="37">
        <f t="shared" si="7"/>
        <v>-0.67794378174343606</v>
      </c>
      <c r="G51" s="38">
        <v>23358.81</v>
      </c>
      <c r="H51" s="38">
        <f t="shared" si="9"/>
        <v>-15929.060000000001</v>
      </c>
      <c r="I51" s="37">
        <f t="shared" si="2"/>
        <v>-0.68192943048040544</v>
      </c>
      <c r="J51" s="99" t="s">
        <v>293</v>
      </c>
      <c r="K51" s="75" t="s">
        <v>294</v>
      </c>
    </row>
    <row r="52" spans="1:14" ht="57.6">
      <c r="A52" s="43" t="str">
        <v>CA: Stockton - SUSD - Franklin - North</v>
      </c>
      <c r="B52" s="40" t="str">
        <v>CA</v>
      </c>
      <c r="C52" s="28">
        <v>38561.5</v>
      </c>
      <c r="D52" s="29">
        <v>107498.1</v>
      </c>
      <c r="E52" s="29">
        <f t="shared" si="8"/>
        <v>-68936.600000000006</v>
      </c>
      <c r="F52" s="30">
        <f t="shared" si="7"/>
        <v>-0.64128203196149514</v>
      </c>
      <c r="G52" s="31">
        <v>61870.89</v>
      </c>
      <c r="H52" s="31">
        <f t="shared" si="9"/>
        <v>-23309.39</v>
      </c>
      <c r="I52" s="32">
        <f t="shared" si="2"/>
        <v>-0.37674243897251197</v>
      </c>
      <c r="J52" s="57" t="s">
        <v>295</v>
      </c>
      <c r="K52" s="78" t="s">
        <v>296</v>
      </c>
      <c r="L52" s="76" t="s">
        <v>297</v>
      </c>
      <c r="M52" s="76" t="s">
        <v>298</v>
      </c>
    </row>
    <row r="53" spans="1:14" ht="28.9">
      <c r="A53" s="41" t="str">
        <v>Stockton Unified School Dist. - Fillmore Elementary</v>
      </c>
      <c r="B53" s="42" t="str">
        <v>CA</v>
      </c>
      <c r="C53" s="35">
        <v>5137.75</v>
      </c>
      <c r="D53" s="36">
        <v>18622.43</v>
      </c>
      <c r="E53" s="36">
        <f t="shared" si="8"/>
        <v>-13484.68</v>
      </c>
      <c r="F53" s="37">
        <f t="shared" si="7"/>
        <v>-0.7241095818322314</v>
      </c>
      <c r="G53" s="38">
        <v>18734.84</v>
      </c>
      <c r="H53" s="38">
        <f t="shared" si="9"/>
        <v>-13597.09</v>
      </c>
      <c r="I53" s="37">
        <f t="shared" si="2"/>
        <v>-0.72576493847825763</v>
      </c>
      <c r="J53" s="99" t="s">
        <v>299</v>
      </c>
      <c r="K53" s="75" t="s">
        <v>300</v>
      </c>
    </row>
    <row r="54" spans="1:14" ht="28.9">
      <c r="A54" s="43" t="str">
        <v>CA: Stockton - SUSD - El Dorado ES</v>
      </c>
      <c r="B54" s="40" t="str">
        <v>CA</v>
      </c>
      <c r="C54" s="28">
        <v>6179.375</v>
      </c>
      <c r="D54" s="29">
        <v>24531.64</v>
      </c>
      <c r="E54" s="29">
        <f t="shared" si="8"/>
        <v>-18352.264999999999</v>
      </c>
      <c r="F54" s="30">
        <f t="shared" si="7"/>
        <v>-0.74810591546264338</v>
      </c>
      <c r="G54" s="31">
        <v>0</v>
      </c>
      <c r="H54" s="31">
        <f t="shared" si="9"/>
        <v>6179.375</v>
      </c>
      <c r="I54" s="32" t="str">
        <f t="shared" si="2"/>
        <v/>
      </c>
      <c r="J54" s="57" t="s">
        <v>301</v>
      </c>
      <c r="K54" s="78" t="s">
        <v>302</v>
      </c>
    </row>
    <row r="55" spans="1:14" ht="115.15">
      <c r="A55" s="41" t="str">
        <v>CA: Stockton - SUSD - Edison HS</v>
      </c>
      <c r="B55" s="42" t="str">
        <v>CA</v>
      </c>
      <c r="C55" s="35">
        <v>38415.5</v>
      </c>
      <c r="D55" s="36">
        <v>63384.38</v>
      </c>
      <c r="E55" s="36">
        <f t="shared" si="8"/>
        <v>-24968.879999999997</v>
      </c>
      <c r="F55" s="37">
        <f t="shared" si="7"/>
        <v>-0.39392796774221028</v>
      </c>
      <c r="G55" s="38">
        <v>63941.16</v>
      </c>
      <c r="H55" s="38">
        <f t="shared" si="9"/>
        <v>-25525.660000000003</v>
      </c>
      <c r="I55" s="37">
        <f t="shared" si="2"/>
        <v>-0.39920545701704507</v>
      </c>
      <c r="J55" s="100" t="s">
        <v>303</v>
      </c>
      <c r="K55" s="75" t="s">
        <v>304</v>
      </c>
      <c r="L55" s="76" t="s">
        <v>305</v>
      </c>
    </row>
    <row r="56" spans="1:14" ht="129.6">
      <c r="A56" s="43" t="str">
        <v>CA: Stockton - SUSD - Chavez HS - Large</v>
      </c>
      <c r="B56" s="40" t="str">
        <v>CA</v>
      </c>
      <c r="C56" s="28">
        <v>47486</v>
      </c>
      <c r="D56" s="29">
        <v>136295.4</v>
      </c>
      <c r="E56" s="29">
        <f t="shared" si="8"/>
        <v>-88809.4</v>
      </c>
      <c r="F56" s="30">
        <f t="shared" si="7"/>
        <v>-0.65159499146706346</v>
      </c>
      <c r="G56" s="31">
        <v>133980.29999999999</v>
      </c>
      <c r="H56" s="31">
        <f t="shared" si="9"/>
        <v>-86494.299999999988</v>
      </c>
      <c r="I56" s="32">
        <f t="shared" si="2"/>
        <v>-0.64557475987141388</v>
      </c>
      <c r="J56" s="57" t="s">
        <v>306</v>
      </c>
      <c r="K56" s="78" t="s">
        <v>307</v>
      </c>
      <c r="L56" s="76" t="s">
        <v>308</v>
      </c>
    </row>
    <row r="57" spans="1:14" ht="28.9">
      <c r="A57" s="41" t="str">
        <v>CA: San Jose - GE Mobile Water</v>
      </c>
      <c r="B57" s="42" t="str">
        <v>CA</v>
      </c>
      <c r="C57" s="35">
        <v>32358</v>
      </c>
      <c r="D57" s="36">
        <v>35744.620000000003</v>
      </c>
      <c r="E57" s="36">
        <f t="shared" si="8"/>
        <v>-3386.6200000000026</v>
      </c>
      <c r="F57" s="37">
        <f t="shared" si="7"/>
        <v>-9.4744887482368048E-2</v>
      </c>
      <c r="G57" s="38">
        <v>35095.11</v>
      </c>
      <c r="H57" s="38">
        <f t="shared" si="9"/>
        <v>-2737.1100000000006</v>
      </c>
      <c r="I57" s="37">
        <f t="shared" si="2"/>
        <v>-7.799120732204573E-2</v>
      </c>
      <c r="J57" s="100" t="s">
        <v>309</v>
      </c>
      <c r="K57" s="75" t="s">
        <v>310</v>
      </c>
    </row>
    <row r="58" spans="1:14" ht="15.6">
      <c r="A58" s="43" t="str">
        <v>CA: San Marcos - Vallecitos Water - Lift Station</v>
      </c>
      <c r="B58" s="40" t="str">
        <v>CA</v>
      </c>
      <c r="C58" s="28">
        <v>37845.750000000196</v>
      </c>
      <c r="D58" s="29">
        <v>36334.620000000003</v>
      </c>
      <c r="E58" s="29">
        <f t="shared" si="8"/>
        <v>1511.1300000001938</v>
      </c>
      <c r="F58" s="30">
        <f t="shared" si="7"/>
        <v>4.1589261150940721E-2</v>
      </c>
      <c r="G58" s="31">
        <v>41212.51</v>
      </c>
      <c r="H58" s="31">
        <f t="shared" si="9"/>
        <v>-3366.7599999998056</v>
      </c>
      <c r="I58" s="32">
        <f t="shared" si="2"/>
        <v>-8.1692670502228698E-2</v>
      </c>
      <c r="J58" s="57"/>
      <c r="K58" s="57"/>
    </row>
    <row r="59" spans="1:14" ht="28.9">
      <c r="A59" s="41" t="str">
        <v>CA: San Marcos - Vallecitos Water - Twin Oaks Reservoir</v>
      </c>
      <c r="B59" s="42" t="str">
        <v>CA</v>
      </c>
      <c r="C59" s="35">
        <v>279329.99999999802</v>
      </c>
      <c r="D59" s="36">
        <v>287665.90000000002</v>
      </c>
      <c r="E59" s="36">
        <f t="shared" si="8"/>
        <v>-8335.9000000020023</v>
      </c>
      <c r="F59" s="37">
        <f t="shared" si="7"/>
        <v>-2.8977713382093609E-2</v>
      </c>
      <c r="G59" s="38">
        <v>256482</v>
      </c>
      <c r="H59" s="38">
        <f t="shared" si="9"/>
        <v>22847.999999998021</v>
      </c>
      <c r="I59" s="37">
        <f t="shared" si="2"/>
        <v>8.9082274779508974E-2</v>
      </c>
      <c r="J59" s="100" t="s">
        <v>311</v>
      </c>
      <c r="K59" s="75" t="s">
        <v>312</v>
      </c>
    </row>
    <row r="60" spans="1:14" ht="28.9">
      <c r="A60" s="43" t="str">
        <v>CA: Stockton - SUSD - Wilhelmina Henry ES</v>
      </c>
      <c r="B60" s="40" t="str">
        <v>CA</v>
      </c>
      <c r="C60" s="28">
        <v>9373.75</v>
      </c>
      <c r="D60" s="29">
        <v>52210.21</v>
      </c>
      <c r="E60" s="29">
        <f t="shared" si="8"/>
        <v>-42836.46</v>
      </c>
      <c r="F60" s="30">
        <f t="shared" si="7"/>
        <v>-0.82046136186772667</v>
      </c>
      <c r="G60" s="31">
        <v>43120.46</v>
      </c>
      <c r="H60" s="31">
        <f t="shared" si="9"/>
        <v>-33746.71</v>
      </c>
      <c r="I60" s="32">
        <f t="shared" si="2"/>
        <v>-0.78261479585329097</v>
      </c>
      <c r="J60" s="57" t="s">
        <v>313</v>
      </c>
      <c r="K60" s="78" t="s">
        <v>314</v>
      </c>
    </row>
    <row r="61" spans="1:14" ht="115.15">
      <c r="A61" s="41" t="str">
        <v>Stockton Unified School Dist. - Franklin (North)</v>
      </c>
      <c r="B61" s="42" t="str">
        <v>CA</v>
      </c>
      <c r="C61" s="35">
        <v>38561.5</v>
      </c>
      <c r="D61" s="36">
        <v>107498.1</v>
      </c>
      <c r="E61" s="36">
        <f t="shared" si="8"/>
        <v>-68936.600000000006</v>
      </c>
      <c r="F61" s="37">
        <f t="shared" si="7"/>
        <v>-0.64128203196149514</v>
      </c>
      <c r="G61" s="38">
        <v>61870.89</v>
      </c>
      <c r="H61" s="38">
        <f t="shared" si="9"/>
        <v>-23309.39</v>
      </c>
      <c r="I61" s="37">
        <f t="shared" si="2"/>
        <v>-0.37674243897251197</v>
      </c>
      <c r="J61" s="100" t="s">
        <v>315</v>
      </c>
      <c r="K61" s="75" t="s">
        <v>316</v>
      </c>
      <c r="L61" s="76" t="s">
        <v>317</v>
      </c>
      <c r="M61" s="76" t="s">
        <v>298</v>
      </c>
    </row>
    <row r="62" spans="1:14" ht="183.4" customHeight="1">
      <c r="A62" s="43" t="str">
        <v>CA: Stockton - SUSD - Franklin - South</v>
      </c>
      <c r="B62" s="40" t="str">
        <v>CA</v>
      </c>
      <c r="C62" s="28">
        <v>46797.75</v>
      </c>
      <c r="D62" s="29">
        <v>103691.9</v>
      </c>
      <c r="E62" s="29">
        <f t="shared" si="8"/>
        <v>-56894.149999999994</v>
      </c>
      <c r="F62" s="30">
        <f t="shared" si="7"/>
        <v>-0.54868461278074754</v>
      </c>
      <c r="G62" s="31">
        <v>99884.52</v>
      </c>
      <c r="H62" s="31">
        <f t="shared" si="9"/>
        <v>-53086.770000000004</v>
      </c>
      <c r="I62" s="32">
        <f t="shared" si="2"/>
        <v>-0.53148145478398456</v>
      </c>
      <c r="J62" s="57" t="s">
        <v>318</v>
      </c>
      <c r="K62" s="78" t="s">
        <v>319</v>
      </c>
      <c r="L62" s="76" t="s">
        <v>320</v>
      </c>
      <c r="M62" s="76" t="s">
        <v>320</v>
      </c>
      <c r="N62" s="76" t="s">
        <v>320</v>
      </c>
    </row>
    <row r="63" spans="1:14" ht="28.9">
      <c r="A63" s="41" t="str">
        <v>CA: Stockton - SUSD - Chavez HS - Small</v>
      </c>
      <c r="B63" s="42" t="str">
        <v>CA</v>
      </c>
      <c r="C63" s="35">
        <v>27596.5</v>
      </c>
      <c r="D63" s="36">
        <v>25880.94</v>
      </c>
      <c r="E63" s="36">
        <f t="shared" si="8"/>
        <v>1715.5600000000013</v>
      </c>
      <c r="F63" s="37">
        <f t="shared" si="7"/>
        <v>6.6286618646772544E-2</v>
      </c>
      <c r="G63" s="38">
        <v>37889.96</v>
      </c>
      <c r="H63" s="38">
        <f t="shared" si="9"/>
        <v>-10293.459999999999</v>
      </c>
      <c r="I63" s="37">
        <f t="shared" si="2"/>
        <v>-0.27166721738423583</v>
      </c>
      <c r="J63" s="100" t="s">
        <v>321</v>
      </c>
      <c r="K63" s="88" t="s">
        <v>322</v>
      </c>
    </row>
    <row r="64" spans="1:14" ht="86.45">
      <c r="A64" s="43" t="str">
        <v>CA: Stockton - SUSD - Facilities</v>
      </c>
      <c r="B64" s="40" t="str">
        <v>CA</v>
      </c>
      <c r="C64" s="28">
        <v>21223.5</v>
      </c>
      <c r="D64" s="29">
        <v>58946.07</v>
      </c>
      <c r="E64" s="29">
        <f t="shared" si="8"/>
        <v>-37722.57</v>
      </c>
      <c r="F64" s="30">
        <f t="shared" si="7"/>
        <v>-0.63995055141080648</v>
      </c>
      <c r="G64" s="31">
        <v>64262.86</v>
      </c>
      <c r="H64" s="31">
        <f t="shared" si="9"/>
        <v>-43039.360000000001</v>
      </c>
      <c r="I64" s="32">
        <f t="shared" si="2"/>
        <v>-0.66973925530236278</v>
      </c>
      <c r="J64" s="57" t="s">
        <v>323</v>
      </c>
      <c r="K64" s="78" t="s">
        <v>324</v>
      </c>
    </row>
    <row r="65" spans="1:11" ht="43.15">
      <c r="A65" s="41" t="str">
        <v>CA: Stockton - SUSD - Harrison</v>
      </c>
      <c r="B65" s="42" t="str">
        <v>CA</v>
      </c>
      <c r="C65" s="35">
        <v>15057.125</v>
      </c>
      <c r="D65" s="36">
        <v>23600.42</v>
      </c>
      <c r="E65" s="36">
        <f t="shared" si="8"/>
        <v>-8543.2949999999983</v>
      </c>
      <c r="F65" s="37">
        <f t="shared" si="7"/>
        <v>-0.36199758309386015</v>
      </c>
      <c r="G65" s="38">
        <v>23028.240000000002</v>
      </c>
      <c r="H65" s="38">
        <f t="shared" si="9"/>
        <v>-7971.1150000000016</v>
      </c>
      <c r="I65" s="37">
        <f t="shared" si="2"/>
        <v>-0.34614521127103076</v>
      </c>
      <c r="J65" s="100" t="s">
        <v>325</v>
      </c>
      <c r="K65" s="88" t="s">
        <v>326</v>
      </c>
    </row>
    <row r="66" spans="1:11" ht="28.9">
      <c r="A66" s="43" t="str">
        <v>CA: Stockton - SUSD - Commodore Skills School</v>
      </c>
      <c r="B66" s="40" t="str">
        <v>CA</v>
      </c>
      <c r="C66" s="28">
        <v>7851</v>
      </c>
      <c r="D66" s="29">
        <v>47473.79</v>
      </c>
      <c r="E66" s="29">
        <f t="shared" si="8"/>
        <v>-39622.79</v>
      </c>
      <c r="F66" s="30">
        <f t="shared" si="7"/>
        <v>-0.83462453703401396</v>
      </c>
      <c r="G66" s="31">
        <v>50004.5</v>
      </c>
      <c r="H66" s="31">
        <f t="shared" si="9"/>
        <v>-42153.5</v>
      </c>
      <c r="I66" s="32">
        <f t="shared" si="2"/>
        <v>-0.84299413052825245</v>
      </c>
      <c r="J66" s="57" t="s">
        <v>327</v>
      </c>
      <c r="K66" s="78" t="s">
        <v>328</v>
      </c>
    </row>
    <row r="67" spans="1:11" ht="15.6">
      <c r="A67" s="41" t="str">
        <v>CA: Stockton - SUSD - Nightingale ES</v>
      </c>
      <c r="B67" s="42" t="str">
        <v>CA</v>
      </c>
      <c r="C67" s="35">
        <v>21480</v>
      </c>
      <c r="D67" s="36">
        <v>23211.94</v>
      </c>
      <c r="E67" s="36">
        <f t="shared" si="8"/>
        <v>-1731.9399999999987</v>
      </c>
      <c r="F67" s="37">
        <f t="shared" si="7"/>
        <v>-7.4614185630326416E-2</v>
      </c>
      <c r="G67" s="38">
        <v>23168.91</v>
      </c>
      <c r="H67" s="38">
        <f t="shared" si="9"/>
        <v>-1688.9099999999999</v>
      </c>
      <c r="I67" s="37">
        <f t="shared" si="2"/>
        <v>-7.2895531123389049E-2</v>
      </c>
      <c r="J67" s="100"/>
      <c r="K67" s="100"/>
    </row>
    <row r="68" spans="1:11" ht="57.6">
      <c r="A68" s="43" t="str">
        <v>CA: Stockton - SUSD - Weber Institute</v>
      </c>
      <c r="B68" s="40" t="str">
        <v>CA</v>
      </c>
      <c r="C68" s="28">
        <v>9225.25</v>
      </c>
      <c r="D68" s="29">
        <v>47274.77</v>
      </c>
      <c r="E68" s="29">
        <f t="shared" si="8"/>
        <v>-38049.519999999997</v>
      </c>
      <c r="F68" s="30">
        <f t="shared" si="7"/>
        <v>-0.80485891311581204</v>
      </c>
      <c r="G68" s="31">
        <v>47822.98</v>
      </c>
      <c r="H68" s="31">
        <f t="shared" si="9"/>
        <v>-38597.730000000003</v>
      </c>
      <c r="I68" s="32">
        <f t="shared" si="2"/>
        <v>-0.80709587733763144</v>
      </c>
      <c r="J68" s="57" t="s">
        <v>329</v>
      </c>
      <c r="K68" s="78" t="s">
        <v>330</v>
      </c>
    </row>
    <row r="69" spans="1:11" ht="57.6">
      <c r="A69" s="41" t="str">
        <v>CA: Stockton - SUSD - Warehouse</v>
      </c>
      <c r="B69" s="42" t="str">
        <v>CA</v>
      </c>
      <c r="C69" s="35">
        <v>15367.5</v>
      </c>
      <c r="D69" s="36">
        <v>40420.620000000003</v>
      </c>
      <c r="E69" s="36">
        <f t="shared" si="8"/>
        <v>-25053.120000000003</v>
      </c>
      <c r="F69" s="37">
        <f t="shared" si="7"/>
        <v>-0.61981038390801524</v>
      </c>
      <c r="G69" s="38">
        <v>45356.66</v>
      </c>
      <c r="H69" s="38">
        <f t="shared" si="9"/>
        <v>-29989.160000000003</v>
      </c>
      <c r="I69" s="37">
        <f t="shared" ref="I69:I75" si="10">IFERROR(H69/G69, "")</f>
        <v>-0.66118536946944506</v>
      </c>
      <c r="J69" s="100" t="s">
        <v>331</v>
      </c>
      <c r="K69" s="75" t="s">
        <v>332</v>
      </c>
    </row>
    <row r="70" spans="1:11" ht="43.15">
      <c r="A70" s="43" t="str">
        <v>CA: Stockton - SUSD - Walton Special Center</v>
      </c>
      <c r="B70" s="40" t="str">
        <v>CA</v>
      </c>
      <c r="C70" s="28">
        <v>16659.5</v>
      </c>
      <c r="D70" s="29">
        <v>32950.04</v>
      </c>
      <c r="E70" s="29">
        <f t="shared" si="8"/>
        <v>-16290.54</v>
      </c>
      <c r="F70" s="30">
        <f t="shared" si="7"/>
        <v>-0.49440122075724341</v>
      </c>
      <c r="G70" s="31">
        <v>33380.559999999998</v>
      </c>
      <c r="H70" s="31">
        <f t="shared" si="9"/>
        <v>-16721.059999999998</v>
      </c>
      <c r="I70" s="32">
        <f t="shared" si="10"/>
        <v>-0.50092209357781892</v>
      </c>
      <c r="J70" s="57" t="s">
        <v>333</v>
      </c>
      <c r="K70" s="78" t="s">
        <v>334</v>
      </c>
    </row>
    <row r="71" spans="1:11" ht="43.15">
      <c r="A71" s="41" t="str">
        <v>CA: Stockton - SUSD - Stagg HS</v>
      </c>
      <c r="B71" s="42" t="str">
        <v>CA</v>
      </c>
      <c r="C71" s="35">
        <v>96454</v>
      </c>
      <c r="D71" s="36">
        <v>127090.1</v>
      </c>
      <c r="E71" s="36">
        <f t="shared" si="8"/>
        <v>-30636.100000000006</v>
      </c>
      <c r="F71" s="37">
        <f t="shared" si="7"/>
        <v>-0.24105811546296685</v>
      </c>
      <c r="G71" s="38">
        <v>125207</v>
      </c>
      <c r="H71" s="38">
        <f t="shared" si="9"/>
        <v>-28753</v>
      </c>
      <c r="I71" s="37">
        <f t="shared" si="10"/>
        <v>-0.22964371001621314</v>
      </c>
      <c r="J71" s="100" t="s">
        <v>335</v>
      </c>
      <c r="K71" s="75" t="s">
        <v>336</v>
      </c>
    </row>
    <row r="72" spans="1:11" ht="43.15">
      <c r="A72" s="43" t="str">
        <v>CA: Stockton - SUSD - School for Adults</v>
      </c>
      <c r="B72" s="40" t="str">
        <v>CA</v>
      </c>
      <c r="C72" s="28">
        <v>10459.25</v>
      </c>
      <c r="D72" s="29">
        <v>27419.35</v>
      </c>
      <c r="E72" s="29">
        <f t="shared" si="8"/>
        <v>-16960.099999999999</v>
      </c>
      <c r="F72" s="30">
        <f t="shared" si="7"/>
        <v>-0.61854493268439992</v>
      </c>
      <c r="G72" s="31">
        <v>27045.040000000001</v>
      </c>
      <c r="H72" s="31">
        <f t="shared" si="9"/>
        <v>-16585.79</v>
      </c>
      <c r="I72" s="32">
        <f t="shared" si="10"/>
        <v>-0.61326550080902087</v>
      </c>
      <c r="J72" s="57" t="s">
        <v>337</v>
      </c>
      <c r="K72" s="78" t="s">
        <v>338</v>
      </c>
    </row>
    <row r="73" spans="1:11" ht="28.9">
      <c r="A73" s="41" t="str">
        <v>CA: Stockton - SUSD - San Joaquin</v>
      </c>
      <c r="B73" s="42" t="str">
        <v>CA</v>
      </c>
      <c r="C73" s="35">
        <v>14177.875</v>
      </c>
      <c r="D73" s="36">
        <v>25583.21</v>
      </c>
      <c r="E73" s="36">
        <f t="shared" si="8"/>
        <v>-11405.334999999999</v>
      </c>
      <c r="F73" s="37">
        <f t="shared" ref="F73:F75" si="11">IFERROR(E73/D73, "")</f>
        <v>-0.44581328926276254</v>
      </c>
      <c r="G73" s="38">
        <v>25981.17</v>
      </c>
      <c r="H73" s="38">
        <f t="shared" si="9"/>
        <v>-11803.294999999998</v>
      </c>
      <c r="I73" s="37">
        <f t="shared" si="10"/>
        <v>-0.45430190403280524</v>
      </c>
      <c r="J73" s="100" t="s">
        <v>339</v>
      </c>
      <c r="K73" s="75" t="s">
        <v>340</v>
      </c>
    </row>
    <row r="74" spans="1:11" ht="28.9">
      <c r="A74" s="43" t="str">
        <v>CA: Stockton - SUSD - Rio Calaveras</v>
      </c>
      <c r="B74" s="40" t="str">
        <v>CA</v>
      </c>
      <c r="C74" s="28">
        <v>6763.375</v>
      </c>
      <c r="D74" s="29">
        <v>27488.51</v>
      </c>
      <c r="E74" s="29">
        <f t="shared" si="8"/>
        <v>-20725.134999999998</v>
      </c>
      <c r="F74" s="30">
        <f t="shared" si="11"/>
        <v>-0.75395628937326908</v>
      </c>
      <c r="G74" s="31">
        <v>0</v>
      </c>
      <c r="H74" s="31">
        <f t="shared" si="9"/>
        <v>6763.375</v>
      </c>
      <c r="I74" s="32" t="str">
        <f t="shared" si="10"/>
        <v/>
      </c>
      <c r="J74" s="57" t="s">
        <v>341</v>
      </c>
      <c r="K74" s="78" t="s">
        <v>342</v>
      </c>
    </row>
    <row r="75" spans="1:11" ht="15.6">
      <c r="A75" s="41" t="str">
        <v>CA: Stockton - SUSD - Peyton</v>
      </c>
      <c r="B75" s="42" t="str">
        <v>CA</v>
      </c>
      <c r="C75" s="35">
        <v>50091</v>
      </c>
      <c r="D75" s="36">
        <v>56827.77</v>
      </c>
      <c r="E75" s="36">
        <f t="shared" si="8"/>
        <v>-6736.7699999999968</v>
      </c>
      <c r="F75" s="37">
        <f t="shared" si="11"/>
        <v>-0.1185471469318609</v>
      </c>
      <c r="G75" s="38">
        <v>55927.75</v>
      </c>
      <c r="H75" s="38">
        <f t="shared" si="9"/>
        <v>-5836.75</v>
      </c>
      <c r="I75" s="37">
        <f t="shared" si="10"/>
        <v>-0.10436232460630009</v>
      </c>
      <c r="J75" s="100" t="s">
        <v>343</v>
      </c>
      <c r="K75" s="88" t="s">
        <v>344</v>
      </c>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hyperlinks>
    <hyperlink ref="K4" r:id="rId1" display="https://us3.assetplanner.com/service_request?ID=099290" xr:uid="{0A79EF1A-EDF4-4690-B1BE-89BD45C215C9}"/>
    <hyperlink ref="K5" r:id="rId2" display="https://us3.assetplanner.com/service_request?ID=101243" xr:uid="{49BC767F-3462-4DCE-8C28-3F368E6DAD3E}"/>
    <hyperlink ref="L5" r:id="rId3" display="https://us3.assetplanner.com/service_request?ID=101243" xr:uid="{053B4268-1411-4856-BE11-1A98C9BAB504}"/>
    <hyperlink ref="M5" r:id="rId4" display="https://us3.assetplanner.com/service_request?ID=101243" xr:uid="{191A006B-5CE0-4846-A490-93A541528C2C}"/>
    <hyperlink ref="N5" r:id="rId5" display="https://us3.assetplanner.com/service_request?ID=101243" xr:uid="{88811748-A9BD-4465-85F6-FE103DAB93DC}"/>
    <hyperlink ref="O5" r:id="rId6" display="https://us3.assetplanner.com/service_request?ID=101245" xr:uid="{881A92D5-3765-4049-B86A-C8593561BEA4}"/>
    <hyperlink ref="K7" r:id="rId7" display="https://us3.assetplanner.com/service_request?ID=096262" xr:uid="{4602221B-C6AE-463C-BC6F-DC9B9A55FA26}"/>
    <hyperlink ref="L7" r:id="rId8" display="https://us3.assetplanner.com/service_request?ID=099066" xr:uid="{6463A1F5-7A84-4363-98FC-D44BA443FC75}"/>
    <hyperlink ref="K8" r:id="rId9" display="https://us3.assetplanner.com/service_request?ID=098870" xr:uid="{3D65654F-4899-47E2-8F20-572320EF0B91}"/>
    <hyperlink ref="L8" r:id="rId10" display="https://us3.assetplanner.com/service_request?ID=099461" xr:uid="{6F1AAFA7-F8DD-40C3-B29B-231DE6A4A760}"/>
    <hyperlink ref="K9" r:id="rId11" display="https://us3.assetplanner.com/service_request?ID=102343" xr:uid="{1E4371B2-15C6-4701-A837-842D9DD6A8B7}"/>
    <hyperlink ref="K11" r:id="rId12" display="https://us3.assetplanner.com/service_request?ID=102384" xr:uid="{8E357DE2-A9B6-4B42-A7D0-502E57130B27}"/>
    <hyperlink ref="L11" r:id="rId13" display="https://us3.assetplanner.com/service_request?ID=102998" xr:uid="{736D1C7B-8779-4316-ACD0-212AEA8D77EA}"/>
    <hyperlink ref="K12" r:id="rId14" display="https://us3.assetplanner.com/service_request?ID=102644" xr:uid="{9D8F8BCB-4AE6-46B6-B139-14A4E6A5DE96}"/>
    <hyperlink ref="L12" r:id="rId15" display="https://us3.assetplanner.com/service_request?ID=102209" xr:uid="{9F567B18-8EB5-49B4-8C28-1CDF2821AA8B}"/>
    <hyperlink ref="M12" r:id="rId16" display="https://us3.assetplanner.com/service_request?ID=102644" xr:uid="{16603A38-241B-4277-A9AE-7194EFE84A99}"/>
    <hyperlink ref="K13" r:id="rId17" display="https://us3.assetplanner.com/service_request?ID=102557" xr:uid="{F8F21707-FB5A-43A3-91AE-A6D388D1FDA7}"/>
    <hyperlink ref="L13" r:id="rId18" display="https://us3.assetplanner.com/service_request?ID=102982" xr:uid="{3A35CD78-04AF-458A-9E0D-8CD8300331FA}"/>
    <hyperlink ref="M13" r:id="rId19" display="https://us3.assetplanner.com/service_request?ID=103184" xr:uid="{EAAF0CBD-F972-4613-963B-3ECD0E9FF3D4}"/>
    <hyperlink ref="K14" r:id="rId20" display="https://us3.assetplanner.com/service_request?ID=102296" xr:uid="{21652B61-1455-469A-AA39-906E732A00CE}"/>
    <hyperlink ref="L14" r:id="rId21" display="https://us3.assetplanner.com/service_request?ID=102296" xr:uid="{4B5B04CB-2351-4E08-BC2C-41C4E3AC6889}"/>
    <hyperlink ref="M14" r:id="rId22" display="https://us3.assetplanner.com/service_request?ID=102336" xr:uid="{BC628534-437D-4952-B56C-BC04EB9EFAD0}"/>
    <hyperlink ref="N14" r:id="rId23" display="https://us3.assetplanner.com/service_request?ID=103740" xr:uid="{391C3BA2-4BAC-4501-B615-CD1FF521A73B}"/>
    <hyperlink ref="O14" r:id="rId24" display="https://us3.assetplanner.com/service_request?ID=099110" xr:uid="{71434F4E-C9AF-4CD5-B124-D44258D69B77}"/>
    <hyperlink ref="K15" r:id="rId25" display="https://us3.assetplanner.com/service_request?ID=101919" xr:uid="{FDAA594C-5DD2-425E-B6D9-4CFA5644724A}"/>
    <hyperlink ref="K16" r:id="rId26" display="https://us3.assetplanner.com/service_request?ID=103239" xr:uid="{61EDB9F4-8765-4C76-97C2-C9BD5D8D4B94}"/>
    <hyperlink ref="L16" r:id="rId27" display="https://us3.assetplanner.com/service_request?ID=103324" xr:uid="{F1A122CE-13DF-4702-8076-DF5AC9226B7D}"/>
    <hyperlink ref="K17" r:id="rId28" display="https://us3.assetplanner.com/service_request?ID=103048" xr:uid="{B7FAD80A-3448-40F9-BB5C-48CA6E09525A}"/>
    <hyperlink ref="K18" r:id="rId29" display="https://us3.assetplanner.com/service_request?ID=103686" xr:uid="{73324B53-2ED5-4640-80CB-AC98962BB2AE}"/>
    <hyperlink ref="L18" r:id="rId30" display="https://us3.assetplanner.com/service_request?ID=102669" xr:uid="{58A3FE8D-B0F5-4AD3-BEF2-2EB8E4FA3952}"/>
    <hyperlink ref="M18" r:id="rId31" display="https://us3.assetplanner.com/service_request?ID=101068" xr:uid="{A96549DC-0331-4F2D-873B-101BCFC31628}"/>
    <hyperlink ref="K19" r:id="rId32" display="https://us3.assetplanner.com/service_request?ID=099730" xr:uid="{99847A9D-6F33-43AE-A82F-647EFA6442A9}"/>
    <hyperlink ref="K20" r:id="rId33" display="https://us3.assetplanner.com/service_request?ID=103950" xr:uid="{BFE56F99-198C-45FC-B3ED-016B22DB4A81}"/>
    <hyperlink ref="K21" r:id="rId34" display="https://us3.assetplanner.com/service_request?ID=102316" xr:uid="{5C9BBDFB-3F38-4977-826E-16C73BCD6D8F}"/>
    <hyperlink ref="L21" r:id="rId35" display="https://us3.assetplanner.com/service_request?ID=099500" xr:uid="{67F05C19-10FC-45D8-8129-6B9C56075608}"/>
    <hyperlink ref="M21" r:id="rId36" display="https://us3.assetplanner.com/service_request?ID=098016" xr:uid="{23F3EB99-6DF1-4219-90FF-D361C67F0456}"/>
    <hyperlink ref="K22" r:id="rId37" display="https://us3.assetplanner.com/service_request?ID=103914" xr:uid="{5B027E7B-65F1-4956-A4DC-9086394EBFA4}"/>
    <hyperlink ref="K24" r:id="rId38" display="https://us3.assetplanner.com/service_request?ID=103124" xr:uid="{AE5EC2B1-AEC0-49FC-AC52-49E7CF2ED994}"/>
    <hyperlink ref="K25" r:id="rId39" display="https://us3.assetplanner.com/service_request?ID=104147" xr:uid="{8CC03F84-447A-47B0-8B37-14A2524E0EBA}"/>
    <hyperlink ref="L25" r:id="rId40" display="https://us3.assetplanner.com/service_request?ID=102794" xr:uid="{BD3B59EC-26B7-42D0-822C-0C6FB9668F79}"/>
    <hyperlink ref="M25" r:id="rId41" display="https://us3.assetplanner.com/service_request?ID=103335" xr:uid="{2A795D0A-6E13-4B1B-A458-442CAC65A92D}"/>
    <hyperlink ref="N25" r:id="rId42" display="https://us3.assetplanner.com/service_request?ID=102011" xr:uid="{6ED92836-AF77-48B0-A4D9-00897C4BFF07}"/>
    <hyperlink ref="K30" r:id="rId43" display="https://us3.assetplanner.com/service_request?ID=103561" xr:uid="{B130CD06-5980-4207-B776-57D51A499B5B}"/>
    <hyperlink ref="L30" r:id="rId44" display="https://us3.assetplanner.com/service_request?ID=102760" xr:uid="{B677505D-6888-4063-8AF7-B028D1E3DE66}"/>
    <hyperlink ref="M30" r:id="rId45" display="https://us3.assetplanner.com/service_request?ID=102137" xr:uid="{3982E84E-D720-4A7C-A66E-887BE4A9B209}"/>
    <hyperlink ref="K33" r:id="rId46" display="https://us3.assetplanner.com/service_request?ID=100833" xr:uid="{078EF5EC-4D7E-47C1-8826-12ADBFADB583}"/>
    <hyperlink ref="L33" r:id="rId47" display="https://us3.assetplanner.com/service_request?ID=102723" xr:uid="{8A758EEA-F1CF-4819-B3C9-B09C08161C4A}"/>
    <hyperlink ref="M33" r:id="rId48" display="https://us3.assetplanner.com/service_request?ID=103597" xr:uid="{539BF507-AA9B-4BF7-9EED-FD589953BBFC}"/>
    <hyperlink ref="K34" r:id="rId49" display="https://us3.assetplanner.com/service_request?ID=103375" xr:uid="{4A22A2E0-2134-437E-9194-5DB97FBC035B}"/>
    <hyperlink ref="L34" r:id="rId50" display="https://us3.assetplanner.com/service_request?ID=100883" xr:uid="{4C5F3696-BB5F-4F20-BA3A-CB93120A8D64}"/>
    <hyperlink ref="M34" r:id="rId51" display="https://us3.assetplanner.com/service_request?ID=103638" xr:uid="{9F7E33E1-C54D-4A30-8E7B-DF262E6CF1AB}"/>
    <hyperlink ref="K35" r:id="rId52" display="https://us3.assetplanner.com/service_request?ID=101936" xr:uid="{B4C82FFF-61A1-422D-BE01-024316CF74C1}"/>
    <hyperlink ref="K40" r:id="rId53" display="https://us3.assetplanner.com/service_request?ID=101963" xr:uid="{39726E4E-3937-424B-BBA0-ABC7AE35E2CB}"/>
    <hyperlink ref="K41" r:id="rId54" display="https://us3.assetplanner.com/service_request?ID=101818" xr:uid="{D44F76DF-2830-458C-A205-7E559A990D7C}"/>
    <hyperlink ref="K42" r:id="rId55" display="https://us3.assetplanner.com/service_request?ID=101034" xr:uid="{86A6B533-832D-4470-B487-56533AF1F5DF}"/>
    <hyperlink ref="L42" r:id="rId56" display="https://us3.assetplanner.com/service_request?ID=103779" xr:uid="{55E3AE85-E0A5-478E-BE51-5034C6062B92}"/>
    <hyperlink ref="M42" r:id="rId57" display="https://us3.assetplanner.com/service_request?ID=102621" xr:uid="{2BA36E10-7080-42FD-A44B-56424A40F8FC}"/>
    <hyperlink ref="K43" r:id="rId58" display="https://us3.assetplanner.com/service_request?ID=101021" xr:uid="{315280F5-4C39-4484-A021-EA498925C344}"/>
    <hyperlink ref="K44" r:id="rId59" display="https://us3.assetplanner.com/service_request?ID=100915" xr:uid="{32C77D1F-17D8-4F7E-8019-566B28CC5CAC}"/>
    <hyperlink ref="K45" r:id="rId60" display="https://us3.assetplanner.com/service_request?ID=101100" xr:uid="{B30067FC-F696-487E-A8D7-034C81999B2F}"/>
    <hyperlink ref="K46" r:id="rId61" display="https://us3.assetplanner.com/service_request?ID=100906" xr:uid="{31907AC6-B3BC-415B-B8AF-35F86347C4E1}"/>
    <hyperlink ref="L46" r:id="rId62" display="https://us3.assetplanner.com/service_request?ID=100906" xr:uid="{182972A8-D62C-45F3-9B9B-C286A4B528A0}"/>
    <hyperlink ref="M46" r:id="rId63" display="https://us3.assetplanner.com/service_request?ID=103517" xr:uid="{A77634AC-4E7F-42C5-8C5B-C76409F1FB09}"/>
    <hyperlink ref="K47" r:id="rId64" display="https://us3.assetplanner.com/service_request?ID=102419" xr:uid="{798179CD-B699-4E77-A8DE-BC6D09481185}"/>
    <hyperlink ref="K48" r:id="rId65" display="https://us3.assetplanner.com/service_request?ID=103160" xr:uid="{91D73C0F-F814-499D-8BCF-CC3C6F3FB2CD}"/>
    <hyperlink ref="L48" r:id="rId66" display="https://us3.assetplanner.com/service_request?ID=102283" xr:uid="{4E8A7AA4-EF2F-446E-9369-62B1E96F2F5C}"/>
    <hyperlink ref="K49" r:id="rId67" display="https://us3.assetplanner.com/service_request?ID=102418" xr:uid="{9ADD6E5A-2836-4538-8787-1FF50431B345}"/>
    <hyperlink ref="K50" r:id="rId68" display="https://us3.assetplanner.com/service_request?ID=102416" xr:uid="{F5553325-6912-49B8-917A-1B6DF36DEB01}"/>
    <hyperlink ref="K51" r:id="rId69" display="https://us3.assetplanner.com/service_request?ID=102392" xr:uid="{3E07AF59-0F50-4DC5-ACA8-D5734FBE9D70}"/>
    <hyperlink ref="K52" r:id="rId70" display="https://us3.assetplanner.com/service_request?ID=102539" xr:uid="{A6793CC7-3F16-4A42-8F86-19EA46B5295F}"/>
    <hyperlink ref="L52" r:id="rId71" display="https://us3.assetplanner.com/service_request?ID=102321" xr:uid="{94C42E1D-8DB5-4D90-8D06-6EB05E2C671D}"/>
    <hyperlink ref="M52" r:id="rId72" display="https://us3.assetplanner.com/service_request?ID=103636" xr:uid="{E01E2F53-2E99-4772-9EAC-B829AE1E37AB}"/>
    <hyperlink ref="K53" r:id="rId73" display="https://us3.assetplanner.com/service_request?ID=102320" xr:uid="{65C39B8D-CCE1-4633-AB8D-73DBD5441327}"/>
    <hyperlink ref="K54" r:id="rId74" display="https://us3.assetplanner.com/service_request?ID=102317" xr:uid="{F324D5A6-C50E-48E8-959A-BFD61FCD2BC1}"/>
    <hyperlink ref="K55" r:id="rId75" display="https://us3.assetplanner.com/service_request?ID=102315" xr:uid="{8E788402-4DB5-4CCB-B667-932634FC9DE8}"/>
    <hyperlink ref="L55" r:id="rId76" display="https://us3.assetplanner.com/service_request?ID=102315" xr:uid="{23EFB232-91D1-4294-B351-71ADF3CD9CD6}"/>
    <hyperlink ref="K56" r:id="rId77" display="https://us3.assetplanner.com/service_request?ID=102286" xr:uid="{B944F912-2EBC-4758-841B-DA3A194D4E6B}"/>
    <hyperlink ref="L56" r:id="rId78" display="https://us3.assetplanner.com/service_request?ID=102286" xr:uid="{24D797AD-6789-41CE-AEA3-CBFA16294193}"/>
    <hyperlink ref="K57" r:id="rId79" display="https://us3.assetplanner.com/service_request?ID=102281" xr:uid="{36886C06-2446-4393-B4CC-7F06DB0060F1}"/>
    <hyperlink ref="K59" r:id="rId80" display="https://us3.assetplanner.com/service_request?ID=102503" xr:uid="{A363345C-DD1E-4D80-874A-06C493CABC58}"/>
    <hyperlink ref="K60" r:id="rId81" display="https://us3.assetplanner.com/service_request?ID=102451" xr:uid="{A0FDC0A5-1E25-40B7-84C6-BD437CC46E17}"/>
    <hyperlink ref="K61" r:id="rId82" display="https://us3.assetplanner.com/service_request?ID=102321" xr:uid="{7937FFA6-DA85-46E6-A0F1-018214E92575}"/>
    <hyperlink ref="L61" r:id="rId83" display="https://us3.assetplanner.com/service_request?ID=102539" xr:uid="{F41007E6-6280-4100-BDEB-F81D6D3C46FE}"/>
    <hyperlink ref="M61" r:id="rId84" display="https://us3.assetplanner.com/service_request?ID=103636" xr:uid="{295FBD20-71C5-4C68-912F-9AABEC1A866D}"/>
    <hyperlink ref="K62" r:id="rId85" display="https://us3.assetplanner.com/service_request?ID=102329" xr:uid="{8DCB856F-AB42-4A9C-84CB-13631E34373E}"/>
    <hyperlink ref="L62" r:id="rId86" display="https://us3.assetplanner.com/service_request?ID=102329" xr:uid="{778848D7-451C-46EB-B6D5-6FBF7217AF5A}"/>
    <hyperlink ref="M62" r:id="rId87" display="https://us3.assetplanner.com/service_request?ID=102329" xr:uid="{AD46389D-570D-4AC4-BF85-2F864AECC43C}"/>
    <hyperlink ref="N62" r:id="rId88" display="https://us3.assetplanner.com/service_request?ID=102329" xr:uid="{E37E7D0A-E2C5-4E85-A336-610506BE672D}"/>
    <hyperlink ref="K63" r:id="rId89" display="https://us3.assetplanner.com/service_request?ID=102303" xr:uid="{6518BAFC-70E8-4E4B-A0F6-7EA1F3116373}"/>
    <hyperlink ref="K64" r:id="rId90" display="https://us3.assetplanner.com/service_request?ID=102411" xr:uid="{06C04538-9656-42A0-92A4-B05F6D30D66D}"/>
    <hyperlink ref="K65" r:id="rId91" display="https://us3.assetplanner.com/service_request?ID=102403" xr:uid="{650D4C53-4850-4DF9-A7A5-693DB0A4BB50}"/>
    <hyperlink ref="K66" r:id="rId92" display="https://us3.assetplanner.com/service_request?ID=102310" xr:uid="{187B3806-307F-4CBE-A696-97B75C4E4BC0}"/>
    <hyperlink ref="K68" r:id="rId93" display="https://us3.assetplanner.com/service_request?ID=102450" xr:uid="{F09CD124-5629-451E-8D30-295D5D678858}"/>
    <hyperlink ref="K69" r:id="rId94" display="https://us3.assetplanner.com/service_request?ID=102413" xr:uid="{6755C33F-F247-43AC-B38E-83617D093611}"/>
    <hyperlink ref="K70" r:id="rId95" display="https://us3.assetplanner.com/service_request?ID=102425" xr:uid="{498B0BAF-9DBB-48F7-8521-7EC05F7FC7AB}"/>
    <hyperlink ref="K71" r:id="rId96" display="https://us3.assetplanner.com/service_request?ID=102820" xr:uid="{84A3C0B6-83B4-4AFA-B232-9660C7FAFFED}"/>
    <hyperlink ref="K72" r:id="rId97" display="https://us3.assetplanner.com/service_request?ID=102424" xr:uid="{5D8E9743-E101-4ED5-A3D0-0EEF152A21CA}"/>
    <hyperlink ref="K73" r:id="rId98" display="https://us3.assetplanner.com/service_request?ID=102423" xr:uid="{AD13C978-B938-4A1C-BBE7-94AC0DBB0F6F}"/>
    <hyperlink ref="K74" r:id="rId99" display="https://us3.assetplanner.com/service_request?ID=102421" xr:uid="{BABF87F8-497B-4E5F-955A-28755C61A147}"/>
    <hyperlink ref="K75" r:id="rId100" display="https://us3.assetplanner.com/service_request?ID=102420" xr:uid="{E712F7BF-A380-40BE-A106-39B70EFB8A0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7"/>
  <sheetViews>
    <sheetView zoomScale="70" zoomScaleNormal="70" workbookViewId="0">
      <pane xSplit="2" ySplit="3" topLeftCell="C18" activePane="bottomRight" state="frozen"/>
      <selection pane="bottomRight" activeCell="J81" sqref="J81"/>
      <selection pane="bottomLeft" activeCell="H13" sqref="H13"/>
      <selection pane="topRight" activeCell="H13" sqref="H13"/>
    </sheetView>
  </sheetViews>
  <sheetFormatPr defaultRowHeight="13.9"/>
  <cols>
    <col min="1" max="1" width="52.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9.140625" style="104"/>
  </cols>
  <sheetData>
    <row r="1" spans="1:16" ht="19.5" customHeight="1">
      <c r="A1" s="119" t="str" cm="1">
        <f t="array" ref="A1">portfolio</f>
        <v>Clean Capital</v>
      </c>
      <c r="B1" s="119"/>
      <c r="C1" s="119"/>
      <c r="D1" s="120" t="s">
        <v>345</v>
      </c>
      <c r="E1" s="120"/>
      <c r="F1" s="120"/>
      <c r="G1" s="118" t="s">
        <v>346</v>
      </c>
      <c r="H1" s="118"/>
      <c r="I1" s="118"/>
      <c r="J1" s="4"/>
      <c r="K1" s="4"/>
    </row>
    <row r="2" spans="1:16" ht="19.5" customHeight="1">
      <c r="A2" s="121" t="s">
        <v>2</v>
      </c>
      <c r="B2" s="121"/>
      <c r="C2" s="5">
        <f>SUM(C4:C85)</f>
        <v>6188915.652209864</v>
      </c>
      <c r="D2" s="5">
        <f>SUM(D4:D85)</f>
        <v>4213786.7369083203</v>
      </c>
      <c r="E2" s="5">
        <f>C2-D2</f>
        <v>1975128.9153015437</v>
      </c>
      <c r="F2" s="6">
        <f>IFERROR(E2/D2, 0)</f>
        <v>0.46873015618030711</v>
      </c>
      <c r="G2" s="5">
        <f>SUM(G4:G85)</f>
        <v>7276054.1450000023</v>
      </c>
      <c r="H2" s="7">
        <f>C2-G2</f>
        <v>-1087138.4927901383</v>
      </c>
      <c r="I2" s="6">
        <f>IFERROR(H2/G2, 0)</f>
        <v>-0.14941319444924747</v>
      </c>
      <c r="J2" s="11" t="str">
        <f ca="1">IF(AND(TODAY()&gt;DATE(2024, 7, 1), COUNTA(Sites[Site])&lt;&gt;(COUNT(C:C)-1)), "Some sites are missing actual data; if new sites were added, make sure they are aligned correctly (including prior months!)", "")</f>
        <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57" customHeight="1">
      <c r="A4" s="39" t="str" cm="1">
        <f t="array" ref="A4:A85">Sites[Site]</f>
        <v>Lexington - Cotting School</v>
      </c>
      <c r="B4" s="40" t="str" cm="1">
        <f t="array" ref="B4:B85">Sites[State]</f>
        <v>MA</v>
      </c>
      <c r="C4" s="28">
        <v>45160</v>
      </c>
      <c r="D4" s="29" t="s">
        <v>43</v>
      </c>
      <c r="E4" s="29" t="str">
        <f>IF(AND(ISNUMBER(C4),ISNUMBER(D4)), C4-D4, "")</f>
        <v/>
      </c>
      <c r="F4" s="30" t="str">
        <f t="shared" ref="F4:F35" si="0">IFERROR(E4/D4, "")</f>
        <v/>
      </c>
      <c r="G4" s="73" t="s">
        <v>43</v>
      </c>
      <c r="H4" s="31" t="str">
        <f>IF(AND(ISNUMBER(C4),ISNUMBER(G4)), C4-G4, "")</f>
        <v/>
      </c>
      <c r="I4" s="32" t="str">
        <f>IFERROR(H4/G4, "")</f>
        <v/>
      </c>
      <c r="J4" s="49" t="s">
        <v>206</v>
      </c>
      <c r="K4" s="67" t="s">
        <v>207</v>
      </c>
    </row>
    <row r="5" spans="1:16" ht="248.25" customHeight="1">
      <c r="A5" s="41" t="str">
        <v>Pacoima - Whiteman Airport</v>
      </c>
      <c r="B5" s="42" t="str">
        <v>CA</v>
      </c>
      <c r="C5" s="35">
        <v>33959.1</v>
      </c>
      <c r="D5" s="36" t="s">
        <v>43</v>
      </c>
      <c r="E5" s="36" t="str">
        <f t="shared" ref="E5" si="1">IF(AND(ISNUMBER(C5),ISNUMBER(D5)), C5-D5, "")</f>
        <v/>
      </c>
      <c r="F5" s="37" t="str">
        <f t="shared" si="0"/>
        <v/>
      </c>
      <c r="G5" s="38">
        <v>68640</v>
      </c>
      <c r="H5" s="38">
        <f t="shared" ref="H5:H12" si="2">IF(AND(ISNUMBER(C5),ISNUMBER(G5)), C5-G5, "")</f>
        <v>-34680.9</v>
      </c>
      <c r="I5" s="37">
        <f t="shared" ref="I5:I12" si="3">IFERROR(H5/G5, "")</f>
        <v>-0.50525786713286713</v>
      </c>
      <c r="J5" s="60" t="s">
        <v>347</v>
      </c>
      <c r="K5" s="68" t="s">
        <v>348</v>
      </c>
      <c r="L5" s="95" t="s">
        <v>135</v>
      </c>
      <c r="M5" s="95" t="s">
        <v>135</v>
      </c>
      <c r="N5" s="95" t="s">
        <v>135</v>
      </c>
      <c r="O5" s="95" t="s">
        <v>136</v>
      </c>
      <c r="P5" s="95" t="s">
        <v>349</v>
      </c>
    </row>
    <row r="6" spans="1:16" ht="15.6">
      <c r="A6" s="43" t="str">
        <v>Hyannis - Sturgis Charter School</v>
      </c>
      <c r="B6" s="40" t="str">
        <v>MA</v>
      </c>
      <c r="C6" s="28">
        <v>38047.875</v>
      </c>
      <c r="D6" s="29" t="s">
        <v>43</v>
      </c>
      <c r="E6" s="29" t="str">
        <f t="shared" ref="E6:E37" si="4">IF(AND(ISNUMBER(C6),ISNUMBER(D6)), C6-D6, "")</f>
        <v/>
      </c>
      <c r="F6" s="30" t="str">
        <f t="shared" si="0"/>
        <v/>
      </c>
      <c r="G6" s="31">
        <v>36029.08</v>
      </c>
      <c r="H6" s="31">
        <f>IF(AND(ISNUMBER(C6),ISNUMBER(G6)), C6-G6, "")</f>
        <v>2018.7949999999983</v>
      </c>
      <c r="I6" s="32">
        <f>IFERROR(H6/G6, "")</f>
        <v>5.603237717976696E-2</v>
      </c>
      <c r="J6" s="49" t="s">
        <v>350</v>
      </c>
      <c r="K6" s="67" t="s">
        <v>351</v>
      </c>
    </row>
    <row r="7" spans="1:16" ht="57.6">
      <c r="A7" s="41" t="str">
        <v>South Dennis - Tony Kent Arena</v>
      </c>
      <c r="B7" s="42" t="str">
        <v>MA</v>
      </c>
      <c r="C7" s="35">
        <v>45190</v>
      </c>
      <c r="D7" s="36" t="s">
        <v>43</v>
      </c>
      <c r="E7" s="36" t="str">
        <f t="shared" si="4"/>
        <v/>
      </c>
      <c r="F7" s="37" t="str">
        <f t="shared" si="0"/>
        <v/>
      </c>
      <c r="G7" s="102" t="s">
        <v>43</v>
      </c>
      <c r="H7" s="38" t="str">
        <f t="shared" si="2"/>
        <v/>
      </c>
      <c r="I7" s="37" t="str">
        <f>IFERROR(H7/G7, "")</f>
        <v/>
      </c>
      <c r="J7" s="50" t="s">
        <v>91</v>
      </c>
      <c r="K7" s="68" t="s">
        <v>137</v>
      </c>
      <c r="L7" s="95" t="s">
        <v>53</v>
      </c>
    </row>
    <row r="8" spans="1:16" ht="86.45">
      <c r="A8" s="43" t="str">
        <v xml:space="preserve"> Caropolis - Felician Sisters</v>
      </c>
      <c r="B8" s="40" t="str">
        <v>PA</v>
      </c>
      <c r="C8" s="28">
        <v>67944.600000000006</v>
      </c>
      <c r="D8" s="29" t="s">
        <v>43</v>
      </c>
      <c r="E8" s="29" t="str">
        <f t="shared" si="4"/>
        <v/>
      </c>
      <c r="F8" s="30" t="str">
        <f t="shared" si="0"/>
        <v/>
      </c>
      <c r="G8" s="73" t="s">
        <v>43</v>
      </c>
      <c r="H8" s="31" t="str">
        <f t="shared" si="2"/>
        <v/>
      </c>
      <c r="I8" s="32" t="str">
        <f t="shared" si="3"/>
        <v/>
      </c>
      <c r="J8" s="49" t="s">
        <v>209</v>
      </c>
      <c r="K8" s="67" t="s">
        <v>210</v>
      </c>
      <c r="L8" s="95" t="s">
        <v>95</v>
      </c>
    </row>
    <row r="9" spans="1:16" ht="65.45" customHeight="1">
      <c r="A9" s="41" t="str">
        <v>Clear Lake - Eastlake Gohman</v>
      </c>
      <c r="B9" s="42" t="str">
        <v>MN</v>
      </c>
      <c r="C9" s="35">
        <v>194116</v>
      </c>
      <c r="D9" s="36" t="s">
        <v>43</v>
      </c>
      <c r="E9" s="36" t="str">
        <f t="shared" si="4"/>
        <v/>
      </c>
      <c r="F9" s="37" t="str">
        <f t="shared" si="0"/>
        <v/>
      </c>
      <c r="G9" s="38">
        <v>211756.7</v>
      </c>
      <c r="H9" s="38">
        <f t="shared" si="2"/>
        <v>-17640.700000000012</v>
      </c>
      <c r="I9" s="37">
        <f t="shared" si="3"/>
        <v>-8.3306455002368329E-2</v>
      </c>
      <c r="J9" s="66" t="s">
        <v>352</v>
      </c>
      <c r="K9" s="68" t="s">
        <v>353</v>
      </c>
      <c r="L9" s="95" t="s">
        <v>354</v>
      </c>
      <c r="M9" s="95" t="s">
        <v>355</v>
      </c>
    </row>
    <row r="10" spans="1:16" ht="15.6">
      <c r="A10" s="43" t="str">
        <v>Zumbrota - Eastlake Brenda Luhman</v>
      </c>
      <c r="B10" s="40" t="str">
        <v>MN</v>
      </c>
      <c r="C10" s="28">
        <v>217797</v>
      </c>
      <c r="D10" s="29" t="s">
        <v>43</v>
      </c>
      <c r="E10" s="29" t="str">
        <f t="shared" si="4"/>
        <v/>
      </c>
      <c r="F10" s="30" t="str">
        <f t="shared" si="0"/>
        <v/>
      </c>
      <c r="G10" s="31">
        <v>207047.9</v>
      </c>
      <c r="H10" s="31">
        <f t="shared" si="2"/>
        <v>10749.100000000006</v>
      </c>
      <c r="I10" s="32">
        <f t="shared" si="3"/>
        <v>5.1916005909743622E-2</v>
      </c>
      <c r="J10" s="49"/>
      <c r="K10" s="49"/>
    </row>
    <row r="11" spans="1:16" ht="28.9">
      <c r="A11" s="41" t="str">
        <v>Cokato - Eastlake Carlson</v>
      </c>
      <c r="B11" s="42" t="str">
        <v>MN</v>
      </c>
      <c r="C11" s="35">
        <v>209302</v>
      </c>
      <c r="D11" s="36" t="s">
        <v>43</v>
      </c>
      <c r="E11" s="36" t="str">
        <f t="shared" si="4"/>
        <v/>
      </c>
      <c r="F11" s="37" t="str">
        <f t="shared" si="0"/>
        <v/>
      </c>
      <c r="G11" s="38">
        <v>222404</v>
      </c>
      <c r="H11" s="38">
        <f t="shared" si="2"/>
        <v>-13102</v>
      </c>
      <c r="I11" s="37">
        <f t="shared" si="3"/>
        <v>-5.8910810956637472E-2</v>
      </c>
      <c r="J11" s="50" t="s">
        <v>356</v>
      </c>
      <c r="K11" s="68" t="s">
        <v>357</v>
      </c>
    </row>
    <row r="12" spans="1:16" ht="72">
      <c r="A12" s="43" t="str">
        <v>North Branch - Cornille 2</v>
      </c>
      <c r="B12" s="40" t="str">
        <v>MN</v>
      </c>
      <c r="C12" s="28">
        <v>213975</v>
      </c>
      <c r="D12" s="29" t="s">
        <v>43</v>
      </c>
      <c r="E12" s="29" t="str">
        <f t="shared" si="4"/>
        <v/>
      </c>
      <c r="F12" s="30" t="str">
        <f t="shared" si="0"/>
        <v/>
      </c>
      <c r="G12" s="31">
        <v>208780.4</v>
      </c>
      <c r="H12" s="31">
        <f t="shared" si="2"/>
        <v>5194.6000000000058</v>
      </c>
      <c r="I12" s="32">
        <f t="shared" si="3"/>
        <v>2.4880688033934249E-2</v>
      </c>
      <c r="J12" s="49" t="s">
        <v>358</v>
      </c>
      <c r="K12" s="67" t="s">
        <v>359</v>
      </c>
      <c r="L12" s="95" t="s">
        <v>152</v>
      </c>
    </row>
    <row r="13" spans="1:16" ht="28.9">
      <c r="A13" s="41" t="str">
        <v>Clear Lake - Eastlake Hammer</v>
      </c>
      <c r="B13" s="42" t="str">
        <v>MN</v>
      </c>
      <c r="C13" s="35">
        <v>260364.685323382</v>
      </c>
      <c r="D13" s="36" t="s">
        <v>43</v>
      </c>
      <c r="E13" s="36" t="str">
        <f t="shared" si="4"/>
        <v/>
      </c>
      <c r="F13" s="37" t="str">
        <f t="shared" si="0"/>
        <v/>
      </c>
      <c r="G13" s="38">
        <v>272073.8</v>
      </c>
      <c r="H13" s="38">
        <f t="shared" ref="H13:H44" si="5">IF(AND(ISNUMBER(C13),ISNUMBER(G13)), C13-G13, "")</f>
        <v>-11709.114676617988</v>
      </c>
      <c r="I13" s="37">
        <f t="shared" ref="I13:I44" si="6">IFERROR(H13/G13, "")</f>
        <v>-4.3036538897232988E-2</v>
      </c>
      <c r="J13" s="50" t="s">
        <v>360</v>
      </c>
      <c r="K13" s="68" t="s">
        <v>361</v>
      </c>
    </row>
    <row r="14" spans="1:16" ht="83.25" customHeight="1">
      <c r="A14" s="43" t="str">
        <v>Eastlake - Hertzberg CSG 1</v>
      </c>
      <c r="B14" s="40" t="str">
        <v>MN</v>
      </c>
      <c r="C14" s="28">
        <v>227610.99400000001</v>
      </c>
      <c r="D14" s="29" t="s">
        <v>43</v>
      </c>
      <c r="E14" s="29" t="str">
        <f t="shared" si="4"/>
        <v/>
      </c>
      <c r="F14" s="30" t="str">
        <f t="shared" si="0"/>
        <v/>
      </c>
      <c r="G14" s="31">
        <v>268893.815</v>
      </c>
      <c r="H14" s="31">
        <f t="shared" si="5"/>
        <v>-41282.820999999996</v>
      </c>
      <c r="I14" s="32">
        <f t="shared" si="6"/>
        <v>-0.15352833980208877</v>
      </c>
      <c r="J14" s="49" t="s">
        <v>362</v>
      </c>
      <c r="K14" s="67" t="s">
        <v>363</v>
      </c>
      <c r="L14" s="95" t="s">
        <v>364</v>
      </c>
    </row>
    <row r="15" spans="1:16" ht="28.9">
      <c r="A15" s="41" t="str">
        <v>Cokato - Eastlake Laurel Village</v>
      </c>
      <c r="B15" s="42" t="str">
        <v>MN</v>
      </c>
      <c r="C15" s="35">
        <v>276621</v>
      </c>
      <c r="D15" s="36" t="s">
        <v>43</v>
      </c>
      <c r="E15" s="36" t="str">
        <f t="shared" si="4"/>
        <v/>
      </c>
      <c r="F15" s="37" t="str">
        <f t="shared" si="0"/>
        <v/>
      </c>
      <c r="G15" s="38">
        <v>273010.2</v>
      </c>
      <c r="H15" s="38">
        <f t="shared" si="5"/>
        <v>3610.7999999999884</v>
      </c>
      <c r="I15" s="37">
        <f t="shared" si="6"/>
        <v>1.3225879472635045E-2</v>
      </c>
      <c r="J15" s="50" t="s">
        <v>365</v>
      </c>
      <c r="K15" s="68" t="s">
        <v>366</v>
      </c>
    </row>
    <row r="16" spans="1:16" ht="43.15">
      <c r="A16" s="43" t="str">
        <v>St. Peter - Eastlake Paulson</v>
      </c>
      <c r="B16" s="40" t="str">
        <v>MN</v>
      </c>
      <c r="C16" s="28">
        <v>221361.14769025601</v>
      </c>
      <c r="D16" s="29" t="s">
        <v>43</v>
      </c>
      <c r="E16" s="29" t="str">
        <f t="shared" si="4"/>
        <v/>
      </c>
      <c r="F16" s="30" t="str">
        <f t="shared" si="0"/>
        <v/>
      </c>
      <c r="G16" s="31">
        <v>232603</v>
      </c>
      <c r="H16" s="31">
        <f t="shared" si="5"/>
        <v>-11241.85230974399</v>
      </c>
      <c r="I16" s="32">
        <f t="shared" si="6"/>
        <v>-4.8330641951066795E-2</v>
      </c>
      <c r="J16" s="49" t="s">
        <v>367</v>
      </c>
      <c r="K16" s="67" t="s">
        <v>368</v>
      </c>
      <c r="L16" s="95" t="s">
        <v>369</v>
      </c>
    </row>
    <row r="17" spans="1:14" ht="57.6">
      <c r="A17" s="41" t="str">
        <v>Felician Sisters Convent</v>
      </c>
      <c r="B17" s="42" t="str">
        <v>NJ</v>
      </c>
      <c r="C17" s="35">
        <v>4559.3999999999996</v>
      </c>
      <c r="D17" s="36" t="s">
        <v>43</v>
      </c>
      <c r="E17" s="36" t="str">
        <f t="shared" si="4"/>
        <v/>
      </c>
      <c r="F17" s="37" t="str">
        <f t="shared" si="0"/>
        <v/>
      </c>
      <c r="G17" s="74" t="s">
        <v>43</v>
      </c>
      <c r="H17" s="38" t="str">
        <f t="shared" si="5"/>
        <v/>
      </c>
      <c r="I17" s="37" t="str">
        <f t="shared" si="6"/>
        <v/>
      </c>
      <c r="J17" s="50" t="s">
        <v>370</v>
      </c>
      <c r="K17" s="68" t="s">
        <v>235</v>
      </c>
    </row>
    <row r="18" spans="1:14" ht="72">
      <c r="A18" s="43" t="str">
        <v>Sussex County Fairgrounds</v>
      </c>
      <c r="B18" s="40" t="str">
        <v>NJ</v>
      </c>
      <c r="C18" s="28">
        <v>63906.8</v>
      </c>
      <c r="D18" s="29" t="s">
        <v>43</v>
      </c>
      <c r="E18" s="29" t="str">
        <f t="shared" si="4"/>
        <v/>
      </c>
      <c r="F18" s="30" t="str">
        <f t="shared" si="0"/>
        <v/>
      </c>
      <c r="G18" s="73" t="s">
        <v>43</v>
      </c>
      <c r="H18" s="31" t="str">
        <f t="shared" si="5"/>
        <v/>
      </c>
      <c r="I18" s="32" t="str">
        <f t="shared" si="6"/>
        <v/>
      </c>
      <c r="J18" s="49" t="s">
        <v>371</v>
      </c>
      <c r="K18" s="67" t="s">
        <v>372</v>
      </c>
      <c r="L18" s="95" t="s">
        <v>121</v>
      </c>
    </row>
    <row r="19" spans="1:14" ht="57.6">
      <c r="A19" s="41" t="str">
        <v>Gateway Church</v>
      </c>
      <c r="B19" s="42" t="str">
        <v>NJ</v>
      </c>
      <c r="C19" s="35">
        <v>35865</v>
      </c>
      <c r="D19" s="36" t="s">
        <v>43</v>
      </c>
      <c r="E19" s="36" t="str">
        <f t="shared" si="4"/>
        <v/>
      </c>
      <c r="F19" s="37" t="str">
        <f t="shared" si="0"/>
        <v/>
      </c>
      <c r="G19" s="74" t="s">
        <v>43</v>
      </c>
      <c r="H19" s="38" t="str">
        <f t="shared" si="5"/>
        <v/>
      </c>
      <c r="I19" s="37" t="str">
        <f t="shared" si="6"/>
        <v/>
      </c>
      <c r="J19" s="50" t="s">
        <v>373</v>
      </c>
      <c r="K19" s="68" t="s">
        <v>374</v>
      </c>
    </row>
    <row r="20" spans="1:14" ht="57.6">
      <c r="A20" s="43" t="str">
        <v>Beaver Falls - Felician Sisters</v>
      </c>
      <c r="B20" s="40" t="str">
        <v>PA</v>
      </c>
      <c r="C20" s="28">
        <v>48534</v>
      </c>
      <c r="D20" s="29" t="s">
        <v>43</v>
      </c>
      <c r="E20" s="29" t="str">
        <f t="shared" si="4"/>
        <v/>
      </c>
      <c r="F20" s="30" t="str">
        <f t="shared" si="0"/>
        <v/>
      </c>
      <c r="G20" s="73" t="s">
        <v>43</v>
      </c>
      <c r="H20" s="31" t="str">
        <f t="shared" si="5"/>
        <v/>
      </c>
      <c r="I20" s="32" t="str">
        <f t="shared" si="6"/>
        <v/>
      </c>
      <c r="J20" s="49" t="s">
        <v>375</v>
      </c>
      <c r="K20" s="67" t="s">
        <v>242</v>
      </c>
    </row>
    <row r="21" spans="1:14" ht="86.45">
      <c r="A21" s="41" t="str">
        <v>Livonia - Felician Sisters Ground</v>
      </c>
      <c r="B21" s="42" t="str">
        <v>MI</v>
      </c>
      <c r="C21" s="35">
        <v>0</v>
      </c>
      <c r="D21" s="36" t="s">
        <v>43</v>
      </c>
      <c r="E21" s="36" t="str">
        <f t="shared" si="4"/>
        <v/>
      </c>
      <c r="F21" s="37" t="str">
        <f t="shared" si="0"/>
        <v/>
      </c>
      <c r="G21" s="74" t="s">
        <v>43</v>
      </c>
      <c r="H21" s="38" t="str">
        <f t="shared" si="5"/>
        <v/>
      </c>
      <c r="I21" s="37" t="str">
        <f t="shared" si="6"/>
        <v/>
      </c>
      <c r="J21" s="50" t="s">
        <v>376</v>
      </c>
      <c r="K21" s="68" t="s">
        <v>244</v>
      </c>
      <c r="L21" s="95" t="s">
        <v>127</v>
      </c>
      <c r="M21" s="95" t="s">
        <v>80</v>
      </c>
    </row>
    <row r="22" spans="1:14" ht="28.9">
      <c r="A22" s="43" t="str">
        <v>Livonia - Felician Sisters Roof</v>
      </c>
      <c r="B22" s="40" t="str">
        <v>MI</v>
      </c>
      <c r="C22" s="28">
        <v>17462</v>
      </c>
      <c r="D22" s="29" t="s">
        <v>43</v>
      </c>
      <c r="E22" s="29" t="str">
        <f t="shared" si="4"/>
        <v/>
      </c>
      <c r="F22" s="30" t="str">
        <f t="shared" si="0"/>
        <v/>
      </c>
      <c r="G22" s="73" t="s">
        <v>43</v>
      </c>
      <c r="H22" s="31" t="str">
        <f t="shared" si="5"/>
        <v/>
      </c>
      <c r="I22" s="32" t="str">
        <f t="shared" si="6"/>
        <v/>
      </c>
      <c r="J22" s="49" t="s">
        <v>377</v>
      </c>
      <c r="K22" s="67" t="s">
        <v>378</v>
      </c>
      <c r="L22" s="95" t="s">
        <v>379</v>
      </c>
    </row>
    <row r="23" spans="1:14" ht="15.6">
      <c r="A23" s="41" t="str">
        <v>Monmouth Worship Ctr</v>
      </c>
      <c r="B23" s="42" t="str">
        <v>NJ</v>
      </c>
      <c r="C23" s="35">
        <v>12364</v>
      </c>
      <c r="D23" s="36" t="s">
        <v>43</v>
      </c>
      <c r="E23" s="36" t="str">
        <f t="shared" si="4"/>
        <v/>
      </c>
      <c r="F23" s="37" t="str">
        <f t="shared" si="0"/>
        <v/>
      </c>
      <c r="G23" s="74" t="s">
        <v>43</v>
      </c>
      <c r="H23" s="38" t="str">
        <f t="shared" si="5"/>
        <v/>
      </c>
      <c r="I23" s="37" t="str">
        <f t="shared" si="6"/>
        <v/>
      </c>
      <c r="J23" s="50"/>
      <c r="K23" s="51"/>
    </row>
    <row r="24" spans="1:14" ht="57.6">
      <c r="A24" s="43" t="str">
        <v xml:space="preserve"> Audubon - Senior Citizens United</v>
      </c>
      <c r="B24" s="40" t="str">
        <v>NJ</v>
      </c>
      <c r="C24" s="28">
        <v>14095</v>
      </c>
      <c r="D24" s="29" t="s">
        <v>43</v>
      </c>
      <c r="E24" s="29" t="str">
        <f t="shared" si="4"/>
        <v/>
      </c>
      <c r="F24" s="30" t="str">
        <f t="shared" si="0"/>
        <v/>
      </c>
      <c r="G24" s="73" t="s">
        <v>43</v>
      </c>
      <c r="H24" s="31" t="str">
        <f t="shared" si="5"/>
        <v/>
      </c>
      <c r="I24" s="32" t="str">
        <f t="shared" si="6"/>
        <v/>
      </c>
      <c r="J24" s="49" t="s">
        <v>380</v>
      </c>
      <c r="K24" s="67" t="s">
        <v>248</v>
      </c>
    </row>
    <row r="25" spans="1:14" ht="124.5" customHeight="1">
      <c r="A25" s="41" t="str">
        <v>Hollister - PG&amp;E (Enerparc)</v>
      </c>
      <c r="B25" s="42" t="str">
        <v>CA</v>
      </c>
      <c r="C25" s="35">
        <v>0</v>
      </c>
      <c r="D25" s="36">
        <v>0</v>
      </c>
      <c r="E25" s="36">
        <f t="shared" si="4"/>
        <v>0</v>
      </c>
      <c r="F25" s="37" t="str">
        <f t="shared" si="0"/>
        <v/>
      </c>
      <c r="G25" s="38">
        <v>418819.3</v>
      </c>
      <c r="H25" s="38">
        <f t="shared" si="5"/>
        <v>-418819.3</v>
      </c>
      <c r="I25" s="37">
        <f t="shared" si="6"/>
        <v>-1</v>
      </c>
      <c r="J25" s="50" t="s">
        <v>381</v>
      </c>
      <c r="K25" s="68" t="s">
        <v>382</v>
      </c>
      <c r="L25" s="95" t="s">
        <v>383</v>
      </c>
      <c r="M25" s="95" t="s">
        <v>251</v>
      </c>
      <c r="N25" s="95" t="s">
        <v>252</v>
      </c>
    </row>
    <row r="26" spans="1:14" ht="28.9">
      <c r="A26" s="43" t="str">
        <v>Taos County - Kit Carson Electric Co-Op</v>
      </c>
      <c r="B26" s="40" t="str">
        <v>NM</v>
      </c>
      <c r="C26" s="28">
        <v>318620</v>
      </c>
      <c r="D26" s="29">
        <v>232697.4</v>
      </c>
      <c r="E26" s="29">
        <f t="shared" si="4"/>
        <v>85922.6</v>
      </c>
      <c r="F26" s="30">
        <f t="shared" si="0"/>
        <v>0.36924606806951865</v>
      </c>
      <c r="G26" s="31">
        <v>212995</v>
      </c>
      <c r="H26" s="31">
        <f t="shared" si="5"/>
        <v>105625</v>
      </c>
      <c r="I26" s="32">
        <f t="shared" si="6"/>
        <v>0.49590365971032185</v>
      </c>
      <c r="J26" s="49" t="s">
        <v>384</v>
      </c>
      <c r="K26" s="49"/>
    </row>
    <row r="27" spans="1:14" ht="28.9">
      <c r="A27" s="41" t="str">
        <v>Commerce City - Adams City HS</v>
      </c>
      <c r="B27" s="42" t="str">
        <v>CO</v>
      </c>
      <c r="C27" s="35">
        <v>16174</v>
      </c>
      <c r="D27" s="36">
        <v>13789.06</v>
      </c>
      <c r="E27" s="36">
        <f t="shared" si="4"/>
        <v>2384.9400000000005</v>
      </c>
      <c r="F27" s="37">
        <f t="shared" si="0"/>
        <v>0.17295885288772408</v>
      </c>
      <c r="G27" s="38">
        <v>15090.74</v>
      </c>
      <c r="H27" s="38">
        <f t="shared" si="5"/>
        <v>1083.2600000000002</v>
      </c>
      <c r="I27" s="37">
        <f t="shared" si="6"/>
        <v>7.1783093473216042E-2</v>
      </c>
      <c r="J27" s="50" t="s">
        <v>385</v>
      </c>
      <c r="K27" s="51"/>
    </row>
    <row r="28" spans="1:14" ht="15.6">
      <c r="A28" s="43" t="str">
        <v>Commerce City - Adams City MS</v>
      </c>
      <c r="B28" s="40" t="str">
        <v>CO</v>
      </c>
      <c r="C28" s="28">
        <v>13401</v>
      </c>
      <c r="D28" s="29">
        <v>12529.32</v>
      </c>
      <c r="E28" s="29">
        <f t="shared" si="4"/>
        <v>871.68000000000029</v>
      </c>
      <c r="F28" s="30">
        <f t="shared" si="0"/>
        <v>6.9571213761002212E-2</v>
      </c>
      <c r="G28" s="31">
        <v>13271.79</v>
      </c>
      <c r="H28" s="31">
        <f t="shared" si="5"/>
        <v>129.20999999999913</v>
      </c>
      <c r="I28" s="32">
        <f t="shared" si="6"/>
        <v>9.7356874995761025E-3</v>
      </c>
      <c r="J28" s="49"/>
      <c r="K28" s="49"/>
    </row>
    <row r="29" spans="1:14" ht="15.6">
      <c r="A29" s="41" t="str">
        <v>Commerce City - Central ES</v>
      </c>
      <c r="B29" s="42" t="str">
        <v>CO</v>
      </c>
      <c r="C29" s="35">
        <v>3542.3</v>
      </c>
      <c r="D29" s="36">
        <v>3602.3339999999998</v>
      </c>
      <c r="E29" s="36">
        <f t="shared" si="4"/>
        <v>-60.033999999999651</v>
      </c>
      <c r="F29" s="37">
        <f t="shared" si="0"/>
        <v>-1.666530643743741E-2</v>
      </c>
      <c r="G29" s="38">
        <v>3901.3209999999999</v>
      </c>
      <c r="H29" s="38">
        <f t="shared" si="5"/>
        <v>-359.02099999999973</v>
      </c>
      <c r="I29" s="37">
        <f t="shared" si="6"/>
        <v>-9.2025495979438696E-2</v>
      </c>
      <c r="J29" s="50"/>
      <c r="K29" s="51"/>
    </row>
    <row r="30" spans="1:14" ht="15.6">
      <c r="A30" s="43" t="str">
        <v>Commerce City - Dupont ES</v>
      </c>
      <c r="B30" s="40" t="str">
        <v>CO</v>
      </c>
      <c r="C30" s="28">
        <v>10965</v>
      </c>
      <c r="D30" s="29">
        <v>10210.219999999999</v>
      </c>
      <c r="E30" s="29">
        <f t="shared" si="4"/>
        <v>754.78000000000065</v>
      </c>
      <c r="F30" s="30">
        <f t="shared" si="0"/>
        <v>7.3923970296428554E-2</v>
      </c>
      <c r="G30" s="31">
        <v>11266.63</v>
      </c>
      <c r="H30" s="31">
        <f t="shared" si="5"/>
        <v>-301.6299999999992</v>
      </c>
      <c r="I30" s="32">
        <f t="shared" si="6"/>
        <v>-2.6771980618871767E-2</v>
      </c>
      <c r="J30" s="49"/>
      <c r="K30" s="49"/>
    </row>
    <row r="31" spans="1:14" ht="15.6">
      <c r="A31" s="41" t="str">
        <v>Commerce City - Educational Support Services</v>
      </c>
      <c r="B31" s="42" t="str">
        <v>CO</v>
      </c>
      <c r="C31" s="35">
        <v>11410</v>
      </c>
      <c r="D31" s="36">
        <v>10530.03</v>
      </c>
      <c r="E31" s="36">
        <f t="shared" si="4"/>
        <v>879.96999999999935</v>
      </c>
      <c r="F31" s="37">
        <f t="shared" si="0"/>
        <v>8.3567663150057439E-2</v>
      </c>
      <c r="G31" s="38">
        <v>11500.14</v>
      </c>
      <c r="H31" s="38">
        <f t="shared" si="5"/>
        <v>-90.139999999999418</v>
      </c>
      <c r="I31" s="37">
        <f t="shared" si="6"/>
        <v>-7.8381654484205778E-3</v>
      </c>
      <c r="J31" s="50"/>
      <c r="K31" s="51"/>
    </row>
    <row r="32" spans="1:14" ht="15.6">
      <c r="A32" s="43" t="str">
        <v>Commerce City - Hanson ES</v>
      </c>
      <c r="B32" s="40" t="str">
        <v>CO</v>
      </c>
      <c r="C32" s="28">
        <v>14359</v>
      </c>
      <c r="D32" s="29">
        <v>13731.56</v>
      </c>
      <c r="E32" s="29">
        <f t="shared" si="4"/>
        <v>627.44000000000051</v>
      </c>
      <c r="F32" s="30">
        <f t="shared" si="0"/>
        <v>4.5693278840860073E-2</v>
      </c>
      <c r="G32" s="31">
        <v>15033.49</v>
      </c>
      <c r="H32" s="31">
        <f t="shared" si="5"/>
        <v>-674.48999999999978</v>
      </c>
      <c r="I32" s="32">
        <f t="shared" si="6"/>
        <v>-4.4865829557873771E-2</v>
      </c>
      <c r="J32" s="49"/>
      <c r="K32" s="49"/>
    </row>
    <row r="33" spans="1:15" ht="38.25" customHeight="1">
      <c r="A33" s="41" t="str">
        <v>Commerce City - Kemp ES</v>
      </c>
      <c r="B33" s="42" t="str">
        <v>CO</v>
      </c>
      <c r="C33" s="35">
        <v>12990</v>
      </c>
      <c r="D33" s="36">
        <v>13724.519</v>
      </c>
      <c r="E33" s="36">
        <f t="shared" si="4"/>
        <v>-734.51900000000023</v>
      </c>
      <c r="F33" s="37">
        <f t="shared" si="0"/>
        <v>-5.3518742624058459E-2</v>
      </c>
      <c r="G33" s="38">
        <v>14983.057000000001</v>
      </c>
      <c r="H33" s="38">
        <f t="shared" si="5"/>
        <v>-1993.0570000000007</v>
      </c>
      <c r="I33" s="37">
        <f t="shared" si="6"/>
        <v>-0.13302071800167353</v>
      </c>
      <c r="J33" s="50" t="s">
        <v>386</v>
      </c>
      <c r="K33" s="69" t="s">
        <v>387</v>
      </c>
      <c r="L33" s="95" t="s">
        <v>388</v>
      </c>
    </row>
    <row r="34" spans="1:15" ht="33.75" customHeight="1">
      <c r="A34" s="43" t="str">
        <v>Commerce City -  Lester Arnold HS</v>
      </c>
      <c r="B34" s="40" t="str">
        <v>CO</v>
      </c>
      <c r="C34" s="28">
        <v>6913.9989674151902</v>
      </c>
      <c r="D34" s="29">
        <v>13267.75</v>
      </c>
      <c r="E34" s="29">
        <f t="shared" si="4"/>
        <v>-6353.7510325848098</v>
      </c>
      <c r="F34" s="30">
        <f t="shared" si="0"/>
        <v>-0.47888685214786303</v>
      </c>
      <c r="G34" s="31">
        <v>14593.02</v>
      </c>
      <c r="H34" s="31">
        <f t="shared" si="5"/>
        <v>-7679.0210325848102</v>
      </c>
      <c r="I34" s="32">
        <f t="shared" si="6"/>
        <v>-0.52621191724432703</v>
      </c>
      <c r="J34" s="49" t="s">
        <v>389</v>
      </c>
      <c r="K34" s="67" t="s">
        <v>263</v>
      </c>
      <c r="L34" s="95" t="s">
        <v>264</v>
      </c>
      <c r="M34" s="95" t="s">
        <v>265</v>
      </c>
    </row>
    <row r="35" spans="1:15" ht="15.6">
      <c r="A35" s="41" t="str">
        <v>Commerce City - Monaco ES</v>
      </c>
      <c r="B35" s="42" t="str">
        <v>CO</v>
      </c>
      <c r="C35" s="35">
        <v>14801</v>
      </c>
      <c r="D35" s="36">
        <v>13731.98</v>
      </c>
      <c r="E35" s="36">
        <f t="shared" si="4"/>
        <v>1069.0200000000004</v>
      </c>
      <c r="F35" s="37">
        <f t="shared" si="0"/>
        <v>7.7848933657054586E-2</v>
      </c>
      <c r="G35" s="38">
        <v>15033.49</v>
      </c>
      <c r="H35" s="38">
        <f t="shared" si="5"/>
        <v>-232.48999999999978</v>
      </c>
      <c r="I35" s="37">
        <f t="shared" si="6"/>
        <v>-1.5464805577414146E-2</v>
      </c>
      <c r="J35" s="50"/>
      <c r="K35" s="51"/>
    </row>
    <row r="36" spans="1:15" ht="15.6">
      <c r="A36" s="43" t="str">
        <v>Denver - Northgate / Old Fort Logan ES</v>
      </c>
      <c r="B36" s="40" t="str">
        <v>CO</v>
      </c>
      <c r="C36" s="28">
        <v>13060.0000000002</v>
      </c>
      <c r="D36" s="29">
        <v>11944.08</v>
      </c>
      <c r="E36" s="29">
        <f t="shared" si="4"/>
        <v>1115.9200000002002</v>
      </c>
      <c r="F36" s="30">
        <f t="shared" ref="F36:F67" si="7">IFERROR(E36/D36, "")</f>
        <v>9.3428711127202774E-2</v>
      </c>
      <c r="G36" s="31">
        <v>13903.58</v>
      </c>
      <c r="H36" s="31">
        <f t="shared" si="5"/>
        <v>-843.57999999979984</v>
      </c>
      <c r="I36" s="32">
        <f t="shared" si="6"/>
        <v>-6.0673581911982369E-2</v>
      </c>
      <c r="J36" s="49"/>
      <c r="K36" s="49"/>
    </row>
    <row r="37" spans="1:15" ht="15.6">
      <c r="A37" s="41" t="str">
        <v>Denver - Sheridan High School</v>
      </c>
      <c r="B37" s="42" t="str">
        <v>CO</v>
      </c>
      <c r="C37" s="35">
        <v>15216</v>
      </c>
      <c r="D37" s="36">
        <v>13779.41</v>
      </c>
      <c r="E37" s="36">
        <f t="shared" si="4"/>
        <v>1436.5900000000001</v>
      </c>
      <c r="F37" s="37">
        <f t="shared" si="7"/>
        <v>0.1042562780264177</v>
      </c>
      <c r="G37" s="38">
        <v>13836.56</v>
      </c>
      <c r="H37" s="38">
        <f t="shared" si="5"/>
        <v>1379.4400000000005</v>
      </c>
      <c r="I37" s="37">
        <f t="shared" si="6"/>
        <v>9.9695299987858296E-2</v>
      </c>
      <c r="J37" s="50"/>
      <c r="K37" s="51"/>
    </row>
    <row r="38" spans="1:15" ht="15.6">
      <c r="A38" s="43" t="str">
        <v>Englewood -  Alice Terry Elementary</v>
      </c>
      <c r="B38" s="40" t="str">
        <v>CO</v>
      </c>
      <c r="C38" s="28">
        <v>14253</v>
      </c>
      <c r="D38" s="29">
        <v>13779.63</v>
      </c>
      <c r="E38" s="29">
        <f t="shared" ref="E38:E69" si="8">IF(AND(ISNUMBER(C38),ISNUMBER(D38)), C38-D38, "")</f>
        <v>473.3700000000008</v>
      </c>
      <c r="F38" s="30">
        <f t="shared" si="7"/>
        <v>3.4352881753719137E-2</v>
      </c>
      <c r="G38" s="31">
        <v>13903.58</v>
      </c>
      <c r="H38" s="31">
        <f t="shared" si="5"/>
        <v>349.42000000000007</v>
      </c>
      <c r="I38" s="32">
        <f t="shared" si="6"/>
        <v>2.5131656738768007E-2</v>
      </c>
      <c r="J38" s="49"/>
      <c r="K38" s="49"/>
    </row>
    <row r="39" spans="1:15" ht="15.6">
      <c r="A39" s="41" t="str">
        <v>Englewood - Sheridan Middle School</v>
      </c>
      <c r="B39" s="42" t="str">
        <v>CO</v>
      </c>
      <c r="C39" s="35">
        <v>8499</v>
      </c>
      <c r="D39" s="36">
        <v>8247.7080000000005</v>
      </c>
      <c r="E39" s="36">
        <f t="shared" si="8"/>
        <v>251.29199999999946</v>
      </c>
      <c r="F39" s="37">
        <f t="shared" si="7"/>
        <v>3.0468100956047357E-2</v>
      </c>
      <c r="G39" s="38">
        <v>8142.3590000000004</v>
      </c>
      <c r="H39" s="38">
        <f t="shared" si="5"/>
        <v>356.64099999999962</v>
      </c>
      <c r="I39" s="37">
        <f t="shared" si="6"/>
        <v>4.3800697070713733E-2</v>
      </c>
      <c r="J39" s="50"/>
      <c r="K39" s="51"/>
    </row>
    <row r="40" spans="1:15" ht="43.15">
      <c r="A40" s="43" t="str">
        <v>Goshen - NIPSCO</v>
      </c>
      <c r="B40" s="40" t="str">
        <v>IN</v>
      </c>
      <c r="C40" s="28">
        <v>53669</v>
      </c>
      <c r="D40" s="29">
        <v>58710.61</v>
      </c>
      <c r="E40" s="29">
        <f t="shared" si="8"/>
        <v>-5041.6100000000006</v>
      </c>
      <c r="F40" s="30">
        <f t="shared" si="7"/>
        <v>-8.5872212876003176E-2</v>
      </c>
      <c r="G40" s="31">
        <v>73604.12</v>
      </c>
      <c r="H40" s="31">
        <f t="shared" si="5"/>
        <v>-19935.119999999995</v>
      </c>
      <c r="I40" s="32">
        <f t="shared" si="6"/>
        <v>-0.27084244740647667</v>
      </c>
      <c r="J40" s="49" t="s">
        <v>390</v>
      </c>
      <c r="K40" s="67" t="s">
        <v>190</v>
      </c>
    </row>
    <row r="41" spans="1:15" ht="57.6">
      <c r="A41" s="41" t="str">
        <v>Alamogordo - City of Alamogordo - Effluent</v>
      </c>
      <c r="B41" s="42" t="str">
        <v>NM</v>
      </c>
      <c r="C41" s="35">
        <v>22995</v>
      </c>
      <c r="D41" s="36">
        <v>26789.919999999998</v>
      </c>
      <c r="E41" s="36">
        <f t="shared" si="8"/>
        <v>-3794.9199999999983</v>
      </c>
      <c r="F41" s="37">
        <f t="shared" si="7"/>
        <v>-0.14165477164545465</v>
      </c>
      <c r="G41" s="38">
        <v>33158.93</v>
      </c>
      <c r="H41" s="38">
        <f t="shared" si="5"/>
        <v>-10163.93</v>
      </c>
      <c r="I41" s="37">
        <f t="shared" si="6"/>
        <v>-0.30652165193508957</v>
      </c>
      <c r="J41" s="50" t="s">
        <v>391</v>
      </c>
      <c r="K41" s="68" t="s">
        <v>392</v>
      </c>
      <c r="L41" s="95" t="s">
        <v>393</v>
      </c>
    </row>
    <row r="42" spans="1:15" ht="39.6">
      <c r="A42" s="43" t="str">
        <v>Alamogordo - City of Alamogordo - WWTP</v>
      </c>
      <c r="B42" s="40" t="str">
        <v>NM</v>
      </c>
      <c r="C42" s="28">
        <v>85320</v>
      </c>
      <c r="D42" s="29">
        <v>1.390832E-2</v>
      </c>
      <c r="E42" s="29">
        <f t="shared" si="8"/>
        <v>85319.986091679995</v>
      </c>
      <c r="F42" s="30">
        <f t="shared" si="7"/>
        <v>6134456.648371622</v>
      </c>
      <c r="G42" s="31">
        <v>140619.9</v>
      </c>
      <c r="H42" s="31">
        <f t="shared" si="5"/>
        <v>-55299.899999999994</v>
      </c>
      <c r="I42" s="32">
        <f t="shared" si="6"/>
        <v>-0.39325799548996976</v>
      </c>
      <c r="J42" s="49" t="s">
        <v>271</v>
      </c>
      <c r="K42" s="67" t="s">
        <v>272</v>
      </c>
      <c r="L42" s="95" t="s">
        <v>273</v>
      </c>
      <c r="M42" s="95" t="s">
        <v>274</v>
      </c>
    </row>
    <row r="43" spans="1:15" ht="43.15">
      <c r="A43" s="41" t="str">
        <v>Deming - Bilbo Booster</v>
      </c>
      <c r="B43" s="42" t="str">
        <v>NM</v>
      </c>
      <c r="C43" s="35">
        <v>10162</v>
      </c>
      <c r="D43" s="36">
        <v>0</v>
      </c>
      <c r="E43" s="36">
        <f t="shared" si="8"/>
        <v>10162</v>
      </c>
      <c r="F43" s="37" t="str">
        <f t="shared" si="7"/>
        <v/>
      </c>
      <c r="G43" s="38">
        <v>13292.43</v>
      </c>
      <c r="H43" s="38">
        <f t="shared" si="5"/>
        <v>-3130.4300000000003</v>
      </c>
      <c r="I43" s="37">
        <f t="shared" si="6"/>
        <v>-0.23550471960356384</v>
      </c>
      <c r="J43" s="50" t="s">
        <v>394</v>
      </c>
      <c r="K43" s="68" t="s">
        <v>395</v>
      </c>
      <c r="L43" s="95" t="s">
        <v>396</v>
      </c>
    </row>
    <row r="44" spans="1:15" ht="28.9">
      <c r="A44" s="43" t="str">
        <v>Deming - Bilbo Well</v>
      </c>
      <c r="B44" s="40" t="str">
        <v>NM</v>
      </c>
      <c r="C44" s="28">
        <v>22028</v>
      </c>
      <c r="D44" s="29">
        <v>0</v>
      </c>
      <c r="E44" s="29">
        <f t="shared" si="8"/>
        <v>22028</v>
      </c>
      <c r="F44" s="30" t="str">
        <f t="shared" si="7"/>
        <v/>
      </c>
      <c r="G44" s="31">
        <v>24028.99</v>
      </c>
      <c r="H44" s="31">
        <f t="shared" si="5"/>
        <v>-2000.9900000000016</v>
      </c>
      <c r="I44" s="32">
        <f t="shared" si="6"/>
        <v>-8.3273995286526875E-2</v>
      </c>
      <c r="J44" s="49" t="s">
        <v>277</v>
      </c>
      <c r="K44" s="67" t="s">
        <v>278</v>
      </c>
    </row>
    <row r="45" spans="1:15" ht="39.6">
      <c r="A45" s="41" t="str">
        <v>Deming - WWTP</v>
      </c>
      <c r="B45" s="42" t="str">
        <v>NM</v>
      </c>
      <c r="C45" s="35">
        <v>81020</v>
      </c>
      <c r="D45" s="36">
        <v>74196.2</v>
      </c>
      <c r="E45" s="36">
        <f t="shared" si="8"/>
        <v>6823.8000000000029</v>
      </c>
      <c r="F45" s="37">
        <f t="shared" si="7"/>
        <v>9.1969669605721088E-2</v>
      </c>
      <c r="G45" s="38">
        <v>96020.479999999996</v>
      </c>
      <c r="H45" s="38">
        <f t="shared" ref="H45:H76" si="9">IF(AND(ISNUMBER(C45),ISNUMBER(G45)), C45-G45, "")</f>
        <v>-15000.479999999996</v>
      </c>
      <c r="I45" s="37">
        <f t="shared" ref="I45:I76" si="10">IFERROR(H45/G45, "")</f>
        <v>-0.15622167270982187</v>
      </c>
      <c r="J45" s="60" t="s">
        <v>397</v>
      </c>
      <c r="K45" s="69" t="s">
        <v>398</v>
      </c>
      <c r="L45" s="95" t="s">
        <v>399</v>
      </c>
    </row>
    <row r="46" spans="1:15" ht="129.6">
      <c r="A46" s="43" t="str">
        <v>Truth or Consequences - Walmart</v>
      </c>
      <c r="B46" s="40" t="str">
        <v>NM</v>
      </c>
      <c r="C46" s="28">
        <v>162900</v>
      </c>
      <c r="D46" s="29">
        <v>362661.9</v>
      </c>
      <c r="E46" s="29">
        <f t="shared" si="8"/>
        <v>-199761.90000000002</v>
      </c>
      <c r="F46" s="30">
        <f t="shared" si="7"/>
        <v>-0.55082130215498237</v>
      </c>
      <c r="G46" s="31">
        <v>202400.8</v>
      </c>
      <c r="H46" s="31">
        <f t="shared" si="9"/>
        <v>-39500.799999999988</v>
      </c>
      <c r="I46" s="32">
        <f t="shared" si="10"/>
        <v>-0.19516128394749424</v>
      </c>
      <c r="J46" s="49" t="s">
        <v>400</v>
      </c>
      <c r="K46" s="67" t="s">
        <v>401</v>
      </c>
      <c r="L46" s="95" t="s">
        <v>402</v>
      </c>
      <c r="M46" s="95" t="s">
        <v>403</v>
      </c>
      <c r="N46" s="95" t="s">
        <v>283</v>
      </c>
      <c r="O46" s="95" t="s">
        <v>203</v>
      </c>
    </row>
    <row r="47" spans="1:15" ht="43.15">
      <c r="A47" s="41" t="str">
        <v>CA: Stockton - SUSD - Merlo</v>
      </c>
      <c r="B47" s="42" t="str">
        <v>CA</v>
      </c>
      <c r="C47" s="35">
        <v>758.37481208867405</v>
      </c>
      <c r="D47" s="36">
        <v>12488.86</v>
      </c>
      <c r="E47" s="36">
        <f t="shared" si="8"/>
        <v>-11730.485187911327</v>
      </c>
      <c r="F47" s="37">
        <f t="shared" si="7"/>
        <v>-0.93927589771294784</v>
      </c>
      <c r="G47" s="38">
        <v>19393.2</v>
      </c>
      <c r="H47" s="38">
        <f t="shared" si="9"/>
        <v>-18634.825187911327</v>
      </c>
      <c r="I47" s="37">
        <f t="shared" si="10"/>
        <v>-0.96089480786622761</v>
      </c>
      <c r="J47" s="60" t="s">
        <v>284</v>
      </c>
      <c r="K47" s="75" t="s">
        <v>285</v>
      </c>
    </row>
    <row r="48" spans="1:15" ht="72">
      <c r="A48" s="43" t="str">
        <v>Stockton Unified School Dist. - Bush Elementary</v>
      </c>
      <c r="B48" s="40" t="str">
        <v>CA</v>
      </c>
      <c r="C48" s="28">
        <v>27159</v>
      </c>
      <c r="D48" s="29">
        <v>40520.576999999997</v>
      </c>
      <c r="E48" s="29">
        <f t="shared" si="8"/>
        <v>-13361.576999999997</v>
      </c>
      <c r="F48" s="30">
        <f t="shared" si="7"/>
        <v>-0.32974794509959715</v>
      </c>
      <c r="G48" s="31">
        <v>41018.271000000001</v>
      </c>
      <c r="H48" s="31">
        <f t="shared" si="9"/>
        <v>-13859.271000000001</v>
      </c>
      <c r="I48" s="32">
        <f t="shared" si="10"/>
        <v>-0.3378804289434823</v>
      </c>
      <c r="J48" s="49" t="s">
        <v>404</v>
      </c>
      <c r="K48" s="67" t="s">
        <v>287</v>
      </c>
      <c r="L48" s="95" t="s">
        <v>288</v>
      </c>
    </row>
    <row r="49" spans="1:14" ht="43.15">
      <c r="A49" s="41" t="str">
        <v>CA: Stockton - SUSD - Marshall JHS</v>
      </c>
      <c r="B49" s="42" t="str">
        <v>CA</v>
      </c>
      <c r="C49" s="35">
        <v>8862.875</v>
      </c>
      <c r="D49" s="36">
        <v>26362.83</v>
      </c>
      <c r="E49" s="36">
        <f t="shared" si="8"/>
        <v>-17499.955000000002</v>
      </c>
      <c r="F49" s="37">
        <f t="shared" si="7"/>
        <v>-0.6638117000337217</v>
      </c>
      <c r="G49" s="38">
        <v>27213.82</v>
      </c>
      <c r="H49" s="38">
        <f t="shared" si="9"/>
        <v>-18350.945</v>
      </c>
      <c r="I49" s="37">
        <f t="shared" si="10"/>
        <v>-0.67432447925355576</v>
      </c>
      <c r="J49" s="60" t="s">
        <v>405</v>
      </c>
      <c r="K49" s="75" t="s">
        <v>290</v>
      </c>
    </row>
    <row r="50" spans="1:14" ht="57.6">
      <c r="A50" s="43" t="str">
        <v>CA: Stockton - SUSD - Hong-Kingston ES</v>
      </c>
      <c r="B50" s="40" t="str">
        <v>CA</v>
      </c>
      <c r="C50" s="28">
        <v>12004</v>
      </c>
      <c r="D50" s="29">
        <v>44134.75</v>
      </c>
      <c r="E50" s="29">
        <f t="shared" si="8"/>
        <v>-32130.75</v>
      </c>
      <c r="F50" s="30">
        <f t="shared" si="7"/>
        <v>-0.72801477293969041</v>
      </c>
      <c r="G50" s="31">
        <v>44138.66</v>
      </c>
      <c r="H50" s="31">
        <f t="shared" si="9"/>
        <v>-32134.660000000003</v>
      </c>
      <c r="I50" s="32">
        <f t="shared" si="10"/>
        <v>-0.72803886660809369</v>
      </c>
      <c r="J50" s="49" t="s">
        <v>406</v>
      </c>
      <c r="K50" s="67" t="s">
        <v>292</v>
      </c>
    </row>
    <row r="51" spans="1:14" ht="15.6">
      <c r="A51" s="41" t="str">
        <v>CA: Stockton - SUSD - Hamilton ES</v>
      </c>
      <c r="B51" s="42" t="str">
        <v>CA</v>
      </c>
      <c r="C51" s="35">
        <v>7114.625</v>
      </c>
      <c r="D51" s="36">
        <v>22870.41</v>
      </c>
      <c r="E51" s="36">
        <f t="shared" si="8"/>
        <v>-15755.785</v>
      </c>
      <c r="F51" s="37">
        <f t="shared" si="7"/>
        <v>-0.68891572123105793</v>
      </c>
      <c r="G51" s="38">
        <v>23396.54</v>
      </c>
      <c r="H51" s="38">
        <f t="shared" si="9"/>
        <v>-16281.915000000001</v>
      </c>
      <c r="I51" s="37">
        <f t="shared" si="10"/>
        <v>-0.69591123302847346</v>
      </c>
      <c r="J51" s="50" t="s">
        <v>407</v>
      </c>
      <c r="K51" s="69" t="s">
        <v>294</v>
      </c>
    </row>
    <row r="52" spans="1:14" ht="100.9">
      <c r="A52" s="43" t="str">
        <v>CA: Stockton - SUSD - Franklin - North</v>
      </c>
      <c r="B52" s="40" t="str">
        <v>CA</v>
      </c>
      <c r="C52" s="28">
        <v>32153.25</v>
      </c>
      <c r="D52" s="29">
        <v>101097.1</v>
      </c>
      <c r="E52" s="29">
        <f t="shared" si="8"/>
        <v>-68943.850000000006</v>
      </c>
      <c r="F52" s="30">
        <f t="shared" si="7"/>
        <v>-0.68195675246866627</v>
      </c>
      <c r="G52" s="31">
        <v>61943.14</v>
      </c>
      <c r="H52" s="31">
        <f t="shared" si="9"/>
        <v>-29789.89</v>
      </c>
      <c r="I52" s="32">
        <f t="shared" si="10"/>
        <v>-0.48092314984355006</v>
      </c>
      <c r="J52" s="49" t="s">
        <v>408</v>
      </c>
      <c r="K52" s="67" t="s">
        <v>409</v>
      </c>
      <c r="L52" s="95" t="s">
        <v>298</v>
      </c>
      <c r="M52" s="95" t="s">
        <v>297</v>
      </c>
      <c r="N52" s="95" t="s">
        <v>317</v>
      </c>
    </row>
    <row r="53" spans="1:14" ht="15.6">
      <c r="A53" s="41" t="str">
        <v>Stockton Unified School Dist. - Fillmore Elementary</v>
      </c>
      <c r="B53" s="42" t="str">
        <v>CA</v>
      </c>
      <c r="C53" s="35">
        <v>4989.5</v>
      </c>
      <c r="D53" s="36">
        <v>18516.7</v>
      </c>
      <c r="E53" s="36">
        <f t="shared" si="8"/>
        <v>-13527.2</v>
      </c>
      <c r="F53" s="37">
        <f t="shared" si="7"/>
        <v>-0.73054053908093775</v>
      </c>
      <c r="G53" s="38">
        <v>18704.5</v>
      </c>
      <c r="H53" s="38">
        <f t="shared" si="9"/>
        <v>-13715</v>
      </c>
      <c r="I53" s="37">
        <f t="shared" si="10"/>
        <v>-0.73324601031837255</v>
      </c>
      <c r="J53" s="50" t="s">
        <v>410</v>
      </c>
      <c r="K53" s="69" t="s">
        <v>300</v>
      </c>
    </row>
    <row r="54" spans="1:14" ht="28.9">
      <c r="A54" s="43" t="str">
        <v>CA: Stockton - SUSD - El Dorado ES</v>
      </c>
      <c r="B54" s="40" t="str">
        <v>CA</v>
      </c>
      <c r="C54" s="28">
        <v>5944.75</v>
      </c>
      <c r="D54" s="29">
        <v>24303.11</v>
      </c>
      <c r="E54" s="29">
        <f t="shared" si="8"/>
        <v>-18358.36</v>
      </c>
      <c r="F54" s="30">
        <f t="shared" si="7"/>
        <v>-0.75539138818036045</v>
      </c>
      <c r="G54" s="31">
        <v>0</v>
      </c>
      <c r="H54" s="31">
        <f t="shared" si="9"/>
        <v>5944.75</v>
      </c>
      <c r="I54" s="32" t="str">
        <f t="shared" si="10"/>
        <v/>
      </c>
      <c r="J54" s="49" t="s">
        <v>411</v>
      </c>
      <c r="K54" s="67" t="s">
        <v>412</v>
      </c>
    </row>
    <row r="55" spans="1:14" ht="43.15">
      <c r="A55" s="41" t="str">
        <v>CA: Stockton - SUSD - Edison HS</v>
      </c>
      <c r="B55" s="42" t="str">
        <v>CA</v>
      </c>
      <c r="C55" s="35">
        <v>46049.5</v>
      </c>
      <c r="D55" s="36">
        <v>62768.43</v>
      </c>
      <c r="E55" s="36">
        <f t="shared" si="8"/>
        <v>-16718.93</v>
      </c>
      <c r="F55" s="37">
        <f t="shared" si="7"/>
        <v>-0.26635890048548289</v>
      </c>
      <c r="G55" s="38">
        <v>64104.39</v>
      </c>
      <c r="H55" s="38">
        <f t="shared" si="9"/>
        <v>-18054.89</v>
      </c>
      <c r="I55" s="37">
        <f t="shared" si="10"/>
        <v>-0.28164826153091854</v>
      </c>
      <c r="J55" s="60" t="s">
        <v>413</v>
      </c>
      <c r="K55" s="75" t="s">
        <v>414</v>
      </c>
    </row>
    <row r="56" spans="1:14" ht="57.6">
      <c r="A56" s="43" t="str">
        <v>CA: Stockton - SUSD - Chavez HS - Large</v>
      </c>
      <c r="B56" s="40" t="str">
        <v>CA</v>
      </c>
      <c r="C56" s="28">
        <v>42316</v>
      </c>
      <c r="D56" s="29">
        <v>137020.79999999999</v>
      </c>
      <c r="E56" s="29">
        <f t="shared" si="8"/>
        <v>-94704.799999999988</v>
      </c>
      <c r="F56" s="30">
        <f t="shared" si="7"/>
        <v>-0.69117097550152962</v>
      </c>
      <c r="G56" s="31">
        <v>134209.5</v>
      </c>
      <c r="H56" s="31">
        <f t="shared" si="9"/>
        <v>-91893.5</v>
      </c>
      <c r="I56" s="32">
        <f t="shared" si="10"/>
        <v>-0.68470190262239261</v>
      </c>
      <c r="J56" s="49" t="s">
        <v>415</v>
      </c>
      <c r="K56" s="67" t="s">
        <v>416</v>
      </c>
    </row>
    <row r="57" spans="1:14" ht="28.9">
      <c r="A57" s="41" t="str">
        <v>CA: San Jose - GE Mobile Water</v>
      </c>
      <c r="B57" s="42" t="str">
        <v>CA</v>
      </c>
      <c r="C57" s="35">
        <v>30650</v>
      </c>
      <c r="D57" s="36">
        <v>34545</v>
      </c>
      <c r="E57" s="36">
        <f t="shared" si="8"/>
        <v>-3895</v>
      </c>
      <c r="F57" s="37">
        <f t="shared" si="7"/>
        <v>-0.11275148357215227</v>
      </c>
      <c r="G57" s="38">
        <v>34995.040000000001</v>
      </c>
      <c r="H57" s="38">
        <f t="shared" si="9"/>
        <v>-4345.0400000000009</v>
      </c>
      <c r="I57" s="37">
        <f t="shared" si="10"/>
        <v>-0.12416159547181546</v>
      </c>
      <c r="J57" s="60" t="s">
        <v>417</v>
      </c>
      <c r="K57" s="75" t="s">
        <v>310</v>
      </c>
    </row>
    <row r="58" spans="1:14" ht="15.6">
      <c r="A58" s="43" t="str">
        <v>CA: San Marcos - Vallecitos Water - Lift Station</v>
      </c>
      <c r="B58" s="40" t="str">
        <v>CA</v>
      </c>
      <c r="C58" s="28">
        <v>43839.374999999804</v>
      </c>
      <c r="D58" s="29">
        <v>44822.83</v>
      </c>
      <c r="E58" s="29">
        <f t="shared" si="8"/>
        <v>-983.4550000001982</v>
      </c>
      <c r="F58" s="30">
        <f t="shared" si="7"/>
        <v>-2.1940939472143952E-2</v>
      </c>
      <c r="G58" s="31">
        <v>40781.5</v>
      </c>
      <c r="H58" s="31">
        <f t="shared" si="9"/>
        <v>3057.8749999998035</v>
      </c>
      <c r="I58" s="32">
        <f t="shared" si="10"/>
        <v>7.4981915819668316E-2</v>
      </c>
      <c r="J58" s="49"/>
      <c r="K58" s="49"/>
    </row>
    <row r="59" spans="1:14" ht="43.15">
      <c r="A59" s="41" t="str">
        <v>CA: San Marcos - Vallecitos Water - Twin Oaks Reservoir</v>
      </c>
      <c r="B59" s="42" t="str">
        <v>CA</v>
      </c>
      <c r="C59" s="35">
        <v>322309</v>
      </c>
      <c r="D59" s="36">
        <v>342298.7</v>
      </c>
      <c r="E59" s="36">
        <f t="shared" si="8"/>
        <v>-19989.700000000012</v>
      </c>
      <c r="F59" s="37">
        <f t="shared" si="7"/>
        <v>-5.8398410511053683E-2</v>
      </c>
      <c r="G59" s="38">
        <v>265194</v>
      </c>
      <c r="H59" s="38">
        <f t="shared" si="9"/>
        <v>57115</v>
      </c>
      <c r="I59" s="37">
        <f t="shared" si="10"/>
        <v>0.21537063432807679</v>
      </c>
      <c r="J59" s="60" t="s">
        <v>418</v>
      </c>
      <c r="K59" s="75" t="s">
        <v>419</v>
      </c>
      <c r="L59" s="95" t="s">
        <v>420</v>
      </c>
    </row>
    <row r="60" spans="1:14" ht="28.9">
      <c r="A60" s="43" t="str">
        <v>CA: Stockton - SUSD - Wilhelmina Henry ES</v>
      </c>
      <c r="B60" s="40" t="str">
        <v>CA</v>
      </c>
      <c r="C60" s="28">
        <v>9050</v>
      </c>
      <c r="D60" s="29">
        <v>52630.76</v>
      </c>
      <c r="E60" s="29">
        <f t="shared" si="8"/>
        <v>-43580.76</v>
      </c>
      <c r="F60" s="30">
        <f t="shared" si="7"/>
        <v>-0.82804732441636797</v>
      </c>
      <c r="G60" s="31">
        <v>43197.49</v>
      </c>
      <c r="H60" s="31">
        <f t="shared" si="9"/>
        <v>-34147.49</v>
      </c>
      <c r="I60" s="32">
        <f t="shared" si="10"/>
        <v>-0.79049708675203123</v>
      </c>
      <c r="J60" s="49" t="s">
        <v>421</v>
      </c>
      <c r="K60" s="67" t="s">
        <v>314</v>
      </c>
    </row>
    <row r="61" spans="1:14" ht="15.6" hidden="1">
      <c r="A61" s="41" t="str">
        <v>Stockton Unified School Dist. - Franklin (North)</v>
      </c>
      <c r="B61" s="42" t="str">
        <v>CA</v>
      </c>
      <c r="C61" s="35">
        <v>32153.200000000001</v>
      </c>
      <c r="D61" s="36">
        <v>101097.1</v>
      </c>
      <c r="E61" s="36">
        <f t="shared" si="8"/>
        <v>-68943.900000000009</v>
      </c>
      <c r="F61" s="37">
        <f t="shared" si="7"/>
        <v>-0.68195724704269467</v>
      </c>
      <c r="G61" s="38">
        <v>61549.4</v>
      </c>
      <c r="H61" s="38">
        <f t="shared" si="9"/>
        <v>-29396.2</v>
      </c>
      <c r="I61" s="37">
        <f t="shared" si="10"/>
        <v>-0.47760335600347037</v>
      </c>
      <c r="J61" s="50"/>
      <c r="K61" s="51"/>
    </row>
    <row r="62" spans="1:14" ht="57.6">
      <c r="A62" s="43" t="str">
        <v>CA: Stockton - SUSD - Franklin - South</v>
      </c>
      <c r="B62" s="40" t="str">
        <v>CA</v>
      </c>
      <c r="C62" s="28">
        <v>44241</v>
      </c>
      <c r="D62" s="29">
        <v>103754.7</v>
      </c>
      <c r="E62" s="29">
        <f t="shared" si="8"/>
        <v>-59513.7</v>
      </c>
      <c r="F62" s="30">
        <f t="shared" si="7"/>
        <v>-0.57360003932351977</v>
      </c>
      <c r="G62" s="31">
        <v>100033.1</v>
      </c>
      <c r="H62" s="31">
        <f t="shared" si="9"/>
        <v>-55792.100000000006</v>
      </c>
      <c r="I62" s="32">
        <f t="shared" si="10"/>
        <v>-0.55773638925515656</v>
      </c>
      <c r="J62" s="49" t="s">
        <v>422</v>
      </c>
      <c r="K62" s="67" t="s">
        <v>423</v>
      </c>
      <c r="L62" s="95" t="s">
        <v>424</v>
      </c>
    </row>
    <row r="63" spans="1:14" ht="28.9">
      <c r="A63" s="41" t="str">
        <v>CA: Stockton - SUSD - Chavez HS - Small</v>
      </c>
      <c r="B63" s="42" t="str">
        <v>CA</v>
      </c>
      <c r="C63" s="35">
        <v>26171</v>
      </c>
      <c r="D63" s="36">
        <v>25981.72</v>
      </c>
      <c r="E63" s="36">
        <f t="shared" si="8"/>
        <v>189.27999999999884</v>
      </c>
      <c r="F63" s="37">
        <f t="shared" si="7"/>
        <v>7.2851220011607709E-3</v>
      </c>
      <c r="G63" s="38">
        <v>37931.24</v>
      </c>
      <c r="H63" s="38">
        <f t="shared" si="9"/>
        <v>-11760.239999999998</v>
      </c>
      <c r="I63" s="37">
        <f t="shared" si="10"/>
        <v>-0.3100410110505219</v>
      </c>
      <c r="J63" s="60" t="s">
        <v>425</v>
      </c>
      <c r="K63" s="75" t="s">
        <v>322</v>
      </c>
    </row>
    <row r="64" spans="1:14" ht="43.15">
      <c r="A64" s="43" t="str">
        <v>CA: Stockton - SUSD - Facilities</v>
      </c>
      <c r="B64" s="40" t="str">
        <v>CA</v>
      </c>
      <c r="C64" s="28">
        <v>23947.5</v>
      </c>
      <c r="D64" s="29">
        <v>58896.19</v>
      </c>
      <c r="E64" s="29">
        <f t="shared" si="8"/>
        <v>-34948.69</v>
      </c>
      <c r="F64" s="30">
        <f t="shared" si="7"/>
        <v>-0.59339475100172012</v>
      </c>
      <c r="G64" s="31">
        <v>64415.55</v>
      </c>
      <c r="H64" s="31">
        <f t="shared" si="9"/>
        <v>-40468.050000000003</v>
      </c>
      <c r="I64" s="32">
        <f t="shared" si="10"/>
        <v>-0.62823417637511436</v>
      </c>
      <c r="J64" s="49" t="s">
        <v>426</v>
      </c>
      <c r="K64" s="67" t="s">
        <v>427</v>
      </c>
    </row>
    <row r="65" spans="1:14" ht="15.6">
      <c r="A65" s="41" t="str">
        <v>CA: Stockton - SUSD - Harrison</v>
      </c>
      <c r="B65" s="42" t="str">
        <v>CA</v>
      </c>
      <c r="C65" s="35">
        <v>16318.875</v>
      </c>
      <c r="D65" s="36">
        <v>23563.83</v>
      </c>
      <c r="E65" s="36">
        <f t="shared" si="8"/>
        <v>-7244.9550000000017</v>
      </c>
      <c r="F65" s="37">
        <f t="shared" si="7"/>
        <v>-0.30746084146762226</v>
      </c>
      <c r="G65" s="38">
        <v>23068.04</v>
      </c>
      <c r="H65" s="38">
        <f t="shared" si="9"/>
        <v>-6749.1650000000009</v>
      </c>
      <c r="I65" s="37">
        <f t="shared" si="10"/>
        <v>-0.29257643909062064</v>
      </c>
      <c r="J65" s="50" t="s">
        <v>428</v>
      </c>
      <c r="K65" s="69" t="s">
        <v>326</v>
      </c>
    </row>
    <row r="66" spans="1:14" ht="15.6">
      <c r="A66" s="43" t="str">
        <v>CA: Stockton - SUSD - Commodore Skills School</v>
      </c>
      <c r="B66" s="40" t="str">
        <v>CA</v>
      </c>
      <c r="C66" s="28">
        <v>7429.25</v>
      </c>
      <c r="D66" s="29">
        <v>47012.17</v>
      </c>
      <c r="E66" s="29">
        <f t="shared" si="8"/>
        <v>-39582.92</v>
      </c>
      <c r="F66" s="30">
        <f t="shared" si="7"/>
        <v>-0.84197177028841685</v>
      </c>
      <c r="G66" s="31">
        <v>50211.37</v>
      </c>
      <c r="H66" s="31">
        <f t="shared" si="9"/>
        <v>-42782.12</v>
      </c>
      <c r="I66" s="32">
        <f t="shared" si="10"/>
        <v>-0.8520404840576945</v>
      </c>
      <c r="J66" s="49" t="s">
        <v>429</v>
      </c>
      <c r="K66" s="67" t="s">
        <v>328</v>
      </c>
    </row>
    <row r="67" spans="1:14" ht="15.6">
      <c r="A67" s="41" t="str">
        <v>CA: Stockton - SUSD - Nightingale ES</v>
      </c>
      <c r="B67" s="42" t="str">
        <v>CA</v>
      </c>
      <c r="C67" s="35">
        <v>20610</v>
      </c>
      <c r="D67" s="36">
        <v>22926.99</v>
      </c>
      <c r="E67" s="36">
        <f t="shared" si="8"/>
        <v>-2316.9900000000016</v>
      </c>
      <c r="F67" s="37">
        <f t="shared" si="7"/>
        <v>-0.10105949363610318</v>
      </c>
      <c r="G67" s="38">
        <v>23244.69</v>
      </c>
      <c r="H67" s="38">
        <f t="shared" si="9"/>
        <v>-2634.6899999999987</v>
      </c>
      <c r="I67" s="37">
        <f t="shared" si="10"/>
        <v>-0.11334588673800335</v>
      </c>
      <c r="J67" s="50" t="s">
        <v>430</v>
      </c>
      <c r="K67" s="69" t="s">
        <v>431</v>
      </c>
    </row>
    <row r="68" spans="1:14" ht="43.15">
      <c r="A68" s="43" t="str">
        <v>CA: Stockton - SUSD - Weber Institute</v>
      </c>
      <c r="B68" s="40" t="str">
        <v>CA</v>
      </c>
      <c r="C68" s="28">
        <v>8929</v>
      </c>
      <c r="D68" s="29">
        <v>46891.05</v>
      </c>
      <c r="E68" s="29">
        <f t="shared" si="8"/>
        <v>-37962.050000000003</v>
      </c>
      <c r="F68" s="30">
        <f t="shared" ref="F68:F85" si="11">IFERROR(E68/D68, "")</f>
        <v>-0.80957986652037006</v>
      </c>
      <c r="G68" s="31">
        <v>48030.57</v>
      </c>
      <c r="H68" s="31">
        <f t="shared" si="9"/>
        <v>-39101.57</v>
      </c>
      <c r="I68" s="32">
        <f t="shared" si="10"/>
        <v>-0.81409756328105209</v>
      </c>
      <c r="J68" s="49" t="s">
        <v>432</v>
      </c>
      <c r="K68" s="67" t="s">
        <v>330</v>
      </c>
    </row>
    <row r="69" spans="1:14" ht="28.9">
      <c r="A69" s="41" t="str">
        <v>CA: Stockton - SUSD - Warehouse</v>
      </c>
      <c r="B69" s="42" t="str">
        <v>CA</v>
      </c>
      <c r="C69" s="35">
        <v>21128.5</v>
      </c>
      <c r="D69" s="36">
        <v>40830.93</v>
      </c>
      <c r="E69" s="36">
        <f t="shared" si="8"/>
        <v>-19702.43</v>
      </c>
      <c r="F69" s="37">
        <f t="shared" si="11"/>
        <v>-0.48253689053861865</v>
      </c>
      <c r="G69" s="38">
        <v>45438.47</v>
      </c>
      <c r="H69" s="38">
        <f t="shared" si="9"/>
        <v>-24309.97</v>
      </c>
      <c r="I69" s="37">
        <f t="shared" si="10"/>
        <v>-0.53500855112419055</v>
      </c>
      <c r="J69" s="50" t="s">
        <v>433</v>
      </c>
      <c r="K69" s="68" t="s">
        <v>332</v>
      </c>
    </row>
    <row r="70" spans="1:14" ht="15.6">
      <c r="A70" s="43" t="str">
        <v>CA: Stockton - SUSD - Walton Special Center</v>
      </c>
      <c r="B70" s="40" t="str">
        <v>CA</v>
      </c>
      <c r="C70" s="28">
        <v>15581.75</v>
      </c>
      <c r="D70" s="29">
        <v>32541.88</v>
      </c>
      <c r="E70" s="29">
        <f t="shared" ref="E70:E85" si="12">IF(AND(ISNUMBER(C70),ISNUMBER(D70)), C70-D70, "")</f>
        <v>-16960.13</v>
      </c>
      <c r="F70" s="30">
        <f t="shared" si="11"/>
        <v>-0.5211785551418664</v>
      </c>
      <c r="G70" s="31">
        <v>33433.1</v>
      </c>
      <c r="H70" s="31">
        <f t="shared" si="9"/>
        <v>-17851.349999999999</v>
      </c>
      <c r="I70" s="32">
        <f t="shared" si="10"/>
        <v>-0.53394241036577517</v>
      </c>
      <c r="J70" s="49" t="s">
        <v>434</v>
      </c>
      <c r="K70" s="67" t="s">
        <v>334</v>
      </c>
    </row>
    <row r="71" spans="1:14" ht="57.6">
      <c r="A71" s="41" t="str">
        <v>CA: Stockton - SUSD - Stagg HS</v>
      </c>
      <c r="B71" s="42" t="str">
        <v>CA</v>
      </c>
      <c r="C71" s="35">
        <v>88074</v>
      </c>
      <c r="D71" s="36">
        <v>126185.60000000001</v>
      </c>
      <c r="E71" s="36">
        <f t="shared" si="12"/>
        <v>-38111.600000000006</v>
      </c>
      <c r="F71" s="37">
        <f t="shared" si="11"/>
        <v>-0.30202812365277815</v>
      </c>
      <c r="G71" s="38">
        <v>125723.9</v>
      </c>
      <c r="H71" s="38">
        <f t="shared" si="9"/>
        <v>-37649.899999999994</v>
      </c>
      <c r="I71" s="37">
        <f t="shared" si="10"/>
        <v>-0.29946493864730567</v>
      </c>
      <c r="J71" s="50" t="s">
        <v>435</v>
      </c>
      <c r="K71" s="75" t="s">
        <v>436</v>
      </c>
      <c r="L71" s="95" t="s">
        <v>437</v>
      </c>
    </row>
    <row r="72" spans="1:14" ht="28.9">
      <c r="A72" s="43" t="str">
        <v>CA: Stockton - SUSD - School for Adults</v>
      </c>
      <c r="B72" s="40" t="str">
        <v>CA</v>
      </c>
      <c r="C72" s="28">
        <v>10147.125</v>
      </c>
      <c r="D72" s="29">
        <v>27297.15</v>
      </c>
      <c r="E72" s="29">
        <f t="shared" si="12"/>
        <v>-17150.025000000001</v>
      </c>
      <c r="F72" s="30">
        <f t="shared" si="11"/>
        <v>-0.62827163275286979</v>
      </c>
      <c r="G72" s="31">
        <v>27157</v>
      </c>
      <c r="H72" s="31">
        <f t="shared" si="9"/>
        <v>-17009.875</v>
      </c>
      <c r="I72" s="32">
        <f t="shared" si="10"/>
        <v>-0.62635324225798139</v>
      </c>
      <c r="J72" s="49" t="s">
        <v>438</v>
      </c>
      <c r="K72" s="67" t="s">
        <v>338</v>
      </c>
    </row>
    <row r="73" spans="1:14" ht="28.9">
      <c r="A73" s="41" t="str">
        <v>CA: Stockton - SUSD - San Joaquin</v>
      </c>
      <c r="B73" s="42" t="str">
        <v>CA</v>
      </c>
      <c r="C73" s="35">
        <v>13454.25</v>
      </c>
      <c r="D73" s="36">
        <v>25185.05</v>
      </c>
      <c r="E73" s="36">
        <f t="shared" si="12"/>
        <v>-11730.8</v>
      </c>
      <c r="F73" s="37">
        <f t="shared" si="11"/>
        <v>-0.46578426487142172</v>
      </c>
      <c r="G73" s="38">
        <v>25998.9</v>
      </c>
      <c r="H73" s="38">
        <f t="shared" si="9"/>
        <v>-12544.650000000001</v>
      </c>
      <c r="I73" s="37">
        <f t="shared" si="10"/>
        <v>-0.48250695221720924</v>
      </c>
      <c r="J73" s="101" t="s">
        <v>439</v>
      </c>
      <c r="K73" s="95" t="s">
        <v>340</v>
      </c>
    </row>
    <row r="74" spans="1:14" ht="28.9">
      <c r="A74" s="43" t="str">
        <v>CA: Stockton - SUSD - Rio Calaveras</v>
      </c>
      <c r="B74" s="40" t="str">
        <v>CA</v>
      </c>
      <c r="C74" s="28">
        <v>6553.25</v>
      </c>
      <c r="D74" s="29">
        <v>27326.26</v>
      </c>
      <c r="E74" s="29">
        <f t="shared" si="12"/>
        <v>-20773.009999999998</v>
      </c>
      <c r="F74" s="30">
        <f t="shared" si="11"/>
        <v>-0.76018489174881598</v>
      </c>
      <c r="G74" s="31">
        <v>0</v>
      </c>
      <c r="H74" s="31">
        <f t="shared" si="9"/>
        <v>6553.25</v>
      </c>
      <c r="I74" s="32" t="str">
        <f t="shared" si="10"/>
        <v/>
      </c>
      <c r="J74" s="49" t="s">
        <v>440</v>
      </c>
      <c r="K74" s="67" t="s">
        <v>342</v>
      </c>
    </row>
    <row r="75" spans="1:14" ht="15.6">
      <c r="A75" s="41" t="str">
        <v>CA: Stockton - SUSD - Peyton</v>
      </c>
      <c r="B75" s="42" t="str">
        <v>CA</v>
      </c>
      <c r="C75" s="35">
        <v>47637.5</v>
      </c>
      <c r="D75" s="36">
        <v>56484.35</v>
      </c>
      <c r="E75" s="36">
        <f t="shared" si="12"/>
        <v>-8846.8499999999985</v>
      </c>
      <c r="F75" s="37">
        <f t="shared" si="11"/>
        <v>-0.15662479961263603</v>
      </c>
      <c r="G75" s="38">
        <v>56075.34</v>
      </c>
      <c r="H75" s="38">
        <f t="shared" si="9"/>
        <v>-8437.8399999999965</v>
      </c>
      <c r="I75" s="37">
        <f t="shared" si="10"/>
        <v>-0.15047327399174035</v>
      </c>
      <c r="J75" s="13" t="s">
        <v>441</v>
      </c>
      <c r="K75" s="103" t="s">
        <v>344</v>
      </c>
    </row>
    <row r="76" spans="1:14" ht="100.9">
      <c r="A76" s="43" t="str">
        <v>TX: Barnhart - 42917 Ranch RD 2469</v>
      </c>
      <c r="B76" s="40" t="str">
        <v>TX</v>
      </c>
      <c r="C76" s="28">
        <v>241800</v>
      </c>
      <c r="D76" s="29">
        <v>278659.20000000001</v>
      </c>
      <c r="E76" s="29">
        <f t="shared" si="12"/>
        <v>-36859.200000000012</v>
      </c>
      <c r="F76" s="30">
        <f t="shared" si="11"/>
        <v>-0.13227340062700249</v>
      </c>
      <c r="G76" s="31">
        <v>285140.40000000002</v>
      </c>
      <c r="H76" s="31">
        <f t="shared" si="9"/>
        <v>-43340.400000000023</v>
      </c>
      <c r="I76" s="32">
        <f t="shared" si="10"/>
        <v>-0.15199670057277054</v>
      </c>
      <c r="J76" s="49" t="s">
        <v>442</v>
      </c>
      <c r="K76" s="67" t="s">
        <v>443</v>
      </c>
      <c r="L76" s="95" t="s">
        <v>444</v>
      </c>
      <c r="M76" s="95" t="s">
        <v>444</v>
      </c>
      <c r="N76" s="95" t="s">
        <v>445</v>
      </c>
    </row>
    <row r="77" spans="1:14" ht="72">
      <c r="A77" s="41" t="str">
        <v>AZ: San Manuel - Senior &amp; Junior HS</v>
      </c>
      <c r="B77" s="42" t="str">
        <v>AZ</v>
      </c>
      <c r="C77" s="35">
        <v>36060</v>
      </c>
      <c r="D77" s="36" t="s">
        <v>43</v>
      </c>
      <c r="E77" s="36" t="str">
        <f t="shared" si="12"/>
        <v/>
      </c>
      <c r="F77" s="37" t="str">
        <f t="shared" si="11"/>
        <v/>
      </c>
      <c r="G77" s="38">
        <v>48892</v>
      </c>
      <c r="H77" s="38">
        <f t="shared" ref="H77:H85" si="13">IF(AND(ISNUMBER(C77),ISNUMBER(G77)), C77-G77, "")</f>
        <v>-12832</v>
      </c>
      <c r="I77" s="37">
        <f t="shared" ref="I77:I85" si="14">IFERROR(H77/G77, "")</f>
        <v>-0.2624560255256484</v>
      </c>
      <c r="J77" s="50" t="s">
        <v>446</v>
      </c>
      <c r="K77" s="68" t="s">
        <v>447</v>
      </c>
      <c r="L77" s="95" t="s">
        <v>448</v>
      </c>
    </row>
    <row r="78" spans="1:14" ht="72">
      <c r="A78" s="43" t="str">
        <v>AZ: Sierra Vista - Colonel Smith MS</v>
      </c>
      <c r="B78" s="40" t="str">
        <v>AZ</v>
      </c>
      <c r="C78" s="28">
        <v>41600</v>
      </c>
      <c r="D78" s="29">
        <v>66229.38</v>
      </c>
      <c r="E78" s="29">
        <f t="shared" si="12"/>
        <v>-24629.380000000005</v>
      </c>
      <c r="F78" s="30">
        <f t="shared" si="11"/>
        <v>-0.37187997230232267</v>
      </c>
      <c r="G78" s="31">
        <v>60155.22</v>
      </c>
      <c r="H78" s="31">
        <f t="shared" si="13"/>
        <v>-18555.22</v>
      </c>
      <c r="I78" s="32">
        <f t="shared" si="14"/>
        <v>-0.30845569179200077</v>
      </c>
      <c r="J78" s="49" t="s">
        <v>449</v>
      </c>
      <c r="K78" s="67" t="s">
        <v>450</v>
      </c>
    </row>
    <row r="79" spans="1:14" ht="43.15">
      <c r="A79" s="41" t="str">
        <v>AZ: Sierra Vista - Colonel Johnston ES</v>
      </c>
      <c r="B79" s="42" t="str">
        <v>AZ</v>
      </c>
      <c r="C79" s="35">
        <v>13160</v>
      </c>
      <c r="D79" s="36">
        <v>22045.48</v>
      </c>
      <c r="E79" s="36">
        <f t="shared" si="12"/>
        <v>-8885.48</v>
      </c>
      <c r="F79" s="37">
        <f t="shared" si="11"/>
        <v>-0.40305223565102688</v>
      </c>
      <c r="G79" s="38">
        <v>19695.87</v>
      </c>
      <c r="H79" s="38">
        <f t="shared" si="13"/>
        <v>-6535.869999999999</v>
      </c>
      <c r="I79" s="37">
        <f t="shared" si="14"/>
        <v>-0.33183961916889171</v>
      </c>
      <c r="J79" s="50" t="s">
        <v>451</v>
      </c>
      <c r="K79" s="68" t="s">
        <v>452</v>
      </c>
    </row>
    <row r="80" spans="1:14" ht="57.6">
      <c r="A80" s="43" t="str">
        <v>NH: Dover - Dover HS</v>
      </c>
      <c r="B80" s="40" t="str">
        <v>NH</v>
      </c>
      <c r="C80" s="28">
        <v>99181.5</v>
      </c>
      <c r="D80" s="29">
        <v>147489.60000000001</v>
      </c>
      <c r="E80" s="29">
        <f t="shared" si="12"/>
        <v>-48308.100000000006</v>
      </c>
      <c r="F80" s="30">
        <f t="shared" si="11"/>
        <v>-0.32753563641097411</v>
      </c>
      <c r="G80" s="31">
        <v>137072.1</v>
      </c>
      <c r="H80" s="31">
        <f t="shared" si="13"/>
        <v>-37890.600000000006</v>
      </c>
      <c r="I80" s="32">
        <f t="shared" si="14"/>
        <v>-0.27642824469749866</v>
      </c>
      <c r="J80" s="49" t="s">
        <v>453</v>
      </c>
      <c r="K80" s="67" t="s">
        <v>454</v>
      </c>
    </row>
    <row r="81" spans="1:13" ht="72">
      <c r="A81" s="41" t="str">
        <v>MA: Somerville - 30 Inner Belt Rd</v>
      </c>
      <c r="B81" s="42" t="str">
        <v>MA</v>
      </c>
      <c r="C81" s="35">
        <v>106125.5</v>
      </c>
      <c r="D81" s="36">
        <v>103334</v>
      </c>
      <c r="E81" s="36">
        <f t="shared" si="12"/>
        <v>2791.5</v>
      </c>
      <c r="F81" s="37">
        <f t="shared" si="11"/>
        <v>2.7014341842955852E-2</v>
      </c>
      <c r="G81" s="38">
        <v>197445.3</v>
      </c>
      <c r="H81" s="38">
        <f t="shared" si="13"/>
        <v>-91319.799999999988</v>
      </c>
      <c r="I81" s="37">
        <f t="shared" si="14"/>
        <v>-0.46250683100585321</v>
      </c>
      <c r="J81" s="50" t="s">
        <v>455</v>
      </c>
      <c r="K81" s="51"/>
    </row>
    <row r="82" spans="1:13" ht="100.9">
      <c r="A82" s="43" t="str">
        <v>MA: Boxborough - 1414 Massachusetts Ave</v>
      </c>
      <c r="B82" s="40" t="str">
        <v>MA</v>
      </c>
      <c r="C82" s="28">
        <v>709647.91685864795</v>
      </c>
      <c r="D82" s="29">
        <v>202302.4</v>
      </c>
      <c r="E82" s="29">
        <f t="shared" si="12"/>
        <v>507345.51685864793</v>
      </c>
      <c r="F82" s="30">
        <f t="shared" si="11"/>
        <v>2.5078571329783923</v>
      </c>
      <c r="G82" s="31">
        <v>751000</v>
      </c>
      <c r="H82" s="31">
        <f t="shared" si="13"/>
        <v>-41352.08314135205</v>
      </c>
      <c r="I82" s="32">
        <f t="shared" si="14"/>
        <v>-5.5062693929896205E-2</v>
      </c>
      <c r="J82" s="49" t="s">
        <v>456</v>
      </c>
      <c r="K82" s="67" t="s">
        <v>457</v>
      </c>
      <c r="L82" s="95" t="s">
        <v>458</v>
      </c>
    </row>
    <row r="83" spans="1:13" ht="72">
      <c r="A83" s="41" t="str">
        <v>NY: Amsterdam - 153 NY Route 67</v>
      </c>
      <c r="B83" s="42" t="str">
        <v>NY</v>
      </c>
      <c r="C83" s="35">
        <v>402490</v>
      </c>
      <c r="D83" s="36">
        <v>305334.7</v>
      </c>
      <c r="E83" s="36">
        <f t="shared" si="12"/>
        <v>97155.299999999988</v>
      </c>
      <c r="F83" s="37">
        <f t="shared" si="11"/>
        <v>0.31819278974843013</v>
      </c>
      <c r="G83" s="38">
        <v>390058.8</v>
      </c>
      <c r="H83" s="38">
        <f t="shared" si="13"/>
        <v>12431.200000000012</v>
      </c>
      <c r="I83" s="37">
        <f t="shared" si="14"/>
        <v>3.187006676942044E-2</v>
      </c>
      <c r="J83" s="50" t="s">
        <v>459</v>
      </c>
      <c r="K83" s="69" t="s">
        <v>460</v>
      </c>
      <c r="L83" s="95" t="s">
        <v>461</v>
      </c>
      <c r="M83" s="95" t="s">
        <v>462</v>
      </c>
    </row>
    <row r="84" spans="1:13" ht="15.6">
      <c r="A84" s="43" t="str">
        <v>CA: San Jose - GE Mobile Water</v>
      </c>
      <c r="B84" s="40" t="str">
        <v>CA</v>
      </c>
      <c r="C84" s="28">
        <v>30650</v>
      </c>
      <c r="D84" s="29">
        <v>34545.004999999997</v>
      </c>
      <c r="E84" s="29">
        <f t="shared" si="12"/>
        <v>-3895.0049999999974</v>
      </c>
      <c r="F84" s="30">
        <f t="shared" si="11"/>
        <v>-0.11275161199137176</v>
      </c>
      <c r="G84" s="31">
        <v>34698.832000000002</v>
      </c>
      <c r="H84" s="31">
        <f t="shared" si="13"/>
        <v>-4048.8320000000022</v>
      </c>
      <c r="I84" s="32">
        <f t="shared" si="14"/>
        <v>-0.11668496507317601</v>
      </c>
      <c r="J84" s="49" t="s">
        <v>463</v>
      </c>
      <c r="K84" s="67" t="s">
        <v>310</v>
      </c>
    </row>
    <row r="85" spans="1:13" ht="72">
      <c r="A85" s="41" t="str">
        <v>NY: Rome - 7776 Tannery RD</v>
      </c>
      <c r="B85" s="42" t="str">
        <v>NY</v>
      </c>
      <c r="C85" s="35">
        <v>372090.384558074</v>
      </c>
      <c r="D85" s="36">
        <v>415567.5</v>
      </c>
      <c r="E85" s="36">
        <f t="shared" si="12"/>
        <v>-43477.115441925998</v>
      </c>
      <c r="F85" s="37">
        <f t="shared" si="11"/>
        <v>-0.10462106743651993</v>
      </c>
      <c r="G85" s="38">
        <v>430656.3</v>
      </c>
      <c r="H85" s="38">
        <f t="shared" si="13"/>
        <v>-58565.915441925987</v>
      </c>
      <c r="I85" s="37">
        <f t="shared" si="14"/>
        <v>-0.13599224124185805</v>
      </c>
      <c r="J85" s="50" t="s">
        <v>464</v>
      </c>
      <c r="K85" s="75" t="s">
        <v>465</v>
      </c>
      <c r="L85" s="95" t="s">
        <v>466</v>
      </c>
      <c r="M85" s="95" t="s">
        <v>467</v>
      </c>
    </row>
    <row r="86" spans="1:13" ht="14.45">
      <c r="A86" s="8"/>
      <c r="B86" s="13"/>
      <c r="C86" s="8"/>
      <c r="D86" s="8"/>
      <c r="E86" s="8"/>
      <c r="F86" s="9"/>
      <c r="G86" s="8"/>
      <c r="H86" s="8"/>
      <c r="I86" s="9"/>
      <c r="J86" s="8"/>
      <c r="K86" s="8"/>
    </row>
    <row r="87" spans="1:13" ht="14.45">
      <c r="A87" s="8"/>
      <c r="B87" s="13"/>
      <c r="C87" s="8"/>
      <c r="D87" s="8"/>
      <c r="E87" s="8"/>
      <c r="F87" s="9"/>
      <c r="G87" s="8"/>
      <c r="H87" s="8"/>
      <c r="I87" s="9"/>
      <c r="J87" s="8"/>
      <c r="K87" s="8"/>
    </row>
    <row r="88" spans="1:13" ht="14.45">
      <c r="A88" s="8"/>
      <c r="B88" s="13"/>
      <c r="C88" s="8"/>
      <c r="D88" s="8"/>
      <c r="E88" s="8"/>
      <c r="F88" s="9"/>
      <c r="G88" s="8"/>
      <c r="H88" s="8"/>
      <c r="I88" s="9"/>
      <c r="J88" s="8"/>
      <c r="K88" s="8"/>
    </row>
    <row r="89" spans="1:13" ht="14.45">
      <c r="A89" s="8"/>
      <c r="B89" s="13"/>
      <c r="C89" s="8"/>
      <c r="D89" s="8"/>
      <c r="E89" s="8"/>
      <c r="F89" s="9"/>
      <c r="G89" s="8"/>
      <c r="H89" s="8"/>
      <c r="I89" s="9"/>
      <c r="J89" s="8"/>
      <c r="K89" s="8"/>
    </row>
    <row r="90" spans="1:13" ht="14.45">
      <c r="A90" s="8"/>
      <c r="B90" s="13"/>
      <c r="C90" s="8"/>
      <c r="D90" s="8"/>
      <c r="E90" s="8"/>
      <c r="F90" s="9"/>
      <c r="G90" s="8"/>
      <c r="H90" s="8"/>
      <c r="I90" s="9"/>
      <c r="J90" s="8"/>
      <c r="K90" s="8"/>
    </row>
    <row r="91" spans="1:13" ht="14.45">
      <c r="A91" s="8"/>
      <c r="B91" s="13"/>
      <c r="C91" s="8"/>
      <c r="D91" s="8"/>
      <c r="E91" s="8"/>
      <c r="F91" s="9"/>
      <c r="G91" s="8"/>
      <c r="H91" s="8"/>
      <c r="I91" s="9"/>
      <c r="J91" s="8"/>
      <c r="K91" s="8"/>
    </row>
    <row r="92" spans="1:13" ht="14.45">
      <c r="A92" s="8"/>
      <c r="B92" s="13"/>
      <c r="C92" s="8"/>
      <c r="D92" s="8"/>
      <c r="E92" s="8"/>
      <c r="F92" s="9"/>
      <c r="G92" s="8"/>
      <c r="H92" s="8"/>
      <c r="I92" s="9"/>
      <c r="J92" s="8"/>
      <c r="K92" s="8"/>
    </row>
    <row r="93" spans="1:13" ht="14.45">
      <c r="A93" s="8"/>
      <c r="B93" s="13"/>
      <c r="C93" s="8"/>
      <c r="D93" s="8"/>
      <c r="E93" s="8"/>
      <c r="F93" s="9"/>
      <c r="G93" s="8"/>
      <c r="H93" s="8"/>
      <c r="I93" s="9"/>
      <c r="J93" s="8"/>
      <c r="K93" s="8"/>
    </row>
    <row r="94" spans="1:13" ht="14.45">
      <c r="A94" s="8"/>
      <c r="B94" s="13"/>
      <c r="C94" s="8"/>
      <c r="D94" s="8"/>
      <c r="E94" s="8"/>
      <c r="F94" s="9"/>
      <c r="G94" s="8"/>
      <c r="H94" s="8"/>
      <c r="I94" s="9"/>
      <c r="J94" s="8"/>
      <c r="K94" s="8"/>
    </row>
    <row r="95" spans="1:13" ht="14.45">
      <c r="A95" s="8"/>
      <c r="B95" s="13"/>
      <c r="C95" s="8"/>
      <c r="D95" s="8"/>
      <c r="E95" s="8"/>
      <c r="F95" s="9"/>
      <c r="G95" s="8"/>
      <c r="H95" s="8"/>
      <c r="I95" s="9"/>
      <c r="J95" s="8"/>
      <c r="K95" s="8"/>
    </row>
    <row r="96" spans="1:13"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hyperlinks>
    <hyperlink ref="K4" r:id="rId1" display="https://us3.assetplanner.com/service_request?ID=099290" xr:uid="{C42FE1D8-B412-4565-994A-3340F93D690D}"/>
    <hyperlink ref="K5" r:id="rId2" display="https://us3.assetplanner.com/service_request?ID=101243" xr:uid="{369679B9-8C0D-433C-AA5A-C37F4F5F52D3}"/>
    <hyperlink ref="L5" r:id="rId3" display="https://us3.assetplanner.com/service_request?ID=101243" xr:uid="{32FF4CA8-5E35-46CD-A36E-CA76E6647AE9}"/>
    <hyperlink ref="M5" r:id="rId4" display="https://us3.assetplanner.com/service_request?ID=101243" xr:uid="{4C5ADB48-ADF6-439A-91A1-91038128DB92}"/>
    <hyperlink ref="N5" r:id="rId5" display="https://us3.assetplanner.com/service_request?ID=101243" xr:uid="{3766B05D-0F64-47D9-936C-8A668C54081B}"/>
    <hyperlink ref="O5" r:id="rId6" display="https://us3.assetplanner.com/service_request?ID=101245" xr:uid="{EF2683E8-E8BA-4470-AE30-A218C826DEE7}"/>
    <hyperlink ref="P5" r:id="rId7" display="https://us3.assetplanner.com/service_request?ID=104647" xr:uid="{92757F62-D0BC-4CD1-B84E-9FF0937858B2}"/>
    <hyperlink ref="K6" r:id="rId8" display="https://us3.assetplanner.com/service_request?ID=103481" xr:uid="{B071CBAD-1FFA-48DB-8201-D4DC9FBCB5E6}"/>
    <hyperlink ref="K7" r:id="rId9" display="https://us3.assetplanner.com/service_request?ID=096262" xr:uid="{9B3A2A90-C292-46D9-B51C-62780BD2101B}"/>
    <hyperlink ref="L7" r:id="rId10" display="https://us3.assetplanner.com/service_request?ID=099066" xr:uid="{0067E70B-98B4-44D5-A8C8-35AB920FD079}"/>
    <hyperlink ref="K8" r:id="rId11" display="https://us3.assetplanner.com/service_request?ID=098870" xr:uid="{103F916B-2A58-40AC-A6E9-D62AD07EA1C5}"/>
    <hyperlink ref="L8" r:id="rId12" display="https://us3.assetplanner.com/service_request?ID=099461" xr:uid="{E1F37A72-2136-486C-9FA0-E362EA044CFE}"/>
    <hyperlink ref="K9" r:id="rId13" display="https://us3.assetplanner.com/service_request?ID=104023" xr:uid="{1DAC33BE-2B1E-4C6D-91E0-33A284627ECC}"/>
    <hyperlink ref="L9" r:id="rId14" display="https://us3.assetplanner.com/service_request?ID=104137" xr:uid="{4DA63ED2-3DA8-4BF8-AB90-DCB9E20B130D}"/>
    <hyperlink ref="M9" r:id="rId15" display="https://us3.assetplanner.com/service_request?ID=102343" xr:uid="{C7F46740-5919-4CE4-BE49-D71CB7091E42}"/>
    <hyperlink ref="K11" r:id="rId16" display="https://us3.assetplanner.com/service_request?ID=105212" xr:uid="{BC17F5E7-A9B5-4411-AE25-F41CEF1A2DB5}"/>
    <hyperlink ref="K12" r:id="rId17" display="https://us3.assetplanner.com/service_request?ID=102644" xr:uid="{28EC41EF-55DB-4EA4-8783-409308F687E8}"/>
    <hyperlink ref="L12" r:id="rId18" display="https://us3.assetplanner.com/service_request?ID=102209" xr:uid="{B0C2E597-CD04-4AA7-B241-CB76848E0375}"/>
    <hyperlink ref="K13" r:id="rId19" display="https://us3.assetplanner.com/service_request?ID=103184" xr:uid="{2FAF1BC3-A0CE-46B8-987E-ED5C284BFF57}"/>
    <hyperlink ref="K14" r:id="rId20" display="https://us3.assetplanner.com/service_request?ID=103740" xr:uid="{F6025F3D-6B62-40F7-BA16-C01809456BCA}"/>
    <hyperlink ref="L14" r:id="rId21" display="https://us3.assetplanner.com/service_request?ID=103900" xr:uid="{47793776-5CBE-42E5-9B3F-FDADC8E417B1}"/>
    <hyperlink ref="K15" r:id="rId22" display="https://us3.assetplanner.com/service_request?ID=101919" xr:uid="{6FB392D8-6AA0-42A5-907C-F47DE6F3A82A}"/>
    <hyperlink ref="K16" r:id="rId23" display="https://us3.assetplanner.com/service_request?ID=104742" xr:uid="{2FF17297-7FC8-4B0B-8CC6-084A9DB50013}"/>
    <hyperlink ref="L16" r:id="rId24" display="https://us3.assetplanner.com/service_request?ID=103239" xr:uid="{443B65DB-0F7B-4B00-961A-08341FADA1CB}"/>
    <hyperlink ref="K17" r:id="rId25" display="https://us3.assetplanner.com/service_request?ID=103048" xr:uid="{CC98913A-5C82-4F88-8E00-52BFDDF7EB93}"/>
    <hyperlink ref="K18" r:id="rId26" display="https://us3.assetplanner.com/service_request?ID=103686" xr:uid="{CE6EAEB6-16E3-454A-80EF-199B43504C3E}"/>
    <hyperlink ref="L18" r:id="rId27" display="https://us3.assetplanner.com/service_request?ID=101068" xr:uid="{C7430B0E-7A1A-4E96-961F-787F039F42F5}"/>
    <hyperlink ref="K19" r:id="rId28" display="https://us3.assetplanner.com/service_request?ID=099730" xr:uid="{2392DAD7-9F32-495D-8938-6925A4B0232A}"/>
    <hyperlink ref="K20" r:id="rId29" display="https://us3.assetplanner.com/service_request?ID=103950" xr:uid="{D1CB54FA-DED8-4748-ADEF-B5BF2B6C79E3}"/>
    <hyperlink ref="K21" r:id="rId30" display="https://us3.assetplanner.com/service_request?ID=102316" xr:uid="{7D53AB55-036F-4A0B-9679-E0B776822BD3}"/>
    <hyperlink ref="L21" r:id="rId31" display="https://us3.assetplanner.com/service_request?ID=099500" xr:uid="{B19C9E1D-6840-4206-8A55-4291EC10B3EF}"/>
    <hyperlink ref="M21" r:id="rId32" display="https://us3.assetplanner.com/service_request?ID=098016" xr:uid="{08055C8E-1CDB-404F-8255-96E66B7C3DE7}"/>
    <hyperlink ref="K22" r:id="rId33" display="https://us3.assetplanner.com/service_request?ID=103914" xr:uid="{8F79F0AA-01C0-47BD-B149-F2987C58F3EE}"/>
    <hyperlink ref="L22" r:id="rId34" display="https://us3.assetplanner.com/service_request?ID= 09801" xr:uid="{E2440381-12F0-49FF-B3C2-3FD3A77B68FB}"/>
    <hyperlink ref="K24" r:id="rId35" display="https://us3.assetplanner.com/service_request?ID=103124" xr:uid="{43CA431C-D91F-405D-9D7B-0CC742C19BFA}"/>
    <hyperlink ref="K25" r:id="rId36" display="https://us3.assetplanner.com/service_request?ID=104147" xr:uid="{AFD93A22-2294-4AD9-8964-067F6EF8AEB3}"/>
    <hyperlink ref="L25" r:id="rId37" display="https://us3.assetplanner.com/service_request?ID=104192" xr:uid="{E2A52ED8-CD3A-464A-9F45-DF3894C64D3B}"/>
    <hyperlink ref="M25" r:id="rId38" display="https://us3.assetplanner.com/service_request?ID=102794" xr:uid="{49784ACA-C994-4292-8DEE-444A3648BCD0}"/>
    <hyperlink ref="N25" r:id="rId39" display="https://us3.assetplanner.com/service_request?ID=103335" xr:uid="{5916FB34-9A26-441D-BD2F-F762CD470C25}"/>
    <hyperlink ref="K33" r:id="rId40" display="https://us3.assetplanner.com/service_request?ID=102723" xr:uid="{F1702514-C740-40A3-BDB8-86B9F32BAD79}"/>
    <hyperlink ref="L33" r:id="rId41" display="https://us3.assetplanner.com/service_request?ID=105641" xr:uid="{F88B700B-EEB4-40B4-9AF2-F6CD05A40572}"/>
    <hyperlink ref="K34" r:id="rId42" display="https://us3.assetplanner.com/service_request?ID=103375" xr:uid="{4E9F10AB-0172-4161-9665-A2824F363BFC}"/>
    <hyperlink ref="L34" r:id="rId43" display="https://us3.assetplanner.com/service_request?ID=100883" xr:uid="{2E79F873-7E3D-4891-873D-F76036652BC7}"/>
    <hyperlink ref="M34" r:id="rId44" display="https://us3.assetplanner.com/service_request?ID=103638" xr:uid="{B27D083B-324B-4753-B52D-559113922CF2}"/>
    <hyperlink ref="K40" r:id="rId45" display="https://us3.assetplanner.com/service_request?ID=101963" xr:uid="{D4EAC85F-822E-4651-8C24-504C4AD47489}"/>
    <hyperlink ref="K41" r:id="rId46" display="https://us3.assetplanner.com/service_request?ID=101818" xr:uid="{86AB9047-74BD-49CF-A25B-D51E67318A43}"/>
    <hyperlink ref="L41" r:id="rId47" display="https://us3.assetplanner.com/service_request?ID=105205" xr:uid="{3A903B06-1B5B-4FEC-8BA9-5B504963C316}"/>
    <hyperlink ref="K42" r:id="rId48" display="https://us3.assetplanner.com/service_request?ID=101034" xr:uid="{BDE6483C-95C2-4BE8-951B-882B3138FE41}"/>
    <hyperlink ref="L42" r:id="rId49" display="https://us3.assetplanner.com/service_request?ID=103779" xr:uid="{BEAC930D-0D28-4B07-8D72-0DA7052924BF}"/>
    <hyperlink ref="M42" r:id="rId50" display="https://us3.assetplanner.com/service_request?ID=102621" xr:uid="{A1B9BF50-867A-48EB-B544-5234438A5865}"/>
    <hyperlink ref="K43" r:id="rId51" display="https://us3.assetplanner.com/service_request?ID=101021" xr:uid="{45940EB9-4278-40C6-A1CC-C4E8E6E4FA69}"/>
    <hyperlink ref="L43" r:id="rId52" display="https://us3.assetplanner.com/service_request?ID=104390" xr:uid="{B2539259-1851-4416-8760-862484F7DB11}"/>
    <hyperlink ref="K44" r:id="rId53" display="https://us3.assetplanner.com/service_request?ID=100915" xr:uid="{BA7CB92F-38F4-4AE0-8DFB-00B8869E376B}"/>
    <hyperlink ref="K45" r:id="rId54" display="https://us3.assetplanner.com/service_request?ID=105366" xr:uid="{88F0E004-4F07-4EC2-833E-E0719AD2E4BB}"/>
    <hyperlink ref="L45" r:id="rId55" display="https://us3.assetplanner.com/service_request?ID=101100" xr:uid="{BE75CF64-62F2-49DC-905E-27314DECFE7F}"/>
    <hyperlink ref="K46" r:id="rId56" display="https://us3.assetplanner.com/service_request?ID=105192" xr:uid="{A43BCA30-1E08-4412-8F8A-8C1136773F92}"/>
    <hyperlink ref="L46" r:id="rId57" display="https://us3.assetplanner.com/service_request?ID=104170" xr:uid="{1DEF71D7-6F61-4633-8B57-831AC207AA5C}"/>
    <hyperlink ref="M46" r:id="rId58" display="https://us3.assetplanner.com/service_request?ID=104643" xr:uid="{6BF0E7E4-15A7-4116-A339-2A7BEA97677A}"/>
    <hyperlink ref="N46" r:id="rId59" display="https://us3.assetplanner.com/service_request?ID=103517" xr:uid="{B99BE8E3-47D2-41C2-B8E0-6F2A1087F0B2}"/>
    <hyperlink ref="O46" r:id="rId60" display="https://us3.assetplanner.com/service_request?ID=101057" xr:uid="{9DB7DDB5-1747-438B-8A7E-4939174D7D45}"/>
    <hyperlink ref="K47" r:id="rId61" display="https://us3.assetplanner.com/service_request?ID=102419" xr:uid="{565204F6-3B15-4FC1-89FB-D1C3E0382C10}"/>
    <hyperlink ref="K48" r:id="rId62" display="https://us3.assetplanner.com/service_request?ID=103160" xr:uid="{CD1B06C9-2D30-4557-AE41-F5FAB5260C5F}"/>
    <hyperlink ref="L48" r:id="rId63" display="https://us3.assetplanner.com/service_request?ID=102283" xr:uid="{FC4C003E-BFFB-4505-9786-CEBD996BB6D3}"/>
    <hyperlink ref="K49" r:id="rId64" display="https://us3.assetplanner.com/service_request?ID=102418" xr:uid="{588AE965-76B0-44CC-9E77-D0F0A91885CB}"/>
    <hyperlink ref="K50" r:id="rId65" display="https://us3.assetplanner.com/service_request?ID=102416" xr:uid="{53E8C285-82CC-4248-9BCE-7F5EE7F41C33}"/>
    <hyperlink ref="K51" r:id="rId66" display="https://us3.assetplanner.com/service_request?ID=102392" xr:uid="{72AE1CFF-B0D6-4A3C-A3B7-A35FC2EE8215}"/>
    <hyperlink ref="K52" r:id="rId67" display="https://us3.assetplanner.com/service_request?ID=104882" xr:uid="{DD4D8073-DEE3-4D1C-8629-9E166C6C7B71}"/>
    <hyperlink ref="L52" r:id="rId68" display="https://us3.assetplanner.com/service_request?ID=103636" xr:uid="{38BC84DC-0B5F-4CD4-8473-7DBD2B5AFA73}"/>
    <hyperlink ref="M52" r:id="rId69" display="https://us3.assetplanner.com/service_request?ID=102321" xr:uid="{701F6338-C714-4DCD-BA4B-F6E79F5E5D48}"/>
    <hyperlink ref="N52" r:id="rId70" display="https://us3.assetplanner.com/service_request?ID=102539" xr:uid="{5D56BA36-0BBB-41E9-AEF0-089FE5D34803}"/>
    <hyperlink ref="K53" r:id="rId71" display="https://us3.assetplanner.com/service_request?ID=102320" xr:uid="{96D9D2E3-C80D-4AF3-A1E0-9566A34CCC5B}"/>
    <hyperlink ref="K54" r:id="rId72" display="https://us3.assetplanner.com/service_request?ID=102317" xr:uid="{FC736E63-9DA5-448E-8423-BA1AA6FF0A90}"/>
    <hyperlink ref="K55" r:id="rId73" display="https://us3.assetplanner.com/service_request?ID=102315" xr:uid="{04987751-90EE-4AF7-B8BD-8DF1868BDB14}"/>
    <hyperlink ref="K56" r:id="rId74" display="https://us3.assetplanner.com/service_request?ID=102286" xr:uid="{DC71DDA4-38D4-4343-88C2-21655F4E2AC2}"/>
    <hyperlink ref="K57" r:id="rId75" display="https://us3.assetplanner.com/service_request?ID=102281" xr:uid="{C7D3AC0A-EDC3-4B6E-8688-3DF62553A041}"/>
    <hyperlink ref="K59" r:id="rId76" display="https://us3.assetplanner.com/service_request?ID=102503" xr:uid="{A8648C57-C715-4E44-B724-656633C88729}"/>
    <hyperlink ref="L59" r:id="rId77" display="https://us3.assetplanner.com/service_request?ID=101986" xr:uid="{752118AD-15CF-4A92-8AA6-A741CC57B99E}"/>
    <hyperlink ref="K60" r:id="rId78" display="https://us3.assetplanner.com/service_request?ID=102451" xr:uid="{71BEADC9-553D-4156-8CE0-FCD981FD16F3}"/>
    <hyperlink ref="K62" r:id="rId79" display="https://us3.assetplanner.com/service_request?ID=102329" xr:uid="{43F62831-84AF-4BBE-A955-57C7BA640745}"/>
    <hyperlink ref="L62" r:id="rId80" display="https://us3.assetplanner.com/service_request?ID=105139" xr:uid="{1570DCE7-0C60-4F61-84DB-32255EE79B73}"/>
    <hyperlink ref="K63" r:id="rId81" display="https://us3.assetplanner.com/service_request?ID=102303" xr:uid="{33BFE921-8B2E-40E0-93E8-AB0589E39F5A}"/>
    <hyperlink ref="K64" r:id="rId82" display="https://us3.assetplanner.com/service_request?ID=102411" xr:uid="{F534EE77-A62A-4F65-A95E-484E4E2E0B47}"/>
    <hyperlink ref="K65" r:id="rId83" display="https://us3.assetplanner.com/service_request?ID=102403" xr:uid="{E092EB80-4C65-495B-861A-40889786825B}"/>
    <hyperlink ref="K66" r:id="rId84" display="https://us3.assetplanner.com/service_request?ID=102310" xr:uid="{19F0399C-1785-457E-A1DF-D1F7F7DD0E40}"/>
    <hyperlink ref="K67" r:id="rId85" display="https://us3.assetplanner.com/service_request?ID=104289" xr:uid="{9E46EC2F-C3D8-47DE-955E-A21E2D0B1BF4}"/>
    <hyperlink ref="K68" r:id="rId86" display="https://us3.assetplanner.com/service_request?ID=102450" xr:uid="{1B2F005E-78AA-4C8C-8140-6EB56677DF27}"/>
    <hyperlink ref="K69" r:id="rId87" display="https://us3.assetplanner.com/service_request?ID=102413" xr:uid="{DBB639DE-1DFE-4981-B20D-9C878BE8A05A}"/>
    <hyperlink ref="K70" r:id="rId88" display="https://us3.assetplanner.com/service_request?ID=102425" xr:uid="{5239094B-B498-4D54-AB52-107C89B67358}"/>
    <hyperlink ref="K71" r:id="rId89" display="https://us3.assetplanner.com/service_request?ID=102820" xr:uid="{BE44DA6E-10FA-4B38-B710-F68059D45CB6}"/>
    <hyperlink ref="L71" r:id="rId90" display="https://us3.assetplanner.com/service_request?ID=104290" xr:uid="{AD97D7E9-2E5B-4F4E-9829-3AB59987DEB8}"/>
    <hyperlink ref="K72" r:id="rId91" display="https://us3.assetplanner.com/service_request?ID=102424" xr:uid="{5D7FCB8B-4C32-422C-88E0-06C23B253443}"/>
    <hyperlink ref="K73" r:id="rId92" display="https://us3.assetplanner.com/service_request?ID=102423" xr:uid="{F396D91B-DB7A-426F-BAA5-F55B2517929F}"/>
    <hyperlink ref="K74" r:id="rId93" display="https://us3.assetplanner.com/service_request?ID=102421" xr:uid="{A90F2C62-DCD6-426C-A5C0-9D769DA83B57}"/>
    <hyperlink ref="K75" r:id="rId94" display="https://us3.assetplanner.com/service_request?ID=102420" xr:uid="{583FE3D4-B4F3-4835-BBBB-A11D0B39A12D}"/>
    <hyperlink ref="K76" r:id="rId95" display="https://us3.assetplanner.com/service_request?ID=103869" xr:uid="{91E26792-5C09-4483-9205-3CDBDD3B8ACB}"/>
    <hyperlink ref="L76" r:id="rId96" display="https://us3.assetplanner.com/service_request?ID=104043" xr:uid="{00914C7F-5BC3-4063-B695-C3F576AA95A3}"/>
    <hyperlink ref="M76" r:id="rId97" display="https://us3.assetplanner.com/service_request?ID=104043" xr:uid="{49372C4A-3F8D-4E6F-BAFC-63E6A9641F5F}"/>
    <hyperlink ref="N76" r:id="rId98" display="https://us3.assetplanner.com/service_request?ID=104246" xr:uid="{FE939B1C-07C4-447A-BB32-7ED701DF22E2}"/>
    <hyperlink ref="K77" r:id="rId99" display="https://us3.assetplanner.com/service_request?ID=103868" xr:uid="{A24F3835-FA72-4845-A176-1B2090163736}"/>
    <hyperlink ref="L77" r:id="rId100" display="https://us3.assetplanner.com/service_request?ID=104231" xr:uid="{9A69D531-8DAA-4CA5-AD96-235CA03B0CFE}"/>
    <hyperlink ref="K78" r:id="rId101" display="https://us3.assetplanner.com/service_request?ID=103867" xr:uid="{F4E013DB-FDB1-461E-AF96-143E47B7A2F6}"/>
    <hyperlink ref="K79" r:id="rId102" display="https://us3.assetplanner.com/service_request?ID=103866" xr:uid="{6A21C96C-4716-4FFE-ACCF-C5CFFCBA28F4}"/>
    <hyperlink ref="K80" r:id="rId103" display="https://us3.assetplanner.com/service_request?ID=104456" xr:uid="{889135CA-1925-47FC-A383-87B61D0A8DD9}"/>
    <hyperlink ref="K82" r:id="rId104" display="https://us3.assetplanner.com/service_request?ID=103944" xr:uid="{04276BC6-9DA3-4A5C-B35D-D5C9B53EB565}"/>
    <hyperlink ref="L82" r:id="rId105" display="https://us3.assetplanner.com/service_request?ID=104776" xr:uid="{5A812944-4776-4693-9942-E431E3AB6591}"/>
    <hyperlink ref="K83" r:id="rId106" display="https://us3.assetplanner.com/service_request?ID=103946" xr:uid="{95CF8F49-17BB-4C55-AD8F-3FB0E2EDEEEA}"/>
    <hyperlink ref="L83" r:id="rId107" display="https://us3.assetplanner.com/service_request?ID=103946" xr:uid="{C4D4CC97-D4CF-487A-BC5C-FE367F07BBBA}"/>
    <hyperlink ref="M83" r:id="rId108" display="https://us3.assetplanner.com/service_request?ID=104855" xr:uid="{E08771F5-4153-4B40-BD2E-1E470583B1DA}"/>
    <hyperlink ref="K84" r:id="rId109" display="https://us3.assetplanner.com/service_request?ID=102281" xr:uid="{AB606213-91E4-461C-8356-DB0A2B4107A2}"/>
    <hyperlink ref="K85" r:id="rId110" display="https://us3.assetplanner.com/service_request?ID=103947" xr:uid="{6092C3D4-E306-4A6F-A2E8-502524E77976}"/>
    <hyperlink ref="L85" r:id="rId111" display="https://us3.assetplanner.com/service_request?ID=104665" xr:uid="{646EC2BB-DCE5-4929-97E7-3EAFBF284EC1}"/>
    <hyperlink ref="M85" r:id="rId112" display="https://us3.assetplanner.com/service_request?ID=105155" xr:uid="{D9B177FF-D1FA-43F0-924E-84D34C3E4B5F}"/>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U327"/>
  <sheetViews>
    <sheetView zoomScale="80" zoomScaleNormal="80" workbookViewId="0">
      <pane xSplit="2" ySplit="3" topLeftCell="J57" activePane="bottomRight" state="frozen"/>
      <selection pane="bottomRight" activeCell="J15" sqref="J15"/>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0" width="8.85546875" style="77"/>
  </cols>
  <sheetData>
    <row r="1" spans="1:13" ht="19.5" customHeight="1">
      <c r="A1" s="119" t="str" cm="1">
        <f t="array" ref="A1">portfolio</f>
        <v>Clean Capital</v>
      </c>
      <c r="B1" s="119"/>
      <c r="C1" s="119"/>
      <c r="D1" s="120" t="s">
        <v>468</v>
      </c>
      <c r="E1" s="120"/>
      <c r="F1" s="120"/>
      <c r="G1" s="118" t="s">
        <v>469</v>
      </c>
      <c r="H1" s="118"/>
      <c r="I1" s="118"/>
      <c r="J1" s="4"/>
      <c r="K1" s="4"/>
    </row>
    <row r="2" spans="1:13" ht="19.5" customHeight="1">
      <c r="A2" s="121" t="s">
        <v>2</v>
      </c>
      <c r="B2" s="121"/>
      <c r="C2" s="5">
        <f>SUM(C4:C85)</f>
        <v>5944538.9439786756</v>
      </c>
      <c r="D2" s="5">
        <f>SUM(D4:D85)</f>
        <v>3903144.4592646202</v>
      </c>
      <c r="E2" s="5">
        <f>C2-D2</f>
        <v>2041394.4847140554</v>
      </c>
      <c r="F2" s="6">
        <f>IFERROR(E2/D2, 0)</f>
        <v>0.52301279289536429</v>
      </c>
      <c r="G2" s="5">
        <f>SUM(G4:G85)</f>
        <v>6702857.8789999997</v>
      </c>
      <c r="H2" s="7">
        <f>C2-G2</f>
        <v>-758318.93502132408</v>
      </c>
      <c r="I2" s="6">
        <f>IFERROR(H2/G2, 0)</f>
        <v>-0.11313367353306583</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3</v>
      </c>
      <c r="B3" s="12" t="s">
        <v>4</v>
      </c>
      <c r="C3" s="19" t="s">
        <v>5</v>
      </c>
      <c r="D3" s="20" t="s">
        <v>6</v>
      </c>
      <c r="E3" s="20" t="s">
        <v>7</v>
      </c>
      <c r="F3" s="21" t="s">
        <v>8</v>
      </c>
      <c r="G3" s="22" t="s">
        <v>9</v>
      </c>
      <c r="H3" s="23" t="s">
        <v>7</v>
      </c>
      <c r="I3" s="24" t="s">
        <v>8</v>
      </c>
      <c r="J3" s="10" t="s">
        <v>42</v>
      </c>
      <c r="K3" s="10" t="s">
        <v>21</v>
      </c>
    </row>
    <row r="4" spans="1:13" ht="43.15">
      <c r="A4" s="39" t="str" cm="1">
        <f t="array" ref="A4:A85">Sites[Site]</f>
        <v>Lexington - Cotting School</v>
      </c>
      <c r="B4" s="40" t="str" cm="1">
        <f t="array" ref="B4:B85">Sites[State]</f>
        <v>MA</v>
      </c>
      <c r="C4" s="28">
        <v>45808.800000000003</v>
      </c>
      <c r="D4" s="29" t="s">
        <v>43</v>
      </c>
      <c r="E4" s="29" t="str">
        <f>IF(AND(ISNUMBER(C4),ISNUMBER(D4)), C4-D4, "")</f>
        <v/>
      </c>
      <c r="F4" s="30" t="str">
        <f>IFERROR(E4/D4, "")</f>
        <v/>
      </c>
      <c r="G4" s="84" t="s">
        <v>43</v>
      </c>
      <c r="H4" s="31" t="str">
        <f>IF(AND(ISNUMBER(C4),ISNUMBER(G4)), C4-G4, "")</f>
        <v/>
      </c>
      <c r="I4" s="32" t="str">
        <f>IFERROR(H4/G4, "")</f>
        <v/>
      </c>
      <c r="J4" s="62" t="s">
        <v>470</v>
      </c>
      <c r="K4" s="78" t="s">
        <v>207</v>
      </c>
    </row>
    <row r="5" spans="1:13" ht="129.6">
      <c r="A5" s="41" t="str">
        <v>Pacoima - Whiteman Airport</v>
      </c>
      <c r="B5" s="42" t="str">
        <v>CA</v>
      </c>
      <c r="C5" s="35">
        <v>33646</v>
      </c>
      <c r="D5" s="36" t="s">
        <v>43</v>
      </c>
      <c r="E5" s="36" t="str">
        <f t="shared" ref="E5:E6" si="0">IF(AND(ISNUMBER(C5),ISNUMBER(D5)), C5-D5, "")</f>
        <v/>
      </c>
      <c r="F5" s="37" t="str">
        <f>IFERROR(E5/D5, "")</f>
        <v/>
      </c>
      <c r="G5" s="38">
        <v>62900</v>
      </c>
      <c r="H5" s="38">
        <f t="shared" ref="H5:H6" si="1">IF(AND(ISNUMBER(C5),ISNUMBER(G5)), C5-G5, "")</f>
        <v>-29254</v>
      </c>
      <c r="I5" s="37">
        <f t="shared" ref="I5:I6" si="2">IFERROR(H5/G5, "")</f>
        <v>-0.46508744038155803</v>
      </c>
      <c r="J5" s="60" t="s">
        <v>471</v>
      </c>
      <c r="K5" s="75" t="s">
        <v>472</v>
      </c>
      <c r="L5" s="76" t="s">
        <v>135</v>
      </c>
      <c r="M5" s="76" t="s">
        <v>136</v>
      </c>
    </row>
    <row r="6" spans="1:13" ht="15.6">
      <c r="A6" s="43" t="str">
        <v>Hyannis - Sturgis Charter School</v>
      </c>
      <c r="B6" s="40" t="str">
        <v>MA</v>
      </c>
      <c r="C6" s="28">
        <v>39438.369259999999</v>
      </c>
      <c r="D6" s="29" t="s">
        <v>43</v>
      </c>
      <c r="E6" s="29" t="str">
        <f t="shared" si="0"/>
        <v/>
      </c>
      <c r="F6" s="30" t="str">
        <f t="shared" ref="F6:F69" si="3">IFERROR(E6/D6, "")</f>
        <v/>
      </c>
      <c r="G6" s="31">
        <v>33890</v>
      </c>
      <c r="H6" s="31">
        <f t="shared" si="1"/>
        <v>5548.3692599999995</v>
      </c>
      <c r="I6" s="32">
        <f t="shared" si="2"/>
        <v>0.16371700383593979</v>
      </c>
      <c r="J6" s="62"/>
      <c r="K6" s="62"/>
    </row>
    <row r="7" spans="1:13" ht="57.6">
      <c r="A7" s="41" t="str">
        <v>South Dennis - Tony Kent Arena</v>
      </c>
      <c r="B7" s="42" t="str">
        <v>MA</v>
      </c>
      <c r="C7" s="35">
        <v>43650.6</v>
      </c>
      <c r="D7" s="36" t="s">
        <v>43</v>
      </c>
      <c r="E7" s="36" t="str">
        <f t="shared" ref="E7:E70" si="4">IF(AND(ISNUMBER(C7),ISNUMBER(D7)), C7-D7, "")</f>
        <v/>
      </c>
      <c r="F7" s="37" t="str">
        <f t="shared" si="3"/>
        <v/>
      </c>
      <c r="G7" s="83" t="s">
        <v>43</v>
      </c>
      <c r="H7" s="38" t="str">
        <f t="shared" ref="H7:H70" si="5">IF(AND(ISNUMBER(C7),ISNUMBER(G7)), C7-G7, "")</f>
        <v/>
      </c>
      <c r="I7" s="37" t="str">
        <f t="shared" ref="I7:I70" si="6">IFERROR(H7/G7, "")</f>
        <v/>
      </c>
      <c r="J7" s="60" t="s">
        <v>91</v>
      </c>
      <c r="K7" s="75" t="s">
        <v>473</v>
      </c>
      <c r="L7" s="76" t="s">
        <v>53</v>
      </c>
    </row>
    <row r="8" spans="1:13" ht="86.45">
      <c r="A8" s="43" t="str">
        <v xml:space="preserve"> Caropolis - Felician Sisters</v>
      </c>
      <c r="B8" s="40" t="str">
        <v>PA</v>
      </c>
      <c r="C8" s="28">
        <v>33772.699999999997</v>
      </c>
      <c r="D8" s="29" t="s">
        <v>43</v>
      </c>
      <c r="E8" s="29" t="str">
        <f t="shared" si="4"/>
        <v/>
      </c>
      <c r="F8" s="30" t="str">
        <f t="shared" si="3"/>
        <v/>
      </c>
      <c r="G8" s="73" t="s">
        <v>43</v>
      </c>
      <c r="H8" s="31" t="str">
        <f t="shared" si="5"/>
        <v/>
      </c>
      <c r="I8" s="32" t="str">
        <f t="shared" si="6"/>
        <v/>
      </c>
      <c r="J8" s="62" t="s">
        <v>209</v>
      </c>
      <c r="K8" s="78" t="s">
        <v>210</v>
      </c>
      <c r="L8" s="76" t="s">
        <v>95</v>
      </c>
    </row>
    <row r="9" spans="1:13" ht="57.6">
      <c r="A9" s="41" t="str">
        <v>Clear Lake - Eastlake Gohman</v>
      </c>
      <c r="B9" s="42" t="str">
        <v>MN</v>
      </c>
      <c r="C9" s="35">
        <v>49207</v>
      </c>
      <c r="D9" s="36" t="s">
        <v>43</v>
      </c>
      <c r="E9" s="36" t="str">
        <f t="shared" si="4"/>
        <v/>
      </c>
      <c r="F9" s="37" t="str">
        <f t="shared" si="3"/>
        <v/>
      </c>
      <c r="G9" s="38">
        <v>200183.1</v>
      </c>
      <c r="H9" s="38">
        <f t="shared" si="5"/>
        <v>-150976.1</v>
      </c>
      <c r="I9" s="37">
        <f t="shared" si="6"/>
        <v>-0.75419003901927784</v>
      </c>
      <c r="J9" s="60" t="s">
        <v>474</v>
      </c>
      <c r="K9" s="75" t="s">
        <v>475</v>
      </c>
      <c r="L9" s="76" t="s">
        <v>354</v>
      </c>
      <c r="M9" s="76" t="s">
        <v>476</v>
      </c>
    </row>
    <row r="10" spans="1:13" ht="15.6">
      <c r="A10" s="43" t="str">
        <v>Zumbrota - Eastlake Brenda Luhman</v>
      </c>
      <c r="B10" s="40" t="str">
        <v>MN</v>
      </c>
      <c r="C10" s="28">
        <v>187373</v>
      </c>
      <c r="D10" s="29" t="s">
        <v>43</v>
      </c>
      <c r="E10" s="29" t="str">
        <f t="shared" si="4"/>
        <v/>
      </c>
      <c r="F10" s="30" t="str">
        <f t="shared" si="3"/>
        <v/>
      </c>
      <c r="G10" s="31">
        <v>187551.3</v>
      </c>
      <c r="H10" s="31">
        <f t="shared" si="5"/>
        <v>-178.29999999998836</v>
      </c>
      <c r="I10" s="32">
        <f t="shared" si="6"/>
        <v>-9.5067322913777925E-4</v>
      </c>
      <c r="J10" s="62"/>
      <c r="K10" s="62"/>
    </row>
    <row r="11" spans="1:13" ht="57.6">
      <c r="A11" s="41" t="str">
        <v>Cokato - Eastlake Carlson</v>
      </c>
      <c r="B11" s="42" t="str">
        <v>MN</v>
      </c>
      <c r="C11" s="35">
        <v>174063</v>
      </c>
      <c r="D11" s="36" t="s">
        <v>43</v>
      </c>
      <c r="E11" s="36" t="str">
        <f t="shared" si="4"/>
        <v/>
      </c>
      <c r="F11" s="37" t="str">
        <f t="shared" si="3"/>
        <v/>
      </c>
      <c r="G11" s="38">
        <v>202940.3</v>
      </c>
      <c r="H11" s="38">
        <f t="shared" si="5"/>
        <v>-28877.299999999988</v>
      </c>
      <c r="I11" s="37">
        <f t="shared" si="6"/>
        <v>-0.14229455657649068</v>
      </c>
      <c r="J11" s="60" t="s">
        <v>477</v>
      </c>
      <c r="K11" s="75" t="s">
        <v>478</v>
      </c>
      <c r="L11" s="76" t="s">
        <v>479</v>
      </c>
      <c r="M11" s="76" t="s">
        <v>100</v>
      </c>
    </row>
    <row r="12" spans="1:13" ht="28.9">
      <c r="A12" s="43" t="str">
        <v>North Branch - Cornille 2</v>
      </c>
      <c r="B12" s="40" t="str">
        <v>MN</v>
      </c>
      <c r="C12" s="28">
        <v>183459</v>
      </c>
      <c r="D12" s="29" t="s">
        <v>43</v>
      </c>
      <c r="E12" s="29" t="str">
        <f t="shared" si="4"/>
        <v/>
      </c>
      <c r="F12" s="30" t="str">
        <f t="shared" si="3"/>
        <v/>
      </c>
      <c r="G12" s="31">
        <v>197065</v>
      </c>
      <c r="H12" s="31">
        <f t="shared" si="5"/>
        <v>-13606</v>
      </c>
      <c r="I12" s="32">
        <f t="shared" si="6"/>
        <v>-6.9043209093446328E-2</v>
      </c>
      <c r="J12" s="62" t="s">
        <v>480</v>
      </c>
      <c r="K12" s="78" t="s">
        <v>481</v>
      </c>
    </row>
    <row r="13" spans="1:13" ht="43.15">
      <c r="A13" s="41" t="str">
        <v>Clear Lake - Eastlake Hammer</v>
      </c>
      <c r="B13" s="42" t="str">
        <v>MN</v>
      </c>
      <c r="C13" s="35">
        <v>202837.314676618</v>
      </c>
      <c r="D13" s="36" t="s">
        <v>43</v>
      </c>
      <c r="E13" s="36" t="str">
        <f t="shared" si="4"/>
        <v/>
      </c>
      <c r="F13" s="37" t="str">
        <f t="shared" si="3"/>
        <v/>
      </c>
      <c r="G13" s="38">
        <v>246223.7</v>
      </c>
      <c r="H13" s="38">
        <f t="shared" si="5"/>
        <v>-43386.385323382012</v>
      </c>
      <c r="I13" s="37">
        <f t="shared" si="6"/>
        <v>-0.17620718608071445</v>
      </c>
      <c r="J13" s="60" t="s">
        <v>482</v>
      </c>
      <c r="K13" s="75" t="s">
        <v>361</v>
      </c>
    </row>
    <row r="14" spans="1:13" ht="57.6">
      <c r="A14" s="43" t="str">
        <v>Eastlake - Hertzberg CSG 1</v>
      </c>
      <c r="B14" s="40" t="str">
        <v>MN</v>
      </c>
      <c r="C14" s="28">
        <v>191655.00570000001</v>
      </c>
      <c r="D14" s="29" t="s">
        <v>43</v>
      </c>
      <c r="E14" s="29" t="str">
        <f t="shared" si="4"/>
        <v/>
      </c>
      <c r="F14" s="30" t="str">
        <f t="shared" si="3"/>
        <v/>
      </c>
      <c r="G14" s="31">
        <v>245960.4</v>
      </c>
      <c r="H14" s="31">
        <f t="shared" si="5"/>
        <v>-54305.394299999985</v>
      </c>
      <c r="I14" s="32">
        <f t="shared" si="6"/>
        <v>-0.22078917703825487</v>
      </c>
      <c r="J14" s="62" t="s">
        <v>483</v>
      </c>
      <c r="K14" s="78" t="s">
        <v>484</v>
      </c>
      <c r="L14" s="76" t="s">
        <v>485</v>
      </c>
    </row>
    <row r="15" spans="1:13" ht="21" customHeight="1">
      <c r="A15" s="41" t="str">
        <v>Cokato - Eastlake Laurel Village</v>
      </c>
      <c r="B15" s="42" t="str">
        <v>MN</v>
      </c>
      <c r="C15" s="35">
        <v>214719</v>
      </c>
      <c r="D15" s="36" t="s">
        <v>43</v>
      </c>
      <c r="E15" s="36" t="str">
        <f t="shared" si="4"/>
        <v/>
      </c>
      <c r="F15" s="37" t="str">
        <f t="shared" si="3"/>
        <v/>
      </c>
      <c r="G15" s="38">
        <v>232306.3</v>
      </c>
      <c r="H15" s="38">
        <f t="shared" si="5"/>
        <v>-17587.299999999988</v>
      </c>
      <c r="I15" s="37">
        <f t="shared" si="6"/>
        <v>-7.5707374272673572E-2</v>
      </c>
      <c r="J15" s="60" t="s">
        <v>486</v>
      </c>
      <c r="K15" s="75" t="s">
        <v>487</v>
      </c>
    </row>
    <row r="16" spans="1:13" ht="15.6">
      <c r="A16" s="43" t="str">
        <v>St. Peter - Eastlake Paulson</v>
      </c>
      <c r="B16" s="40" t="str">
        <v>MN</v>
      </c>
      <c r="C16" s="28">
        <v>186643.950269258</v>
      </c>
      <c r="D16" s="29" t="s">
        <v>43</v>
      </c>
      <c r="E16" s="29" t="str">
        <f t="shared" si="4"/>
        <v/>
      </c>
      <c r="F16" s="30" t="str">
        <f t="shared" si="3"/>
        <v/>
      </c>
      <c r="G16" s="31">
        <v>207053.5</v>
      </c>
      <c r="H16" s="31">
        <f t="shared" si="5"/>
        <v>-20409.549730742001</v>
      </c>
      <c r="I16" s="32">
        <f t="shared" si="6"/>
        <v>-9.857138242406914E-2</v>
      </c>
      <c r="J16" s="62" t="s">
        <v>488</v>
      </c>
      <c r="K16" s="78" t="s">
        <v>489</v>
      </c>
    </row>
    <row r="17" spans="1:21" ht="57.6">
      <c r="A17" s="41" t="str">
        <v>Felician Sisters Convent</v>
      </c>
      <c r="B17" s="42" t="str">
        <v>NJ</v>
      </c>
      <c r="C17" s="35">
        <v>4488</v>
      </c>
      <c r="D17" s="36" t="s">
        <v>43</v>
      </c>
      <c r="E17" s="36" t="str">
        <f t="shared" si="4"/>
        <v/>
      </c>
      <c r="F17" s="37" t="str">
        <f t="shared" si="3"/>
        <v/>
      </c>
      <c r="G17" s="74" t="s">
        <v>43</v>
      </c>
      <c r="H17" s="38" t="str">
        <f t="shared" si="5"/>
        <v/>
      </c>
      <c r="I17" s="37" t="str">
        <f t="shared" si="6"/>
        <v/>
      </c>
      <c r="J17" s="60" t="s">
        <v>370</v>
      </c>
      <c r="K17" s="75" t="s">
        <v>490</v>
      </c>
    </row>
    <row r="18" spans="1:21" ht="72">
      <c r="A18" s="43" t="str">
        <v>Sussex County Fairgrounds</v>
      </c>
      <c r="B18" s="40" t="str">
        <v>NJ</v>
      </c>
      <c r="C18" s="28">
        <v>58853.64</v>
      </c>
      <c r="D18" s="29" t="s">
        <v>43</v>
      </c>
      <c r="E18" s="29" t="str">
        <f t="shared" si="4"/>
        <v/>
      </c>
      <c r="F18" s="30" t="str">
        <f t="shared" si="3"/>
        <v/>
      </c>
      <c r="G18" s="84" t="s">
        <v>43</v>
      </c>
      <c r="H18" s="31" t="str">
        <f t="shared" si="5"/>
        <v/>
      </c>
      <c r="I18" s="32" t="str">
        <f t="shared" si="6"/>
        <v/>
      </c>
      <c r="J18" s="62" t="s">
        <v>491</v>
      </c>
      <c r="K18" s="78" t="s">
        <v>492</v>
      </c>
      <c r="L18" s="76" t="s">
        <v>493</v>
      </c>
      <c r="M18" s="76" t="s">
        <v>494</v>
      </c>
    </row>
    <row r="19" spans="1:21" ht="158.44999999999999">
      <c r="A19" s="41" t="str">
        <v>Gateway Church</v>
      </c>
      <c r="B19" s="42" t="str">
        <v>NJ</v>
      </c>
      <c r="C19" s="35">
        <v>32387</v>
      </c>
      <c r="D19" s="36" t="s">
        <v>43</v>
      </c>
      <c r="E19" s="36" t="str">
        <f t="shared" si="4"/>
        <v/>
      </c>
      <c r="F19" s="37" t="str">
        <f t="shared" si="3"/>
        <v/>
      </c>
      <c r="G19" s="83" t="s">
        <v>43</v>
      </c>
      <c r="H19" s="38" t="str">
        <f t="shared" si="5"/>
        <v/>
      </c>
      <c r="I19" s="37" t="str">
        <f t="shared" si="6"/>
        <v/>
      </c>
      <c r="J19" s="60" t="s">
        <v>495</v>
      </c>
      <c r="K19" s="75" t="s">
        <v>496</v>
      </c>
      <c r="L19" s="76" t="s">
        <v>497</v>
      </c>
      <c r="M19" s="76" t="s">
        <v>498</v>
      </c>
      <c r="N19" s="76" t="s">
        <v>499</v>
      </c>
      <c r="O19" s="76" t="s">
        <v>500</v>
      </c>
      <c r="P19" s="76" t="s">
        <v>501</v>
      </c>
      <c r="Q19" s="76" t="s">
        <v>502</v>
      </c>
      <c r="R19" s="76" t="s">
        <v>503</v>
      </c>
      <c r="S19" s="76" t="s">
        <v>504</v>
      </c>
      <c r="T19" s="76" t="s">
        <v>505</v>
      </c>
      <c r="U19" s="103" t="s">
        <v>506</v>
      </c>
    </row>
    <row r="20" spans="1:21" ht="57.6">
      <c r="A20" s="43" t="str">
        <v>Beaver Falls - Felician Sisters</v>
      </c>
      <c r="B20" s="40" t="str">
        <v>PA</v>
      </c>
      <c r="C20" s="28">
        <v>50613</v>
      </c>
      <c r="D20" s="29" t="s">
        <v>43</v>
      </c>
      <c r="E20" s="29" t="str">
        <f t="shared" si="4"/>
        <v/>
      </c>
      <c r="F20" s="30" t="str">
        <f t="shared" si="3"/>
        <v/>
      </c>
      <c r="G20" s="84" t="s">
        <v>43</v>
      </c>
      <c r="H20" s="31" t="str">
        <f t="shared" si="5"/>
        <v/>
      </c>
      <c r="I20" s="32" t="str">
        <f t="shared" si="6"/>
        <v/>
      </c>
      <c r="J20" s="62" t="s">
        <v>507</v>
      </c>
      <c r="K20" s="78" t="s">
        <v>242</v>
      </c>
    </row>
    <row r="21" spans="1:21" ht="105.75" customHeight="1">
      <c r="A21" s="41" t="str">
        <v>Livonia - Felician Sisters Ground</v>
      </c>
      <c r="B21" s="42" t="str">
        <v>MI</v>
      </c>
      <c r="C21" s="35">
        <v>6402.6</v>
      </c>
      <c r="D21" s="36" t="s">
        <v>43</v>
      </c>
      <c r="E21" s="36" t="str">
        <f t="shared" si="4"/>
        <v/>
      </c>
      <c r="F21" s="37" t="str">
        <f t="shared" si="3"/>
        <v/>
      </c>
      <c r="G21" s="83" t="s">
        <v>43</v>
      </c>
      <c r="H21" s="38" t="str">
        <f t="shared" si="5"/>
        <v/>
      </c>
      <c r="I21" s="37" t="str">
        <f t="shared" si="6"/>
        <v/>
      </c>
      <c r="J21" s="60" t="s">
        <v>508</v>
      </c>
      <c r="K21" s="75" t="s">
        <v>509</v>
      </c>
      <c r="L21" s="76" t="s">
        <v>127</v>
      </c>
      <c r="M21" s="76" t="s">
        <v>80</v>
      </c>
    </row>
    <row r="22" spans="1:21" ht="15.6">
      <c r="A22" s="43" t="str">
        <v>Livonia - Felician Sisters Roof</v>
      </c>
      <c r="B22" s="40" t="str">
        <v>MI</v>
      </c>
      <c r="C22" s="28">
        <v>15821</v>
      </c>
      <c r="D22" s="29" t="s">
        <v>43</v>
      </c>
      <c r="E22" s="29" t="str">
        <f t="shared" si="4"/>
        <v/>
      </c>
      <c r="F22" s="30" t="str">
        <f t="shared" si="3"/>
        <v/>
      </c>
      <c r="G22" s="84" t="s">
        <v>43</v>
      </c>
      <c r="H22" s="31" t="str">
        <f t="shared" si="5"/>
        <v/>
      </c>
      <c r="I22" s="32" t="str">
        <f t="shared" si="6"/>
        <v/>
      </c>
      <c r="J22" s="62" t="s">
        <v>377</v>
      </c>
      <c r="K22" s="78" t="s">
        <v>510</v>
      </c>
    </row>
    <row r="23" spans="1:21" ht="15.6">
      <c r="A23" s="41" t="str">
        <v>Monmouth Worship Ctr</v>
      </c>
      <c r="B23" s="42" t="str">
        <v>NJ</v>
      </c>
      <c r="C23" s="35">
        <v>8408.5</v>
      </c>
      <c r="D23" s="36" t="s">
        <v>43</v>
      </c>
      <c r="E23" s="36" t="str">
        <f t="shared" si="4"/>
        <v/>
      </c>
      <c r="F23" s="37" t="str">
        <f t="shared" si="3"/>
        <v/>
      </c>
      <c r="G23" s="83" t="s">
        <v>43</v>
      </c>
      <c r="H23" s="38" t="str">
        <f t="shared" si="5"/>
        <v/>
      </c>
      <c r="I23" s="37" t="str">
        <f t="shared" si="6"/>
        <v/>
      </c>
      <c r="J23" s="60"/>
      <c r="K23" s="59"/>
    </row>
    <row r="24" spans="1:21" ht="15.6">
      <c r="A24" s="43" t="str">
        <v xml:space="preserve"> Audubon - Senior Citizens United</v>
      </c>
      <c r="B24" s="40" t="str">
        <v>NJ</v>
      </c>
      <c r="C24" s="28">
        <v>13045.3</v>
      </c>
      <c r="D24" s="29" t="s">
        <v>43</v>
      </c>
      <c r="E24" s="29" t="str">
        <f t="shared" si="4"/>
        <v/>
      </c>
      <c r="F24" s="30" t="str">
        <f t="shared" si="3"/>
        <v/>
      </c>
      <c r="G24" s="84" t="s">
        <v>43</v>
      </c>
      <c r="H24" s="31" t="str">
        <f t="shared" si="5"/>
        <v/>
      </c>
      <c r="I24" s="32" t="str">
        <f t="shared" si="6"/>
        <v/>
      </c>
      <c r="J24" s="62"/>
      <c r="K24" s="62"/>
    </row>
    <row r="25" spans="1:21" ht="115.15">
      <c r="A25" s="41" t="str">
        <v>Hollister - PG&amp;E (Enerparc)</v>
      </c>
      <c r="B25" s="42" t="str">
        <v>CA</v>
      </c>
      <c r="C25" s="35">
        <v>367875.141</v>
      </c>
      <c r="D25" s="36"/>
      <c r="E25" s="36" t="str">
        <f t="shared" si="4"/>
        <v/>
      </c>
      <c r="F25" s="37" t="str">
        <f t="shared" si="3"/>
        <v/>
      </c>
      <c r="G25" s="38">
        <v>384780</v>
      </c>
      <c r="H25" s="38">
        <f t="shared" si="5"/>
        <v>-16904.858999999997</v>
      </c>
      <c r="I25" s="37">
        <f t="shared" si="6"/>
        <v>-4.3933829720879454E-2</v>
      </c>
      <c r="J25" s="60" t="s">
        <v>511</v>
      </c>
      <c r="K25" s="75" t="s">
        <v>512</v>
      </c>
      <c r="L25" s="76" t="s">
        <v>251</v>
      </c>
      <c r="M25" s="76" t="s">
        <v>513</v>
      </c>
    </row>
    <row r="26" spans="1:21" ht="28.9">
      <c r="A26" s="43" t="str">
        <v>Taos County - Kit Carson Electric Co-Op</v>
      </c>
      <c r="B26" s="40" t="str">
        <v>NM</v>
      </c>
      <c r="C26" s="28">
        <v>304300</v>
      </c>
      <c r="D26" s="29">
        <v>221106.5</v>
      </c>
      <c r="E26" s="29">
        <f t="shared" si="4"/>
        <v>83193.5</v>
      </c>
      <c r="F26" s="30">
        <f t="shared" si="3"/>
        <v>0.37625985667540301</v>
      </c>
      <c r="G26" s="31">
        <v>198905.5</v>
      </c>
      <c r="H26" s="31">
        <f t="shared" si="5"/>
        <v>105394.5</v>
      </c>
      <c r="I26" s="32">
        <f t="shared" si="6"/>
        <v>0.52987222575544668</v>
      </c>
      <c r="J26" s="62" t="s">
        <v>514</v>
      </c>
      <c r="K26" s="62"/>
    </row>
    <row r="27" spans="1:21" ht="28.9">
      <c r="A27" s="41" t="str">
        <v>Commerce City - Adams City HS</v>
      </c>
      <c r="B27" s="42" t="str">
        <v>CO</v>
      </c>
      <c r="C27" s="35">
        <v>15201</v>
      </c>
      <c r="D27" s="36">
        <v>12649.09</v>
      </c>
      <c r="E27" s="36">
        <f t="shared" si="4"/>
        <v>2551.91</v>
      </c>
      <c r="F27" s="37">
        <f t="shared" si="3"/>
        <v>0.20174652880167662</v>
      </c>
      <c r="G27" s="38">
        <v>13868.77</v>
      </c>
      <c r="H27" s="38">
        <f t="shared" si="5"/>
        <v>1332.2299999999996</v>
      </c>
      <c r="I27" s="37">
        <f t="shared" si="6"/>
        <v>9.6059708250984005E-2</v>
      </c>
      <c r="J27" s="60" t="s">
        <v>515</v>
      </c>
      <c r="K27" s="59"/>
    </row>
    <row r="28" spans="1:21" ht="15.6">
      <c r="A28" s="43" t="str">
        <v>Commerce City - Adams City MS</v>
      </c>
      <c r="B28" s="40" t="str">
        <v>CO</v>
      </c>
      <c r="C28" s="28">
        <v>12467</v>
      </c>
      <c r="D28" s="29">
        <v>11493.86</v>
      </c>
      <c r="E28" s="29">
        <f t="shared" si="4"/>
        <v>973.13999999999942</v>
      </c>
      <c r="F28" s="30">
        <f t="shared" si="3"/>
        <v>8.4666073886405388E-2</v>
      </c>
      <c r="G28" s="31">
        <v>12203.7</v>
      </c>
      <c r="H28" s="31">
        <f t="shared" si="5"/>
        <v>263.29999999999927</v>
      </c>
      <c r="I28" s="32">
        <f t="shared" si="6"/>
        <v>2.1575423846866053E-2</v>
      </c>
      <c r="J28" s="62"/>
      <c r="K28" s="62"/>
    </row>
    <row r="29" spans="1:21" ht="15.6">
      <c r="A29" s="41" t="str">
        <v>Commerce City - Central ES</v>
      </c>
      <c r="B29" s="42" t="str">
        <v>CO</v>
      </c>
      <c r="C29" s="35">
        <v>3220.4</v>
      </c>
      <c r="D29" s="36">
        <v>3280.5309999999999</v>
      </c>
      <c r="E29" s="36">
        <f t="shared" si="4"/>
        <v>-60.130999999999858</v>
      </c>
      <c r="F29" s="37">
        <f t="shared" si="3"/>
        <v>-1.8329654558972269E-2</v>
      </c>
      <c r="G29" s="38">
        <v>3573.96</v>
      </c>
      <c r="H29" s="38">
        <f t="shared" si="5"/>
        <v>-353.55999999999995</v>
      </c>
      <c r="I29" s="37">
        <f t="shared" si="6"/>
        <v>-9.8926680768671144E-2</v>
      </c>
      <c r="J29" s="60"/>
      <c r="K29" s="59"/>
    </row>
    <row r="30" spans="1:21" ht="15.6">
      <c r="A30" s="43" t="str">
        <v>Commerce City - Dupont ES</v>
      </c>
      <c r="B30" s="40" t="str">
        <v>CO</v>
      </c>
      <c r="C30" s="28">
        <v>9964</v>
      </c>
      <c r="D30" s="29">
        <v>9235.5849999999991</v>
      </c>
      <c r="E30" s="29">
        <f t="shared" si="4"/>
        <v>728.41500000000087</v>
      </c>
      <c r="F30" s="30">
        <f t="shared" si="3"/>
        <v>7.8870477614574594E-2</v>
      </c>
      <c r="G30" s="31">
        <v>10198.86</v>
      </c>
      <c r="H30" s="31">
        <f t="shared" si="5"/>
        <v>-234.86000000000058</v>
      </c>
      <c r="I30" s="32">
        <f t="shared" si="6"/>
        <v>-2.3028063920869642E-2</v>
      </c>
      <c r="J30" s="62"/>
      <c r="K30" s="62"/>
    </row>
    <row r="31" spans="1:21" ht="28.9">
      <c r="A31" s="41" t="str">
        <v>Commerce City - Educational Support Services</v>
      </c>
      <c r="B31" s="42" t="str">
        <v>CO</v>
      </c>
      <c r="C31" s="35">
        <v>3105</v>
      </c>
      <c r="D31" s="36">
        <v>9666.0550000000003</v>
      </c>
      <c r="E31" s="36">
        <f t="shared" si="4"/>
        <v>-6561.0550000000003</v>
      </c>
      <c r="F31" s="37">
        <f t="shared" si="3"/>
        <v>-0.67877277751885334</v>
      </c>
      <c r="G31" s="38">
        <v>10576.4</v>
      </c>
      <c r="H31" s="38">
        <f t="shared" si="5"/>
        <v>-7471.4</v>
      </c>
      <c r="I31" s="37">
        <f t="shared" si="6"/>
        <v>-0.70642184486214588</v>
      </c>
      <c r="J31" s="60" t="s">
        <v>516</v>
      </c>
      <c r="K31" s="75" t="s">
        <v>517</v>
      </c>
    </row>
    <row r="32" spans="1:21" ht="15.6">
      <c r="A32" s="43" t="str">
        <v>Commerce City - Hanson ES</v>
      </c>
      <c r="B32" s="40" t="str">
        <v>CO</v>
      </c>
      <c r="C32" s="28">
        <v>12960</v>
      </c>
      <c r="D32" s="29">
        <v>12604.85</v>
      </c>
      <c r="E32" s="29">
        <f t="shared" si="4"/>
        <v>355.14999999999964</v>
      </c>
      <c r="F32" s="30">
        <f t="shared" si="3"/>
        <v>2.8175662542592704E-2</v>
      </c>
      <c r="G32" s="31">
        <v>13821.1</v>
      </c>
      <c r="H32" s="31">
        <f t="shared" si="5"/>
        <v>-861.10000000000036</v>
      </c>
      <c r="I32" s="32">
        <f t="shared" si="6"/>
        <v>-6.2303289897330916E-2</v>
      </c>
      <c r="J32" s="62"/>
      <c r="K32" s="62"/>
    </row>
    <row r="33" spans="1:14" ht="39.6">
      <c r="A33" s="41" t="str">
        <v>Commerce City - Kemp ES</v>
      </c>
      <c r="B33" s="42" t="str">
        <v>CO</v>
      </c>
      <c r="C33" s="35">
        <v>11902</v>
      </c>
      <c r="D33" s="36">
        <v>12598.39</v>
      </c>
      <c r="E33" s="36">
        <f t="shared" si="4"/>
        <v>-696.38999999999942</v>
      </c>
      <c r="F33" s="37">
        <f t="shared" si="3"/>
        <v>-5.527611067763416E-2</v>
      </c>
      <c r="G33" s="38">
        <v>13814.27</v>
      </c>
      <c r="H33" s="38">
        <f t="shared" si="5"/>
        <v>-1912.2700000000004</v>
      </c>
      <c r="I33" s="37">
        <f t="shared" si="6"/>
        <v>-0.13842714815911375</v>
      </c>
      <c r="J33" s="60" t="s">
        <v>386</v>
      </c>
      <c r="K33" s="75" t="s">
        <v>387</v>
      </c>
      <c r="L33" s="76" t="s">
        <v>388</v>
      </c>
    </row>
    <row r="34" spans="1:14" ht="28.9">
      <c r="A34" s="43" t="str">
        <v>Commerce City -  Lester Arnold HS</v>
      </c>
      <c r="B34" s="40" t="str">
        <v>CO</v>
      </c>
      <c r="C34" s="28">
        <v>13777</v>
      </c>
      <c r="D34" s="29">
        <v>12179.06</v>
      </c>
      <c r="E34" s="29">
        <f t="shared" si="4"/>
        <v>1597.9400000000005</v>
      </c>
      <c r="F34" s="30">
        <f t="shared" si="3"/>
        <v>0.13120388601419161</v>
      </c>
      <c r="G34" s="31">
        <v>13419.1</v>
      </c>
      <c r="H34" s="31">
        <f t="shared" si="5"/>
        <v>357.89999999999964</v>
      </c>
      <c r="I34" s="32">
        <f t="shared" si="6"/>
        <v>2.6670939183700816E-2</v>
      </c>
      <c r="J34" s="62" t="s">
        <v>518</v>
      </c>
      <c r="K34" s="62"/>
    </row>
    <row r="35" spans="1:14" ht="15.6">
      <c r="A35" s="41" t="str">
        <v>Commerce City - Monaco ES</v>
      </c>
      <c r="B35" s="42" t="str">
        <v>CO</v>
      </c>
      <c r="C35" s="35">
        <v>13486</v>
      </c>
      <c r="D35" s="36">
        <v>12605.18</v>
      </c>
      <c r="E35" s="36">
        <f t="shared" si="4"/>
        <v>880.81999999999971</v>
      </c>
      <c r="F35" s="37">
        <f t="shared" si="3"/>
        <v>6.9877621739633994E-2</v>
      </c>
      <c r="G35" s="38">
        <v>13821.1</v>
      </c>
      <c r="H35" s="38">
        <f t="shared" si="5"/>
        <v>-335.10000000000036</v>
      </c>
      <c r="I35" s="37">
        <f t="shared" si="6"/>
        <v>-2.42455376200158E-2</v>
      </c>
      <c r="J35" s="60"/>
      <c r="K35" s="59"/>
    </row>
    <row r="36" spans="1:14" ht="28.9">
      <c r="A36" s="43" t="str">
        <v>Denver - Northgate / Old Fort Logan ES</v>
      </c>
      <c r="B36" s="40" t="str">
        <v>CO</v>
      </c>
      <c r="C36" s="28">
        <v>12123.9999999998</v>
      </c>
      <c r="D36" s="29">
        <v>10953.74</v>
      </c>
      <c r="E36" s="29">
        <f t="shared" si="4"/>
        <v>1170.2599999998001</v>
      </c>
      <c r="F36" s="30">
        <f t="shared" si="3"/>
        <v>0.10683656906223812</v>
      </c>
      <c r="G36" s="31">
        <v>12477.808000000001</v>
      </c>
      <c r="H36" s="31">
        <f t="shared" si="5"/>
        <v>-353.80800000020099</v>
      </c>
      <c r="I36" s="32">
        <f t="shared" si="6"/>
        <v>-2.8354980297837645E-2</v>
      </c>
      <c r="J36" s="62" t="s">
        <v>519</v>
      </c>
      <c r="K36" s="62"/>
    </row>
    <row r="37" spans="1:14" ht="15.6">
      <c r="A37" s="41" t="str">
        <v>Denver - Sheridan High School</v>
      </c>
      <c r="B37" s="42" t="str">
        <v>CO</v>
      </c>
      <c r="C37" s="35">
        <v>14044</v>
      </c>
      <c r="D37" s="36">
        <v>12641.54</v>
      </c>
      <c r="E37" s="36">
        <f t="shared" si="4"/>
        <v>1402.4599999999991</v>
      </c>
      <c r="F37" s="37">
        <f t="shared" si="3"/>
        <v>0.11094059742721211</v>
      </c>
      <c r="G37" s="38">
        <v>13667.96</v>
      </c>
      <c r="H37" s="38">
        <f t="shared" si="5"/>
        <v>376.04000000000087</v>
      </c>
      <c r="I37" s="37">
        <f t="shared" si="6"/>
        <v>2.7512518327533948E-2</v>
      </c>
      <c r="J37" s="60"/>
      <c r="K37" s="59"/>
    </row>
    <row r="38" spans="1:14" ht="15.6">
      <c r="A38" s="43" t="str">
        <v>Englewood -  Alice Terry Elementary</v>
      </c>
      <c r="B38" s="40" t="str">
        <v>CO</v>
      </c>
      <c r="C38" s="28">
        <v>13429</v>
      </c>
      <c r="D38" s="29">
        <v>12641.91</v>
      </c>
      <c r="E38" s="29">
        <f t="shared" si="4"/>
        <v>787.09000000000015</v>
      </c>
      <c r="F38" s="30">
        <f t="shared" si="3"/>
        <v>6.2260370466171659E-2</v>
      </c>
      <c r="G38" s="31">
        <v>13715.81</v>
      </c>
      <c r="H38" s="31">
        <f t="shared" si="5"/>
        <v>-286.80999999999949</v>
      </c>
      <c r="I38" s="32">
        <f t="shared" si="6"/>
        <v>-2.0910905006703905E-2</v>
      </c>
      <c r="J38" s="62"/>
      <c r="K38" s="62"/>
    </row>
    <row r="39" spans="1:14" ht="26.45">
      <c r="A39" s="41" t="str">
        <v>Englewood - Sheridan Middle School</v>
      </c>
      <c r="B39" s="42" t="str">
        <v>CO</v>
      </c>
      <c r="C39" s="35">
        <v>6738</v>
      </c>
      <c r="D39" s="36">
        <v>7376.9250000000002</v>
      </c>
      <c r="E39" s="36">
        <f t="shared" si="4"/>
        <v>-638.92500000000018</v>
      </c>
      <c r="F39" s="37">
        <f t="shared" si="3"/>
        <v>-8.6611291290070072E-2</v>
      </c>
      <c r="G39" s="38">
        <v>8024.991</v>
      </c>
      <c r="H39" s="38">
        <f t="shared" si="5"/>
        <v>-1286.991</v>
      </c>
      <c r="I39" s="37">
        <f t="shared" si="6"/>
        <v>-0.16037289013782072</v>
      </c>
      <c r="J39" s="60" t="s">
        <v>520</v>
      </c>
      <c r="K39" s="75" t="s">
        <v>521</v>
      </c>
      <c r="L39" s="76" t="s">
        <v>522</v>
      </c>
    </row>
    <row r="40" spans="1:14" ht="43.15">
      <c r="A40" s="43" t="str">
        <v>Goshen - NIPSCO</v>
      </c>
      <c r="B40" s="40" t="str">
        <v>IN</v>
      </c>
      <c r="C40" s="28">
        <v>60213</v>
      </c>
      <c r="D40" s="29">
        <v>56833.8</v>
      </c>
      <c r="E40" s="29">
        <f t="shared" si="4"/>
        <v>3379.1999999999971</v>
      </c>
      <c r="F40" s="30">
        <f t="shared" si="3"/>
        <v>5.9457576301426208E-2</v>
      </c>
      <c r="G40" s="31">
        <v>66122.14</v>
      </c>
      <c r="H40" s="31">
        <f t="shared" si="5"/>
        <v>-5909.1399999999994</v>
      </c>
      <c r="I40" s="32">
        <f t="shared" si="6"/>
        <v>-8.93670410546301E-2</v>
      </c>
      <c r="J40" s="62" t="s">
        <v>390</v>
      </c>
      <c r="K40" s="78" t="s">
        <v>190</v>
      </c>
    </row>
    <row r="41" spans="1:14" ht="72">
      <c r="A41" s="41" t="str">
        <v>Alamogordo - City of Alamogordo - Effluent</v>
      </c>
      <c r="B41" s="42" t="str">
        <v>NM</v>
      </c>
      <c r="C41" s="35">
        <v>23398</v>
      </c>
      <c r="D41" s="36">
        <v>29703.08</v>
      </c>
      <c r="E41" s="36">
        <f t="shared" si="4"/>
        <v>-6305.0800000000017</v>
      </c>
      <c r="F41" s="37">
        <f t="shared" si="3"/>
        <v>-0.21227024268190375</v>
      </c>
      <c r="G41" s="38">
        <v>29884.94</v>
      </c>
      <c r="H41" s="38">
        <f t="shared" si="5"/>
        <v>-6486.9399999999987</v>
      </c>
      <c r="I41" s="37">
        <f t="shared" si="6"/>
        <v>-0.21706384553557742</v>
      </c>
      <c r="J41" s="60" t="s">
        <v>523</v>
      </c>
      <c r="K41" s="75" t="s">
        <v>524</v>
      </c>
      <c r="L41" s="76" t="s">
        <v>525</v>
      </c>
    </row>
    <row r="42" spans="1:14" ht="43.15">
      <c r="A42" s="43" t="str">
        <v>Alamogordo - City of Alamogordo - WWTP</v>
      </c>
      <c r="B42" s="40" t="str">
        <v>NM</v>
      </c>
      <c r="C42" s="28">
        <v>83060</v>
      </c>
      <c r="D42" s="29">
        <v>3.2646210000000001E-3</v>
      </c>
      <c r="E42" s="29">
        <f t="shared" si="4"/>
        <v>83059.996735378998</v>
      </c>
      <c r="F42" s="30">
        <f t="shared" si="3"/>
        <v>25442462.305847753</v>
      </c>
      <c r="G42" s="31">
        <v>126736.9</v>
      </c>
      <c r="H42" s="31">
        <f t="shared" si="5"/>
        <v>-43676.899999999994</v>
      </c>
      <c r="I42" s="32">
        <f t="shared" si="6"/>
        <v>-0.34462654522873759</v>
      </c>
      <c r="J42" s="62" t="s">
        <v>526</v>
      </c>
      <c r="K42" s="78" t="s">
        <v>272</v>
      </c>
      <c r="L42" s="76" t="s">
        <v>273</v>
      </c>
      <c r="M42" s="76" t="s">
        <v>274</v>
      </c>
    </row>
    <row r="43" spans="1:14" ht="28.9">
      <c r="A43" s="41" t="str">
        <v>Deming - Bilbo Booster</v>
      </c>
      <c r="B43" s="42" t="str">
        <v>NM</v>
      </c>
      <c r="C43" s="35">
        <v>12726</v>
      </c>
      <c r="D43" s="36">
        <v>0</v>
      </c>
      <c r="E43" s="36">
        <f t="shared" si="4"/>
        <v>12726</v>
      </c>
      <c r="F43" s="37" t="str">
        <f t="shared" si="3"/>
        <v/>
      </c>
      <c r="G43" s="38">
        <v>11978.8</v>
      </c>
      <c r="H43" s="38">
        <f t="shared" si="5"/>
        <v>747.20000000000073</v>
      </c>
      <c r="I43" s="37">
        <f t="shared" si="6"/>
        <v>6.2376865796240091E-2</v>
      </c>
      <c r="J43" s="60" t="s">
        <v>527</v>
      </c>
      <c r="K43" s="75" t="s">
        <v>528</v>
      </c>
    </row>
    <row r="44" spans="1:14" ht="28.9">
      <c r="A44" s="43" t="str">
        <v>Deming - Bilbo Well</v>
      </c>
      <c r="B44" s="40" t="str">
        <v>NM</v>
      </c>
      <c r="C44" s="28">
        <v>22901</v>
      </c>
      <c r="D44" s="29">
        <v>0</v>
      </c>
      <c r="E44" s="29">
        <f t="shared" si="4"/>
        <v>22901</v>
      </c>
      <c r="F44" s="30" t="str">
        <f t="shared" si="3"/>
        <v/>
      </c>
      <c r="G44" s="31">
        <v>21655</v>
      </c>
      <c r="H44" s="31">
        <f t="shared" si="5"/>
        <v>1246</v>
      </c>
      <c r="I44" s="32">
        <f t="shared" si="6"/>
        <v>5.7538674670976682E-2</v>
      </c>
      <c r="J44" s="62" t="s">
        <v>277</v>
      </c>
      <c r="K44" s="78" t="s">
        <v>278</v>
      </c>
    </row>
    <row r="45" spans="1:14" ht="39.6">
      <c r="A45" s="41" t="str">
        <v>Deming - WWTP</v>
      </c>
      <c r="B45" s="42" t="str">
        <v>NM</v>
      </c>
      <c r="C45" s="35">
        <v>81630</v>
      </c>
      <c r="D45" s="36">
        <v>74950.460000000006</v>
      </c>
      <c r="E45" s="36">
        <f t="shared" si="4"/>
        <v>6679.5399999999936</v>
      </c>
      <c r="F45" s="37">
        <f t="shared" si="3"/>
        <v>8.9119399667460256E-2</v>
      </c>
      <c r="G45" s="38">
        <v>90067.199999999997</v>
      </c>
      <c r="H45" s="38">
        <f t="shared" si="5"/>
        <v>-8437.1999999999971</v>
      </c>
      <c r="I45" s="37">
        <f t="shared" si="6"/>
        <v>-9.3676721381368552E-2</v>
      </c>
      <c r="J45" s="60" t="s">
        <v>397</v>
      </c>
      <c r="K45" s="75" t="s">
        <v>398</v>
      </c>
      <c r="L45" s="76" t="s">
        <v>399</v>
      </c>
    </row>
    <row r="46" spans="1:14" ht="72">
      <c r="A46" s="43" t="str">
        <v>Truth or Consequences - Walmart</v>
      </c>
      <c r="B46" s="40" t="str">
        <v>NM</v>
      </c>
      <c r="C46" s="28">
        <v>171100</v>
      </c>
      <c r="D46" s="29">
        <v>346115.8</v>
      </c>
      <c r="E46" s="29">
        <f t="shared" si="4"/>
        <v>-175015.8</v>
      </c>
      <c r="F46" s="30">
        <f t="shared" si="3"/>
        <v>-0.50565677729823366</v>
      </c>
      <c r="G46" s="31">
        <v>186308.6</v>
      </c>
      <c r="H46" s="31">
        <f t="shared" si="5"/>
        <v>-15208.600000000006</v>
      </c>
      <c r="I46" s="32">
        <f t="shared" si="6"/>
        <v>-8.1631229046860987E-2</v>
      </c>
      <c r="J46" s="62" t="s">
        <v>529</v>
      </c>
      <c r="K46" s="78" t="s">
        <v>530</v>
      </c>
      <c r="L46" s="76" t="s">
        <v>531</v>
      </c>
      <c r="M46" s="76" t="s">
        <v>532</v>
      </c>
      <c r="N46" s="76" t="s">
        <v>533</v>
      </c>
    </row>
    <row r="47" spans="1:14" ht="43.15">
      <c r="A47" s="41" t="str">
        <v>CA: Stockton - SUSD - Merlo</v>
      </c>
      <c r="B47" s="42" t="str">
        <v>CA</v>
      </c>
      <c r="C47" s="35">
        <v>1930.375</v>
      </c>
      <c r="D47" s="36">
        <v>16698.5</v>
      </c>
      <c r="E47" s="36">
        <f t="shared" si="4"/>
        <v>-14768.125</v>
      </c>
      <c r="F47" s="37">
        <f t="shared" si="3"/>
        <v>-0.88439829924843549</v>
      </c>
      <c r="G47" s="38">
        <v>17660.580000000002</v>
      </c>
      <c r="H47" s="38">
        <f t="shared" si="5"/>
        <v>-15730.205000000002</v>
      </c>
      <c r="I47" s="37">
        <f t="shared" si="6"/>
        <v>-0.89069583218671189</v>
      </c>
      <c r="J47" s="60" t="s">
        <v>534</v>
      </c>
      <c r="K47" s="75" t="s">
        <v>535</v>
      </c>
      <c r="L47" s="76" t="s">
        <v>536</v>
      </c>
    </row>
    <row r="48" spans="1:14" ht="86.45">
      <c r="A48" s="43" t="str">
        <v>Stockton Unified School Dist. - Bush Elementary</v>
      </c>
      <c r="B48" s="40" t="str">
        <v>CA</v>
      </c>
      <c r="C48" s="28">
        <v>24841.25</v>
      </c>
      <c r="D48" s="29">
        <v>34993.839999999997</v>
      </c>
      <c r="E48" s="29">
        <f t="shared" si="4"/>
        <v>-10152.589999999997</v>
      </c>
      <c r="F48" s="30">
        <f t="shared" si="3"/>
        <v>-0.29012506201091387</v>
      </c>
      <c r="G48" s="31">
        <v>38220.69</v>
      </c>
      <c r="H48" s="31">
        <f t="shared" si="5"/>
        <v>-13379.440000000002</v>
      </c>
      <c r="I48" s="32">
        <f t="shared" si="6"/>
        <v>-0.35005752120121331</v>
      </c>
      <c r="J48" s="62" t="s">
        <v>537</v>
      </c>
      <c r="K48" s="78" t="s">
        <v>538</v>
      </c>
      <c r="L48" s="76" t="s">
        <v>288</v>
      </c>
    </row>
    <row r="49" spans="1:14" ht="43.15">
      <c r="A49" s="41" t="str">
        <v>CA: Stockton - SUSD - Marshall JHS</v>
      </c>
      <c r="B49" s="42" t="str">
        <v>CA</v>
      </c>
      <c r="C49" s="35">
        <v>7190.375</v>
      </c>
      <c r="D49" s="36">
        <v>23249.65</v>
      </c>
      <c r="E49" s="36">
        <f t="shared" si="4"/>
        <v>-16059.275000000001</v>
      </c>
      <c r="F49" s="37">
        <f t="shared" si="3"/>
        <v>-0.69073190349102032</v>
      </c>
      <c r="G49" s="38">
        <v>25053.7</v>
      </c>
      <c r="H49" s="38">
        <f t="shared" si="5"/>
        <v>-17863.325000000001</v>
      </c>
      <c r="I49" s="37">
        <f t="shared" si="6"/>
        <v>-0.71300147283634752</v>
      </c>
      <c r="J49" s="60" t="s">
        <v>289</v>
      </c>
      <c r="K49" s="75" t="s">
        <v>539</v>
      </c>
    </row>
    <row r="50" spans="1:14" ht="28.9">
      <c r="A50" s="43" t="str">
        <v>CA: Stockton - SUSD - Hong-Kingston ES</v>
      </c>
      <c r="B50" s="40" t="str">
        <v>CA</v>
      </c>
      <c r="C50" s="28">
        <v>5469</v>
      </c>
      <c r="D50" s="29">
        <v>39358.15</v>
      </c>
      <c r="E50" s="29">
        <f t="shared" si="4"/>
        <v>-33889.15</v>
      </c>
      <c r="F50" s="30">
        <f t="shared" si="3"/>
        <v>-0.86104529811487585</v>
      </c>
      <c r="G50" s="31">
        <v>40675.83</v>
      </c>
      <c r="H50" s="31">
        <f t="shared" si="5"/>
        <v>-35206.83</v>
      </c>
      <c r="I50" s="32">
        <f t="shared" si="6"/>
        <v>-0.86554668952053349</v>
      </c>
      <c r="J50" s="62" t="s">
        <v>291</v>
      </c>
      <c r="K50" s="78" t="s">
        <v>540</v>
      </c>
    </row>
    <row r="51" spans="1:14" ht="15.6">
      <c r="A51" s="41" t="str">
        <v>CA: Stockton - SUSD - Hamilton ES</v>
      </c>
      <c r="B51" s="42" t="str">
        <v>CA</v>
      </c>
      <c r="C51" s="35">
        <v>5902.5</v>
      </c>
      <c r="D51" s="36">
        <v>20146.32</v>
      </c>
      <c r="E51" s="36">
        <f t="shared" si="4"/>
        <v>-14243.82</v>
      </c>
      <c r="F51" s="37">
        <f t="shared" si="3"/>
        <v>-0.70701845299786759</v>
      </c>
      <c r="G51" s="38">
        <v>21701.919999999998</v>
      </c>
      <c r="H51" s="38">
        <f t="shared" si="5"/>
        <v>-15799.419999999998</v>
      </c>
      <c r="I51" s="37">
        <f t="shared" si="6"/>
        <v>-0.72801945634303322</v>
      </c>
      <c r="J51" s="60" t="s">
        <v>541</v>
      </c>
      <c r="K51" s="75" t="s">
        <v>542</v>
      </c>
    </row>
    <row r="52" spans="1:14" ht="100.9">
      <c r="A52" s="43" t="str">
        <v>CA: Stockton - SUSD - Franklin - North</v>
      </c>
      <c r="B52" s="40" t="str">
        <v>CA</v>
      </c>
      <c r="C52" s="28">
        <v>23597.75</v>
      </c>
      <c r="D52" s="29">
        <v>101441.3</v>
      </c>
      <c r="E52" s="29">
        <f t="shared" si="4"/>
        <v>-77843.55</v>
      </c>
      <c r="F52" s="30">
        <f t="shared" si="3"/>
        <v>-0.76737531951976168</v>
      </c>
      <c r="G52" s="31">
        <v>57399.27</v>
      </c>
      <c r="H52" s="31">
        <f t="shared" si="5"/>
        <v>-33801.519999999997</v>
      </c>
      <c r="I52" s="32">
        <f t="shared" si="6"/>
        <v>-0.58888414434538972</v>
      </c>
      <c r="J52" s="62" t="s">
        <v>543</v>
      </c>
      <c r="K52" s="78" t="s">
        <v>544</v>
      </c>
      <c r="L52" s="76" t="s">
        <v>298</v>
      </c>
      <c r="M52" s="76" t="s">
        <v>317</v>
      </c>
      <c r="N52" s="76" t="s">
        <v>545</v>
      </c>
    </row>
    <row r="53" spans="1:14" ht="15.6">
      <c r="A53" s="41" t="str">
        <v>Stockton Unified School Dist. - Fillmore Elementary</v>
      </c>
      <c r="B53" s="42" t="str">
        <v>CA</v>
      </c>
      <c r="C53" s="35">
        <v>4248</v>
      </c>
      <c r="D53" s="36">
        <v>16447.349999999999</v>
      </c>
      <c r="E53" s="36">
        <f t="shared" si="4"/>
        <v>-12199.349999999999</v>
      </c>
      <c r="F53" s="37">
        <f t="shared" si="3"/>
        <v>-0.74172131072786796</v>
      </c>
      <c r="G53" s="38">
        <v>17629.73</v>
      </c>
      <c r="H53" s="38">
        <f t="shared" si="5"/>
        <v>-13381.73</v>
      </c>
      <c r="I53" s="37">
        <f t="shared" si="6"/>
        <v>-0.75904338863953102</v>
      </c>
      <c r="J53" s="60" t="s">
        <v>410</v>
      </c>
      <c r="K53" s="75" t="s">
        <v>546</v>
      </c>
    </row>
    <row r="54" spans="1:14" ht="28.9">
      <c r="A54" s="43" t="str">
        <v>CA: Stockton - SUSD - El Dorado ES</v>
      </c>
      <c r="B54" s="40" t="str">
        <v>CA</v>
      </c>
      <c r="C54" s="28">
        <v>5071.5</v>
      </c>
      <c r="D54" s="29">
        <v>21454.560000000001</v>
      </c>
      <c r="E54" s="29">
        <f t="shared" si="4"/>
        <v>-16383.060000000001</v>
      </c>
      <c r="F54" s="30">
        <f t="shared" si="3"/>
        <v>-0.76361668568360297</v>
      </c>
      <c r="G54" s="31">
        <v>0</v>
      </c>
      <c r="H54" s="31">
        <f t="shared" si="5"/>
        <v>5071.5</v>
      </c>
      <c r="I54" s="32" t="str">
        <f t="shared" si="6"/>
        <v/>
      </c>
      <c r="J54" s="62" t="s">
        <v>411</v>
      </c>
      <c r="K54" s="78" t="s">
        <v>547</v>
      </c>
    </row>
    <row r="55" spans="1:14" ht="15.6">
      <c r="A55" s="41" t="str">
        <v>CA: Stockton - SUSD - Edison HS</v>
      </c>
      <c r="B55" s="42" t="str">
        <v>CA</v>
      </c>
      <c r="C55" s="35">
        <v>37711.5</v>
      </c>
      <c r="D55" s="36">
        <v>55052.82</v>
      </c>
      <c r="E55" s="36">
        <f t="shared" si="4"/>
        <v>-17341.32</v>
      </c>
      <c r="F55" s="37">
        <f t="shared" si="3"/>
        <v>-0.31499421827982654</v>
      </c>
      <c r="G55" s="38">
        <v>59700.480000000003</v>
      </c>
      <c r="H55" s="38">
        <f t="shared" si="5"/>
        <v>-21988.980000000003</v>
      </c>
      <c r="I55" s="37">
        <f t="shared" si="6"/>
        <v>-0.36832166173538305</v>
      </c>
      <c r="J55" s="60" t="s">
        <v>548</v>
      </c>
      <c r="K55" s="75" t="s">
        <v>549</v>
      </c>
    </row>
    <row r="56" spans="1:14" ht="86.45">
      <c r="A56" s="43" t="str">
        <v>CA: Stockton - SUSD - Chavez HS - Large</v>
      </c>
      <c r="B56" s="40" t="str">
        <v>CA</v>
      </c>
      <c r="C56" s="28">
        <v>33494</v>
      </c>
      <c r="D56" s="29">
        <v>125616</v>
      </c>
      <c r="E56" s="29">
        <f t="shared" si="4"/>
        <v>-92122</v>
      </c>
      <c r="F56" s="30">
        <f t="shared" si="3"/>
        <v>-0.73336199210291686</v>
      </c>
      <c r="G56" s="31">
        <v>124394.1</v>
      </c>
      <c r="H56" s="31">
        <f t="shared" si="5"/>
        <v>-90900.1</v>
      </c>
      <c r="I56" s="32">
        <f t="shared" si="6"/>
        <v>-0.73074285677536155</v>
      </c>
      <c r="J56" s="62" t="s">
        <v>550</v>
      </c>
      <c r="K56" s="78" t="s">
        <v>551</v>
      </c>
      <c r="L56" s="76" t="s">
        <v>308</v>
      </c>
    </row>
    <row r="57" spans="1:14" ht="57.6">
      <c r="A57" s="41" t="str">
        <v>CA: San Jose - GE Mobile Water</v>
      </c>
      <c r="B57" s="42" t="str">
        <v>CA</v>
      </c>
      <c r="C57" s="35">
        <v>26770</v>
      </c>
      <c r="D57" s="36">
        <v>31066.95</v>
      </c>
      <c r="E57" s="36">
        <f t="shared" si="4"/>
        <v>-4296.9500000000007</v>
      </c>
      <c r="F57" s="37">
        <f t="shared" si="3"/>
        <v>-0.13831257976724462</v>
      </c>
      <c r="G57" s="38">
        <v>31803.599999999999</v>
      </c>
      <c r="H57" s="38">
        <f t="shared" si="5"/>
        <v>-5033.5999999999985</v>
      </c>
      <c r="I57" s="37">
        <f t="shared" si="6"/>
        <v>-0.15827139066017679</v>
      </c>
      <c r="J57" s="60" t="s">
        <v>552</v>
      </c>
      <c r="K57" s="75" t="s">
        <v>553</v>
      </c>
      <c r="L57" s="76" t="s">
        <v>554</v>
      </c>
    </row>
    <row r="58" spans="1:14" ht="15.6">
      <c r="A58" s="43" t="str">
        <v>CA: San Marcos - Vallecitos Water - Lift Station</v>
      </c>
      <c r="B58" s="40" t="str">
        <v>CA</v>
      </c>
      <c r="C58" s="28">
        <v>38633.625</v>
      </c>
      <c r="D58" s="29">
        <v>40409.49</v>
      </c>
      <c r="E58" s="29">
        <f t="shared" si="4"/>
        <v>-1775.864999999998</v>
      </c>
      <c r="F58" s="30">
        <f t="shared" si="3"/>
        <v>-4.3946731324745698E-2</v>
      </c>
      <c r="G58" s="31">
        <v>39827.83</v>
      </c>
      <c r="H58" s="31">
        <f t="shared" si="5"/>
        <v>-1194.2050000000017</v>
      </c>
      <c r="I58" s="32">
        <f t="shared" si="6"/>
        <v>-2.9984184425814856E-2</v>
      </c>
      <c r="J58" s="62"/>
      <c r="K58" s="62"/>
    </row>
    <row r="59" spans="1:14" ht="15.6">
      <c r="A59" s="41" t="str">
        <v>CA: San Marcos - Vallecitos Water - Twin Oaks Reservoir</v>
      </c>
      <c r="B59" s="42" t="str">
        <v>CA</v>
      </c>
      <c r="C59" s="35">
        <v>298630</v>
      </c>
      <c r="D59" s="36">
        <v>333287.59999999998</v>
      </c>
      <c r="E59" s="36">
        <f t="shared" si="4"/>
        <v>-34657.599999999977</v>
      </c>
      <c r="F59" s="37">
        <f t="shared" si="3"/>
        <v>-0.10398706702559585</v>
      </c>
      <c r="G59" s="38">
        <v>258228</v>
      </c>
      <c r="H59" s="38">
        <f t="shared" si="5"/>
        <v>40402</v>
      </c>
      <c r="I59" s="37">
        <f t="shared" si="6"/>
        <v>0.15645863345570582</v>
      </c>
      <c r="J59" s="60" t="s">
        <v>555</v>
      </c>
      <c r="K59" s="75" t="s">
        <v>556</v>
      </c>
    </row>
    <row r="60" spans="1:14" ht="28.9">
      <c r="A60" s="43" t="str">
        <v>CA: Stockton - SUSD - Wilhelmina Henry ES</v>
      </c>
      <c r="B60" s="40" t="str">
        <v>CA</v>
      </c>
      <c r="C60" s="28">
        <v>7622.25</v>
      </c>
      <c r="D60" s="29">
        <v>48297.74</v>
      </c>
      <c r="E60" s="29">
        <f t="shared" si="4"/>
        <v>-40675.49</v>
      </c>
      <c r="F60" s="30">
        <f t="shared" si="3"/>
        <v>-0.84218205655171441</v>
      </c>
      <c r="G60" s="31">
        <v>40062.410000000003</v>
      </c>
      <c r="H60" s="31">
        <f t="shared" si="5"/>
        <v>-32440.160000000003</v>
      </c>
      <c r="I60" s="32">
        <f t="shared" si="6"/>
        <v>-0.80974060222537791</v>
      </c>
      <c r="J60" s="62" t="s">
        <v>421</v>
      </c>
      <c r="K60" s="78" t="s">
        <v>557</v>
      </c>
    </row>
    <row r="61" spans="1:14" ht="15.6" hidden="1">
      <c r="A61" s="41" t="str">
        <v>Stockton Unified School Dist. - Franklin (North)</v>
      </c>
      <c r="B61" s="42" t="str">
        <v>CA</v>
      </c>
      <c r="C61" s="35"/>
      <c r="D61" s="36"/>
      <c r="E61" s="36" t="str">
        <f t="shared" si="4"/>
        <v/>
      </c>
      <c r="F61" s="37" t="str">
        <f t="shared" si="3"/>
        <v/>
      </c>
      <c r="G61" s="38"/>
      <c r="H61" s="38" t="str">
        <f t="shared" si="5"/>
        <v/>
      </c>
      <c r="I61" s="37" t="str">
        <f t="shared" si="6"/>
        <v/>
      </c>
      <c r="J61" s="60"/>
      <c r="K61" s="59"/>
    </row>
    <row r="62" spans="1:14" ht="72">
      <c r="A62" s="43" t="str">
        <v>CA: Stockton - SUSD - Franklin - South</v>
      </c>
      <c r="B62" s="40" t="str">
        <v>CA</v>
      </c>
      <c r="C62" s="28">
        <v>33051</v>
      </c>
      <c r="D62" s="29">
        <v>93204.15</v>
      </c>
      <c r="E62" s="29">
        <f t="shared" si="4"/>
        <v>-60153.149999999994</v>
      </c>
      <c r="F62" s="30">
        <f t="shared" si="3"/>
        <v>-0.64539132645917585</v>
      </c>
      <c r="G62" s="31">
        <v>93184.13</v>
      </c>
      <c r="H62" s="31">
        <f t="shared" si="5"/>
        <v>-60133.130000000005</v>
      </c>
      <c r="I62" s="32">
        <f t="shared" si="6"/>
        <v>-0.64531514110825527</v>
      </c>
      <c r="J62" s="62" t="s">
        <v>558</v>
      </c>
      <c r="K62" s="78" t="s">
        <v>559</v>
      </c>
      <c r="L62" s="76" t="s">
        <v>424</v>
      </c>
      <c r="M62" s="76" t="s">
        <v>320</v>
      </c>
    </row>
    <row r="63" spans="1:14" ht="28.9">
      <c r="A63" s="41" t="str">
        <v>CA: Stockton - SUSD - Chavez HS - Small</v>
      </c>
      <c r="B63" s="42" t="str">
        <v>CA</v>
      </c>
      <c r="C63" s="35">
        <v>21585.25</v>
      </c>
      <c r="D63" s="36">
        <v>23827.7</v>
      </c>
      <c r="E63" s="36">
        <f t="shared" si="4"/>
        <v>-2242.4500000000007</v>
      </c>
      <c r="F63" s="37">
        <f t="shared" si="3"/>
        <v>-9.4111055620139619E-2</v>
      </c>
      <c r="G63" s="38">
        <v>35082.370000000003</v>
      </c>
      <c r="H63" s="38">
        <f t="shared" si="5"/>
        <v>-13497.120000000003</v>
      </c>
      <c r="I63" s="37">
        <f t="shared" si="6"/>
        <v>-0.38472657348976141</v>
      </c>
      <c r="J63" s="60" t="s">
        <v>425</v>
      </c>
      <c r="K63" s="75" t="s">
        <v>560</v>
      </c>
    </row>
    <row r="64" spans="1:14" ht="43.15">
      <c r="A64" s="43" t="str">
        <v>CA: Stockton - SUSD - Facilities</v>
      </c>
      <c r="B64" s="40" t="str">
        <v>CA</v>
      </c>
      <c r="C64" s="28">
        <v>18136</v>
      </c>
      <c r="D64" s="29">
        <v>53149.77</v>
      </c>
      <c r="E64" s="29">
        <f t="shared" si="4"/>
        <v>-35013.769999999997</v>
      </c>
      <c r="F64" s="30">
        <f t="shared" si="3"/>
        <v>-0.65877556948976446</v>
      </c>
      <c r="G64" s="31">
        <v>60065.86</v>
      </c>
      <c r="H64" s="31">
        <f t="shared" si="5"/>
        <v>-41929.86</v>
      </c>
      <c r="I64" s="32">
        <f t="shared" si="6"/>
        <v>-0.69806475758442488</v>
      </c>
      <c r="J64" s="62" t="s">
        <v>561</v>
      </c>
      <c r="K64" s="78" t="s">
        <v>562</v>
      </c>
    </row>
    <row r="65" spans="1:17" ht="28.9">
      <c r="A65" s="41" t="str">
        <v>CA: Stockton - SUSD - Harrison</v>
      </c>
      <c r="B65" s="42" t="str">
        <v>CA</v>
      </c>
      <c r="C65" s="35">
        <v>13665.125</v>
      </c>
      <c r="D65" s="36">
        <v>20970.91</v>
      </c>
      <c r="E65" s="36">
        <f t="shared" si="4"/>
        <v>-7305.7849999999999</v>
      </c>
      <c r="F65" s="37">
        <f t="shared" si="3"/>
        <v>-0.34837710905249225</v>
      </c>
      <c r="G65" s="38">
        <v>21458.99</v>
      </c>
      <c r="H65" s="38">
        <f t="shared" si="5"/>
        <v>-7793.8650000000016</v>
      </c>
      <c r="I65" s="37">
        <f t="shared" si="6"/>
        <v>-0.36319812815048619</v>
      </c>
      <c r="J65" s="60" t="s">
        <v>563</v>
      </c>
      <c r="K65" s="75" t="s">
        <v>564</v>
      </c>
    </row>
    <row r="66" spans="1:17" ht="15.6">
      <c r="A66" s="43" t="str">
        <v>CA: Stockton - SUSD - Commodore Skills School</v>
      </c>
      <c r="B66" s="40" t="str">
        <v>CA</v>
      </c>
      <c r="C66" s="28">
        <v>6365.5</v>
      </c>
      <c r="D66" s="29">
        <v>42040.41</v>
      </c>
      <c r="E66" s="29">
        <f t="shared" si="4"/>
        <v>-35674.910000000003</v>
      </c>
      <c r="F66" s="30">
        <f t="shared" si="3"/>
        <v>-0.84858615793708958</v>
      </c>
      <c r="G66" s="31">
        <v>46751.18</v>
      </c>
      <c r="H66" s="31">
        <f t="shared" si="5"/>
        <v>-40385.68</v>
      </c>
      <c r="I66" s="32">
        <f t="shared" si="6"/>
        <v>-0.86384300888234267</v>
      </c>
      <c r="J66" s="62" t="s">
        <v>429</v>
      </c>
      <c r="K66" s="78" t="s">
        <v>565</v>
      </c>
    </row>
    <row r="67" spans="1:17" ht="15.6">
      <c r="A67" s="41" t="str">
        <v>CA: Stockton - SUSD - Nightingale ES</v>
      </c>
      <c r="B67" s="42" t="str">
        <v>CA</v>
      </c>
      <c r="C67" s="35">
        <v>17410</v>
      </c>
      <c r="D67" s="36">
        <v>20517.650000000001</v>
      </c>
      <c r="E67" s="36">
        <f t="shared" si="4"/>
        <v>-3107.6500000000015</v>
      </c>
      <c r="F67" s="37">
        <f t="shared" si="3"/>
        <v>-0.1514622776000176</v>
      </c>
      <c r="G67" s="38">
        <v>21652.34</v>
      </c>
      <c r="H67" s="38">
        <f t="shared" si="5"/>
        <v>-4242.34</v>
      </c>
      <c r="I67" s="37">
        <f t="shared" si="6"/>
        <v>-0.19592986254603428</v>
      </c>
      <c r="J67" s="60" t="s">
        <v>430</v>
      </c>
      <c r="K67" s="75" t="s">
        <v>566</v>
      </c>
    </row>
    <row r="68" spans="1:17" ht="43.15">
      <c r="A68" s="43" t="str">
        <v>CA: Stockton - SUSD - Weber Institute</v>
      </c>
      <c r="B68" s="40" t="str">
        <v>CA</v>
      </c>
      <c r="C68" s="28">
        <v>7706.75</v>
      </c>
      <c r="D68" s="29">
        <v>42520.68</v>
      </c>
      <c r="E68" s="29">
        <f t="shared" si="4"/>
        <v>-34813.93</v>
      </c>
      <c r="F68" s="30">
        <f t="shared" si="3"/>
        <v>-0.81875289858958045</v>
      </c>
      <c r="G68" s="31">
        <v>44905.38</v>
      </c>
      <c r="H68" s="31">
        <f t="shared" si="5"/>
        <v>-37198.629999999997</v>
      </c>
      <c r="I68" s="32">
        <f t="shared" si="6"/>
        <v>-0.82837802508296332</v>
      </c>
      <c r="J68" s="62" t="s">
        <v>432</v>
      </c>
      <c r="K68" s="78" t="s">
        <v>330</v>
      </c>
    </row>
    <row r="69" spans="1:17" ht="28.9">
      <c r="A69" s="41" t="str">
        <v>CA: Stockton - SUSD - Warehouse</v>
      </c>
      <c r="B69" s="42" t="str">
        <v>CA</v>
      </c>
      <c r="C69" s="35">
        <v>17649.75</v>
      </c>
      <c r="D69" s="36">
        <v>37104.230000000003</v>
      </c>
      <c r="E69" s="36">
        <f t="shared" si="4"/>
        <v>-19454.480000000003</v>
      </c>
      <c r="F69" s="37">
        <f t="shared" si="3"/>
        <v>-0.52431973389556941</v>
      </c>
      <c r="G69" s="38">
        <v>42317.17</v>
      </c>
      <c r="H69" s="38">
        <f t="shared" si="5"/>
        <v>-24667.42</v>
      </c>
      <c r="I69" s="37">
        <f t="shared" si="6"/>
        <v>-0.58291752496681604</v>
      </c>
      <c r="J69" s="60" t="s">
        <v>567</v>
      </c>
      <c r="K69" s="75" t="s">
        <v>568</v>
      </c>
    </row>
    <row r="70" spans="1:17" ht="28.9">
      <c r="A70" s="43" t="str">
        <v>CA: Stockton - SUSD - Walton Special Center</v>
      </c>
      <c r="B70" s="40" t="str">
        <v>CA</v>
      </c>
      <c r="C70" s="28">
        <v>12840.5</v>
      </c>
      <c r="D70" s="29">
        <v>29254.84</v>
      </c>
      <c r="E70" s="29">
        <f t="shared" si="4"/>
        <v>-16414.34</v>
      </c>
      <c r="F70" s="30">
        <f t="shared" ref="F70:F85" si="7">IFERROR(E70/D70, "")</f>
        <v>-0.56108117494404341</v>
      </c>
      <c r="G70" s="31">
        <v>30721.52</v>
      </c>
      <c r="H70" s="31">
        <f t="shared" si="5"/>
        <v>-17881.02</v>
      </c>
      <c r="I70" s="32">
        <f t="shared" si="6"/>
        <v>-0.58203565448584571</v>
      </c>
      <c r="J70" s="62" t="s">
        <v>569</v>
      </c>
      <c r="K70" s="78" t="s">
        <v>570</v>
      </c>
      <c r="L70" s="76" t="s">
        <v>571</v>
      </c>
    </row>
    <row r="71" spans="1:17" ht="57.6">
      <c r="A71" s="41" t="str">
        <v>CA: Stockton - SUSD - Stagg HS</v>
      </c>
      <c r="B71" s="42" t="str">
        <v>CA</v>
      </c>
      <c r="C71" s="35">
        <v>72265</v>
      </c>
      <c r="D71" s="36">
        <v>113651</v>
      </c>
      <c r="E71" s="36">
        <f t="shared" ref="E71:E85" si="8">IF(AND(ISNUMBER(C71),ISNUMBER(D71)), C71-D71, "")</f>
        <v>-41386</v>
      </c>
      <c r="F71" s="37">
        <f t="shared" si="7"/>
        <v>-0.36414989749320287</v>
      </c>
      <c r="G71" s="38">
        <v>117620.7</v>
      </c>
      <c r="H71" s="38">
        <f t="shared" ref="H71:H85" si="9">IF(AND(ISNUMBER(C71),ISNUMBER(G71)), C71-G71, "")</f>
        <v>-45355.7</v>
      </c>
      <c r="I71" s="37">
        <f t="shared" ref="I71:I85" si="10">IFERROR(H71/G71, "")</f>
        <v>-0.38560984588597075</v>
      </c>
      <c r="J71" s="60" t="s">
        <v>572</v>
      </c>
      <c r="K71" s="75" t="s">
        <v>573</v>
      </c>
      <c r="L71" s="76" t="s">
        <v>437</v>
      </c>
    </row>
    <row r="72" spans="1:17" ht="28.9">
      <c r="A72" s="43" t="str">
        <v>CA: Stockton - SUSD - School for Adults</v>
      </c>
      <c r="B72" s="40" t="str">
        <v>CA</v>
      </c>
      <c r="C72" s="28">
        <v>8772.125</v>
      </c>
      <c r="D72" s="29">
        <v>24781.07</v>
      </c>
      <c r="E72" s="29">
        <f t="shared" si="8"/>
        <v>-16008.945</v>
      </c>
      <c r="F72" s="30">
        <f t="shared" si="7"/>
        <v>-0.64601508328736412</v>
      </c>
      <c r="G72" s="31">
        <v>25460.69</v>
      </c>
      <c r="H72" s="31">
        <f t="shared" si="9"/>
        <v>-16688.564999999999</v>
      </c>
      <c r="I72" s="32">
        <f t="shared" si="10"/>
        <v>-0.65546397210759011</v>
      </c>
      <c r="J72" s="62" t="s">
        <v>438</v>
      </c>
      <c r="K72" s="78" t="s">
        <v>574</v>
      </c>
    </row>
    <row r="73" spans="1:17" ht="28.9">
      <c r="A73" s="41" t="str">
        <v>CA: Stockton - SUSD - San Joaquin</v>
      </c>
      <c r="B73" s="42" t="str">
        <v>CA</v>
      </c>
      <c r="C73" s="35">
        <v>11071.375</v>
      </c>
      <c r="D73" s="36">
        <v>21802.17</v>
      </c>
      <c r="E73" s="36">
        <f t="shared" si="8"/>
        <v>-10730.794999999998</v>
      </c>
      <c r="F73" s="37">
        <f t="shared" si="7"/>
        <v>-0.49218930959624657</v>
      </c>
      <c r="G73" s="38">
        <v>24027.39</v>
      </c>
      <c r="H73" s="38">
        <f t="shared" si="9"/>
        <v>-12956.014999999999</v>
      </c>
      <c r="I73" s="37">
        <f t="shared" si="10"/>
        <v>-0.53921857513446114</v>
      </c>
      <c r="J73" s="60" t="s">
        <v>575</v>
      </c>
      <c r="K73" s="75" t="s">
        <v>576</v>
      </c>
    </row>
    <row r="74" spans="1:17" ht="28.9">
      <c r="A74" s="43" t="str">
        <v>CA: Stockton - SUSD - Rio Calaveras</v>
      </c>
      <c r="B74" s="40" t="str">
        <v>CA</v>
      </c>
      <c r="C74" s="28">
        <v>5516.125</v>
      </c>
      <c r="D74" s="29">
        <v>23855.98</v>
      </c>
      <c r="E74" s="29">
        <f t="shared" si="8"/>
        <v>-18339.855</v>
      </c>
      <c r="F74" s="30">
        <f t="shared" si="7"/>
        <v>-0.76877390909952137</v>
      </c>
      <c r="G74" s="31">
        <v>0</v>
      </c>
      <c r="H74" s="31">
        <f t="shared" si="9"/>
        <v>5516.125</v>
      </c>
      <c r="I74" s="32" t="str">
        <f t="shared" si="10"/>
        <v/>
      </c>
      <c r="J74" s="62" t="s">
        <v>440</v>
      </c>
      <c r="K74" s="78" t="s">
        <v>577</v>
      </c>
    </row>
    <row r="75" spans="1:17" ht="28.9">
      <c r="A75" s="41" t="str">
        <v>CA: Stockton - SUSD - Peyton</v>
      </c>
      <c r="B75" s="42" t="str">
        <v>CA</v>
      </c>
      <c r="C75" s="35">
        <v>40097.5</v>
      </c>
      <c r="D75" s="36">
        <v>51731.14</v>
      </c>
      <c r="E75" s="36">
        <f t="shared" si="8"/>
        <v>-11633.64</v>
      </c>
      <c r="F75" s="37">
        <f t="shared" si="7"/>
        <v>-0.22488659635182986</v>
      </c>
      <c r="G75" s="38">
        <v>52024.800000000003</v>
      </c>
      <c r="H75" s="38">
        <f t="shared" si="9"/>
        <v>-11927.300000000003</v>
      </c>
      <c r="I75" s="37">
        <f t="shared" si="10"/>
        <v>-0.22926181359659245</v>
      </c>
      <c r="J75" s="60" t="s">
        <v>578</v>
      </c>
      <c r="K75" s="75" t="s">
        <v>579</v>
      </c>
    </row>
    <row r="76" spans="1:17" ht="201.6">
      <c r="A76" s="43" t="str">
        <v>TX: Barnhart - 42917 Ranch RD 2469</v>
      </c>
      <c r="B76" s="40" t="str">
        <v>TX</v>
      </c>
      <c r="C76" s="28">
        <v>249240</v>
      </c>
      <c r="D76" s="29">
        <v>277355.2</v>
      </c>
      <c r="E76" s="29">
        <f t="shared" si="8"/>
        <v>-28115.200000000012</v>
      </c>
      <c r="F76" s="30">
        <f t="shared" si="7"/>
        <v>-0.1013689305266316</v>
      </c>
      <c r="G76" s="31">
        <v>262609.59999999998</v>
      </c>
      <c r="H76" s="31">
        <f t="shared" si="9"/>
        <v>-13369.599999999977</v>
      </c>
      <c r="I76" s="32">
        <f t="shared" si="10"/>
        <v>-5.09105531557109E-2</v>
      </c>
      <c r="J76" s="62" t="s">
        <v>580</v>
      </c>
      <c r="K76" s="78" t="s">
        <v>581</v>
      </c>
      <c r="L76" s="76" t="s">
        <v>582</v>
      </c>
      <c r="M76" s="76" t="s">
        <v>583</v>
      </c>
      <c r="N76" s="76" t="s">
        <v>584</v>
      </c>
      <c r="O76" s="76" t="s">
        <v>445</v>
      </c>
      <c r="P76" s="76" t="s">
        <v>445</v>
      </c>
      <c r="Q76" s="76" t="s">
        <v>585</v>
      </c>
    </row>
    <row r="77" spans="1:17" ht="28.9">
      <c r="A77" s="41" t="str">
        <v>AZ: San Manuel - Senior &amp; Junior HS</v>
      </c>
      <c r="B77" s="42" t="str">
        <v>AZ</v>
      </c>
      <c r="C77" s="35">
        <v>33259</v>
      </c>
      <c r="D77" s="36" t="s">
        <v>43</v>
      </c>
      <c r="E77" s="36" t="str">
        <f t="shared" si="8"/>
        <v/>
      </c>
      <c r="F77" s="37" t="str">
        <f t="shared" si="7"/>
        <v/>
      </c>
      <c r="G77" s="38">
        <v>47773</v>
      </c>
      <c r="H77" s="38">
        <f t="shared" si="9"/>
        <v>-14514</v>
      </c>
      <c r="I77" s="37">
        <f t="shared" si="10"/>
        <v>-0.30381177652648989</v>
      </c>
      <c r="J77" s="60" t="s">
        <v>586</v>
      </c>
      <c r="K77" s="75" t="s">
        <v>587</v>
      </c>
      <c r="L77" s="76" t="s">
        <v>588</v>
      </c>
    </row>
    <row r="78" spans="1:17" ht="72">
      <c r="A78" s="43" t="str">
        <v>AZ: Sierra Vista - Colonel Smith MS</v>
      </c>
      <c r="B78" s="40" t="str">
        <v>AZ</v>
      </c>
      <c r="C78" s="28">
        <v>39570</v>
      </c>
      <c r="D78" s="29">
        <v>66177.73</v>
      </c>
      <c r="E78" s="29">
        <f t="shared" si="8"/>
        <v>-26607.729999999996</v>
      </c>
      <c r="F78" s="30">
        <f t="shared" si="7"/>
        <v>-0.40206471270622302</v>
      </c>
      <c r="G78" s="31">
        <v>54833.120000000003</v>
      </c>
      <c r="H78" s="31">
        <f t="shared" si="9"/>
        <v>-15263.120000000003</v>
      </c>
      <c r="I78" s="32">
        <f t="shared" si="10"/>
        <v>-0.27835585500150278</v>
      </c>
      <c r="J78" s="62" t="s">
        <v>449</v>
      </c>
      <c r="K78" s="78" t="s">
        <v>450</v>
      </c>
    </row>
    <row r="79" spans="1:17" ht="43.15">
      <c r="A79" s="41" t="str">
        <v>AZ: Sierra Vista - Colonel Johnston ES</v>
      </c>
      <c r="B79" s="42" t="str">
        <v>AZ</v>
      </c>
      <c r="C79" s="35">
        <v>13120</v>
      </c>
      <c r="D79" s="36">
        <v>22119.75</v>
      </c>
      <c r="E79" s="36">
        <f t="shared" si="8"/>
        <v>-8999.75</v>
      </c>
      <c r="F79" s="37">
        <f t="shared" si="7"/>
        <v>-0.40686490579685575</v>
      </c>
      <c r="G79" s="38">
        <v>18050.89</v>
      </c>
      <c r="H79" s="38">
        <f t="shared" si="9"/>
        <v>-4930.8899999999994</v>
      </c>
      <c r="I79" s="37">
        <f t="shared" si="10"/>
        <v>-0.2731660322565812</v>
      </c>
      <c r="J79" s="60" t="s">
        <v>451</v>
      </c>
      <c r="K79" s="75" t="s">
        <v>452</v>
      </c>
    </row>
    <row r="80" spans="1:17" ht="57.6">
      <c r="A80" s="43" t="str">
        <v>NH: Dover - Dover HS</v>
      </c>
      <c r="B80" s="40" t="str">
        <v>NH</v>
      </c>
      <c r="C80" s="28">
        <v>101448</v>
      </c>
      <c r="D80" s="29">
        <v>151536.29999999999</v>
      </c>
      <c r="E80" s="29">
        <f t="shared" si="8"/>
        <v>-50088.299999999988</v>
      </c>
      <c r="F80" s="30">
        <f t="shared" si="7"/>
        <v>-0.33053664369527297</v>
      </c>
      <c r="G80" s="31">
        <v>127504.3</v>
      </c>
      <c r="H80" s="31">
        <f t="shared" si="9"/>
        <v>-26056.300000000003</v>
      </c>
      <c r="I80" s="32">
        <f t="shared" si="10"/>
        <v>-0.20435624524035662</v>
      </c>
      <c r="J80" s="62" t="s">
        <v>453</v>
      </c>
      <c r="K80" s="78" t="s">
        <v>454</v>
      </c>
    </row>
    <row r="81" spans="1:14" ht="72">
      <c r="A81" s="41" t="str">
        <v>MA: Somerville - 30 Inner Belt Rd</v>
      </c>
      <c r="B81" s="42" t="str">
        <v>MA</v>
      </c>
      <c r="C81" s="35">
        <v>107038.5</v>
      </c>
      <c r="D81" s="36">
        <v>103026.4</v>
      </c>
      <c r="E81" s="36">
        <f t="shared" si="8"/>
        <v>4012.1000000000058</v>
      </c>
      <c r="F81" s="37">
        <f t="shared" si="7"/>
        <v>3.894244581971229E-2</v>
      </c>
      <c r="G81" s="38">
        <v>179551.4</v>
      </c>
      <c r="H81" s="38">
        <f t="shared" si="9"/>
        <v>-72512.899999999994</v>
      </c>
      <c r="I81" s="37">
        <f t="shared" si="10"/>
        <v>-0.40385594320066565</v>
      </c>
      <c r="J81" s="60" t="s">
        <v>455</v>
      </c>
      <c r="K81" s="59"/>
    </row>
    <row r="82" spans="1:14" ht="86.45">
      <c r="A82" s="43" t="str">
        <v>MA: Boxborough - 1414 Massachusetts Ave</v>
      </c>
      <c r="B82" s="40" t="str">
        <v>MA</v>
      </c>
      <c r="C82" s="28">
        <v>749542.92820371396</v>
      </c>
      <c r="D82" s="29">
        <v>152204.1</v>
      </c>
      <c r="E82" s="29">
        <f t="shared" si="8"/>
        <v>597338.82820371399</v>
      </c>
      <c r="F82" s="30">
        <f t="shared" si="7"/>
        <v>3.9245909157750281</v>
      </c>
      <c r="G82" s="31">
        <v>728700</v>
      </c>
      <c r="H82" s="31">
        <f t="shared" si="9"/>
        <v>20842.928203713964</v>
      </c>
      <c r="I82" s="32">
        <f t="shared" si="10"/>
        <v>2.8602893102393254E-2</v>
      </c>
      <c r="J82" s="62" t="s">
        <v>589</v>
      </c>
      <c r="K82" s="78" t="s">
        <v>590</v>
      </c>
      <c r="L82" s="76" t="s">
        <v>591</v>
      </c>
      <c r="M82" s="76" t="s">
        <v>592</v>
      </c>
    </row>
    <row r="83" spans="1:14" ht="72">
      <c r="A83" s="41" t="str">
        <v>NY: Amsterdam - 153 NY Route 67</v>
      </c>
      <c r="B83" s="42" t="str">
        <v>NY</v>
      </c>
      <c r="C83" s="35">
        <v>404966</v>
      </c>
      <c r="D83" s="36">
        <v>318839.40000000002</v>
      </c>
      <c r="E83" s="36">
        <f t="shared" si="8"/>
        <v>86126.599999999977</v>
      </c>
      <c r="F83" s="37">
        <f t="shared" si="7"/>
        <v>0.27012533582737885</v>
      </c>
      <c r="G83" s="38">
        <v>385582</v>
      </c>
      <c r="H83" s="38">
        <f t="shared" si="9"/>
        <v>19384</v>
      </c>
      <c r="I83" s="37">
        <f t="shared" si="10"/>
        <v>5.0272056268186795E-2</v>
      </c>
      <c r="J83" s="60" t="s">
        <v>593</v>
      </c>
      <c r="K83" s="75" t="s">
        <v>460</v>
      </c>
      <c r="L83" s="76" t="s">
        <v>461</v>
      </c>
      <c r="M83" s="76" t="s">
        <v>462</v>
      </c>
    </row>
    <row r="84" spans="1:14" ht="15.6">
      <c r="A84" s="43" t="str">
        <v>CA: San Jose - GE Mobile Water</v>
      </c>
      <c r="B84" s="40" t="str">
        <v>CA</v>
      </c>
      <c r="C84" s="28">
        <v>26770</v>
      </c>
      <c r="D84" s="29">
        <v>31066.95</v>
      </c>
      <c r="E84" s="29">
        <f t="shared" si="8"/>
        <v>-4296.9500000000007</v>
      </c>
      <c r="F84" s="30">
        <f t="shared" si="7"/>
        <v>-0.13831257976724462</v>
      </c>
      <c r="G84" s="31">
        <v>31803.599999999999</v>
      </c>
      <c r="H84" s="31">
        <f t="shared" si="9"/>
        <v>-5033.5999999999985</v>
      </c>
      <c r="I84" s="32">
        <f t="shared" si="10"/>
        <v>-0.15827139066017679</v>
      </c>
      <c r="J84" s="62" t="s">
        <v>463</v>
      </c>
      <c r="K84" s="78" t="s">
        <v>310</v>
      </c>
    </row>
    <row r="85" spans="1:14" ht="72">
      <c r="A85" s="41" t="str">
        <v>NY: Rome - 7776 Tannery RD</v>
      </c>
      <c r="B85" s="42" t="str">
        <v>NY</v>
      </c>
      <c r="C85" s="35">
        <v>366427.06986908597</v>
      </c>
      <c r="D85" s="36">
        <v>406250.3</v>
      </c>
      <c r="E85" s="36">
        <f t="shared" si="8"/>
        <v>-39823.230130914017</v>
      </c>
      <c r="F85" s="37">
        <f t="shared" si="7"/>
        <v>-9.8026340241260168E-2</v>
      </c>
      <c r="G85" s="38">
        <v>393122.8</v>
      </c>
      <c r="H85" s="38">
        <f t="shared" si="9"/>
        <v>-26695.730130914017</v>
      </c>
      <c r="I85" s="37">
        <f t="shared" si="10"/>
        <v>-6.7906847760837122E-2</v>
      </c>
      <c r="J85" s="60" t="s">
        <v>594</v>
      </c>
      <c r="K85" s="75" t="s">
        <v>595</v>
      </c>
      <c r="L85" s="76" t="s">
        <v>467</v>
      </c>
      <c r="M85" s="76" t="s">
        <v>596</v>
      </c>
      <c r="N85" s="76" t="s">
        <v>597</v>
      </c>
    </row>
    <row r="86" spans="1:14" ht="14.45">
      <c r="A86" s="8"/>
      <c r="B86" s="13"/>
      <c r="C86" s="8"/>
      <c r="D86" s="8"/>
      <c r="E86" s="8"/>
      <c r="F86" s="9"/>
      <c r="G86" s="8"/>
      <c r="H86" s="8"/>
      <c r="I86" s="9"/>
      <c r="J86" s="8"/>
      <c r="K86" s="8"/>
    </row>
    <row r="87" spans="1:14" ht="14.45">
      <c r="A87" s="8"/>
      <c r="B87" s="13"/>
      <c r="C87" s="8"/>
      <c r="D87" s="8"/>
      <c r="E87" s="8"/>
      <c r="F87" s="9"/>
      <c r="G87" s="8"/>
      <c r="H87" s="8"/>
      <c r="I87" s="9"/>
      <c r="J87" s="8"/>
      <c r="K87" s="8"/>
    </row>
    <row r="88" spans="1:14" ht="14.45">
      <c r="A88" s="8"/>
      <c r="B88" s="13"/>
      <c r="C88" s="8"/>
      <c r="D88" s="8"/>
      <c r="E88" s="8"/>
      <c r="F88" s="9"/>
      <c r="G88" s="8"/>
      <c r="H88" s="8"/>
      <c r="I88" s="9"/>
      <c r="J88" s="8"/>
      <c r="K88" s="8"/>
    </row>
    <row r="89" spans="1:14" ht="14.45">
      <c r="A89" s="8"/>
      <c r="B89" s="13"/>
      <c r="C89" s="8"/>
      <c r="D89" s="8"/>
      <c r="E89" s="8"/>
      <c r="F89" s="9"/>
      <c r="G89" s="8"/>
      <c r="H89" s="8"/>
      <c r="I89" s="9"/>
      <c r="J89" s="8"/>
      <c r="K89" s="8"/>
    </row>
    <row r="90" spans="1:14" ht="14.45">
      <c r="A90" s="8"/>
      <c r="B90" s="13"/>
      <c r="C90" s="8"/>
      <c r="D90" s="8"/>
      <c r="E90" s="8"/>
      <c r="F90" s="9"/>
      <c r="G90" s="8"/>
      <c r="H90" s="8"/>
      <c r="I90" s="9"/>
      <c r="J90" s="8"/>
      <c r="K90" s="8"/>
    </row>
    <row r="91" spans="1:14" ht="14.45">
      <c r="A91" s="8"/>
      <c r="B91" s="13"/>
      <c r="C91" s="8"/>
      <c r="D91" s="8"/>
      <c r="E91" s="8"/>
      <c r="F91" s="9"/>
      <c r="G91" s="8"/>
      <c r="H91" s="8"/>
      <c r="I91" s="9"/>
      <c r="J91" s="8"/>
      <c r="K91" s="8"/>
    </row>
    <row r="92" spans="1:14" ht="14.45">
      <c r="A92" s="8"/>
      <c r="B92" s="13"/>
      <c r="C92" s="8"/>
      <c r="D92" s="8"/>
      <c r="E92" s="8"/>
      <c r="F92" s="9"/>
      <c r="G92" s="8"/>
      <c r="H92" s="8"/>
      <c r="I92" s="9"/>
      <c r="J92" s="8"/>
      <c r="K92" s="8"/>
    </row>
    <row r="93" spans="1:14" ht="14.45">
      <c r="A93" s="8"/>
      <c r="B93" s="13"/>
      <c r="C93" s="8"/>
      <c r="D93" s="8"/>
      <c r="E93" s="8"/>
      <c r="F93" s="9"/>
      <c r="G93" s="8"/>
      <c r="H93" s="8"/>
      <c r="I93" s="9"/>
      <c r="J93" s="8"/>
      <c r="K93" s="8"/>
    </row>
    <row r="94" spans="1:14" ht="14.45">
      <c r="A94" s="8"/>
      <c r="B94" s="13"/>
      <c r="C94" s="8"/>
      <c r="D94" s="8"/>
      <c r="E94" s="8"/>
      <c r="F94" s="9"/>
      <c r="G94" s="8"/>
      <c r="H94" s="8"/>
      <c r="I94" s="9"/>
      <c r="J94" s="8"/>
      <c r="K94" s="8"/>
    </row>
    <row r="95" spans="1:14" ht="14.45">
      <c r="A95" s="8"/>
      <c r="B95" s="13"/>
      <c r="C95" s="8"/>
      <c r="D95" s="8"/>
      <c r="E95" s="8"/>
      <c r="F95" s="9"/>
      <c r="G95" s="8"/>
      <c r="H95" s="8"/>
      <c r="I95" s="9"/>
      <c r="J95" s="8"/>
      <c r="K95" s="8"/>
    </row>
    <row r="96" spans="1:14"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hyperlinks>
    <hyperlink ref="K4" r:id="rId1" display="https://us3.assetplanner.com/service_request?ID=099290" xr:uid="{77BAD1AD-2C2E-4C96-89E1-2839BE468072}"/>
    <hyperlink ref="K5" r:id="rId2" display="https://us3.assetplanner.com/service_request?ID=105924" xr:uid="{B4C77790-3598-409D-9805-0918EBB99D23}"/>
    <hyperlink ref="L5" r:id="rId3" display="https://us3.assetplanner.com/service_request?ID=101243" xr:uid="{951825BB-3B73-45B9-AAF6-E2172222DF49}"/>
    <hyperlink ref="M5" r:id="rId4" display="https://us3.assetplanner.com/service_request?ID=101245" xr:uid="{DEB6724E-4F94-4392-B3C2-D4D4C20E60F7}"/>
    <hyperlink ref="K7" r:id="rId5" display="https://us3.assetplanner.com/service_request?ID=096262" xr:uid="{8B627DA9-98EC-4E9E-8CB0-8C3384F1BC5A}"/>
    <hyperlink ref="L7" r:id="rId6" display="https://us3.assetplanner.com/service_request?ID=099066" xr:uid="{2140066C-0E78-4063-93A6-AB1120BBB54E}"/>
    <hyperlink ref="K8" r:id="rId7" display="https://us3.assetplanner.com/service_request?ID=098870" xr:uid="{B2BD93B7-EF61-43C4-B04C-F6E7E90FC9CC}"/>
    <hyperlink ref="L8" r:id="rId8" display="https://us3.assetplanner.com/service_request?ID=099461" xr:uid="{53DEECDF-631E-4576-9039-4FD74F9A505F}"/>
    <hyperlink ref="K9" r:id="rId9" display="https://us3.assetplanner.com/service_request?ID=104023" xr:uid="{2232CDE3-E900-456E-8A7E-E51443207F61}"/>
    <hyperlink ref="L9" r:id="rId10" display="https://us3.assetplanner.com/service_request?ID=104137" xr:uid="{12F82141-F565-4726-82C0-E790FEE8E22F}"/>
    <hyperlink ref="M9" r:id="rId11" display="https://us3.assetplanner.com/service_request?ID=105956" xr:uid="{7C35E5C7-A710-4204-A26A-48AC969D5570}"/>
    <hyperlink ref="K11" r:id="rId12" display="https://us3.assetplanner.com/service_request?ID=106384" xr:uid="{B335B660-A849-4452-8972-A6D4D33D8FEF}"/>
    <hyperlink ref="L11" r:id="rId13" display="https://us3.assetplanner.com/service_request?ID=107143" xr:uid="{304864FB-8992-41FD-9A02-2A39A2AB19DB}"/>
    <hyperlink ref="M11" r:id="rId14" display="https://us3.assetplanner.com/service_request?ID=100417" xr:uid="{83A3D759-02FC-45B2-803B-D70E6D7DD0B8}"/>
    <hyperlink ref="K12" r:id="rId15" display="https://us3.assetplanner.com/service_request?ID=102209" xr:uid="{ECAFFA67-4C44-441F-A4DE-33D2BE37D763}"/>
    <hyperlink ref="K13" r:id="rId16" display="https://us3.assetplanner.com/service_request?ID=103184" xr:uid="{C1171D29-5B1B-4340-AD4E-27E7D1E5AE16}"/>
    <hyperlink ref="K14" r:id="rId17" display="https://us3.assetplanner.com/service_request?ID=103740" xr:uid="{AD534990-88C1-4F0B-A882-BC6F32F2D037}"/>
    <hyperlink ref="L14" r:id="rId18" display="https://us3.assetplanner.com/service_request?ID=106599" xr:uid="{A2E024F8-9BE1-4FC5-848C-3241FD90CE4D}"/>
    <hyperlink ref="K15" r:id="rId19" display="https://us3.assetplanner.com/service_request?ID=106946" xr:uid="{BEEE305A-A632-4B47-92CD-BC2F3535597E}"/>
    <hyperlink ref="K16" r:id="rId20" display="https://us3.assetplanner.com/service_request?ID=103239" xr:uid="{75868A60-67BE-4570-8DD2-554D8A43401A}"/>
    <hyperlink ref="K17" r:id="rId21" display="https://us3.assetplanner.com/service_request?ID=103048" xr:uid="{5EBD028A-BE76-40E0-9F99-2F33D8D49CE6}"/>
    <hyperlink ref="K18" r:id="rId22" display="https://us3.assetplanner.com/service_request?ID=103686" xr:uid="{137E8463-74D5-4B3E-B1CC-CA4B9B4E3750}"/>
    <hyperlink ref="L18" r:id="rId23" display="https://us3.assetplanner.com/service_request?ID=105968" xr:uid="{79B9660D-6D93-45A2-94C7-E58A973D988D}"/>
    <hyperlink ref="M18" r:id="rId24" display="https://us3.assetplanner.com/service_request?ID=106026" xr:uid="{5B22401B-2E25-4EF4-88BA-6900D637E52E}"/>
    <hyperlink ref="K19" r:id="rId25" display="https://us3.assetplanner.com/service_request?ID=099730" xr:uid="{96B0EA9A-CBF0-45E3-A0AD-E8DAF5B3BEE5}"/>
    <hyperlink ref="L19" r:id="rId26" display="https://us3.assetplanner.com/service_request?ID=106719" xr:uid="{542A368F-6261-45FD-91EB-6CC6B11851F7}"/>
    <hyperlink ref="M19" r:id="rId27" display="https://us3.assetplanner.com/service_request?ID=104823" xr:uid="{4FC31EB5-63FF-468A-B2BB-7C1F07F571BB}"/>
    <hyperlink ref="N19" r:id="rId28" display="https://us3.assetplanner.com/service_request?ID=104824" xr:uid="{8527070F-1314-4113-8493-F256C4983F58}"/>
    <hyperlink ref="O19" r:id="rId29" display="https://us3.assetplanner.com/service_request?ID=104825" xr:uid="{42545ADB-6F37-4362-97D8-AC0E3F2036AF}"/>
    <hyperlink ref="P19" r:id="rId30" display="https://us3.assetplanner.com/service_request?ID=104826" xr:uid="{C67FE293-3287-4AAB-9188-66034018C989}"/>
    <hyperlink ref="Q19" r:id="rId31" display="https://us3.assetplanner.com/service_request?ID=104828" xr:uid="{176A6D44-0F5F-48C2-9A18-C9E5BA724B5D}"/>
    <hyperlink ref="R19" r:id="rId32" display="https://us3.assetplanner.com/service_request?ID=104827" xr:uid="{BC2BF5D3-47AC-49CE-B496-DFBEFF4F9DAF}"/>
    <hyperlink ref="S19" r:id="rId33" display="https://us3.assetplanner.com/service_request?ID=104829" xr:uid="{19A55918-678E-4E83-BB91-84BC1A123DCA}"/>
    <hyperlink ref="T19" r:id="rId34" display="https://us3.assetplanner.com/service_request?ID=104831" xr:uid="{7D16684A-B403-4F63-A6C8-E6C3F49705EE}"/>
    <hyperlink ref="U19" r:id="rId35" display="https://us3.assetplanner.com/service_request?ID=104832" xr:uid="{4D94D3F9-C00C-417B-B4C2-A58E746E25D2}"/>
    <hyperlink ref="K20" r:id="rId36" display="https://us3.assetplanner.com/service_request?ID=103950" xr:uid="{65D94EDE-5EC4-4A2E-82DB-8EC09EEC40D4}"/>
    <hyperlink ref="K21" r:id="rId37" display="https://us3.assetplanner.com/service_request?ID=102316" xr:uid="{6790D369-C693-4B43-A50C-4FAD1044EF4F}"/>
    <hyperlink ref="L21" r:id="rId38" display="https://us3.assetplanner.com/service_request?ID=099500" xr:uid="{BB0F809F-A923-49B5-B98D-028AC3CFB6AA}"/>
    <hyperlink ref="M21" r:id="rId39" display="https://us3.assetplanner.com/service_request?ID=098016" xr:uid="{332B4D3E-55C4-4F74-A33A-FA2A1B63BC16}"/>
    <hyperlink ref="K22" r:id="rId40" display="https://us3.assetplanner.com/service_request?ID=103914" xr:uid="{EC80BDAD-AF7C-461B-B7B3-2FB4AB3AF08D}"/>
    <hyperlink ref="K25" r:id="rId41" display="https://us3.assetplanner.com/service_request?ID=104192" xr:uid="{46DE0C07-075C-472D-9915-791D7CF42959}"/>
    <hyperlink ref="L25" r:id="rId42" display="https://us3.assetplanner.com/service_request?ID=102794" xr:uid="{F42AB130-6232-4803-B8B0-F6DD94079605}"/>
    <hyperlink ref="M25" r:id="rId43" display="https://us3.assetplanner.com/service_request?ID=105489" xr:uid="{727CA1DD-1F64-47ED-A008-BFA96FA8C01F}"/>
    <hyperlink ref="K31" r:id="rId44" display="https://us3.assetplanner.com/service_request?ID=105973" xr:uid="{71EBFDEC-5D95-48FD-A1F6-E3D23C10FEE5}"/>
    <hyperlink ref="K33" r:id="rId45" display="https://us3.assetplanner.com/service_request?ID=102723" xr:uid="{760BA10F-A8C8-4D4A-88E2-8FF61574B76D}"/>
    <hyperlink ref="L33" r:id="rId46" display="https://us3.assetplanner.com/service_request?ID=105641" xr:uid="{E3C2B765-0E76-451B-B2D8-DFCA4626607D}"/>
    <hyperlink ref="K39" r:id="rId47" display="https://us3.assetplanner.com/service_request?ID=106082" xr:uid="{4DC02833-BFF0-4EDB-8E07-9236040D9797}"/>
    <hyperlink ref="L39" r:id="rId48" display="https://us3.assetplanner.com/service_request?ID=100857" xr:uid="{4428EE94-6A42-4793-8FEC-3BB672BCD4D1}"/>
    <hyperlink ref="K40" r:id="rId49" display="https://us3.assetplanner.com/service_request?ID=101963" xr:uid="{5962046C-87EE-49C9-8E65-FE181C56436D}"/>
    <hyperlink ref="K41" r:id="rId50" display="https://us3.assetplanner.com/service_request?ID=101818" xr:uid="{B23030AB-3826-41CA-862A-C2732D8F0426}"/>
    <hyperlink ref="L41" r:id="rId51" display="https://us3.assetplanner.com/service_request?ID=105928" xr:uid="{C0C4D3D9-547D-4326-A4D1-14C2F8C8032A}"/>
    <hyperlink ref="K42" r:id="rId52" display="https://us3.assetplanner.com/service_request?ID=101034" xr:uid="{B14E21C3-377D-4C8F-91E5-DC2C329494A4}"/>
    <hyperlink ref="L42" r:id="rId53" display="https://us3.assetplanner.com/service_request?ID=103779" xr:uid="{2CCA676E-FA38-4A01-AC9B-CC72B3F96EA0}"/>
    <hyperlink ref="M42" r:id="rId54" display="https://us3.assetplanner.com/service_request?ID=102621" xr:uid="{7185ED5C-F45F-4367-8A4D-3C4B1718A2F6}"/>
    <hyperlink ref="K43" r:id="rId55" display="https://us3.assetplanner.com/service_request?ID=101021" xr:uid="{16565541-61E6-4241-B63F-1010B348DB49}"/>
    <hyperlink ref="K44" r:id="rId56" display="https://us3.assetplanner.com/service_request?ID=100915" xr:uid="{7E4C3A18-70A0-41FF-82D6-37955662AB1E}"/>
    <hyperlink ref="K45" r:id="rId57" display="https://us3.assetplanner.com/service_request?ID=105366" xr:uid="{64B2A79C-86A2-47F9-8287-DEE75C6EFE28}"/>
    <hyperlink ref="L45" r:id="rId58" display="https://us3.assetplanner.com/service_request?ID=101100" xr:uid="{CC5D6353-0DE1-4DC0-9DA1-6AA7D7AD371F}"/>
    <hyperlink ref="K46" r:id="rId59" display="https://us3.assetplanner.com/service_request?ID=105192" xr:uid="{BEBF02D7-1324-4F76-BF12-67DECB03F726}"/>
    <hyperlink ref="L46" r:id="rId60" display="https://us3.assetplanner.com/service_request?ID=105872" xr:uid="{F3A84B2F-B21C-4898-A40B-05B45E9D9488}"/>
    <hyperlink ref="M46" r:id="rId61" display="https://us3.assetplanner.com/service_request?ID=106435" xr:uid="{4E4BD6B6-8591-4BEE-A10B-BE5E5A582BE0}"/>
    <hyperlink ref="N46" r:id="rId62" display="https://us3.assetplanner.com/service_request?ID=106650" xr:uid="{7D20C1B6-77D3-448D-BBA1-72FAAB140CF6}"/>
    <hyperlink ref="K47" r:id="rId63" display="https://us3.assetplanner.com/service_request?ID=102419" xr:uid="{25B431BF-09CF-4116-BD77-A66BD68B3C17}"/>
    <hyperlink ref="L47" r:id="rId64" display="https://us3.assetplanner.com/service_request?ID=107209" xr:uid="{F0F0A75B-CA9E-40FF-BCCB-EEE6821493ED}"/>
    <hyperlink ref="K48" r:id="rId65" display="https://us3.assetplanner.com/service_request?ID=106774" xr:uid="{F051EAA1-25F9-4C0D-908E-ABBBD45BBF86}"/>
    <hyperlink ref="L48" r:id="rId66" display="https://us3.assetplanner.com/service_request?ID=102283" xr:uid="{A8D4719D-FBFB-4FEA-A902-F1C612315475}"/>
    <hyperlink ref="K49" r:id="rId67" display="https://us3.assetplanner.com/service_request?ID=102418" xr:uid="{16C22117-206C-48E8-B82B-C16A2081DAD0}"/>
    <hyperlink ref="K50" r:id="rId68" display="https://us3.assetplanner.com/service_request?ID=102416" xr:uid="{FF6989D3-C34F-48A6-9241-974C055B265E}"/>
    <hyperlink ref="K51" r:id="rId69" display="https://us3.assetplanner.com/service_request?ID=102392" xr:uid="{6316113F-8246-449D-8676-0F8CEDC40AD5}"/>
    <hyperlink ref="K52" r:id="rId70" display="https://us3.assetplanner.com/service_request?ID=102321" xr:uid="{31DF031A-E807-40AE-8A21-593BCDAB23FB}"/>
    <hyperlink ref="L52" r:id="rId71" display="https://us3.assetplanner.com/service_request?ID=103636" xr:uid="{D2C18A74-84A8-43B3-B055-5B10F9FE638D}"/>
    <hyperlink ref="M52" r:id="rId72" display="https://us3.assetplanner.com/service_request?ID=102539" xr:uid="{4B681C39-773E-407F-BB10-3DB5AB7D331D}"/>
    <hyperlink ref="N52" r:id="rId73" display="https://us3.assetplanner.com/service_request?ID=104882" xr:uid="{3E0082EB-2171-459F-9A35-EA680FDE8948}"/>
    <hyperlink ref="K54" r:id="rId74" display="https://us3.assetplanner.com/service_request?ID=102317" xr:uid="{26B2BC8B-A809-4756-87D7-305C70C156A0}"/>
    <hyperlink ref="K55" r:id="rId75" display="https://us3.assetplanner.com/service_request?ID=105794" xr:uid="{AF891FEB-6322-4E80-AF79-55C3D3F611DD}"/>
    <hyperlink ref="K56" r:id="rId76" display="https://us3.assetplanner.com/service_request?ID=106474" xr:uid="{AFAE005E-262D-4510-B369-564C428E31AE}"/>
    <hyperlink ref="L56" r:id="rId77" display="https://us3.assetplanner.com/service_request?ID=102286" xr:uid="{22948E80-7FEE-4A91-8B6B-20A511494694}"/>
    <hyperlink ref="K57" r:id="rId78" display="https://us3.assetplanner.com/service_request?ID=102281" xr:uid="{FE22CBBE-947B-4F04-A33E-CDCFECE6498B}"/>
    <hyperlink ref="L57" r:id="rId79" display="https://us3.assetplanner.com/service_request?ID=106885" xr:uid="{E9C8B81D-C541-4642-86CE-B95ED47DEEC8}"/>
    <hyperlink ref="K59" r:id="rId80" display="https://us3.assetplanner.com/service_request?ID=101986" xr:uid="{92C78E2F-EBD5-408D-9BE5-0F3FA301491A}"/>
    <hyperlink ref="K60" r:id="rId81" display="https://us3.assetplanner.com/service_request?ID=102451" xr:uid="{3D2CCA32-2D8F-4B0C-B18F-68A27ABD0387}"/>
    <hyperlink ref="K62" r:id="rId82" display="https://us3.assetplanner.com/service_request?ID=106828" xr:uid="{A86E313D-10D1-4A7D-84A9-1BD0249662D3}"/>
    <hyperlink ref="L62" r:id="rId83" display="https://us3.assetplanner.com/service_request?ID=105139" xr:uid="{7E2704BD-7228-4DF5-801E-20A6ABD1C3B0}"/>
    <hyperlink ref="M62" r:id="rId84" display="https://us3.assetplanner.com/service_request?ID=102329" xr:uid="{694FA8E3-8EB2-4F3F-8C3B-92B66E8523F1}"/>
    <hyperlink ref="K63" r:id="rId85" display="https://us3.assetplanner.com/service_request?ID=102303" xr:uid="{2350FB29-B23E-4FE7-AC21-9CFBD085FA66}"/>
    <hyperlink ref="K64" r:id="rId86" display="https://us3.assetplanner.com/service_request?ID=102411" xr:uid="{C7893DCC-2C63-460A-BAC7-00900B7680C4}"/>
    <hyperlink ref="K65" r:id="rId87" display="https://us3.assetplanner.com/service_request?ID=106531" xr:uid="{F65BE0D1-0A38-436F-928A-A4C23DFB3914}"/>
    <hyperlink ref="K66" r:id="rId88" display="https://us3.assetplanner.com/service_request?ID=102310" xr:uid="{B6376868-B6D0-4068-8701-00C00D3AFA5A}"/>
    <hyperlink ref="K67" r:id="rId89" display="https://us3.assetplanner.com/service_request?ID=104289" xr:uid="{9D87F2B9-7BEE-44C4-8C21-4538059194DE}"/>
    <hyperlink ref="K69" r:id="rId90" display="https://us3.assetplanner.com/service_request?ID=102413" xr:uid="{ECF6F7F9-BA44-4B45-92B3-78AE3425B0FE}"/>
    <hyperlink ref="K70" r:id="rId91" display="https://us3.assetplanner.com/service_request?ID=102425" xr:uid="{46D376BF-E9D6-464D-B732-59C60235EC8D}"/>
    <hyperlink ref="L70" r:id="rId92" display="https://us3.assetplanner.com/service_request?ID=106842" xr:uid="{9D0D8107-B265-41AE-B2BF-69BBF27CF6F0}"/>
    <hyperlink ref="K71" r:id="rId93" display="https://us3.assetplanner.com/service_request?ID=104290" xr:uid="{9766F8E8-F71E-4A0C-BEDA-D9AAE332075F}"/>
    <hyperlink ref="L71" r:id="rId94" display="https://us3.assetplanner.com/service_request?ID=104290" xr:uid="{D57307B5-CB53-470A-A552-32C423D92CC2}"/>
    <hyperlink ref="K72" r:id="rId95" display="https://us3.assetplanner.com/service_request?ID=102424" xr:uid="{3ED87EC7-263E-49BF-831C-85E01418E58B}"/>
    <hyperlink ref="K73" r:id="rId96" display="https://us3.assetplanner.com/service_request?ID=102423" xr:uid="{F1BC54E9-93DA-4DF5-97AE-DB40E401EC02}"/>
    <hyperlink ref="K74" r:id="rId97" display="https://us3.assetplanner.com/service_request?ID=102421" xr:uid="{92DAEEC4-C9F1-4793-8519-0DB13AE10934}"/>
    <hyperlink ref="K75" r:id="rId98" display="https://us3.assetplanner.com/service_request?ID=102420" xr:uid="{BF73C46C-F7CD-48DD-BDB6-AA16D7D1F623}"/>
    <hyperlink ref="K76" r:id="rId99" display="https://us3.assetplanner.com/service_request?ID=107231" xr:uid="{B4D5A201-51CA-427B-BB0D-379726DC82C4}"/>
    <hyperlink ref="L76" r:id="rId100" display="https://us3.assetplanner.com/service_request?ID=107145" xr:uid="{5C461BA0-34ED-42DA-80BE-4ABF934F4973}"/>
    <hyperlink ref="M76" r:id="rId101" display="https://us3.assetplanner.com/service_request?ID=106851" xr:uid="{C2BF15BF-C03D-449A-966A-C1077A56CF52}"/>
    <hyperlink ref="N76" r:id="rId102" display="https://us3.assetplanner.com/service_request?ID=106520" xr:uid="{E57FC490-97E2-4E0E-8103-2362D3AF721C}"/>
    <hyperlink ref="O76" r:id="rId103" display="https://us3.assetplanner.com/service_request?ID=104246" xr:uid="{FC65D546-77E2-48B4-9C21-FB27D3566A44}"/>
    <hyperlink ref="P76" r:id="rId104" display="https://us3.assetplanner.com/service_request?ID=104246" xr:uid="{D9665983-0E56-4D52-9D77-AA012C17B8D3}"/>
    <hyperlink ref="Q76" r:id="rId105" display="https://us3.assetplanner.com/service_request?ID=103869" xr:uid="{1CA389BD-F7B3-4380-8FF0-E5E7937A978E}"/>
    <hyperlink ref="K77" r:id="rId106" display="https://us3.assetplanner.com/service_request?ID=105626" xr:uid="{0B8E614F-3ADE-4DD2-8F38-535AE71FE4C8}"/>
    <hyperlink ref="L77" r:id="rId107" display="https://us3.assetplanner.com/service_request?ID=106301" xr:uid="{C96061CE-4B07-4797-B661-065815E43C95}"/>
    <hyperlink ref="K78" r:id="rId108" display="https://us3.assetplanner.com/service_request?ID=103867" xr:uid="{66C7473C-3F29-409A-8C9D-50DC58D1188A}"/>
    <hyperlink ref="K79" r:id="rId109" display="https://us3.assetplanner.com/service_request?ID=103866" xr:uid="{55093D44-AF70-4B38-A88E-101B800D25BC}"/>
    <hyperlink ref="K80" r:id="rId110" display="https://us3.assetplanner.com/service_request?ID=104456" xr:uid="{A1ACAC89-35C9-46F8-BF1F-5FD5FC41C7C9}"/>
    <hyperlink ref="K82" r:id="rId111" display="https://us3.assetplanner.com/service_request?ID=104776" xr:uid="{CE90367D-2C62-48A6-92F9-A53B6445B356}"/>
    <hyperlink ref="L82" r:id="rId112" display="https://us3.assetplanner.com/service_request?ID=103944" xr:uid="{D9B36E41-018E-4004-A781-6DA280E9B38F}"/>
    <hyperlink ref="M82" r:id="rId113" display="https://us3.assetplanner.com/service_request?ID=106611" xr:uid="{1EC8646B-22C7-4052-9CAB-70BE6C60CF64}"/>
    <hyperlink ref="K83" r:id="rId114" display="https://us3.assetplanner.com/service_request?ID=103946" xr:uid="{D9C591C3-DFE2-471C-BCE6-BA6AAB9E2114}"/>
    <hyperlink ref="L83" r:id="rId115" display="https://us3.assetplanner.com/service_request?ID=103946" xr:uid="{895543B5-555E-4A09-9777-4A08727CF1FD}"/>
    <hyperlink ref="M83" r:id="rId116" display="https://us3.assetplanner.com/service_request?ID=104855" xr:uid="{6F0A3105-643C-4FC8-8CA0-076B27729456}"/>
    <hyperlink ref="K84" r:id="rId117" display="https://us3.assetplanner.com/service_request?ID=102281" xr:uid="{9682888D-BB20-425E-AD2C-A79439D5F3E7}"/>
    <hyperlink ref="K85" r:id="rId118" display="https://us3.assetplanner.com/service_request?ID=104665" xr:uid="{A1929B6E-DDBC-4E55-8D84-EE496E748404}"/>
    <hyperlink ref="L85" r:id="rId119" display="https://us3.assetplanner.com/service_request?ID=105155" xr:uid="{367253A8-4F15-4B37-A10F-0A02CAC1CBE5}"/>
    <hyperlink ref="M85" r:id="rId120" display="https://us3.assetplanner.com/service_request?ID=106781" xr:uid="{3BDA9F63-3DE0-44E1-9ECB-FC42BE36E0B7}"/>
    <hyperlink ref="N85" r:id="rId121" display="https://us3.assetplanner.com/service_request?ID=107162" xr:uid="{E14E92B7-9897-4F38-A5A2-9C8C6B11018E}"/>
    <hyperlink ref="K68" r:id="rId122" display="https://us3.assetplanner.com/service_request?ID=102450" xr:uid="{F7323529-32D6-431C-89BA-C10128ED0B5C}"/>
    <hyperlink ref="K53" r:id="rId123" display="https://us3.assetplanner.com/service_request?ID=102320" xr:uid="{A5F84644-52B0-44E3-80A4-9B54F380DB0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AB326"/>
  <sheetViews>
    <sheetView zoomScale="70" zoomScaleNormal="70" workbookViewId="0">
      <pane xSplit="2" ySplit="3" topLeftCell="C31" activePane="bottomRight" state="frozen"/>
      <selection pane="bottomRight" activeCell="J40" sqref="J4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style="77" customWidth="1"/>
    <col min="11" max="11" width="20.5703125" style="77" bestFit="1" customWidth="1"/>
    <col min="12" max="28" width="8.85546875" style="77"/>
  </cols>
  <sheetData>
    <row r="1" spans="1:17" ht="19.5" customHeight="1">
      <c r="A1" s="119" t="str" cm="1">
        <f t="array" ref="A1">portfolio</f>
        <v>Clean Capital</v>
      </c>
      <c r="B1" s="119"/>
      <c r="C1" s="119"/>
      <c r="D1" s="120" t="s">
        <v>598</v>
      </c>
      <c r="E1" s="120"/>
      <c r="F1" s="120"/>
      <c r="G1" s="118" t="s">
        <v>599</v>
      </c>
      <c r="H1" s="118"/>
      <c r="I1" s="118"/>
      <c r="J1" s="106"/>
      <c r="K1" s="106"/>
    </row>
    <row r="2" spans="1:17" ht="19.5" customHeight="1">
      <c r="A2" s="121" t="s">
        <v>2</v>
      </c>
      <c r="B2" s="121"/>
      <c r="C2" s="5">
        <f>SUM(C4:C84)</f>
        <v>4713599.5813685525</v>
      </c>
      <c r="D2" s="5">
        <f>SUM(D4:D84)</f>
        <v>3064029.3226034199</v>
      </c>
      <c r="E2" s="5">
        <f>C2-D2</f>
        <v>1649570.2587651326</v>
      </c>
      <c r="F2" s="6">
        <f>IFERROR(E2/D2, 0)</f>
        <v>0.53836634218746282</v>
      </c>
      <c r="G2" s="5">
        <f>SUM(G4:G84)</f>
        <v>5274797.8299999991</v>
      </c>
      <c r="H2" s="7">
        <f>C2-G2</f>
        <v>-561198.24863144662</v>
      </c>
      <c r="I2" s="6">
        <f>IFERROR(H2/G2, 0)</f>
        <v>-0.10639237118049825</v>
      </c>
      <c r="J2" s="107" t="str">
        <f ca="1">IF(AND(TODAY()&gt;DATE(2024, 9, 1), COUNTA(Sites[Site])&lt;&gt;(COUNT(C:C)-1)), "Some sites are missing actual data; if new sites were added, make sure they are aligned correctly (including prior months!)", "")</f>
        <v/>
      </c>
      <c r="K2" s="106"/>
    </row>
    <row r="3" spans="1:17" ht="14.25" customHeight="1">
      <c r="A3" s="12" t="s">
        <v>3</v>
      </c>
      <c r="B3" s="12" t="s">
        <v>4</v>
      </c>
      <c r="C3" s="19" t="s">
        <v>5</v>
      </c>
      <c r="D3" s="20" t="s">
        <v>6</v>
      </c>
      <c r="E3" s="20" t="s">
        <v>7</v>
      </c>
      <c r="F3" s="21" t="s">
        <v>8</v>
      </c>
      <c r="G3" s="22" t="s">
        <v>9</v>
      </c>
      <c r="H3" s="23" t="s">
        <v>7</v>
      </c>
      <c r="I3" s="24" t="s">
        <v>8</v>
      </c>
      <c r="J3" s="108" t="s">
        <v>42</v>
      </c>
      <c r="K3" s="108" t="s">
        <v>21</v>
      </c>
    </row>
    <row r="4" spans="1:17" ht="43.15">
      <c r="A4" s="39" t="str" cm="1">
        <f t="array" ref="A4:A85">Sites[Site]</f>
        <v>Lexington - Cotting School</v>
      </c>
      <c r="B4" s="40" t="str" cm="1">
        <f t="array" ref="B4:B85">Sites[State]</f>
        <v>MA</v>
      </c>
      <c r="C4" s="28">
        <v>35020</v>
      </c>
      <c r="D4" s="29" t="s">
        <v>43</v>
      </c>
      <c r="E4" s="29" t="str">
        <f>IF(AND(ISNUMBER(C4),ISNUMBER(D4)), C4-D4, "")</f>
        <v/>
      </c>
      <c r="F4" s="30" t="str">
        <f>IFERROR(E4/D4, "")</f>
        <v/>
      </c>
      <c r="G4" s="73" t="s">
        <v>43</v>
      </c>
      <c r="H4" s="31" t="str">
        <f>IF(AND(ISNUMBER(C4),ISNUMBER(G4)), C4-G4, "")</f>
        <v/>
      </c>
      <c r="I4" s="32" t="str">
        <f>IFERROR(H4/G4, "")</f>
        <v/>
      </c>
      <c r="J4" s="62" t="s">
        <v>470</v>
      </c>
      <c r="K4" s="78" t="s">
        <v>207</v>
      </c>
    </row>
    <row r="5" spans="1:17" ht="201.6">
      <c r="A5" s="41" t="str">
        <v>Pacoima - Whiteman Airport</v>
      </c>
      <c r="B5" s="42" t="str">
        <v>CA</v>
      </c>
      <c r="C5" s="61">
        <v>2232</v>
      </c>
      <c r="D5" s="36" t="s">
        <v>43</v>
      </c>
      <c r="E5" s="36" t="str">
        <f t="shared" ref="E5:E12" si="0">IF(AND(ISNUMBER(C5),ISNUMBER(D5)), C5-D5, "")</f>
        <v/>
      </c>
      <c r="F5" s="37" t="str">
        <f>IFERROR(E5/D5, "")</f>
        <v/>
      </c>
      <c r="G5" s="38">
        <v>3278.9</v>
      </c>
      <c r="H5" s="38">
        <f t="shared" ref="H5:H12" si="1">IF(AND(ISNUMBER(C5),ISNUMBER(G5)), C5-G5, "")</f>
        <v>-1046.9000000000001</v>
      </c>
      <c r="I5" s="37">
        <f t="shared" ref="I5:I13" si="2">IFERROR(H5/G5, "")</f>
        <v>-0.31928390618805091</v>
      </c>
      <c r="J5" s="60" t="s">
        <v>600</v>
      </c>
      <c r="K5" s="75" t="s">
        <v>601</v>
      </c>
      <c r="L5" s="76" t="s">
        <v>602</v>
      </c>
      <c r="M5" s="76" t="s">
        <v>135</v>
      </c>
      <c r="N5" s="76" t="s">
        <v>603</v>
      </c>
      <c r="O5" s="76" t="s">
        <v>604</v>
      </c>
      <c r="P5" s="76" t="s">
        <v>349</v>
      </c>
      <c r="Q5" s="76" t="s">
        <v>136</v>
      </c>
    </row>
    <row r="6" spans="1:17" ht="15.6">
      <c r="A6" s="43" t="str">
        <v>Hyannis - Sturgis Charter School</v>
      </c>
      <c r="B6" s="40" t="str">
        <v>MA</v>
      </c>
      <c r="C6" s="28">
        <v>28703.850829999999</v>
      </c>
      <c r="D6" s="29" t="s">
        <v>43</v>
      </c>
      <c r="E6" s="29" t="str">
        <f t="shared" si="0"/>
        <v/>
      </c>
      <c r="F6" s="30" t="str">
        <f t="shared" ref="F6:F12" si="3">IFERROR(E6/D6, "")</f>
        <v/>
      </c>
      <c r="G6" s="73">
        <v>28080</v>
      </c>
      <c r="H6" s="31">
        <f t="shared" si="1"/>
        <v>623.85082999999941</v>
      </c>
      <c r="I6" s="32">
        <f t="shared" si="2"/>
        <v>2.2216909900284878E-2</v>
      </c>
      <c r="J6" s="62"/>
      <c r="K6" s="62"/>
    </row>
    <row r="7" spans="1:17" ht="57.6">
      <c r="A7" s="41" t="str">
        <v>South Dennis - Tony Kent Arena</v>
      </c>
      <c r="B7" s="42" t="str">
        <v>MA</v>
      </c>
      <c r="C7" s="35">
        <v>31300</v>
      </c>
      <c r="D7" s="36" t="s">
        <v>43</v>
      </c>
      <c r="E7" s="36" t="str">
        <f t="shared" si="0"/>
        <v/>
      </c>
      <c r="F7" s="37" t="str">
        <f t="shared" si="3"/>
        <v/>
      </c>
      <c r="G7" s="74" t="s">
        <v>43</v>
      </c>
      <c r="H7" s="38" t="str">
        <f t="shared" si="1"/>
        <v/>
      </c>
      <c r="I7" s="37" t="str">
        <f t="shared" si="2"/>
        <v/>
      </c>
      <c r="J7" s="60" t="s">
        <v>91</v>
      </c>
      <c r="K7" s="75" t="s">
        <v>473</v>
      </c>
      <c r="L7" s="76" t="s">
        <v>53</v>
      </c>
    </row>
    <row r="8" spans="1:17" ht="100.9">
      <c r="A8" s="43" t="str">
        <v xml:space="preserve"> Caropolis - Felician Sisters</v>
      </c>
      <c r="B8" s="40" t="str">
        <v>PA</v>
      </c>
      <c r="C8" s="28">
        <v>39708.199999999997</v>
      </c>
      <c r="D8" s="29" t="s">
        <v>43</v>
      </c>
      <c r="E8" s="29" t="str">
        <f t="shared" si="0"/>
        <v/>
      </c>
      <c r="F8" s="30" t="str">
        <f t="shared" si="3"/>
        <v/>
      </c>
      <c r="G8" s="73" t="s">
        <v>43</v>
      </c>
      <c r="H8" s="31" t="str">
        <f t="shared" si="1"/>
        <v/>
      </c>
      <c r="I8" s="32" t="str">
        <f t="shared" si="2"/>
        <v/>
      </c>
      <c r="J8" s="62" t="s">
        <v>605</v>
      </c>
      <c r="K8" s="78" t="s">
        <v>606</v>
      </c>
      <c r="L8" s="76" t="s">
        <v>95</v>
      </c>
      <c r="M8" s="76" t="s">
        <v>607</v>
      </c>
    </row>
    <row r="9" spans="1:17" ht="72">
      <c r="A9" s="41" t="str">
        <v>Clear Lake - Eastlake Gohman</v>
      </c>
      <c r="B9" s="42" t="str">
        <v>MN</v>
      </c>
      <c r="C9" s="35">
        <v>260863.09597857099</v>
      </c>
      <c r="D9" s="36" t="s">
        <v>43</v>
      </c>
      <c r="E9" s="36" t="str">
        <f t="shared" si="0"/>
        <v/>
      </c>
      <c r="F9" s="37" t="str">
        <f t="shared" si="3"/>
        <v/>
      </c>
      <c r="G9" s="38">
        <v>160409.1</v>
      </c>
      <c r="H9" s="38">
        <f t="shared" si="1"/>
        <v>100453.99597857098</v>
      </c>
      <c r="I9" s="37">
        <f t="shared" si="2"/>
        <v>0.62623626701085522</v>
      </c>
      <c r="J9" s="60" t="s">
        <v>608</v>
      </c>
      <c r="K9" s="75" t="s">
        <v>475</v>
      </c>
      <c r="L9" s="76" t="s">
        <v>354</v>
      </c>
      <c r="M9" s="76" t="s">
        <v>476</v>
      </c>
    </row>
    <row r="10" spans="1:17" ht="15.6">
      <c r="A10" s="43" t="str">
        <v>Zumbrota - Eastlake Brenda Luhman</v>
      </c>
      <c r="B10" s="40" t="str">
        <v>MN</v>
      </c>
      <c r="C10" s="28">
        <v>169987</v>
      </c>
      <c r="D10" s="29" t="s">
        <v>43</v>
      </c>
      <c r="E10" s="29" t="str">
        <f t="shared" si="0"/>
        <v/>
      </c>
      <c r="F10" s="30" t="str">
        <f t="shared" si="3"/>
        <v/>
      </c>
      <c r="G10" s="31">
        <v>162319.29999999999</v>
      </c>
      <c r="H10" s="31">
        <f t="shared" si="1"/>
        <v>7667.7000000000116</v>
      </c>
      <c r="I10" s="32">
        <f t="shared" si="2"/>
        <v>4.7238375227098763E-2</v>
      </c>
      <c r="J10" s="62"/>
      <c r="K10" s="62"/>
    </row>
    <row r="11" spans="1:17" ht="57.6">
      <c r="A11" s="41" t="str">
        <v>Cokato - Eastlake Carlson</v>
      </c>
      <c r="B11" s="42" t="str">
        <v>MN</v>
      </c>
      <c r="C11" s="35">
        <v>159734</v>
      </c>
      <c r="D11" s="36" t="s">
        <v>43</v>
      </c>
      <c r="E11" s="36" t="str">
        <f t="shared" si="0"/>
        <v/>
      </c>
      <c r="F11" s="37" t="str">
        <f t="shared" si="3"/>
        <v/>
      </c>
      <c r="G11" s="38">
        <v>179322.9</v>
      </c>
      <c r="H11" s="38">
        <f t="shared" si="1"/>
        <v>-19588.899999999994</v>
      </c>
      <c r="I11" s="37">
        <f>IFERROR(H11/G11, "")</f>
        <v>-0.10923813969102661</v>
      </c>
      <c r="J11" s="60" t="s">
        <v>609</v>
      </c>
      <c r="K11" s="75" t="s">
        <v>610</v>
      </c>
      <c r="L11" s="76" t="s">
        <v>100</v>
      </c>
    </row>
    <row r="12" spans="1:17" ht="28.9">
      <c r="A12" s="43" t="str">
        <v>North Branch - Cornille 2</v>
      </c>
      <c r="B12" s="40" t="str">
        <v>MN</v>
      </c>
      <c r="C12" s="28">
        <v>165821</v>
      </c>
      <c r="D12" s="29" t="s">
        <v>43</v>
      </c>
      <c r="E12" s="29" t="str">
        <f t="shared" si="0"/>
        <v/>
      </c>
      <c r="F12" s="30" t="str">
        <f t="shared" si="3"/>
        <v/>
      </c>
      <c r="G12" s="31">
        <v>164362.6</v>
      </c>
      <c r="H12" s="31">
        <f t="shared" si="1"/>
        <v>1458.3999999999942</v>
      </c>
      <c r="I12" s="32">
        <f t="shared" si="2"/>
        <v>8.8730647969793262E-3</v>
      </c>
      <c r="J12" s="62" t="s">
        <v>480</v>
      </c>
      <c r="K12" s="78" t="s">
        <v>481</v>
      </c>
    </row>
    <row r="13" spans="1:17" ht="43.15">
      <c r="A13" s="41" t="str">
        <v>Clear Lake - Eastlake Hammer</v>
      </c>
      <c r="B13" s="42" t="str">
        <v>MN</v>
      </c>
      <c r="C13" s="35">
        <v>168808</v>
      </c>
      <c r="D13" s="36" t="s">
        <v>43</v>
      </c>
      <c r="E13" s="36" t="str">
        <f t="shared" ref="E13:E76" si="4">IF(AND(ISNUMBER(C13),ISNUMBER(D13)), C13-D13, "")</f>
        <v/>
      </c>
      <c r="F13" s="37" t="str">
        <f t="shared" ref="F13:F76" si="5">IFERROR(E13/D13, "")</f>
        <v/>
      </c>
      <c r="G13" s="38">
        <v>177088.9</v>
      </c>
      <c r="H13" s="38">
        <f t="shared" ref="H13:H76" si="6">IF(AND(ISNUMBER(C13),ISNUMBER(G13)), C13-G13, "")</f>
        <v>-8280.8999999999942</v>
      </c>
      <c r="I13" s="37">
        <f t="shared" si="2"/>
        <v>-4.6761259457820309E-2</v>
      </c>
      <c r="J13" s="60" t="s">
        <v>482</v>
      </c>
      <c r="K13" s="75" t="s">
        <v>611</v>
      </c>
      <c r="L13" s="76" t="s">
        <v>612</v>
      </c>
    </row>
    <row r="14" spans="1:17" ht="115.15">
      <c r="A14" s="43" t="str">
        <v>Eastlake - Hertzberg CSG 1</v>
      </c>
      <c r="B14" s="40" t="str">
        <v>MN</v>
      </c>
      <c r="C14" s="28">
        <v>116447.77499999999</v>
      </c>
      <c r="D14" s="29" t="s">
        <v>43</v>
      </c>
      <c r="E14" s="29" t="str">
        <f t="shared" si="4"/>
        <v/>
      </c>
      <c r="F14" s="30" t="str">
        <f t="shared" si="5"/>
        <v/>
      </c>
      <c r="G14" s="31">
        <v>188114</v>
      </c>
      <c r="H14" s="31">
        <f t="shared" si="6"/>
        <v>-71666.225000000006</v>
      </c>
      <c r="I14" s="32">
        <f t="shared" ref="I14:I77" si="7">IFERROR(H14/G14, "")</f>
        <v>-0.38097230934433379</v>
      </c>
      <c r="J14" s="62" t="s">
        <v>613</v>
      </c>
      <c r="K14" s="78" t="s">
        <v>614</v>
      </c>
      <c r="L14" s="76" t="s">
        <v>485</v>
      </c>
      <c r="M14" s="76" t="s">
        <v>615</v>
      </c>
      <c r="N14" s="76" t="s">
        <v>616</v>
      </c>
    </row>
    <row r="15" spans="1:17" ht="63" customHeight="1">
      <c r="A15" s="41" t="str">
        <v>Cokato - Eastlake Laurel Village</v>
      </c>
      <c r="B15" s="42" t="str">
        <v>MN</v>
      </c>
      <c r="C15" s="35">
        <v>132967.95000000001</v>
      </c>
      <c r="D15" s="36" t="s">
        <v>43</v>
      </c>
      <c r="E15" s="36" t="str">
        <f t="shared" si="4"/>
        <v/>
      </c>
      <c r="F15" s="37" t="str">
        <f t="shared" si="5"/>
        <v/>
      </c>
      <c r="G15" s="38">
        <v>180519.2</v>
      </c>
      <c r="H15" s="38">
        <f t="shared" si="6"/>
        <v>-47551.25</v>
      </c>
      <c r="I15" s="37">
        <f t="shared" si="7"/>
        <v>-0.26341380861426372</v>
      </c>
      <c r="J15" s="60" t="s">
        <v>617</v>
      </c>
      <c r="K15" s="75" t="s">
        <v>618</v>
      </c>
      <c r="L15" s="76" t="s">
        <v>619</v>
      </c>
      <c r="M15" s="76" t="s">
        <v>620</v>
      </c>
      <c r="N15" s="76" t="s">
        <v>621</v>
      </c>
    </row>
    <row r="16" spans="1:17" ht="28.9">
      <c r="A16" s="43" t="str">
        <v>St. Peter - Eastlake Paulson</v>
      </c>
      <c r="B16" s="40" t="str">
        <v>MN</v>
      </c>
      <c r="C16" s="28">
        <v>163523.05368190099</v>
      </c>
      <c r="D16" s="29" t="s">
        <v>43</v>
      </c>
      <c r="E16" s="29" t="str">
        <f t="shared" si="4"/>
        <v/>
      </c>
      <c r="F16" s="30" t="str">
        <f t="shared" si="5"/>
        <v/>
      </c>
      <c r="G16" s="31">
        <v>178757.9</v>
      </c>
      <c r="H16" s="31">
        <f t="shared" si="6"/>
        <v>-15234.846318099007</v>
      </c>
      <c r="I16" s="32">
        <f t="shared" si="7"/>
        <v>-8.5226142833961502E-2</v>
      </c>
      <c r="J16" s="62" t="s">
        <v>622</v>
      </c>
      <c r="K16" s="78" t="s">
        <v>623</v>
      </c>
      <c r="L16" s="76" t="s">
        <v>624</v>
      </c>
    </row>
    <row r="17" spans="1:22" ht="57.6">
      <c r="A17" s="41" t="str">
        <v>Felician Sisters Convent</v>
      </c>
      <c r="B17" s="42" t="str">
        <v>NJ</v>
      </c>
      <c r="C17" s="35">
        <v>3805.7</v>
      </c>
      <c r="D17" s="36" t="s">
        <v>43</v>
      </c>
      <c r="E17" s="36" t="str">
        <f t="shared" si="4"/>
        <v/>
      </c>
      <c r="F17" s="37" t="str">
        <f t="shared" si="5"/>
        <v/>
      </c>
      <c r="G17" s="38" t="s">
        <v>625</v>
      </c>
      <c r="H17" s="38" t="str">
        <f t="shared" si="6"/>
        <v/>
      </c>
      <c r="I17" s="37" t="str">
        <f t="shared" si="7"/>
        <v/>
      </c>
      <c r="J17" s="60" t="s">
        <v>370</v>
      </c>
      <c r="K17" s="75" t="s">
        <v>490</v>
      </c>
    </row>
    <row r="18" spans="1:22" ht="28.9">
      <c r="A18" s="43" t="str">
        <v>Sussex County Fairgrounds</v>
      </c>
      <c r="B18" s="40" t="str">
        <v>NJ</v>
      </c>
      <c r="C18" s="28">
        <v>50116.32</v>
      </c>
      <c r="D18" s="29" t="s">
        <v>43</v>
      </c>
      <c r="E18" s="29" t="str">
        <f t="shared" si="4"/>
        <v/>
      </c>
      <c r="F18" s="30" t="str">
        <f t="shared" si="5"/>
        <v/>
      </c>
      <c r="G18" s="31" t="s">
        <v>625</v>
      </c>
      <c r="H18" s="31" t="str">
        <f t="shared" si="6"/>
        <v/>
      </c>
      <c r="I18" s="32" t="str">
        <f t="shared" si="7"/>
        <v/>
      </c>
      <c r="J18" s="62" t="s">
        <v>626</v>
      </c>
      <c r="K18" s="78" t="s">
        <v>627</v>
      </c>
      <c r="L18" s="76" t="s">
        <v>628</v>
      </c>
    </row>
    <row r="19" spans="1:22" ht="172.9">
      <c r="A19" s="41" t="str">
        <v>Gateway Church</v>
      </c>
      <c r="B19" s="42" t="str">
        <v>NJ</v>
      </c>
      <c r="C19" s="61">
        <v>24848</v>
      </c>
      <c r="D19" s="36" t="s">
        <v>43</v>
      </c>
      <c r="E19" s="36" t="str">
        <f t="shared" si="4"/>
        <v/>
      </c>
      <c r="F19" s="37" t="str">
        <f t="shared" si="5"/>
        <v/>
      </c>
      <c r="G19" s="38" t="s">
        <v>625</v>
      </c>
      <c r="H19" s="38" t="str">
        <f t="shared" si="6"/>
        <v/>
      </c>
      <c r="I19" s="37" t="str">
        <f t="shared" si="7"/>
        <v/>
      </c>
      <c r="J19" s="60" t="s">
        <v>629</v>
      </c>
      <c r="K19" s="75" t="s">
        <v>630</v>
      </c>
      <c r="L19" s="76" t="s">
        <v>497</v>
      </c>
      <c r="M19" s="76" t="s">
        <v>498</v>
      </c>
      <c r="N19" s="76" t="s">
        <v>499</v>
      </c>
      <c r="O19" s="76" t="s">
        <v>500</v>
      </c>
      <c r="P19" s="76" t="s">
        <v>501</v>
      </c>
      <c r="Q19" s="76" t="s">
        <v>502</v>
      </c>
      <c r="R19" s="76" t="s">
        <v>503</v>
      </c>
      <c r="S19" s="76" t="s">
        <v>504</v>
      </c>
      <c r="T19" s="76" t="s">
        <v>505</v>
      </c>
      <c r="U19" s="76" t="s">
        <v>506</v>
      </c>
      <c r="V19" s="76" t="s">
        <v>631</v>
      </c>
    </row>
    <row r="20" spans="1:22" ht="57.6">
      <c r="A20" s="43" t="str">
        <v>Beaver Falls - Felician Sisters</v>
      </c>
      <c r="B20" s="40" t="str">
        <v>PA</v>
      </c>
      <c r="C20" s="28">
        <v>40813</v>
      </c>
      <c r="D20" s="29" t="s">
        <v>43</v>
      </c>
      <c r="E20" s="29" t="str">
        <f t="shared" si="4"/>
        <v/>
      </c>
      <c r="F20" s="30" t="str">
        <f t="shared" si="5"/>
        <v/>
      </c>
      <c r="G20" s="31" t="s">
        <v>625</v>
      </c>
      <c r="H20" s="31" t="str">
        <f t="shared" si="6"/>
        <v/>
      </c>
      <c r="I20" s="32" t="str">
        <f t="shared" si="7"/>
        <v/>
      </c>
      <c r="J20" s="62" t="s">
        <v>507</v>
      </c>
      <c r="K20" s="78" t="s">
        <v>242</v>
      </c>
    </row>
    <row r="21" spans="1:22" ht="111" customHeight="1">
      <c r="A21" s="41" t="str">
        <v>Livonia - Felician Sisters Ground</v>
      </c>
      <c r="B21" s="42" t="str">
        <v>MI</v>
      </c>
      <c r="C21" s="35">
        <v>7503.2</v>
      </c>
      <c r="D21" s="36" t="s">
        <v>43</v>
      </c>
      <c r="E21" s="36" t="str">
        <f t="shared" si="4"/>
        <v/>
      </c>
      <c r="F21" s="37" t="str">
        <f t="shared" si="5"/>
        <v/>
      </c>
      <c r="G21" s="38" t="s">
        <v>625</v>
      </c>
      <c r="H21" s="38" t="str">
        <f t="shared" si="6"/>
        <v/>
      </c>
      <c r="I21" s="37" t="str">
        <f t="shared" si="7"/>
        <v/>
      </c>
      <c r="J21" s="60" t="s">
        <v>632</v>
      </c>
      <c r="K21" s="75" t="s">
        <v>633</v>
      </c>
      <c r="L21" s="76" t="s">
        <v>80</v>
      </c>
      <c r="M21" s="76" t="s">
        <v>634</v>
      </c>
      <c r="N21" s="76" t="s">
        <v>635</v>
      </c>
      <c r="O21" s="76" t="s">
        <v>636</v>
      </c>
    </row>
    <row r="22" spans="1:22" ht="28.9">
      <c r="A22" s="43" t="str">
        <v>Livonia - Felician Sisters Roof</v>
      </c>
      <c r="B22" s="40" t="str">
        <v>MI</v>
      </c>
      <c r="C22" s="28">
        <v>13030</v>
      </c>
      <c r="D22" s="29" t="s">
        <v>43</v>
      </c>
      <c r="E22" s="29" t="str">
        <f t="shared" si="4"/>
        <v/>
      </c>
      <c r="F22" s="30" t="str">
        <f t="shared" si="5"/>
        <v/>
      </c>
      <c r="G22" s="31" t="s">
        <v>625</v>
      </c>
      <c r="H22" s="31" t="str">
        <f t="shared" si="6"/>
        <v/>
      </c>
      <c r="I22" s="32" t="str">
        <f t="shared" si="7"/>
        <v/>
      </c>
      <c r="J22" s="62" t="s">
        <v>377</v>
      </c>
      <c r="K22" s="78" t="s">
        <v>510</v>
      </c>
    </row>
    <row r="23" spans="1:22" ht="15.6">
      <c r="A23" s="41" t="str">
        <v>Monmouth Worship Ctr</v>
      </c>
      <c r="B23" s="42" t="str">
        <v>NJ</v>
      </c>
      <c r="C23" s="35">
        <v>5007.07</v>
      </c>
      <c r="D23" s="36" t="s">
        <v>43</v>
      </c>
      <c r="E23" s="36" t="str">
        <f t="shared" si="4"/>
        <v/>
      </c>
      <c r="F23" s="37" t="str">
        <f t="shared" si="5"/>
        <v/>
      </c>
      <c r="G23" s="38" t="s">
        <v>625</v>
      </c>
      <c r="H23" s="38" t="str">
        <f t="shared" si="6"/>
        <v/>
      </c>
      <c r="I23" s="37" t="str">
        <f t="shared" si="7"/>
        <v/>
      </c>
      <c r="J23" s="60"/>
      <c r="K23" s="59"/>
    </row>
    <row r="24" spans="1:22" ht="15.6">
      <c r="A24" s="43" t="str">
        <v xml:space="preserve"> Audubon - Senior Citizens United</v>
      </c>
      <c r="B24" s="40" t="str">
        <v>NJ</v>
      </c>
      <c r="C24" s="28">
        <v>9311</v>
      </c>
      <c r="D24" s="29" t="s">
        <v>43</v>
      </c>
      <c r="E24" s="29" t="str">
        <f t="shared" si="4"/>
        <v/>
      </c>
      <c r="F24" s="30" t="str">
        <f t="shared" si="5"/>
        <v/>
      </c>
      <c r="G24" s="31" t="s">
        <v>625</v>
      </c>
      <c r="H24" s="31" t="str">
        <f t="shared" si="6"/>
        <v/>
      </c>
      <c r="I24" s="32" t="str">
        <f t="shared" si="7"/>
        <v/>
      </c>
      <c r="J24" s="62"/>
      <c r="K24" s="62"/>
    </row>
    <row r="25" spans="1:22" ht="196.5" customHeight="1">
      <c r="A25" s="41" t="str">
        <v>Hollister - PG&amp;E (Enerparc)</v>
      </c>
      <c r="B25" s="42" t="str">
        <v>CA</v>
      </c>
      <c r="C25" s="35">
        <v>224148.81299999999</v>
      </c>
      <c r="D25" s="36">
        <v>0</v>
      </c>
      <c r="E25" s="36">
        <f t="shared" si="4"/>
        <v>224148.81299999999</v>
      </c>
      <c r="F25" s="37" t="str">
        <f t="shared" si="5"/>
        <v/>
      </c>
      <c r="G25" s="38">
        <v>347082.4</v>
      </c>
      <c r="H25" s="38">
        <f t="shared" si="6"/>
        <v>-122933.58700000003</v>
      </c>
      <c r="I25" s="37">
        <f t="shared" si="7"/>
        <v>-0.35419135917004152</v>
      </c>
      <c r="J25" s="60" t="s">
        <v>637</v>
      </c>
      <c r="K25" s="75" t="s">
        <v>638</v>
      </c>
      <c r="L25" s="76" t="s">
        <v>251</v>
      </c>
      <c r="M25" s="76" t="s">
        <v>513</v>
      </c>
      <c r="N25" s="76" t="s">
        <v>639</v>
      </c>
      <c r="O25" s="76" t="s">
        <v>640</v>
      </c>
    </row>
    <row r="26" spans="1:22" ht="57.6">
      <c r="A26" s="43" t="str">
        <v>Taos County - Kit Carson Electric Co-Op</v>
      </c>
      <c r="B26" s="40" t="str">
        <v>NM</v>
      </c>
      <c r="C26" s="28">
        <v>252200</v>
      </c>
      <c r="D26" s="29">
        <v>182265.4</v>
      </c>
      <c r="E26" s="29">
        <f t="shared" si="4"/>
        <v>69934.600000000006</v>
      </c>
      <c r="F26" s="30">
        <f t="shared" si="5"/>
        <v>0.38369652166565904</v>
      </c>
      <c r="G26" s="31">
        <v>164191.20000000001</v>
      </c>
      <c r="H26" s="31">
        <f t="shared" si="6"/>
        <v>88008.799999999988</v>
      </c>
      <c r="I26" s="32">
        <f t="shared" si="7"/>
        <v>0.53601411037863167</v>
      </c>
      <c r="J26" s="62" t="s">
        <v>641</v>
      </c>
      <c r="K26" s="78" t="s">
        <v>642</v>
      </c>
    </row>
    <row r="27" spans="1:22" ht="28.9">
      <c r="A27" s="41" t="str">
        <v>Commerce City - Adams City HS</v>
      </c>
      <c r="B27" s="42" t="str">
        <v>CO</v>
      </c>
      <c r="C27" s="35">
        <v>13260</v>
      </c>
      <c r="D27" s="36">
        <v>10997.74</v>
      </c>
      <c r="E27" s="36">
        <f t="shared" si="4"/>
        <v>2262.2600000000002</v>
      </c>
      <c r="F27" s="37">
        <f t="shared" si="5"/>
        <v>0.2057022624648337</v>
      </c>
      <c r="G27" s="38">
        <v>12284.28</v>
      </c>
      <c r="H27" s="38">
        <f t="shared" si="6"/>
        <v>975.71999999999935</v>
      </c>
      <c r="I27" s="37">
        <f t="shared" si="7"/>
        <v>7.9428342564643539E-2</v>
      </c>
      <c r="J27" s="60" t="s">
        <v>514</v>
      </c>
      <c r="K27" s="59"/>
    </row>
    <row r="28" spans="1:22" ht="15.6">
      <c r="A28" s="43" t="str">
        <v>Commerce City - Adams City MS</v>
      </c>
      <c r="B28" s="40" t="str">
        <v>CO</v>
      </c>
      <c r="C28" s="28">
        <v>10675</v>
      </c>
      <c r="D28" s="29">
        <v>9993.1200000000008</v>
      </c>
      <c r="E28" s="29">
        <f t="shared" si="4"/>
        <v>681.8799999999992</v>
      </c>
      <c r="F28" s="30">
        <f t="shared" si="5"/>
        <v>6.8234945642602018E-2</v>
      </c>
      <c r="G28" s="31">
        <v>10811.23</v>
      </c>
      <c r="H28" s="31">
        <f t="shared" si="6"/>
        <v>-136.22999999999956</v>
      </c>
      <c r="I28" s="32">
        <f t="shared" si="7"/>
        <v>-1.2600786404507125E-2</v>
      </c>
      <c r="J28" s="62"/>
      <c r="K28" s="62"/>
    </row>
    <row r="29" spans="1:22" ht="15.6">
      <c r="A29" s="41" t="str">
        <v>Commerce City - Central ES</v>
      </c>
      <c r="B29" s="42" t="str">
        <v>CO</v>
      </c>
      <c r="C29" s="35">
        <v>2798</v>
      </c>
      <c r="D29" s="36">
        <v>2831.2759999999998</v>
      </c>
      <c r="E29" s="36">
        <f t="shared" si="4"/>
        <v>-33.27599999999984</v>
      </c>
      <c r="F29" s="37">
        <f t="shared" si="5"/>
        <v>-1.1753004652319252E-2</v>
      </c>
      <c r="G29" s="38">
        <v>3130.43</v>
      </c>
      <c r="H29" s="38">
        <f t="shared" si="6"/>
        <v>-332.42999999999984</v>
      </c>
      <c r="I29" s="37">
        <f t="shared" si="7"/>
        <v>-0.10619307890609272</v>
      </c>
      <c r="J29" s="60"/>
      <c r="K29" s="59"/>
    </row>
    <row r="30" spans="1:22" ht="15.6">
      <c r="A30" s="43" t="str">
        <v>Commerce City - Dupont ES</v>
      </c>
      <c r="B30" s="40" t="str">
        <v>CO</v>
      </c>
      <c r="C30" s="28">
        <v>8635</v>
      </c>
      <c r="D30" s="29">
        <v>7895.92</v>
      </c>
      <c r="E30" s="29">
        <f t="shared" si="4"/>
        <v>739.07999999999993</v>
      </c>
      <c r="F30" s="30">
        <f t="shared" si="5"/>
        <v>9.3602772064559914E-2</v>
      </c>
      <c r="G30" s="31">
        <v>8854.3950000000004</v>
      </c>
      <c r="H30" s="31">
        <f t="shared" si="6"/>
        <v>-219.39500000000044</v>
      </c>
      <c r="I30" s="32">
        <f t="shared" si="7"/>
        <v>-2.4778090428538645E-2</v>
      </c>
      <c r="J30" s="62"/>
      <c r="K30" s="62"/>
    </row>
    <row r="31" spans="1:22" ht="28.9">
      <c r="A31" s="41" t="str">
        <v>Commerce City - Educational Support Services</v>
      </c>
      <c r="B31" s="42" t="str">
        <v>CO</v>
      </c>
      <c r="C31" s="35">
        <v>0</v>
      </c>
      <c r="D31" s="36">
        <v>8416.1409999999996</v>
      </c>
      <c r="E31" s="36">
        <f t="shared" si="4"/>
        <v>-8416.1409999999996</v>
      </c>
      <c r="F31" s="37">
        <f t="shared" si="5"/>
        <v>-1</v>
      </c>
      <c r="G31" s="38">
        <v>9366.4140000000007</v>
      </c>
      <c r="H31" s="38">
        <f t="shared" si="6"/>
        <v>-9366.4140000000007</v>
      </c>
      <c r="I31" s="37">
        <f t="shared" si="7"/>
        <v>-1</v>
      </c>
      <c r="J31" s="60" t="s">
        <v>516</v>
      </c>
      <c r="K31" s="75" t="s">
        <v>517</v>
      </c>
    </row>
    <row r="32" spans="1:22" ht="15.6">
      <c r="A32" s="43" t="str">
        <v>Commerce City - Hanson ES</v>
      </c>
      <c r="B32" s="40" t="str">
        <v>CO</v>
      </c>
      <c r="C32" s="28">
        <v>11492</v>
      </c>
      <c r="D32" s="29">
        <v>10974.89</v>
      </c>
      <c r="E32" s="29">
        <f t="shared" si="4"/>
        <v>517.11000000000058</v>
      </c>
      <c r="F32" s="30">
        <f t="shared" si="5"/>
        <v>4.7117556531318362E-2</v>
      </c>
      <c r="G32" s="31">
        <v>12246.18</v>
      </c>
      <c r="H32" s="31">
        <f t="shared" si="6"/>
        <v>-754.18000000000029</v>
      </c>
      <c r="I32" s="32">
        <f t="shared" si="7"/>
        <v>-6.1584918725676112E-2</v>
      </c>
      <c r="J32" s="62"/>
      <c r="K32" s="62"/>
    </row>
    <row r="33" spans="1:13" ht="39.6">
      <c r="A33" s="41" t="str">
        <v>Commerce City - Kemp ES</v>
      </c>
      <c r="B33" s="42" t="str">
        <v>CO</v>
      </c>
      <c r="C33" s="35">
        <v>10622</v>
      </c>
      <c r="D33" s="36">
        <v>10969.19</v>
      </c>
      <c r="E33" s="36">
        <f t="shared" si="4"/>
        <v>-347.19000000000051</v>
      </c>
      <c r="F33" s="37">
        <f t="shared" si="5"/>
        <v>-3.1651379910458341E-2</v>
      </c>
      <c r="G33" s="38">
        <v>12240.13</v>
      </c>
      <c r="H33" s="38">
        <f t="shared" si="6"/>
        <v>-1618.1299999999992</v>
      </c>
      <c r="I33" s="37">
        <f t="shared" si="7"/>
        <v>-0.1321987593269025</v>
      </c>
      <c r="J33" s="60" t="s">
        <v>386</v>
      </c>
      <c r="K33" s="75" t="s">
        <v>387</v>
      </c>
      <c r="L33" s="76" t="s">
        <v>388</v>
      </c>
    </row>
    <row r="34" spans="1:13" ht="28.9">
      <c r="A34" s="43" t="str">
        <v>Commerce City -  Lester Arnold HS</v>
      </c>
      <c r="B34" s="40" t="str">
        <v>CO</v>
      </c>
      <c r="C34" s="28">
        <v>11778</v>
      </c>
      <c r="D34" s="29">
        <v>10604.11</v>
      </c>
      <c r="E34" s="29">
        <f t="shared" si="4"/>
        <v>1173.8899999999994</v>
      </c>
      <c r="F34" s="30">
        <f t="shared" si="5"/>
        <v>0.11070141671483975</v>
      </c>
      <c r="G34" s="31">
        <v>11882.62</v>
      </c>
      <c r="H34" s="31">
        <f t="shared" si="6"/>
        <v>-104.6200000000008</v>
      </c>
      <c r="I34" s="32">
        <f t="shared" si="7"/>
        <v>-8.8044555830280521E-3</v>
      </c>
      <c r="J34" s="62" t="s">
        <v>518</v>
      </c>
      <c r="K34" s="62"/>
    </row>
    <row r="35" spans="1:13" ht="15.6">
      <c r="A35" s="41" t="str">
        <v>Commerce City - Monaco ES</v>
      </c>
      <c r="B35" s="42" t="str">
        <v>CO</v>
      </c>
      <c r="C35" s="35">
        <v>11864</v>
      </c>
      <c r="D35" s="36">
        <v>10975.12</v>
      </c>
      <c r="E35" s="36">
        <f t="shared" si="4"/>
        <v>888.8799999999992</v>
      </c>
      <c r="F35" s="37">
        <f t="shared" si="5"/>
        <v>8.0990458418677802E-2</v>
      </c>
      <c r="G35" s="38">
        <v>12246.18</v>
      </c>
      <c r="H35" s="38">
        <f t="shared" si="6"/>
        <v>-382.18000000000029</v>
      </c>
      <c r="I35" s="37">
        <f t="shared" si="7"/>
        <v>-3.1208099178682683E-2</v>
      </c>
      <c r="J35" s="60"/>
      <c r="K35" s="59"/>
    </row>
    <row r="36" spans="1:13" ht="28.9">
      <c r="A36" s="43" t="str">
        <v>Denver - Northgate / Old Fort Logan ES</v>
      </c>
      <c r="B36" s="40" t="str">
        <v>CO</v>
      </c>
      <c r="C36" s="28">
        <v>10905</v>
      </c>
      <c r="D36" s="29">
        <v>9516.2060000000001</v>
      </c>
      <c r="E36" s="29">
        <f t="shared" si="4"/>
        <v>1388.7939999999999</v>
      </c>
      <c r="F36" s="30">
        <f t="shared" si="5"/>
        <v>0.14593988402520919</v>
      </c>
      <c r="G36" s="31">
        <v>11892.19</v>
      </c>
      <c r="H36" s="31">
        <f t="shared" si="6"/>
        <v>-987.19000000000051</v>
      </c>
      <c r="I36" s="32">
        <f t="shared" si="7"/>
        <v>-8.3011623594981279E-2</v>
      </c>
      <c r="J36" s="62" t="s">
        <v>519</v>
      </c>
      <c r="K36" s="62"/>
    </row>
    <row r="37" spans="1:13" ht="15.6">
      <c r="A37" s="41" t="str">
        <v>Denver - Sheridan High School</v>
      </c>
      <c r="B37" s="42" t="str">
        <v>CO</v>
      </c>
      <c r="C37" s="35">
        <v>12495</v>
      </c>
      <c r="D37" s="36">
        <v>10991.63</v>
      </c>
      <c r="E37" s="36">
        <f t="shared" si="4"/>
        <v>1503.3700000000008</v>
      </c>
      <c r="F37" s="37">
        <f t="shared" si="5"/>
        <v>0.13677407263526892</v>
      </c>
      <c r="G37" s="38">
        <v>11844.35</v>
      </c>
      <c r="H37" s="38">
        <f t="shared" si="6"/>
        <v>650.64999999999964</v>
      </c>
      <c r="I37" s="37">
        <f t="shared" si="7"/>
        <v>5.4933364853284448E-2</v>
      </c>
      <c r="J37" s="60"/>
      <c r="K37" s="59"/>
    </row>
    <row r="38" spans="1:13" ht="15.6">
      <c r="A38" s="43" t="str">
        <v>Englewood -  Alice Terry Elementary</v>
      </c>
      <c r="B38" s="40" t="str">
        <v>CO</v>
      </c>
      <c r="C38" s="28">
        <v>12172</v>
      </c>
      <c r="D38" s="29">
        <v>10992.22</v>
      </c>
      <c r="E38" s="29">
        <f t="shared" si="4"/>
        <v>1179.7800000000007</v>
      </c>
      <c r="F38" s="30">
        <f t="shared" si="5"/>
        <v>0.10732863789116309</v>
      </c>
      <c r="G38" s="31">
        <v>11892.19</v>
      </c>
      <c r="H38" s="31">
        <f t="shared" si="6"/>
        <v>279.80999999999949</v>
      </c>
      <c r="I38" s="32">
        <f t="shared" si="7"/>
        <v>2.3528887446298746E-2</v>
      </c>
      <c r="J38" s="62"/>
      <c r="K38" s="62"/>
    </row>
    <row r="39" spans="1:13" ht="26.45">
      <c r="A39" s="41" t="str">
        <v>Englewood - Sheridan Middle School</v>
      </c>
      <c r="B39" s="42" t="str">
        <v>CO</v>
      </c>
      <c r="C39" s="35">
        <v>5628</v>
      </c>
      <c r="D39" s="36">
        <v>6142.5209999999997</v>
      </c>
      <c r="E39" s="36">
        <f t="shared" si="4"/>
        <v>-514.52099999999973</v>
      </c>
      <c r="F39" s="37">
        <f t="shared" si="5"/>
        <v>-8.3763816192081356E-2</v>
      </c>
      <c r="G39" s="38">
        <v>6959.5609999999997</v>
      </c>
      <c r="H39" s="38">
        <f t="shared" si="6"/>
        <v>-1331.5609999999997</v>
      </c>
      <c r="I39" s="37">
        <f t="shared" si="7"/>
        <v>-0.19132830360995468</v>
      </c>
      <c r="J39" s="60" t="s">
        <v>520</v>
      </c>
      <c r="K39" s="75" t="s">
        <v>521</v>
      </c>
      <c r="L39" s="76" t="s">
        <v>522</v>
      </c>
    </row>
    <row r="40" spans="1:13" ht="43.15">
      <c r="A40" s="43" t="str">
        <v>Goshen - NIPSCO</v>
      </c>
      <c r="B40" s="40" t="str">
        <v>IN</v>
      </c>
      <c r="C40" s="28">
        <v>48157</v>
      </c>
      <c r="D40" s="29">
        <v>48118.61</v>
      </c>
      <c r="E40" s="29">
        <f t="shared" si="4"/>
        <v>38.389999999999418</v>
      </c>
      <c r="F40" s="30">
        <f t="shared" si="5"/>
        <v>7.978202196613621E-4</v>
      </c>
      <c r="G40" s="31">
        <v>50434.87</v>
      </c>
      <c r="H40" s="31">
        <f t="shared" si="6"/>
        <v>-2277.8700000000026</v>
      </c>
      <c r="I40" s="32">
        <f t="shared" si="7"/>
        <v>-4.5164585533778563E-2</v>
      </c>
      <c r="J40" s="62" t="s">
        <v>390</v>
      </c>
      <c r="K40" s="78" t="s">
        <v>190</v>
      </c>
    </row>
    <row r="41" spans="1:13" ht="72">
      <c r="A41" s="41" t="str">
        <v>Alamogordo - City of Alamogordo - Effluent</v>
      </c>
      <c r="B41" s="42" t="str">
        <v>NM</v>
      </c>
      <c r="C41" s="35">
        <v>23503</v>
      </c>
      <c r="D41" s="36">
        <v>28483.33</v>
      </c>
      <c r="E41" s="36">
        <f t="shared" si="4"/>
        <v>-4980.3300000000017</v>
      </c>
      <c r="F41" s="37">
        <f t="shared" si="5"/>
        <v>-0.17485069337047324</v>
      </c>
      <c r="G41" s="38">
        <v>26270.63</v>
      </c>
      <c r="H41" s="38">
        <f t="shared" si="6"/>
        <v>-2767.630000000001</v>
      </c>
      <c r="I41" s="37">
        <f t="shared" si="7"/>
        <v>-0.10535072817058445</v>
      </c>
      <c r="J41" s="60" t="s">
        <v>643</v>
      </c>
      <c r="K41" s="75" t="s">
        <v>524</v>
      </c>
      <c r="L41" s="76" t="s">
        <v>525</v>
      </c>
    </row>
    <row r="42" spans="1:13" ht="43.15">
      <c r="A42" s="43" t="str">
        <v>Alamogordo - City of Alamogordo - WWTP</v>
      </c>
      <c r="B42" s="40" t="str">
        <v>NM</v>
      </c>
      <c r="C42" s="28">
        <v>83070</v>
      </c>
      <c r="D42" s="29">
        <v>5.8603420000000003E-2</v>
      </c>
      <c r="E42" s="29">
        <f t="shared" si="4"/>
        <v>83069.941396580005</v>
      </c>
      <c r="F42" s="30">
        <f t="shared" si="5"/>
        <v>1417493.0643395898</v>
      </c>
      <c r="G42" s="31">
        <v>111409.8</v>
      </c>
      <c r="H42" s="31">
        <f t="shared" si="6"/>
        <v>-28339.800000000003</v>
      </c>
      <c r="I42" s="32">
        <f t="shared" si="7"/>
        <v>-0.25437439076275159</v>
      </c>
      <c r="J42" s="62" t="s">
        <v>526</v>
      </c>
      <c r="K42" s="78" t="s">
        <v>272</v>
      </c>
      <c r="L42" s="76" t="s">
        <v>273</v>
      </c>
      <c r="M42" s="76" t="s">
        <v>274</v>
      </c>
    </row>
    <row r="43" spans="1:13" ht="28.9">
      <c r="A43" s="41" t="str">
        <v>Deming - Bilbo Booster</v>
      </c>
      <c r="B43" s="42" t="str">
        <v>NM</v>
      </c>
      <c r="C43" s="35">
        <v>11421</v>
      </c>
      <c r="D43" s="36">
        <v>0</v>
      </c>
      <c r="E43" s="36">
        <f>IF(AND(ISNUMBER(C43),ISNUMBER(D43)), C43-D43, "")</f>
        <v>11421</v>
      </c>
      <c r="F43" s="37" t="str">
        <f>IFERROR(E43/D43, "")</f>
        <v/>
      </c>
      <c r="G43" s="105">
        <v>10530.84</v>
      </c>
      <c r="H43" s="38">
        <f>IF(AND(ISNUMBER(C43),ISNUMBER(G43)), C43-G43, "")</f>
        <v>890.15999999999985</v>
      </c>
      <c r="I43" s="37">
        <f>IFERROR(H43/G43, "")</f>
        <v>8.4528869491892367E-2</v>
      </c>
      <c r="J43" s="60" t="s">
        <v>527</v>
      </c>
      <c r="K43" s="75" t="s">
        <v>528</v>
      </c>
    </row>
    <row r="44" spans="1:13" ht="28.9">
      <c r="A44" s="43" t="str">
        <v>Deming - Bilbo Well</v>
      </c>
      <c r="B44" s="40" t="str">
        <v>NM</v>
      </c>
      <c r="C44" s="28">
        <v>20739.000000000098</v>
      </c>
      <c r="D44" s="29">
        <v>0</v>
      </c>
      <c r="E44" s="29">
        <f t="shared" si="4"/>
        <v>20739.000000000098</v>
      </c>
      <c r="F44" s="30" t="str">
        <f t="shared" si="5"/>
        <v/>
      </c>
      <c r="G44" s="31">
        <v>19035.650000000001</v>
      </c>
      <c r="H44" s="31">
        <f t="shared" si="6"/>
        <v>1703.3500000000968</v>
      </c>
      <c r="I44" s="32">
        <f t="shared" si="7"/>
        <v>8.9482103316676692E-2</v>
      </c>
      <c r="J44" s="62" t="s">
        <v>277</v>
      </c>
      <c r="K44" s="78" t="s">
        <v>278</v>
      </c>
    </row>
    <row r="45" spans="1:13" ht="52.9">
      <c r="A45" s="41" t="str">
        <v>Deming - WWTP</v>
      </c>
      <c r="B45" s="42" t="str">
        <v>NM</v>
      </c>
      <c r="C45" s="35">
        <v>74210</v>
      </c>
      <c r="D45" s="36">
        <v>68064.639999999999</v>
      </c>
      <c r="E45" s="36">
        <f t="shared" si="4"/>
        <v>6145.3600000000006</v>
      </c>
      <c r="F45" s="37">
        <f t="shared" si="5"/>
        <v>9.0287115306861246E-2</v>
      </c>
      <c r="G45" s="38">
        <v>84217.76</v>
      </c>
      <c r="H45" s="38">
        <f t="shared" si="6"/>
        <v>-10007.759999999995</v>
      </c>
      <c r="I45" s="37">
        <f t="shared" si="7"/>
        <v>-0.11883194233615327</v>
      </c>
      <c r="J45" s="60" t="s">
        <v>397</v>
      </c>
      <c r="K45" s="75" t="s">
        <v>644</v>
      </c>
      <c r="L45" s="76" t="s">
        <v>399</v>
      </c>
      <c r="M45" s="76" t="s">
        <v>645</v>
      </c>
    </row>
    <row r="46" spans="1:13" ht="43.15">
      <c r="A46" s="43" t="str">
        <v>Truth or Consequences - Walmart</v>
      </c>
      <c r="B46" s="40" t="str">
        <v>NM</v>
      </c>
      <c r="C46" s="28">
        <v>145300</v>
      </c>
      <c r="D46" s="29">
        <v>310102.3</v>
      </c>
      <c r="E46" s="29">
        <f t="shared" si="4"/>
        <v>-164802.29999999999</v>
      </c>
      <c r="F46" s="30">
        <f t="shared" si="5"/>
        <v>-0.53144494574854817</v>
      </c>
      <c r="G46" s="31">
        <v>163878.39999999999</v>
      </c>
      <c r="H46" s="31">
        <f t="shared" si="6"/>
        <v>-18578.399999999994</v>
      </c>
      <c r="I46" s="32">
        <f t="shared" si="7"/>
        <v>-0.11336698430055453</v>
      </c>
      <c r="J46" s="62" t="s">
        <v>646</v>
      </c>
      <c r="K46" s="78" t="s">
        <v>647</v>
      </c>
      <c r="L46" s="76" t="s">
        <v>532</v>
      </c>
      <c r="M46" s="76" t="s">
        <v>533</v>
      </c>
    </row>
    <row r="47" spans="1:13" ht="43.15">
      <c r="A47" s="41" t="str">
        <v>CA: Stockton - SUSD - Merlo</v>
      </c>
      <c r="B47" s="42" t="str">
        <v>CA</v>
      </c>
      <c r="C47" s="35">
        <v>6.125</v>
      </c>
      <c r="D47" s="36">
        <v>11800.48</v>
      </c>
      <c r="E47" s="36">
        <f t="shared" si="4"/>
        <v>-11794.355</v>
      </c>
      <c r="F47" s="37">
        <f t="shared" si="5"/>
        <v>-0.99948095331715325</v>
      </c>
      <c r="G47" s="38">
        <v>14669.85</v>
      </c>
      <c r="H47" s="38">
        <f t="shared" si="6"/>
        <v>-14663.725</v>
      </c>
      <c r="I47" s="37">
        <f t="shared" si="7"/>
        <v>-0.99958247698510894</v>
      </c>
      <c r="J47" s="60" t="s">
        <v>648</v>
      </c>
      <c r="K47" s="75" t="s">
        <v>535</v>
      </c>
      <c r="L47" s="76" t="s">
        <v>536</v>
      </c>
    </row>
    <row r="48" spans="1:13" ht="72">
      <c r="A48" s="43" t="str">
        <v>Stockton Unified School Dist. - Bush Elementary</v>
      </c>
      <c r="B48" s="40" t="str">
        <v>CA</v>
      </c>
      <c r="C48" s="28">
        <v>18529.25</v>
      </c>
      <c r="D48" s="29">
        <v>25559.64</v>
      </c>
      <c r="E48" s="29">
        <f t="shared" si="4"/>
        <v>-7030.3899999999994</v>
      </c>
      <c r="F48" s="30">
        <f t="shared" si="5"/>
        <v>-0.27505825590657768</v>
      </c>
      <c r="G48" s="31">
        <v>28961.58</v>
      </c>
      <c r="H48" s="31">
        <f t="shared" si="6"/>
        <v>-10432.330000000002</v>
      </c>
      <c r="I48" s="32">
        <f t="shared" si="7"/>
        <v>-0.3602127370122763</v>
      </c>
      <c r="J48" s="62" t="s">
        <v>649</v>
      </c>
      <c r="K48" s="78" t="s">
        <v>650</v>
      </c>
      <c r="L48" s="76" t="s">
        <v>651</v>
      </c>
    </row>
    <row r="49" spans="1:14" ht="43.15">
      <c r="A49" s="41" t="str">
        <v>CA: Stockton - SUSD - Marshall JHS</v>
      </c>
      <c r="B49" s="42" t="str">
        <v>CA</v>
      </c>
      <c r="C49" s="35">
        <v>4484</v>
      </c>
      <c r="D49" s="36">
        <v>16741.830000000002</v>
      </c>
      <c r="E49" s="36">
        <f t="shared" si="4"/>
        <v>-12257.830000000002</v>
      </c>
      <c r="F49" s="37">
        <f t="shared" si="5"/>
        <v>-0.73216786934283773</v>
      </c>
      <c r="G49" s="38">
        <v>18912.37</v>
      </c>
      <c r="H49" s="38">
        <f t="shared" si="6"/>
        <v>-14428.369999999999</v>
      </c>
      <c r="I49" s="37">
        <f t="shared" si="7"/>
        <v>-0.76290649981995906</v>
      </c>
      <c r="J49" s="60" t="s">
        <v>289</v>
      </c>
      <c r="K49" s="75" t="s">
        <v>290</v>
      </c>
    </row>
    <row r="50" spans="1:14" ht="28.9">
      <c r="A50" s="43" t="str">
        <v>CA: Stockton - SUSD - Hong-Kingston ES</v>
      </c>
      <c r="B50" s="40" t="str">
        <v>CA</v>
      </c>
      <c r="C50" s="28">
        <v>3195.25</v>
      </c>
      <c r="D50" s="29">
        <v>28503.39</v>
      </c>
      <c r="E50" s="29">
        <f t="shared" si="4"/>
        <v>-25308.14</v>
      </c>
      <c r="F50" s="30">
        <f t="shared" si="5"/>
        <v>-0.88789929899566333</v>
      </c>
      <c r="G50" s="31">
        <v>30954.959999999999</v>
      </c>
      <c r="H50" s="31">
        <f t="shared" si="6"/>
        <v>-27759.71</v>
      </c>
      <c r="I50" s="32">
        <f t="shared" si="7"/>
        <v>-0.89677744697457207</v>
      </c>
      <c r="J50" s="62" t="s">
        <v>291</v>
      </c>
      <c r="K50" s="78" t="s">
        <v>292</v>
      </c>
    </row>
    <row r="51" spans="1:14" ht="15.6">
      <c r="A51" s="41" t="str">
        <v>CA: Stockton - SUSD - Hamilton ES</v>
      </c>
      <c r="B51" s="42" t="str">
        <v>CA</v>
      </c>
      <c r="C51" s="35">
        <v>4146.375</v>
      </c>
      <c r="D51" s="36">
        <v>14540.97</v>
      </c>
      <c r="E51" s="36">
        <f t="shared" si="4"/>
        <v>-10394.594999999999</v>
      </c>
      <c r="F51" s="37">
        <f t="shared" si="5"/>
        <v>-0.71484880307159704</v>
      </c>
      <c r="G51" s="38">
        <v>16527.310000000001</v>
      </c>
      <c r="H51" s="38">
        <f t="shared" si="6"/>
        <v>-12380.935000000001</v>
      </c>
      <c r="I51" s="37">
        <f t="shared" si="7"/>
        <v>-0.74911979021389452</v>
      </c>
      <c r="J51" s="60" t="s">
        <v>541</v>
      </c>
      <c r="K51" s="75" t="s">
        <v>294</v>
      </c>
    </row>
    <row r="52" spans="1:14" ht="100.9">
      <c r="A52" s="43" t="str">
        <v>CA: Stockton - SUSD - Franklin - North</v>
      </c>
      <c r="B52" s="40" t="str">
        <v>CA</v>
      </c>
      <c r="C52" s="28">
        <v>17184.5</v>
      </c>
      <c r="D52" s="29">
        <v>81177.59</v>
      </c>
      <c r="E52" s="29">
        <f t="shared" si="4"/>
        <v>-63993.09</v>
      </c>
      <c r="F52" s="30">
        <f t="shared" si="5"/>
        <v>-0.78830980323510469</v>
      </c>
      <c r="G52" s="31">
        <v>43715.26</v>
      </c>
      <c r="H52" s="31">
        <f t="shared" si="6"/>
        <v>-26530.760000000002</v>
      </c>
      <c r="I52" s="32">
        <f t="shared" si="7"/>
        <v>-0.60689928414013783</v>
      </c>
      <c r="J52" s="62" t="s">
        <v>543</v>
      </c>
      <c r="K52" s="78" t="s">
        <v>544</v>
      </c>
      <c r="L52" s="76" t="s">
        <v>298</v>
      </c>
      <c r="M52" s="76" t="s">
        <v>317</v>
      </c>
      <c r="N52" s="76" t="s">
        <v>545</v>
      </c>
    </row>
    <row r="53" spans="1:14" ht="15.6">
      <c r="A53" s="41" t="str">
        <v>Stockton Unified School Dist. - Fillmore Elementary</v>
      </c>
      <c r="B53" s="42" t="str">
        <v>CA</v>
      </c>
      <c r="C53" s="35">
        <v>3025.125</v>
      </c>
      <c r="D53" s="36">
        <v>12200.76</v>
      </c>
      <c r="E53" s="36">
        <f t="shared" si="4"/>
        <v>-9175.6350000000002</v>
      </c>
      <c r="F53" s="37">
        <f t="shared" si="5"/>
        <v>-0.75205438021893722</v>
      </c>
      <c r="G53" s="38">
        <v>13664.1</v>
      </c>
      <c r="H53" s="38">
        <f t="shared" si="6"/>
        <v>-10638.975</v>
      </c>
      <c r="I53" s="37">
        <f t="shared" si="7"/>
        <v>-0.77860781171097992</v>
      </c>
      <c r="J53" s="60" t="s">
        <v>410</v>
      </c>
      <c r="K53" s="75" t="s">
        <v>546</v>
      </c>
    </row>
    <row r="54" spans="1:14" ht="28.9">
      <c r="A54" s="43" t="str">
        <v>CA: Stockton - SUSD - El Dorado ES</v>
      </c>
      <c r="B54" s="40" t="str">
        <v>CA</v>
      </c>
      <c r="C54" s="28">
        <v>3600.5</v>
      </c>
      <c r="D54" s="29">
        <v>15445.86</v>
      </c>
      <c r="E54" s="29">
        <f t="shared" si="4"/>
        <v>-11845.36</v>
      </c>
      <c r="F54" s="30">
        <f t="shared" si="5"/>
        <v>-0.76689546584003743</v>
      </c>
      <c r="G54" s="31">
        <v>0</v>
      </c>
      <c r="H54" s="31">
        <f t="shared" si="6"/>
        <v>3600.5</v>
      </c>
      <c r="I54" s="32" t="str">
        <f t="shared" si="7"/>
        <v/>
      </c>
      <c r="J54" s="62" t="s">
        <v>411</v>
      </c>
      <c r="K54" s="78" t="s">
        <v>547</v>
      </c>
    </row>
    <row r="55" spans="1:14" ht="57.6">
      <c r="A55" s="41" t="str">
        <v>CA: Stockton - SUSD - Edison HS</v>
      </c>
      <c r="B55" s="42" t="str">
        <v>CA</v>
      </c>
      <c r="C55" s="35">
        <v>24313</v>
      </c>
      <c r="D55" s="36">
        <v>40084.18</v>
      </c>
      <c r="E55" s="36">
        <f t="shared" si="4"/>
        <v>-15771.18</v>
      </c>
      <c r="F55" s="37">
        <f t="shared" si="5"/>
        <v>-0.3934514813574832</v>
      </c>
      <c r="G55" s="38">
        <v>45887.89</v>
      </c>
      <c r="H55" s="38">
        <f t="shared" si="6"/>
        <v>-21574.89</v>
      </c>
      <c r="I55" s="37">
        <f t="shared" si="7"/>
        <v>-0.47016522224055191</v>
      </c>
      <c r="J55" s="60" t="s">
        <v>652</v>
      </c>
      <c r="K55" s="75" t="s">
        <v>653</v>
      </c>
      <c r="L55" s="76" t="s">
        <v>654</v>
      </c>
      <c r="M55" s="76" t="s">
        <v>654</v>
      </c>
    </row>
    <row r="56" spans="1:14" ht="57.6">
      <c r="A56" s="43" t="str">
        <v>CA: Stockton - SUSD - Chavez HS - Large</v>
      </c>
      <c r="B56" s="40" t="str">
        <v>CA</v>
      </c>
      <c r="C56" s="28">
        <v>21843</v>
      </c>
      <c r="D56" s="29">
        <v>94859.27</v>
      </c>
      <c r="E56" s="29">
        <f t="shared" si="4"/>
        <v>-73016.27</v>
      </c>
      <c r="F56" s="30">
        <f t="shared" si="5"/>
        <v>-0.7697325733162399</v>
      </c>
      <c r="G56" s="31">
        <v>94415.99</v>
      </c>
      <c r="H56" s="31">
        <f t="shared" si="6"/>
        <v>-72572.990000000005</v>
      </c>
      <c r="I56" s="32">
        <f t="shared" si="7"/>
        <v>-0.76865147524269994</v>
      </c>
      <c r="J56" s="62" t="s">
        <v>655</v>
      </c>
      <c r="K56" s="78" t="s">
        <v>656</v>
      </c>
    </row>
    <row r="57" spans="1:14" ht="43.15">
      <c r="A57" s="41" t="str">
        <v>CA: San Jose - GE Mobile Water</v>
      </c>
      <c r="B57" s="42" t="str">
        <v>CA</v>
      </c>
      <c r="C57" s="35">
        <v>20970</v>
      </c>
      <c r="D57" s="36">
        <v>24063.89</v>
      </c>
      <c r="E57" s="36">
        <f t="shared" si="4"/>
        <v>-3093.8899999999994</v>
      </c>
      <c r="F57" s="37">
        <f t="shared" si="5"/>
        <v>-0.12856981975898324</v>
      </c>
      <c r="G57" s="38">
        <v>26418.84</v>
      </c>
      <c r="H57" s="38">
        <f t="shared" si="6"/>
        <v>-5448.84</v>
      </c>
      <c r="I57" s="37">
        <f t="shared" si="7"/>
        <v>-0.20624826828127202</v>
      </c>
      <c r="J57" s="60" t="s">
        <v>657</v>
      </c>
      <c r="K57" s="75" t="s">
        <v>658</v>
      </c>
    </row>
    <row r="58" spans="1:14" ht="15.6">
      <c r="A58" s="43" t="str">
        <v>CA: San Marcos - Vallecitos Water - Lift Station</v>
      </c>
      <c r="B58" s="40" t="str">
        <v>CA</v>
      </c>
      <c r="C58" s="28">
        <v>31312.5</v>
      </c>
      <c r="D58" s="29">
        <v>33172.21</v>
      </c>
      <c r="E58" s="29">
        <f t="shared" si="4"/>
        <v>-1859.7099999999991</v>
      </c>
      <c r="F58" s="30">
        <f t="shared" si="5"/>
        <v>-5.6062288282872901E-2</v>
      </c>
      <c r="G58" s="31">
        <v>33784.54</v>
      </c>
      <c r="H58" s="31">
        <f t="shared" si="6"/>
        <v>-2472.0400000000009</v>
      </c>
      <c r="I58" s="32">
        <f t="shared" si="7"/>
        <v>-7.317074614601829E-2</v>
      </c>
      <c r="J58" s="62"/>
      <c r="K58" s="62"/>
    </row>
    <row r="59" spans="1:14" ht="15.6">
      <c r="A59" s="41" t="str">
        <v>CA: San Marcos - Vallecitos Water - Twin Oaks Reservoir</v>
      </c>
      <c r="B59" s="42" t="str">
        <v>CA</v>
      </c>
      <c r="C59" s="35">
        <v>250705</v>
      </c>
      <c r="D59" s="36">
        <v>295417.7</v>
      </c>
      <c r="E59" s="36">
        <f t="shared" si="4"/>
        <v>-44712.700000000012</v>
      </c>
      <c r="F59" s="37">
        <f t="shared" si="5"/>
        <v>-0.15135416733662205</v>
      </c>
      <c r="G59" s="38">
        <v>221544</v>
      </c>
      <c r="H59" s="38">
        <f t="shared" si="6"/>
        <v>29161</v>
      </c>
      <c r="I59" s="37">
        <f t="shared" si="7"/>
        <v>0.13162622323330805</v>
      </c>
      <c r="J59" s="60" t="s">
        <v>555</v>
      </c>
      <c r="K59" s="75" t="s">
        <v>556</v>
      </c>
    </row>
    <row r="60" spans="1:14" ht="28.9">
      <c r="A60" s="43" t="str">
        <v>CA: Stockton - SUSD - Wilhelmina Henry ES</v>
      </c>
      <c r="B60" s="40" t="str">
        <v>CA</v>
      </c>
      <c r="C60" s="28">
        <v>5478.5</v>
      </c>
      <c r="D60" s="29">
        <v>36503.79</v>
      </c>
      <c r="E60" s="29">
        <f t="shared" si="4"/>
        <v>-31025.29</v>
      </c>
      <c r="F60" s="30">
        <f t="shared" si="5"/>
        <v>-0.84991969327020567</v>
      </c>
      <c r="G60" s="31">
        <v>30538.27</v>
      </c>
      <c r="H60" s="31">
        <f t="shared" si="6"/>
        <v>-25059.77</v>
      </c>
      <c r="I60" s="32">
        <f t="shared" si="7"/>
        <v>-0.82060214936864462</v>
      </c>
      <c r="J60" s="62" t="s">
        <v>421</v>
      </c>
      <c r="K60" s="78" t="s">
        <v>557</v>
      </c>
    </row>
    <row r="61" spans="1:14" ht="100.9">
      <c r="A61" s="41" t="str">
        <v>Stockton Unified School Dist. - Franklin (North)</v>
      </c>
      <c r="B61" s="42" t="str">
        <v>CA</v>
      </c>
      <c r="C61" s="35">
        <v>17184.5</v>
      </c>
      <c r="D61" s="36">
        <v>81177.59</v>
      </c>
      <c r="E61" s="36">
        <f t="shared" si="4"/>
        <v>-63993.09</v>
      </c>
      <c r="F61" s="37">
        <f t="shared" si="5"/>
        <v>-0.78830980323510469</v>
      </c>
      <c r="G61" s="38">
        <v>43715.26</v>
      </c>
      <c r="H61" s="38">
        <f t="shared" si="6"/>
        <v>-26530.760000000002</v>
      </c>
      <c r="I61" s="37">
        <f t="shared" si="7"/>
        <v>-0.60689928414013783</v>
      </c>
      <c r="J61" s="60" t="s">
        <v>543</v>
      </c>
      <c r="K61" s="75" t="s">
        <v>544</v>
      </c>
      <c r="L61" s="76" t="s">
        <v>298</v>
      </c>
      <c r="M61" s="76" t="s">
        <v>317</v>
      </c>
      <c r="N61" s="76" t="s">
        <v>545</v>
      </c>
    </row>
    <row r="62" spans="1:14" ht="72">
      <c r="A62" s="43" t="str">
        <v>CA: Stockton - SUSD - Franklin - South</v>
      </c>
      <c r="B62" s="40" t="str">
        <v>CA</v>
      </c>
      <c r="C62" s="28">
        <v>23335.5</v>
      </c>
      <c r="D62" s="29">
        <v>66536.639999999999</v>
      </c>
      <c r="E62" s="29">
        <f t="shared" si="4"/>
        <v>-43201.14</v>
      </c>
      <c r="F62" s="30">
        <f t="shared" si="5"/>
        <v>-0.64928346246519208</v>
      </c>
      <c r="G62" s="31">
        <v>71238.19</v>
      </c>
      <c r="H62" s="31">
        <f t="shared" si="6"/>
        <v>-47902.69</v>
      </c>
      <c r="I62" s="32">
        <f t="shared" si="7"/>
        <v>-0.67242991434790811</v>
      </c>
      <c r="J62" s="62" t="s">
        <v>659</v>
      </c>
      <c r="K62" s="78" t="s">
        <v>660</v>
      </c>
      <c r="L62" s="76" t="s">
        <v>424</v>
      </c>
      <c r="M62" s="76" t="s">
        <v>424</v>
      </c>
    </row>
    <row r="63" spans="1:14" ht="28.9">
      <c r="A63" s="41" t="str">
        <v>CA: Stockton - SUSD - Chavez HS - Small</v>
      </c>
      <c r="B63" s="42" t="str">
        <v>CA</v>
      </c>
      <c r="C63" s="35">
        <v>15684.5</v>
      </c>
      <c r="D63" s="36">
        <v>18445.75</v>
      </c>
      <c r="E63" s="36">
        <f t="shared" si="4"/>
        <v>-2761.25</v>
      </c>
      <c r="F63" s="37">
        <f t="shared" si="5"/>
        <v>-0.14969572936855374</v>
      </c>
      <c r="G63" s="38">
        <v>26639.14</v>
      </c>
      <c r="H63" s="38">
        <f t="shared" si="6"/>
        <v>-10954.64</v>
      </c>
      <c r="I63" s="37">
        <f t="shared" si="7"/>
        <v>-0.41122348544284837</v>
      </c>
      <c r="J63" s="60" t="s">
        <v>425</v>
      </c>
      <c r="K63" s="75" t="s">
        <v>560</v>
      </c>
    </row>
    <row r="64" spans="1:14" ht="43.15">
      <c r="A64" s="43" t="str">
        <v>CA: Stockton - SUSD - Facilities</v>
      </c>
      <c r="B64" s="40" t="str">
        <v>CA</v>
      </c>
      <c r="C64" s="28">
        <v>13004.5</v>
      </c>
      <c r="D64" s="29">
        <v>38725.949999999997</v>
      </c>
      <c r="E64" s="29">
        <f t="shared" si="4"/>
        <v>-25721.449999999997</v>
      </c>
      <c r="F64" s="30">
        <f t="shared" si="5"/>
        <v>-0.66419158213032858</v>
      </c>
      <c r="G64" s="31">
        <v>46055.18</v>
      </c>
      <c r="H64" s="31">
        <f t="shared" si="6"/>
        <v>-33050.68</v>
      </c>
      <c r="I64" s="32">
        <f t="shared" si="7"/>
        <v>-0.7176321968560323</v>
      </c>
      <c r="J64" s="62" t="s">
        <v>561</v>
      </c>
      <c r="K64" s="78" t="s">
        <v>562</v>
      </c>
    </row>
    <row r="65" spans="1:14" ht="28.9">
      <c r="A65" s="41" t="str">
        <v>CA: Stockton - SUSD - Harrison</v>
      </c>
      <c r="B65" s="42" t="str">
        <v>CA</v>
      </c>
      <c r="C65" s="35">
        <v>9748.25</v>
      </c>
      <c r="D65" s="36">
        <v>15377.57</v>
      </c>
      <c r="E65" s="36">
        <f t="shared" si="4"/>
        <v>-5629.32</v>
      </c>
      <c r="F65" s="37">
        <f t="shared" si="5"/>
        <v>-0.36607344333337449</v>
      </c>
      <c r="G65" s="38">
        <v>16360.61</v>
      </c>
      <c r="H65" s="38">
        <f t="shared" si="6"/>
        <v>-6612.3600000000006</v>
      </c>
      <c r="I65" s="37">
        <f t="shared" si="7"/>
        <v>-0.40416341444481596</v>
      </c>
      <c r="J65" s="60" t="s">
        <v>661</v>
      </c>
      <c r="K65" s="75" t="s">
        <v>564</v>
      </c>
    </row>
    <row r="66" spans="1:14" ht="43.15">
      <c r="A66" s="43" t="str">
        <v>CA: Stockton - SUSD - Commodore Skills School</v>
      </c>
      <c r="B66" s="40" t="str">
        <v>CA</v>
      </c>
      <c r="C66" s="28">
        <v>5168.75</v>
      </c>
      <c r="D66" s="29">
        <v>30907.01</v>
      </c>
      <c r="E66" s="29">
        <f t="shared" si="4"/>
        <v>-25738.26</v>
      </c>
      <c r="F66" s="30">
        <f t="shared" si="5"/>
        <v>-0.83276447640842644</v>
      </c>
      <c r="G66" s="31">
        <v>36011.97</v>
      </c>
      <c r="H66" s="31">
        <f t="shared" si="6"/>
        <v>-30843.22</v>
      </c>
      <c r="I66" s="32">
        <f t="shared" si="7"/>
        <v>-0.85647133439242562</v>
      </c>
      <c r="J66" s="62" t="s">
        <v>662</v>
      </c>
      <c r="K66" s="78" t="s">
        <v>663</v>
      </c>
      <c r="L66" s="76" t="s">
        <v>664</v>
      </c>
      <c r="M66" s="76" t="s">
        <v>665</v>
      </c>
    </row>
    <row r="67" spans="1:14" ht="15.6">
      <c r="A67" s="41" t="str">
        <v>CA: Stockton - SUSD - Nightingale ES</v>
      </c>
      <c r="B67" s="42" t="str">
        <v>CA</v>
      </c>
      <c r="C67" s="35">
        <v>12580</v>
      </c>
      <c r="D67" s="36">
        <v>15162.25</v>
      </c>
      <c r="E67" s="36">
        <f t="shared" si="4"/>
        <v>-2582.25</v>
      </c>
      <c r="F67" s="37">
        <f t="shared" si="5"/>
        <v>-0.17030783689755807</v>
      </c>
      <c r="G67" s="38">
        <v>16679.89</v>
      </c>
      <c r="H67" s="38">
        <f t="shared" si="6"/>
        <v>-4099.8899999999994</v>
      </c>
      <c r="I67" s="37">
        <f t="shared" si="7"/>
        <v>-0.24579838356248149</v>
      </c>
      <c r="J67" s="60" t="s">
        <v>430</v>
      </c>
      <c r="K67" s="75" t="s">
        <v>566</v>
      </c>
    </row>
    <row r="68" spans="1:14" ht="43.15">
      <c r="A68" s="43" t="str">
        <v>CA: Stockton - SUSD - Weber Institute</v>
      </c>
      <c r="B68" s="40" t="str">
        <v>CA</v>
      </c>
      <c r="C68" s="28">
        <v>5601.25</v>
      </c>
      <c r="D68" s="29">
        <v>31512.65</v>
      </c>
      <c r="E68" s="29">
        <f t="shared" si="4"/>
        <v>-25911.4</v>
      </c>
      <c r="F68" s="30">
        <f t="shared" si="5"/>
        <v>-0.8222539202510738</v>
      </c>
      <c r="G68" s="31">
        <v>34743.339999999997</v>
      </c>
      <c r="H68" s="31">
        <f t="shared" si="6"/>
        <v>-29142.089999999997</v>
      </c>
      <c r="I68" s="32">
        <f t="shared" si="7"/>
        <v>-0.83878205146655449</v>
      </c>
      <c r="J68" s="62" t="s">
        <v>432</v>
      </c>
      <c r="K68" s="78" t="s">
        <v>666</v>
      </c>
    </row>
    <row r="69" spans="1:14" ht="28.9">
      <c r="A69" s="41" t="str">
        <v>CA: Stockton - SUSD - Warehouse</v>
      </c>
      <c r="B69" s="42" t="str">
        <v>CA</v>
      </c>
      <c r="C69" s="35">
        <v>11195</v>
      </c>
      <c r="D69" s="36">
        <v>27448.47</v>
      </c>
      <c r="E69" s="36">
        <f t="shared" si="4"/>
        <v>-16253.470000000001</v>
      </c>
      <c r="F69" s="37">
        <f t="shared" si="5"/>
        <v>-0.59214484450317273</v>
      </c>
      <c r="G69" s="38">
        <v>32383.53</v>
      </c>
      <c r="H69" s="38">
        <f t="shared" si="6"/>
        <v>-21188.53</v>
      </c>
      <c r="I69" s="37">
        <f t="shared" si="7"/>
        <v>-0.65429957759391888</v>
      </c>
      <c r="J69" s="60" t="s">
        <v>567</v>
      </c>
      <c r="K69" s="75" t="s">
        <v>568</v>
      </c>
    </row>
    <row r="70" spans="1:14" ht="43.15">
      <c r="A70" s="43" t="str">
        <v>CA: Stockton - SUSD - Walton Special Center</v>
      </c>
      <c r="B70" s="40" t="str">
        <v>CA</v>
      </c>
      <c r="C70" s="28">
        <v>8689.75</v>
      </c>
      <c r="D70" s="29">
        <v>21459.46</v>
      </c>
      <c r="E70" s="29">
        <f t="shared" si="4"/>
        <v>-12769.71</v>
      </c>
      <c r="F70" s="30">
        <f t="shared" si="5"/>
        <v>-0.59506203790775725</v>
      </c>
      <c r="G70" s="31">
        <v>23225.27</v>
      </c>
      <c r="H70" s="31">
        <f t="shared" si="6"/>
        <v>-14535.52</v>
      </c>
      <c r="I70" s="32">
        <f t="shared" si="7"/>
        <v>-0.62584934427027117</v>
      </c>
      <c r="J70" s="62" t="s">
        <v>667</v>
      </c>
      <c r="K70" s="78" t="s">
        <v>668</v>
      </c>
      <c r="L70" s="76" t="s">
        <v>669</v>
      </c>
    </row>
    <row r="71" spans="1:14" ht="57.6">
      <c r="A71" s="41" t="str">
        <v>CA: Stockton - SUSD - Stagg HS</v>
      </c>
      <c r="B71" s="42" t="str">
        <v>CA</v>
      </c>
      <c r="C71" s="35">
        <v>47703</v>
      </c>
      <c r="D71" s="36">
        <v>83706.429999999993</v>
      </c>
      <c r="E71" s="36">
        <f t="shared" si="4"/>
        <v>-36003.429999999993</v>
      </c>
      <c r="F71" s="37">
        <f t="shared" si="5"/>
        <v>-0.430115464248087</v>
      </c>
      <c r="G71" s="38">
        <v>90875.91</v>
      </c>
      <c r="H71" s="38">
        <f t="shared" si="6"/>
        <v>-43172.91</v>
      </c>
      <c r="I71" s="37">
        <f t="shared" si="7"/>
        <v>-0.4750754077730831</v>
      </c>
      <c r="J71" s="60" t="s">
        <v>435</v>
      </c>
      <c r="K71" s="75" t="s">
        <v>670</v>
      </c>
      <c r="L71" s="76" t="s">
        <v>437</v>
      </c>
    </row>
    <row r="72" spans="1:14" ht="28.9">
      <c r="A72" s="43" t="str">
        <v>CA: Stockton - SUSD - School for Adults</v>
      </c>
      <c r="B72" s="40" t="str">
        <v>CA</v>
      </c>
      <c r="C72" s="28">
        <v>5977.875</v>
      </c>
      <c r="D72" s="29">
        <v>18159.39</v>
      </c>
      <c r="E72" s="29">
        <f t="shared" si="4"/>
        <v>-12181.514999999999</v>
      </c>
      <c r="F72" s="30">
        <f t="shared" si="5"/>
        <v>-0.6708108036668633</v>
      </c>
      <c r="G72" s="31">
        <v>19811.16</v>
      </c>
      <c r="H72" s="31">
        <f t="shared" si="6"/>
        <v>-13833.285</v>
      </c>
      <c r="I72" s="32">
        <f t="shared" si="7"/>
        <v>-0.69825719442980627</v>
      </c>
      <c r="J72" s="62" t="s">
        <v>438</v>
      </c>
      <c r="K72" s="78" t="s">
        <v>574</v>
      </c>
    </row>
    <row r="73" spans="1:14" ht="28.9">
      <c r="A73" s="41" t="str">
        <v>CA: Stockton - SUSD - San Joaquin</v>
      </c>
      <c r="B73" s="42" t="str">
        <v>CA</v>
      </c>
      <c r="C73" s="35">
        <v>7421.25</v>
      </c>
      <c r="D73" s="36">
        <v>15507.79</v>
      </c>
      <c r="E73" s="36">
        <f t="shared" si="4"/>
        <v>-8086.5400000000009</v>
      </c>
      <c r="F73" s="37">
        <f t="shared" si="5"/>
        <v>-0.52145018729296699</v>
      </c>
      <c r="G73" s="38">
        <v>18147.78</v>
      </c>
      <c r="H73" s="38">
        <f t="shared" si="6"/>
        <v>-10726.529999999999</v>
      </c>
      <c r="I73" s="37">
        <f t="shared" si="7"/>
        <v>-0.59106568406714211</v>
      </c>
      <c r="J73" s="60" t="s">
        <v>575</v>
      </c>
      <c r="K73" s="75" t="s">
        <v>576</v>
      </c>
    </row>
    <row r="74" spans="1:14" ht="28.9">
      <c r="A74" s="43" t="str">
        <v>CA: Stockton - SUSD - Rio Calaveras</v>
      </c>
      <c r="B74" s="40" t="str">
        <v>CA</v>
      </c>
      <c r="C74" s="28">
        <v>2879.25</v>
      </c>
      <c r="D74" s="29">
        <v>13522.58</v>
      </c>
      <c r="E74" s="29">
        <f t="shared" si="4"/>
        <v>-10643.33</v>
      </c>
      <c r="F74" s="30">
        <f t="shared" si="5"/>
        <v>-0.78707835339114285</v>
      </c>
      <c r="G74" s="31">
        <v>0</v>
      </c>
      <c r="H74" s="31">
        <f t="shared" si="6"/>
        <v>2879.25</v>
      </c>
      <c r="I74" s="32" t="str">
        <f t="shared" si="7"/>
        <v/>
      </c>
      <c r="J74" s="62" t="s">
        <v>440</v>
      </c>
      <c r="K74" s="78" t="s">
        <v>577</v>
      </c>
    </row>
    <row r="75" spans="1:14" ht="28.9">
      <c r="A75" s="41" t="str">
        <v>CA: Stockton - SUSD - Peyton</v>
      </c>
      <c r="B75" s="42" t="str">
        <v>CA</v>
      </c>
      <c r="C75" s="35">
        <v>29705</v>
      </c>
      <c r="D75" s="36">
        <v>39288.839999999997</v>
      </c>
      <c r="E75" s="36">
        <f t="shared" si="4"/>
        <v>-9583.8399999999965</v>
      </c>
      <c r="F75" s="37">
        <f t="shared" si="5"/>
        <v>-0.24393288272191282</v>
      </c>
      <c r="G75" s="38">
        <v>39861.46</v>
      </c>
      <c r="H75" s="38">
        <f t="shared" si="6"/>
        <v>-10156.459999999999</v>
      </c>
      <c r="I75" s="37">
        <f t="shared" si="7"/>
        <v>-0.25479397894607975</v>
      </c>
      <c r="J75" s="60" t="s">
        <v>578</v>
      </c>
      <c r="K75" s="75" t="s">
        <v>579</v>
      </c>
    </row>
    <row r="76" spans="1:14" ht="100.9">
      <c r="A76" s="43" t="str">
        <v>TX: Barnhart - 42917 Ranch RD 2469</v>
      </c>
      <c r="B76" s="40" t="str">
        <v>TX</v>
      </c>
      <c r="C76" s="28">
        <v>205030</v>
      </c>
      <c r="D76" s="29">
        <v>231552.3</v>
      </c>
      <c r="E76" s="29">
        <f t="shared" si="4"/>
        <v>-26522.299999999988</v>
      </c>
      <c r="F76" s="30">
        <f t="shared" si="5"/>
        <v>-0.11454129369477214</v>
      </c>
      <c r="G76" s="31">
        <v>219540.1</v>
      </c>
      <c r="H76" s="31">
        <f t="shared" si="6"/>
        <v>-14510.100000000006</v>
      </c>
      <c r="I76" s="32">
        <f t="shared" si="7"/>
        <v>-6.6093164756689124E-2</v>
      </c>
      <c r="J76" s="62" t="s">
        <v>671</v>
      </c>
      <c r="K76" s="78" t="s">
        <v>672</v>
      </c>
      <c r="L76" s="76" t="s">
        <v>673</v>
      </c>
      <c r="M76" s="76" t="s">
        <v>583</v>
      </c>
      <c r="N76" s="76" t="s">
        <v>585</v>
      </c>
    </row>
    <row r="77" spans="1:14" ht="57.6">
      <c r="A77" s="41" t="str">
        <v>AZ: San Manuel - Senior &amp; Junior HS</v>
      </c>
      <c r="B77" s="42" t="str">
        <v>AZ</v>
      </c>
      <c r="C77" s="35">
        <v>28943</v>
      </c>
      <c r="D77" s="36" t="s">
        <v>43</v>
      </c>
      <c r="E77" s="36" t="str">
        <f t="shared" ref="E77:E85" si="8">IF(AND(ISNUMBER(C77),ISNUMBER(D77)), C77-D77, "")</f>
        <v/>
      </c>
      <c r="F77" s="37" t="str">
        <f t="shared" ref="F77:F85" si="9">IFERROR(E77/D77, "")</f>
        <v/>
      </c>
      <c r="G77" s="38">
        <v>41965</v>
      </c>
      <c r="H77" s="38">
        <f t="shared" ref="H77:H85" si="10">IF(AND(ISNUMBER(C77),ISNUMBER(G77)), C77-G77, "")</f>
        <v>-13022</v>
      </c>
      <c r="I77" s="37">
        <f t="shared" si="7"/>
        <v>-0.31030620755391397</v>
      </c>
      <c r="J77" s="60" t="s">
        <v>674</v>
      </c>
      <c r="K77" s="75" t="s">
        <v>675</v>
      </c>
      <c r="L77" s="76" t="s">
        <v>676</v>
      </c>
      <c r="M77" s="76" t="s">
        <v>588</v>
      </c>
    </row>
    <row r="78" spans="1:14" ht="72">
      <c r="A78" s="43" t="str">
        <v>AZ: Sierra Vista - Colonel Smith MS</v>
      </c>
      <c r="B78" s="40" t="str">
        <v>AZ</v>
      </c>
      <c r="C78" s="28">
        <v>30920</v>
      </c>
      <c r="D78" s="29">
        <v>52947.39</v>
      </c>
      <c r="E78" s="29">
        <f t="shared" si="8"/>
        <v>-22027.39</v>
      </c>
      <c r="F78" s="30">
        <f t="shared" si="9"/>
        <v>-0.41602409486095537</v>
      </c>
      <c r="G78" s="31">
        <v>53334.98</v>
      </c>
      <c r="H78" s="31">
        <f t="shared" si="10"/>
        <v>-22414.980000000003</v>
      </c>
      <c r="I78" s="32">
        <f t="shared" ref="I78:I85" si="11">IFERROR(H78/G78, "")</f>
        <v>-0.42026789922861135</v>
      </c>
      <c r="J78" s="62" t="s">
        <v>449</v>
      </c>
      <c r="K78" s="78" t="s">
        <v>677</v>
      </c>
    </row>
    <row r="79" spans="1:14" ht="43.15">
      <c r="A79" s="41" t="str">
        <v>AZ: Sierra Vista - Colonel Johnston ES</v>
      </c>
      <c r="B79" s="42" t="str">
        <v>AZ</v>
      </c>
      <c r="C79" s="35">
        <v>10200</v>
      </c>
      <c r="D79" s="36">
        <v>17760.939999999999</v>
      </c>
      <c r="E79" s="36">
        <f t="shared" si="8"/>
        <v>-7560.9399999999987</v>
      </c>
      <c r="F79" s="37">
        <f t="shared" si="9"/>
        <v>-0.4257060718633135</v>
      </c>
      <c r="G79" s="38">
        <v>17705.98</v>
      </c>
      <c r="H79" s="38">
        <f t="shared" si="10"/>
        <v>-7505.98</v>
      </c>
      <c r="I79" s="37">
        <f t="shared" si="11"/>
        <v>-0.42392344281423561</v>
      </c>
      <c r="J79" s="60" t="s">
        <v>451</v>
      </c>
      <c r="K79" s="75" t="s">
        <v>678</v>
      </c>
    </row>
    <row r="80" spans="1:14" ht="57.6">
      <c r="A80" s="43" t="str">
        <v>NH: Dover - Dover HS</v>
      </c>
      <c r="B80" s="40" t="str">
        <v>NH</v>
      </c>
      <c r="C80" s="28">
        <v>88938</v>
      </c>
      <c r="D80" s="29">
        <v>116594.5</v>
      </c>
      <c r="E80" s="29">
        <f t="shared" si="8"/>
        <v>-27656.5</v>
      </c>
      <c r="F80" s="30">
        <f t="shared" si="9"/>
        <v>-0.23720244093846624</v>
      </c>
      <c r="G80" s="31">
        <v>104850.5</v>
      </c>
      <c r="H80" s="31">
        <f t="shared" si="10"/>
        <v>-15912.5</v>
      </c>
      <c r="I80" s="32">
        <f t="shared" si="11"/>
        <v>-0.15176370165139891</v>
      </c>
      <c r="J80" s="62" t="s">
        <v>453</v>
      </c>
      <c r="K80" s="78" t="s">
        <v>679</v>
      </c>
    </row>
    <row r="81" spans="1:13" ht="72">
      <c r="A81" s="41" t="str">
        <v>MA: Somerville - 30 Inner Belt Rd</v>
      </c>
      <c r="B81" s="42" t="str">
        <v>MA</v>
      </c>
      <c r="C81" s="35">
        <v>80600</v>
      </c>
      <c r="D81" s="36">
        <v>78437.149999999994</v>
      </c>
      <c r="E81" s="36">
        <f t="shared" si="8"/>
        <v>2162.8500000000058</v>
      </c>
      <c r="F81" s="37">
        <f t="shared" si="9"/>
        <v>2.7574306307661688E-2</v>
      </c>
      <c r="G81" s="38">
        <v>144450.07999999999</v>
      </c>
      <c r="H81" s="38">
        <f t="shared" si="10"/>
        <v>-63850.079999999987</v>
      </c>
      <c r="I81" s="37">
        <f t="shared" si="11"/>
        <v>-0.44202176973526075</v>
      </c>
      <c r="J81" s="60" t="s">
        <v>455</v>
      </c>
      <c r="K81" s="59"/>
    </row>
    <row r="82" spans="1:13" ht="80.25" customHeight="1">
      <c r="A82" s="43" t="str">
        <v>MA: Boxborough - 1414 Massachusetts Ave</v>
      </c>
      <c r="B82" s="40" t="str">
        <v>MA</v>
      </c>
      <c r="C82" s="28">
        <v>633272.05287808098</v>
      </c>
      <c r="D82" s="29">
        <v>249775.1</v>
      </c>
      <c r="E82" s="29">
        <f t="shared" si="8"/>
        <v>383496.95287808101</v>
      </c>
      <c r="F82" s="30">
        <f t="shared" si="9"/>
        <v>1.5353690294912543</v>
      </c>
      <c r="G82" s="31">
        <v>671700</v>
      </c>
      <c r="H82" s="31">
        <f t="shared" si="10"/>
        <v>-38427.947121919016</v>
      </c>
      <c r="I82" s="32">
        <f t="shared" si="11"/>
        <v>-5.7209985293909506E-2</v>
      </c>
      <c r="J82" s="62" t="s">
        <v>680</v>
      </c>
      <c r="K82" s="78" t="s">
        <v>681</v>
      </c>
      <c r="L82" s="76" t="s">
        <v>682</v>
      </c>
    </row>
    <row r="83" spans="1:13" ht="43.15">
      <c r="A83" s="41" t="str">
        <v>NY: Amsterdam - 153 NY Route 67</v>
      </c>
      <c r="B83" s="42" t="str">
        <v>NY</v>
      </c>
      <c r="C83" s="35">
        <v>355432</v>
      </c>
      <c r="D83" s="36">
        <v>287553.7</v>
      </c>
      <c r="E83" s="36">
        <f t="shared" si="8"/>
        <v>67878.299999999988</v>
      </c>
      <c r="F83" s="37">
        <f t="shared" si="9"/>
        <v>0.23605434393645425</v>
      </c>
      <c r="G83" s="38">
        <v>324134.2</v>
      </c>
      <c r="H83" s="38">
        <f t="shared" si="10"/>
        <v>31297.799999999988</v>
      </c>
      <c r="I83" s="37">
        <f t="shared" si="11"/>
        <v>9.6558153999176846E-2</v>
      </c>
      <c r="J83" s="60" t="s">
        <v>683</v>
      </c>
      <c r="K83" s="75" t="s">
        <v>684</v>
      </c>
      <c r="L83" s="76" t="s">
        <v>462</v>
      </c>
      <c r="M83" s="76" t="s">
        <v>461</v>
      </c>
    </row>
    <row r="84" spans="1:13" ht="28.9">
      <c r="A84" s="43" t="str">
        <v>CA: San Jose - GE Mobile Water</v>
      </c>
      <c r="B84" s="40" t="str">
        <v>CA</v>
      </c>
      <c r="C84" s="28">
        <v>20970</v>
      </c>
      <c r="D84" s="29">
        <v>24063.89</v>
      </c>
      <c r="E84" s="29">
        <f t="shared" si="8"/>
        <v>-3093.8899999999994</v>
      </c>
      <c r="F84" s="30">
        <f t="shared" si="9"/>
        <v>-0.12856981975898324</v>
      </c>
      <c r="G84" s="31">
        <v>26418.84</v>
      </c>
      <c r="H84" s="31">
        <f t="shared" si="10"/>
        <v>-5448.84</v>
      </c>
      <c r="I84" s="32">
        <f t="shared" si="11"/>
        <v>-0.20624826828127202</v>
      </c>
      <c r="J84" s="62" t="s">
        <v>685</v>
      </c>
      <c r="K84" s="78" t="s">
        <v>658</v>
      </c>
    </row>
    <row r="85" spans="1:13" ht="15.6">
      <c r="A85" s="41" t="str">
        <v>NY: Rome - 7776 Tannery RD</v>
      </c>
      <c r="B85" s="42" t="str">
        <v>NY</v>
      </c>
      <c r="C85" s="35">
        <v>329475.04242328601</v>
      </c>
      <c r="D85" s="36">
        <v>353709.7</v>
      </c>
      <c r="E85" s="36">
        <f t="shared" si="8"/>
        <v>-24234.657576714002</v>
      </c>
      <c r="F85" s="37">
        <f t="shared" si="9"/>
        <v>-6.8515671401474146E-2</v>
      </c>
      <c r="G85" s="38">
        <v>335268.59999999998</v>
      </c>
      <c r="H85" s="38">
        <f t="shared" si="10"/>
        <v>-5793.5575767139671</v>
      </c>
      <c r="I85" s="37">
        <f t="shared" si="11"/>
        <v>-1.7280346494464343E-2</v>
      </c>
      <c r="J85" s="60" t="s">
        <v>686</v>
      </c>
      <c r="K85" s="75" t="s">
        <v>687</v>
      </c>
    </row>
    <row r="86" spans="1:13" ht="14.45">
      <c r="A86" s="8"/>
      <c r="B86" s="13"/>
      <c r="C86" s="8"/>
      <c r="D86" s="8"/>
      <c r="E86" s="8"/>
      <c r="F86" s="9"/>
      <c r="G86" s="8"/>
      <c r="H86" s="8"/>
      <c r="I86" s="9"/>
      <c r="J86" s="94"/>
      <c r="K86" s="94"/>
    </row>
    <row r="87" spans="1:13" ht="14.45">
      <c r="A87" s="8"/>
      <c r="B87" s="13"/>
      <c r="C87" s="8"/>
      <c r="D87" s="8"/>
      <c r="E87" s="8"/>
      <c r="F87" s="9"/>
      <c r="G87" s="8"/>
      <c r="H87" s="8"/>
      <c r="I87" s="9"/>
      <c r="J87" s="94"/>
      <c r="K87" s="94"/>
    </row>
    <row r="88" spans="1:13" ht="14.45">
      <c r="A88" s="8"/>
      <c r="B88" s="13"/>
      <c r="C88" s="8"/>
      <c r="D88" s="8"/>
      <c r="E88" s="8"/>
      <c r="F88" s="9"/>
      <c r="G88" s="8"/>
      <c r="H88" s="8"/>
      <c r="I88" s="9"/>
      <c r="J88" s="94"/>
      <c r="K88" s="94"/>
    </row>
    <row r="89" spans="1:13" ht="14.45">
      <c r="A89" s="8"/>
      <c r="B89" s="13"/>
      <c r="C89" s="8"/>
      <c r="D89" s="8"/>
      <c r="E89" s="8"/>
      <c r="F89" s="9"/>
      <c r="G89" s="8"/>
      <c r="H89" s="8"/>
      <c r="I89" s="9"/>
      <c r="J89" s="94"/>
      <c r="K89" s="94"/>
    </row>
    <row r="90" spans="1:13" ht="14.45">
      <c r="A90" s="8"/>
      <c r="B90" s="13"/>
      <c r="C90" s="8"/>
      <c r="D90" s="8"/>
      <c r="E90" s="8"/>
      <c r="F90" s="9"/>
      <c r="G90" s="8"/>
      <c r="H90" s="8"/>
      <c r="I90" s="9"/>
      <c r="J90" s="94"/>
      <c r="K90" s="94"/>
    </row>
    <row r="91" spans="1:13" ht="14.45">
      <c r="A91" s="8"/>
      <c r="B91" s="13"/>
      <c r="C91" s="8"/>
      <c r="D91" s="8"/>
      <c r="E91" s="8"/>
      <c r="F91" s="9"/>
      <c r="G91" s="8"/>
      <c r="H91" s="8"/>
      <c r="I91" s="9"/>
      <c r="J91" s="94"/>
      <c r="K91" s="94"/>
    </row>
    <row r="92" spans="1:13" ht="14.45">
      <c r="A92" s="8"/>
      <c r="B92" s="13"/>
      <c r="C92" s="8"/>
      <c r="D92" s="8"/>
      <c r="E92" s="8"/>
      <c r="F92" s="9"/>
      <c r="G92" s="8"/>
      <c r="H92" s="8"/>
      <c r="I92" s="9"/>
      <c r="J92" s="94"/>
      <c r="K92" s="94"/>
    </row>
    <row r="93" spans="1:13" ht="14.45">
      <c r="A93" s="8"/>
      <c r="B93" s="13"/>
      <c r="C93" s="8"/>
      <c r="D93" s="8"/>
      <c r="E93" s="8"/>
      <c r="F93" s="9"/>
      <c r="G93" s="8"/>
      <c r="H93" s="8"/>
      <c r="I93" s="9"/>
      <c r="J93" s="94"/>
      <c r="K93" s="94"/>
    </row>
    <row r="94" spans="1:13" ht="14.45">
      <c r="A94" s="8"/>
      <c r="B94" s="13"/>
      <c r="C94" s="8"/>
      <c r="D94" s="8"/>
      <c r="E94" s="8"/>
      <c r="F94" s="9"/>
      <c r="G94" s="8"/>
      <c r="H94" s="8"/>
      <c r="I94" s="9"/>
      <c r="J94" s="94"/>
      <c r="K94" s="94"/>
    </row>
    <row r="95" spans="1:13" ht="14.45">
      <c r="A95" s="8"/>
      <c r="B95" s="13"/>
      <c r="C95" s="8"/>
      <c r="D95" s="8"/>
      <c r="E95" s="8"/>
      <c r="F95" s="9"/>
      <c r="G95" s="8"/>
      <c r="H95" s="8"/>
      <c r="I95" s="9"/>
      <c r="J95" s="94"/>
      <c r="K95" s="94"/>
    </row>
    <row r="96" spans="1:13" ht="14.45">
      <c r="A96" s="8"/>
      <c r="B96" s="13"/>
      <c r="C96" s="8"/>
      <c r="D96" s="8"/>
      <c r="E96" s="8"/>
      <c r="F96" s="9"/>
      <c r="G96" s="8"/>
      <c r="H96" s="8"/>
      <c r="I96" s="9"/>
      <c r="J96" s="94"/>
      <c r="K96" s="94"/>
    </row>
    <row r="97" spans="1:11" ht="14.45">
      <c r="A97" s="8"/>
      <c r="B97" s="13"/>
      <c r="C97" s="8"/>
      <c r="D97" s="8"/>
      <c r="E97" s="8"/>
      <c r="F97" s="9"/>
      <c r="G97" s="8"/>
      <c r="H97" s="8"/>
      <c r="I97" s="9"/>
      <c r="J97" s="94"/>
      <c r="K97" s="94"/>
    </row>
    <row r="98" spans="1:11" ht="14.45">
      <c r="A98" s="8"/>
      <c r="B98" s="13"/>
      <c r="C98" s="8"/>
      <c r="D98" s="8"/>
      <c r="E98" s="8"/>
      <c r="F98" s="9"/>
      <c r="G98" s="8"/>
      <c r="H98" s="8"/>
      <c r="I98" s="9"/>
      <c r="J98" s="94"/>
      <c r="K98" s="94"/>
    </row>
    <row r="99" spans="1:11" ht="14.45">
      <c r="A99" s="8"/>
      <c r="B99" s="13"/>
      <c r="C99" s="8"/>
      <c r="D99" s="8"/>
      <c r="E99" s="8"/>
      <c r="F99" s="9"/>
      <c r="G99" s="8"/>
      <c r="H99" s="8"/>
      <c r="I99" s="9"/>
      <c r="J99" s="94"/>
      <c r="K99" s="94"/>
    </row>
    <row r="100" spans="1:11" ht="14.45">
      <c r="A100" s="8"/>
      <c r="B100" s="13"/>
      <c r="C100" s="8"/>
      <c r="D100" s="8"/>
      <c r="E100" s="8"/>
      <c r="F100" s="9"/>
      <c r="G100" s="8"/>
      <c r="H100" s="8"/>
      <c r="I100" s="9"/>
      <c r="J100" s="94"/>
      <c r="K100" s="94"/>
    </row>
    <row r="101" spans="1:11" ht="14.45">
      <c r="A101" s="8"/>
      <c r="B101" s="13"/>
      <c r="C101" s="8"/>
      <c r="D101" s="8"/>
      <c r="E101" s="8"/>
      <c r="F101" s="9"/>
      <c r="G101" s="8"/>
      <c r="H101" s="8"/>
      <c r="I101" s="9"/>
      <c r="J101" s="94"/>
      <c r="K101" s="94"/>
    </row>
    <row r="102" spans="1:11" ht="14.45">
      <c r="A102" s="8"/>
      <c r="B102" s="13"/>
      <c r="C102" s="8"/>
      <c r="D102" s="8"/>
      <c r="E102" s="8"/>
      <c r="F102" s="9"/>
      <c r="G102" s="8"/>
      <c r="H102" s="8"/>
      <c r="I102" s="9"/>
      <c r="J102" s="94"/>
      <c r="K102" s="94"/>
    </row>
    <row r="103" spans="1:11" ht="14.45">
      <c r="A103" s="8"/>
      <c r="B103" s="13"/>
      <c r="C103" s="8"/>
      <c r="D103" s="8"/>
      <c r="E103" s="8"/>
      <c r="F103" s="9"/>
      <c r="G103" s="8"/>
      <c r="H103" s="8"/>
      <c r="I103" s="9"/>
      <c r="J103" s="94"/>
      <c r="K103" s="94"/>
    </row>
    <row r="104" spans="1:11" ht="14.45">
      <c r="A104" s="8"/>
      <c r="B104" s="13"/>
      <c r="C104" s="8"/>
      <c r="D104" s="8"/>
      <c r="E104" s="8"/>
      <c r="F104" s="9"/>
      <c r="G104" s="8"/>
      <c r="H104" s="8"/>
      <c r="I104" s="9"/>
      <c r="J104" s="94"/>
      <c r="K104" s="94"/>
    </row>
    <row r="105" spans="1:11" ht="14.45">
      <c r="A105" s="8"/>
      <c r="B105" s="13"/>
      <c r="C105" s="8"/>
      <c r="D105" s="8"/>
      <c r="E105" s="8"/>
      <c r="F105" s="9"/>
      <c r="G105" s="8"/>
      <c r="H105" s="8"/>
      <c r="I105" s="9"/>
      <c r="J105" s="94"/>
      <c r="K105" s="94"/>
    </row>
    <row r="106" spans="1:11" ht="14.45">
      <c r="A106" s="8"/>
      <c r="B106" s="13"/>
      <c r="C106" s="8"/>
      <c r="D106" s="8"/>
      <c r="E106" s="8"/>
      <c r="F106" s="9"/>
      <c r="G106" s="8"/>
      <c r="H106" s="8"/>
      <c r="I106" s="9"/>
      <c r="J106" s="94"/>
      <c r="K106" s="94"/>
    </row>
    <row r="107" spans="1:11" ht="14.45">
      <c r="A107" s="8"/>
      <c r="B107" s="13"/>
      <c r="C107" s="8"/>
      <c r="D107" s="8"/>
      <c r="E107" s="8"/>
      <c r="F107" s="9"/>
      <c r="G107" s="8"/>
      <c r="H107" s="8"/>
      <c r="I107" s="9"/>
      <c r="J107" s="94"/>
      <c r="K107" s="94"/>
    </row>
    <row r="108" spans="1:11" ht="14.45">
      <c r="A108" s="8"/>
      <c r="B108" s="13"/>
      <c r="C108" s="8"/>
      <c r="D108" s="8"/>
      <c r="E108" s="8"/>
      <c r="F108" s="9"/>
      <c r="G108" s="8"/>
      <c r="H108" s="8"/>
      <c r="I108" s="9"/>
      <c r="J108" s="94"/>
      <c r="K108" s="94"/>
    </row>
    <row r="109" spans="1:11" ht="14.45">
      <c r="A109" s="8"/>
      <c r="B109" s="13"/>
      <c r="C109" s="8"/>
      <c r="D109" s="8"/>
      <c r="E109" s="8"/>
      <c r="F109" s="9"/>
      <c r="G109" s="8"/>
      <c r="H109" s="8"/>
      <c r="I109" s="9"/>
      <c r="J109" s="94"/>
      <c r="K109" s="94"/>
    </row>
    <row r="110" spans="1:11" ht="14.45">
      <c r="A110" s="8"/>
      <c r="B110" s="13"/>
      <c r="C110" s="8"/>
      <c r="D110" s="8"/>
      <c r="E110" s="8"/>
      <c r="F110" s="9"/>
      <c r="G110" s="8"/>
      <c r="H110" s="8"/>
      <c r="I110" s="9"/>
      <c r="J110" s="94"/>
      <c r="K110" s="94"/>
    </row>
    <row r="111" spans="1:11" ht="14.45">
      <c r="A111" s="8"/>
      <c r="B111" s="13"/>
      <c r="C111" s="8"/>
      <c r="D111" s="8"/>
      <c r="E111" s="8"/>
      <c r="F111" s="9"/>
      <c r="G111" s="8"/>
      <c r="H111" s="8"/>
      <c r="I111" s="9"/>
      <c r="J111" s="94"/>
      <c r="K111" s="94"/>
    </row>
    <row r="112" spans="1:11" ht="14.45">
      <c r="A112" s="8"/>
      <c r="B112" s="13"/>
      <c r="C112" s="8"/>
      <c r="D112" s="8"/>
      <c r="E112" s="8"/>
      <c r="F112" s="9"/>
      <c r="G112" s="8"/>
      <c r="H112" s="8"/>
      <c r="I112" s="9"/>
      <c r="J112" s="94"/>
      <c r="K112" s="94"/>
    </row>
    <row r="113" spans="1:11" ht="14.45">
      <c r="A113" s="8"/>
      <c r="B113" s="13"/>
      <c r="C113" s="8"/>
      <c r="D113" s="8"/>
      <c r="E113" s="8"/>
      <c r="F113" s="9"/>
      <c r="G113" s="8"/>
      <c r="H113" s="8"/>
      <c r="I113" s="9"/>
      <c r="J113" s="94"/>
      <c r="K113" s="94"/>
    </row>
    <row r="114" spans="1:11" ht="14.45">
      <c r="A114" s="8"/>
      <c r="B114" s="13"/>
      <c r="C114" s="8"/>
      <c r="D114" s="8"/>
      <c r="E114" s="8"/>
      <c r="F114" s="9"/>
      <c r="G114" s="8"/>
      <c r="H114" s="8"/>
      <c r="I114" s="9"/>
      <c r="J114" s="94"/>
      <c r="K114" s="94"/>
    </row>
    <row r="115" spans="1:11" ht="14.45">
      <c r="A115" s="8"/>
      <c r="B115" s="13"/>
      <c r="C115" s="8"/>
      <c r="D115" s="8"/>
      <c r="E115" s="8"/>
      <c r="F115" s="9"/>
      <c r="G115" s="8"/>
      <c r="H115" s="8"/>
      <c r="I115" s="9"/>
      <c r="J115" s="94"/>
      <c r="K115" s="94"/>
    </row>
    <row r="116" spans="1:11" ht="14.45">
      <c r="A116" s="8"/>
      <c r="B116" s="13"/>
      <c r="C116" s="8"/>
      <c r="D116" s="8"/>
      <c r="E116" s="8"/>
      <c r="F116" s="9"/>
      <c r="G116" s="8"/>
      <c r="H116" s="8"/>
      <c r="I116" s="9"/>
      <c r="J116" s="94"/>
      <c r="K116" s="94"/>
    </row>
    <row r="117" spans="1:11" ht="14.45">
      <c r="A117" s="8"/>
      <c r="B117" s="13"/>
      <c r="C117" s="8"/>
      <c r="D117" s="8"/>
      <c r="E117" s="8"/>
      <c r="F117" s="9"/>
      <c r="G117" s="8"/>
      <c r="H117" s="8"/>
      <c r="I117" s="9"/>
      <c r="J117" s="94"/>
      <c r="K117" s="94"/>
    </row>
    <row r="118" spans="1:11" ht="14.45">
      <c r="A118" s="8"/>
      <c r="B118" s="13"/>
      <c r="C118" s="8"/>
      <c r="D118" s="8"/>
      <c r="E118" s="8"/>
      <c r="F118" s="9"/>
      <c r="G118" s="8"/>
      <c r="H118" s="8"/>
      <c r="I118" s="9"/>
      <c r="J118" s="94"/>
      <c r="K118" s="94"/>
    </row>
    <row r="119" spans="1:11" ht="14.45">
      <c r="A119" s="8"/>
      <c r="B119" s="13"/>
      <c r="C119" s="8"/>
      <c r="D119" s="8"/>
      <c r="E119" s="8"/>
      <c r="F119" s="9"/>
      <c r="G119" s="8"/>
      <c r="H119" s="8"/>
      <c r="I119" s="9"/>
      <c r="J119" s="94"/>
      <c r="K119" s="94"/>
    </row>
    <row r="120" spans="1:11" ht="14.45">
      <c r="A120" s="8"/>
      <c r="B120" s="13"/>
      <c r="C120" s="8"/>
      <c r="D120" s="8"/>
      <c r="E120" s="8"/>
      <c r="F120" s="9"/>
      <c r="G120" s="8"/>
      <c r="H120" s="8"/>
      <c r="I120" s="9"/>
      <c r="J120" s="94"/>
      <c r="K120" s="94"/>
    </row>
    <row r="121" spans="1:11" ht="14.45">
      <c r="A121" s="8"/>
      <c r="B121" s="13"/>
      <c r="C121" s="8"/>
      <c r="D121" s="8"/>
      <c r="E121" s="8"/>
      <c r="F121" s="9"/>
      <c r="G121" s="8"/>
      <c r="H121" s="8"/>
      <c r="I121" s="9"/>
      <c r="J121" s="94"/>
      <c r="K121" s="94"/>
    </row>
    <row r="122" spans="1:11" ht="14.45">
      <c r="A122" s="8"/>
      <c r="B122" s="13"/>
      <c r="C122" s="8"/>
      <c r="D122" s="8"/>
      <c r="E122" s="8"/>
      <c r="F122" s="9"/>
      <c r="G122" s="8"/>
      <c r="H122" s="8"/>
      <c r="I122" s="9"/>
      <c r="J122" s="94"/>
      <c r="K122" s="94"/>
    </row>
    <row r="123" spans="1:11" ht="14.45">
      <c r="A123" s="8"/>
      <c r="B123" s="13"/>
      <c r="C123" s="8"/>
      <c r="D123" s="8"/>
      <c r="E123" s="8"/>
      <c r="F123" s="9"/>
      <c r="G123" s="8"/>
      <c r="H123" s="8"/>
      <c r="I123" s="9"/>
      <c r="J123" s="94"/>
      <c r="K123" s="94"/>
    </row>
    <row r="124" spans="1:11" ht="14.45">
      <c r="A124" s="8"/>
      <c r="B124" s="13"/>
      <c r="C124" s="8"/>
      <c r="D124" s="8"/>
      <c r="E124" s="8"/>
      <c r="F124" s="9"/>
      <c r="G124" s="8"/>
      <c r="H124" s="8"/>
      <c r="I124" s="9"/>
      <c r="J124" s="94"/>
      <c r="K124" s="94"/>
    </row>
    <row r="125" spans="1:11" ht="14.45">
      <c r="A125" s="8"/>
      <c r="B125" s="13"/>
      <c r="C125" s="8"/>
      <c r="D125" s="8"/>
      <c r="E125" s="8"/>
      <c r="F125" s="9"/>
      <c r="G125" s="8"/>
      <c r="H125" s="8"/>
      <c r="I125" s="9"/>
      <c r="J125" s="94"/>
      <c r="K125" s="94"/>
    </row>
    <row r="126" spans="1:11" ht="14.45">
      <c r="A126" s="8"/>
      <c r="B126" s="13"/>
      <c r="C126" s="8"/>
      <c r="D126" s="8"/>
      <c r="E126" s="8"/>
      <c r="F126" s="9"/>
      <c r="G126" s="8"/>
      <c r="H126" s="8"/>
      <c r="I126" s="9"/>
      <c r="J126" s="94"/>
      <c r="K126" s="94"/>
    </row>
    <row r="127" spans="1:11" ht="14.45">
      <c r="A127" s="8"/>
      <c r="B127" s="13"/>
      <c r="C127" s="8"/>
      <c r="D127" s="8"/>
      <c r="E127" s="8"/>
      <c r="F127" s="9"/>
      <c r="G127" s="8"/>
      <c r="H127" s="8"/>
      <c r="I127" s="9"/>
      <c r="J127" s="94"/>
      <c r="K127" s="94"/>
    </row>
    <row r="128" spans="1:11" ht="14.45">
      <c r="A128" s="8"/>
      <c r="B128" s="13"/>
      <c r="C128" s="8"/>
      <c r="D128" s="8"/>
      <c r="E128" s="8"/>
      <c r="F128" s="9"/>
      <c r="G128" s="8"/>
      <c r="H128" s="8"/>
      <c r="I128" s="9"/>
      <c r="J128" s="94"/>
      <c r="K128" s="94"/>
    </row>
    <row r="129" spans="1:11" ht="14.45">
      <c r="A129" s="8"/>
      <c r="B129" s="13"/>
      <c r="C129" s="8"/>
      <c r="D129" s="8"/>
      <c r="E129" s="8"/>
      <c r="F129" s="9"/>
      <c r="G129" s="8"/>
      <c r="H129" s="8"/>
      <c r="I129" s="9"/>
      <c r="J129" s="94"/>
      <c r="K129" s="94"/>
    </row>
    <row r="130" spans="1:11" ht="14.45">
      <c r="A130" s="8"/>
      <c r="B130" s="13"/>
      <c r="C130" s="8"/>
      <c r="D130" s="8"/>
      <c r="E130" s="8"/>
      <c r="F130" s="9"/>
      <c r="G130" s="8"/>
      <c r="H130" s="8"/>
      <c r="I130" s="9"/>
      <c r="J130" s="94"/>
      <c r="K130" s="94"/>
    </row>
    <row r="131" spans="1:11" ht="14.45">
      <c r="A131" s="8"/>
      <c r="B131" s="13"/>
      <c r="C131" s="8"/>
      <c r="D131" s="8"/>
      <c r="E131" s="8"/>
      <c r="F131" s="9"/>
      <c r="G131" s="8"/>
      <c r="H131" s="8"/>
      <c r="I131" s="9"/>
      <c r="J131" s="94"/>
      <c r="K131" s="94"/>
    </row>
    <row r="132" spans="1:11" ht="14.45">
      <c r="A132" s="8"/>
      <c r="B132" s="13"/>
      <c r="C132" s="8"/>
      <c r="D132" s="8"/>
      <c r="E132" s="8"/>
      <c r="F132" s="9"/>
      <c r="G132" s="8"/>
      <c r="H132" s="8"/>
      <c r="I132" s="9"/>
      <c r="J132" s="94"/>
      <c r="K132" s="94"/>
    </row>
    <row r="133" spans="1:11" ht="14.45">
      <c r="A133" s="8"/>
      <c r="B133" s="13"/>
      <c r="C133" s="8"/>
      <c r="D133" s="8"/>
      <c r="E133" s="8"/>
      <c r="F133" s="9"/>
      <c r="G133" s="8"/>
      <c r="H133" s="8"/>
      <c r="I133" s="9"/>
      <c r="J133" s="94"/>
      <c r="K133" s="94"/>
    </row>
    <row r="134" spans="1:11" ht="14.45">
      <c r="A134" s="8"/>
      <c r="B134" s="13"/>
      <c r="C134" s="8"/>
      <c r="D134" s="8"/>
      <c r="E134" s="8"/>
      <c r="F134" s="9"/>
      <c r="G134" s="8"/>
      <c r="H134" s="8"/>
      <c r="I134" s="9"/>
      <c r="J134" s="94"/>
      <c r="K134" s="94"/>
    </row>
    <row r="135" spans="1:11" ht="14.45">
      <c r="A135" s="8"/>
      <c r="B135" s="13"/>
      <c r="C135" s="8"/>
      <c r="D135" s="8"/>
      <c r="E135" s="8"/>
      <c r="F135" s="9"/>
      <c r="G135" s="8"/>
      <c r="H135" s="8"/>
      <c r="I135" s="9"/>
      <c r="J135" s="94"/>
      <c r="K135" s="94"/>
    </row>
    <row r="136" spans="1:11" ht="14.45">
      <c r="A136" s="8"/>
      <c r="B136" s="13"/>
      <c r="C136" s="8"/>
      <c r="D136" s="8"/>
      <c r="E136" s="8"/>
      <c r="F136" s="9"/>
      <c r="G136" s="8"/>
      <c r="H136" s="8"/>
      <c r="I136" s="9"/>
      <c r="J136" s="94"/>
      <c r="K136" s="94"/>
    </row>
    <row r="137" spans="1:11" ht="14.45">
      <c r="A137" s="8"/>
      <c r="B137" s="13"/>
      <c r="C137" s="8"/>
      <c r="D137" s="8"/>
      <c r="E137" s="8"/>
      <c r="F137" s="9"/>
      <c r="G137" s="8"/>
      <c r="H137" s="8"/>
      <c r="I137" s="9"/>
      <c r="J137" s="94"/>
      <c r="K137" s="94"/>
    </row>
    <row r="138" spans="1:11" ht="14.45">
      <c r="A138" s="8"/>
      <c r="B138" s="13"/>
      <c r="C138" s="8"/>
      <c r="D138" s="8"/>
      <c r="E138" s="8"/>
      <c r="F138" s="9"/>
      <c r="G138" s="8"/>
      <c r="H138" s="8"/>
      <c r="I138" s="9"/>
      <c r="J138" s="94"/>
      <c r="K138" s="94"/>
    </row>
    <row r="139" spans="1:11" ht="14.45">
      <c r="A139" s="8"/>
      <c r="B139" s="13"/>
      <c r="C139" s="8"/>
      <c r="D139" s="8"/>
      <c r="E139" s="8"/>
      <c r="F139" s="9"/>
      <c r="G139" s="8"/>
      <c r="H139" s="8"/>
      <c r="I139" s="9"/>
      <c r="J139" s="94"/>
      <c r="K139" s="94"/>
    </row>
    <row r="140" spans="1:11" ht="14.45">
      <c r="A140" s="8"/>
      <c r="B140" s="13"/>
      <c r="C140" s="8"/>
      <c r="D140" s="8"/>
      <c r="E140" s="8"/>
      <c r="F140" s="9"/>
      <c r="G140" s="8"/>
      <c r="H140" s="8"/>
      <c r="I140" s="9"/>
      <c r="J140" s="94"/>
      <c r="K140" s="94"/>
    </row>
    <row r="141" spans="1:11" ht="14.45">
      <c r="A141" s="8"/>
      <c r="B141" s="13"/>
      <c r="C141" s="8"/>
      <c r="D141" s="8"/>
      <c r="E141" s="8"/>
      <c r="F141" s="9"/>
      <c r="G141" s="8"/>
      <c r="H141" s="8"/>
      <c r="I141" s="9"/>
      <c r="J141" s="94"/>
      <c r="K141" s="94"/>
    </row>
    <row r="142" spans="1:11" ht="14.45">
      <c r="A142" s="8"/>
      <c r="B142" s="13"/>
      <c r="C142" s="8"/>
      <c r="D142" s="8"/>
      <c r="E142" s="8"/>
      <c r="F142" s="9"/>
      <c r="G142" s="8"/>
      <c r="H142" s="8"/>
      <c r="I142" s="9"/>
      <c r="J142" s="94"/>
      <c r="K142" s="94"/>
    </row>
    <row r="143" spans="1:11" ht="14.45">
      <c r="A143" s="8"/>
      <c r="B143" s="13"/>
      <c r="C143" s="8"/>
      <c r="D143" s="8"/>
      <c r="E143" s="8"/>
      <c r="F143" s="9"/>
      <c r="G143" s="8"/>
      <c r="H143" s="8"/>
      <c r="I143" s="9"/>
      <c r="J143" s="94"/>
      <c r="K143" s="94"/>
    </row>
    <row r="144" spans="1:11" ht="14.45">
      <c r="A144" s="8"/>
      <c r="B144" s="13"/>
      <c r="C144" s="8"/>
      <c r="D144" s="8"/>
      <c r="E144" s="8"/>
      <c r="F144" s="9"/>
      <c r="G144" s="8"/>
      <c r="H144" s="8"/>
      <c r="I144" s="9"/>
      <c r="J144" s="94"/>
      <c r="K144" s="94"/>
    </row>
    <row r="145" spans="1:11" ht="14.45">
      <c r="A145" s="8"/>
      <c r="B145" s="13"/>
      <c r="C145" s="8"/>
      <c r="D145" s="8"/>
      <c r="E145" s="8"/>
      <c r="F145" s="9"/>
      <c r="G145" s="8"/>
      <c r="H145" s="8"/>
      <c r="I145" s="9"/>
      <c r="J145" s="94"/>
      <c r="K145" s="94"/>
    </row>
    <row r="146" spans="1:11" ht="14.45">
      <c r="A146" s="8"/>
      <c r="B146" s="13"/>
      <c r="C146" s="8"/>
      <c r="D146" s="8"/>
      <c r="E146" s="8"/>
      <c r="F146" s="9"/>
      <c r="G146" s="8"/>
      <c r="H146" s="8"/>
      <c r="I146" s="9"/>
      <c r="J146" s="94"/>
      <c r="K146" s="94"/>
    </row>
    <row r="147" spans="1:11" ht="14.45">
      <c r="A147" s="8"/>
      <c r="B147" s="13"/>
      <c r="C147" s="8"/>
      <c r="D147" s="8"/>
      <c r="E147" s="8"/>
      <c r="F147" s="9"/>
      <c r="G147" s="8"/>
      <c r="H147" s="8"/>
      <c r="I147" s="9"/>
      <c r="J147" s="94"/>
      <c r="K147" s="94"/>
    </row>
    <row r="148" spans="1:11" ht="14.45">
      <c r="A148" s="8"/>
      <c r="B148" s="13"/>
      <c r="C148" s="8"/>
      <c r="D148" s="8"/>
      <c r="E148" s="8"/>
      <c r="F148" s="9"/>
      <c r="G148" s="8"/>
      <c r="H148" s="8"/>
      <c r="I148" s="9"/>
      <c r="J148" s="94"/>
      <c r="K148" s="94"/>
    </row>
    <row r="149" spans="1:11" ht="14.45">
      <c r="A149" s="8"/>
      <c r="B149" s="13"/>
      <c r="C149" s="8"/>
      <c r="D149" s="8"/>
      <c r="E149" s="8"/>
      <c r="F149" s="9"/>
      <c r="G149" s="8"/>
      <c r="H149" s="8"/>
      <c r="I149" s="9"/>
      <c r="J149" s="94"/>
      <c r="K149" s="94"/>
    </row>
    <row r="150" spans="1:11" ht="14.45">
      <c r="A150" s="8"/>
      <c r="B150" s="13"/>
      <c r="C150" s="8"/>
      <c r="D150" s="8"/>
      <c r="E150" s="8"/>
      <c r="F150" s="9"/>
      <c r="G150" s="8"/>
      <c r="H150" s="8"/>
      <c r="I150" s="9"/>
      <c r="J150" s="94"/>
      <c r="K150" s="94"/>
    </row>
    <row r="151" spans="1:11" ht="14.45">
      <c r="A151" s="8"/>
      <c r="B151" s="13"/>
      <c r="C151" s="8"/>
      <c r="D151" s="8"/>
      <c r="E151" s="8"/>
      <c r="F151" s="9"/>
      <c r="G151" s="8"/>
      <c r="H151" s="8"/>
      <c r="I151" s="9"/>
      <c r="J151" s="94"/>
      <c r="K151" s="94"/>
    </row>
    <row r="152" spans="1:11" ht="14.45">
      <c r="A152" s="8"/>
      <c r="B152" s="13"/>
      <c r="C152" s="8"/>
      <c r="D152" s="8"/>
      <c r="E152" s="8"/>
      <c r="F152" s="9"/>
      <c r="G152" s="8"/>
      <c r="H152" s="8"/>
      <c r="I152" s="9"/>
      <c r="J152" s="94"/>
      <c r="K152" s="94"/>
    </row>
    <row r="153" spans="1:11" ht="14.45">
      <c r="A153" s="8"/>
      <c r="B153" s="13"/>
      <c r="C153" s="8"/>
      <c r="D153" s="8"/>
      <c r="E153" s="8"/>
      <c r="F153" s="9"/>
      <c r="G153" s="8"/>
      <c r="H153" s="8"/>
      <c r="I153" s="9"/>
      <c r="J153" s="94"/>
      <c r="K153" s="94"/>
    </row>
    <row r="154" spans="1:11" ht="14.45">
      <c r="A154" s="8"/>
      <c r="B154" s="13"/>
      <c r="C154" s="8"/>
      <c r="D154" s="8"/>
      <c r="E154" s="8"/>
      <c r="F154" s="9"/>
      <c r="G154" s="8"/>
      <c r="H154" s="8"/>
      <c r="I154" s="9"/>
      <c r="J154" s="94"/>
      <c r="K154" s="94"/>
    </row>
    <row r="155" spans="1:11" ht="14.45">
      <c r="A155" s="8"/>
      <c r="B155" s="13"/>
      <c r="C155" s="8"/>
      <c r="D155" s="8"/>
      <c r="E155" s="8"/>
      <c r="F155" s="9"/>
      <c r="G155" s="8"/>
      <c r="H155" s="8"/>
      <c r="I155" s="9"/>
      <c r="J155" s="94"/>
      <c r="K155" s="94"/>
    </row>
    <row r="156" spans="1:11" ht="14.45">
      <c r="A156" s="8"/>
      <c r="B156" s="13"/>
      <c r="C156" s="8"/>
      <c r="D156" s="8"/>
      <c r="E156" s="8"/>
      <c r="F156" s="9"/>
      <c r="G156" s="8"/>
      <c r="H156" s="8"/>
      <c r="I156" s="9"/>
      <c r="J156" s="94"/>
      <c r="K156" s="94"/>
    </row>
    <row r="157" spans="1:11" ht="14.45">
      <c r="A157" s="8"/>
      <c r="B157" s="13"/>
      <c r="C157" s="8"/>
      <c r="D157" s="8"/>
      <c r="E157" s="8"/>
      <c r="F157" s="9"/>
      <c r="G157" s="8"/>
      <c r="H157" s="8"/>
      <c r="I157" s="9"/>
      <c r="J157" s="94"/>
      <c r="K157" s="94"/>
    </row>
    <row r="158" spans="1:11" ht="14.45">
      <c r="A158" s="8"/>
      <c r="B158" s="13"/>
      <c r="C158" s="8"/>
      <c r="D158" s="8"/>
      <c r="E158" s="8"/>
      <c r="F158" s="9"/>
      <c r="G158" s="8"/>
      <c r="H158" s="8"/>
      <c r="I158" s="9"/>
      <c r="J158" s="94"/>
      <c r="K158" s="94"/>
    </row>
    <row r="159" spans="1:11" ht="14.45">
      <c r="A159" s="8"/>
      <c r="B159" s="13"/>
      <c r="C159" s="8"/>
      <c r="D159" s="8"/>
      <c r="E159" s="8"/>
      <c r="F159" s="9"/>
      <c r="G159" s="8"/>
      <c r="H159" s="8"/>
      <c r="I159" s="9"/>
      <c r="J159" s="94"/>
      <c r="K159" s="94"/>
    </row>
    <row r="160" spans="1:11" ht="14.45">
      <c r="A160" s="8"/>
      <c r="B160" s="13"/>
      <c r="C160" s="8"/>
      <c r="D160" s="8"/>
      <c r="E160" s="8"/>
      <c r="F160" s="9"/>
      <c r="G160" s="8"/>
      <c r="H160" s="8"/>
      <c r="I160" s="9"/>
      <c r="J160" s="94"/>
      <c r="K160" s="94"/>
    </row>
    <row r="161" spans="1:11" ht="14.45">
      <c r="A161" s="8"/>
      <c r="B161" s="13"/>
      <c r="C161" s="8"/>
      <c r="D161" s="8"/>
      <c r="E161" s="8"/>
      <c r="F161" s="9"/>
      <c r="G161" s="8"/>
      <c r="H161" s="8"/>
      <c r="I161" s="9"/>
      <c r="J161" s="94"/>
      <c r="K161" s="94"/>
    </row>
    <row r="162" spans="1:11" ht="14.45">
      <c r="A162" s="8"/>
      <c r="B162" s="13"/>
      <c r="C162" s="8"/>
      <c r="D162" s="8"/>
      <c r="E162" s="8"/>
      <c r="F162" s="9"/>
      <c r="G162" s="8"/>
      <c r="H162" s="8"/>
      <c r="I162" s="9"/>
      <c r="J162" s="94"/>
      <c r="K162" s="94"/>
    </row>
    <row r="163" spans="1:11" ht="14.45">
      <c r="A163" s="8"/>
      <c r="B163" s="13"/>
      <c r="C163" s="8"/>
      <c r="D163" s="8"/>
      <c r="E163" s="8"/>
      <c r="F163" s="9"/>
      <c r="G163" s="8"/>
      <c r="H163" s="8"/>
      <c r="I163" s="9"/>
      <c r="J163" s="94"/>
      <c r="K163" s="94"/>
    </row>
    <row r="164" spans="1:11" ht="14.45">
      <c r="A164" s="8"/>
      <c r="B164" s="13"/>
      <c r="C164" s="8"/>
      <c r="D164" s="8"/>
      <c r="E164" s="8"/>
      <c r="F164" s="9"/>
      <c r="G164" s="8"/>
      <c r="H164" s="8"/>
      <c r="I164" s="9"/>
      <c r="J164" s="94"/>
      <c r="K164" s="94"/>
    </row>
    <row r="165" spans="1:11" ht="14.45">
      <c r="A165" s="8"/>
      <c r="B165" s="13"/>
      <c r="C165" s="8"/>
      <c r="D165" s="8"/>
      <c r="E165" s="8"/>
      <c r="F165" s="9"/>
      <c r="G165" s="8"/>
      <c r="H165" s="8"/>
      <c r="I165" s="9"/>
      <c r="J165" s="94"/>
      <c r="K165" s="94"/>
    </row>
    <row r="166" spans="1:11" ht="14.45">
      <c r="A166" s="8"/>
      <c r="B166" s="13"/>
      <c r="C166" s="8"/>
      <c r="D166" s="8"/>
      <c r="E166" s="8"/>
      <c r="F166" s="9"/>
      <c r="G166" s="8"/>
      <c r="H166" s="8"/>
      <c r="I166" s="9"/>
      <c r="J166" s="94"/>
      <c r="K166" s="94"/>
    </row>
    <row r="167" spans="1:11" ht="14.45">
      <c r="A167" s="8"/>
      <c r="B167" s="13"/>
      <c r="C167" s="8"/>
      <c r="D167" s="8"/>
      <c r="E167" s="8"/>
      <c r="F167" s="9"/>
      <c r="G167" s="8"/>
      <c r="H167" s="8"/>
      <c r="I167" s="9"/>
      <c r="J167" s="94"/>
      <c r="K167" s="94"/>
    </row>
    <row r="168" spans="1:11" ht="14.45">
      <c r="A168" s="8"/>
      <c r="B168" s="13"/>
      <c r="C168" s="8"/>
      <c r="D168" s="8"/>
      <c r="E168" s="8"/>
      <c r="F168" s="9"/>
      <c r="G168" s="8"/>
      <c r="H168" s="8"/>
      <c r="I168" s="9"/>
      <c r="J168" s="94"/>
      <c r="K168" s="94"/>
    </row>
    <row r="169" spans="1:11" ht="14.45">
      <c r="A169" s="8"/>
      <c r="B169" s="13"/>
      <c r="C169" s="8"/>
      <c r="D169" s="8"/>
      <c r="E169" s="8"/>
      <c r="F169" s="9"/>
      <c r="G169" s="8"/>
      <c r="H169" s="8"/>
      <c r="I169" s="9"/>
      <c r="J169" s="94"/>
      <c r="K169" s="94"/>
    </row>
    <row r="170" spans="1:11" ht="14.45">
      <c r="A170" s="8"/>
      <c r="B170" s="13"/>
      <c r="C170" s="8"/>
      <c r="D170" s="8"/>
      <c r="E170" s="8"/>
      <c r="F170" s="9"/>
      <c r="G170" s="8"/>
      <c r="H170" s="8"/>
      <c r="I170" s="9"/>
      <c r="J170" s="94"/>
      <c r="K170" s="94"/>
    </row>
    <row r="171" spans="1:11" ht="14.45">
      <c r="A171" s="8"/>
      <c r="B171" s="13"/>
      <c r="C171" s="8"/>
      <c r="D171" s="8"/>
      <c r="E171" s="8"/>
      <c r="F171" s="9"/>
      <c r="G171" s="8"/>
      <c r="H171" s="8"/>
      <c r="I171" s="9"/>
      <c r="J171" s="94"/>
      <c r="K171" s="94"/>
    </row>
    <row r="172" spans="1:11" ht="14.45">
      <c r="A172" s="8"/>
      <c r="B172" s="13"/>
      <c r="C172" s="8"/>
      <c r="D172" s="8"/>
      <c r="E172" s="8"/>
      <c r="F172" s="9"/>
      <c r="G172" s="8"/>
      <c r="H172" s="8"/>
      <c r="I172" s="9"/>
      <c r="J172" s="94"/>
      <c r="K172" s="94"/>
    </row>
    <row r="173" spans="1:11" ht="14.45">
      <c r="A173" s="8"/>
      <c r="B173" s="13"/>
      <c r="C173" s="8"/>
      <c r="D173" s="8"/>
      <c r="E173" s="8"/>
      <c r="F173" s="9"/>
      <c r="G173" s="8"/>
      <c r="H173" s="8"/>
      <c r="I173" s="9"/>
      <c r="J173" s="94"/>
      <c r="K173" s="94"/>
    </row>
    <row r="174" spans="1:11" ht="14.45">
      <c r="A174" s="8"/>
      <c r="B174" s="13"/>
      <c r="C174" s="8"/>
      <c r="D174" s="8"/>
      <c r="E174" s="8"/>
      <c r="F174" s="9"/>
      <c r="G174" s="8"/>
      <c r="H174" s="8"/>
      <c r="I174" s="9"/>
      <c r="J174" s="94"/>
      <c r="K174" s="94"/>
    </row>
    <row r="175" spans="1:11" ht="14.45">
      <c r="A175" s="8"/>
      <c r="B175" s="13"/>
      <c r="C175" s="8"/>
      <c r="D175" s="8"/>
      <c r="E175" s="8"/>
      <c r="F175" s="9"/>
      <c r="G175" s="8"/>
      <c r="H175" s="8"/>
      <c r="I175" s="9"/>
      <c r="J175" s="94"/>
      <c r="K175" s="94"/>
    </row>
    <row r="176" spans="1:11" ht="14.45">
      <c r="A176" s="8"/>
      <c r="B176" s="13"/>
      <c r="C176" s="8"/>
      <c r="D176" s="8"/>
      <c r="E176" s="8"/>
      <c r="F176" s="9"/>
      <c r="G176" s="8"/>
      <c r="H176" s="8"/>
      <c r="I176" s="9"/>
      <c r="J176" s="94"/>
      <c r="K176" s="94"/>
    </row>
    <row r="177" spans="1:11" ht="14.45">
      <c r="A177" s="8"/>
      <c r="B177" s="13"/>
      <c r="C177" s="8"/>
      <c r="D177" s="8"/>
      <c r="E177" s="8"/>
      <c r="F177" s="9"/>
      <c r="G177" s="8"/>
      <c r="H177" s="8"/>
      <c r="I177" s="9"/>
      <c r="J177" s="94"/>
      <c r="K177" s="94"/>
    </row>
    <row r="178" spans="1:11" ht="14.45">
      <c r="A178" s="8"/>
      <c r="B178" s="13"/>
      <c r="C178" s="8"/>
      <c r="D178" s="8"/>
      <c r="E178" s="8"/>
      <c r="F178" s="9"/>
      <c r="G178" s="8"/>
      <c r="H178" s="8"/>
      <c r="I178" s="9"/>
      <c r="J178" s="94"/>
      <c r="K178" s="94"/>
    </row>
    <row r="179" spans="1:11" ht="14.45">
      <c r="A179" s="8"/>
      <c r="B179" s="13"/>
      <c r="C179" s="8"/>
      <c r="D179" s="8"/>
      <c r="E179" s="8"/>
      <c r="F179" s="9"/>
      <c r="G179" s="8"/>
      <c r="H179" s="8"/>
      <c r="I179" s="9"/>
      <c r="J179" s="94"/>
      <c r="K179" s="94"/>
    </row>
    <row r="180" spans="1:11" ht="14.45">
      <c r="A180" s="8"/>
      <c r="B180" s="13"/>
      <c r="C180" s="8"/>
      <c r="D180" s="8"/>
      <c r="E180" s="8"/>
      <c r="F180" s="9"/>
      <c r="G180" s="8"/>
      <c r="H180" s="8"/>
      <c r="I180" s="9"/>
      <c r="J180" s="94"/>
      <c r="K180" s="94"/>
    </row>
    <row r="181" spans="1:11" ht="14.45">
      <c r="A181" s="8"/>
      <c r="B181" s="13"/>
      <c r="C181" s="8"/>
      <c r="D181" s="8"/>
      <c r="E181" s="8"/>
      <c r="F181" s="9"/>
      <c r="G181" s="8"/>
      <c r="H181" s="8"/>
      <c r="I181" s="9"/>
      <c r="J181" s="94"/>
      <c r="K181" s="94"/>
    </row>
    <row r="182" spans="1:11" ht="14.45">
      <c r="A182" s="8"/>
      <c r="B182" s="13"/>
      <c r="C182" s="8"/>
      <c r="D182" s="8"/>
      <c r="E182" s="8"/>
      <c r="F182" s="9"/>
      <c r="G182" s="8"/>
      <c r="H182" s="8"/>
      <c r="I182" s="9"/>
      <c r="J182" s="94"/>
      <c r="K182" s="94"/>
    </row>
    <row r="183" spans="1:11" ht="14.45">
      <c r="A183" s="8"/>
      <c r="B183" s="13"/>
      <c r="C183" s="8"/>
      <c r="D183" s="8"/>
      <c r="E183" s="8"/>
      <c r="F183" s="9"/>
      <c r="G183" s="8"/>
      <c r="H183" s="8"/>
      <c r="I183" s="9"/>
      <c r="J183" s="94"/>
      <c r="K183" s="94"/>
    </row>
    <row r="184" spans="1:11" ht="14.45">
      <c r="A184" s="8"/>
      <c r="B184" s="13"/>
      <c r="C184" s="8"/>
      <c r="D184" s="8"/>
      <c r="E184" s="8"/>
      <c r="F184" s="9"/>
      <c r="G184" s="8"/>
      <c r="H184" s="8"/>
      <c r="I184" s="9"/>
      <c r="J184" s="94"/>
      <c r="K184" s="94"/>
    </row>
    <row r="185" spans="1:11" ht="14.45">
      <c r="A185" s="8"/>
      <c r="B185" s="13"/>
      <c r="C185" s="8"/>
      <c r="D185" s="8"/>
      <c r="E185" s="8"/>
      <c r="F185" s="9"/>
      <c r="G185" s="8"/>
      <c r="H185" s="8"/>
      <c r="I185" s="9"/>
      <c r="J185" s="94"/>
      <c r="K185" s="94"/>
    </row>
    <row r="186" spans="1:11" ht="14.45">
      <c r="A186" s="8"/>
      <c r="B186" s="13"/>
      <c r="C186" s="8"/>
      <c r="D186" s="8"/>
      <c r="E186" s="8"/>
      <c r="F186" s="9"/>
      <c r="G186" s="8"/>
      <c r="H186" s="8"/>
      <c r="I186" s="9"/>
      <c r="J186" s="94"/>
      <c r="K186" s="94"/>
    </row>
    <row r="187" spans="1:11" ht="14.45">
      <c r="A187" s="8"/>
      <c r="B187" s="13"/>
      <c r="C187" s="8"/>
      <c r="D187" s="8"/>
      <c r="E187" s="8"/>
      <c r="F187" s="9"/>
      <c r="G187" s="8"/>
      <c r="H187" s="8"/>
      <c r="I187" s="9"/>
      <c r="J187" s="94"/>
      <c r="K187" s="94"/>
    </row>
    <row r="188" spans="1:11" ht="14.45">
      <c r="A188" s="8"/>
      <c r="B188" s="13"/>
      <c r="C188" s="8"/>
      <c r="D188" s="8"/>
      <c r="E188" s="8"/>
      <c r="F188" s="9"/>
      <c r="G188" s="8"/>
      <c r="H188" s="8"/>
      <c r="I188" s="9"/>
      <c r="J188" s="94"/>
      <c r="K188" s="94"/>
    </row>
    <row r="189" spans="1:11" ht="14.45">
      <c r="A189" s="8"/>
      <c r="B189" s="13"/>
      <c r="C189" s="8"/>
      <c r="D189" s="8"/>
      <c r="E189" s="8"/>
      <c r="F189" s="9"/>
      <c r="G189" s="8"/>
      <c r="H189" s="8"/>
      <c r="I189" s="9"/>
      <c r="J189" s="94"/>
      <c r="K189" s="94"/>
    </row>
    <row r="190" spans="1:11" ht="14.45">
      <c r="A190" s="8"/>
      <c r="B190" s="13"/>
      <c r="C190" s="8"/>
      <c r="D190" s="8"/>
      <c r="E190" s="8"/>
      <c r="F190" s="9"/>
      <c r="G190" s="8"/>
      <c r="H190" s="8"/>
      <c r="I190" s="9"/>
      <c r="J190" s="94"/>
      <c r="K190" s="94"/>
    </row>
    <row r="191" spans="1:11" ht="14.45">
      <c r="A191" s="8"/>
      <c r="B191" s="13"/>
      <c r="C191" s="8"/>
      <c r="D191" s="8"/>
      <c r="E191" s="8"/>
      <c r="F191" s="9"/>
      <c r="G191" s="8"/>
      <c r="H191" s="8"/>
      <c r="I191" s="9"/>
      <c r="J191" s="94"/>
      <c r="K191" s="94"/>
    </row>
    <row r="192" spans="1:11" ht="14.45">
      <c r="A192" s="8"/>
      <c r="B192" s="13"/>
      <c r="C192" s="8"/>
      <c r="D192" s="8"/>
      <c r="E192" s="8"/>
      <c r="F192" s="9"/>
      <c r="G192" s="8"/>
      <c r="H192" s="8"/>
      <c r="I192" s="9"/>
      <c r="J192" s="94"/>
      <c r="K192" s="94"/>
    </row>
    <row r="193" spans="1:11" ht="14.45">
      <c r="A193" s="8"/>
      <c r="B193" s="13"/>
      <c r="C193" s="8"/>
      <c r="D193" s="8"/>
      <c r="E193" s="8"/>
      <c r="F193" s="9"/>
      <c r="G193" s="8"/>
      <c r="H193" s="8"/>
      <c r="I193" s="9"/>
      <c r="J193" s="94"/>
      <c r="K193" s="94"/>
    </row>
    <row r="194" spans="1:11" ht="14.45">
      <c r="A194" s="8"/>
      <c r="B194" s="13"/>
      <c r="C194" s="8"/>
      <c r="D194" s="8"/>
      <c r="E194" s="8"/>
      <c r="F194" s="9"/>
      <c r="G194" s="8"/>
      <c r="H194" s="8"/>
      <c r="I194" s="9"/>
      <c r="J194" s="94"/>
      <c r="K194" s="94"/>
    </row>
    <row r="195" spans="1:11" ht="14.45">
      <c r="A195" s="8"/>
      <c r="B195" s="13"/>
      <c r="C195" s="8"/>
      <c r="D195" s="8"/>
      <c r="E195" s="8"/>
      <c r="F195" s="9"/>
      <c r="G195" s="8"/>
      <c r="H195" s="8"/>
      <c r="I195" s="9"/>
      <c r="J195" s="94"/>
      <c r="K195" s="94"/>
    </row>
    <row r="196" spans="1:11" ht="14.45">
      <c r="A196" s="8"/>
      <c r="B196" s="13"/>
      <c r="C196" s="8"/>
      <c r="D196" s="8"/>
      <c r="E196" s="8"/>
      <c r="F196" s="9"/>
      <c r="G196" s="8"/>
      <c r="H196" s="8"/>
      <c r="I196" s="9"/>
      <c r="J196" s="94"/>
      <c r="K196" s="94"/>
    </row>
    <row r="197" spans="1:11" ht="14.45">
      <c r="A197" s="8"/>
      <c r="B197" s="13"/>
      <c r="C197" s="8"/>
      <c r="D197" s="8"/>
      <c r="E197" s="8"/>
      <c r="F197" s="9"/>
      <c r="G197" s="8"/>
      <c r="H197" s="8"/>
      <c r="I197" s="9"/>
      <c r="J197" s="94"/>
      <c r="K197" s="94"/>
    </row>
    <row r="198" spans="1:11" ht="14.45">
      <c r="A198" s="8"/>
      <c r="B198" s="13"/>
      <c r="C198" s="8"/>
      <c r="D198" s="8"/>
      <c r="E198" s="8"/>
      <c r="F198" s="9"/>
      <c r="G198" s="8"/>
      <c r="H198" s="8"/>
      <c r="I198" s="9"/>
      <c r="J198" s="94"/>
      <c r="K198" s="94"/>
    </row>
    <row r="199" spans="1:11" ht="14.45">
      <c r="A199" s="8"/>
      <c r="B199" s="13"/>
      <c r="C199" s="8"/>
      <c r="D199" s="8"/>
      <c r="E199" s="8"/>
      <c r="F199" s="9"/>
      <c r="G199" s="8"/>
      <c r="H199" s="8"/>
      <c r="I199" s="9"/>
      <c r="J199" s="94"/>
      <c r="K199" s="94"/>
    </row>
    <row r="200" spans="1:11" ht="14.45">
      <c r="A200" s="8"/>
      <c r="B200" s="13"/>
      <c r="C200" s="8"/>
      <c r="D200" s="8"/>
      <c r="E200" s="8"/>
      <c r="F200" s="9"/>
      <c r="G200" s="8"/>
      <c r="H200" s="8"/>
      <c r="I200" s="9"/>
      <c r="J200" s="94"/>
      <c r="K200" s="94"/>
    </row>
    <row r="201" spans="1:11" ht="14.45">
      <c r="A201" s="8"/>
      <c r="B201" s="13"/>
      <c r="C201" s="8"/>
      <c r="D201" s="8"/>
      <c r="E201" s="8"/>
      <c r="F201" s="9"/>
      <c r="G201" s="8"/>
      <c r="H201" s="8"/>
      <c r="I201" s="9"/>
      <c r="J201" s="94"/>
      <c r="K201" s="94"/>
    </row>
    <row r="202" spans="1:11" ht="14.45">
      <c r="A202" s="8"/>
      <c r="B202" s="13"/>
      <c r="C202" s="8"/>
      <c r="D202" s="8"/>
      <c r="E202" s="8"/>
      <c r="F202" s="9"/>
      <c r="G202" s="8"/>
      <c r="H202" s="8"/>
      <c r="I202" s="9"/>
      <c r="J202" s="94"/>
      <c r="K202" s="94"/>
    </row>
    <row r="203" spans="1:11" ht="14.45">
      <c r="A203" s="8"/>
      <c r="B203" s="13"/>
      <c r="C203" s="8"/>
      <c r="D203" s="8"/>
      <c r="E203" s="8"/>
      <c r="F203" s="9"/>
      <c r="G203" s="8"/>
      <c r="H203" s="8"/>
      <c r="I203" s="9"/>
      <c r="J203" s="94"/>
      <c r="K203" s="94"/>
    </row>
    <row r="204" spans="1:11" ht="14.45">
      <c r="A204" s="8"/>
      <c r="B204" s="13"/>
      <c r="C204" s="8"/>
      <c r="D204" s="8"/>
      <c r="E204" s="8"/>
      <c r="F204" s="9"/>
      <c r="G204" s="8"/>
      <c r="H204" s="8"/>
      <c r="I204" s="9"/>
      <c r="J204" s="94"/>
      <c r="K204" s="94"/>
    </row>
    <row r="205" spans="1:11" ht="14.45">
      <c r="A205" s="8"/>
      <c r="B205" s="13"/>
      <c r="C205" s="8"/>
      <c r="D205" s="8"/>
      <c r="E205" s="8"/>
      <c r="F205" s="9"/>
      <c r="G205" s="8"/>
      <c r="H205" s="8"/>
      <c r="I205" s="9"/>
      <c r="J205" s="94"/>
      <c r="K205" s="94"/>
    </row>
    <row r="206" spans="1:11" ht="14.45">
      <c r="A206" s="8"/>
      <c r="B206" s="13"/>
      <c r="C206" s="8"/>
      <c r="D206" s="8"/>
      <c r="E206" s="8"/>
      <c r="F206" s="9"/>
      <c r="G206" s="8"/>
      <c r="H206" s="8"/>
      <c r="I206" s="9"/>
      <c r="J206" s="94"/>
      <c r="K206" s="94"/>
    </row>
    <row r="207" spans="1:11" ht="14.45">
      <c r="A207" s="8"/>
      <c r="B207" s="13"/>
      <c r="C207" s="8"/>
      <c r="D207" s="8"/>
      <c r="E207" s="8"/>
      <c r="F207" s="9"/>
      <c r="G207" s="8"/>
      <c r="H207" s="8"/>
      <c r="I207" s="9"/>
      <c r="J207" s="94"/>
      <c r="K207" s="94"/>
    </row>
    <row r="208" spans="1:11" ht="14.45">
      <c r="A208" s="8"/>
      <c r="B208" s="13"/>
      <c r="C208" s="8"/>
      <c r="D208" s="8"/>
      <c r="E208" s="8"/>
      <c r="F208" s="9"/>
      <c r="G208" s="8"/>
      <c r="H208" s="8"/>
      <c r="I208" s="9"/>
      <c r="J208" s="94"/>
      <c r="K208" s="94"/>
    </row>
    <row r="209" spans="1:11" ht="14.45">
      <c r="A209" s="8"/>
      <c r="B209" s="13"/>
      <c r="C209" s="8"/>
      <c r="D209" s="8"/>
      <c r="E209" s="8"/>
      <c r="F209" s="9"/>
      <c r="G209" s="8"/>
      <c r="H209" s="8"/>
      <c r="I209" s="9"/>
      <c r="J209" s="94"/>
      <c r="K209" s="94"/>
    </row>
    <row r="210" spans="1:11" ht="14.45">
      <c r="A210" s="8"/>
      <c r="B210" s="13"/>
      <c r="C210" s="8"/>
      <c r="D210" s="8"/>
      <c r="E210" s="8"/>
      <c r="F210" s="9"/>
      <c r="G210" s="8"/>
      <c r="H210" s="8"/>
      <c r="I210" s="9"/>
      <c r="J210" s="94"/>
      <c r="K210" s="94"/>
    </row>
    <row r="211" spans="1:11" ht="14.45">
      <c r="A211" s="8"/>
      <c r="B211" s="13"/>
      <c r="C211" s="8"/>
      <c r="D211" s="8"/>
      <c r="E211" s="8"/>
      <c r="F211" s="9"/>
      <c r="G211" s="8"/>
      <c r="H211" s="8"/>
      <c r="I211" s="9"/>
      <c r="J211" s="94"/>
      <c r="K211" s="94"/>
    </row>
    <row r="212" spans="1:11" ht="14.45">
      <c r="A212" s="8"/>
      <c r="B212" s="13"/>
      <c r="C212" s="8"/>
      <c r="D212" s="8"/>
      <c r="E212" s="8"/>
      <c r="F212" s="9"/>
      <c r="G212" s="8"/>
      <c r="H212" s="8"/>
      <c r="I212" s="9"/>
      <c r="J212" s="94"/>
      <c r="K212" s="94"/>
    </row>
    <row r="213" spans="1:11" ht="14.45">
      <c r="A213" s="8"/>
      <c r="B213" s="13"/>
      <c r="C213" s="8"/>
      <c r="D213" s="8"/>
      <c r="E213" s="8"/>
      <c r="F213" s="9"/>
      <c r="G213" s="8"/>
      <c r="H213" s="8"/>
      <c r="I213" s="9"/>
      <c r="J213" s="94"/>
      <c r="K213" s="94"/>
    </row>
    <row r="214" spans="1:11" ht="14.45">
      <c r="A214" s="8"/>
      <c r="B214" s="13"/>
      <c r="C214" s="8"/>
      <c r="D214" s="8"/>
      <c r="E214" s="8"/>
      <c r="F214" s="9"/>
      <c r="G214" s="8"/>
      <c r="H214" s="8"/>
      <c r="I214" s="9"/>
      <c r="J214" s="94"/>
      <c r="K214" s="94"/>
    </row>
    <row r="215" spans="1:11" ht="14.45">
      <c r="A215" s="8"/>
      <c r="B215" s="13"/>
      <c r="C215" s="8"/>
      <c r="D215" s="8"/>
      <c r="E215" s="8"/>
      <c r="F215" s="9"/>
      <c r="G215" s="8"/>
      <c r="H215" s="8"/>
      <c r="I215" s="9"/>
      <c r="J215" s="94"/>
      <c r="K215" s="94"/>
    </row>
    <row r="216" spans="1:11" ht="14.45">
      <c r="A216" s="8"/>
      <c r="B216" s="13"/>
      <c r="C216" s="8"/>
      <c r="D216" s="8"/>
      <c r="E216" s="8"/>
      <c r="F216" s="9"/>
      <c r="G216" s="8"/>
      <c r="H216" s="8"/>
      <c r="I216" s="9"/>
      <c r="J216" s="94"/>
      <c r="K216" s="94"/>
    </row>
    <row r="217" spans="1:11" ht="14.45">
      <c r="A217" s="8"/>
      <c r="B217" s="13"/>
      <c r="C217" s="8"/>
      <c r="D217" s="8"/>
      <c r="E217" s="8"/>
      <c r="F217" s="9"/>
      <c r="G217" s="8"/>
      <c r="H217" s="8"/>
      <c r="I217" s="9"/>
      <c r="J217" s="94"/>
      <c r="K217" s="94"/>
    </row>
    <row r="218" spans="1:11" ht="14.45">
      <c r="A218" s="8"/>
      <c r="B218" s="13"/>
      <c r="C218" s="8"/>
      <c r="D218" s="8"/>
      <c r="E218" s="8"/>
      <c r="F218" s="9"/>
      <c r="G218" s="8"/>
      <c r="H218" s="8"/>
      <c r="I218" s="9"/>
      <c r="J218" s="94"/>
      <c r="K218" s="94"/>
    </row>
    <row r="219" spans="1:11" ht="14.45">
      <c r="A219" s="8"/>
      <c r="B219" s="13"/>
      <c r="C219" s="8"/>
      <c r="D219" s="8"/>
      <c r="E219" s="8"/>
      <c r="F219" s="9"/>
      <c r="G219" s="8"/>
      <c r="H219" s="8"/>
      <c r="I219" s="9"/>
      <c r="J219" s="94"/>
      <c r="K219" s="94"/>
    </row>
    <row r="220" spans="1:11" ht="14.45">
      <c r="A220" s="8"/>
      <c r="B220" s="13"/>
      <c r="C220" s="8"/>
      <c r="D220" s="8"/>
      <c r="E220" s="8"/>
      <c r="F220" s="9"/>
      <c r="G220" s="8"/>
      <c r="H220" s="8"/>
      <c r="I220" s="9"/>
      <c r="J220" s="94"/>
      <c r="K220" s="94"/>
    </row>
    <row r="221" spans="1:11" ht="14.45">
      <c r="A221" s="8"/>
      <c r="B221" s="13"/>
      <c r="C221" s="8"/>
      <c r="D221" s="8"/>
      <c r="E221" s="8"/>
      <c r="F221" s="9"/>
      <c r="G221" s="8"/>
      <c r="H221" s="8"/>
      <c r="I221" s="9"/>
      <c r="J221" s="94"/>
      <c r="K221" s="94"/>
    </row>
    <row r="222" spans="1:11" ht="14.45">
      <c r="A222" s="8"/>
      <c r="B222" s="13"/>
      <c r="C222" s="8"/>
      <c r="D222" s="8"/>
      <c r="E222" s="8"/>
      <c r="F222" s="9"/>
      <c r="G222" s="8"/>
      <c r="H222" s="8"/>
      <c r="I222" s="9"/>
      <c r="J222" s="94"/>
      <c r="K222" s="94"/>
    </row>
    <row r="223" spans="1:11" ht="14.45">
      <c r="A223" s="8"/>
      <c r="B223" s="13"/>
      <c r="C223" s="8"/>
      <c r="D223" s="8"/>
      <c r="E223" s="8"/>
      <c r="F223" s="9"/>
      <c r="G223" s="8"/>
      <c r="H223" s="8"/>
      <c r="I223" s="9"/>
      <c r="J223" s="94"/>
      <c r="K223" s="94"/>
    </row>
    <row r="224" spans="1:11" ht="14.45">
      <c r="A224" s="8"/>
      <c r="B224" s="13"/>
      <c r="C224" s="8"/>
      <c r="D224" s="8"/>
      <c r="E224" s="8"/>
      <c r="F224" s="9"/>
      <c r="G224" s="8"/>
      <c r="H224" s="8"/>
      <c r="I224" s="9"/>
      <c r="J224" s="94"/>
      <c r="K224" s="94"/>
    </row>
    <row r="225" spans="1:11" ht="14.45">
      <c r="A225" s="8"/>
      <c r="B225" s="13"/>
      <c r="C225" s="8"/>
      <c r="D225" s="8"/>
      <c r="E225" s="8"/>
      <c r="F225" s="9"/>
      <c r="G225" s="8"/>
      <c r="H225" s="8"/>
      <c r="I225" s="9"/>
      <c r="J225" s="94"/>
      <c r="K225" s="94"/>
    </row>
    <row r="226" spans="1:11" ht="14.45">
      <c r="A226" s="8"/>
      <c r="B226" s="13"/>
      <c r="C226" s="8"/>
      <c r="D226" s="8"/>
      <c r="E226" s="8"/>
      <c r="F226" s="9"/>
      <c r="G226" s="8"/>
      <c r="H226" s="8"/>
      <c r="I226" s="9"/>
      <c r="J226" s="94"/>
      <c r="K226" s="94"/>
    </row>
    <row r="227" spans="1:11" ht="14.45">
      <c r="A227" s="8"/>
      <c r="B227" s="13"/>
      <c r="C227" s="8"/>
      <c r="D227" s="8"/>
      <c r="E227" s="8"/>
      <c r="F227" s="9"/>
      <c r="G227" s="8"/>
      <c r="H227" s="8"/>
      <c r="I227" s="9"/>
      <c r="J227" s="94"/>
      <c r="K227" s="94"/>
    </row>
    <row r="228" spans="1:11" ht="14.45">
      <c r="A228" s="8"/>
      <c r="B228" s="13"/>
      <c r="C228" s="8"/>
      <c r="D228" s="8"/>
      <c r="E228" s="8"/>
      <c r="F228" s="9"/>
      <c r="G228" s="8"/>
      <c r="H228" s="8"/>
      <c r="I228" s="9"/>
      <c r="J228" s="94"/>
      <c r="K228" s="94"/>
    </row>
    <row r="229" spans="1:11" ht="14.45">
      <c r="A229" s="8"/>
      <c r="B229" s="13"/>
      <c r="C229" s="8"/>
      <c r="D229" s="8"/>
      <c r="E229" s="8"/>
      <c r="F229" s="9"/>
      <c r="G229" s="8"/>
      <c r="H229" s="8"/>
      <c r="I229" s="9"/>
      <c r="J229" s="94"/>
      <c r="K229" s="94"/>
    </row>
    <row r="230" spans="1:11" ht="14.45">
      <c r="A230" s="8"/>
      <c r="B230" s="13"/>
      <c r="C230" s="8"/>
      <c r="D230" s="8"/>
      <c r="E230" s="8"/>
      <c r="F230" s="9"/>
      <c r="G230" s="8"/>
      <c r="H230" s="8"/>
      <c r="I230" s="9"/>
      <c r="J230" s="94"/>
      <c r="K230" s="94"/>
    </row>
    <row r="231" spans="1:11" ht="14.45">
      <c r="A231" s="8"/>
      <c r="B231" s="13"/>
      <c r="C231" s="8"/>
      <c r="D231" s="8"/>
      <c r="E231" s="8"/>
      <c r="F231" s="9"/>
      <c r="G231" s="8"/>
      <c r="H231" s="8"/>
      <c r="I231" s="9"/>
      <c r="J231" s="94"/>
      <c r="K231" s="94"/>
    </row>
    <row r="232" spans="1:11" ht="14.45">
      <c r="A232" s="8"/>
      <c r="B232" s="13"/>
      <c r="C232" s="8"/>
      <c r="D232" s="8"/>
      <c r="E232" s="8"/>
      <c r="F232" s="9"/>
      <c r="G232" s="8"/>
      <c r="H232" s="8"/>
      <c r="I232" s="9"/>
      <c r="J232" s="94"/>
      <c r="K232" s="94"/>
    </row>
    <row r="233" spans="1:11" ht="14.45">
      <c r="A233" s="8"/>
      <c r="B233" s="13"/>
      <c r="C233" s="8"/>
      <c r="D233" s="8"/>
      <c r="E233" s="8"/>
      <c r="F233" s="9"/>
      <c r="G233" s="8"/>
      <c r="H233" s="8"/>
      <c r="I233" s="9"/>
      <c r="J233" s="94"/>
      <c r="K233" s="94"/>
    </row>
    <row r="234" spans="1:11" ht="14.45">
      <c r="A234" s="8"/>
      <c r="B234" s="13"/>
      <c r="C234" s="8"/>
      <c r="D234" s="8"/>
      <c r="E234" s="8"/>
      <c r="F234" s="9"/>
      <c r="G234" s="8"/>
      <c r="H234" s="8"/>
      <c r="I234" s="9"/>
      <c r="J234" s="94"/>
      <c r="K234" s="94"/>
    </row>
    <row r="235" spans="1:11" ht="14.45">
      <c r="A235" s="8"/>
      <c r="B235" s="13"/>
      <c r="C235" s="8"/>
      <c r="D235" s="8"/>
      <c r="E235" s="8"/>
      <c r="F235" s="9"/>
      <c r="G235" s="8"/>
      <c r="H235" s="8"/>
      <c r="I235" s="9"/>
      <c r="J235" s="94"/>
      <c r="K235" s="94"/>
    </row>
    <row r="236" spans="1:11" ht="14.45">
      <c r="A236" s="8"/>
      <c r="B236" s="13"/>
      <c r="C236" s="8"/>
      <c r="D236" s="8"/>
      <c r="E236" s="8"/>
      <c r="F236" s="9"/>
      <c r="G236" s="8"/>
      <c r="H236" s="8"/>
      <c r="I236" s="9"/>
      <c r="J236" s="94"/>
      <c r="K236" s="94"/>
    </row>
    <row r="237" spans="1:11" ht="14.45">
      <c r="A237" s="8"/>
      <c r="B237" s="13"/>
      <c r="C237" s="8"/>
      <c r="D237" s="8"/>
      <c r="E237" s="8"/>
      <c r="F237" s="9"/>
      <c r="G237" s="8"/>
      <c r="H237" s="8"/>
      <c r="I237" s="9"/>
      <c r="J237" s="94"/>
      <c r="K237" s="94"/>
    </row>
    <row r="238" spans="1:11" ht="14.45">
      <c r="A238" s="8"/>
      <c r="B238" s="13"/>
      <c r="C238" s="8"/>
      <c r="D238" s="8"/>
      <c r="E238" s="8"/>
      <c r="F238" s="9"/>
      <c r="G238" s="8"/>
      <c r="H238" s="8"/>
      <c r="I238" s="9"/>
      <c r="J238" s="94"/>
      <c r="K238" s="94"/>
    </row>
    <row r="239" spans="1:11" ht="14.45">
      <c r="A239" s="8"/>
      <c r="B239" s="13"/>
      <c r="C239" s="8"/>
      <c r="D239" s="8"/>
      <c r="E239" s="8"/>
      <c r="F239" s="9"/>
      <c r="G239" s="8"/>
      <c r="H239" s="8"/>
      <c r="I239" s="9"/>
      <c r="J239" s="94"/>
      <c r="K239" s="94"/>
    </row>
    <row r="240" spans="1:11" ht="14.45">
      <c r="A240" s="8"/>
      <c r="B240" s="13"/>
      <c r="C240" s="8"/>
      <c r="D240" s="8"/>
      <c r="E240" s="8"/>
      <c r="F240" s="9"/>
      <c r="G240" s="8"/>
      <c r="H240" s="8"/>
      <c r="I240" s="9"/>
      <c r="J240" s="94"/>
      <c r="K240" s="94"/>
    </row>
    <row r="241" spans="1:11" ht="14.45">
      <c r="A241" s="8"/>
      <c r="B241" s="13"/>
      <c r="C241" s="8"/>
      <c r="D241" s="8"/>
      <c r="E241" s="8"/>
      <c r="F241" s="9"/>
      <c r="G241" s="8"/>
      <c r="H241" s="8"/>
      <c r="I241" s="9"/>
      <c r="J241" s="94"/>
      <c r="K241" s="94"/>
    </row>
    <row r="242" spans="1:11" ht="14.45">
      <c r="A242" s="8"/>
      <c r="B242" s="13"/>
      <c r="C242" s="8"/>
      <c r="D242" s="8"/>
      <c r="E242" s="8"/>
      <c r="F242" s="9"/>
      <c r="G242" s="8"/>
      <c r="H242" s="8"/>
      <c r="I242" s="9"/>
      <c r="J242" s="94"/>
      <c r="K242" s="94"/>
    </row>
    <row r="243" spans="1:11" ht="14.45">
      <c r="A243" s="8"/>
      <c r="B243" s="13"/>
      <c r="C243" s="8"/>
      <c r="D243" s="8"/>
      <c r="E243" s="8"/>
      <c r="F243" s="9"/>
      <c r="G243" s="8"/>
      <c r="H243" s="8"/>
      <c r="I243" s="9"/>
      <c r="J243" s="94"/>
      <c r="K243" s="94"/>
    </row>
    <row r="244" spans="1:11" ht="14.45">
      <c r="A244" s="8"/>
      <c r="B244" s="13"/>
      <c r="C244" s="8"/>
      <c r="D244" s="8"/>
      <c r="E244" s="8"/>
      <c r="F244" s="9"/>
      <c r="G244" s="8"/>
      <c r="H244" s="8"/>
      <c r="I244" s="9"/>
      <c r="J244" s="94"/>
      <c r="K244" s="94"/>
    </row>
    <row r="245" spans="1:11" ht="14.45">
      <c r="A245" s="8"/>
      <c r="B245" s="13"/>
      <c r="C245" s="8"/>
      <c r="D245" s="8"/>
      <c r="E245" s="8"/>
      <c r="F245" s="9"/>
      <c r="G245" s="8"/>
      <c r="H245" s="8"/>
      <c r="I245" s="9"/>
      <c r="J245" s="94"/>
      <c r="K245" s="94"/>
    </row>
    <row r="246" spans="1:11" ht="14.45">
      <c r="A246" s="8"/>
      <c r="B246" s="13"/>
      <c r="C246" s="8"/>
      <c r="D246" s="8"/>
      <c r="E246" s="8"/>
      <c r="F246" s="9"/>
      <c r="G246" s="8"/>
      <c r="H246" s="8"/>
      <c r="I246" s="9"/>
      <c r="J246" s="94"/>
      <c r="K246" s="94"/>
    </row>
    <row r="247" spans="1:11" ht="14.45">
      <c r="A247" s="8"/>
      <c r="B247" s="13"/>
      <c r="C247" s="8"/>
      <c r="D247" s="8"/>
      <c r="E247" s="8"/>
      <c r="F247" s="9"/>
      <c r="G247" s="8"/>
      <c r="H247" s="8"/>
      <c r="I247" s="9"/>
      <c r="J247" s="94"/>
      <c r="K247" s="94"/>
    </row>
    <row r="248" spans="1:11" ht="14.45">
      <c r="A248" s="8"/>
      <c r="B248" s="13"/>
      <c r="C248" s="8"/>
      <c r="D248" s="8"/>
      <c r="E248" s="8"/>
      <c r="F248" s="9"/>
      <c r="G248" s="8"/>
      <c r="H248" s="8"/>
      <c r="I248" s="9"/>
      <c r="J248" s="94"/>
      <c r="K248" s="94"/>
    </row>
    <row r="249" spans="1:11" ht="14.45">
      <c r="A249" s="8"/>
      <c r="B249" s="13"/>
      <c r="C249" s="8"/>
      <c r="D249" s="8"/>
      <c r="E249" s="8"/>
      <c r="F249" s="9"/>
      <c r="G249" s="8"/>
      <c r="H249" s="8"/>
      <c r="I249" s="9"/>
      <c r="J249" s="94"/>
      <c r="K249" s="94"/>
    </row>
    <row r="250" spans="1:11" ht="14.45">
      <c r="A250" s="8"/>
      <c r="B250" s="13"/>
      <c r="C250" s="8"/>
      <c r="D250" s="8"/>
      <c r="E250" s="8"/>
      <c r="F250" s="9"/>
      <c r="G250" s="8"/>
      <c r="H250" s="8"/>
      <c r="I250" s="9"/>
      <c r="J250" s="94"/>
      <c r="K250" s="94"/>
    </row>
    <row r="251" spans="1:11" ht="14.45">
      <c r="A251" s="8"/>
      <c r="B251" s="13"/>
      <c r="C251" s="8"/>
      <c r="D251" s="8"/>
      <c r="E251" s="8"/>
      <c r="F251" s="9"/>
      <c r="G251" s="8"/>
      <c r="H251" s="8"/>
      <c r="I251" s="9"/>
      <c r="J251" s="94"/>
      <c r="K251" s="94"/>
    </row>
    <row r="252" spans="1:11" ht="14.45">
      <c r="A252" s="8"/>
      <c r="B252" s="13"/>
      <c r="C252" s="8"/>
      <c r="D252" s="8"/>
      <c r="E252" s="8"/>
      <c r="F252" s="9"/>
      <c r="G252" s="8"/>
      <c r="H252" s="8"/>
      <c r="I252" s="9"/>
      <c r="J252" s="94"/>
      <c r="K252" s="94"/>
    </row>
    <row r="253" spans="1:11" ht="14.45">
      <c r="A253" s="8"/>
      <c r="B253" s="13"/>
      <c r="C253" s="8"/>
      <c r="D253" s="8"/>
      <c r="E253" s="8"/>
      <c r="F253" s="9"/>
      <c r="G253" s="8"/>
      <c r="H253" s="8"/>
      <c r="I253" s="9"/>
      <c r="J253" s="94"/>
      <c r="K253" s="94"/>
    </row>
    <row r="254" spans="1:11" ht="14.45">
      <c r="A254" s="8"/>
      <c r="B254" s="13"/>
      <c r="C254" s="8"/>
      <c r="D254" s="8"/>
      <c r="E254" s="8"/>
      <c r="F254" s="9"/>
      <c r="G254" s="8"/>
      <c r="H254" s="8"/>
      <c r="I254" s="9"/>
      <c r="J254" s="94"/>
      <c r="K254" s="94"/>
    </row>
    <row r="255" spans="1:11" ht="14.45">
      <c r="A255" s="8"/>
      <c r="B255" s="13"/>
      <c r="C255" s="8"/>
      <c r="D255" s="8"/>
      <c r="E255" s="8"/>
      <c r="F255" s="9"/>
      <c r="G255" s="8"/>
      <c r="H255" s="8"/>
      <c r="I255" s="9"/>
      <c r="J255" s="94"/>
      <c r="K255" s="94"/>
    </row>
    <row r="256" spans="1:11" ht="14.45">
      <c r="A256" s="8"/>
      <c r="B256" s="13"/>
      <c r="C256" s="8"/>
      <c r="D256" s="8"/>
      <c r="E256" s="8"/>
      <c r="F256" s="9"/>
      <c r="G256" s="8"/>
      <c r="H256" s="8"/>
      <c r="I256" s="9"/>
      <c r="J256" s="94"/>
      <c r="K256" s="94"/>
    </row>
    <row r="257" spans="1:11" ht="14.45">
      <c r="A257" s="8"/>
      <c r="B257" s="13"/>
      <c r="C257" s="8"/>
      <c r="D257" s="8"/>
      <c r="E257" s="8"/>
      <c r="F257" s="9"/>
      <c r="G257" s="8"/>
      <c r="H257" s="8"/>
      <c r="I257" s="9"/>
      <c r="J257" s="94"/>
      <c r="K257" s="94"/>
    </row>
    <row r="258" spans="1:11" ht="14.45">
      <c r="A258" s="8"/>
      <c r="B258" s="13"/>
      <c r="C258" s="8"/>
      <c r="D258" s="8"/>
      <c r="E258" s="8"/>
      <c r="F258" s="9"/>
      <c r="G258" s="8"/>
      <c r="H258" s="8"/>
      <c r="I258" s="9"/>
      <c r="J258" s="94"/>
      <c r="K258" s="94"/>
    </row>
    <row r="259" spans="1:11" ht="14.45">
      <c r="A259" s="8"/>
      <c r="B259" s="13"/>
      <c r="C259" s="8"/>
      <c r="D259" s="8"/>
      <c r="E259" s="8"/>
      <c r="F259" s="9"/>
      <c r="G259" s="8"/>
      <c r="H259" s="8"/>
      <c r="I259" s="9"/>
      <c r="J259" s="94"/>
      <c r="K259" s="94"/>
    </row>
    <row r="260" spans="1:11" ht="14.45">
      <c r="A260" s="8"/>
      <c r="B260" s="13"/>
      <c r="C260" s="8"/>
      <c r="D260" s="8"/>
      <c r="E260" s="8"/>
      <c r="F260" s="9"/>
      <c r="G260" s="8"/>
      <c r="H260" s="8"/>
      <c r="I260" s="9"/>
      <c r="J260" s="94"/>
      <c r="K260" s="94"/>
    </row>
    <row r="261" spans="1:11" ht="14.45">
      <c r="A261" s="8"/>
      <c r="B261" s="13"/>
      <c r="C261" s="8"/>
      <c r="D261" s="8"/>
      <c r="E261" s="8"/>
      <c r="F261" s="9"/>
      <c r="G261" s="8"/>
      <c r="H261" s="8"/>
      <c r="I261" s="9"/>
      <c r="J261" s="94"/>
      <c r="K261" s="94"/>
    </row>
    <row r="262" spans="1:11" ht="14.45">
      <c r="A262" s="8"/>
      <c r="B262" s="13"/>
      <c r="C262" s="8"/>
      <c r="D262" s="8"/>
      <c r="E262" s="8"/>
      <c r="F262" s="9"/>
      <c r="G262" s="8"/>
      <c r="H262" s="8"/>
      <c r="I262" s="9"/>
      <c r="J262" s="94"/>
      <c r="K262" s="94"/>
    </row>
    <row r="263" spans="1:11" ht="14.45">
      <c r="A263" s="8"/>
      <c r="B263" s="13"/>
      <c r="C263" s="8"/>
      <c r="D263" s="8"/>
      <c r="E263" s="8"/>
      <c r="F263" s="9"/>
      <c r="G263" s="8"/>
      <c r="H263" s="8"/>
      <c r="I263" s="9"/>
      <c r="J263" s="94"/>
      <c r="K263" s="94"/>
    </row>
    <row r="264" spans="1:11" ht="14.45">
      <c r="A264" s="8"/>
      <c r="B264" s="13"/>
      <c r="C264" s="8"/>
      <c r="D264" s="8"/>
      <c r="E264" s="8"/>
      <c r="F264" s="9"/>
      <c r="G264" s="8"/>
      <c r="H264" s="8"/>
      <c r="I264" s="9"/>
      <c r="J264" s="94"/>
      <c r="K264" s="94"/>
    </row>
    <row r="265" spans="1:11" ht="14.45">
      <c r="A265" s="8"/>
      <c r="B265" s="13"/>
      <c r="C265" s="8"/>
      <c r="D265" s="8"/>
      <c r="E265" s="8"/>
      <c r="F265" s="9"/>
      <c r="G265" s="8"/>
      <c r="H265" s="8"/>
      <c r="I265" s="9"/>
      <c r="J265" s="94"/>
      <c r="K265" s="94"/>
    </row>
    <row r="266" spans="1:11" ht="14.45">
      <c r="A266" s="8"/>
      <c r="B266" s="13"/>
      <c r="C266" s="8"/>
      <c r="D266" s="8"/>
      <c r="E266" s="8"/>
      <c r="F266" s="9"/>
      <c r="G266" s="8"/>
      <c r="H266" s="8"/>
      <c r="I266" s="9"/>
      <c r="J266" s="94"/>
      <c r="K266" s="94"/>
    </row>
    <row r="267" spans="1:11" ht="14.45">
      <c r="A267" s="8"/>
      <c r="B267" s="13"/>
      <c r="C267" s="8"/>
      <c r="D267" s="8"/>
      <c r="E267" s="8"/>
      <c r="F267" s="9"/>
      <c r="G267" s="8"/>
      <c r="H267" s="8"/>
      <c r="I267" s="9"/>
      <c r="J267" s="94"/>
      <c r="K267" s="94"/>
    </row>
    <row r="268" spans="1:11" ht="14.45">
      <c r="A268" s="8"/>
      <c r="B268" s="13"/>
      <c r="C268" s="8"/>
      <c r="D268" s="8"/>
      <c r="E268" s="8"/>
      <c r="F268" s="9"/>
      <c r="G268" s="8"/>
      <c r="H268" s="8"/>
      <c r="I268" s="9"/>
      <c r="J268" s="94"/>
      <c r="K268" s="94"/>
    </row>
    <row r="269" spans="1:11" ht="14.45">
      <c r="A269" s="8"/>
      <c r="B269" s="13"/>
      <c r="C269" s="8"/>
      <c r="D269" s="8"/>
      <c r="E269" s="8"/>
      <c r="F269" s="9"/>
      <c r="G269" s="8"/>
      <c r="H269" s="8"/>
      <c r="I269" s="9"/>
      <c r="J269" s="94"/>
      <c r="K269" s="94"/>
    </row>
    <row r="270" spans="1:11" ht="14.45">
      <c r="A270" s="8"/>
      <c r="B270" s="13"/>
      <c r="C270" s="8"/>
      <c r="D270" s="8"/>
      <c r="E270" s="8"/>
      <c r="F270" s="9"/>
      <c r="G270" s="8"/>
      <c r="H270" s="8"/>
      <c r="I270" s="9"/>
      <c r="J270" s="94"/>
      <c r="K270" s="94"/>
    </row>
    <row r="271" spans="1:11" ht="14.45">
      <c r="A271" s="8"/>
      <c r="B271" s="13"/>
      <c r="C271" s="8"/>
      <c r="D271" s="8"/>
      <c r="E271" s="8"/>
      <c r="F271" s="9"/>
      <c r="G271" s="8"/>
      <c r="H271" s="8"/>
      <c r="I271" s="9"/>
      <c r="J271" s="94"/>
      <c r="K271" s="94"/>
    </row>
    <row r="272" spans="1:11" ht="14.45">
      <c r="A272" s="8"/>
      <c r="B272" s="13"/>
      <c r="C272" s="8"/>
      <c r="D272" s="8"/>
      <c r="E272" s="8"/>
      <c r="F272" s="9"/>
      <c r="G272" s="8"/>
      <c r="H272" s="8"/>
      <c r="I272" s="9"/>
      <c r="J272" s="94"/>
      <c r="K272" s="94"/>
    </row>
    <row r="273" spans="1:11" ht="14.45">
      <c r="A273" s="8"/>
      <c r="B273" s="13"/>
      <c r="C273" s="8"/>
      <c r="D273" s="8"/>
      <c r="E273" s="8"/>
      <c r="F273" s="9"/>
      <c r="G273" s="8"/>
      <c r="H273" s="8"/>
      <c r="I273" s="9"/>
      <c r="J273" s="94"/>
      <c r="K273" s="94"/>
    </row>
    <row r="274" spans="1:11" ht="14.45">
      <c r="A274" s="8"/>
      <c r="B274" s="13"/>
      <c r="C274" s="8"/>
      <c r="D274" s="8"/>
      <c r="E274" s="8"/>
      <c r="F274" s="9"/>
      <c r="G274" s="8"/>
      <c r="H274" s="8"/>
      <c r="I274" s="9"/>
      <c r="J274" s="94"/>
      <c r="K274" s="94"/>
    </row>
    <row r="275" spans="1:11" ht="14.45">
      <c r="A275" s="8"/>
      <c r="B275" s="13"/>
      <c r="C275" s="8"/>
      <c r="D275" s="8"/>
      <c r="E275" s="8"/>
      <c r="F275" s="9"/>
      <c r="G275" s="8"/>
      <c r="H275" s="8"/>
      <c r="I275" s="9"/>
      <c r="J275" s="94"/>
      <c r="K275" s="94"/>
    </row>
    <row r="276" spans="1:11" ht="14.45">
      <c r="A276" s="8"/>
      <c r="B276" s="13"/>
      <c r="C276" s="8"/>
      <c r="D276" s="8"/>
      <c r="E276" s="8"/>
      <c r="F276" s="9"/>
      <c r="G276" s="8"/>
      <c r="H276" s="8"/>
      <c r="I276" s="9"/>
      <c r="J276" s="94"/>
      <c r="K276" s="94"/>
    </row>
    <row r="277" spans="1:11" ht="14.45">
      <c r="A277" s="8"/>
      <c r="B277" s="13"/>
      <c r="C277" s="8"/>
      <c r="D277" s="8"/>
      <c r="E277" s="8"/>
      <c r="F277" s="9"/>
      <c r="G277" s="8"/>
      <c r="H277" s="8"/>
      <c r="I277" s="9"/>
      <c r="J277" s="94"/>
      <c r="K277" s="94"/>
    </row>
    <row r="278" spans="1:11" ht="14.45">
      <c r="A278" s="8"/>
      <c r="B278" s="13"/>
      <c r="C278" s="8"/>
      <c r="D278" s="8"/>
      <c r="E278" s="8"/>
      <c r="F278" s="9"/>
      <c r="G278" s="8"/>
      <c r="H278" s="8"/>
      <c r="I278" s="9"/>
      <c r="J278" s="94"/>
      <c r="K278" s="94"/>
    </row>
    <row r="279" spans="1:11" ht="14.45">
      <c r="A279" s="8"/>
      <c r="B279" s="13"/>
      <c r="C279" s="8"/>
      <c r="D279" s="8"/>
      <c r="E279" s="8"/>
      <c r="F279" s="9"/>
      <c r="G279" s="8"/>
      <c r="H279" s="8"/>
      <c r="I279" s="9"/>
      <c r="J279" s="94"/>
      <c r="K279" s="94"/>
    </row>
    <row r="280" spans="1:11" ht="14.45">
      <c r="A280" s="8"/>
      <c r="B280" s="13"/>
      <c r="C280" s="8"/>
      <c r="D280" s="8"/>
      <c r="E280" s="8"/>
      <c r="F280" s="9"/>
      <c r="G280" s="8"/>
      <c r="H280" s="8"/>
      <c r="I280" s="9"/>
      <c r="J280" s="94"/>
      <c r="K280" s="94"/>
    </row>
    <row r="281" spans="1:11" ht="14.45">
      <c r="A281" s="8"/>
      <c r="B281" s="13"/>
      <c r="C281" s="8"/>
      <c r="D281" s="8"/>
      <c r="E281" s="8"/>
      <c r="F281" s="9"/>
      <c r="G281" s="8"/>
      <c r="H281" s="8"/>
      <c r="I281" s="9"/>
      <c r="J281" s="94"/>
      <c r="K281" s="94"/>
    </row>
    <row r="282" spans="1:11" ht="14.45">
      <c r="A282" s="8"/>
      <c r="B282" s="13"/>
      <c r="C282" s="8"/>
      <c r="D282" s="8"/>
      <c r="E282" s="8"/>
      <c r="F282" s="9"/>
      <c r="G282" s="8"/>
      <c r="H282" s="8"/>
      <c r="I282" s="9"/>
      <c r="J282" s="94"/>
      <c r="K282" s="94"/>
    </row>
    <row r="283" spans="1:11" ht="14.45">
      <c r="A283" s="8"/>
      <c r="B283" s="13"/>
      <c r="C283" s="8"/>
      <c r="D283" s="8"/>
      <c r="E283" s="8"/>
      <c r="F283" s="9"/>
      <c r="G283" s="8"/>
      <c r="H283" s="8"/>
      <c r="I283" s="9"/>
      <c r="J283" s="94"/>
      <c r="K283" s="94"/>
    </row>
    <row r="284" spans="1:11" ht="14.45">
      <c r="A284" s="8"/>
      <c r="B284" s="13"/>
      <c r="C284" s="8"/>
      <c r="D284" s="8"/>
      <c r="E284" s="8"/>
      <c r="F284" s="9"/>
      <c r="G284" s="8"/>
      <c r="H284" s="8"/>
      <c r="I284" s="9"/>
      <c r="J284" s="94"/>
      <c r="K284" s="94"/>
    </row>
    <row r="285" spans="1:11" ht="14.45">
      <c r="A285" s="8"/>
      <c r="B285" s="13"/>
      <c r="C285" s="8"/>
      <c r="D285" s="8"/>
      <c r="E285" s="8"/>
      <c r="F285" s="9"/>
      <c r="G285" s="8"/>
      <c r="H285" s="8"/>
      <c r="I285" s="9"/>
      <c r="J285" s="94"/>
      <c r="K285" s="94"/>
    </row>
    <row r="286" spans="1:11" ht="14.45">
      <c r="A286" s="8"/>
      <c r="B286" s="13"/>
      <c r="C286" s="8"/>
      <c r="D286" s="8"/>
      <c r="E286" s="8"/>
      <c r="F286" s="9"/>
      <c r="G286" s="8"/>
      <c r="H286" s="8"/>
      <c r="I286" s="9"/>
      <c r="J286" s="94"/>
      <c r="K286" s="94"/>
    </row>
    <row r="287" spans="1:11" ht="14.45">
      <c r="A287" s="8"/>
      <c r="B287" s="13"/>
      <c r="C287" s="8"/>
      <c r="D287" s="8"/>
      <c r="E287" s="8"/>
      <c r="F287" s="9"/>
      <c r="G287" s="8"/>
      <c r="H287" s="8"/>
      <c r="I287" s="9"/>
      <c r="J287" s="94"/>
      <c r="K287" s="94"/>
    </row>
    <row r="288" spans="1:11" ht="14.45">
      <c r="A288" s="8"/>
      <c r="B288" s="13"/>
      <c r="C288" s="8"/>
      <c r="D288" s="8"/>
      <c r="E288" s="8"/>
      <c r="F288" s="9"/>
      <c r="G288" s="8"/>
      <c r="H288" s="8"/>
      <c r="I288" s="9"/>
      <c r="J288" s="94"/>
      <c r="K288" s="94"/>
    </row>
    <row r="289" spans="1:11" ht="14.45">
      <c r="A289" s="8"/>
      <c r="B289" s="13"/>
      <c r="C289" s="8"/>
      <c r="D289" s="8"/>
      <c r="E289" s="8"/>
      <c r="F289" s="9"/>
      <c r="G289" s="8"/>
      <c r="H289" s="8"/>
      <c r="I289" s="9"/>
      <c r="J289" s="94"/>
      <c r="K289" s="94"/>
    </row>
    <row r="290" spans="1:11" ht="14.45">
      <c r="A290" s="8"/>
      <c r="B290" s="13"/>
      <c r="C290" s="8"/>
      <c r="D290" s="8"/>
      <c r="E290" s="8"/>
      <c r="F290" s="9"/>
      <c r="G290" s="8"/>
      <c r="H290" s="8"/>
      <c r="I290" s="9"/>
      <c r="J290" s="94"/>
      <c r="K290" s="94"/>
    </row>
    <row r="291" spans="1:11" ht="14.45">
      <c r="A291" s="8"/>
      <c r="B291" s="13"/>
      <c r="C291" s="8"/>
      <c r="D291" s="8"/>
      <c r="E291" s="8"/>
      <c r="F291" s="9"/>
      <c r="G291" s="8"/>
      <c r="H291" s="8"/>
      <c r="I291" s="9"/>
      <c r="J291" s="94"/>
      <c r="K291" s="94"/>
    </row>
    <row r="292" spans="1:11" ht="14.45">
      <c r="A292" s="8"/>
      <c r="B292" s="13"/>
      <c r="C292" s="8"/>
      <c r="D292" s="8"/>
      <c r="E292" s="8"/>
      <c r="F292" s="9"/>
      <c r="G292" s="8"/>
      <c r="H292" s="8"/>
      <c r="I292" s="9"/>
      <c r="J292" s="94"/>
      <c r="K292" s="94"/>
    </row>
    <row r="293" spans="1:11" ht="14.45">
      <c r="A293" s="8"/>
      <c r="B293" s="13"/>
      <c r="C293" s="8"/>
      <c r="D293" s="8"/>
      <c r="E293" s="8"/>
      <c r="F293" s="9"/>
      <c r="G293" s="8"/>
      <c r="H293" s="8"/>
      <c r="I293" s="9"/>
      <c r="J293" s="94"/>
      <c r="K293" s="94"/>
    </row>
    <row r="294" spans="1:11" ht="14.45">
      <c r="A294" s="8"/>
      <c r="B294" s="13"/>
      <c r="C294" s="8"/>
      <c r="D294" s="8"/>
      <c r="E294" s="8"/>
      <c r="F294" s="9"/>
      <c r="G294" s="8"/>
      <c r="H294" s="8"/>
      <c r="I294" s="9"/>
      <c r="J294" s="94"/>
      <c r="K294" s="94"/>
    </row>
    <row r="295" spans="1:11" ht="14.45">
      <c r="A295" s="8"/>
      <c r="B295" s="13"/>
      <c r="C295" s="8"/>
      <c r="D295" s="8"/>
      <c r="E295" s="8"/>
      <c r="F295" s="9"/>
      <c r="G295" s="8"/>
      <c r="H295" s="8"/>
      <c r="I295" s="9"/>
      <c r="J295" s="94"/>
      <c r="K295" s="94"/>
    </row>
    <row r="296" spans="1:11" ht="14.45">
      <c r="A296" s="8"/>
      <c r="B296" s="13"/>
      <c r="C296" s="8"/>
      <c r="D296" s="8"/>
      <c r="E296" s="8"/>
      <c r="F296" s="9"/>
      <c r="G296" s="8"/>
      <c r="H296" s="8"/>
      <c r="I296" s="9"/>
      <c r="J296" s="94"/>
      <c r="K296" s="94"/>
    </row>
    <row r="297" spans="1:11" ht="14.45">
      <c r="A297" s="8"/>
      <c r="B297" s="13"/>
      <c r="C297" s="8"/>
      <c r="D297" s="8"/>
      <c r="E297" s="8"/>
      <c r="F297" s="9"/>
      <c r="G297" s="8"/>
      <c r="H297" s="8"/>
      <c r="I297" s="9"/>
      <c r="J297" s="94"/>
      <c r="K297" s="94"/>
    </row>
    <row r="298" spans="1:11" ht="14.45">
      <c r="A298" s="8"/>
      <c r="B298" s="13"/>
      <c r="C298" s="8"/>
      <c r="D298" s="8"/>
      <c r="E298" s="8"/>
      <c r="F298" s="9"/>
      <c r="G298" s="8"/>
      <c r="H298" s="8"/>
      <c r="I298" s="9"/>
      <c r="J298" s="94"/>
      <c r="K298" s="94"/>
    </row>
    <row r="299" spans="1:11" ht="14.45">
      <c r="A299" s="8"/>
      <c r="B299" s="13"/>
      <c r="C299" s="8"/>
      <c r="D299" s="8"/>
      <c r="E299" s="8"/>
      <c r="F299" s="9"/>
      <c r="G299" s="8"/>
      <c r="H299" s="8"/>
      <c r="I299" s="9"/>
      <c r="J299" s="94"/>
      <c r="K299" s="94"/>
    </row>
    <row r="300" spans="1:11" ht="14.45">
      <c r="A300" s="8"/>
      <c r="B300" s="13"/>
      <c r="C300" s="8"/>
      <c r="D300" s="8"/>
      <c r="E300" s="8"/>
      <c r="F300" s="9"/>
      <c r="G300" s="8"/>
      <c r="H300" s="8"/>
      <c r="I300" s="9"/>
      <c r="J300" s="94"/>
      <c r="K300" s="94"/>
    </row>
    <row r="301" spans="1:11" ht="14.45">
      <c r="A301" s="8"/>
      <c r="B301" s="13"/>
      <c r="C301" s="8"/>
      <c r="D301" s="8"/>
      <c r="E301" s="8"/>
      <c r="F301" s="9"/>
      <c r="G301" s="8"/>
      <c r="H301" s="8"/>
      <c r="I301" s="9"/>
      <c r="J301" s="94"/>
      <c r="K301" s="94"/>
    </row>
    <row r="302" spans="1:11" ht="14.45">
      <c r="A302" s="8"/>
      <c r="B302" s="13"/>
      <c r="C302" s="8"/>
      <c r="D302" s="8"/>
      <c r="E302" s="8"/>
      <c r="F302" s="9"/>
      <c r="G302" s="8"/>
      <c r="H302" s="8"/>
      <c r="I302" s="9"/>
      <c r="J302" s="94"/>
      <c r="K302" s="94"/>
    </row>
    <row r="303" spans="1:11" ht="14.45">
      <c r="A303" s="8"/>
      <c r="B303" s="13"/>
      <c r="C303" s="8"/>
      <c r="D303" s="8"/>
      <c r="E303" s="8"/>
      <c r="F303" s="9"/>
      <c r="G303" s="8"/>
      <c r="H303" s="8"/>
      <c r="I303" s="9"/>
      <c r="J303" s="94"/>
      <c r="K303" s="94"/>
    </row>
    <row r="304" spans="1:11" ht="14.45">
      <c r="A304" s="8"/>
      <c r="B304" s="13"/>
      <c r="C304" s="8"/>
      <c r="D304" s="8"/>
      <c r="E304" s="8"/>
      <c r="F304" s="9"/>
      <c r="G304" s="8"/>
      <c r="H304" s="8"/>
      <c r="I304" s="9"/>
      <c r="J304" s="94"/>
      <c r="K304" s="94"/>
    </row>
    <row r="305" spans="1:11" ht="14.45">
      <c r="A305" s="8"/>
      <c r="B305" s="13"/>
      <c r="C305" s="8"/>
      <c r="D305" s="8"/>
      <c r="E305" s="8"/>
      <c r="F305" s="9"/>
      <c r="G305" s="8"/>
      <c r="H305" s="8"/>
      <c r="I305" s="9"/>
      <c r="J305" s="94"/>
      <c r="K305" s="94"/>
    </row>
    <row r="306" spans="1:11" ht="14.45">
      <c r="A306" s="8"/>
      <c r="B306" s="13"/>
      <c r="C306" s="8"/>
      <c r="D306" s="8"/>
      <c r="E306" s="8"/>
      <c r="F306" s="9"/>
      <c r="G306" s="8"/>
      <c r="H306" s="8"/>
      <c r="I306" s="9"/>
      <c r="J306" s="94"/>
      <c r="K306" s="94"/>
    </row>
    <row r="307" spans="1:11" ht="14.45">
      <c r="A307" s="8"/>
      <c r="B307" s="13"/>
      <c r="C307" s="8"/>
      <c r="D307" s="8"/>
      <c r="E307" s="8"/>
      <c r="F307" s="9"/>
      <c r="G307" s="8"/>
      <c r="H307" s="8"/>
      <c r="I307" s="9"/>
      <c r="J307" s="94"/>
      <c r="K307" s="94"/>
    </row>
    <row r="308" spans="1:11" ht="14.45">
      <c r="A308" s="8"/>
      <c r="B308" s="13"/>
      <c r="C308" s="8"/>
      <c r="D308" s="8"/>
      <c r="E308" s="8"/>
      <c r="F308" s="9"/>
      <c r="G308" s="8"/>
      <c r="H308" s="8"/>
      <c r="I308" s="9"/>
      <c r="J308" s="94"/>
      <c r="K308" s="94"/>
    </row>
    <row r="309" spans="1:11" ht="14.45">
      <c r="A309" s="8"/>
      <c r="B309" s="13"/>
      <c r="C309" s="8"/>
      <c r="D309" s="8"/>
      <c r="E309" s="8"/>
      <c r="F309" s="9"/>
      <c r="G309" s="8"/>
      <c r="H309" s="8"/>
      <c r="I309" s="9"/>
      <c r="J309" s="94"/>
      <c r="K309" s="94"/>
    </row>
    <row r="310" spans="1:11" ht="14.45">
      <c r="A310" s="8"/>
      <c r="B310" s="13"/>
      <c r="C310" s="8"/>
      <c r="D310" s="8"/>
      <c r="E310" s="8"/>
      <c r="F310" s="9"/>
      <c r="G310" s="8"/>
      <c r="H310" s="8"/>
      <c r="I310" s="9"/>
      <c r="J310" s="94"/>
      <c r="K310" s="94"/>
    </row>
    <row r="311" spans="1:11" ht="14.45">
      <c r="A311" s="8"/>
      <c r="B311" s="13"/>
      <c r="C311" s="8"/>
      <c r="D311" s="8"/>
      <c r="E311" s="8"/>
      <c r="F311" s="9"/>
      <c r="G311" s="8"/>
      <c r="H311" s="8"/>
      <c r="I311" s="9"/>
      <c r="J311" s="94"/>
      <c r="K311" s="94"/>
    </row>
    <row r="312" spans="1:11" ht="14.45">
      <c r="A312" s="8"/>
      <c r="B312" s="13"/>
      <c r="C312" s="8"/>
      <c r="D312" s="8"/>
      <c r="E312" s="8"/>
      <c r="F312" s="9"/>
      <c r="G312" s="8"/>
      <c r="H312" s="8"/>
      <c r="I312" s="9"/>
      <c r="J312" s="94"/>
      <c r="K312" s="94"/>
    </row>
    <row r="313" spans="1:11" ht="14.45">
      <c r="A313" s="8"/>
      <c r="B313" s="13"/>
      <c r="C313" s="8"/>
      <c r="D313" s="8"/>
      <c r="E313" s="8"/>
      <c r="F313" s="9"/>
      <c r="G313" s="8"/>
      <c r="H313" s="8"/>
      <c r="I313" s="9"/>
      <c r="J313" s="94"/>
      <c r="K313" s="94"/>
    </row>
    <row r="314" spans="1:11" ht="14.45">
      <c r="A314" s="8"/>
      <c r="B314" s="13"/>
      <c r="C314" s="8"/>
      <c r="D314" s="8"/>
      <c r="E314" s="8"/>
      <c r="F314" s="9"/>
      <c r="G314" s="8"/>
      <c r="H314" s="8"/>
      <c r="I314" s="9"/>
      <c r="J314" s="94"/>
      <c r="K314" s="94"/>
    </row>
    <row r="315" spans="1:11" ht="14.45">
      <c r="A315" s="8"/>
      <c r="B315" s="13"/>
      <c r="C315" s="8"/>
      <c r="D315" s="8"/>
      <c r="E315" s="8"/>
      <c r="F315" s="9"/>
      <c r="G315" s="8"/>
      <c r="H315" s="8"/>
      <c r="I315" s="9"/>
      <c r="J315" s="94"/>
      <c r="K315" s="94"/>
    </row>
    <row r="316" spans="1:11" ht="14.45">
      <c r="A316" s="8"/>
      <c r="B316" s="13"/>
      <c r="C316" s="8"/>
      <c r="D316" s="8"/>
      <c r="E316" s="8"/>
      <c r="F316" s="9"/>
      <c r="G316" s="8"/>
      <c r="H316" s="8"/>
      <c r="I316" s="9"/>
      <c r="J316" s="94"/>
      <c r="K316" s="94"/>
    </row>
    <row r="317" spans="1:11" ht="14.45">
      <c r="A317" s="8"/>
      <c r="B317" s="13"/>
      <c r="C317" s="8"/>
      <c r="D317" s="8"/>
      <c r="E317" s="8"/>
      <c r="F317" s="9"/>
      <c r="G317" s="8"/>
      <c r="H317" s="8"/>
      <c r="I317" s="9"/>
      <c r="J317" s="94"/>
      <c r="K317" s="94"/>
    </row>
    <row r="318" spans="1:11" ht="14.45">
      <c r="A318" s="8"/>
      <c r="B318" s="13"/>
      <c r="C318" s="8"/>
      <c r="D318" s="8"/>
      <c r="E318" s="8"/>
      <c r="F318" s="9"/>
      <c r="G318" s="8"/>
      <c r="H318" s="8"/>
      <c r="I318" s="9"/>
      <c r="J318" s="94"/>
      <c r="K318" s="94"/>
    </row>
    <row r="319" spans="1:11" ht="14.45">
      <c r="A319" s="8"/>
      <c r="B319" s="13"/>
      <c r="C319" s="8"/>
      <c r="D319" s="8"/>
      <c r="E319" s="8"/>
      <c r="F319" s="9"/>
      <c r="G319" s="8"/>
      <c r="H319" s="8"/>
      <c r="I319" s="9"/>
      <c r="J319" s="94"/>
      <c r="K319" s="94"/>
    </row>
    <row r="320" spans="1:11" ht="14.45">
      <c r="A320" s="8"/>
      <c r="B320" s="13"/>
      <c r="C320" s="8"/>
      <c r="D320" s="8"/>
      <c r="E320" s="8"/>
      <c r="F320" s="9"/>
      <c r="G320" s="8"/>
      <c r="H320" s="8"/>
      <c r="I320" s="9"/>
      <c r="J320" s="94"/>
      <c r="K320" s="94"/>
    </row>
    <row r="321" spans="1:11" ht="14.45">
      <c r="A321" s="8"/>
      <c r="B321" s="13"/>
      <c r="C321" s="8"/>
      <c r="D321" s="8"/>
      <c r="E321" s="8"/>
      <c r="F321" s="9"/>
      <c r="G321" s="8"/>
      <c r="H321" s="8"/>
      <c r="I321" s="9"/>
      <c r="J321" s="94"/>
      <c r="K321" s="94"/>
    </row>
    <row r="322" spans="1:11" ht="14.45">
      <c r="A322" s="8"/>
      <c r="B322" s="13"/>
      <c r="C322" s="8"/>
      <c r="D322" s="8"/>
      <c r="E322" s="8"/>
      <c r="F322" s="9"/>
      <c r="G322" s="8"/>
      <c r="H322" s="8"/>
      <c r="I322" s="9"/>
      <c r="J322" s="94"/>
      <c r="K322" s="94"/>
    </row>
    <row r="323" spans="1:11" ht="14.45">
      <c r="A323" s="8"/>
      <c r="B323" s="13"/>
      <c r="C323" s="8"/>
      <c r="D323" s="8"/>
      <c r="E323" s="8"/>
      <c r="F323" s="9"/>
      <c r="G323" s="8"/>
      <c r="H323" s="8"/>
      <c r="I323" s="9"/>
      <c r="J323" s="94"/>
      <c r="K323" s="94"/>
    </row>
    <row r="324" spans="1:11" ht="14.45">
      <c r="A324" s="8"/>
      <c r="B324" s="13"/>
      <c r="C324" s="8"/>
      <c r="D324" s="8"/>
      <c r="E324" s="8"/>
      <c r="F324" s="9"/>
      <c r="G324" s="8"/>
      <c r="H324" s="8"/>
      <c r="I324" s="9"/>
      <c r="J324" s="94"/>
      <c r="K324" s="94"/>
    </row>
    <row r="325" spans="1:11" ht="14.45">
      <c r="A325" s="8"/>
      <c r="B325" s="13"/>
      <c r="C325" s="8"/>
      <c r="D325" s="8"/>
      <c r="E325" s="8"/>
      <c r="F325" s="9"/>
      <c r="G325" s="8"/>
      <c r="H325" s="8"/>
      <c r="I325" s="9"/>
      <c r="J325" s="94"/>
      <c r="K325" s="94"/>
    </row>
    <row r="326" spans="1:11" ht="14.45">
      <c r="C326" s="8"/>
      <c r="D326" s="8"/>
      <c r="E326" s="8"/>
      <c r="F326" s="9"/>
      <c r="G326" s="8"/>
      <c r="H326" s="8"/>
      <c r="I326" s="9"/>
      <c r="J326" s="94"/>
      <c r="K326" s="94"/>
    </row>
  </sheetData>
  <mergeCells count="4">
    <mergeCell ref="G1:I1"/>
    <mergeCell ref="A1:C1"/>
    <mergeCell ref="D1:F1"/>
    <mergeCell ref="A2:B2"/>
  </mergeCells>
  <conditionalFormatting sqref="F2 I2 F4:F85 I4:I85">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099290" xr:uid="{51D8C978-0F0E-4B0B-A28D-EC8E4CDFDA9B}"/>
    <hyperlink ref="K5" r:id="rId2" display="https://us3.assetplanner.com/service_request?ID=107271" xr:uid="{47B3A938-C46C-46E3-83A5-CEFB6FF4F440}"/>
    <hyperlink ref="L5" r:id="rId3" display="https://us3.assetplanner.com/service_request?ID=105924" xr:uid="{F47482B0-638B-4713-B158-F9CFB133F414}"/>
    <hyperlink ref="M5" r:id="rId4" display="https://us3.assetplanner.com/service_request?ID=101243" xr:uid="{01276DC5-8CDF-4E3B-8B93-CE21C1EA13BE}"/>
    <hyperlink ref="N5" r:id="rId5" display="https://us3.assetplanner.com/service_request?ID=105658" xr:uid="{9E070A6A-04BE-43A2-ADD5-C76A44B57F60}"/>
    <hyperlink ref="O5" r:id="rId6" display="https://us3.assetplanner.com/service_request?ID=107520" xr:uid="{5885C7D1-AED7-4460-8303-AE45506B408C}"/>
    <hyperlink ref="P5" r:id="rId7" display="https://us3.assetplanner.com/service_request?ID=104647" xr:uid="{D56365B5-8937-494B-B852-8917D3955BDE}"/>
    <hyperlink ref="Q5" r:id="rId8" display="https://us3.assetplanner.com/service_request?ID=101245" xr:uid="{4B898420-17A3-432D-A761-416312CB4FBE}"/>
    <hyperlink ref="K7" r:id="rId9" display="https://us3.assetplanner.com/service_request?ID=096262" xr:uid="{4AF5E429-D6F9-445B-A1FF-DEDE39EA91D3}"/>
    <hyperlink ref="L7" r:id="rId10" display="https://us3.assetplanner.com/service_request?ID=099066" xr:uid="{DE1EB812-C9A6-4EE8-98F0-6179071A9329}"/>
    <hyperlink ref="K8" r:id="rId11" display="https://us3.assetplanner.com/service_request?ID=098870" xr:uid="{10A8D8AB-1D6E-4785-9EC1-BD733ED4B354}"/>
    <hyperlink ref="L8" r:id="rId12" display="https://us3.assetplanner.com/service_request?ID=099461" xr:uid="{9E125D70-2F85-45D4-9217-44D2D580FA05}"/>
    <hyperlink ref="M8" r:id="rId13" display="https://us3.assetplanner.com/service_request?ID=107058" xr:uid="{0EF0D0FD-76C6-43ED-9455-7950E01E9292}"/>
    <hyperlink ref="K9" r:id="rId14" display="https://us3.assetplanner.com/service_request?ID=104023" xr:uid="{D2CC42DE-3B16-498D-9A0A-81902586E376}"/>
    <hyperlink ref="L9" r:id="rId15" display="https://us3.assetplanner.com/service_request?ID=104137" xr:uid="{583A529E-B229-4B70-B582-082E9E610D12}"/>
    <hyperlink ref="M9" r:id="rId16" display="https://us3.assetplanner.com/service_request?ID=105956" xr:uid="{145F70DD-B939-4DC4-B303-71B38CB873E7}"/>
    <hyperlink ref="K11" r:id="rId17" display="https://us3.assetplanner.com/service_request?ID=108214" xr:uid="{4313E8A2-C4D9-4CE4-8749-15218F501D3B}"/>
    <hyperlink ref="L11" r:id="rId18" display="https://us3.assetplanner.com/service_request?ID=100417" xr:uid="{6C8A7EFA-7C1D-49F8-8665-34EE6D6CC4A8}"/>
    <hyperlink ref="K12" r:id="rId19" display="https://us3.assetplanner.com/service_request?ID=102209" xr:uid="{02963459-77A7-4194-B9E7-F85599D79EB7}"/>
    <hyperlink ref="K13" r:id="rId20" display="https://us3.assetplanner.com/service_request?ID=103184" xr:uid="{E52AB85E-89D8-466F-A1ED-F92469B77F98}"/>
    <hyperlink ref="L13" r:id="rId21" display="https://us3.assetplanner.com/service_request?ID=105959" xr:uid="{12F9A76B-043A-4264-9FD6-0D2C5E063C9A}"/>
    <hyperlink ref="K14" r:id="rId22" display="https://us3.assetplanner.com/service_request?ID=103740" xr:uid="{87E81CC8-4E80-4C55-9DDF-E329CDA4B588}"/>
    <hyperlink ref="L14" r:id="rId23" display="https://us3.assetplanner.com/service_request?ID=106599" xr:uid="{6E81E73A-934C-453E-91B8-B58AEA80D299}"/>
    <hyperlink ref="M14" r:id="rId24" display="https://us3.assetplanner.com/service_request?ID=107545" xr:uid="{357B21D6-BF99-4F60-A97A-ECD8FE4D3B1B}"/>
    <hyperlink ref="N14" r:id="rId25" display="https://us3.assetplanner.com/service_request?ID=107872" xr:uid="{F9D36107-D5C2-4F6A-A33D-661AE6B0E9BF}"/>
    <hyperlink ref="K15" r:id="rId26" display="https://us3.assetplanner.com/service_request?ID=106946" xr:uid="{7DC8AFEE-FBB9-4173-A0E4-F8E3D35C5614}"/>
    <hyperlink ref="L15" r:id="rId27" display="https://us3.assetplanner.com/service_request?ID=107211" xr:uid="{25F04F93-6F63-4B01-BDA9-6CD1CF7DE96A}"/>
    <hyperlink ref="M15" r:id="rId28" display="https://us3.assetplanner.com/service_request?ID=108008" xr:uid="{E1EE0371-C8C9-4D7F-A364-81B00763F75F}"/>
    <hyperlink ref="N15" r:id="rId29" display="https://us3.assetplanner.com/service_request?ID=107587" xr:uid="{48840663-0447-43B7-962F-41217ACAB4B4}"/>
    <hyperlink ref="K16" r:id="rId30" display="https://us3.assetplanner.com/service_request?ID=103239" xr:uid="{9B6E4524-DBCC-45CB-AF5C-9626DC9CBED5}"/>
    <hyperlink ref="L16" r:id="rId31" display="https://us3.assetplanner.com/service_request?ID=108311" xr:uid="{E2B2A723-F8BC-4ECD-94C2-5350CF2F77BE}"/>
    <hyperlink ref="K17" r:id="rId32" display="https://us3.assetplanner.com/service_request?ID=103048" xr:uid="{9E334C8A-A8A9-40CC-90BF-694E1891DF3A}"/>
    <hyperlink ref="K18" r:id="rId33" display="https://us3.assetplanner.com/service_request?ID=103686" xr:uid="{4E6C965B-C46C-4FDA-BE52-00D2758BC968}"/>
    <hyperlink ref="L18" r:id="rId34" display="https://us3.assetplanner.com/service_request?ID=107476" xr:uid="{35EBFFD9-115A-4922-B010-6E6C5A984DED}"/>
    <hyperlink ref="K19" r:id="rId35" display="https://us3.assetplanner.com/service_request?ID=099730" xr:uid="{0001913B-D92C-4DBF-B921-F1C435A760FF}"/>
    <hyperlink ref="L19" r:id="rId36" display="https://us3.assetplanner.com/service_request?ID=106719" xr:uid="{9362C09C-5A63-442B-832E-859AB1526B11}"/>
    <hyperlink ref="M19" r:id="rId37" display="https://us3.assetplanner.com/service_request?ID=104823" xr:uid="{D4855EC5-8031-4B3A-BFDD-B6A86CD4FDAD}"/>
    <hyperlink ref="N19" r:id="rId38" display="https://us3.assetplanner.com/service_request?ID=104824" xr:uid="{EBADBBCD-F4A2-440A-BF03-A654D5A7B69A}"/>
    <hyperlink ref="O19" r:id="rId39" display="https://us3.assetplanner.com/service_request?ID=104825" xr:uid="{856538DD-2046-4F73-B925-991DBD4CAA13}"/>
    <hyperlink ref="P19" r:id="rId40" display="https://us3.assetplanner.com/service_request?ID=104826" xr:uid="{9C181737-2161-4DF7-BFB8-08C870C3DFD5}"/>
    <hyperlink ref="Q19" r:id="rId41" display="https://us3.assetplanner.com/service_request?ID=104828" xr:uid="{91BE608C-2AFF-4B8E-8605-9D04E171A6F1}"/>
    <hyperlink ref="R19" r:id="rId42" display="https://us3.assetplanner.com/service_request?ID=104827" xr:uid="{6287099D-3779-4243-AC84-1FCFAE286730}"/>
    <hyperlink ref="S19" r:id="rId43" display="https://us3.assetplanner.com/service_request?ID=104829" xr:uid="{F3CF8B40-89BB-4339-9BCB-E1FC31330082}"/>
    <hyperlink ref="T19" r:id="rId44" display="https://us3.assetplanner.com/service_request?ID=104831" xr:uid="{7E3D6DEE-C0A6-4CD3-880E-35A965D5121A}"/>
    <hyperlink ref="U19" r:id="rId45" display="https://us3.assetplanner.com/service_request?ID=104832" xr:uid="{D70222F4-C26F-4E17-B576-DF99123EB958}"/>
    <hyperlink ref="V19" r:id="rId46" display="https://us3.assetplanner.com/service_request?ID=107791" xr:uid="{3DBD83D4-12EC-4C3B-B633-321DA120162E}"/>
    <hyperlink ref="K20" r:id="rId47" display="https://us3.assetplanner.com/service_request?ID=103950" xr:uid="{32F5BA34-FD8F-4697-8D40-59ACB5F1163A}"/>
    <hyperlink ref="K21" r:id="rId48" display="https://us3.assetplanner.com/service_request?ID=106483" xr:uid="{1C1AAB3E-E5B7-4242-AFBA-85E93DF339A8}"/>
    <hyperlink ref="L21" r:id="rId49" display="https://us3.assetplanner.com/service_request?ID=098016" xr:uid="{30380F34-B99B-494E-A291-1D4B8399AB46}"/>
    <hyperlink ref="M21" r:id="rId50" display="https://us3.assetplanner.com/service_request?ID=106514" xr:uid="{202A8CF0-D554-4A4E-9D25-35FB85BD1487}"/>
    <hyperlink ref="N21" r:id="rId51" display="https://us3.assetplanner.com/service_request?ID=106806" xr:uid="{C0C7A7F0-5F2C-4D3D-9D9B-7781C4EFF5A3}"/>
    <hyperlink ref="O21" r:id="rId52" display="https://us3.assetplanner.com/service_request?ID=108422" xr:uid="{7AAD357F-2560-4191-83E8-7C23AB6A9238}"/>
    <hyperlink ref="K22" r:id="rId53" display="https://us3.assetplanner.com/service_request?ID=103914" xr:uid="{FB56CF47-980A-4CBF-81A9-6E44C2593AF7}"/>
    <hyperlink ref="K25" r:id="rId54" display="https://us3.assetplanner.com/service_request?ID=104192" xr:uid="{B2FDEBE0-36F9-41EE-84D5-2A010E2F9744}"/>
    <hyperlink ref="L25" r:id="rId55" display="https://us3.assetplanner.com/service_request?ID=102794" xr:uid="{46B1DFA9-215A-4AC8-8EB9-06A5169BC8A3}"/>
    <hyperlink ref="M25" r:id="rId56" display="https://us3.assetplanner.com/service_request?ID=105489" xr:uid="{610FD4D3-8670-4A70-BBD1-0BDA62AF6FAE}"/>
    <hyperlink ref="N25" r:id="rId57" display="https://us3.assetplanner.com/service_request?ID=107586" xr:uid="{3CF03204-9832-4666-AE9E-487B3D5AC001}"/>
    <hyperlink ref="O25" r:id="rId58" display="https://us3.assetplanner.com/service_request?ID=108491" xr:uid="{E40D1275-E3C8-4D61-B039-01FF6BAFA0A0}"/>
    <hyperlink ref="K26" r:id="rId59" display="https://us3.assetplanner.com/service_request?ID=108496" xr:uid="{D6672B3A-7016-44C4-9364-AFEE6D914514}"/>
    <hyperlink ref="K31" r:id="rId60" display="https://us3.assetplanner.com/service_request?ID=105973" xr:uid="{16D53489-F521-44F7-B6A9-0A9AA1E9894F}"/>
    <hyperlink ref="K33" r:id="rId61" display="https://us3.assetplanner.com/service_request?ID=102723" xr:uid="{ECB84706-0B1C-4DFA-B4A2-8CA76C8FD92F}"/>
    <hyperlink ref="L33" r:id="rId62" display="https://us3.assetplanner.com/service_request?ID=105641" xr:uid="{14E7E073-2C36-4FBE-9F59-FD9F71D56A97}"/>
    <hyperlink ref="K39" r:id="rId63" display="https://us3.assetplanner.com/service_request?ID=106082" xr:uid="{FE403869-B545-4BED-9ABC-4515787B7BF3}"/>
    <hyperlink ref="L39" r:id="rId64" display="https://us3.assetplanner.com/service_request?ID=100857" xr:uid="{415FD2C5-7748-47E7-ADEC-38047A49C2E2}"/>
    <hyperlink ref="K40" r:id="rId65" display="https://us3.assetplanner.com/service_request?ID=101963" xr:uid="{8EE88963-201A-4D83-9700-D924C5EA9463}"/>
    <hyperlink ref="K41" r:id="rId66" display="https://us3.assetplanner.com/service_request?ID=101818" xr:uid="{E5C8CDA9-45E6-4F7B-B09A-7F20C63C7C8A}"/>
    <hyperlink ref="L41" r:id="rId67" display="https://us3.assetplanner.com/service_request?ID=105928" xr:uid="{48E7E002-6152-4C06-A10A-7E9A03BA57A7}"/>
    <hyperlink ref="K42" r:id="rId68" display="https://us3.assetplanner.com/service_request?ID=101034" xr:uid="{0283A9F2-972C-4DF5-94C6-6EEB5E30DBF4}"/>
    <hyperlink ref="L42" r:id="rId69" display="https://us3.assetplanner.com/service_request?ID=103779" xr:uid="{58975179-DB0F-4856-A338-899509236DFE}"/>
    <hyperlink ref="M42" r:id="rId70" display="https://us3.assetplanner.com/service_request?ID=102621" xr:uid="{EEE2DDDA-0824-4744-86C3-CEACAB8C6189}"/>
    <hyperlink ref="K43" r:id="rId71" display="https://us3.assetplanner.com/service_request?ID=101021" xr:uid="{A53DDBEE-84D3-4EFE-9DE6-E3C974CC71B7}"/>
    <hyperlink ref="K44" r:id="rId72" display="https://us3.assetplanner.com/service_request?ID=100915" xr:uid="{34C0FAA5-7ABF-467E-8DE1-A0AB8DFCBAD0}"/>
    <hyperlink ref="K45" r:id="rId73" display="https://us3.assetplanner.com/service_request?ID=105366" xr:uid="{112BFE65-7EF0-4A93-B167-085E2FB2A8ED}"/>
    <hyperlink ref="L45" r:id="rId74" display="https://us3.assetplanner.com/service_request?ID=101100" xr:uid="{FA37D349-05F3-4EA2-B757-D784CC78F51F}"/>
    <hyperlink ref="M45" r:id="rId75" display="https://us3.assetplanner.com/service_request?ID=107802" xr:uid="{83CA22B5-69BB-4816-AD48-1718956E8D5F}"/>
    <hyperlink ref="K46" r:id="rId76" display="https://us3.assetplanner.com/service_request?ID=105192" xr:uid="{B34A6F2C-9037-4C16-926B-1170D40B9A33}"/>
    <hyperlink ref="L46" r:id="rId77" display="https://us3.assetplanner.com/service_request?ID=106435" xr:uid="{11750267-0D8F-4E26-AF98-E4E08EEB6C32}"/>
    <hyperlink ref="M46" r:id="rId78" display="https://us3.assetplanner.com/service_request?ID=106650" xr:uid="{009E8A79-E24D-446C-BD9D-9EFF51B167AE}"/>
    <hyperlink ref="K47" r:id="rId79" display="https://us3.assetplanner.com/service_request?ID=102419" xr:uid="{3BD3E4E0-1884-4992-8FD8-9FCB587FF264}"/>
    <hyperlink ref="L47" r:id="rId80" display="https://us3.assetplanner.com/service_request?ID=107209" xr:uid="{E357DCE8-E446-4D30-868A-66935CD90E27}"/>
    <hyperlink ref="K48" r:id="rId81" display="https://us3.assetplanner.com/service_request?ID=102283" xr:uid="{0EE7575C-8E6F-4140-B831-F77A86E6FDF7}"/>
    <hyperlink ref="L48" r:id="rId82" display="https://us3.assetplanner.com/service_request?ID=106774" xr:uid="{BCEC9E34-A58D-43E6-89BD-F9A5CDF1727F}"/>
    <hyperlink ref="K49" r:id="rId83" display="https://us3.assetplanner.com/service_request?ID=102418" xr:uid="{E67E6E21-E127-45A4-8D5B-991ED81FFB90}"/>
    <hyperlink ref="K50" r:id="rId84" display="https://us3.assetplanner.com/service_request?ID=102416" xr:uid="{A93E42DC-8E38-45EF-92E0-4FF742808200}"/>
    <hyperlink ref="K51" r:id="rId85" display="https://us3.assetplanner.com/service_request?ID=102392" xr:uid="{000DF17B-2131-4603-9E5B-53D2374E245F}"/>
    <hyperlink ref="K52" r:id="rId86" display="https://us3.assetplanner.com/service_request?ID=102321" xr:uid="{E4DEF1DF-74E8-46A1-8804-69DFD5FABEC8}"/>
    <hyperlink ref="L52" r:id="rId87" display="https://us3.assetplanner.com/service_request?ID=103636" xr:uid="{D638366A-42FF-4C29-AE9A-18BCCF80CF63}"/>
    <hyperlink ref="M52" r:id="rId88" display="https://us3.assetplanner.com/service_request?ID=102539" xr:uid="{BA05A7A7-7494-4BE7-8DDB-A1CF39A0DCA3}"/>
    <hyperlink ref="N52" r:id="rId89" display="https://us3.assetplanner.com/service_request?ID=104882" xr:uid="{DC9A5CF2-DE0A-4D5D-97A4-F8F0A697387A}"/>
    <hyperlink ref="K53" r:id="rId90" display="https://us3.assetplanner.com/service_request?ID=102320" xr:uid="{C65FD044-D64F-4521-B8FE-DAD84CE44A17}"/>
    <hyperlink ref="K54" r:id="rId91" display="https://us3.assetplanner.com/service_request?ID=102317" xr:uid="{3429E2F0-59E8-43E2-AE79-5C1880F1A4C6}"/>
    <hyperlink ref="K55" r:id="rId92" display="https://us3.assetplanner.com/service_request?ID=108297" xr:uid="{2E227340-4C74-4573-912D-DCD78C36E909}"/>
    <hyperlink ref="L55" r:id="rId93" display="https://us3.assetplanner.com/service_request?ID=108307" xr:uid="{0B666257-F31C-413F-BDF3-FFF725DD34F4}"/>
    <hyperlink ref="M55" r:id="rId94" display="https://us3.assetplanner.com/service_request?ID=108307" xr:uid="{AA5A96A2-B78D-4ECA-BBD0-1084E2E88F3F}"/>
    <hyperlink ref="K56" r:id="rId95" display="https://us3.assetplanner.com/service_request?ID=102886" xr:uid="{48FAAF64-E7C6-4F9A-A3AF-91E2A1870397}"/>
    <hyperlink ref="K57" r:id="rId96" display="https://us3.assetplanner.com/service_request?ID=102281" xr:uid="{0D628990-DE7A-4FD3-898F-328B912C3A0E}"/>
    <hyperlink ref="K59" r:id="rId97" display="https://us3.assetplanner.com/service_request?ID=101986" xr:uid="{50F22D66-76B9-4340-A1E2-F5D3AAF0DB81}"/>
    <hyperlink ref="K60" r:id="rId98" display="https://us3.assetplanner.com/service_request?ID=102451" xr:uid="{F5C62ADE-8E48-43BD-8849-578291F86402}"/>
    <hyperlink ref="K61" r:id="rId99" display="https://us3.assetplanner.com/service_request?ID=102321" xr:uid="{3D7B6F14-C57C-4F88-AAE6-FD71765817FE}"/>
    <hyperlink ref="L61" r:id="rId100" display="https://us3.assetplanner.com/service_request?ID=103636" xr:uid="{D7BEA66E-D81C-4895-9456-13196B915A7A}"/>
    <hyperlink ref="M61" r:id="rId101" display="https://us3.assetplanner.com/service_request?ID=102539" xr:uid="{6FFDCF9E-44CA-4E02-81C9-ADF02F064178}"/>
    <hyperlink ref="N61" r:id="rId102" display="https://us3.assetplanner.com/service_request?ID=104882" xr:uid="{03E87D10-6CAE-470F-8F17-C2D0E8EF1331}"/>
    <hyperlink ref="K62" r:id="rId103" display="https://us3.assetplanner.com/service_request?ID=102329" xr:uid="{FF042613-03F3-4040-986B-72A0933D26AD}"/>
    <hyperlink ref="L62" r:id="rId104" display="https://us3.assetplanner.com/service_request?ID=105139" xr:uid="{8A2D2056-B4AB-4D68-81F3-D721815FA32E}"/>
    <hyperlink ref="M62" r:id="rId105" display="https://us3.assetplanner.com/service_request?ID=105139" xr:uid="{017E8F52-0F12-4EB4-9ED9-5D38C83F2534}"/>
    <hyperlink ref="K63" r:id="rId106" display="https://us3.assetplanner.com/service_request?ID=102303" xr:uid="{D2842995-BA06-4D7C-BC06-02E064DBBC65}"/>
    <hyperlink ref="K64" r:id="rId107" display="https://us3.assetplanner.com/service_request?ID=102411" xr:uid="{FD32AAEC-58F4-4ADA-A5CE-5E4D72AD9D9C}"/>
    <hyperlink ref="K65" r:id="rId108" display="https://us3.assetplanner.com/service_request?ID=106531" xr:uid="{1C6B1B32-9245-4E63-BB79-EBF209D0F0A0}"/>
    <hyperlink ref="K66" r:id="rId109" display="https://us3.assetplanner.com/service_request?ID=108501" xr:uid="{9235AB8E-01FF-42F8-A7D9-94C2BCBC21DE}"/>
    <hyperlink ref="L66" r:id="rId110" display="https://us3.assetplanner.com/service_request?ID=107991" xr:uid="{FDAEF759-0787-41D7-BA1A-8C1804E18FC0}"/>
    <hyperlink ref="M66" r:id="rId111" display="https://us3.assetplanner.com/service_request?ID=102310" xr:uid="{29AFFE17-2E6F-4D35-96B0-6D4F8B932267}"/>
    <hyperlink ref="K67" r:id="rId112" display="https://us3.assetplanner.com/service_request?ID=104289" xr:uid="{D68BD9BF-D4EC-41AD-97FE-8FE431F00792}"/>
    <hyperlink ref="K68" r:id="rId113" display="https://us3.assetplanner.com/service_request?ID=102450" xr:uid="{A016E381-580B-4A7D-9050-4B4D2371951A}"/>
    <hyperlink ref="K69" r:id="rId114" display="https://us3.assetplanner.com/service_request?ID=102413" xr:uid="{3BDD1797-1798-4532-8C0D-F9A9CDEE47F5}"/>
    <hyperlink ref="K70" r:id="rId115" display="https://us3.assetplanner.com/service_request?ID=106842" xr:uid="{65B7CC57-CC41-42F4-A0EF-B4714EFB13DB}"/>
    <hyperlink ref="L70" r:id="rId116" display="https://us3.assetplanner.com/service_request?ID=102425" xr:uid="{BBF7F1FA-3E78-4AED-929C-85F8CE965DEA}"/>
    <hyperlink ref="K71" r:id="rId117" display="https://us3.assetplanner.com/service_request?ID=102820" xr:uid="{D41A8781-B086-452C-85CA-847260626AF3}"/>
    <hyperlink ref="L71" r:id="rId118" display="https://us3.assetplanner.com/service_request?ID=104290" xr:uid="{011389BF-9705-4E09-AB57-7769F8357CD0}"/>
    <hyperlink ref="K72" r:id="rId119" display="https://us3.assetplanner.com/service_request?ID=102424" xr:uid="{D9C1B570-3126-46B9-B680-467F3315554F}"/>
    <hyperlink ref="K73" r:id="rId120" display="https://us3.assetplanner.com/service_request?ID=102423" xr:uid="{096E8E3C-3604-4359-9C59-8CFDE327305F}"/>
    <hyperlink ref="K74" r:id="rId121" display="https://us3.assetplanner.com/service_request?ID=102421" xr:uid="{E1E11D92-51D6-421D-B931-A659AFF49FB0}"/>
    <hyperlink ref="K75" r:id="rId122" display="https://us3.assetplanner.com/service_request?ID=102420" xr:uid="{664612F1-CC54-4245-9F49-3BAB7079BBCF}"/>
    <hyperlink ref="K76" r:id="rId123" display="https://us3.assetplanner.com/service_request?ID=108494" xr:uid="{9CD04D2A-2F37-44C1-899B-30B0416EBCF4}"/>
    <hyperlink ref="L76" r:id="rId124" display="https://us3.assetplanner.com/service_request?ID=107231" xr:uid="{86B35337-BDA9-4531-BE54-3B1FA8D7811B}"/>
    <hyperlink ref="M76" r:id="rId125" display="https://us3.assetplanner.com/service_request?ID=106851" xr:uid="{683C9BBC-5F19-4692-AA83-0FDAE390A782}"/>
    <hyperlink ref="N76" r:id="rId126" display="https://us3.assetplanner.com/service_request?ID=103869" xr:uid="{9BCCE9B5-6FC8-49FF-9DBE-6B148EBCDC08}"/>
    <hyperlink ref="K77" r:id="rId127" display="https://us3.assetplanner.com/service_request?ID=108282" xr:uid="{641C3136-45DF-40BA-A573-A5F467921C4B}"/>
    <hyperlink ref="L77" r:id="rId128" display="https://us3.assetplanner.com/service_request?ID=103868" xr:uid="{AA413415-3833-4518-89A1-BD37C5DE827F}"/>
    <hyperlink ref="M77" r:id="rId129" display="https://us3.assetplanner.com/service_request?ID=106301" xr:uid="{FFCE8A1F-31E8-4A20-B1B8-E1D19CE43BDA}"/>
    <hyperlink ref="K78" r:id="rId130" display="https://us3.assetplanner.com/service_request?ID=103867" xr:uid="{E052D9E8-D299-4B04-9158-5F2710C4E350}"/>
    <hyperlink ref="K79" r:id="rId131" display="https://us3.assetplanner.com/service_request?ID=103866" xr:uid="{FF3D6C93-4EE2-40CF-9C7F-D3F1FF1C19D9}"/>
    <hyperlink ref="K80" r:id="rId132" display="https://us3.assetplanner.com/service_request?ID=104456" xr:uid="{49B168F7-7CC7-420B-AEDE-DABF16B295CB}"/>
    <hyperlink ref="K82" r:id="rId133" display="https://us3.assetplanner.com/service_request?ID=108426" xr:uid="{086BDA09-09C2-46BC-9166-62F3547962D9}"/>
    <hyperlink ref="L82" r:id="rId134" display="https://us3.assetplanner.com/service_request?ID=107661" xr:uid="{A5D4EEF0-D5C2-4A12-87D7-40F41F9E4D93}"/>
    <hyperlink ref="K83" r:id="rId135" display="https://us3.assetplanner.com/service_request?ID=103946" xr:uid="{8D24C3A6-FF14-42AD-A27C-08EE6A8A4438}"/>
    <hyperlink ref="L83" r:id="rId136" display="https://us3.assetplanner.com/service_request?ID=104855" xr:uid="{6C727C54-05CD-45EB-AFAF-2604CAA13463}"/>
    <hyperlink ref="M83" r:id="rId137" display="https://us3.assetplanner.com/service_request?ID=103946" xr:uid="{4BA856B1-451D-492F-A550-EDCD11BF1D24}"/>
    <hyperlink ref="K84" r:id="rId138" display="https://us3.assetplanner.com/service_request?ID=102281" xr:uid="{521E8D1F-A0D3-44A3-80DA-BD364C88638E}"/>
    <hyperlink ref="K85" r:id="rId139" display="https://us3.assetplanner.com/service_request?ID=108309" xr:uid="{140ED2A1-203B-4BD4-886E-8DA01E1F06AF}"/>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326"/>
  <sheetViews>
    <sheetView zoomScale="70" zoomScaleNormal="70" workbookViewId="0">
      <pane xSplit="2" ySplit="3" topLeftCell="C78" activePane="bottomRight" state="frozen"/>
      <selection pane="bottomRight" activeCell="J81" sqref="J81"/>
      <selection pane="bottomLeft" activeCell="H13" sqref="H13"/>
      <selection pane="topRight" activeCell="H13" sqref="H13"/>
    </sheetView>
  </sheetViews>
  <sheetFormatPr defaultRowHeight="14.45"/>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style="116" customWidth="1"/>
    <col min="11" max="11" width="20.5703125" style="116" bestFit="1" customWidth="1"/>
    <col min="12" max="12" width="14.42578125" style="109" customWidth="1"/>
  </cols>
  <sheetData>
    <row r="1" spans="1:18" ht="19.5" customHeight="1">
      <c r="A1" s="119" t="str" cm="1">
        <f t="array" ref="A1">portfolio</f>
        <v>Clean Capital</v>
      </c>
      <c r="B1" s="119"/>
      <c r="C1" s="119"/>
      <c r="D1" s="120" t="s">
        <v>688</v>
      </c>
      <c r="E1" s="120"/>
      <c r="F1" s="120"/>
      <c r="G1" s="118" t="s">
        <v>689</v>
      </c>
      <c r="H1" s="118"/>
      <c r="I1" s="118"/>
      <c r="J1" s="113"/>
      <c r="K1" s="113"/>
    </row>
    <row r="2" spans="1:18" ht="19.5" customHeight="1">
      <c r="A2" s="121" t="s">
        <v>2</v>
      </c>
      <c r="B2" s="121"/>
      <c r="C2" s="5">
        <f>SUM(C4:C184)</f>
        <v>4329592.5193510633</v>
      </c>
      <c r="D2" s="5">
        <f>SUM(D4:D184)</f>
        <v>3150845.59</v>
      </c>
      <c r="E2" s="5">
        <f>C2-D2</f>
        <v>1178746.9293510634</v>
      </c>
      <c r="F2" s="6">
        <f>IFERROR(E2/D2, 0)</f>
        <v>0.37410494918954867</v>
      </c>
      <c r="G2" s="5">
        <f>SUM(G4:G184)</f>
        <v>4636831.0599999977</v>
      </c>
      <c r="H2" s="7">
        <f>C2-G2</f>
        <v>-307238.54064893443</v>
      </c>
      <c r="I2" s="6">
        <f>IFERROR(H2/G2, 0)</f>
        <v>-6.6260456047094921E-2</v>
      </c>
      <c r="J2" s="114" t="str">
        <f ca="1">IF(AND(TODAY()&gt;DATE(2024, 10, 1), COUNTA(Sites[Site])&lt;&gt;(COUNT(C:C)-1)), "Some sites are missing actual data; if new sites were added, make sure they are aligned correctly (including prior months!)", "")</f>
        <v/>
      </c>
      <c r="K2" s="113"/>
    </row>
    <row r="3" spans="1:18" ht="14.25" customHeight="1">
      <c r="A3" s="12" t="s">
        <v>3</v>
      </c>
      <c r="B3" s="12" t="s">
        <v>4</v>
      </c>
      <c r="C3" s="19" t="s">
        <v>5</v>
      </c>
      <c r="D3" s="20" t="s">
        <v>6</v>
      </c>
      <c r="E3" s="20" t="s">
        <v>7</v>
      </c>
      <c r="F3" s="21" t="s">
        <v>8</v>
      </c>
      <c r="G3" s="22" t="s">
        <v>9</v>
      </c>
      <c r="H3" s="23" t="s">
        <v>7</v>
      </c>
      <c r="I3" s="24" t="s">
        <v>8</v>
      </c>
      <c r="J3" s="115" t="s">
        <v>42</v>
      </c>
      <c r="K3" s="115" t="s">
        <v>21</v>
      </c>
      <c r="L3" s="115" t="s">
        <v>690</v>
      </c>
    </row>
    <row r="4" spans="1:18" ht="48" customHeight="1">
      <c r="A4" s="39" t="str" cm="1">
        <f t="array" ref="A4:A85">Sites[Site]</f>
        <v>Lexington - Cotting School</v>
      </c>
      <c r="B4" s="40" t="str" cm="1">
        <f t="array" ref="B4:B85">Sites[State]</f>
        <v>MA</v>
      </c>
      <c r="C4" s="28">
        <v>26318.2</v>
      </c>
      <c r="D4" s="29" t="s">
        <v>43</v>
      </c>
      <c r="E4" s="29" t="str">
        <f>IF(AND(ISNUMBER(C4),ISNUMBER(D4)), C4-D4, "")</f>
        <v/>
      </c>
      <c r="F4" s="30" t="str">
        <f>IFERROR(E4/D4, "")</f>
        <v/>
      </c>
      <c r="G4" s="73" t="s">
        <v>43</v>
      </c>
      <c r="H4" s="31" t="str">
        <f>IF(AND(ISNUMBER(C4),ISNUMBER(G4)), C4-G4, "")</f>
        <v/>
      </c>
      <c r="I4" s="32" t="str">
        <f>IFERROR(H4/G4, "")</f>
        <v/>
      </c>
      <c r="J4" s="112" t="s">
        <v>470</v>
      </c>
      <c r="K4" s="78" t="s">
        <v>207</v>
      </c>
      <c r="L4" s="109" t="s">
        <v>691</v>
      </c>
    </row>
    <row r="5" spans="1:18" ht="151.5" customHeight="1">
      <c r="A5" s="41" t="str">
        <v>Pacoima - Whiteman Airport</v>
      </c>
      <c r="B5" s="42" t="str">
        <v>CA</v>
      </c>
      <c r="C5" s="35">
        <v>25774.5</v>
      </c>
      <c r="D5" s="36" t="s">
        <v>43</v>
      </c>
      <c r="E5" s="36" t="str">
        <f t="shared" ref="E5:E68" si="0">IF(AND(ISNUMBER(C5),ISNUMBER(D5)), C5-D5, "")</f>
        <v/>
      </c>
      <c r="F5" s="37" t="str">
        <f>IFERROR(E5/D5, "")</f>
        <v/>
      </c>
      <c r="G5" s="38">
        <v>40040</v>
      </c>
      <c r="H5" s="38">
        <f t="shared" ref="H5:H68" si="1">IF(AND(ISNUMBER(C5),ISNUMBER(G5)), C5-G5, "")</f>
        <v>-14265.5</v>
      </c>
      <c r="I5" s="37">
        <f t="shared" ref="I5:I68" si="2">IFERROR(H5/G5, "")</f>
        <v>-0.35628121878121877</v>
      </c>
      <c r="J5" s="122" t="s">
        <v>600</v>
      </c>
      <c r="K5" s="75" t="s">
        <v>601</v>
      </c>
      <c r="L5" s="110" t="s">
        <v>692</v>
      </c>
      <c r="M5" s="103" t="s">
        <v>602</v>
      </c>
      <c r="N5" s="103" t="s">
        <v>135</v>
      </c>
      <c r="O5" s="103" t="s">
        <v>603</v>
      </c>
      <c r="P5" s="103" t="s">
        <v>604</v>
      </c>
      <c r="Q5" s="103" t="s">
        <v>349</v>
      </c>
      <c r="R5" s="103" t="s">
        <v>136</v>
      </c>
    </row>
    <row r="6" spans="1:18" ht="15.6">
      <c r="A6" s="43" t="str">
        <v>Hyannis - Sturgis Charter School</v>
      </c>
      <c r="B6" s="40" t="str">
        <v>MA</v>
      </c>
      <c r="C6" s="28">
        <v>20955.60413</v>
      </c>
      <c r="D6" s="29" t="s">
        <v>43</v>
      </c>
      <c r="E6" s="29" t="str">
        <f t="shared" si="0"/>
        <v/>
      </c>
      <c r="F6" s="30" t="str">
        <f t="shared" ref="F6:F69" si="3">IFERROR(E6/D6, "")</f>
        <v/>
      </c>
      <c r="G6" s="31">
        <v>20840</v>
      </c>
      <c r="H6" s="31">
        <f t="shared" si="1"/>
        <v>115.60412999999971</v>
      </c>
      <c r="I6" s="32">
        <f t="shared" si="2"/>
        <v>5.5472231285988343E-3</v>
      </c>
      <c r="J6" s="112"/>
      <c r="K6" s="112"/>
    </row>
    <row r="7" spans="1:18" ht="15.6">
      <c r="A7" s="41" t="str">
        <v>South Dennis - Tony Kent Arena</v>
      </c>
      <c r="B7" s="42" t="str">
        <v>MA</v>
      </c>
      <c r="C7" s="35">
        <v>22120.2</v>
      </c>
      <c r="D7" s="36" t="s">
        <v>43</v>
      </c>
      <c r="E7" s="36" t="str">
        <f t="shared" si="0"/>
        <v/>
      </c>
      <c r="F7" s="37" t="str">
        <f t="shared" si="3"/>
        <v/>
      </c>
      <c r="G7" s="83" t="s">
        <v>43</v>
      </c>
      <c r="H7" s="38" t="str">
        <f t="shared" si="1"/>
        <v/>
      </c>
      <c r="I7" s="37" t="str">
        <f t="shared" si="2"/>
        <v/>
      </c>
      <c r="J7" s="122"/>
      <c r="K7" s="122"/>
    </row>
    <row r="8" spans="1:18" ht="100.9">
      <c r="A8" s="43" t="str">
        <v xml:space="preserve"> Caropolis - Felician Sisters</v>
      </c>
      <c r="B8" s="40" t="str">
        <v>PA</v>
      </c>
      <c r="C8" s="28">
        <v>46950.9</v>
      </c>
      <c r="D8" s="29" t="s">
        <v>43</v>
      </c>
      <c r="E8" s="29" t="str">
        <f t="shared" si="0"/>
        <v/>
      </c>
      <c r="F8" s="30" t="str">
        <f t="shared" si="3"/>
        <v/>
      </c>
      <c r="G8" s="73" t="s">
        <v>43</v>
      </c>
      <c r="H8" s="31" t="str">
        <f t="shared" si="1"/>
        <v/>
      </c>
      <c r="I8" s="32" t="str">
        <f t="shared" si="2"/>
        <v/>
      </c>
      <c r="J8" s="112" t="s">
        <v>693</v>
      </c>
      <c r="K8" s="78" t="s">
        <v>694</v>
      </c>
      <c r="L8" s="110" t="s">
        <v>695</v>
      </c>
      <c r="M8" s="103" t="s">
        <v>95</v>
      </c>
    </row>
    <row r="9" spans="1:18" ht="43.5" customHeight="1">
      <c r="A9" s="41" t="str">
        <v>Clear Lake - Eastlake Gohman</v>
      </c>
      <c r="B9" s="42" t="str">
        <v>MN</v>
      </c>
      <c r="C9" s="35">
        <v>123287</v>
      </c>
      <c r="D9" s="36" t="s">
        <v>43</v>
      </c>
      <c r="E9" s="36" t="str">
        <f t="shared" si="0"/>
        <v/>
      </c>
      <c r="F9" s="37" t="str">
        <f t="shared" si="3"/>
        <v/>
      </c>
      <c r="G9" s="38">
        <v>156550.79999999999</v>
      </c>
      <c r="H9" s="38">
        <f t="shared" si="1"/>
        <v>-33263.799999999988</v>
      </c>
      <c r="I9" s="37">
        <f t="shared" si="2"/>
        <v>-0.21247927190407198</v>
      </c>
      <c r="J9" s="122" t="s">
        <v>696</v>
      </c>
      <c r="K9" s="75" t="s">
        <v>697</v>
      </c>
      <c r="L9" s="110" t="s">
        <v>698</v>
      </c>
      <c r="M9" s="103" t="s">
        <v>699</v>
      </c>
    </row>
    <row r="10" spans="1:18" ht="15.6">
      <c r="A10" s="43" t="str">
        <v>Zumbrota - Eastlake Brenda Luhman</v>
      </c>
      <c r="B10" s="40" t="str">
        <v>MN</v>
      </c>
      <c r="C10" s="28">
        <v>149182</v>
      </c>
      <c r="D10" s="29" t="s">
        <v>43</v>
      </c>
      <c r="E10" s="29" t="str">
        <f t="shared" si="0"/>
        <v/>
      </c>
      <c r="F10" s="30" t="str">
        <f t="shared" si="3"/>
        <v/>
      </c>
      <c r="G10" s="31">
        <v>138962.20000000001</v>
      </c>
      <c r="H10" s="31">
        <f t="shared" si="1"/>
        <v>10219.799999999988</v>
      </c>
      <c r="I10" s="32">
        <f t="shared" si="2"/>
        <v>7.3543740671923638E-2</v>
      </c>
      <c r="J10" s="112"/>
      <c r="K10" s="112"/>
    </row>
    <row r="11" spans="1:18" ht="57" customHeight="1">
      <c r="A11" s="41" t="str">
        <v>Cokato - Eastlake Carlson</v>
      </c>
      <c r="B11" s="42" t="str">
        <v>MN</v>
      </c>
      <c r="C11" s="35">
        <v>120234</v>
      </c>
      <c r="D11" s="36" t="s">
        <v>43</v>
      </c>
      <c r="E11" s="36" t="str">
        <f t="shared" si="0"/>
        <v/>
      </c>
      <c r="F11" s="37" t="str">
        <f t="shared" si="3"/>
        <v/>
      </c>
      <c r="G11" s="38">
        <v>141771.6</v>
      </c>
      <c r="H11" s="38">
        <f t="shared" si="1"/>
        <v>-21537.600000000006</v>
      </c>
      <c r="I11" s="37">
        <f t="shared" si="2"/>
        <v>-0.15191759139348082</v>
      </c>
      <c r="J11" s="122" t="s">
        <v>700</v>
      </c>
      <c r="K11" s="75" t="s">
        <v>701</v>
      </c>
      <c r="L11" s="110" t="s">
        <v>702</v>
      </c>
      <c r="M11" s="103" t="s">
        <v>703</v>
      </c>
      <c r="N11" s="103" t="s">
        <v>704</v>
      </c>
    </row>
    <row r="12" spans="1:18" ht="68.25" customHeight="1">
      <c r="A12" s="43" t="str">
        <v>North Branch - Cornille 2</v>
      </c>
      <c r="B12" s="40" t="str">
        <v>MN</v>
      </c>
      <c r="C12" s="28">
        <v>135138</v>
      </c>
      <c r="D12" s="29" t="s">
        <v>43</v>
      </c>
      <c r="E12" s="29" t="str">
        <f t="shared" si="0"/>
        <v/>
      </c>
      <c r="F12" s="30" t="str">
        <f t="shared" si="3"/>
        <v/>
      </c>
      <c r="G12" s="31">
        <v>147992.29999999999</v>
      </c>
      <c r="H12" s="31">
        <f t="shared" si="1"/>
        <v>-12854.299999999988</v>
      </c>
      <c r="I12" s="32">
        <f t="shared" si="2"/>
        <v>-8.6857897336550541E-2</v>
      </c>
      <c r="J12" s="112" t="s">
        <v>705</v>
      </c>
      <c r="K12" s="78" t="s">
        <v>706</v>
      </c>
      <c r="L12" s="110" t="s">
        <v>707</v>
      </c>
      <c r="M12" s="103" t="s">
        <v>708</v>
      </c>
    </row>
    <row r="13" spans="1:18" ht="15.6">
      <c r="A13" s="41" t="str">
        <v>Clear Lake - Eastlake Hammer</v>
      </c>
      <c r="B13" s="42" t="str">
        <v>MN</v>
      </c>
      <c r="C13" s="35">
        <v>129622</v>
      </c>
      <c r="D13" s="36" t="s">
        <v>43</v>
      </c>
      <c r="E13" s="36" t="str">
        <f t="shared" si="0"/>
        <v/>
      </c>
      <c r="F13" s="37" t="str">
        <f t="shared" si="3"/>
        <v/>
      </c>
      <c r="G13" s="38">
        <v>151553.60000000001</v>
      </c>
      <c r="H13" s="38">
        <f t="shared" si="1"/>
        <v>-21931.600000000006</v>
      </c>
      <c r="I13" s="37">
        <f t="shared" si="2"/>
        <v>-0.14471183792400844</v>
      </c>
      <c r="J13" s="122" t="s">
        <v>709</v>
      </c>
      <c r="K13" s="75" t="s">
        <v>710</v>
      </c>
      <c r="L13" s="109" t="s">
        <v>711</v>
      </c>
    </row>
    <row r="14" spans="1:18" ht="28.9">
      <c r="A14" s="43" t="str">
        <v>Eastlake - Hertzberg CSG 1</v>
      </c>
      <c r="B14" s="40" t="str">
        <v>MN</v>
      </c>
      <c r="C14" s="28">
        <v>112037.22500000001</v>
      </c>
      <c r="D14" s="29" t="s">
        <v>43</v>
      </c>
      <c r="E14" s="29" t="str">
        <f t="shared" si="0"/>
        <v/>
      </c>
      <c r="F14" s="30" t="str">
        <f t="shared" si="3"/>
        <v/>
      </c>
      <c r="G14" s="31">
        <v>154680.70000000001</v>
      </c>
      <c r="H14" s="31">
        <f t="shared" si="1"/>
        <v>-42643.475000000006</v>
      </c>
      <c r="I14" s="32">
        <f t="shared" si="2"/>
        <v>-0.27568710899291249</v>
      </c>
      <c r="J14" s="112" t="s">
        <v>712</v>
      </c>
      <c r="K14" s="78" t="s">
        <v>713</v>
      </c>
      <c r="L14" s="110" t="s">
        <v>714</v>
      </c>
      <c r="M14" s="103" t="s">
        <v>715</v>
      </c>
    </row>
    <row r="15" spans="1:18" ht="33.75" customHeight="1">
      <c r="A15" s="41" t="str">
        <v>Cokato - Eastlake Laurel Village</v>
      </c>
      <c r="B15" s="42" t="str">
        <v>MN</v>
      </c>
      <c r="C15" s="35">
        <v>129368.05</v>
      </c>
      <c r="D15" s="36" t="s">
        <v>43</v>
      </c>
      <c r="E15" s="36" t="str">
        <f t="shared" si="0"/>
        <v/>
      </c>
      <c r="F15" s="37" t="str">
        <f t="shared" si="3"/>
        <v/>
      </c>
      <c r="G15" s="38">
        <v>150906.9</v>
      </c>
      <c r="H15" s="38">
        <f t="shared" si="1"/>
        <v>-21538.849999999991</v>
      </c>
      <c r="I15" s="37">
        <f t="shared" si="2"/>
        <v>-0.142729391432731</v>
      </c>
      <c r="J15" s="122" t="s">
        <v>716</v>
      </c>
      <c r="K15" s="75" t="s">
        <v>717</v>
      </c>
      <c r="L15" s="109" t="s">
        <v>711</v>
      </c>
    </row>
    <row r="16" spans="1:18" ht="21" customHeight="1">
      <c r="A16" s="43" t="str">
        <v>St. Peter - Eastlake Paulson</v>
      </c>
      <c r="B16" s="40" t="str">
        <v>MN</v>
      </c>
      <c r="C16" s="28">
        <v>129541.346136363</v>
      </c>
      <c r="D16" s="29" t="s">
        <v>43</v>
      </c>
      <c r="E16" s="29" t="str">
        <f t="shared" si="0"/>
        <v/>
      </c>
      <c r="F16" s="30" t="str">
        <f t="shared" si="3"/>
        <v/>
      </c>
      <c r="G16" s="31">
        <v>145203.79999999999</v>
      </c>
      <c r="H16" s="31">
        <f t="shared" si="1"/>
        <v>-15662.453863636983</v>
      </c>
      <c r="I16" s="32">
        <f t="shared" si="2"/>
        <v>-0.10786531663521881</v>
      </c>
      <c r="J16" s="112" t="s">
        <v>718</v>
      </c>
      <c r="K16" s="78" t="s">
        <v>719</v>
      </c>
      <c r="L16" s="109" t="s">
        <v>711</v>
      </c>
    </row>
    <row r="17" spans="1:17" ht="28.9">
      <c r="A17" s="41" t="str">
        <v>Felician Sisters Convent</v>
      </c>
      <c r="B17" s="42" t="str">
        <v>NJ</v>
      </c>
      <c r="C17" s="35">
        <v>9548.2000000000007</v>
      </c>
      <c r="D17" s="36" t="s">
        <v>43</v>
      </c>
      <c r="E17" s="36" t="str">
        <f t="shared" si="0"/>
        <v/>
      </c>
      <c r="F17" s="37" t="str">
        <f t="shared" si="3"/>
        <v/>
      </c>
      <c r="G17" s="38" t="s">
        <v>625</v>
      </c>
      <c r="H17" s="38" t="str">
        <f t="shared" si="1"/>
        <v/>
      </c>
      <c r="I17" s="37" t="str">
        <f t="shared" si="2"/>
        <v/>
      </c>
      <c r="J17" s="122" t="s">
        <v>720</v>
      </c>
      <c r="K17" s="75" t="s">
        <v>721</v>
      </c>
      <c r="L17" s="110" t="s">
        <v>722</v>
      </c>
      <c r="M17" s="103" t="s">
        <v>723</v>
      </c>
    </row>
    <row r="18" spans="1:17" ht="15.6">
      <c r="A18" s="43" t="str">
        <v>Sussex County Fairgrounds</v>
      </c>
      <c r="B18" s="40" t="str">
        <v>NJ</v>
      </c>
      <c r="C18" s="28">
        <v>41830.06</v>
      </c>
      <c r="D18" s="29" t="s">
        <v>43</v>
      </c>
      <c r="E18" s="29" t="str">
        <f t="shared" si="0"/>
        <v/>
      </c>
      <c r="F18" s="30" t="str">
        <f t="shared" si="3"/>
        <v/>
      </c>
      <c r="G18" s="31" t="s">
        <v>625</v>
      </c>
      <c r="H18" s="31" t="str">
        <f t="shared" si="1"/>
        <v/>
      </c>
      <c r="I18" s="32" t="str">
        <f t="shared" si="2"/>
        <v/>
      </c>
      <c r="J18" s="112" t="s">
        <v>724</v>
      </c>
      <c r="K18" s="78" t="s">
        <v>725</v>
      </c>
      <c r="L18" s="109" t="s">
        <v>711</v>
      </c>
    </row>
    <row r="19" spans="1:17" ht="28.9">
      <c r="A19" s="41" t="str">
        <v>Gateway Church</v>
      </c>
      <c r="B19" s="42" t="str">
        <v>NJ</v>
      </c>
      <c r="C19" s="35">
        <v>18528</v>
      </c>
      <c r="D19" s="36" t="s">
        <v>43</v>
      </c>
      <c r="E19" s="36" t="str">
        <f t="shared" si="0"/>
        <v/>
      </c>
      <c r="F19" s="37" t="str">
        <f t="shared" si="3"/>
        <v/>
      </c>
      <c r="G19" s="38" t="s">
        <v>625</v>
      </c>
      <c r="H19" s="38" t="str">
        <f t="shared" si="1"/>
        <v/>
      </c>
      <c r="I19" s="37" t="str">
        <f t="shared" si="2"/>
        <v/>
      </c>
      <c r="J19" s="122" t="s">
        <v>726</v>
      </c>
      <c r="K19" s="75" t="s">
        <v>727</v>
      </c>
      <c r="L19" s="110" t="s">
        <v>728</v>
      </c>
      <c r="M19" s="103" t="s">
        <v>729</v>
      </c>
    </row>
    <row r="20" spans="1:17" ht="15.6">
      <c r="A20" s="43" t="str">
        <v>Beaver Falls - Felician Sisters</v>
      </c>
      <c r="B20" s="40" t="str">
        <v>PA</v>
      </c>
      <c r="C20" s="28">
        <v>26741</v>
      </c>
      <c r="D20" s="29" t="s">
        <v>43</v>
      </c>
      <c r="E20" s="29" t="str">
        <f t="shared" si="0"/>
        <v/>
      </c>
      <c r="F20" s="30" t="str">
        <f t="shared" si="3"/>
        <v/>
      </c>
      <c r="G20" s="31" t="s">
        <v>625</v>
      </c>
      <c r="H20" s="31" t="str">
        <f t="shared" si="1"/>
        <v/>
      </c>
      <c r="I20" s="32" t="str">
        <f t="shared" si="2"/>
        <v/>
      </c>
      <c r="J20" s="112" t="s">
        <v>730</v>
      </c>
      <c r="K20" s="78" t="s">
        <v>731</v>
      </c>
      <c r="L20" s="109" t="s">
        <v>691</v>
      </c>
    </row>
    <row r="21" spans="1:17" ht="94.5" customHeight="1">
      <c r="A21" s="41" t="str">
        <v>Livonia - Felician Sisters Ground</v>
      </c>
      <c r="B21" s="42" t="str">
        <v>MI</v>
      </c>
      <c r="C21" s="35">
        <v>10271</v>
      </c>
      <c r="D21" s="36" t="s">
        <v>43</v>
      </c>
      <c r="E21" s="36" t="str">
        <f t="shared" si="0"/>
        <v/>
      </c>
      <c r="F21" s="37" t="str">
        <f t="shared" si="3"/>
        <v/>
      </c>
      <c r="G21" s="38" t="s">
        <v>625</v>
      </c>
      <c r="H21" s="38" t="str">
        <f t="shared" si="1"/>
        <v/>
      </c>
      <c r="I21" s="37" t="str">
        <f t="shared" si="2"/>
        <v/>
      </c>
      <c r="J21" s="122" t="s">
        <v>732</v>
      </c>
      <c r="K21" s="75" t="s">
        <v>733</v>
      </c>
      <c r="L21" s="110" t="s">
        <v>734</v>
      </c>
      <c r="M21" s="103" t="s">
        <v>634</v>
      </c>
      <c r="N21" s="103" t="s">
        <v>735</v>
      </c>
      <c r="O21" s="103" t="s">
        <v>635</v>
      </c>
      <c r="P21" s="103" t="s">
        <v>635</v>
      </c>
    </row>
    <row r="22" spans="1:17" ht="15.6">
      <c r="A22" s="43" t="str">
        <v>Livonia - Felician Sisters Roof</v>
      </c>
      <c r="B22" s="40" t="str">
        <v>MI</v>
      </c>
      <c r="C22" s="28">
        <v>11421</v>
      </c>
      <c r="D22" s="29" t="s">
        <v>43</v>
      </c>
      <c r="E22" s="29" t="str">
        <f t="shared" si="0"/>
        <v/>
      </c>
      <c r="F22" s="30" t="str">
        <f t="shared" si="3"/>
        <v/>
      </c>
      <c r="G22" s="31" t="s">
        <v>625</v>
      </c>
      <c r="H22" s="31" t="str">
        <f t="shared" si="1"/>
        <v/>
      </c>
      <c r="I22" s="32" t="str">
        <f t="shared" si="2"/>
        <v/>
      </c>
      <c r="J22" s="112" t="s">
        <v>377</v>
      </c>
      <c r="K22" s="78" t="s">
        <v>246</v>
      </c>
      <c r="L22" s="109" t="s">
        <v>691</v>
      </c>
    </row>
    <row r="23" spans="1:17" ht="15.6">
      <c r="A23" s="41" t="str">
        <v>Monmouth Worship Ctr</v>
      </c>
      <c r="B23" s="42" t="str">
        <v>NJ</v>
      </c>
      <c r="C23" s="35">
        <v>3950.7</v>
      </c>
      <c r="D23" s="36" t="s">
        <v>43</v>
      </c>
      <c r="E23" s="36" t="str">
        <f t="shared" si="0"/>
        <v/>
      </c>
      <c r="F23" s="37" t="str">
        <f t="shared" si="3"/>
        <v/>
      </c>
      <c r="G23" s="38" t="s">
        <v>625</v>
      </c>
      <c r="H23" s="38" t="str">
        <f t="shared" si="1"/>
        <v/>
      </c>
      <c r="I23" s="37" t="str">
        <f t="shared" si="2"/>
        <v/>
      </c>
      <c r="J23" s="122"/>
      <c r="K23" s="122"/>
    </row>
    <row r="24" spans="1:17" ht="15.6">
      <c r="A24" s="43" t="str">
        <v xml:space="preserve"> Audubon - Senior Citizens United</v>
      </c>
      <c r="B24" s="40" t="str">
        <v>NJ</v>
      </c>
      <c r="C24" s="28">
        <v>7840.6</v>
      </c>
      <c r="D24" s="29" t="s">
        <v>43</v>
      </c>
      <c r="E24" s="29" t="str">
        <f t="shared" si="0"/>
        <v/>
      </c>
      <c r="F24" s="30" t="str">
        <f t="shared" si="3"/>
        <v/>
      </c>
      <c r="G24" s="31" t="s">
        <v>625</v>
      </c>
      <c r="H24" s="31" t="str">
        <f t="shared" si="1"/>
        <v/>
      </c>
      <c r="I24" s="32" t="str">
        <f t="shared" si="2"/>
        <v/>
      </c>
      <c r="J24" s="112"/>
      <c r="K24" s="112"/>
    </row>
    <row r="25" spans="1:17" ht="189" customHeight="1">
      <c r="A25" s="41" t="str">
        <v>Hollister - PG&amp;E (Enerparc)</v>
      </c>
      <c r="B25" s="42" t="str">
        <v>CA</v>
      </c>
      <c r="C25" s="35">
        <v>207831.78099999999</v>
      </c>
      <c r="D25" s="36">
        <v>64379.8</v>
      </c>
      <c r="E25" s="36">
        <f t="shared" si="0"/>
        <v>143451.98099999997</v>
      </c>
      <c r="F25" s="37">
        <f t="shared" si="3"/>
        <v>2.2282141448093964</v>
      </c>
      <c r="G25" s="38">
        <v>279526.59999999998</v>
      </c>
      <c r="H25" s="38">
        <f t="shared" si="1"/>
        <v>-71694.818999999989</v>
      </c>
      <c r="I25" s="37">
        <f t="shared" si="2"/>
        <v>-0.25648657050885315</v>
      </c>
      <c r="J25" s="122" t="s">
        <v>736</v>
      </c>
      <c r="K25" s="75" t="s">
        <v>737</v>
      </c>
      <c r="L25" s="110" t="s">
        <v>738</v>
      </c>
      <c r="M25" s="103" t="s">
        <v>251</v>
      </c>
      <c r="N25" s="103" t="s">
        <v>513</v>
      </c>
      <c r="O25" s="103" t="s">
        <v>639</v>
      </c>
      <c r="P25" s="103" t="s">
        <v>640</v>
      </c>
      <c r="Q25" s="103" t="s">
        <v>739</v>
      </c>
    </row>
    <row r="26" spans="1:17" ht="158.44999999999999">
      <c r="A26" s="43" t="str">
        <v>Taos County - Kit Carson Electric Co-Op</v>
      </c>
      <c r="B26" s="40" t="str">
        <v>NM</v>
      </c>
      <c r="C26" s="28">
        <v>204520</v>
      </c>
      <c r="D26" s="29">
        <v>171068.4</v>
      </c>
      <c r="E26" s="29">
        <f t="shared" si="0"/>
        <v>33451.600000000006</v>
      </c>
      <c r="F26" s="30">
        <f t="shared" si="3"/>
        <v>0.19554517374336819</v>
      </c>
      <c r="G26" s="31">
        <v>137591.1</v>
      </c>
      <c r="H26" s="31">
        <f t="shared" si="1"/>
        <v>66928.899999999994</v>
      </c>
      <c r="I26" s="32">
        <f t="shared" si="2"/>
        <v>0.48643335215722522</v>
      </c>
      <c r="J26" s="112" t="s">
        <v>740</v>
      </c>
      <c r="K26" s="78" t="s">
        <v>741</v>
      </c>
      <c r="L26" s="110" t="s">
        <v>714</v>
      </c>
      <c r="M26" s="103" t="s">
        <v>742</v>
      </c>
    </row>
    <row r="27" spans="1:17" ht="45" customHeight="1">
      <c r="A27" s="41" t="str">
        <v>Commerce City - Adams City HS</v>
      </c>
      <c r="B27" s="42" t="str">
        <v>CO</v>
      </c>
      <c r="C27" s="35">
        <v>11839</v>
      </c>
      <c r="D27" s="36">
        <v>9858.1630000000005</v>
      </c>
      <c r="E27" s="36">
        <f t="shared" si="0"/>
        <v>1980.8369999999995</v>
      </c>
      <c r="F27" s="37">
        <f t="shared" si="3"/>
        <v>0.20093368308071183</v>
      </c>
      <c r="G27" s="38">
        <v>10098.799999999999</v>
      </c>
      <c r="H27" s="38">
        <f t="shared" si="1"/>
        <v>1740.2000000000007</v>
      </c>
      <c r="I27" s="37">
        <f t="shared" si="2"/>
        <v>0.17231750306967172</v>
      </c>
      <c r="J27" s="122" t="s">
        <v>515</v>
      </c>
      <c r="K27" s="122"/>
    </row>
    <row r="28" spans="1:17" ht="15.6">
      <c r="A28" s="43" t="str">
        <v>Commerce City - Adams City MS</v>
      </c>
      <c r="B28" s="40" t="str">
        <v>CO</v>
      </c>
      <c r="C28" s="28">
        <v>9349</v>
      </c>
      <c r="D28" s="29">
        <v>8958.2139999999999</v>
      </c>
      <c r="E28" s="29">
        <f t="shared" si="0"/>
        <v>390.78600000000006</v>
      </c>
      <c r="F28" s="30">
        <f t="shared" si="3"/>
        <v>4.3623204357475728E-2</v>
      </c>
      <c r="G28" s="31">
        <v>8884.5110000000004</v>
      </c>
      <c r="H28" s="31">
        <f t="shared" si="1"/>
        <v>464.48899999999958</v>
      </c>
      <c r="I28" s="32">
        <f t="shared" si="2"/>
        <v>5.2280761428513012E-2</v>
      </c>
      <c r="J28" s="112"/>
      <c r="K28" s="112"/>
    </row>
    <row r="29" spans="1:17" ht="15.6">
      <c r="A29" s="41" t="str">
        <v>Commerce City - Central ES</v>
      </c>
      <c r="B29" s="42" t="str">
        <v>CO</v>
      </c>
      <c r="C29" s="35">
        <v>2418.6</v>
      </c>
      <c r="D29" s="36">
        <v>2496.8470000000002</v>
      </c>
      <c r="E29" s="36">
        <f t="shared" si="0"/>
        <v>-78.247000000000298</v>
      </c>
      <c r="F29" s="37">
        <f t="shared" si="3"/>
        <v>-3.1338323894095348E-2</v>
      </c>
      <c r="G29" s="38">
        <v>2528.56</v>
      </c>
      <c r="H29" s="38">
        <f t="shared" si="1"/>
        <v>-109.96000000000004</v>
      </c>
      <c r="I29" s="37">
        <f t="shared" si="2"/>
        <v>-4.3487202202043863E-2</v>
      </c>
      <c r="J29" s="122"/>
      <c r="K29" s="122"/>
    </row>
    <row r="30" spans="1:17" ht="15.6">
      <c r="A30" s="43" t="str">
        <v>Commerce City - Dupont ES</v>
      </c>
      <c r="B30" s="40" t="str">
        <v>CO</v>
      </c>
      <c r="C30" s="28">
        <v>7310</v>
      </c>
      <c r="D30" s="29">
        <v>6849.4110000000001</v>
      </c>
      <c r="E30" s="29">
        <f t="shared" si="0"/>
        <v>460.58899999999994</v>
      </c>
      <c r="F30" s="30">
        <f t="shared" si="3"/>
        <v>6.724505216579936E-2</v>
      </c>
      <c r="G30" s="31">
        <v>7042.3270000000002</v>
      </c>
      <c r="H30" s="31">
        <f t="shared" si="1"/>
        <v>267.67299999999977</v>
      </c>
      <c r="I30" s="32">
        <f t="shared" si="2"/>
        <v>3.8009169412326321E-2</v>
      </c>
      <c r="J30" s="112"/>
      <c r="K30" s="112"/>
    </row>
    <row r="31" spans="1:17" ht="15.6">
      <c r="A31" s="41" t="str">
        <v>Commerce City - Educational Support Services</v>
      </c>
      <c r="B31" s="42" t="str">
        <v>CO</v>
      </c>
      <c r="C31" s="35">
        <v>0</v>
      </c>
      <c r="D31" s="36">
        <v>7561.4089999999997</v>
      </c>
      <c r="E31" s="36">
        <f t="shared" si="0"/>
        <v>-7561.4089999999997</v>
      </c>
      <c r="F31" s="37">
        <f t="shared" si="3"/>
        <v>-1</v>
      </c>
      <c r="G31" s="38">
        <v>7688.9650000000001</v>
      </c>
      <c r="H31" s="38">
        <f t="shared" si="1"/>
        <v>-7688.9650000000001</v>
      </c>
      <c r="I31" s="37">
        <f t="shared" si="2"/>
        <v>-1</v>
      </c>
      <c r="J31" s="122" t="s">
        <v>516</v>
      </c>
      <c r="K31" s="75" t="s">
        <v>517</v>
      </c>
      <c r="L31" s="109" t="s">
        <v>743</v>
      </c>
    </row>
    <row r="32" spans="1:17" ht="15.6">
      <c r="A32" s="43" t="str">
        <v>Commerce City - Hanson ES</v>
      </c>
      <c r="B32" s="40" t="str">
        <v>CO</v>
      </c>
      <c r="C32" s="28">
        <v>10151</v>
      </c>
      <c r="D32" s="29">
        <v>9860.5310000000009</v>
      </c>
      <c r="E32" s="29">
        <f t="shared" si="0"/>
        <v>290.46899999999914</v>
      </c>
      <c r="F32" s="30">
        <f t="shared" si="3"/>
        <v>2.9457744212760865E-2</v>
      </c>
      <c r="G32" s="31">
        <v>10060.69</v>
      </c>
      <c r="H32" s="31">
        <f t="shared" si="1"/>
        <v>90.309999999999491</v>
      </c>
      <c r="I32" s="32">
        <f t="shared" si="2"/>
        <v>8.9765214910706402E-3</v>
      </c>
      <c r="J32" s="112"/>
      <c r="K32" s="112"/>
    </row>
    <row r="33" spans="1:15" ht="39.6">
      <c r="A33" s="41" t="str">
        <v>Commerce City - Kemp ES</v>
      </c>
      <c r="B33" s="42" t="str">
        <v>CO</v>
      </c>
      <c r="C33" s="35">
        <v>9449</v>
      </c>
      <c r="D33" s="36">
        <v>9855.2710000000006</v>
      </c>
      <c r="E33" s="36">
        <f t="shared" si="0"/>
        <v>-406.27100000000064</v>
      </c>
      <c r="F33" s="37">
        <f t="shared" si="3"/>
        <v>-4.1223726876714058E-2</v>
      </c>
      <c r="G33" s="38">
        <v>10055.719999999999</v>
      </c>
      <c r="H33" s="38">
        <f t="shared" si="1"/>
        <v>-606.71999999999935</v>
      </c>
      <c r="I33" s="37">
        <f t="shared" si="2"/>
        <v>-6.0335808872959806E-2</v>
      </c>
      <c r="J33" s="122" t="s">
        <v>386</v>
      </c>
      <c r="K33" s="75" t="s">
        <v>387</v>
      </c>
      <c r="L33" s="109" t="s">
        <v>743</v>
      </c>
      <c r="M33" s="103" t="s">
        <v>388</v>
      </c>
    </row>
    <row r="34" spans="1:15" ht="15.6">
      <c r="A34" s="43" t="str">
        <v>Commerce City -  Lester Arnold HS</v>
      </c>
      <c r="B34" s="40" t="str">
        <v>CO</v>
      </c>
      <c r="C34" s="28">
        <v>9939</v>
      </c>
      <c r="D34" s="29">
        <v>9527.3070000000007</v>
      </c>
      <c r="E34" s="29">
        <f t="shared" si="0"/>
        <v>411.6929999999993</v>
      </c>
      <c r="F34" s="30">
        <f t="shared" si="3"/>
        <v>4.3211896079343226E-2</v>
      </c>
      <c r="G34" s="31">
        <v>9754.6569999999992</v>
      </c>
      <c r="H34" s="31">
        <f t="shared" si="1"/>
        <v>184.34300000000076</v>
      </c>
      <c r="I34" s="32">
        <f t="shared" si="2"/>
        <v>1.889794792374563E-2</v>
      </c>
      <c r="J34" s="112"/>
      <c r="K34" s="112"/>
    </row>
    <row r="35" spans="1:15" ht="15.6">
      <c r="A35" s="41" t="str">
        <v>Commerce City - Monaco ES</v>
      </c>
      <c r="B35" s="42" t="str">
        <v>CO</v>
      </c>
      <c r="C35" s="35">
        <v>10527</v>
      </c>
      <c r="D35" s="36">
        <v>9860.7330000000002</v>
      </c>
      <c r="E35" s="36">
        <f t="shared" si="0"/>
        <v>666.26699999999983</v>
      </c>
      <c r="F35" s="37">
        <f t="shared" si="3"/>
        <v>6.7567695018210083E-2</v>
      </c>
      <c r="G35" s="38">
        <v>10060.69</v>
      </c>
      <c r="H35" s="38">
        <f t="shared" si="1"/>
        <v>466.30999999999949</v>
      </c>
      <c r="I35" s="37">
        <f t="shared" si="2"/>
        <v>4.6349703648556853E-2</v>
      </c>
      <c r="J35" s="122"/>
      <c r="K35" s="122"/>
    </row>
    <row r="36" spans="1:15" ht="28.9">
      <c r="A36" s="43" t="str">
        <v>Denver - Northgate / Old Fort Logan ES</v>
      </c>
      <c r="B36" s="40" t="str">
        <v>CO</v>
      </c>
      <c r="C36" s="28">
        <v>10066</v>
      </c>
      <c r="D36" s="29">
        <v>8524.4570000000003</v>
      </c>
      <c r="E36" s="29">
        <f t="shared" si="0"/>
        <v>1541.5429999999997</v>
      </c>
      <c r="F36" s="30">
        <f t="shared" si="3"/>
        <v>0.1808376768162476</v>
      </c>
      <c r="G36" s="31">
        <v>9439.0650000000005</v>
      </c>
      <c r="H36" s="31">
        <f t="shared" si="1"/>
        <v>626.93499999999949</v>
      </c>
      <c r="I36" s="32">
        <f t="shared" si="2"/>
        <v>6.6419184527280975E-2</v>
      </c>
      <c r="J36" s="112" t="s">
        <v>744</v>
      </c>
      <c r="K36" s="112"/>
    </row>
    <row r="37" spans="1:15" ht="15.6">
      <c r="A37" s="41" t="str">
        <v>Denver - Sheridan High School</v>
      </c>
      <c r="B37" s="42" t="str">
        <v>CO</v>
      </c>
      <c r="C37" s="35">
        <v>11220</v>
      </c>
      <c r="D37" s="36">
        <v>9851.9459999999999</v>
      </c>
      <c r="E37" s="36">
        <f t="shared" si="0"/>
        <v>1368.0540000000001</v>
      </c>
      <c r="F37" s="37">
        <f t="shared" si="3"/>
        <v>0.13886129704730416</v>
      </c>
      <c r="G37" s="38">
        <v>9400.8119999999999</v>
      </c>
      <c r="H37" s="38">
        <f t="shared" si="1"/>
        <v>1819.1880000000001</v>
      </c>
      <c r="I37" s="37">
        <f t="shared" si="2"/>
        <v>0.19351392198886649</v>
      </c>
      <c r="J37" s="122"/>
      <c r="K37" s="122"/>
    </row>
    <row r="38" spans="1:15" ht="15.6">
      <c r="A38" s="43" t="str">
        <v>Englewood -  Alice Terry Elementary</v>
      </c>
      <c r="B38" s="40" t="str">
        <v>CO</v>
      </c>
      <c r="C38" s="28">
        <v>11325</v>
      </c>
      <c r="D38" s="29">
        <v>9852.5930000000008</v>
      </c>
      <c r="E38" s="29">
        <f t="shared" si="0"/>
        <v>1472.4069999999992</v>
      </c>
      <c r="F38" s="30">
        <f t="shared" si="3"/>
        <v>0.14944360332351078</v>
      </c>
      <c r="G38" s="31">
        <v>9439.0650000000005</v>
      </c>
      <c r="H38" s="31">
        <f t="shared" si="1"/>
        <v>1885.9349999999995</v>
      </c>
      <c r="I38" s="32">
        <f t="shared" si="2"/>
        <v>0.19980103961568221</v>
      </c>
      <c r="J38" s="112"/>
      <c r="K38" s="112"/>
    </row>
    <row r="39" spans="1:15" ht="26.45">
      <c r="A39" s="41" t="str">
        <v>Englewood - Sheridan Middle School</v>
      </c>
      <c r="B39" s="42" t="str">
        <v>CO</v>
      </c>
      <c r="C39" s="35">
        <v>4329</v>
      </c>
      <c r="D39" s="36">
        <v>5161.7489999999998</v>
      </c>
      <c r="E39" s="36">
        <f t="shared" si="0"/>
        <v>-832.7489999999998</v>
      </c>
      <c r="F39" s="37">
        <f t="shared" si="3"/>
        <v>-0.16133078148511287</v>
      </c>
      <c r="G39" s="38">
        <v>5528.8230000000003</v>
      </c>
      <c r="H39" s="38">
        <f t="shared" si="1"/>
        <v>-1199.8230000000003</v>
      </c>
      <c r="I39" s="37">
        <f t="shared" si="2"/>
        <v>-0.21701237315790364</v>
      </c>
      <c r="J39" s="122" t="s">
        <v>520</v>
      </c>
      <c r="K39" s="75" t="s">
        <v>521</v>
      </c>
      <c r="L39" s="109" t="s">
        <v>743</v>
      </c>
      <c r="M39" s="103" t="s">
        <v>522</v>
      </c>
    </row>
    <row r="40" spans="1:15" ht="67.5" customHeight="1">
      <c r="A40" s="43" t="str">
        <v>Goshen - NIPSCO</v>
      </c>
      <c r="B40" s="40" t="str">
        <v>IN</v>
      </c>
      <c r="C40" s="28">
        <v>35723</v>
      </c>
      <c r="D40" s="29">
        <v>34904.03</v>
      </c>
      <c r="E40" s="29">
        <f t="shared" si="0"/>
        <v>818.97000000000116</v>
      </c>
      <c r="F40" s="30">
        <f t="shared" si="3"/>
        <v>2.3463479718531105E-2</v>
      </c>
      <c r="G40" s="31">
        <v>38078.199999999997</v>
      </c>
      <c r="H40" s="31">
        <f t="shared" si="1"/>
        <v>-2355.1999999999971</v>
      </c>
      <c r="I40" s="32">
        <f t="shared" si="2"/>
        <v>-6.1851663156346604E-2</v>
      </c>
      <c r="J40" s="112" t="s">
        <v>390</v>
      </c>
      <c r="K40" s="78" t="s">
        <v>190</v>
      </c>
      <c r="L40" s="109" t="s">
        <v>691</v>
      </c>
    </row>
    <row r="41" spans="1:15" ht="72">
      <c r="A41" s="41" t="str">
        <v>Alamogordo - City of Alamogordo - Effluent</v>
      </c>
      <c r="B41" s="42" t="str">
        <v>NM</v>
      </c>
      <c r="C41" s="35">
        <v>23568</v>
      </c>
      <c r="D41" s="36">
        <v>28036.240000000002</v>
      </c>
      <c r="E41" s="36">
        <f t="shared" si="0"/>
        <v>-4468.2400000000016</v>
      </c>
      <c r="F41" s="37">
        <f t="shared" si="3"/>
        <v>-0.15937372486467519</v>
      </c>
      <c r="G41" s="38">
        <v>23355.99</v>
      </c>
      <c r="H41" s="38">
        <f t="shared" si="1"/>
        <v>212.0099999999984</v>
      </c>
      <c r="I41" s="37">
        <f t="shared" si="2"/>
        <v>9.0773287709062372E-3</v>
      </c>
      <c r="J41" s="122" t="s">
        <v>643</v>
      </c>
      <c r="K41" s="75" t="s">
        <v>524</v>
      </c>
      <c r="L41" s="110" t="s">
        <v>745</v>
      </c>
      <c r="M41" s="103" t="s">
        <v>525</v>
      </c>
    </row>
    <row r="42" spans="1:15" ht="52.9">
      <c r="A42" s="43" t="str">
        <v>Alamogordo - City of Alamogordo - WWTP</v>
      </c>
      <c r="B42" s="40" t="str">
        <v>NM</v>
      </c>
      <c r="C42" s="28">
        <v>90070</v>
      </c>
      <c r="D42" s="29">
        <v>0</v>
      </c>
      <c r="E42" s="29">
        <f t="shared" si="0"/>
        <v>90070</v>
      </c>
      <c r="F42" s="30" t="str">
        <f t="shared" si="3"/>
        <v/>
      </c>
      <c r="G42" s="31">
        <v>99051.99</v>
      </c>
      <c r="H42" s="31">
        <f t="shared" si="1"/>
        <v>-8981.9900000000052</v>
      </c>
      <c r="I42" s="32">
        <f t="shared" si="2"/>
        <v>-9.0679551213458762E-2</v>
      </c>
      <c r="J42" s="112" t="s">
        <v>746</v>
      </c>
      <c r="K42" s="78" t="s">
        <v>747</v>
      </c>
      <c r="L42" s="110" t="s">
        <v>748</v>
      </c>
      <c r="M42" s="103" t="s">
        <v>273</v>
      </c>
      <c r="N42" s="103" t="s">
        <v>274</v>
      </c>
      <c r="O42" s="103" t="s">
        <v>749</v>
      </c>
    </row>
    <row r="43" spans="1:15" ht="28.9">
      <c r="A43" s="41" t="str">
        <v>Deming - Bilbo Booster</v>
      </c>
      <c r="B43" s="42" t="str">
        <v>NM</v>
      </c>
      <c r="C43" s="35">
        <v>12172</v>
      </c>
      <c r="D43" s="36">
        <v>0</v>
      </c>
      <c r="E43" s="36">
        <f t="shared" si="0"/>
        <v>12172</v>
      </c>
      <c r="F43" s="37" t="str">
        <f t="shared" si="3"/>
        <v/>
      </c>
      <c r="G43" s="38">
        <v>9360.6550000000007</v>
      </c>
      <c r="H43" s="38">
        <f t="shared" si="1"/>
        <v>2811.3449999999993</v>
      </c>
      <c r="I43" s="37">
        <f t="shared" si="2"/>
        <v>0.30033635466748848</v>
      </c>
      <c r="J43" s="122" t="s">
        <v>527</v>
      </c>
      <c r="K43" s="75" t="s">
        <v>528</v>
      </c>
      <c r="L43" s="109" t="s">
        <v>691</v>
      </c>
    </row>
    <row r="44" spans="1:15" ht="28.9">
      <c r="A44" s="43" t="str">
        <v>Deming - Bilbo Well</v>
      </c>
      <c r="B44" s="40" t="str">
        <v>NM</v>
      </c>
      <c r="C44" s="28">
        <v>21935.999999999902</v>
      </c>
      <c r="D44" s="29">
        <v>0</v>
      </c>
      <c r="E44" s="29">
        <f t="shared" si="0"/>
        <v>21935.999999999902</v>
      </c>
      <c r="F44" s="30" t="str">
        <f t="shared" si="3"/>
        <v/>
      </c>
      <c r="G44" s="31">
        <v>16921.759999999998</v>
      </c>
      <c r="H44" s="31">
        <f t="shared" si="1"/>
        <v>5014.2399999999034</v>
      </c>
      <c r="I44" s="32">
        <f t="shared" si="2"/>
        <v>0.29631905901040456</v>
      </c>
      <c r="J44" s="112" t="s">
        <v>277</v>
      </c>
      <c r="K44" s="78" t="s">
        <v>278</v>
      </c>
      <c r="L44" s="110" t="s">
        <v>750</v>
      </c>
    </row>
    <row r="45" spans="1:15" ht="66">
      <c r="A45" s="41" t="str">
        <v>Deming - WWTP</v>
      </c>
      <c r="B45" s="42" t="str">
        <v>NM</v>
      </c>
      <c r="C45" s="35">
        <v>35160</v>
      </c>
      <c r="D45" s="36">
        <v>72092.28</v>
      </c>
      <c r="E45" s="36">
        <f t="shared" si="0"/>
        <v>-36932.28</v>
      </c>
      <c r="F45" s="37">
        <f t="shared" si="3"/>
        <v>-0.5122917460787757</v>
      </c>
      <c r="G45" s="38">
        <v>81586.7</v>
      </c>
      <c r="H45" s="38">
        <f t="shared" si="1"/>
        <v>-46426.7</v>
      </c>
      <c r="I45" s="37">
        <f t="shared" si="2"/>
        <v>-0.56904740601102877</v>
      </c>
      <c r="J45" s="122" t="s">
        <v>751</v>
      </c>
      <c r="K45" s="75" t="s">
        <v>752</v>
      </c>
      <c r="L45" s="110" t="s">
        <v>753</v>
      </c>
      <c r="M45" s="103" t="s">
        <v>399</v>
      </c>
      <c r="N45" s="103" t="s">
        <v>645</v>
      </c>
      <c r="O45" s="103" t="s">
        <v>754</v>
      </c>
    </row>
    <row r="46" spans="1:15" ht="56.25" customHeight="1">
      <c r="A46" s="43" t="str">
        <v>Truth or Consequences - Walmart</v>
      </c>
      <c r="B46" s="40" t="str">
        <v>NM</v>
      </c>
      <c r="C46" s="28">
        <v>126300</v>
      </c>
      <c r="D46" s="29">
        <v>295232.59999999998</v>
      </c>
      <c r="E46" s="29">
        <f t="shared" si="0"/>
        <v>-168932.59999999998</v>
      </c>
      <c r="F46" s="30">
        <f t="shared" si="3"/>
        <v>-0.57220171485127314</v>
      </c>
      <c r="G46" s="31">
        <v>138441.79999999999</v>
      </c>
      <c r="H46" s="31">
        <f t="shared" si="1"/>
        <v>-12141.799999999988</v>
      </c>
      <c r="I46" s="32">
        <f t="shared" si="2"/>
        <v>-8.7703280367634556E-2</v>
      </c>
      <c r="J46" s="112" t="s">
        <v>646</v>
      </c>
      <c r="K46" s="78" t="s">
        <v>647</v>
      </c>
      <c r="L46" s="110" t="s">
        <v>755</v>
      </c>
      <c r="M46" s="103" t="s">
        <v>532</v>
      </c>
      <c r="N46" s="103" t="s">
        <v>533</v>
      </c>
    </row>
    <row r="47" spans="1:15" ht="57.75" customHeight="1">
      <c r="A47" s="41" t="str">
        <v>CA: Stockton - SUSD - Merlo</v>
      </c>
      <c r="B47" s="42" t="str">
        <v>CA</v>
      </c>
      <c r="C47" s="35">
        <v>0</v>
      </c>
      <c r="D47" s="36">
        <v>8885.8960000000006</v>
      </c>
      <c r="E47" s="36">
        <f t="shared" si="0"/>
        <v>-8885.8960000000006</v>
      </c>
      <c r="F47" s="37">
        <f t="shared" si="3"/>
        <v>-1</v>
      </c>
      <c r="G47" s="38">
        <v>11085.42</v>
      </c>
      <c r="H47" s="38">
        <f t="shared" si="1"/>
        <v>-11085.42</v>
      </c>
      <c r="I47" s="37">
        <f t="shared" si="2"/>
        <v>-1</v>
      </c>
      <c r="J47" s="122" t="s">
        <v>648</v>
      </c>
      <c r="K47" s="75" t="s">
        <v>756</v>
      </c>
      <c r="L47" s="109" t="s">
        <v>711</v>
      </c>
      <c r="M47" s="103" t="s">
        <v>757</v>
      </c>
      <c r="N47" s="103" t="s">
        <v>536</v>
      </c>
    </row>
    <row r="48" spans="1:15" ht="86.45">
      <c r="A48" s="43" t="str">
        <v>Stockton Unified School Dist. - Bush Elementary</v>
      </c>
      <c r="B48" s="40" t="str">
        <v>CA</v>
      </c>
      <c r="C48" s="28">
        <v>15877.5</v>
      </c>
      <c r="D48" s="29">
        <v>20691.12</v>
      </c>
      <c r="E48" s="29">
        <f t="shared" si="0"/>
        <v>-4813.619999999999</v>
      </c>
      <c r="F48" s="30">
        <f t="shared" si="3"/>
        <v>-0.23264182895850971</v>
      </c>
      <c r="G48" s="31">
        <v>21267.8</v>
      </c>
      <c r="H48" s="31">
        <f t="shared" si="1"/>
        <v>-5390.2999999999993</v>
      </c>
      <c r="I48" s="32">
        <f t="shared" si="2"/>
        <v>-0.25344887576524133</v>
      </c>
      <c r="J48" s="112" t="s">
        <v>758</v>
      </c>
      <c r="K48" s="78" t="s">
        <v>759</v>
      </c>
      <c r="L48" s="110" t="s">
        <v>760</v>
      </c>
      <c r="M48" s="103" t="s">
        <v>761</v>
      </c>
      <c r="N48" s="103" t="s">
        <v>762</v>
      </c>
    </row>
    <row r="49" spans="1:19" ht="28.9">
      <c r="A49" s="41" t="str">
        <v>CA: Stockton - SUSD - Marshall JHS</v>
      </c>
      <c r="B49" s="42" t="str">
        <v>CA</v>
      </c>
      <c r="C49" s="35">
        <v>2336.375</v>
      </c>
      <c r="D49" s="36">
        <v>12671.21</v>
      </c>
      <c r="E49" s="36">
        <f t="shared" si="0"/>
        <v>-10334.834999999999</v>
      </c>
      <c r="F49" s="37">
        <f t="shared" si="3"/>
        <v>-0.81561547792199796</v>
      </c>
      <c r="G49" s="38">
        <v>13854.54</v>
      </c>
      <c r="H49" s="38">
        <f t="shared" si="1"/>
        <v>-11518.165000000001</v>
      </c>
      <c r="I49" s="37">
        <f t="shared" si="2"/>
        <v>-0.83136394279420323</v>
      </c>
      <c r="J49" s="122" t="s">
        <v>289</v>
      </c>
      <c r="K49" s="75" t="s">
        <v>290</v>
      </c>
      <c r="L49" s="109" t="s">
        <v>763</v>
      </c>
    </row>
    <row r="50" spans="1:19" ht="28.9">
      <c r="A50" s="43" t="str">
        <v>CA: Stockton - SUSD - Hong-Kingston ES</v>
      </c>
      <c r="B50" s="40" t="str">
        <v>CA</v>
      </c>
      <c r="C50" s="28">
        <v>2877.5</v>
      </c>
      <c r="D50" s="29">
        <v>21841.24</v>
      </c>
      <c r="E50" s="29">
        <f t="shared" si="0"/>
        <v>-18963.740000000002</v>
      </c>
      <c r="F50" s="30">
        <f t="shared" si="3"/>
        <v>-0.86825381709097105</v>
      </c>
      <c r="G50" s="31">
        <v>22726.880000000001</v>
      </c>
      <c r="H50" s="31">
        <f t="shared" si="1"/>
        <v>-19849.38</v>
      </c>
      <c r="I50" s="32">
        <f t="shared" si="2"/>
        <v>-0.87338781214139383</v>
      </c>
      <c r="J50" s="112" t="s">
        <v>291</v>
      </c>
      <c r="K50" s="78" t="s">
        <v>764</v>
      </c>
      <c r="L50" s="109" t="s">
        <v>743</v>
      </c>
      <c r="M50" s="103" t="s">
        <v>765</v>
      </c>
    </row>
    <row r="51" spans="1:19" ht="15.6">
      <c r="A51" s="41" t="str">
        <v>CA: Stockton - SUSD - Hamilton ES</v>
      </c>
      <c r="B51" s="42" t="str">
        <v>CA</v>
      </c>
      <c r="C51" s="35">
        <v>3766.25</v>
      </c>
      <c r="D51" s="36">
        <v>11204.07</v>
      </c>
      <c r="E51" s="36">
        <f t="shared" si="0"/>
        <v>-7437.82</v>
      </c>
      <c r="F51" s="37">
        <f t="shared" si="3"/>
        <v>-0.66384983314099255</v>
      </c>
      <c r="G51" s="38">
        <v>12208.34</v>
      </c>
      <c r="H51" s="38">
        <f t="shared" si="1"/>
        <v>-8442.09</v>
      </c>
      <c r="I51" s="37">
        <f t="shared" si="2"/>
        <v>-0.69150187494778159</v>
      </c>
      <c r="J51" s="122" t="s">
        <v>541</v>
      </c>
      <c r="K51" s="75" t="s">
        <v>294</v>
      </c>
      <c r="L51" s="109" t="s">
        <v>763</v>
      </c>
    </row>
    <row r="52" spans="1:19" ht="86.45">
      <c r="A52" s="43" t="str">
        <v>CA: Stockton - SUSD - Franklin - North</v>
      </c>
      <c r="B52" s="40" t="str">
        <v>CA</v>
      </c>
      <c r="C52" s="28">
        <v>16376.9999999991</v>
      </c>
      <c r="D52" s="29">
        <v>54420.45</v>
      </c>
      <c r="E52" s="29">
        <f t="shared" si="0"/>
        <v>-38043.450000000899</v>
      </c>
      <c r="F52" s="30">
        <f t="shared" si="3"/>
        <v>-0.69906533297686624</v>
      </c>
      <c r="G52" s="31">
        <v>32239.52</v>
      </c>
      <c r="H52" s="31">
        <f t="shared" si="1"/>
        <v>-15862.520000000901</v>
      </c>
      <c r="I52" s="32">
        <f t="shared" si="2"/>
        <v>-0.49202097301699593</v>
      </c>
      <c r="J52" s="112" t="s">
        <v>543</v>
      </c>
      <c r="K52" s="78" t="s">
        <v>544</v>
      </c>
      <c r="L52" s="110" t="s">
        <v>766</v>
      </c>
      <c r="M52" s="103" t="s">
        <v>298</v>
      </c>
      <c r="N52" s="103" t="s">
        <v>317</v>
      </c>
      <c r="O52" s="103" t="s">
        <v>545</v>
      </c>
    </row>
    <row r="53" spans="1:19" ht="15.6">
      <c r="A53" s="41" t="str">
        <v>Stockton Unified School Dist. - Fillmore Elementary</v>
      </c>
      <c r="B53" s="42" t="str">
        <v>CA</v>
      </c>
      <c r="C53" s="35">
        <v>2871.375</v>
      </c>
      <c r="D53" s="36">
        <v>9574.0429999999997</v>
      </c>
      <c r="E53" s="36">
        <f t="shared" si="0"/>
        <v>-6702.6679999999997</v>
      </c>
      <c r="F53" s="37">
        <f t="shared" si="3"/>
        <v>-0.70008751788559964</v>
      </c>
      <c r="G53" s="38">
        <v>10222.56</v>
      </c>
      <c r="H53" s="38">
        <f t="shared" si="1"/>
        <v>-7351.1849999999995</v>
      </c>
      <c r="I53" s="37">
        <f t="shared" si="2"/>
        <v>-0.71911390101892281</v>
      </c>
      <c r="J53" s="122" t="s">
        <v>410</v>
      </c>
      <c r="K53" s="75" t="s">
        <v>546</v>
      </c>
      <c r="L53" s="109" t="s">
        <v>763</v>
      </c>
    </row>
    <row r="54" spans="1:19" ht="28.9">
      <c r="A54" s="43" t="str">
        <v>CA: Stockton - SUSD - El Dorado ES</v>
      </c>
      <c r="B54" s="40" t="str">
        <v>CA</v>
      </c>
      <c r="C54" s="28">
        <v>3306</v>
      </c>
      <c r="D54" s="29">
        <v>11936.56</v>
      </c>
      <c r="E54" s="29">
        <f t="shared" si="0"/>
        <v>-8630.56</v>
      </c>
      <c r="F54" s="30">
        <f t="shared" si="3"/>
        <v>-0.72303578250350187</v>
      </c>
      <c r="G54" s="31">
        <v>0</v>
      </c>
      <c r="H54" s="31">
        <f t="shared" si="1"/>
        <v>3306</v>
      </c>
      <c r="I54" s="32" t="str">
        <f t="shared" si="2"/>
        <v/>
      </c>
      <c r="J54" s="112" t="s">
        <v>411</v>
      </c>
      <c r="K54" s="78" t="s">
        <v>302</v>
      </c>
      <c r="L54" s="109" t="s">
        <v>763</v>
      </c>
    </row>
    <row r="55" spans="1:19" ht="129.6">
      <c r="A55" s="41" t="str">
        <v>CA: Stockton - SUSD - Edison HS</v>
      </c>
      <c r="B55" s="42" t="str">
        <v>CA</v>
      </c>
      <c r="C55" s="35">
        <v>20615</v>
      </c>
      <c r="D55" s="36">
        <v>29666.78</v>
      </c>
      <c r="E55" s="36">
        <f t="shared" si="0"/>
        <v>-9051.7799999999988</v>
      </c>
      <c r="F55" s="37">
        <f t="shared" si="3"/>
        <v>-0.30511501416736159</v>
      </c>
      <c r="G55" s="38">
        <v>34056.26</v>
      </c>
      <c r="H55" s="38">
        <f t="shared" si="1"/>
        <v>-13441.260000000002</v>
      </c>
      <c r="I55" s="37">
        <f t="shared" si="2"/>
        <v>-0.39467810029639194</v>
      </c>
      <c r="J55" s="122" t="s">
        <v>767</v>
      </c>
      <c r="K55" s="75" t="s">
        <v>768</v>
      </c>
      <c r="L55" s="110" t="s">
        <v>769</v>
      </c>
      <c r="M55" s="103" t="s">
        <v>654</v>
      </c>
      <c r="N55" s="103" t="s">
        <v>654</v>
      </c>
      <c r="O55" s="103" t="s">
        <v>770</v>
      </c>
      <c r="P55" s="103" t="s">
        <v>771</v>
      </c>
      <c r="Q55" s="103" t="s">
        <v>772</v>
      </c>
      <c r="R55" s="103" t="s">
        <v>771</v>
      </c>
      <c r="S55" s="103" t="s">
        <v>771</v>
      </c>
    </row>
    <row r="56" spans="1:19" ht="115.15">
      <c r="A56" s="43" t="str">
        <v>CA: Stockton - SUSD - Chavez HS - Large</v>
      </c>
      <c r="B56" s="40" t="str">
        <v>CA</v>
      </c>
      <c r="C56" s="28">
        <v>22326</v>
      </c>
      <c r="D56" s="29">
        <v>74657.62</v>
      </c>
      <c r="E56" s="29">
        <f t="shared" si="0"/>
        <v>-52331.619999999995</v>
      </c>
      <c r="F56" s="30">
        <f t="shared" si="3"/>
        <v>-0.70095483890324928</v>
      </c>
      <c r="G56" s="31">
        <v>69575.91</v>
      </c>
      <c r="H56" s="31">
        <f t="shared" si="1"/>
        <v>-47249.91</v>
      </c>
      <c r="I56" s="32">
        <f t="shared" si="2"/>
        <v>-0.67911307232632678</v>
      </c>
      <c r="J56" s="112" t="s">
        <v>773</v>
      </c>
      <c r="K56" s="78" t="s">
        <v>774</v>
      </c>
      <c r="L56" s="110" t="s">
        <v>775</v>
      </c>
      <c r="M56" s="103" t="s">
        <v>776</v>
      </c>
      <c r="N56" s="103" t="s">
        <v>777</v>
      </c>
    </row>
    <row r="57" spans="1:19" ht="32.65" customHeight="1">
      <c r="A57" s="41" t="str">
        <v>CA: San Jose - GE Mobile Water</v>
      </c>
      <c r="B57" s="42" t="str">
        <v>CA</v>
      </c>
      <c r="C57" s="35">
        <v>19410</v>
      </c>
      <c r="D57" s="36">
        <v>20633.2</v>
      </c>
      <c r="E57" s="36">
        <f t="shared" si="0"/>
        <v>-1223.2000000000007</v>
      </c>
      <c r="F57" s="37">
        <f t="shared" si="3"/>
        <v>-5.9283097144408076E-2</v>
      </c>
      <c r="G57" s="38">
        <v>20411.77</v>
      </c>
      <c r="H57" s="38">
        <f t="shared" si="1"/>
        <v>-1001.7700000000004</v>
      </c>
      <c r="I57" s="37">
        <f t="shared" si="2"/>
        <v>-4.9078056435086247E-2</v>
      </c>
      <c r="J57" s="122" t="s">
        <v>778</v>
      </c>
      <c r="K57" s="75" t="s">
        <v>310</v>
      </c>
      <c r="L57" s="109" t="s">
        <v>763</v>
      </c>
    </row>
    <row r="58" spans="1:19" ht="15.6">
      <c r="A58" s="43" t="str">
        <v>CA: San Marcos - Vallecitos Water - Lift Station</v>
      </c>
      <c r="B58" s="40" t="str">
        <v>CA</v>
      </c>
      <c r="C58" s="28">
        <v>28211.125</v>
      </c>
      <c r="D58" s="29">
        <v>30183.1</v>
      </c>
      <c r="E58" s="29">
        <f t="shared" si="0"/>
        <v>-1971.9749999999985</v>
      </c>
      <c r="F58" s="30">
        <f t="shared" si="3"/>
        <v>-6.5333746368000586E-2</v>
      </c>
      <c r="G58" s="31">
        <v>27776.09</v>
      </c>
      <c r="H58" s="31">
        <f t="shared" si="1"/>
        <v>435.03499999999985</v>
      </c>
      <c r="I58" s="32">
        <f t="shared" si="2"/>
        <v>1.5662211635978997E-2</v>
      </c>
      <c r="J58" s="112" t="s">
        <v>779</v>
      </c>
      <c r="K58" s="78" t="s">
        <v>780</v>
      </c>
      <c r="L58" s="109" t="s">
        <v>711</v>
      </c>
    </row>
    <row r="59" spans="1:19" ht="30" customHeight="1">
      <c r="A59" s="41" t="str">
        <v>CA: San Marcos - Vallecitos Water - Twin Oaks Reservoir</v>
      </c>
      <c r="B59" s="42" t="str">
        <v>CA</v>
      </c>
      <c r="C59" s="35">
        <v>244186</v>
      </c>
      <c r="D59" s="36">
        <v>307726.8</v>
      </c>
      <c r="E59" s="36">
        <f t="shared" si="0"/>
        <v>-63540.799999999988</v>
      </c>
      <c r="F59" s="37">
        <f t="shared" si="3"/>
        <v>-0.20648445309280827</v>
      </c>
      <c r="G59" s="38">
        <v>196686</v>
      </c>
      <c r="H59" s="38">
        <f t="shared" si="1"/>
        <v>47500</v>
      </c>
      <c r="I59" s="37">
        <f t="shared" si="2"/>
        <v>0.24150168288541127</v>
      </c>
      <c r="J59" s="122" t="s">
        <v>781</v>
      </c>
      <c r="K59" s="75" t="s">
        <v>782</v>
      </c>
      <c r="L59" s="109" t="s">
        <v>691</v>
      </c>
      <c r="M59" s="103" t="s">
        <v>783</v>
      </c>
    </row>
    <row r="60" spans="1:19" ht="28.9">
      <c r="A60" s="43" t="str">
        <v>CA: Stockton - SUSD - Wilhelmina Henry ES</v>
      </c>
      <c r="B60" s="40" t="str">
        <v>CA</v>
      </c>
      <c r="C60" s="28">
        <v>5084.75</v>
      </c>
      <c r="D60" s="29">
        <v>28466.42</v>
      </c>
      <c r="E60" s="29">
        <f t="shared" si="0"/>
        <v>-23381.67</v>
      </c>
      <c r="F60" s="30">
        <f t="shared" si="3"/>
        <v>-0.82137725783572357</v>
      </c>
      <c r="G60" s="31">
        <v>22527.49</v>
      </c>
      <c r="H60" s="31">
        <f t="shared" si="1"/>
        <v>-17442.740000000002</v>
      </c>
      <c r="I60" s="32">
        <f t="shared" si="2"/>
        <v>-0.77428688238236931</v>
      </c>
      <c r="J60" s="112" t="s">
        <v>784</v>
      </c>
      <c r="K60" s="78" t="s">
        <v>314</v>
      </c>
      <c r="L60" s="109" t="s">
        <v>763</v>
      </c>
    </row>
    <row r="61" spans="1:19" ht="86.45">
      <c r="A61" s="41" t="str">
        <v>Stockton Unified School Dist. - Franklin (North)</v>
      </c>
      <c r="B61" s="42" t="str">
        <v>CA</v>
      </c>
      <c r="C61" s="35">
        <v>16377</v>
      </c>
      <c r="D61" s="36">
        <v>54420.45</v>
      </c>
      <c r="E61" s="36">
        <f t="shared" si="0"/>
        <v>-38043.449999999997</v>
      </c>
      <c r="F61" s="37">
        <f t="shared" si="3"/>
        <v>-0.6990653329768497</v>
      </c>
      <c r="G61" s="38">
        <v>32239.52</v>
      </c>
      <c r="H61" s="38">
        <f t="shared" si="1"/>
        <v>-15862.52</v>
      </c>
      <c r="I61" s="37">
        <f t="shared" si="2"/>
        <v>-0.49202097301696801</v>
      </c>
      <c r="J61" s="122" t="s">
        <v>785</v>
      </c>
      <c r="K61" s="75" t="s">
        <v>786</v>
      </c>
      <c r="L61" s="110" t="s">
        <v>787</v>
      </c>
      <c r="M61" s="103" t="s">
        <v>788</v>
      </c>
      <c r="N61" s="103" t="s">
        <v>298</v>
      </c>
      <c r="O61" s="103" t="s">
        <v>317</v>
      </c>
      <c r="P61" s="103" t="s">
        <v>545</v>
      </c>
    </row>
    <row r="62" spans="1:19" ht="100.9">
      <c r="A62" s="43" t="str">
        <v>CA: Stockton - SUSD - Franklin - South</v>
      </c>
      <c r="B62" s="40" t="str">
        <v>CA</v>
      </c>
      <c r="C62" s="28">
        <v>22759.5</v>
      </c>
      <c r="D62" s="29">
        <v>50060.06</v>
      </c>
      <c r="E62" s="29">
        <f t="shared" si="0"/>
        <v>-27300.559999999998</v>
      </c>
      <c r="F62" s="30">
        <f t="shared" si="3"/>
        <v>-0.54535611823078112</v>
      </c>
      <c r="G62" s="31">
        <v>52596.34</v>
      </c>
      <c r="H62" s="31">
        <f t="shared" si="1"/>
        <v>-29836.839999999997</v>
      </c>
      <c r="I62" s="32">
        <f t="shared" si="2"/>
        <v>-0.56727977650155881</v>
      </c>
      <c r="J62" s="112" t="s">
        <v>789</v>
      </c>
      <c r="K62" s="78" t="s">
        <v>790</v>
      </c>
      <c r="L62" s="110" t="s">
        <v>791</v>
      </c>
      <c r="M62" s="103" t="s">
        <v>424</v>
      </c>
      <c r="N62" s="103" t="s">
        <v>792</v>
      </c>
      <c r="O62" s="103" t="s">
        <v>793</v>
      </c>
    </row>
    <row r="63" spans="1:19" ht="28.9">
      <c r="A63" s="41" t="str">
        <v>CA: Stockton - SUSD - Chavez HS - Small</v>
      </c>
      <c r="B63" s="42" t="str">
        <v>CA</v>
      </c>
      <c r="C63" s="35">
        <v>16064.5</v>
      </c>
      <c r="D63" s="36">
        <v>15516.81</v>
      </c>
      <c r="E63" s="36">
        <f t="shared" si="0"/>
        <v>547.69000000000051</v>
      </c>
      <c r="F63" s="37">
        <f t="shared" si="3"/>
        <v>3.5296559022118625E-2</v>
      </c>
      <c r="G63" s="38">
        <v>19632.71</v>
      </c>
      <c r="H63" s="38">
        <f t="shared" si="1"/>
        <v>-3568.2099999999991</v>
      </c>
      <c r="I63" s="37">
        <f t="shared" si="2"/>
        <v>-0.1817482150961329</v>
      </c>
      <c r="J63" s="122" t="s">
        <v>794</v>
      </c>
      <c r="K63" s="75" t="s">
        <v>322</v>
      </c>
      <c r="L63" s="110" t="s">
        <v>763</v>
      </c>
    </row>
    <row r="64" spans="1:19" ht="28.9">
      <c r="A64" s="43" t="str">
        <v>CA: Stockton - SUSD - Facilities</v>
      </c>
      <c r="B64" s="40" t="str">
        <v>CA</v>
      </c>
      <c r="C64" s="28">
        <v>11497</v>
      </c>
      <c r="D64" s="29">
        <v>28760.41</v>
      </c>
      <c r="E64" s="29">
        <f t="shared" si="0"/>
        <v>-17263.41</v>
      </c>
      <c r="F64" s="30">
        <f t="shared" si="3"/>
        <v>-0.600249092415581</v>
      </c>
      <c r="G64" s="31">
        <v>34187.79</v>
      </c>
      <c r="H64" s="31">
        <f t="shared" si="1"/>
        <v>-22690.79</v>
      </c>
      <c r="I64" s="32">
        <f t="shared" si="2"/>
        <v>-0.66371034805116091</v>
      </c>
      <c r="J64" s="112" t="s">
        <v>561</v>
      </c>
      <c r="K64" s="78" t="s">
        <v>324</v>
      </c>
      <c r="L64" s="109" t="s">
        <v>795</v>
      </c>
    </row>
    <row r="65" spans="1:15" ht="43.15">
      <c r="A65" s="41" t="str">
        <v>CA: Stockton - SUSD - Harrison</v>
      </c>
      <c r="B65" s="42" t="str">
        <v>CA</v>
      </c>
      <c r="C65" s="35">
        <v>8831.75</v>
      </c>
      <c r="D65" s="36">
        <v>11287.92</v>
      </c>
      <c r="E65" s="36">
        <f t="shared" si="0"/>
        <v>-2456.17</v>
      </c>
      <c r="F65" s="37">
        <f t="shared" si="3"/>
        <v>-0.21759278945988278</v>
      </c>
      <c r="G65" s="38">
        <v>12080.82</v>
      </c>
      <c r="H65" s="38">
        <f t="shared" si="1"/>
        <v>-3249.0699999999997</v>
      </c>
      <c r="I65" s="37">
        <f t="shared" si="2"/>
        <v>-0.26894449217851102</v>
      </c>
      <c r="J65" s="122" t="s">
        <v>796</v>
      </c>
      <c r="K65" s="75" t="s">
        <v>564</v>
      </c>
      <c r="L65" s="109" t="s">
        <v>711</v>
      </c>
    </row>
    <row r="66" spans="1:15" ht="39.6">
      <c r="A66" s="43" t="str">
        <v>CA: Stockton - SUSD - Commodore Skills School</v>
      </c>
      <c r="B66" s="40" t="str">
        <v>CA</v>
      </c>
      <c r="C66" s="28">
        <v>7075</v>
      </c>
      <c r="D66" s="29">
        <v>24426.400000000001</v>
      </c>
      <c r="E66" s="29">
        <f t="shared" si="0"/>
        <v>-17351.400000000001</v>
      </c>
      <c r="F66" s="30">
        <f t="shared" si="3"/>
        <v>-0.71035437068090268</v>
      </c>
      <c r="G66" s="31">
        <v>26986.03</v>
      </c>
      <c r="H66" s="31">
        <f t="shared" si="1"/>
        <v>-19911.03</v>
      </c>
      <c r="I66" s="32">
        <f t="shared" si="2"/>
        <v>-0.73782731287262338</v>
      </c>
      <c r="J66" s="112" t="s">
        <v>797</v>
      </c>
      <c r="K66" s="78" t="s">
        <v>663</v>
      </c>
      <c r="L66" s="110" t="s">
        <v>745</v>
      </c>
      <c r="M66" s="103" t="s">
        <v>664</v>
      </c>
      <c r="N66" s="103" t="s">
        <v>665</v>
      </c>
    </row>
    <row r="67" spans="1:15" ht="15.6">
      <c r="A67" s="41" t="str">
        <v>CA: Stockton - SUSD - Nightingale ES</v>
      </c>
      <c r="B67" s="42" t="str">
        <v>CA</v>
      </c>
      <c r="C67" s="35">
        <v>11720</v>
      </c>
      <c r="D67" s="36">
        <v>12108.65</v>
      </c>
      <c r="E67" s="36">
        <f t="shared" si="0"/>
        <v>-388.64999999999964</v>
      </c>
      <c r="F67" s="37">
        <f t="shared" si="3"/>
        <v>-3.2096889413766164E-2</v>
      </c>
      <c r="G67" s="38">
        <v>12507.14</v>
      </c>
      <c r="H67" s="38">
        <f t="shared" si="1"/>
        <v>-787.13999999999942</v>
      </c>
      <c r="I67" s="37">
        <f t="shared" si="2"/>
        <v>-6.2935251384409183E-2</v>
      </c>
      <c r="J67" s="122" t="s">
        <v>798</v>
      </c>
      <c r="K67" s="75" t="s">
        <v>431</v>
      </c>
      <c r="L67" s="109" t="s">
        <v>743</v>
      </c>
    </row>
    <row r="68" spans="1:15" ht="57.6">
      <c r="A68" s="43" t="str">
        <v>CA: Stockton - SUSD - Weber Institute</v>
      </c>
      <c r="B68" s="40" t="str">
        <v>CA</v>
      </c>
      <c r="C68" s="28">
        <v>5443.5</v>
      </c>
      <c r="D68" s="29">
        <v>46280.34</v>
      </c>
      <c r="E68" s="29">
        <f t="shared" si="0"/>
        <v>-40836.839999999997</v>
      </c>
      <c r="F68" s="30">
        <f t="shared" si="3"/>
        <v>-0.88237986151354986</v>
      </c>
      <c r="G68" s="31">
        <v>26112.99</v>
      </c>
      <c r="H68" s="31">
        <f t="shared" si="1"/>
        <v>-20669.490000000002</v>
      </c>
      <c r="I68" s="32">
        <f t="shared" si="2"/>
        <v>-0.79154053212596487</v>
      </c>
      <c r="J68" s="112" t="s">
        <v>799</v>
      </c>
      <c r="K68" s="78" t="s">
        <v>330</v>
      </c>
      <c r="L68" s="109" t="s">
        <v>763</v>
      </c>
    </row>
    <row r="69" spans="1:15" ht="28.9">
      <c r="A69" s="41" t="str">
        <v>CA: Stockton - SUSD - Warehouse</v>
      </c>
      <c r="B69" s="42" t="str">
        <v>CA</v>
      </c>
      <c r="C69" s="35">
        <v>9211.25</v>
      </c>
      <c r="D69" s="36">
        <v>20184.71</v>
      </c>
      <c r="E69" s="36">
        <f t="shared" ref="E69:E85" si="4">IF(AND(ISNUMBER(C69),ISNUMBER(D69)), C69-D69, "")</f>
        <v>-10973.46</v>
      </c>
      <c r="F69" s="37">
        <f t="shared" si="3"/>
        <v>-0.54365210102102035</v>
      </c>
      <c r="G69" s="38">
        <v>23945.84</v>
      </c>
      <c r="H69" s="38">
        <f t="shared" ref="H69:H85" si="5">IF(AND(ISNUMBER(C69),ISNUMBER(G69)), C69-G69, "")</f>
        <v>-14734.59</v>
      </c>
      <c r="I69" s="37">
        <f t="shared" ref="I69:I85" si="6">IFERROR(H69/G69, "")</f>
        <v>-0.61532984434874705</v>
      </c>
      <c r="J69" s="122" t="s">
        <v>800</v>
      </c>
      <c r="K69" s="75" t="s">
        <v>801</v>
      </c>
      <c r="L69" s="109" t="s">
        <v>711</v>
      </c>
      <c r="M69" s="103" t="s">
        <v>802</v>
      </c>
    </row>
    <row r="70" spans="1:15" ht="43.15">
      <c r="A70" s="43" t="str">
        <v>CA: Stockton - SUSD - Walton Special Center</v>
      </c>
      <c r="B70" s="40" t="str">
        <v>CA</v>
      </c>
      <c r="C70" s="28">
        <v>9518.5</v>
      </c>
      <c r="D70" s="29">
        <v>16238.66</v>
      </c>
      <c r="E70" s="29">
        <f t="shared" si="4"/>
        <v>-6720.16</v>
      </c>
      <c r="F70" s="30">
        <f t="shared" ref="F70:F85" si="7">IFERROR(E70/D70, "")</f>
        <v>-0.41383710232248228</v>
      </c>
      <c r="G70" s="31">
        <v>17097.36</v>
      </c>
      <c r="H70" s="31">
        <f t="shared" si="5"/>
        <v>-7578.8600000000006</v>
      </c>
      <c r="I70" s="32">
        <f t="shared" si="6"/>
        <v>-0.44327662282364061</v>
      </c>
      <c r="J70" s="112" t="s">
        <v>667</v>
      </c>
      <c r="K70" s="78" t="s">
        <v>803</v>
      </c>
      <c r="L70" s="110" t="s">
        <v>804</v>
      </c>
      <c r="M70" s="103" t="s">
        <v>669</v>
      </c>
      <c r="N70" s="103" t="s">
        <v>571</v>
      </c>
    </row>
    <row r="71" spans="1:15" ht="57.6">
      <c r="A71" s="41" t="str">
        <v>CA: Stockton - SUSD - Stagg HS</v>
      </c>
      <c r="B71" s="42" t="str">
        <v>CA</v>
      </c>
      <c r="C71" s="35">
        <v>55911</v>
      </c>
      <c r="D71" s="36">
        <v>66469.119999999995</v>
      </c>
      <c r="E71" s="36">
        <f t="shared" si="4"/>
        <v>-10558.119999999995</v>
      </c>
      <c r="F71" s="37">
        <f t="shared" si="7"/>
        <v>-0.15884248204278914</v>
      </c>
      <c r="G71" s="38">
        <v>68223.509999999995</v>
      </c>
      <c r="H71" s="38">
        <f t="shared" si="5"/>
        <v>-12312.509999999995</v>
      </c>
      <c r="I71" s="37">
        <f t="shared" si="6"/>
        <v>-0.18047312429395668</v>
      </c>
      <c r="J71" s="122" t="s">
        <v>435</v>
      </c>
      <c r="K71" s="75" t="s">
        <v>670</v>
      </c>
      <c r="L71" s="110" t="s">
        <v>805</v>
      </c>
      <c r="M71" s="103" t="s">
        <v>437</v>
      </c>
    </row>
    <row r="72" spans="1:15" ht="28.9">
      <c r="A72" s="43" t="str">
        <v>CA: Stockton - SUSD - School for Adults</v>
      </c>
      <c r="B72" s="40" t="str">
        <v>CA</v>
      </c>
      <c r="C72" s="28">
        <v>3313.25</v>
      </c>
      <c r="D72" s="29">
        <v>13935.62</v>
      </c>
      <c r="E72" s="29">
        <f t="shared" si="4"/>
        <v>-10622.37</v>
      </c>
      <c r="F72" s="30">
        <f t="shared" si="7"/>
        <v>-0.76224595676403351</v>
      </c>
      <c r="G72" s="31">
        <v>14894.81</v>
      </c>
      <c r="H72" s="31">
        <f t="shared" si="5"/>
        <v>-11581.56</v>
      </c>
      <c r="I72" s="32">
        <f t="shared" si="6"/>
        <v>-0.77755674627605187</v>
      </c>
      <c r="J72" s="112" t="s">
        <v>438</v>
      </c>
      <c r="K72" s="78" t="s">
        <v>338</v>
      </c>
      <c r="L72" s="109" t="s">
        <v>763</v>
      </c>
    </row>
    <row r="73" spans="1:15" ht="43.15">
      <c r="A73" s="41" t="str">
        <v>CA: Stockton - SUSD - San Joaquin</v>
      </c>
      <c r="B73" s="42" t="str">
        <v>CA</v>
      </c>
      <c r="C73" s="35">
        <v>6373</v>
      </c>
      <c r="D73" s="36">
        <v>11645.14</v>
      </c>
      <c r="E73" s="36">
        <f t="shared" si="4"/>
        <v>-5272.1399999999994</v>
      </c>
      <c r="F73" s="37">
        <f t="shared" si="7"/>
        <v>-0.45273307147874559</v>
      </c>
      <c r="G73" s="38">
        <v>13285.86</v>
      </c>
      <c r="H73" s="38">
        <f t="shared" si="5"/>
        <v>-6912.8600000000006</v>
      </c>
      <c r="I73" s="37">
        <f t="shared" si="6"/>
        <v>-0.52031708899536799</v>
      </c>
      <c r="J73" s="122" t="s">
        <v>806</v>
      </c>
      <c r="K73" s="75" t="s">
        <v>807</v>
      </c>
      <c r="L73" s="110" t="s">
        <v>805</v>
      </c>
      <c r="M73" s="103" t="s">
        <v>808</v>
      </c>
    </row>
    <row r="74" spans="1:15" ht="55.5" customHeight="1">
      <c r="A74" s="43" t="str">
        <v>CA: Stockton - SUSD - Rio Calaveras</v>
      </c>
      <c r="B74" s="40" t="str">
        <v>CA</v>
      </c>
      <c r="C74" s="28">
        <v>0</v>
      </c>
      <c r="D74" s="29">
        <v>0</v>
      </c>
      <c r="E74" s="29">
        <f t="shared" si="4"/>
        <v>0</v>
      </c>
      <c r="F74" s="30" t="str">
        <f t="shared" si="7"/>
        <v/>
      </c>
      <c r="G74" s="31">
        <v>0</v>
      </c>
      <c r="H74" s="31">
        <f t="shared" si="5"/>
        <v>0</v>
      </c>
      <c r="I74" s="32" t="str">
        <f t="shared" si="6"/>
        <v/>
      </c>
      <c r="J74" s="112" t="s">
        <v>809</v>
      </c>
      <c r="K74" s="78" t="s">
        <v>810</v>
      </c>
      <c r="L74" s="110" t="s">
        <v>811</v>
      </c>
      <c r="M74" s="103" t="s">
        <v>812</v>
      </c>
    </row>
    <row r="75" spans="1:15" ht="34.9" customHeight="1">
      <c r="A75" s="41" t="str">
        <v>CA: Stockton - SUSD - Peyton</v>
      </c>
      <c r="B75" s="42" t="str">
        <v>CA</v>
      </c>
      <c r="C75" s="35">
        <v>27793</v>
      </c>
      <c r="D75" s="36">
        <v>31669.48</v>
      </c>
      <c r="E75" s="36">
        <f t="shared" si="4"/>
        <v>-3876.4799999999996</v>
      </c>
      <c r="F75" s="37">
        <f t="shared" si="7"/>
        <v>-0.12240428324052051</v>
      </c>
      <c r="G75" s="38">
        <v>29649.49</v>
      </c>
      <c r="H75" s="38">
        <f t="shared" si="5"/>
        <v>-1856.4900000000016</v>
      </c>
      <c r="I75" s="37">
        <f t="shared" si="6"/>
        <v>-6.261456773792741E-2</v>
      </c>
      <c r="J75" s="122" t="s">
        <v>813</v>
      </c>
      <c r="K75" s="75" t="s">
        <v>814</v>
      </c>
      <c r="L75" s="110" t="s">
        <v>815</v>
      </c>
      <c r="M75" s="103" t="s">
        <v>816</v>
      </c>
      <c r="N75" s="103" t="s">
        <v>816</v>
      </c>
    </row>
    <row r="76" spans="1:15" ht="72">
      <c r="A76" s="43" t="str">
        <v>TX: Barnhart - 42917 Ranch RD 2469</v>
      </c>
      <c r="B76" s="40" t="str">
        <v>TX</v>
      </c>
      <c r="C76" s="28">
        <v>220860</v>
      </c>
      <c r="D76" s="29">
        <v>237693.9</v>
      </c>
      <c r="E76" s="29">
        <f t="shared" si="4"/>
        <v>-16833.899999999994</v>
      </c>
      <c r="F76" s="30">
        <f t="shared" si="7"/>
        <v>-7.0821758572685273E-2</v>
      </c>
      <c r="G76" s="31">
        <v>201711.6</v>
      </c>
      <c r="H76" s="31">
        <f t="shared" si="5"/>
        <v>19148.399999999994</v>
      </c>
      <c r="I76" s="32">
        <f t="shared" si="6"/>
        <v>9.4929592546982883E-2</v>
      </c>
      <c r="J76" s="112" t="s">
        <v>817</v>
      </c>
      <c r="K76" s="78" t="s">
        <v>818</v>
      </c>
      <c r="L76" s="110" t="s">
        <v>819</v>
      </c>
      <c r="M76" s="103" t="s">
        <v>583</v>
      </c>
      <c r="N76" s="103" t="s">
        <v>585</v>
      </c>
      <c r="O76" s="103" t="s">
        <v>820</v>
      </c>
    </row>
    <row r="77" spans="1:15" ht="30.75" customHeight="1">
      <c r="A77" s="41" t="str">
        <v>AZ: San Manuel - Senior &amp; Junior HS</v>
      </c>
      <c r="B77" s="42" t="str">
        <v>AZ</v>
      </c>
      <c r="C77" s="35">
        <v>37594</v>
      </c>
      <c r="D77" s="36" t="s">
        <v>43</v>
      </c>
      <c r="E77" s="36" t="str">
        <f t="shared" si="4"/>
        <v/>
      </c>
      <c r="F77" s="37" t="str">
        <f t="shared" si="7"/>
        <v/>
      </c>
      <c r="G77" s="38">
        <v>35690</v>
      </c>
      <c r="H77" s="38">
        <f t="shared" si="5"/>
        <v>1904</v>
      </c>
      <c r="I77" s="37">
        <f t="shared" si="6"/>
        <v>5.3348276828243203E-2</v>
      </c>
      <c r="J77" s="122" t="s">
        <v>821</v>
      </c>
      <c r="K77" s="75" t="s">
        <v>822</v>
      </c>
      <c r="L77" s="109" t="s">
        <v>743</v>
      </c>
      <c r="M77" s="103" t="s">
        <v>676</v>
      </c>
    </row>
    <row r="78" spans="1:15" ht="86.45">
      <c r="A78" s="43" t="str">
        <v>AZ: Sierra Vista - Colonel Smith MS</v>
      </c>
      <c r="B78" s="40" t="str">
        <v>AZ</v>
      </c>
      <c r="C78" s="28">
        <v>34420</v>
      </c>
      <c r="D78" s="29">
        <v>60818.23</v>
      </c>
      <c r="E78" s="29">
        <f t="shared" si="4"/>
        <v>-26398.230000000003</v>
      </c>
      <c r="F78" s="30">
        <f t="shared" si="7"/>
        <v>-0.43405127048255104</v>
      </c>
      <c r="G78" s="31">
        <v>48040.27</v>
      </c>
      <c r="H78" s="31">
        <f t="shared" si="5"/>
        <v>-13620.269999999997</v>
      </c>
      <c r="I78" s="32">
        <f t="shared" si="6"/>
        <v>-0.28351776540806284</v>
      </c>
      <c r="J78" s="112" t="s">
        <v>823</v>
      </c>
      <c r="K78" s="78" t="s">
        <v>450</v>
      </c>
      <c r="L78" s="109" t="s">
        <v>743</v>
      </c>
    </row>
    <row r="79" spans="1:15" ht="43.15">
      <c r="A79" s="41" t="str">
        <v>AZ: Sierra Vista - Colonel Johnston ES</v>
      </c>
      <c r="B79" s="42" t="str">
        <v>AZ</v>
      </c>
      <c r="C79" s="35">
        <v>11490</v>
      </c>
      <c r="D79" s="36">
        <v>20598.810000000001</v>
      </c>
      <c r="E79" s="36">
        <f t="shared" si="4"/>
        <v>-9108.8100000000013</v>
      </c>
      <c r="F79" s="37">
        <f t="shared" si="7"/>
        <v>-0.44220078732703494</v>
      </c>
      <c r="G79" s="38">
        <v>16215.11</v>
      </c>
      <c r="H79" s="38">
        <f t="shared" si="5"/>
        <v>-4725.1100000000006</v>
      </c>
      <c r="I79" s="37">
        <f t="shared" si="6"/>
        <v>-0.29140166178336135</v>
      </c>
      <c r="J79" s="122" t="s">
        <v>451</v>
      </c>
      <c r="K79" s="75" t="s">
        <v>452</v>
      </c>
      <c r="L79" s="109" t="s">
        <v>743</v>
      </c>
    </row>
    <row r="80" spans="1:15" ht="57.6">
      <c r="A80" s="43" t="str">
        <v>NH: Dover - Dover HS</v>
      </c>
      <c r="B80" s="40" t="str">
        <v>NH</v>
      </c>
      <c r="C80" s="28">
        <v>66369.5</v>
      </c>
      <c r="D80" s="29">
        <v>88229.68</v>
      </c>
      <c r="E80" s="29">
        <f t="shared" si="4"/>
        <v>-21860.179999999993</v>
      </c>
      <c r="F80" s="30">
        <f t="shared" si="7"/>
        <v>-0.24776447109408076</v>
      </c>
      <c r="G80" s="31">
        <v>70388.639999999999</v>
      </c>
      <c r="H80" s="31">
        <f t="shared" si="5"/>
        <v>-4019.1399999999994</v>
      </c>
      <c r="I80" s="32">
        <f t="shared" si="6"/>
        <v>-5.7099270564113749E-2</v>
      </c>
      <c r="J80" s="112" t="s">
        <v>453</v>
      </c>
      <c r="K80" s="78" t="s">
        <v>454</v>
      </c>
      <c r="L80" s="109" t="s">
        <v>743</v>
      </c>
    </row>
    <row r="81" spans="1:13" ht="72">
      <c r="A81" s="41" t="str">
        <v>MA: Somerville - 30 Inner Belt Rd</v>
      </c>
      <c r="B81" s="42" t="str">
        <v>MA</v>
      </c>
      <c r="C81" s="35">
        <v>59318.5</v>
      </c>
      <c r="D81" s="36">
        <v>58694.21</v>
      </c>
      <c r="E81" s="36">
        <f t="shared" si="4"/>
        <v>624.29000000000087</v>
      </c>
      <c r="F81" s="37">
        <f t="shared" si="7"/>
        <v>1.0636313190006321E-2</v>
      </c>
      <c r="G81" s="38">
        <v>110638.8</v>
      </c>
      <c r="H81" s="38">
        <f t="shared" si="5"/>
        <v>-51320.3</v>
      </c>
      <c r="I81" s="37">
        <f t="shared" si="6"/>
        <v>-0.46385445250671559</v>
      </c>
      <c r="J81" s="122" t="s">
        <v>455</v>
      </c>
      <c r="K81" s="122"/>
    </row>
    <row r="82" spans="1:13" ht="43.15">
      <c r="A82" s="43" t="str">
        <v>MA: Boxborough - 1414 Massachusetts Ave</v>
      </c>
      <c r="B82" s="40" t="str">
        <v>MA</v>
      </c>
      <c r="C82" s="28">
        <v>544017.11264845706</v>
      </c>
      <c r="D82" s="29">
        <v>294017.3</v>
      </c>
      <c r="E82" s="29">
        <f t="shared" si="4"/>
        <v>249999.81264845707</v>
      </c>
      <c r="F82" s="30">
        <f t="shared" si="7"/>
        <v>0.85028946476434231</v>
      </c>
      <c r="G82" s="31">
        <v>545300</v>
      </c>
      <c r="H82" s="31">
        <f t="shared" si="5"/>
        <v>-1282.8873515429441</v>
      </c>
      <c r="I82" s="32">
        <f t="shared" si="6"/>
        <v>-2.3526267220666496E-3</v>
      </c>
      <c r="J82" s="112" t="s">
        <v>824</v>
      </c>
      <c r="K82" s="78" t="s">
        <v>825</v>
      </c>
      <c r="L82" s="111" t="s">
        <v>743</v>
      </c>
    </row>
    <row r="83" spans="1:13" ht="43.15">
      <c r="A83" s="41" t="str">
        <v>NY: Amsterdam - 153 NY Route 67</v>
      </c>
      <c r="B83" s="42" t="str">
        <v>NY</v>
      </c>
      <c r="C83" s="35">
        <v>283742</v>
      </c>
      <c r="D83" s="36">
        <v>242979.8</v>
      </c>
      <c r="E83" s="36">
        <f t="shared" si="4"/>
        <v>40762.200000000012</v>
      </c>
      <c r="F83" s="37">
        <f t="shared" si="7"/>
        <v>0.1677596244626097</v>
      </c>
      <c r="G83" s="38">
        <v>262933.59999999998</v>
      </c>
      <c r="H83" s="38">
        <f t="shared" si="5"/>
        <v>20808.400000000023</v>
      </c>
      <c r="I83" s="37">
        <f t="shared" si="6"/>
        <v>7.9139372069602462E-2</v>
      </c>
      <c r="J83" s="122" t="s">
        <v>683</v>
      </c>
      <c r="K83" s="75" t="s">
        <v>826</v>
      </c>
      <c r="L83" s="110" t="s">
        <v>827</v>
      </c>
      <c r="M83" s="103" t="s">
        <v>462</v>
      </c>
    </row>
    <row r="84" spans="1:13" ht="15.6">
      <c r="A84" s="43" t="str">
        <v>CA: San Jose - GE Mobile Water</v>
      </c>
      <c r="B84" s="40" t="str">
        <v>CA</v>
      </c>
      <c r="C84" s="28">
        <v>19410</v>
      </c>
      <c r="D84" s="29">
        <v>20633.2</v>
      </c>
      <c r="E84" s="29">
        <f t="shared" si="4"/>
        <v>-1223.2000000000007</v>
      </c>
      <c r="F84" s="30">
        <f t="shared" si="7"/>
        <v>-5.9283097144408076E-2</v>
      </c>
      <c r="G84" s="31">
        <v>20411.77</v>
      </c>
      <c r="H84" s="31">
        <f t="shared" si="5"/>
        <v>-1001.7700000000004</v>
      </c>
      <c r="I84" s="32">
        <f t="shared" si="6"/>
        <v>-4.9078056435086247E-2</v>
      </c>
      <c r="J84" s="112" t="s">
        <v>828</v>
      </c>
      <c r="K84" s="78" t="s">
        <v>829</v>
      </c>
      <c r="L84" s="109" t="s">
        <v>830</v>
      </c>
    </row>
    <row r="85" spans="1:13" ht="15.6">
      <c r="A85" s="41" t="str">
        <v>NY: Rome - 7776 Tannery RD</v>
      </c>
      <c r="B85" s="42" t="str">
        <v>NY</v>
      </c>
      <c r="C85" s="35">
        <v>287375.31543624401</v>
      </c>
      <c r="D85" s="36">
        <v>307686.2</v>
      </c>
      <c r="E85" s="36">
        <f t="shared" si="4"/>
        <v>-20310.884563756001</v>
      </c>
      <c r="F85" s="37">
        <f t="shared" si="7"/>
        <v>-6.6011685164157508E-2</v>
      </c>
      <c r="G85" s="38">
        <v>265023.09999999998</v>
      </c>
      <c r="H85" s="38">
        <f t="shared" si="5"/>
        <v>22352.215436244034</v>
      </c>
      <c r="I85" s="37">
        <f t="shared" si="6"/>
        <v>8.4340630821404E-2</v>
      </c>
      <c r="J85" s="122"/>
      <c r="K85" s="122"/>
    </row>
    <row r="86" spans="1:13">
      <c r="A86" s="8"/>
      <c r="B86" s="13"/>
      <c r="C86" s="8"/>
      <c r="D86" s="8"/>
      <c r="E86" s="8"/>
      <c r="F86" s="9"/>
      <c r="G86" s="8"/>
      <c r="H86" s="8"/>
      <c r="I86" s="9"/>
    </row>
    <row r="87" spans="1:13">
      <c r="A87" s="8"/>
      <c r="B87" s="13"/>
      <c r="C87" s="8"/>
      <c r="D87" s="8"/>
      <c r="E87" s="8"/>
      <c r="F87" s="9"/>
      <c r="G87" s="8"/>
      <c r="H87" s="8"/>
      <c r="I87" s="9"/>
    </row>
    <row r="88" spans="1:13">
      <c r="A88" s="8"/>
      <c r="B88" s="13"/>
      <c r="C88" s="8"/>
      <c r="D88" s="8"/>
      <c r="E88" s="8"/>
      <c r="F88" s="9"/>
      <c r="G88" s="8"/>
      <c r="H88" s="8"/>
      <c r="I88" s="9"/>
    </row>
    <row r="89" spans="1:13">
      <c r="A89" s="8"/>
      <c r="B89" s="13"/>
      <c r="C89" s="8"/>
      <c r="D89" s="8"/>
      <c r="E89" s="8"/>
      <c r="F89" s="9"/>
      <c r="G89" s="8"/>
      <c r="H89" s="8"/>
      <c r="I89" s="9"/>
    </row>
    <row r="90" spans="1:13">
      <c r="A90" s="8"/>
      <c r="B90" s="13"/>
      <c r="C90" s="8"/>
      <c r="D90" s="8"/>
      <c r="E90" s="8"/>
      <c r="F90" s="9"/>
      <c r="G90" s="8"/>
      <c r="H90" s="8"/>
      <c r="I90" s="9"/>
    </row>
    <row r="91" spans="1:13">
      <c r="A91" s="8"/>
      <c r="B91" s="13"/>
      <c r="C91" s="8"/>
      <c r="D91" s="8"/>
      <c r="E91" s="8"/>
      <c r="F91" s="9"/>
      <c r="G91" s="8"/>
      <c r="H91" s="8"/>
      <c r="I91" s="9"/>
    </row>
    <row r="92" spans="1:13">
      <c r="A92" s="8"/>
      <c r="B92" s="13"/>
      <c r="C92" s="8"/>
      <c r="D92" s="8"/>
      <c r="E92" s="8"/>
      <c r="F92" s="9"/>
      <c r="G92" s="8"/>
      <c r="H92" s="8"/>
      <c r="I92" s="9"/>
    </row>
    <row r="93" spans="1:13">
      <c r="A93" s="8"/>
      <c r="B93" s="13"/>
      <c r="C93" s="8"/>
      <c r="D93" s="8"/>
      <c r="E93" s="8"/>
      <c r="F93" s="9"/>
      <c r="G93" s="8"/>
      <c r="H93" s="8"/>
      <c r="I93" s="9"/>
    </row>
    <row r="94" spans="1:13">
      <c r="A94" s="8"/>
      <c r="B94" s="13"/>
      <c r="C94" s="8"/>
      <c r="D94" s="8"/>
      <c r="E94" s="8"/>
      <c r="F94" s="9"/>
      <c r="G94" s="8"/>
      <c r="H94" s="8"/>
      <c r="I94" s="9"/>
    </row>
    <row r="95" spans="1:13">
      <c r="A95" s="8"/>
      <c r="B95" s="13"/>
      <c r="C95" s="8"/>
      <c r="D95" s="8"/>
      <c r="E95" s="8"/>
      <c r="F95" s="9"/>
      <c r="G95" s="8"/>
      <c r="H95" s="8"/>
      <c r="I95" s="9"/>
    </row>
    <row r="96" spans="1:13">
      <c r="A96" s="8"/>
      <c r="B96" s="13"/>
      <c r="C96" s="8"/>
      <c r="D96" s="8"/>
      <c r="E96" s="8"/>
      <c r="F96" s="9"/>
      <c r="G96" s="8"/>
      <c r="H96" s="8"/>
      <c r="I96" s="9"/>
    </row>
    <row r="97" spans="1:9">
      <c r="A97" s="8"/>
      <c r="B97" s="13"/>
      <c r="C97" s="8"/>
      <c r="D97" s="8"/>
      <c r="E97" s="8"/>
      <c r="F97" s="9"/>
      <c r="G97" s="8"/>
      <c r="H97" s="8"/>
      <c r="I97" s="9"/>
    </row>
    <row r="98" spans="1:9">
      <c r="A98" s="8"/>
      <c r="B98" s="13"/>
      <c r="C98" s="8"/>
      <c r="D98" s="8"/>
      <c r="E98" s="8"/>
      <c r="F98" s="9"/>
      <c r="G98" s="8"/>
      <c r="H98" s="8"/>
      <c r="I98" s="9"/>
    </row>
    <row r="99" spans="1:9">
      <c r="A99" s="8"/>
      <c r="B99" s="13"/>
      <c r="C99" s="8"/>
      <c r="D99" s="8"/>
      <c r="E99" s="8"/>
      <c r="F99" s="9"/>
      <c r="G99" s="8"/>
      <c r="H99" s="8"/>
      <c r="I99" s="9"/>
    </row>
    <row r="100" spans="1:9">
      <c r="A100" s="8"/>
      <c r="B100" s="13"/>
      <c r="C100" s="8"/>
      <c r="D100" s="8"/>
      <c r="E100" s="8"/>
      <c r="F100" s="9"/>
      <c r="G100" s="8"/>
      <c r="H100" s="8"/>
      <c r="I100" s="9"/>
    </row>
    <row r="101" spans="1:9">
      <c r="A101" s="8"/>
      <c r="B101" s="13"/>
      <c r="C101" s="8"/>
      <c r="D101" s="8"/>
      <c r="E101" s="8"/>
      <c r="F101" s="9"/>
      <c r="G101" s="8"/>
      <c r="H101" s="8"/>
      <c r="I101" s="9"/>
    </row>
    <row r="102" spans="1:9">
      <c r="A102" s="8"/>
      <c r="B102" s="13"/>
      <c r="C102" s="8"/>
      <c r="D102" s="8"/>
      <c r="E102" s="8"/>
      <c r="F102" s="9"/>
      <c r="G102" s="8"/>
      <c r="H102" s="8"/>
      <c r="I102" s="9"/>
    </row>
    <row r="103" spans="1:9">
      <c r="A103" s="8"/>
      <c r="B103" s="13"/>
      <c r="C103" s="8"/>
      <c r="D103" s="8"/>
      <c r="E103" s="8"/>
      <c r="F103" s="9"/>
      <c r="G103" s="8"/>
      <c r="H103" s="8"/>
      <c r="I103" s="9"/>
    </row>
    <row r="104" spans="1:9">
      <c r="A104" s="8"/>
      <c r="B104" s="13"/>
      <c r="C104" s="8"/>
      <c r="D104" s="8"/>
      <c r="E104" s="8"/>
      <c r="F104" s="9"/>
      <c r="G104" s="8"/>
      <c r="H104" s="8"/>
      <c r="I104" s="9"/>
    </row>
    <row r="105" spans="1:9">
      <c r="A105" s="8"/>
      <c r="B105" s="13"/>
      <c r="C105" s="8"/>
      <c r="D105" s="8"/>
      <c r="E105" s="8"/>
      <c r="F105" s="9"/>
      <c r="G105" s="8"/>
      <c r="H105" s="8"/>
      <c r="I105" s="9"/>
    </row>
    <row r="106" spans="1:9">
      <c r="A106" s="8"/>
      <c r="B106" s="13"/>
      <c r="C106" s="8"/>
      <c r="D106" s="8"/>
      <c r="E106" s="8"/>
      <c r="F106" s="9"/>
      <c r="G106" s="8"/>
      <c r="H106" s="8"/>
      <c r="I106" s="9"/>
    </row>
    <row r="107" spans="1:9">
      <c r="A107" s="8"/>
      <c r="B107" s="13"/>
      <c r="C107" s="8"/>
      <c r="D107" s="8"/>
      <c r="E107" s="8"/>
      <c r="F107" s="9"/>
      <c r="G107" s="8"/>
      <c r="H107" s="8"/>
      <c r="I107" s="9"/>
    </row>
    <row r="108" spans="1:9">
      <c r="A108" s="8"/>
      <c r="B108" s="13"/>
      <c r="C108" s="8"/>
      <c r="D108" s="8"/>
      <c r="E108" s="8"/>
      <c r="F108" s="9"/>
      <c r="G108" s="8"/>
      <c r="H108" s="8"/>
      <c r="I108" s="9"/>
    </row>
    <row r="109" spans="1:9">
      <c r="A109" s="8"/>
      <c r="B109" s="13"/>
      <c r="C109" s="8"/>
      <c r="D109" s="8"/>
      <c r="E109" s="8"/>
      <c r="F109" s="9"/>
      <c r="G109" s="8"/>
      <c r="H109" s="8"/>
      <c r="I109" s="9"/>
    </row>
    <row r="110" spans="1:9">
      <c r="A110" s="8"/>
      <c r="B110" s="13"/>
      <c r="C110" s="8"/>
      <c r="D110" s="8"/>
      <c r="E110" s="8"/>
      <c r="F110" s="9"/>
      <c r="G110" s="8"/>
      <c r="H110" s="8"/>
      <c r="I110" s="9"/>
    </row>
    <row r="111" spans="1:9">
      <c r="A111" s="8"/>
      <c r="B111" s="13"/>
      <c r="C111" s="8"/>
      <c r="D111" s="8"/>
      <c r="E111" s="8"/>
      <c r="F111" s="9"/>
      <c r="G111" s="8"/>
      <c r="H111" s="8"/>
      <c r="I111" s="9"/>
    </row>
    <row r="112" spans="1:9">
      <c r="A112" s="8"/>
      <c r="B112" s="13"/>
      <c r="C112" s="8"/>
      <c r="D112" s="8"/>
      <c r="E112" s="8"/>
      <c r="F112" s="9"/>
      <c r="G112" s="8"/>
      <c r="H112" s="8"/>
      <c r="I112" s="9"/>
    </row>
    <row r="113" spans="1:9">
      <c r="A113" s="8"/>
      <c r="B113" s="13"/>
      <c r="C113" s="8"/>
      <c r="D113" s="8"/>
      <c r="E113" s="8"/>
      <c r="F113" s="9"/>
      <c r="G113" s="8"/>
      <c r="H113" s="8"/>
      <c r="I113" s="9"/>
    </row>
    <row r="114" spans="1:9">
      <c r="A114" s="8"/>
      <c r="B114" s="13"/>
      <c r="C114" s="8"/>
      <c r="D114" s="8"/>
      <c r="E114" s="8"/>
      <c r="F114" s="9"/>
      <c r="G114" s="8"/>
      <c r="H114" s="8"/>
      <c r="I114" s="9"/>
    </row>
    <row r="115" spans="1:9">
      <c r="A115" s="8"/>
      <c r="B115" s="13"/>
      <c r="C115" s="8"/>
      <c r="D115" s="8"/>
      <c r="E115" s="8"/>
      <c r="F115" s="9"/>
      <c r="G115" s="8"/>
      <c r="H115" s="8"/>
      <c r="I115" s="9"/>
    </row>
    <row r="116" spans="1:9">
      <c r="A116" s="8"/>
      <c r="B116" s="13"/>
      <c r="C116" s="8"/>
      <c r="D116" s="8"/>
      <c r="E116" s="8"/>
      <c r="F116" s="9"/>
      <c r="G116" s="8"/>
      <c r="H116" s="8"/>
      <c r="I116" s="9"/>
    </row>
    <row r="117" spans="1:9">
      <c r="A117" s="8"/>
      <c r="B117" s="13"/>
      <c r="C117" s="8"/>
      <c r="D117" s="8"/>
      <c r="E117" s="8"/>
      <c r="F117" s="9"/>
      <c r="G117" s="8"/>
      <c r="H117" s="8"/>
      <c r="I117" s="9"/>
    </row>
    <row r="118" spans="1:9">
      <c r="A118" s="8"/>
      <c r="B118" s="13"/>
      <c r="C118" s="8"/>
      <c r="D118" s="8"/>
      <c r="E118" s="8"/>
      <c r="F118" s="9"/>
      <c r="G118" s="8"/>
      <c r="H118" s="8"/>
      <c r="I118" s="9"/>
    </row>
    <row r="119" spans="1:9">
      <c r="A119" s="8"/>
      <c r="B119" s="13"/>
      <c r="C119" s="8"/>
      <c r="D119" s="8"/>
      <c r="E119" s="8"/>
      <c r="F119" s="9"/>
      <c r="G119" s="8"/>
      <c r="H119" s="8"/>
      <c r="I119" s="9"/>
    </row>
    <row r="120" spans="1:9">
      <c r="A120" s="8"/>
      <c r="B120" s="13"/>
      <c r="C120" s="8"/>
      <c r="D120" s="8"/>
      <c r="E120" s="8"/>
      <c r="F120" s="9"/>
      <c r="G120" s="8"/>
      <c r="H120" s="8"/>
      <c r="I120" s="9"/>
    </row>
    <row r="121" spans="1:9">
      <c r="A121" s="8"/>
      <c r="B121" s="13"/>
      <c r="C121" s="8"/>
      <c r="D121" s="8"/>
      <c r="E121" s="8"/>
      <c r="F121" s="9"/>
      <c r="G121" s="8"/>
      <c r="H121" s="8"/>
      <c r="I121" s="9"/>
    </row>
    <row r="122" spans="1:9">
      <c r="A122" s="8"/>
      <c r="B122" s="13"/>
      <c r="C122" s="8"/>
      <c r="D122" s="8"/>
      <c r="E122" s="8"/>
      <c r="F122" s="9"/>
      <c r="G122" s="8"/>
      <c r="H122" s="8"/>
      <c r="I122" s="9"/>
    </row>
    <row r="123" spans="1:9">
      <c r="A123" s="8"/>
      <c r="B123" s="13"/>
      <c r="C123" s="8"/>
      <c r="D123" s="8"/>
      <c r="E123" s="8"/>
      <c r="F123" s="9"/>
      <c r="G123" s="8"/>
      <c r="H123" s="8"/>
      <c r="I123" s="9"/>
    </row>
    <row r="124" spans="1:9">
      <c r="A124" s="8"/>
      <c r="B124" s="13"/>
      <c r="C124" s="8"/>
      <c r="D124" s="8"/>
      <c r="E124" s="8"/>
      <c r="F124" s="9"/>
      <c r="G124" s="8"/>
      <c r="H124" s="8"/>
      <c r="I124" s="9"/>
    </row>
    <row r="125" spans="1:9">
      <c r="A125" s="8"/>
      <c r="B125" s="13"/>
      <c r="C125" s="8"/>
      <c r="D125" s="8"/>
      <c r="E125" s="8"/>
      <c r="F125" s="9"/>
      <c r="G125" s="8"/>
      <c r="H125" s="8"/>
      <c r="I125" s="9"/>
    </row>
    <row r="126" spans="1:9">
      <c r="A126" s="8"/>
      <c r="B126" s="13"/>
      <c r="C126" s="8"/>
      <c r="D126" s="8"/>
      <c r="E126" s="8"/>
      <c r="F126" s="9"/>
      <c r="G126" s="8"/>
      <c r="H126" s="8"/>
      <c r="I126" s="9"/>
    </row>
    <row r="127" spans="1:9">
      <c r="A127" s="8"/>
      <c r="B127" s="13"/>
      <c r="C127" s="8"/>
      <c r="D127" s="8"/>
      <c r="E127" s="8"/>
      <c r="F127" s="9"/>
      <c r="G127" s="8"/>
      <c r="H127" s="8"/>
      <c r="I127" s="9"/>
    </row>
    <row r="128" spans="1:9">
      <c r="A128" s="8"/>
      <c r="B128" s="13"/>
      <c r="C128" s="8"/>
      <c r="D128" s="8"/>
      <c r="E128" s="8"/>
      <c r="F128" s="9"/>
      <c r="G128" s="8"/>
      <c r="H128" s="8"/>
      <c r="I128" s="9"/>
    </row>
    <row r="129" spans="1:9">
      <c r="A129" s="8"/>
      <c r="B129" s="13"/>
      <c r="C129" s="8"/>
      <c r="D129" s="8"/>
      <c r="E129" s="8"/>
      <c r="F129" s="9"/>
      <c r="G129" s="8"/>
      <c r="H129" s="8"/>
      <c r="I129" s="9"/>
    </row>
    <row r="130" spans="1:9">
      <c r="A130" s="8"/>
      <c r="B130" s="13"/>
      <c r="C130" s="8"/>
      <c r="D130" s="8"/>
      <c r="E130" s="8"/>
      <c r="F130" s="9"/>
      <c r="G130" s="8"/>
      <c r="H130" s="8"/>
      <c r="I130" s="9"/>
    </row>
    <row r="131" spans="1:9">
      <c r="A131" s="8"/>
      <c r="B131" s="13"/>
      <c r="C131" s="8"/>
      <c r="D131" s="8"/>
      <c r="E131" s="8"/>
      <c r="F131" s="9"/>
      <c r="G131" s="8"/>
      <c r="H131" s="8"/>
      <c r="I131" s="9"/>
    </row>
    <row r="132" spans="1:9">
      <c r="A132" s="8"/>
      <c r="B132" s="13"/>
      <c r="C132" s="8"/>
      <c r="D132" s="8"/>
      <c r="E132" s="8"/>
      <c r="F132" s="9"/>
      <c r="G132" s="8"/>
      <c r="H132" s="8"/>
      <c r="I132" s="9"/>
    </row>
    <row r="133" spans="1:9">
      <c r="A133" s="8"/>
      <c r="B133" s="13"/>
      <c r="C133" s="8"/>
      <c r="D133" s="8"/>
      <c r="E133" s="8"/>
      <c r="F133" s="9"/>
      <c r="G133" s="8"/>
      <c r="H133" s="8"/>
      <c r="I133" s="9"/>
    </row>
    <row r="134" spans="1:9">
      <c r="A134" s="8"/>
      <c r="B134" s="13"/>
      <c r="C134" s="8"/>
      <c r="D134" s="8"/>
      <c r="E134" s="8"/>
      <c r="F134" s="9"/>
      <c r="G134" s="8"/>
      <c r="H134" s="8"/>
      <c r="I134" s="9"/>
    </row>
    <row r="135" spans="1:9">
      <c r="A135" s="8"/>
      <c r="B135" s="13"/>
      <c r="C135" s="8"/>
      <c r="D135" s="8"/>
      <c r="E135" s="8"/>
      <c r="F135" s="9"/>
      <c r="G135" s="8"/>
      <c r="H135" s="8"/>
      <c r="I135" s="9"/>
    </row>
    <row r="136" spans="1:9">
      <c r="A136" s="8"/>
      <c r="B136" s="13"/>
      <c r="C136" s="8"/>
      <c r="D136" s="8"/>
      <c r="E136" s="8"/>
      <c r="F136" s="9"/>
      <c r="G136" s="8"/>
      <c r="H136" s="8"/>
      <c r="I136" s="9"/>
    </row>
    <row r="137" spans="1:9">
      <c r="A137" s="8"/>
      <c r="B137" s="13"/>
      <c r="C137" s="8"/>
      <c r="D137" s="8"/>
      <c r="E137" s="8"/>
      <c r="F137" s="9"/>
      <c r="G137" s="8"/>
      <c r="H137" s="8"/>
      <c r="I137" s="9"/>
    </row>
    <row r="138" spans="1:9">
      <c r="A138" s="8"/>
      <c r="B138" s="13"/>
      <c r="C138" s="8"/>
      <c r="D138" s="8"/>
      <c r="E138" s="8"/>
      <c r="F138" s="9"/>
      <c r="G138" s="8"/>
      <c r="H138" s="8"/>
      <c r="I138" s="9"/>
    </row>
    <row r="139" spans="1:9">
      <c r="A139" s="8"/>
      <c r="B139" s="13"/>
      <c r="C139" s="8"/>
      <c r="D139" s="8"/>
      <c r="E139" s="8"/>
      <c r="F139" s="9"/>
      <c r="G139" s="8"/>
      <c r="H139" s="8"/>
      <c r="I139" s="9"/>
    </row>
    <row r="140" spans="1:9">
      <c r="A140" s="8"/>
      <c r="B140" s="13"/>
      <c r="C140" s="8"/>
      <c r="D140" s="8"/>
      <c r="E140" s="8"/>
      <c r="F140" s="9"/>
      <c r="G140" s="8"/>
      <c r="H140" s="8"/>
      <c r="I140" s="9"/>
    </row>
    <row r="141" spans="1:9">
      <c r="A141" s="8"/>
      <c r="B141" s="13"/>
      <c r="C141" s="8"/>
      <c r="D141" s="8"/>
      <c r="E141" s="8"/>
      <c r="F141" s="9"/>
      <c r="G141" s="8"/>
      <c r="H141" s="8"/>
      <c r="I141" s="9"/>
    </row>
    <row r="142" spans="1:9">
      <c r="A142" s="8"/>
      <c r="B142" s="13"/>
      <c r="C142" s="8"/>
      <c r="D142" s="8"/>
      <c r="E142" s="8"/>
      <c r="F142" s="9"/>
      <c r="G142" s="8"/>
      <c r="H142" s="8"/>
      <c r="I142" s="9"/>
    </row>
    <row r="143" spans="1:9">
      <c r="A143" s="8"/>
      <c r="B143" s="13"/>
      <c r="C143" s="8"/>
      <c r="D143" s="8"/>
      <c r="E143" s="8"/>
      <c r="F143" s="9"/>
      <c r="G143" s="8"/>
      <c r="H143" s="8"/>
      <c r="I143" s="9"/>
    </row>
    <row r="144" spans="1:9">
      <c r="A144" s="8"/>
      <c r="B144" s="13"/>
      <c r="C144" s="8"/>
      <c r="D144" s="8"/>
      <c r="E144" s="8"/>
      <c r="F144" s="9"/>
      <c r="G144" s="8"/>
      <c r="H144" s="8"/>
      <c r="I144" s="9"/>
    </row>
    <row r="145" spans="1:9">
      <c r="A145" s="8"/>
      <c r="B145" s="13"/>
      <c r="C145" s="8"/>
      <c r="D145" s="8"/>
      <c r="E145" s="8"/>
      <c r="F145" s="9"/>
      <c r="G145" s="8"/>
      <c r="H145" s="8"/>
      <c r="I145" s="9"/>
    </row>
    <row r="146" spans="1:9">
      <c r="A146" s="8"/>
      <c r="B146" s="13"/>
      <c r="C146" s="8"/>
      <c r="D146" s="8"/>
      <c r="E146" s="8"/>
      <c r="F146" s="9"/>
      <c r="G146" s="8"/>
      <c r="H146" s="8"/>
      <c r="I146" s="9"/>
    </row>
    <row r="147" spans="1:9">
      <c r="A147" s="8"/>
      <c r="B147" s="13"/>
      <c r="C147" s="8"/>
      <c r="D147" s="8"/>
      <c r="E147" s="8"/>
      <c r="F147" s="9"/>
      <c r="G147" s="8"/>
      <c r="H147" s="8"/>
      <c r="I147" s="9"/>
    </row>
    <row r="148" spans="1:9">
      <c r="A148" s="8"/>
      <c r="B148" s="13"/>
      <c r="C148" s="8"/>
      <c r="D148" s="8"/>
      <c r="E148" s="8"/>
      <c r="F148" s="9"/>
      <c r="G148" s="8"/>
      <c r="H148" s="8"/>
      <c r="I148" s="9"/>
    </row>
    <row r="149" spans="1:9">
      <c r="A149" s="8"/>
      <c r="B149" s="13"/>
      <c r="C149" s="8"/>
      <c r="D149" s="8"/>
      <c r="E149" s="8"/>
      <c r="F149" s="9"/>
      <c r="G149" s="8"/>
      <c r="H149" s="8"/>
      <c r="I149" s="9"/>
    </row>
    <row r="150" spans="1:9">
      <c r="A150" s="8"/>
      <c r="B150" s="13"/>
      <c r="C150" s="8"/>
      <c r="D150" s="8"/>
      <c r="E150" s="8"/>
      <c r="F150" s="9"/>
      <c r="G150" s="8"/>
      <c r="H150" s="8"/>
      <c r="I150" s="9"/>
    </row>
    <row r="151" spans="1:9">
      <c r="A151" s="8"/>
      <c r="B151" s="13"/>
      <c r="C151" s="8"/>
      <c r="D151" s="8"/>
      <c r="E151" s="8"/>
      <c r="F151" s="9"/>
      <c r="G151" s="8"/>
      <c r="H151" s="8"/>
      <c r="I151" s="9"/>
    </row>
    <row r="152" spans="1:9">
      <c r="A152" s="8"/>
      <c r="B152" s="13"/>
      <c r="C152" s="8"/>
      <c r="D152" s="8"/>
      <c r="E152" s="8"/>
      <c r="F152" s="9"/>
      <c r="G152" s="8"/>
      <c r="H152" s="8"/>
      <c r="I152" s="9"/>
    </row>
    <row r="153" spans="1:9">
      <c r="A153" s="8"/>
      <c r="B153" s="13"/>
      <c r="C153" s="8"/>
      <c r="D153" s="8"/>
      <c r="E153" s="8"/>
      <c r="F153" s="9"/>
      <c r="G153" s="8"/>
      <c r="H153" s="8"/>
      <c r="I153" s="9"/>
    </row>
    <row r="154" spans="1:9">
      <c r="A154" s="8"/>
      <c r="B154" s="13"/>
      <c r="C154" s="8"/>
      <c r="D154" s="8"/>
      <c r="E154" s="8"/>
      <c r="F154" s="9"/>
      <c r="G154" s="8"/>
      <c r="H154" s="8"/>
      <c r="I154" s="9"/>
    </row>
    <row r="155" spans="1:9">
      <c r="A155" s="8"/>
      <c r="B155" s="13"/>
      <c r="C155" s="8"/>
      <c r="D155" s="8"/>
      <c r="E155" s="8"/>
      <c r="F155" s="9"/>
      <c r="G155" s="8"/>
      <c r="H155" s="8"/>
      <c r="I155" s="9"/>
    </row>
    <row r="156" spans="1:9">
      <c r="A156" s="8"/>
      <c r="B156" s="13"/>
      <c r="C156" s="8"/>
      <c r="D156" s="8"/>
      <c r="E156" s="8"/>
      <c r="F156" s="9"/>
      <c r="G156" s="8"/>
      <c r="H156" s="8"/>
      <c r="I156" s="9"/>
    </row>
    <row r="157" spans="1:9">
      <c r="A157" s="8"/>
      <c r="B157" s="13"/>
      <c r="C157" s="8"/>
      <c r="D157" s="8"/>
      <c r="E157" s="8"/>
      <c r="F157" s="9"/>
      <c r="G157" s="8"/>
      <c r="H157" s="8"/>
      <c r="I157" s="9"/>
    </row>
    <row r="158" spans="1:9">
      <c r="A158" s="8"/>
      <c r="B158" s="13"/>
      <c r="C158" s="8"/>
      <c r="D158" s="8"/>
      <c r="E158" s="8"/>
      <c r="F158" s="9"/>
      <c r="G158" s="8"/>
      <c r="H158" s="8"/>
      <c r="I158" s="9"/>
    </row>
    <row r="159" spans="1:9">
      <c r="A159" s="8"/>
      <c r="B159" s="13"/>
      <c r="C159" s="8"/>
      <c r="D159" s="8"/>
      <c r="E159" s="8"/>
      <c r="F159" s="9"/>
      <c r="G159" s="8"/>
      <c r="H159" s="8"/>
      <c r="I159" s="9"/>
    </row>
    <row r="160" spans="1:9">
      <c r="A160" s="8"/>
      <c r="B160" s="13"/>
      <c r="C160" s="8"/>
      <c r="D160" s="8"/>
      <c r="E160" s="8"/>
      <c r="F160" s="9"/>
      <c r="G160" s="8"/>
      <c r="H160" s="8"/>
      <c r="I160" s="9"/>
    </row>
    <row r="161" spans="1:9">
      <c r="A161" s="8"/>
      <c r="B161" s="13"/>
      <c r="C161" s="8"/>
      <c r="D161" s="8"/>
      <c r="E161" s="8"/>
      <c r="F161" s="9"/>
      <c r="G161" s="8"/>
      <c r="H161" s="8"/>
      <c r="I161" s="9"/>
    </row>
    <row r="162" spans="1:9">
      <c r="A162" s="8"/>
      <c r="B162" s="13"/>
      <c r="C162" s="8"/>
      <c r="D162" s="8"/>
      <c r="E162" s="8"/>
      <c r="F162" s="9"/>
      <c r="G162" s="8"/>
      <c r="H162" s="8"/>
      <c r="I162" s="9"/>
    </row>
    <row r="163" spans="1:9">
      <c r="A163" s="8"/>
      <c r="B163" s="13"/>
      <c r="C163" s="8"/>
      <c r="D163" s="8"/>
      <c r="E163" s="8"/>
      <c r="F163" s="9"/>
      <c r="G163" s="8"/>
      <c r="H163" s="8"/>
      <c r="I163" s="9"/>
    </row>
    <row r="164" spans="1:9">
      <c r="A164" s="8"/>
      <c r="B164" s="13"/>
      <c r="C164" s="8"/>
      <c r="D164" s="8"/>
      <c r="E164" s="8"/>
      <c r="F164" s="9"/>
      <c r="G164" s="8"/>
      <c r="H164" s="8"/>
      <c r="I164" s="9"/>
    </row>
    <row r="165" spans="1:9">
      <c r="A165" s="8"/>
      <c r="B165" s="13"/>
      <c r="C165" s="8"/>
      <c r="D165" s="8"/>
      <c r="E165" s="8"/>
      <c r="F165" s="9"/>
      <c r="G165" s="8"/>
      <c r="H165" s="8"/>
      <c r="I165" s="9"/>
    </row>
    <row r="166" spans="1:9">
      <c r="A166" s="8"/>
      <c r="B166" s="13"/>
      <c r="C166" s="8"/>
      <c r="D166" s="8"/>
      <c r="E166" s="8"/>
      <c r="F166" s="9"/>
      <c r="G166" s="8"/>
      <c r="H166" s="8"/>
      <c r="I166" s="9"/>
    </row>
    <row r="167" spans="1:9">
      <c r="A167" s="8"/>
      <c r="B167" s="13"/>
      <c r="C167" s="8"/>
      <c r="D167" s="8"/>
      <c r="E167" s="8"/>
      <c r="F167" s="9"/>
      <c r="G167" s="8"/>
      <c r="H167" s="8"/>
      <c r="I167" s="9"/>
    </row>
    <row r="168" spans="1:9">
      <c r="A168" s="8"/>
      <c r="B168" s="13"/>
      <c r="C168" s="8"/>
      <c r="D168" s="8"/>
      <c r="E168" s="8"/>
      <c r="F168" s="9"/>
      <c r="G168" s="8"/>
      <c r="H168" s="8"/>
      <c r="I168" s="9"/>
    </row>
    <row r="169" spans="1:9">
      <c r="A169" s="8"/>
      <c r="B169" s="13"/>
      <c r="C169" s="8"/>
      <c r="D169" s="8"/>
      <c r="E169" s="8"/>
      <c r="F169" s="9"/>
      <c r="G169" s="8"/>
      <c r="H169" s="8"/>
      <c r="I169" s="9"/>
    </row>
    <row r="170" spans="1:9">
      <c r="A170" s="8"/>
      <c r="B170" s="13"/>
      <c r="C170" s="8"/>
      <c r="D170" s="8"/>
      <c r="E170" s="8"/>
      <c r="F170" s="9"/>
      <c r="G170" s="8"/>
      <c r="H170" s="8"/>
      <c r="I170" s="9"/>
    </row>
    <row r="171" spans="1:9">
      <c r="A171" s="8"/>
      <c r="B171" s="13"/>
      <c r="C171" s="8"/>
      <c r="D171" s="8"/>
      <c r="E171" s="8"/>
      <c r="F171" s="9"/>
      <c r="G171" s="8"/>
      <c r="H171" s="8"/>
      <c r="I171" s="9"/>
    </row>
    <row r="172" spans="1:9">
      <c r="A172" s="8"/>
      <c r="B172" s="13"/>
      <c r="C172" s="8"/>
      <c r="D172" s="8"/>
      <c r="E172" s="8"/>
      <c r="F172" s="9"/>
      <c r="G172" s="8"/>
      <c r="H172" s="8"/>
      <c r="I172" s="9"/>
    </row>
    <row r="173" spans="1:9">
      <c r="A173" s="8"/>
      <c r="B173" s="13"/>
      <c r="C173" s="8"/>
      <c r="D173" s="8"/>
      <c r="E173" s="8"/>
      <c r="F173" s="9"/>
      <c r="G173" s="8"/>
      <c r="H173" s="8"/>
      <c r="I173" s="9"/>
    </row>
    <row r="174" spans="1:9">
      <c r="A174" s="8"/>
      <c r="B174" s="13"/>
      <c r="C174" s="8"/>
      <c r="D174" s="8"/>
      <c r="E174" s="8"/>
      <c r="F174" s="9"/>
      <c r="G174" s="8"/>
      <c r="H174" s="8"/>
      <c r="I174" s="9"/>
    </row>
    <row r="175" spans="1:9">
      <c r="A175" s="8"/>
      <c r="B175" s="13"/>
      <c r="C175" s="8"/>
      <c r="D175" s="8"/>
      <c r="E175" s="8"/>
      <c r="F175" s="9"/>
      <c r="G175" s="8"/>
      <c r="H175" s="8"/>
      <c r="I175" s="9"/>
    </row>
    <row r="176" spans="1:9">
      <c r="A176" s="8"/>
      <c r="B176" s="13"/>
      <c r="C176" s="8"/>
      <c r="D176" s="8"/>
      <c r="E176" s="8"/>
      <c r="F176" s="9"/>
      <c r="G176" s="8"/>
      <c r="H176" s="8"/>
      <c r="I176" s="9"/>
    </row>
    <row r="177" spans="1:9">
      <c r="A177" s="8"/>
      <c r="B177" s="13"/>
      <c r="C177" s="8"/>
      <c r="D177" s="8"/>
      <c r="E177" s="8"/>
      <c r="F177" s="9"/>
      <c r="G177" s="8"/>
      <c r="H177" s="8"/>
      <c r="I177" s="9"/>
    </row>
    <row r="178" spans="1:9">
      <c r="A178" s="8"/>
      <c r="B178" s="13"/>
      <c r="C178" s="8"/>
      <c r="D178" s="8"/>
      <c r="E178" s="8"/>
      <c r="F178" s="9"/>
      <c r="G178" s="8"/>
      <c r="H178" s="8"/>
      <c r="I178" s="9"/>
    </row>
    <row r="179" spans="1:9">
      <c r="A179" s="8"/>
      <c r="B179" s="13"/>
      <c r="C179" s="8"/>
      <c r="D179" s="8"/>
      <c r="E179" s="8"/>
      <c r="F179" s="9"/>
      <c r="G179" s="8"/>
      <c r="H179" s="8"/>
      <c r="I179" s="9"/>
    </row>
    <row r="180" spans="1:9">
      <c r="A180" s="8"/>
      <c r="B180" s="13"/>
      <c r="C180" s="8"/>
      <c r="D180" s="8"/>
      <c r="E180" s="8"/>
      <c r="F180" s="9"/>
      <c r="G180" s="8"/>
      <c r="H180" s="8"/>
      <c r="I180" s="9"/>
    </row>
    <row r="181" spans="1:9">
      <c r="A181" s="8"/>
      <c r="B181" s="13"/>
      <c r="C181" s="8"/>
      <c r="D181" s="8"/>
      <c r="E181" s="8"/>
      <c r="F181" s="9"/>
      <c r="G181" s="8"/>
      <c r="H181" s="8"/>
      <c r="I181" s="9"/>
    </row>
    <row r="182" spans="1:9">
      <c r="A182" s="8"/>
      <c r="B182" s="13"/>
      <c r="C182" s="8"/>
      <c r="D182" s="8"/>
      <c r="E182" s="8"/>
      <c r="F182" s="9"/>
      <c r="G182" s="8"/>
      <c r="H182" s="8"/>
      <c r="I182" s="9"/>
    </row>
    <row r="183" spans="1:9">
      <c r="A183" s="8"/>
      <c r="B183" s="13"/>
      <c r="C183" s="8"/>
      <c r="D183" s="8"/>
      <c r="E183" s="8"/>
      <c r="F183" s="9"/>
      <c r="G183" s="8"/>
      <c r="H183" s="8"/>
      <c r="I183" s="9"/>
    </row>
    <row r="184" spans="1:9">
      <c r="A184" s="8"/>
      <c r="B184" s="13"/>
      <c r="C184" s="8"/>
      <c r="D184" s="8"/>
      <c r="E184" s="8"/>
      <c r="F184" s="9"/>
      <c r="G184" s="8"/>
      <c r="H184" s="8"/>
      <c r="I184" s="9"/>
    </row>
    <row r="185" spans="1:9">
      <c r="A185" s="8"/>
      <c r="B185" s="13"/>
      <c r="C185" s="8"/>
      <c r="D185" s="8"/>
      <c r="E185" s="8"/>
      <c r="F185" s="9"/>
      <c r="G185" s="8"/>
      <c r="H185" s="8"/>
      <c r="I185" s="9"/>
    </row>
    <row r="186" spans="1:9">
      <c r="A186" s="8"/>
      <c r="B186" s="13"/>
      <c r="C186" s="8"/>
      <c r="D186" s="8"/>
      <c r="E186" s="8"/>
      <c r="F186" s="9"/>
      <c r="G186" s="8"/>
      <c r="H186" s="8"/>
      <c r="I186" s="9"/>
    </row>
    <row r="187" spans="1:9">
      <c r="A187" s="8"/>
      <c r="B187" s="13"/>
      <c r="C187" s="8"/>
      <c r="D187" s="8"/>
      <c r="E187" s="8"/>
      <c r="F187" s="9"/>
      <c r="G187" s="8"/>
      <c r="H187" s="8"/>
      <c r="I187" s="9"/>
    </row>
    <row r="188" spans="1:9">
      <c r="A188" s="8"/>
      <c r="B188" s="13"/>
      <c r="C188" s="8"/>
      <c r="D188" s="8"/>
      <c r="E188" s="8"/>
      <c r="F188" s="9"/>
      <c r="G188" s="8"/>
      <c r="H188" s="8"/>
      <c r="I188" s="9"/>
    </row>
    <row r="189" spans="1:9">
      <c r="A189" s="8"/>
      <c r="B189" s="13"/>
      <c r="C189" s="8"/>
      <c r="D189" s="8"/>
      <c r="E189" s="8"/>
      <c r="F189" s="9"/>
      <c r="G189" s="8"/>
      <c r="H189" s="8"/>
      <c r="I189" s="9"/>
    </row>
    <row r="190" spans="1:9">
      <c r="A190" s="8"/>
      <c r="B190" s="13"/>
      <c r="C190" s="8"/>
      <c r="D190" s="8"/>
      <c r="E190" s="8"/>
      <c r="F190" s="9"/>
      <c r="G190" s="8"/>
      <c r="H190" s="8"/>
      <c r="I190" s="9"/>
    </row>
    <row r="191" spans="1:9">
      <c r="A191" s="8"/>
      <c r="B191" s="13"/>
      <c r="C191" s="8"/>
      <c r="D191" s="8"/>
      <c r="E191" s="8"/>
      <c r="F191" s="9"/>
      <c r="G191" s="8"/>
      <c r="H191" s="8"/>
      <c r="I191" s="9"/>
    </row>
    <row r="192" spans="1:9">
      <c r="A192" s="8"/>
      <c r="B192" s="13"/>
      <c r="C192" s="8"/>
      <c r="D192" s="8"/>
      <c r="E192" s="8"/>
      <c r="F192" s="9"/>
      <c r="G192" s="8"/>
      <c r="H192" s="8"/>
      <c r="I192" s="9"/>
    </row>
    <row r="193" spans="1:9">
      <c r="A193" s="8"/>
      <c r="B193" s="13"/>
      <c r="C193" s="8"/>
      <c r="D193" s="8"/>
      <c r="E193" s="8"/>
      <c r="F193" s="9"/>
      <c r="G193" s="8"/>
      <c r="H193" s="8"/>
      <c r="I193" s="9"/>
    </row>
    <row r="194" spans="1:9">
      <c r="A194" s="8"/>
      <c r="B194" s="13"/>
      <c r="C194" s="8"/>
      <c r="D194" s="8"/>
      <c r="E194" s="8"/>
      <c r="F194" s="9"/>
      <c r="G194" s="8"/>
      <c r="H194" s="8"/>
      <c r="I194" s="9"/>
    </row>
    <row r="195" spans="1:9">
      <c r="A195" s="8"/>
      <c r="B195" s="13"/>
      <c r="C195" s="8"/>
      <c r="D195" s="8"/>
      <c r="E195" s="8"/>
      <c r="F195" s="9"/>
      <c r="G195" s="8"/>
      <c r="H195" s="8"/>
      <c r="I195" s="9"/>
    </row>
    <row r="196" spans="1:9">
      <c r="A196" s="8"/>
      <c r="B196" s="13"/>
      <c r="C196" s="8"/>
      <c r="D196" s="8"/>
      <c r="E196" s="8"/>
      <c r="F196" s="9"/>
      <c r="G196" s="8"/>
      <c r="H196" s="8"/>
      <c r="I196" s="9"/>
    </row>
    <row r="197" spans="1:9">
      <c r="A197" s="8"/>
      <c r="B197" s="13"/>
      <c r="C197" s="8"/>
      <c r="D197" s="8"/>
      <c r="E197" s="8"/>
      <c r="F197" s="9"/>
      <c r="G197" s="8"/>
      <c r="H197" s="8"/>
      <c r="I197" s="9"/>
    </row>
    <row r="198" spans="1:9">
      <c r="A198" s="8"/>
      <c r="B198" s="13"/>
      <c r="C198" s="8"/>
      <c r="D198" s="8"/>
      <c r="E198" s="8"/>
      <c r="F198" s="9"/>
      <c r="G198" s="8"/>
      <c r="H198" s="8"/>
      <c r="I198" s="9"/>
    </row>
    <row r="199" spans="1:9">
      <c r="A199" s="8"/>
      <c r="B199" s="13"/>
      <c r="C199" s="8"/>
      <c r="D199" s="8"/>
      <c r="E199" s="8"/>
      <c r="F199" s="9"/>
      <c r="G199" s="8"/>
      <c r="H199" s="8"/>
      <c r="I199" s="9"/>
    </row>
    <row r="200" spans="1:9">
      <c r="A200" s="8"/>
      <c r="B200" s="13"/>
      <c r="C200" s="8"/>
      <c r="D200" s="8"/>
      <c r="E200" s="8"/>
      <c r="F200" s="9"/>
      <c r="G200" s="8"/>
      <c r="H200" s="8"/>
      <c r="I200" s="9"/>
    </row>
    <row r="201" spans="1:9">
      <c r="A201" s="8"/>
      <c r="B201" s="13"/>
      <c r="C201" s="8"/>
      <c r="D201" s="8"/>
      <c r="E201" s="8"/>
      <c r="F201" s="9"/>
      <c r="G201" s="8"/>
      <c r="H201" s="8"/>
      <c r="I201" s="9"/>
    </row>
    <row r="202" spans="1:9">
      <c r="A202" s="8"/>
      <c r="B202" s="13"/>
      <c r="C202" s="8"/>
      <c r="D202" s="8"/>
      <c r="E202" s="8"/>
      <c r="F202" s="9"/>
      <c r="G202" s="8"/>
      <c r="H202" s="8"/>
      <c r="I202" s="9"/>
    </row>
    <row r="203" spans="1:9">
      <c r="A203" s="8"/>
      <c r="B203" s="13"/>
      <c r="C203" s="8"/>
      <c r="D203" s="8"/>
      <c r="E203" s="8"/>
      <c r="F203" s="9"/>
      <c r="G203" s="8"/>
      <c r="H203" s="8"/>
      <c r="I203" s="9"/>
    </row>
    <row r="204" spans="1:9">
      <c r="A204" s="8"/>
      <c r="B204" s="13"/>
      <c r="C204" s="8"/>
      <c r="D204" s="8"/>
      <c r="E204" s="8"/>
      <c r="F204" s="9"/>
      <c r="G204" s="8"/>
      <c r="H204" s="8"/>
      <c r="I204" s="9"/>
    </row>
    <row r="205" spans="1:9">
      <c r="A205" s="8"/>
      <c r="B205" s="13"/>
      <c r="C205" s="8"/>
      <c r="D205" s="8"/>
      <c r="E205" s="8"/>
      <c r="F205" s="9"/>
      <c r="G205" s="8"/>
      <c r="H205" s="8"/>
      <c r="I205" s="9"/>
    </row>
    <row r="206" spans="1:9">
      <c r="A206" s="8"/>
      <c r="B206" s="13"/>
      <c r="C206" s="8"/>
      <c r="D206" s="8"/>
      <c r="E206" s="8"/>
      <c r="F206" s="9"/>
      <c r="G206" s="8"/>
      <c r="H206" s="8"/>
      <c r="I206" s="9"/>
    </row>
    <row r="207" spans="1:9">
      <c r="A207" s="8"/>
      <c r="B207" s="13"/>
      <c r="C207" s="8"/>
      <c r="D207" s="8"/>
      <c r="E207" s="8"/>
      <c r="F207" s="9"/>
      <c r="G207" s="8"/>
      <c r="H207" s="8"/>
      <c r="I207" s="9"/>
    </row>
    <row r="208" spans="1:9">
      <c r="A208" s="8"/>
      <c r="B208" s="13"/>
      <c r="C208" s="8"/>
      <c r="D208" s="8"/>
      <c r="E208" s="8"/>
      <c r="F208" s="9"/>
      <c r="G208" s="8"/>
      <c r="H208" s="8"/>
      <c r="I208" s="9"/>
    </row>
    <row r="209" spans="1:9">
      <c r="A209" s="8"/>
      <c r="B209" s="13"/>
      <c r="C209" s="8"/>
      <c r="D209" s="8"/>
      <c r="E209" s="8"/>
      <c r="F209" s="9"/>
      <c r="G209" s="8"/>
      <c r="H209" s="8"/>
      <c r="I209" s="9"/>
    </row>
    <row r="210" spans="1:9">
      <c r="A210" s="8"/>
      <c r="B210" s="13"/>
      <c r="C210" s="8"/>
      <c r="D210" s="8"/>
      <c r="E210" s="8"/>
      <c r="F210" s="9"/>
      <c r="G210" s="8"/>
      <c r="H210" s="8"/>
      <c r="I210" s="9"/>
    </row>
    <row r="211" spans="1:9">
      <c r="A211" s="8"/>
      <c r="B211" s="13"/>
      <c r="C211" s="8"/>
      <c r="D211" s="8"/>
      <c r="E211" s="8"/>
      <c r="F211" s="9"/>
      <c r="G211" s="8"/>
      <c r="H211" s="8"/>
      <c r="I211" s="9"/>
    </row>
    <row r="212" spans="1:9">
      <c r="A212" s="8"/>
      <c r="B212" s="13"/>
      <c r="C212" s="8"/>
      <c r="D212" s="8"/>
      <c r="E212" s="8"/>
      <c r="F212" s="9"/>
      <c r="G212" s="8"/>
      <c r="H212" s="8"/>
      <c r="I212" s="9"/>
    </row>
    <row r="213" spans="1:9">
      <c r="A213" s="8"/>
      <c r="B213" s="13"/>
      <c r="C213" s="8"/>
      <c r="D213" s="8"/>
      <c r="E213" s="8"/>
      <c r="F213" s="9"/>
      <c r="G213" s="8"/>
      <c r="H213" s="8"/>
      <c r="I213" s="9"/>
    </row>
    <row r="214" spans="1:9">
      <c r="A214" s="8"/>
      <c r="B214" s="13"/>
      <c r="C214" s="8"/>
      <c r="D214" s="8"/>
      <c r="E214" s="8"/>
      <c r="F214" s="9"/>
      <c r="G214" s="8"/>
      <c r="H214" s="8"/>
      <c r="I214" s="9"/>
    </row>
    <row r="215" spans="1:9">
      <c r="A215" s="8"/>
      <c r="B215" s="13"/>
      <c r="C215" s="8"/>
      <c r="D215" s="8"/>
      <c r="E215" s="8"/>
      <c r="F215" s="9"/>
      <c r="G215" s="8"/>
      <c r="H215" s="8"/>
      <c r="I215" s="9"/>
    </row>
    <row r="216" spans="1:9">
      <c r="A216" s="8"/>
      <c r="B216" s="13"/>
      <c r="C216" s="8"/>
      <c r="D216" s="8"/>
      <c r="E216" s="8"/>
      <c r="F216" s="9"/>
      <c r="G216" s="8"/>
      <c r="H216" s="8"/>
      <c r="I216" s="9"/>
    </row>
    <row r="217" spans="1:9">
      <c r="A217" s="8"/>
      <c r="B217" s="13"/>
      <c r="C217" s="8"/>
      <c r="D217" s="8"/>
      <c r="E217" s="8"/>
      <c r="F217" s="9"/>
      <c r="G217" s="8"/>
      <c r="H217" s="8"/>
      <c r="I217" s="9"/>
    </row>
    <row r="218" spans="1:9">
      <c r="A218" s="8"/>
      <c r="B218" s="13"/>
      <c r="C218" s="8"/>
      <c r="D218" s="8"/>
      <c r="E218" s="8"/>
      <c r="F218" s="9"/>
      <c r="G218" s="8"/>
      <c r="H218" s="8"/>
      <c r="I218" s="9"/>
    </row>
    <row r="219" spans="1:9">
      <c r="A219" s="8"/>
      <c r="B219" s="13"/>
      <c r="C219" s="8"/>
      <c r="D219" s="8"/>
      <c r="E219" s="8"/>
      <c r="F219" s="9"/>
      <c r="G219" s="8"/>
      <c r="H219" s="8"/>
      <c r="I219" s="9"/>
    </row>
    <row r="220" spans="1:9">
      <c r="A220" s="8"/>
      <c r="B220" s="13"/>
      <c r="C220" s="8"/>
      <c r="D220" s="8"/>
      <c r="E220" s="8"/>
      <c r="F220" s="9"/>
      <c r="G220" s="8"/>
      <c r="H220" s="8"/>
      <c r="I220" s="9"/>
    </row>
    <row r="221" spans="1:9">
      <c r="A221" s="8"/>
      <c r="B221" s="13"/>
      <c r="C221" s="8"/>
      <c r="D221" s="8"/>
      <c r="E221" s="8"/>
      <c r="F221" s="9"/>
      <c r="G221" s="8"/>
      <c r="H221" s="8"/>
      <c r="I221" s="9"/>
    </row>
    <row r="222" spans="1:9">
      <c r="A222" s="8"/>
      <c r="B222" s="13"/>
      <c r="C222" s="8"/>
      <c r="D222" s="8"/>
      <c r="E222" s="8"/>
      <c r="F222" s="9"/>
      <c r="G222" s="8"/>
      <c r="H222" s="8"/>
      <c r="I222" s="9"/>
    </row>
    <row r="223" spans="1:9">
      <c r="A223" s="8"/>
      <c r="B223" s="13"/>
      <c r="C223" s="8"/>
      <c r="D223" s="8"/>
      <c r="E223" s="8"/>
      <c r="F223" s="9"/>
      <c r="G223" s="8"/>
      <c r="H223" s="8"/>
      <c r="I223" s="9"/>
    </row>
    <row r="224" spans="1:9">
      <c r="A224" s="8"/>
      <c r="B224" s="13"/>
      <c r="C224" s="8"/>
      <c r="D224" s="8"/>
      <c r="E224" s="8"/>
      <c r="F224" s="9"/>
      <c r="G224" s="8"/>
      <c r="H224" s="8"/>
      <c r="I224" s="9"/>
    </row>
    <row r="225" spans="1:9">
      <c r="A225" s="8"/>
      <c r="B225" s="13"/>
      <c r="C225" s="8"/>
      <c r="D225" s="8"/>
      <c r="E225" s="8"/>
      <c r="F225" s="9"/>
      <c r="G225" s="8"/>
      <c r="H225" s="8"/>
      <c r="I225" s="9"/>
    </row>
    <row r="226" spans="1:9">
      <c r="A226" s="8"/>
      <c r="B226" s="13"/>
      <c r="C226" s="8"/>
      <c r="D226" s="8"/>
      <c r="E226" s="8"/>
      <c r="F226" s="9"/>
      <c r="G226" s="8"/>
      <c r="H226" s="8"/>
      <c r="I226" s="9"/>
    </row>
    <row r="227" spans="1:9">
      <c r="A227" s="8"/>
      <c r="B227" s="13"/>
      <c r="C227" s="8"/>
      <c r="D227" s="8"/>
      <c r="E227" s="8"/>
      <c r="F227" s="9"/>
      <c r="G227" s="8"/>
      <c r="H227" s="8"/>
      <c r="I227" s="9"/>
    </row>
    <row r="228" spans="1:9">
      <c r="A228" s="8"/>
      <c r="B228" s="13"/>
      <c r="C228" s="8"/>
      <c r="D228" s="8"/>
      <c r="E228" s="8"/>
      <c r="F228" s="9"/>
      <c r="G228" s="8"/>
      <c r="H228" s="8"/>
      <c r="I228" s="9"/>
    </row>
    <row r="229" spans="1:9">
      <c r="A229" s="8"/>
      <c r="B229" s="13"/>
      <c r="C229" s="8"/>
      <c r="D229" s="8"/>
      <c r="E229" s="8"/>
      <c r="F229" s="9"/>
      <c r="G229" s="8"/>
      <c r="H229" s="8"/>
      <c r="I229" s="9"/>
    </row>
    <row r="230" spans="1:9">
      <c r="A230" s="8"/>
      <c r="B230" s="13"/>
      <c r="C230" s="8"/>
      <c r="D230" s="8"/>
      <c r="E230" s="8"/>
      <c r="F230" s="9"/>
      <c r="G230" s="8"/>
      <c r="H230" s="8"/>
      <c r="I230" s="9"/>
    </row>
    <row r="231" spans="1:9">
      <c r="A231" s="8"/>
      <c r="B231" s="13"/>
      <c r="C231" s="8"/>
      <c r="D231" s="8"/>
      <c r="E231" s="8"/>
      <c r="F231" s="9"/>
      <c r="G231" s="8"/>
      <c r="H231" s="8"/>
      <c r="I231" s="9"/>
    </row>
    <row r="232" spans="1:9">
      <c r="A232" s="8"/>
      <c r="B232" s="13"/>
      <c r="C232" s="8"/>
      <c r="D232" s="8"/>
      <c r="E232" s="8"/>
      <c r="F232" s="9"/>
      <c r="G232" s="8"/>
      <c r="H232" s="8"/>
      <c r="I232" s="9"/>
    </row>
    <row r="233" spans="1:9">
      <c r="A233" s="8"/>
      <c r="B233" s="13"/>
      <c r="C233" s="8"/>
      <c r="D233" s="8"/>
      <c r="E233" s="8"/>
      <c r="F233" s="9"/>
      <c r="G233" s="8"/>
      <c r="H233" s="8"/>
      <c r="I233" s="9"/>
    </row>
    <row r="234" spans="1:9">
      <c r="A234" s="8"/>
      <c r="B234" s="13"/>
      <c r="C234" s="8"/>
      <c r="D234" s="8"/>
      <c r="E234" s="8"/>
      <c r="F234" s="9"/>
      <c r="G234" s="8"/>
      <c r="H234" s="8"/>
      <c r="I234" s="9"/>
    </row>
    <row r="235" spans="1:9">
      <c r="A235" s="8"/>
      <c r="B235" s="13"/>
      <c r="C235" s="8"/>
      <c r="D235" s="8"/>
      <c r="E235" s="8"/>
      <c r="F235" s="9"/>
      <c r="G235" s="8"/>
      <c r="H235" s="8"/>
      <c r="I235" s="9"/>
    </row>
    <row r="236" spans="1:9">
      <c r="A236" s="8"/>
      <c r="B236" s="13"/>
      <c r="C236" s="8"/>
      <c r="D236" s="8"/>
      <c r="E236" s="8"/>
      <c r="F236" s="9"/>
      <c r="G236" s="8"/>
      <c r="H236" s="8"/>
      <c r="I236" s="9"/>
    </row>
    <row r="237" spans="1:9">
      <c r="A237" s="8"/>
      <c r="B237" s="13"/>
      <c r="C237" s="8"/>
      <c r="D237" s="8"/>
      <c r="E237" s="8"/>
      <c r="F237" s="9"/>
      <c r="G237" s="8"/>
      <c r="H237" s="8"/>
      <c r="I237" s="9"/>
    </row>
    <row r="238" spans="1:9">
      <c r="A238" s="8"/>
      <c r="B238" s="13"/>
      <c r="C238" s="8"/>
      <c r="D238" s="8"/>
      <c r="E238" s="8"/>
      <c r="F238" s="9"/>
      <c r="G238" s="8"/>
      <c r="H238" s="8"/>
      <c r="I238" s="9"/>
    </row>
    <row r="239" spans="1:9">
      <c r="A239" s="8"/>
      <c r="B239" s="13"/>
      <c r="C239" s="8"/>
      <c r="D239" s="8"/>
      <c r="E239" s="8"/>
      <c r="F239" s="9"/>
      <c r="G239" s="8"/>
      <c r="H239" s="8"/>
      <c r="I239" s="9"/>
    </row>
    <row r="240" spans="1:9">
      <c r="A240" s="8"/>
      <c r="B240" s="13"/>
      <c r="C240" s="8"/>
      <c r="D240" s="8"/>
      <c r="E240" s="8"/>
      <c r="F240" s="9"/>
      <c r="G240" s="8"/>
      <c r="H240" s="8"/>
      <c r="I240" s="9"/>
    </row>
    <row r="241" spans="1:9">
      <c r="A241" s="8"/>
      <c r="B241" s="13"/>
      <c r="C241" s="8"/>
      <c r="D241" s="8"/>
      <c r="E241" s="8"/>
      <c r="F241" s="9"/>
      <c r="G241" s="8"/>
      <c r="H241" s="8"/>
      <c r="I241" s="9"/>
    </row>
    <row r="242" spans="1:9">
      <c r="A242" s="8"/>
      <c r="B242" s="13"/>
      <c r="C242" s="8"/>
      <c r="D242" s="8"/>
      <c r="E242" s="8"/>
      <c r="F242" s="9"/>
      <c r="G242" s="8"/>
      <c r="H242" s="8"/>
      <c r="I242" s="9"/>
    </row>
    <row r="243" spans="1:9">
      <c r="A243" s="8"/>
      <c r="B243" s="13"/>
      <c r="C243" s="8"/>
      <c r="D243" s="8"/>
      <c r="E243" s="8"/>
      <c r="F243" s="9"/>
      <c r="G243" s="8"/>
      <c r="H243" s="8"/>
      <c r="I243" s="9"/>
    </row>
    <row r="244" spans="1:9">
      <c r="A244" s="8"/>
      <c r="B244" s="13"/>
      <c r="C244" s="8"/>
      <c r="D244" s="8"/>
      <c r="E244" s="8"/>
      <c r="F244" s="9"/>
      <c r="G244" s="8"/>
      <c r="H244" s="8"/>
      <c r="I244" s="9"/>
    </row>
    <row r="245" spans="1:9">
      <c r="A245" s="8"/>
      <c r="B245" s="13"/>
      <c r="C245" s="8"/>
      <c r="D245" s="8"/>
      <c r="E245" s="8"/>
      <c r="F245" s="9"/>
      <c r="G245" s="8"/>
      <c r="H245" s="8"/>
      <c r="I245" s="9"/>
    </row>
    <row r="246" spans="1:9">
      <c r="A246" s="8"/>
      <c r="B246" s="13"/>
      <c r="C246" s="8"/>
      <c r="D246" s="8"/>
      <c r="E246" s="8"/>
      <c r="F246" s="9"/>
      <c r="G246" s="8"/>
      <c r="H246" s="8"/>
      <c r="I246" s="9"/>
    </row>
    <row r="247" spans="1:9">
      <c r="A247" s="8"/>
      <c r="B247" s="13"/>
      <c r="C247" s="8"/>
      <c r="D247" s="8"/>
      <c r="E247" s="8"/>
      <c r="F247" s="9"/>
      <c r="G247" s="8"/>
      <c r="H247" s="8"/>
      <c r="I247" s="9"/>
    </row>
    <row r="248" spans="1:9">
      <c r="A248" s="8"/>
      <c r="B248" s="13"/>
      <c r="C248" s="8"/>
      <c r="D248" s="8"/>
      <c r="E248" s="8"/>
      <c r="F248" s="9"/>
      <c r="G248" s="8"/>
      <c r="H248" s="8"/>
      <c r="I248" s="9"/>
    </row>
    <row r="249" spans="1:9">
      <c r="A249" s="8"/>
      <c r="B249" s="13"/>
      <c r="C249" s="8"/>
      <c r="D249" s="8"/>
      <c r="E249" s="8"/>
      <c r="F249" s="9"/>
      <c r="G249" s="8"/>
      <c r="H249" s="8"/>
      <c r="I249" s="9"/>
    </row>
    <row r="250" spans="1:9">
      <c r="A250" s="8"/>
      <c r="B250" s="13"/>
      <c r="C250" s="8"/>
      <c r="D250" s="8"/>
      <c r="E250" s="8"/>
      <c r="F250" s="9"/>
      <c r="G250" s="8"/>
      <c r="H250" s="8"/>
      <c r="I250" s="9"/>
    </row>
    <row r="251" spans="1:9">
      <c r="A251" s="8"/>
      <c r="B251" s="13"/>
      <c r="C251" s="8"/>
      <c r="D251" s="8"/>
      <c r="E251" s="8"/>
      <c r="F251" s="9"/>
      <c r="G251" s="8"/>
      <c r="H251" s="8"/>
      <c r="I251" s="9"/>
    </row>
    <row r="252" spans="1:9">
      <c r="A252" s="8"/>
      <c r="B252" s="13"/>
      <c r="C252" s="8"/>
      <c r="D252" s="8"/>
      <c r="E252" s="8"/>
      <c r="F252" s="9"/>
      <c r="G252" s="8"/>
      <c r="H252" s="8"/>
      <c r="I252" s="9"/>
    </row>
    <row r="253" spans="1:9">
      <c r="A253" s="8"/>
      <c r="B253" s="13"/>
      <c r="C253" s="8"/>
      <c r="D253" s="8"/>
      <c r="E253" s="8"/>
      <c r="F253" s="9"/>
      <c r="G253" s="8"/>
      <c r="H253" s="8"/>
      <c r="I253" s="9"/>
    </row>
    <row r="254" spans="1:9">
      <c r="A254" s="8"/>
      <c r="B254" s="13"/>
      <c r="C254" s="8"/>
      <c r="D254" s="8"/>
      <c r="E254" s="8"/>
      <c r="F254" s="9"/>
      <c r="G254" s="8"/>
      <c r="H254" s="8"/>
      <c r="I254" s="9"/>
    </row>
    <row r="255" spans="1:9">
      <c r="A255" s="8"/>
      <c r="B255" s="13"/>
      <c r="C255" s="8"/>
      <c r="D255" s="8"/>
      <c r="E255" s="8"/>
      <c r="F255" s="9"/>
      <c r="G255" s="8"/>
      <c r="H255" s="8"/>
      <c r="I255" s="9"/>
    </row>
    <row r="256" spans="1:9">
      <c r="A256" s="8"/>
      <c r="B256" s="13"/>
      <c r="C256" s="8"/>
      <c r="D256" s="8"/>
      <c r="E256" s="8"/>
      <c r="F256" s="9"/>
      <c r="G256" s="8"/>
      <c r="H256" s="8"/>
      <c r="I256" s="9"/>
    </row>
    <row r="257" spans="1:9">
      <c r="A257" s="8"/>
      <c r="B257" s="13"/>
      <c r="C257" s="8"/>
      <c r="D257" s="8"/>
      <c r="E257" s="8"/>
      <c r="F257" s="9"/>
      <c r="G257" s="8"/>
      <c r="H257" s="8"/>
      <c r="I257" s="9"/>
    </row>
    <row r="258" spans="1:9">
      <c r="A258" s="8"/>
      <c r="B258" s="13"/>
      <c r="C258" s="8"/>
      <c r="D258" s="8"/>
      <c r="E258" s="8"/>
      <c r="F258" s="9"/>
      <c r="G258" s="8"/>
      <c r="H258" s="8"/>
      <c r="I258" s="9"/>
    </row>
    <row r="259" spans="1:9">
      <c r="A259" s="8"/>
      <c r="B259" s="13"/>
      <c r="C259" s="8"/>
      <c r="D259" s="8"/>
      <c r="E259" s="8"/>
      <c r="F259" s="9"/>
      <c r="G259" s="8"/>
      <c r="H259" s="8"/>
      <c r="I259" s="9"/>
    </row>
    <row r="260" spans="1:9">
      <c r="A260" s="8"/>
      <c r="B260" s="13"/>
      <c r="C260" s="8"/>
      <c r="D260" s="8"/>
      <c r="E260" s="8"/>
      <c r="F260" s="9"/>
      <c r="G260" s="8"/>
      <c r="H260" s="8"/>
      <c r="I260" s="9"/>
    </row>
    <row r="261" spans="1:9">
      <c r="A261" s="8"/>
      <c r="B261" s="13"/>
      <c r="C261" s="8"/>
      <c r="D261" s="8"/>
      <c r="E261" s="8"/>
      <c r="F261" s="9"/>
      <c r="G261" s="8"/>
      <c r="H261" s="8"/>
      <c r="I261" s="9"/>
    </row>
    <row r="262" spans="1:9">
      <c r="A262" s="8"/>
      <c r="B262" s="13"/>
      <c r="C262" s="8"/>
      <c r="D262" s="8"/>
      <c r="E262" s="8"/>
      <c r="F262" s="9"/>
      <c r="G262" s="8"/>
      <c r="H262" s="8"/>
      <c r="I262" s="9"/>
    </row>
    <row r="263" spans="1:9">
      <c r="A263" s="8"/>
      <c r="B263" s="13"/>
      <c r="C263" s="8"/>
      <c r="D263" s="8"/>
      <c r="E263" s="8"/>
      <c r="F263" s="9"/>
      <c r="G263" s="8"/>
      <c r="H263" s="8"/>
      <c r="I263" s="9"/>
    </row>
    <row r="264" spans="1:9">
      <c r="A264" s="8"/>
      <c r="B264" s="13"/>
      <c r="C264" s="8"/>
      <c r="D264" s="8"/>
      <c r="E264" s="8"/>
      <c r="F264" s="9"/>
      <c r="G264" s="8"/>
      <c r="H264" s="8"/>
      <c r="I264" s="9"/>
    </row>
    <row r="265" spans="1:9">
      <c r="A265" s="8"/>
      <c r="B265" s="13"/>
      <c r="C265" s="8"/>
      <c r="D265" s="8"/>
      <c r="E265" s="8"/>
      <c r="F265" s="9"/>
      <c r="G265" s="8"/>
      <c r="H265" s="8"/>
      <c r="I265" s="9"/>
    </row>
    <row r="266" spans="1:9">
      <c r="A266" s="8"/>
      <c r="B266" s="13"/>
      <c r="C266" s="8"/>
      <c r="D266" s="8"/>
      <c r="E266" s="8"/>
      <c r="F266" s="9"/>
      <c r="G266" s="8"/>
      <c r="H266" s="8"/>
      <c r="I266" s="9"/>
    </row>
    <row r="267" spans="1:9">
      <c r="A267" s="8"/>
      <c r="B267" s="13"/>
      <c r="C267" s="8"/>
      <c r="D267" s="8"/>
      <c r="E267" s="8"/>
      <c r="F267" s="9"/>
      <c r="G267" s="8"/>
      <c r="H267" s="8"/>
      <c r="I267" s="9"/>
    </row>
    <row r="268" spans="1:9">
      <c r="A268" s="8"/>
      <c r="B268" s="13"/>
      <c r="C268" s="8"/>
      <c r="D268" s="8"/>
      <c r="E268" s="8"/>
      <c r="F268" s="9"/>
      <c r="G268" s="8"/>
      <c r="H268" s="8"/>
      <c r="I268" s="9"/>
    </row>
    <row r="269" spans="1:9">
      <c r="A269" s="8"/>
      <c r="B269" s="13"/>
      <c r="C269" s="8"/>
      <c r="D269" s="8"/>
      <c r="E269" s="8"/>
      <c r="F269" s="9"/>
      <c r="G269" s="8"/>
      <c r="H269" s="8"/>
      <c r="I269" s="9"/>
    </row>
    <row r="270" spans="1:9">
      <c r="A270" s="8"/>
      <c r="B270" s="13"/>
      <c r="C270" s="8"/>
      <c r="D270" s="8"/>
      <c r="E270" s="8"/>
      <c r="F270" s="9"/>
      <c r="G270" s="8"/>
      <c r="H270" s="8"/>
      <c r="I270" s="9"/>
    </row>
    <row r="271" spans="1:9">
      <c r="A271" s="8"/>
      <c r="B271" s="13"/>
      <c r="C271" s="8"/>
      <c r="D271" s="8"/>
      <c r="E271" s="8"/>
      <c r="F271" s="9"/>
      <c r="G271" s="8"/>
      <c r="H271" s="8"/>
      <c r="I271" s="9"/>
    </row>
    <row r="272" spans="1:9">
      <c r="A272" s="8"/>
      <c r="B272" s="13"/>
      <c r="C272" s="8"/>
      <c r="D272" s="8"/>
      <c r="E272" s="8"/>
      <c r="F272" s="9"/>
      <c r="G272" s="8"/>
      <c r="H272" s="8"/>
      <c r="I272" s="9"/>
    </row>
    <row r="273" spans="1:9">
      <c r="A273" s="8"/>
      <c r="B273" s="13"/>
      <c r="C273" s="8"/>
      <c r="D273" s="8"/>
      <c r="E273" s="8"/>
      <c r="F273" s="9"/>
      <c r="G273" s="8"/>
      <c r="H273" s="8"/>
      <c r="I273" s="9"/>
    </row>
    <row r="274" spans="1:9">
      <c r="A274" s="8"/>
      <c r="B274" s="13"/>
      <c r="C274" s="8"/>
      <c r="D274" s="8"/>
      <c r="E274" s="8"/>
      <c r="F274" s="9"/>
      <c r="G274" s="8"/>
      <c r="H274" s="8"/>
      <c r="I274" s="9"/>
    </row>
    <row r="275" spans="1:9">
      <c r="A275" s="8"/>
      <c r="B275" s="13"/>
      <c r="C275" s="8"/>
      <c r="D275" s="8"/>
      <c r="E275" s="8"/>
      <c r="F275" s="9"/>
      <c r="G275" s="8"/>
      <c r="H275" s="8"/>
      <c r="I275" s="9"/>
    </row>
    <row r="276" spans="1:9">
      <c r="A276" s="8"/>
      <c r="B276" s="13"/>
      <c r="C276" s="8"/>
      <c r="D276" s="8"/>
      <c r="E276" s="8"/>
      <c r="F276" s="9"/>
      <c r="G276" s="8"/>
      <c r="H276" s="8"/>
      <c r="I276" s="9"/>
    </row>
    <row r="277" spans="1:9">
      <c r="A277" s="8"/>
      <c r="B277" s="13"/>
      <c r="C277" s="8"/>
      <c r="D277" s="8"/>
      <c r="E277" s="8"/>
      <c r="F277" s="9"/>
      <c r="G277" s="8"/>
      <c r="H277" s="8"/>
      <c r="I277" s="9"/>
    </row>
    <row r="278" spans="1:9">
      <c r="A278" s="8"/>
      <c r="B278" s="13"/>
      <c r="C278" s="8"/>
      <c r="D278" s="8"/>
      <c r="E278" s="8"/>
      <c r="F278" s="9"/>
      <c r="G278" s="8"/>
      <c r="H278" s="8"/>
      <c r="I278" s="9"/>
    </row>
    <row r="279" spans="1:9">
      <c r="A279" s="8"/>
      <c r="B279" s="13"/>
      <c r="C279" s="8"/>
      <c r="D279" s="8"/>
      <c r="E279" s="8"/>
      <c r="F279" s="9"/>
      <c r="G279" s="8"/>
      <c r="H279" s="8"/>
      <c r="I279" s="9"/>
    </row>
    <row r="280" spans="1:9">
      <c r="A280" s="8"/>
      <c r="B280" s="13"/>
      <c r="C280" s="8"/>
      <c r="D280" s="8"/>
      <c r="E280" s="8"/>
      <c r="F280" s="9"/>
      <c r="G280" s="8"/>
      <c r="H280" s="8"/>
      <c r="I280" s="9"/>
    </row>
    <row r="281" spans="1:9">
      <c r="A281" s="8"/>
      <c r="B281" s="13"/>
      <c r="C281" s="8"/>
      <c r="D281" s="8"/>
      <c r="E281" s="8"/>
      <c r="F281" s="9"/>
      <c r="G281" s="8"/>
      <c r="H281" s="8"/>
      <c r="I281" s="9"/>
    </row>
    <row r="282" spans="1:9">
      <c r="A282" s="8"/>
      <c r="B282" s="13"/>
      <c r="C282" s="8"/>
      <c r="D282" s="8"/>
      <c r="E282" s="8"/>
      <c r="F282" s="9"/>
      <c r="G282" s="8"/>
      <c r="H282" s="8"/>
      <c r="I282" s="9"/>
    </row>
    <row r="283" spans="1:9">
      <c r="A283" s="8"/>
      <c r="B283" s="13"/>
      <c r="C283" s="8"/>
      <c r="D283" s="8"/>
      <c r="E283" s="8"/>
      <c r="F283" s="9"/>
      <c r="G283" s="8"/>
      <c r="H283" s="8"/>
      <c r="I283" s="9"/>
    </row>
    <row r="284" spans="1:9">
      <c r="A284" s="8"/>
      <c r="B284" s="13"/>
      <c r="C284" s="8"/>
      <c r="D284" s="8"/>
      <c r="E284" s="8"/>
      <c r="F284" s="9"/>
      <c r="G284" s="8"/>
      <c r="H284" s="8"/>
      <c r="I284" s="9"/>
    </row>
    <row r="285" spans="1:9">
      <c r="A285" s="8"/>
      <c r="B285" s="13"/>
      <c r="C285" s="8"/>
      <c r="D285" s="8"/>
      <c r="E285" s="8"/>
      <c r="F285" s="9"/>
      <c r="G285" s="8"/>
      <c r="H285" s="8"/>
      <c r="I285" s="9"/>
    </row>
    <row r="286" spans="1:9">
      <c r="A286" s="8"/>
      <c r="B286" s="13"/>
      <c r="C286" s="8"/>
      <c r="D286" s="8"/>
      <c r="E286" s="8"/>
      <c r="F286" s="9"/>
      <c r="G286" s="8"/>
      <c r="H286" s="8"/>
      <c r="I286" s="9"/>
    </row>
    <row r="287" spans="1:9">
      <c r="A287" s="8"/>
      <c r="B287" s="13"/>
      <c r="C287" s="8"/>
      <c r="D287" s="8"/>
      <c r="E287" s="8"/>
      <c r="F287" s="9"/>
      <c r="G287" s="8"/>
      <c r="H287" s="8"/>
      <c r="I287" s="9"/>
    </row>
    <row r="288" spans="1:9">
      <c r="A288" s="8"/>
      <c r="B288" s="13"/>
      <c r="C288" s="8"/>
      <c r="D288" s="8"/>
      <c r="E288" s="8"/>
      <c r="F288" s="9"/>
      <c r="G288" s="8"/>
      <c r="H288" s="8"/>
      <c r="I288" s="9"/>
    </row>
    <row r="289" spans="1:9">
      <c r="A289" s="8"/>
      <c r="B289" s="13"/>
      <c r="C289" s="8"/>
      <c r="D289" s="8"/>
      <c r="E289" s="8"/>
      <c r="F289" s="9"/>
      <c r="G289" s="8"/>
      <c r="H289" s="8"/>
      <c r="I289" s="9"/>
    </row>
    <row r="290" spans="1:9">
      <c r="A290" s="8"/>
      <c r="B290" s="13"/>
      <c r="C290" s="8"/>
      <c r="D290" s="8"/>
      <c r="E290" s="8"/>
      <c r="F290" s="9"/>
      <c r="G290" s="8"/>
      <c r="H290" s="8"/>
      <c r="I290" s="9"/>
    </row>
    <row r="291" spans="1:9">
      <c r="A291" s="8"/>
      <c r="B291" s="13"/>
      <c r="C291" s="8"/>
      <c r="D291" s="8"/>
      <c r="E291" s="8"/>
      <c r="F291" s="9"/>
      <c r="G291" s="8"/>
      <c r="H291" s="8"/>
      <c r="I291" s="9"/>
    </row>
    <row r="292" spans="1:9">
      <c r="A292" s="8"/>
      <c r="B292" s="13"/>
      <c r="C292" s="8"/>
      <c r="D292" s="8"/>
      <c r="E292" s="8"/>
      <c r="F292" s="9"/>
      <c r="G292" s="8"/>
      <c r="H292" s="8"/>
      <c r="I292" s="9"/>
    </row>
    <row r="293" spans="1:9">
      <c r="A293" s="8"/>
      <c r="B293" s="13"/>
      <c r="C293" s="8"/>
      <c r="D293" s="8"/>
      <c r="E293" s="8"/>
      <c r="F293" s="9"/>
      <c r="G293" s="8"/>
      <c r="H293" s="8"/>
      <c r="I293" s="9"/>
    </row>
    <row r="294" spans="1:9">
      <c r="A294" s="8"/>
      <c r="B294" s="13"/>
      <c r="C294" s="8"/>
      <c r="D294" s="8"/>
      <c r="E294" s="8"/>
      <c r="F294" s="9"/>
      <c r="G294" s="8"/>
      <c r="H294" s="8"/>
      <c r="I294" s="9"/>
    </row>
    <row r="295" spans="1:9">
      <c r="A295" s="8"/>
      <c r="B295" s="13"/>
      <c r="C295" s="8"/>
      <c r="D295" s="8"/>
      <c r="E295" s="8"/>
      <c r="F295" s="9"/>
      <c r="G295" s="8"/>
      <c r="H295" s="8"/>
      <c r="I295" s="9"/>
    </row>
    <row r="296" spans="1:9">
      <c r="A296" s="8"/>
      <c r="B296" s="13"/>
      <c r="C296" s="8"/>
      <c r="D296" s="8"/>
      <c r="E296" s="8"/>
      <c r="F296" s="9"/>
      <c r="G296" s="8"/>
      <c r="H296" s="8"/>
      <c r="I296" s="9"/>
    </row>
    <row r="297" spans="1:9">
      <c r="A297" s="8"/>
      <c r="B297" s="13"/>
      <c r="C297" s="8"/>
      <c r="D297" s="8"/>
      <c r="E297" s="8"/>
      <c r="F297" s="9"/>
      <c r="G297" s="8"/>
      <c r="H297" s="8"/>
      <c r="I297" s="9"/>
    </row>
    <row r="298" spans="1:9">
      <c r="A298" s="8"/>
      <c r="B298" s="13"/>
      <c r="C298" s="8"/>
      <c r="D298" s="8"/>
      <c r="E298" s="8"/>
      <c r="F298" s="9"/>
      <c r="G298" s="8"/>
      <c r="H298" s="8"/>
      <c r="I298" s="9"/>
    </row>
    <row r="299" spans="1:9">
      <c r="A299" s="8"/>
      <c r="B299" s="13"/>
      <c r="C299" s="8"/>
      <c r="D299" s="8"/>
      <c r="E299" s="8"/>
      <c r="F299" s="9"/>
      <c r="G299" s="8"/>
      <c r="H299" s="8"/>
      <c r="I299" s="9"/>
    </row>
    <row r="300" spans="1:9">
      <c r="A300" s="8"/>
      <c r="B300" s="13"/>
      <c r="C300" s="8"/>
      <c r="D300" s="8"/>
      <c r="E300" s="8"/>
      <c r="F300" s="9"/>
      <c r="G300" s="8"/>
      <c r="H300" s="8"/>
      <c r="I300" s="9"/>
    </row>
    <row r="301" spans="1:9">
      <c r="A301" s="8"/>
      <c r="B301" s="13"/>
      <c r="C301" s="8"/>
      <c r="D301" s="8"/>
      <c r="E301" s="8"/>
      <c r="F301" s="9"/>
      <c r="G301" s="8"/>
      <c r="H301" s="8"/>
      <c r="I301" s="9"/>
    </row>
    <row r="302" spans="1:9">
      <c r="A302" s="8"/>
      <c r="B302" s="13"/>
      <c r="C302" s="8"/>
      <c r="D302" s="8"/>
      <c r="E302" s="8"/>
      <c r="F302" s="9"/>
      <c r="G302" s="8"/>
      <c r="H302" s="8"/>
      <c r="I302" s="9"/>
    </row>
    <row r="303" spans="1:9">
      <c r="A303" s="8"/>
      <c r="B303" s="13"/>
      <c r="C303" s="8"/>
      <c r="D303" s="8"/>
      <c r="E303" s="8"/>
      <c r="F303" s="9"/>
      <c r="G303" s="8"/>
      <c r="H303" s="8"/>
      <c r="I303" s="9"/>
    </row>
    <row r="304" spans="1:9">
      <c r="A304" s="8"/>
      <c r="B304" s="13"/>
      <c r="C304" s="8"/>
      <c r="D304" s="8"/>
      <c r="E304" s="8"/>
      <c r="F304" s="9"/>
      <c r="G304" s="8"/>
      <c r="H304" s="8"/>
      <c r="I304" s="9"/>
    </row>
    <row r="305" spans="1:9">
      <c r="A305" s="8"/>
      <c r="B305" s="13"/>
      <c r="C305" s="8"/>
      <c r="D305" s="8"/>
      <c r="E305" s="8"/>
      <c r="F305" s="9"/>
      <c r="G305" s="8"/>
      <c r="H305" s="8"/>
      <c r="I305" s="9"/>
    </row>
    <row r="306" spans="1:9">
      <c r="A306" s="8"/>
      <c r="B306" s="13"/>
      <c r="C306" s="8"/>
      <c r="D306" s="8"/>
      <c r="E306" s="8"/>
      <c r="F306" s="9"/>
      <c r="G306" s="8"/>
      <c r="H306" s="8"/>
      <c r="I306" s="9"/>
    </row>
    <row r="307" spans="1:9">
      <c r="A307" s="8"/>
      <c r="B307" s="13"/>
      <c r="C307" s="8"/>
      <c r="D307" s="8"/>
      <c r="E307" s="8"/>
      <c r="F307" s="9"/>
      <c r="G307" s="8"/>
      <c r="H307" s="8"/>
      <c r="I307" s="9"/>
    </row>
    <row r="308" spans="1:9">
      <c r="A308" s="8"/>
      <c r="B308" s="13"/>
      <c r="C308" s="8"/>
      <c r="D308" s="8"/>
      <c r="E308" s="8"/>
      <c r="F308" s="9"/>
      <c r="G308" s="8"/>
      <c r="H308" s="8"/>
      <c r="I308" s="9"/>
    </row>
    <row r="309" spans="1:9">
      <c r="A309" s="8"/>
      <c r="B309" s="13"/>
      <c r="C309" s="8"/>
      <c r="D309" s="8"/>
      <c r="E309" s="8"/>
      <c r="F309" s="9"/>
      <c r="G309" s="8"/>
      <c r="H309" s="8"/>
      <c r="I309" s="9"/>
    </row>
    <row r="310" spans="1:9">
      <c r="A310" s="8"/>
      <c r="B310" s="13"/>
      <c r="C310" s="8"/>
      <c r="D310" s="8"/>
      <c r="E310" s="8"/>
      <c r="F310" s="9"/>
      <c r="G310" s="8"/>
      <c r="H310" s="8"/>
      <c r="I310" s="9"/>
    </row>
    <row r="311" spans="1:9">
      <c r="A311" s="8"/>
      <c r="B311" s="13"/>
      <c r="C311" s="8"/>
      <c r="D311" s="8"/>
      <c r="E311" s="8"/>
      <c r="F311" s="9"/>
      <c r="G311" s="8"/>
      <c r="H311" s="8"/>
      <c r="I311" s="9"/>
    </row>
    <row r="312" spans="1:9">
      <c r="A312" s="8"/>
      <c r="B312" s="13"/>
      <c r="C312" s="8"/>
      <c r="D312" s="8"/>
      <c r="E312" s="8"/>
      <c r="F312" s="9"/>
      <c r="G312" s="8"/>
      <c r="H312" s="8"/>
      <c r="I312" s="9"/>
    </row>
    <row r="313" spans="1:9">
      <c r="A313" s="8"/>
      <c r="B313" s="13"/>
      <c r="C313" s="8"/>
      <c r="D313" s="8"/>
      <c r="E313" s="8"/>
      <c r="F313" s="9"/>
      <c r="G313" s="8"/>
      <c r="H313" s="8"/>
      <c r="I313" s="9"/>
    </row>
    <row r="314" spans="1:9">
      <c r="A314" s="8"/>
      <c r="B314" s="13"/>
      <c r="C314" s="8"/>
      <c r="D314" s="8"/>
      <c r="E314" s="8"/>
      <c r="F314" s="9"/>
      <c r="G314" s="8"/>
      <c r="H314" s="8"/>
      <c r="I314" s="9"/>
    </row>
    <row r="315" spans="1:9">
      <c r="A315" s="8"/>
      <c r="B315" s="13"/>
      <c r="C315" s="8"/>
      <c r="D315" s="8"/>
      <c r="E315" s="8"/>
      <c r="F315" s="9"/>
      <c r="G315" s="8"/>
      <c r="H315" s="8"/>
      <c r="I315" s="9"/>
    </row>
    <row r="316" spans="1:9">
      <c r="A316" s="8"/>
      <c r="B316" s="13"/>
      <c r="C316" s="8"/>
      <c r="D316" s="8"/>
      <c r="E316" s="8"/>
      <c r="F316" s="9"/>
      <c r="G316" s="8"/>
      <c r="H316" s="8"/>
      <c r="I316" s="9"/>
    </row>
    <row r="317" spans="1:9">
      <c r="A317" s="8"/>
      <c r="B317" s="13"/>
      <c r="C317" s="8"/>
      <c r="D317" s="8"/>
      <c r="E317" s="8"/>
      <c r="F317" s="9"/>
      <c r="G317" s="8"/>
      <c r="H317" s="8"/>
      <c r="I317" s="9"/>
    </row>
    <row r="318" spans="1:9">
      <c r="A318" s="8"/>
      <c r="B318" s="13"/>
      <c r="C318" s="8"/>
      <c r="D318" s="8"/>
      <c r="E318" s="8"/>
      <c r="F318" s="9"/>
      <c r="G318" s="8"/>
      <c r="H318" s="8"/>
      <c r="I318" s="9"/>
    </row>
    <row r="319" spans="1:9">
      <c r="A319" s="8"/>
      <c r="B319" s="13"/>
      <c r="C319" s="8"/>
      <c r="D319" s="8"/>
      <c r="E319" s="8"/>
      <c r="F319" s="9"/>
      <c r="G319" s="8"/>
      <c r="H319" s="8"/>
      <c r="I319" s="9"/>
    </row>
    <row r="320" spans="1:9">
      <c r="A320" s="8"/>
      <c r="B320" s="13"/>
      <c r="C320" s="8"/>
      <c r="D320" s="8"/>
      <c r="E320" s="8"/>
      <c r="F320" s="9"/>
      <c r="G320" s="8"/>
      <c r="H320" s="8"/>
      <c r="I320" s="9"/>
    </row>
    <row r="321" spans="1:9">
      <c r="A321" s="8"/>
      <c r="B321" s="13"/>
      <c r="C321" s="8"/>
      <c r="D321" s="8"/>
      <c r="E321" s="8"/>
      <c r="F321" s="9"/>
      <c r="G321" s="8"/>
      <c r="H321" s="8"/>
      <c r="I321" s="9"/>
    </row>
    <row r="322" spans="1:9">
      <c r="A322" s="8"/>
      <c r="B322" s="13"/>
      <c r="C322" s="8"/>
      <c r="D322" s="8"/>
      <c r="E322" s="8"/>
      <c r="F322" s="9"/>
      <c r="G322" s="8"/>
      <c r="H322" s="8"/>
      <c r="I322" s="9"/>
    </row>
    <row r="323" spans="1:9">
      <c r="A323" s="8"/>
      <c r="B323" s="13"/>
      <c r="C323" s="8"/>
      <c r="D323" s="8"/>
      <c r="E323" s="8"/>
      <c r="F323" s="9"/>
      <c r="G323" s="8"/>
      <c r="H323" s="8"/>
      <c r="I323" s="9"/>
    </row>
    <row r="324" spans="1:9">
      <c r="A324" s="8"/>
      <c r="B324" s="13"/>
      <c r="C324" s="8"/>
      <c r="D324" s="8"/>
      <c r="E324" s="8"/>
      <c r="F324" s="9"/>
      <c r="G324" s="8"/>
      <c r="H324" s="8"/>
      <c r="I324" s="9"/>
    </row>
    <row r="325" spans="1:9">
      <c r="A325" s="8"/>
      <c r="B325" s="13"/>
      <c r="C325" s="8"/>
      <c r="D325" s="8"/>
      <c r="E325" s="8"/>
      <c r="F325" s="9"/>
      <c r="G325" s="8"/>
      <c r="H325" s="8"/>
      <c r="I325" s="9"/>
    </row>
    <row r="326" spans="1:9">
      <c r="C326" s="8"/>
      <c r="D326" s="8"/>
      <c r="E326" s="8"/>
      <c r="F326" s="9"/>
      <c r="G326" s="8"/>
      <c r="H326" s="8"/>
      <c r="I326" s="9"/>
    </row>
  </sheetData>
  <mergeCells count="4">
    <mergeCell ref="G1:I1"/>
    <mergeCell ref="A1:C1"/>
    <mergeCell ref="D1:F1"/>
    <mergeCell ref="A2:B2"/>
  </mergeCells>
  <conditionalFormatting sqref="F2 I2 F4:F85 I4:I85">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099290" xr:uid="{9E1BC671-010E-492F-A4E7-ECAEEE7516BE}"/>
    <hyperlink ref="K5" r:id="rId2" display="https://us3.assetplanner.com/service_request?ID=107271" xr:uid="{E07FCAB6-27B3-4451-BAAB-465362EDA378}"/>
    <hyperlink ref="M5" r:id="rId3" display="https://us3.assetplanner.com/service_request?ID=105924" xr:uid="{E5221C7E-A706-4C93-B909-77C57DDF8584}"/>
    <hyperlink ref="N5" r:id="rId4" display="https://us3.assetplanner.com/service_request?ID=101243" xr:uid="{5530E5B2-41C4-4A94-BD97-96D0769FA14D}"/>
    <hyperlink ref="O5" r:id="rId5" display="https://us3.assetplanner.com/service_request?ID=105658" xr:uid="{9945859B-534A-4C8F-A1AD-B371ECD5565A}"/>
    <hyperlink ref="P5" r:id="rId6" display="https://us3.assetplanner.com/service_request?ID=107520" xr:uid="{F0A4E3F8-5FB4-405E-B241-D2D0E16D53B5}"/>
    <hyperlink ref="Q5" r:id="rId7" display="https://us3.assetplanner.com/service_request?ID=104647" xr:uid="{172A339B-6031-4885-AE21-35865F6E672C}"/>
    <hyperlink ref="R5" r:id="rId8" display="https://us3.assetplanner.com/service_request?ID=101245" xr:uid="{B97EB3A2-2891-41A3-BEEE-C65F24AA4FC5}"/>
    <hyperlink ref="K8" r:id="rId9" display="https://us3.assetplanner.com/service_request?ID=098870" xr:uid="{19718888-6310-441E-992D-B4F07DE2C339}"/>
    <hyperlink ref="M8" r:id="rId10" display="https://us3.assetplanner.com/service_request?ID=099461" xr:uid="{2A1F9F20-FB21-42F5-8AAA-06AC4E31A5EC}"/>
    <hyperlink ref="K9" r:id="rId11" display="https://us3.assetplanner.com/service_request?ID=107775" xr:uid="{8ECDB5E6-EA03-4982-81F7-81D48EBDA41A}"/>
    <hyperlink ref="M9" r:id="rId12" display="https://us3.assetplanner.com/service_request?ID=104023" xr:uid="{7A3B188E-40EF-4E27-8098-5E2906C65730}"/>
    <hyperlink ref="K11" r:id="rId13" display="https://us3.assetplanner.com/service_request?ID=110027" xr:uid="{550A7098-BECE-40D4-80D7-7C2599015A2C}"/>
    <hyperlink ref="M11" r:id="rId14" display="https://us3.assetplanner.com/service_request?ID=109753" xr:uid="{F23DBF18-B5B9-44FA-BB03-0487CBF69969}"/>
    <hyperlink ref="N11" r:id="rId15" display="https://us3.assetplanner.com/service_request?ID=109179" xr:uid="{052563EF-DBCE-4582-BFC9-E108064A2105}"/>
    <hyperlink ref="K12" r:id="rId16" display="https://us3.assetplanner.com/service_request?ID=102209" xr:uid="{E4FA6854-77D2-4156-B78C-8F5C4779D83E}"/>
    <hyperlink ref="M12" r:id="rId17" display="https://us3.assetplanner.com/service_request?ID=110401" xr:uid="{6E995514-A284-4AED-AA4F-BAC8FE7414BC}"/>
    <hyperlink ref="K13" r:id="rId18" display="https://us3.assetplanner.com/service_request?ID=109506" xr:uid="{02CF9B23-5404-4486-9D9D-3367EE745854}"/>
    <hyperlink ref="K14" r:id="rId19" display="https://us3.assetplanner.com/service_request?ID=107872" xr:uid="{72AC0978-5CDF-4119-BD67-D2FA731E2D12}"/>
    <hyperlink ref="M14" r:id="rId20" display="https://us3.assetplanner.com/service_request?ID=109812" xr:uid="{1E370680-9B10-4095-94DB-F1186368FC0A}"/>
    <hyperlink ref="K15" r:id="rId21" display="https://us3.assetplanner.com/service_request?ID=106831" xr:uid="{3061BE7A-0DB9-44F5-ADF8-4394C97042BB}"/>
    <hyperlink ref="K16" r:id="rId22" display="https://us3.assetplanner.com/service_request?ID=108311" xr:uid="{B2902DBF-E28F-4179-9EB0-9AFC1B7FF9F1}"/>
    <hyperlink ref="K17" r:id="rId23" display="https://us3.assetplanner.com/service_request?ID=109383" xr:uid="{92F01FD4-482C-4409-875C-E263B29B44CE}"/>
    <hyperlink ref="M17" r:id="rId24" display="https://us3.assetplanner.com/service_request?ID=109222" xr:uid="{C1A3E165-51D2-4156-BBEC-6DCE9E9C1062}"/>
    <hyperlink ref="K18" r:id="rId25" display="https://us3.assetplanner.com/service_request?ID=108881" xr:uid="{7F2DDA32-CDCC-49D1-A1C1-1A4A1C17192C}"/>
    <hyperlink ref="K19" r:id="rId26" display="https://us3.assetplanner.com/service_request?ID=107579" xr:uid="{E7FBB7AE-DE01-4649-895B-C1837DE62B4B}"/>
    <hyperlink ref="M19" r:id="rId27" display="https://us3.assetplanner.com/service_request?ID=110134" xr:uid="{564F5412-1920-4D8C-BE14-311AFA814762}"/>
    <hyperlink ref="K20" r:id="rId28" display="https://us3.assetplanner.com/service_request?ID=109491" xr:uid="{AB14816B-C093-48C4-9305-BD86AAE9E03F}"/>
    <hyperlink ref="K21" r:id="rId29" display="https://us3.assetplanner.com/service_request?ID=108422" xr:uid="{35F87667-B32D-4571-A46B-6EC6EA4981EF}"/>
    <hyperlink ref="M21" r:id="rId30" display="https://us3.assetplanner.com/service_request?ID=106514" xr:uid="{9A102D6C-7760-4D99-97FF-8873321C9B83}"/>
    <hyperlink ref="N21" r:id="rId31" display="https://us3.assetplanner.com/service_request?ID=106483" xr:uid="{255F5E26-D9A0-44C1-96F5-3EC786FEE5D7}"/>
    <hyperlink ref="O21" r:id="rId32" display="https://us3.assetplanner.com/service_request?ID=106806" xr:uid="{B6FBEE05-FDE3-4CA9-8287-FEAD61B35B2C}"/>
    <hyperlink ref="P21" r:id="rId33" display="https://us3.assetplanner.com/service_request?ID=106806" xr:uid="{51BA321D-7EDF-4857-BAE6-4209353F55BF}"/>
    <hyperlink ref="K22" r:id="rId34" display="https://us3.assetplanner.com/service_request?ID=103914" xr:uid="{6D4D050E-C1C2-420E-A568-1B07C3CA1007}"/>
    <hyperlink ref="K25" r:id="rId35" display="https://us3.assetplanner.com/service_request?ID=104192" xr:uid="{CBA5B738-CA4E-460B-B6C9-F4AC7A4360AE}"/>
    <hyperlink ref="M25" r:id="rId36" display="https://us3.assetplanner.com/service_request?ID=102794" xr:uid="{97B69780-B4D6-4AE0-BB08-AE3E34AF44B4}"/>
    <hyperlink ref="N25" r:id="rId37" display="https://us3.assetplanner.com/service_request?ID=105489" xr:uid="{1FCA9257-DBFC-4C56-9A4F-F6A8419CF20D}"/>
    <hyperlink ref="O25" r:id="rId38" display="https://us3.assetplanner.com/service_request?ID=107586" xr:uid="{A103207C-6263-43DD-92A1-D1D9768462B4}"/>
    <hyperlink ref="P25" r:id="rId39" display="https://us3.assetplanner.com/service_request?ID=108491" xr:uid="{0B032DDB-D0D9-4CC5-8B72-58A01B962152}"/>
    <hyperlink ref="Q25" r:id="rId40" display="https://us3.assetplanner.com/service_request?ID=109906" xr:uid="{9B402732-0A41-4EEC-822C-D47FB4921FC1}"/>
    <hyperlink ref="K26" r:id="rId41" display="https://us3.assetplanner.com/service_request?ID=108496" xr:uid="{FD8D6639-E257-481A-904A-629B4AA5ADC9}"/>
    <hyperlink ref="M26" r:id="rId42" display="https://us3.assetplanner.com/service_request?ID=109104" xr:uid="{1197A181-4539-4FD4-85C8-005732628855}"/>
    <hyperlink ref="K31" r:id="rId43" display="https://us3.assetplanner.com/service_request?ID=105973" xr:uid="{52EBCA68-F6C2-4076-9BD6-E6281DA6D78E}"/>
    <hyperlink ref="K33" r:id="rId44" display="https://us3.assetplanner.com/service_request?ID=102723" xr:uid="{4FA92FCA-0B09-428B-AE4E-A38110B0F4EF}"/>
    <hyperlink ref="M33" r:id="rId45" display="https://us3.assetplanner.com/service_request?ID=105641" xr:uid="{0DF657B9-BBED-450B-A172-D7F2701FAA9F}"/>
    <hyperlink ref="K39" r:id="rId46" display="https://us3.assetplanner.com/service_request?ID=106082" xr:uid="{9C0CF80A-5D82-49EC-BBB3-020F16EDDB03}"/>
    <hyperlink ref="M39" r:id="rId47" display="https://us3.assetplanner.com/service_request?ID=100857" xr:uid="{2AE1E370-6D62-4504-9CAB-C6849186D1A4}"/>
    <hyperlink ref="K40" r:id="rId48" display="https://us3.assetplanner.com/service_request?ID=101963" xr:uid="{E1B122B8-7AA7-49C3-8B7F-21AF53A31341}"/>
    <hyperlink ref="K41" r:id="rId49" display="https://us3.assetplanner.com/service_request?ID=101818" xr:uid="{DE9589F2-76D4-4D3D-81FA-17FF24BD6665}"/>
    <hyperlink ref="M41" r:id="rId50" display="https://us3.assetplanner.com/service_request?ID=105928" xr:uid="{E7E47097-3907-4531-B71F-25D3F2D8AFA9}"/>
    <hyperlink ref="K42" r:id="rId51" display="https://us3.assetplanner.com/service_request?ID=101034" xr:uid="{89ACF43F-708D-4BFE-8E1A-A0F7C68C1EE9}"/>
    <hyperlink ref="M42" r:id="rId52" display="https://us3.assetplanner.com/service_request?ID=103779" xr:uid="{17A2345E-C928-4C61-B318-296E23DB069B}"/>
    <hyperlink ref="N42" r:id="rId53" display="https://us3.assetplanner.com/service_request?ID=102621" xr:uid="{B0D6AC99-74A4-4D43-88B8-90B19F1C4AAE}"/>
    <hyperlink ref="O42" r:id="rId54" display="https://us3.assetplanner.com/service_request?ID=109841" xr:uid="{E6B4A5EB-A1B2-454E-B8F0-1C09F885F612}"/>
    <hyperlink ref="K43" r:id="rId55" display="https://us3.assetplanner.com/service_request?ID=101021" xr:uid="{6807164D-DB47-4D32-9761-52F3621A24D1}"/>
    <hyperlink ref="K44" r:id="rId56" display="https://us3.assetplanner.com/service_request?ID=100915" xr:uid="{D32550B2-D45D-4421-A1EA-0464E1AAD592}"/>
    <hyperlink ref="K45" r:id="rId57" display="https://us3.assetplanner.com/service_request?ID=105366" xr:uid="{1C3294DE-12AC-4D40-8E50-908A9B14C66B}"/>
    <hyperlink ref="M45" r:id="rId58" display="https://us3.assetplanner.com/service_request?ID=101100" xr:uid="{39BC77E9-0D46-4AA9-A479-F46E40519807}"/>
    <hyperlink ref="N45" r:id="rId59" display="https://us3.assetplanner.com/service_request?ID=107802" xr:uid="{2955FC91-6F5E-46A0-B704-B8E8EF26DE0E}"/>
    <hyperlink ref="O45" r:id="rId60" display="https://us3.assetplanner.com/service_request?ID=108849" xr:uid="{5CDCC533-D8CB-450C-9BB5-3E776D6662B3}"/>
    <hyperlink ref="K46" r:id="rId61" display="https://us3.assetplanner.com/service_request?ID=105192" xr:uid="{4755D6E2-315F-4DE0-B329-E4EADBC771DF}"/>
    <hyperlink ref="M46" r:id="rId62" display="https://us3.assetplanner.com/service_request?ID=106435" xr:uid="{2E455AC3-238D-4C68-9227-4A1F7424838D}"/>
    <hyperlink ref="N46" r:id="rId63" display="https://us3.assetplanner.com/service_request?ID=106650" xr:uid="{4B318BD4-E990-4A28-B119-E8F733EE2F78}"/>
    <hyperlink ref="K47" r:id="rId64" display="https://us3.assetplanner.com/service_request?ID=102419" xr:uid="{4351F9EE-5CAE-4213-80A4-A2FB5F5F3CE5}"/>
    <hyperlink ref="M47" r:id="rId65" display="https://us3.assetplanner.com/service_request?ID=105494" xr:uid="{00A51C06-4762-44EB-96CE-CD3ACACE1A1F}"/>
    <hyperlink ref="N47" r:id="rId66" display="https://us3.assetplanner.com/service_request?ID=107209" xr:uid="{521932D4-8FE0-47FD-8C98-EB888316175E}"/>
    <hyperlink ref="K48" r:id="rId67" display="https://us3.assetplanner.com/service_request?ID=102283" xr:uid="{C39356E4-A932-4C08-AD65-375B277699DD}"/>
    <hyperlink ref="M48" r:id="rId68" display="https://us3.assetplanner.com/service_request?ID=108846" xr:uid="{8E40B43A-97C9-4A48-9951-4A9FE6C9AA64}"/>
    <hyperlink ref="N48" r:id="rId69" display="https://us3.assetplanner.com/service_request?ID=109533" xr:uid="{B086F6C8-8D5A-47EC-9ADC-B9E00BC28864}"/>
    <hyperlink ref="K49" r:id="rId70" display="https://us3.assetplanner.com/service_request?ID=102418" xr:uid="{F6AE9CC4-87CE-42B1-B208-B594C69E07FA}"/>
    <hyperlink ref="K50" r:id="rId71" display="https://us3.assetplanner.com/service_request?ID=102416" xr:uid="{6D6F266B-1A39-45CF-B81D-DF194BC8EED6}"/>
    <hyperlink ref="M50" r:id="rId72" display="https://us3.assetplanner.com/service_request?ID=105908" xr:uid="{D731F0DA-60AC-4DA3-8D36-CE8B5CFF18E0}"/>
    <hyperlink ref="K51" r:id="rId73" display="https://us3.assetplanner.com/service_request?ID=102392" xr:uid="{EFD272BB-1892-4B28-98DC-2F355B2B1C1C}"/>
    <hyperlink ref="K52" r:id="rId74" display="https://us3.assetplanner.com/service_request?ID=102321" xr:uid="{362AD6B6-D2BB-45B4-955B-8B3B7CDD0BDA}"/>
    <hyperlink ref="M52" r:id="rId75" display="https://us3.assetplanner.com/service_request?ID=103636" xr:uid="{D8CCA50C-EA3B-40E3-AD1F-658900B17B00}"/>
    <hyperlink ref="N52" r:id="rId76" display="https://us3.assetplanner.com/service_request?ID=102539" xr:uid="{E92D95F5-07C7-4B34-B3BC-E760BBC7A9AE}"/>
    <hyperlink ref="O52" r:id="rId77" display="https://us3.assetplanner.com/service_request?ID=104882" xr:uid="{7A37301F-6599-4766-BEB0-8C8B17359E47}"/>
    <hyperlink ref="K53" r:id="rId78" display="https://us3.assetplanner.com/service_request?ID=102320" xr:uid="{35DF9C6D-0201-4BB1-8322-06C35DC47DDE}"/>
    <hyperlink ref="K54" r:id="rId79" display="https://us3.assetplanner.com/service_request?ID=102317" xr:uid="{315160AC-A295-4DF7-BD54-BFA13E33EC9F}"/>
    <hyperlink ref="K55" r:id="rId80" display="https://us3.assetplanner.com/service_request?ID=108297" xr:uid="{4BB0E2F8-8227-4341-8C28-12F7A777A6A6}"/>
    <hyperlink ref="M55" r:id="rId81" display="https://us3.assetplanner.com/service_request?ID=108307" xr:uid="{67E31CD9-F5AF-4F55-86C8-A524D05FBB7E}"/>
    <hyperlink ref="N55" r:id="rId82" display="https://us3.assetplanner.com/service_request?ID=108307" xr:uid="{5D31FEA4-6C8F-4ED3-856A-4D75A9D8C475}"/>
    <hyperlink ref="O55" r:id="rId83" display="https://us3.assetplanner.com/service_request?ID=109597" xr:uid="{428AFFC1-7F2C-4FDD-AA76-B8E4CB7EE6C9}"/>
    <hyperlink ref="P55" r:id="rId84" display="https://us3.assetplanner.com/service_request?ID=109599" xr:uid="{9A36831C-E6A6-43F8-8C4C-9B024A3830A3}"/>
    <hyperlink ref="Q55" r:id="rId85" display="https://us3.assetplanner.com/service_request?ID=109598" xr:uid="{F23319D9-9298-420F-B651-C4F981222D57}"/>
    <hyperlink ref="R55" r:id="rId86" display="https://us3.assetplanner.com/service_request?ID=109599" xr:uid="{E95D8699-A713-4729-8F31-655194891A11}"/>
    <hyperlink ref="S55" r:id="rId87" display="https://us3.assetplanner.com/service_request?ID=109599" xr:uid="{48D2F96B-3648-4074-9F77-A57E1D513C72}"/>
    <hyperlink ref="K56" r:id="rId88" display="https://us3.assetplanner.com/service_request?ID=102886" xr:uid="{8F775996-87F0-45B5-9794-7AD17DE00654}"/>
    <hyperlink ref="M56" r:id="rId89" display="https://us3.assetplanner.com/service_request?ID=107512" xr:uid="{0211361B-9A53-44FE-9EFA-B7936941DE47}"/>
    <hyperlink ref="N56" r:id="rId90" display="https://us3.assetplanner.com/service_request?ID=108834" xr:uid="{2A59477A-CAFC-4279-9CE6-C434491E3B2B}"/>
    <hyperlink ref="K57" r:id="rId91" display="https://us3.assetplanner.com/service_request?ID=102281" xr:uid="{C1C14B43-37AE-496E-B0CA-1AE5FEF84246}"/>
    <hyperlink ref="K58" r:id="rId92" display="https://us3.assetplanner.com/service_request?ID=109629" xr:uid="{66FFABBE-7EEB-4166-8F95-67DF44263EBC}"/>
    <hyperlink ref="K59" r:id="rId93" display="https://us3.assetplanner.com/service_request?ID=101986" xr:uid="{003CD358-F07D-45FA-A927-80CBF566A853}"/>
    <hyperlink ref="M59" r:id="rId94" display="https://us3.assetplanner.com/service_request?ID=102503" xr:uid="{C1B869EF-EEEF-45E1-9967-6F34E116A44A}"/>
    <hyperlink ref="K60" r:id="rId95" display="https://us3.assetplanner.com/service_request?ID=102451" xr:uid="{9C01393A-B5CF-4D15-9935-E993EF5B523F}"/>
    <hyperlink ref="K61" r:id="rId96" display="https://us3.assetplanner.com/service_request?ID=102321" xr:uid="{9389A19E-68CC-4722-A818-A6E9A8CBFEE4}"/>
    <hyperlink ref="M61" r:id="rId97" display="https://us3.assetplanner.com/service_request?ID=108902" xr:uid="{9708A7E0-4F56-411B-8787-094FA08E4985}"/>
    <hyperlink ref="N61" r:id="rId98" display="https://us3.assetplanner.com/service_request?ID=103636" xr:uid="{2FC44AAA-3C9A-4449-A5D6-ECDFA56E8000}"/>
    <hyperlink ref="O61" r:id="rId99" display="https://us3.assetplanner.com/service_request?ID=102539" xr:uid="{487F0229-B874-4B30-BB3C-DF920A96934D}"/>
    <hyperlink ref="P61" r:id="rId100" display="https://us3.assetplanner.com/service_request?ID=104882" xr:uid="{19F7A1B8-CB11-46E4-BD6C-C6AD6EFC356E}"/>
    <hyperlink ref="K62" r:id="rId101" display="https://us3.assetplanner.com/service_request?ID=102329" xr:uid="{A0456133-BC0C-4166-91B7-D7C33C56EFCB}"/>
    <hyperlink ref="M62" r:id="rId102" display="https://us3.assetplanner.com/service_request?ID=105139" xr:uid="{90996B21-E19D-437A-A962-F004836B8288}"/>
    <hyperlink ref="N62" r:id="rId103" display="https://us3.assetplanner.com/service_request?ID=106828" xr:uid="{F2090C4B-3532-495B-A5A8-4E702C4E299C}"/>
    <hyperlink ref="O62" r:id="rId104" display="https://us3.assetplanner.com/service_request?ID=109164" xr:uid="{578870A2-FC54-4A73-9F16-AE9F5052B051}"/>
    <hyperlink ref="K63" r:id="rId105" display="https://us3.assetplanner.com/service_request?ID=102303" xr:uid="{93FDBEE0-ECEA-448C-BD2B-A4AEAC60313C}"/>
    <hyperlink ref="K64" r:id="rId106" display="https://us3.assetplanner.com/service_request?ID=102411" xr:uid="{8FDBFEAC-1B94-49F5-B83B-A133ECE5CDE0}"/>
    <hyperlink ref="K65" r:id="rId107" display="https://us3.assetplanner.com/service_request?ID=106531" xr:uid="{67376F5B-6A48-4C7F-9C70-B33C910CC1C9}"/>
    <hyperlink ref="K66" r:id="rId108" display="https://us3.assetplanner.com/service_request?ID=108501" xr:uid="{5F889FDE-7F23-4737-9F97-8B645658C6B0}"/>
    <hyperlink ref="M66" r:id="rId109" display="https://us3.assetplanner.com/service_request?ID=107991" xr:uid="{F477C2D6-C321-41C7-A971-CFF5FCE8B22E}"/>
    <hyperlink ref="N66" r:id="rId110" display="https://us3.assetplanner.com/service_request?ID=102310" xr:uid="{EF0A447F-8E25-46D3-BB02-B03A513EEF25}"/>
    <hyperlink ref="K67" r:id="rId111" display="https://us3.assetplanner.com/service_request?ID=104289" xr:uid="{5ACFA657-95E0-43A9-A3FE-30C02D39B740}"/>
    <hyperlink ref="K68" r:id="rId112" display="https://us3.assetplanner.com/service_request?ID=102450" xr:uid="{7E7B553D-0DCA-4794-8F94-705567ADD685}"/>
    <hyperlink ref="K69" r:id="rId113" display="https://us3.assetplanner.com/service_request?ID=102413" xr:uid="{0F0109A7-8D99-479B-8AF0-E8E3EC74477F}"/>
    <hyperlink ref="M69" r:id="rId114" display="https://us3.assetplanner.com/service_request?ID=108898" xr:uid="{0673D7B7-C5FE-47B1-8F71-906A1A143F73}"/>
    <hyperlink ref="K70" r:id="rId115" display="https://us3.assetplanner.com/service_request?ID=106842" xr:uid="{7E8368EB-F723-4C5A-B9B5-F5FC35E5CC60}"/>
    <hyperlink ref="M70" r:id="rId116" display="https://us3.assetplanner.com/service_request?ID=102425" xr:uid="{1DD19606-0E51-48C1-979C-BABE49A74BE0}"/>
    <hyperlink ref="N70" r:id="rId117" display="https://us3.assetplanner.com/service_request?ID=106842" xr:uid="{2DE66E64-33D3-4D63-ABAD-E1BFC9921011}"/>
    <hyperlink ref="K71" r:id="rId118" display="https://us3.assetplanner.com/service_request?ID=102820" xr:uid="{D12EC23A-4FA1-4E47-A04F-C57FC1F3B88B}"/>
    <hyperlink ref="M71" r:id="rId119" display="https://us3.assetplanner.com/service_request?ID=104290" xr:uid="{4F510303-B517-4099-9FB5-6E91DFFFC338}"/>
    <hyperlink ref="K72" r:id="rId120" display="https://us3.assetplanner.com/service_request?ID=102424" xr:uid="{2201F570-45AE-4397-826A-AA47801DA949}"/>
    <hyperlink ref="K73" r:id="rId121" display="https://us3.assetplanner.com/service_request?ID=102423" xr:uid="{B1C6572D-08D2-479E-BD0B-D204E0F9E842}"/>
    <hyperlink ref="M73" r:id="rId122" display="https://us3.assetplanner.com/service_request?ID=108298" xr:uid="{81596B3D-40A5-4840-90D9-E5FA75AD021C}"/>
    <hyperlink ref="K74" r:id="rId123" display="https://us3.assetplanner.com/service_request?ID=102421" xr:uid="{5FC57F0E-9043-4636-9542-8002618CA761}"/>
    <hyperlink ref="M74" r:id="rId124" display="https://us3.assetplanner.com/service_request?ID=108404" xr:uid="{83ACA3CB-2F3F-4BCC-B82C-E8004EF3C8BC}"/>
    <hyperlink ref="K75" r:id="rId125" display="https://us3.assetplanner.com/service_request?ID=102420" xr:uid="{C8F7A7FC-CEFA-40FD-8F8D-A4357B41D059}"/>
    <hyperlink ref="M75" r:id="rId126" display="https://us3.assetplanner.com/service_request?ID=109601" xr:uid="{2DD524EC-C57C-4D89-9335-A0DE75BE786F}"/>
    <hyperlink ref="N75" r:id="rId127" display="https://us3.assetplanner.com/service_request?ID=109601" xr:uid="{AF04E6AE-02CB-4D3C-8AF4-AF3E3BA6C6D1}"/>
    <hyperlink ref="K76" r:id="rId128" display="https://us3.assetplanner.com/service_request?ID=108494" xr:uid="{2310F2E7-B45B-48F1-AEDC-CAEB87F8AF12}"/>
    <hyperlink ref="M76" r:id="rId129" display="https://us3.assetplanner.com/service_request?ID=106851" xr:uid="{C32DF6E3-3E9D-4738-82C4-2141B5AAC26A}"/>
    <hyperlink ref="N76" r:id="rId130" display="https://us3.assetplanner.com/service_request?ID=103869" xr:uid="{91EC29CD-7CB5-4549-9854-1C6DD75A5020}"/>
    <hyperlink ref="O76" r:id="rId131" display="https://us3.assetplanner.com/service_request?ID=110121" xr:uid="{8ECE2C18-FF3E-42B1-9C8C-32F462589DC6}"/>
    <hyperlink ref="K77" r:id="rId132" display="https://us3.assetplanner.com/service_request?ID=108282" xr:uid="{2F1E16B8-2363-49F4-8F89-CF3FB8B7BCFC}"/>
    <hyperlink ref="M77" r:id="rId133" display="https://us3.assetplanner.com/service_request?ID=103868" xr:uid="{83670905-455F-43C3-ABBB-635BFF31A071}"/>
    <hyperlink ref="K78" r:id="rId134" display="https://us3.assetplanner.com/service_request?ID=103867" xr:uid="{A1C51646-19F0-4322-B497-94D0E7E05F69}"/>
    <hyperlink ref="K79" r:id="rId135" display="https://us3.assetplanner.com/service_request?ID=103866" xr:uid="{CB7D6612-0051-4808-B35A-9305EF504383}"/>
    <hyperlink ref="K80" r:id="rId136" display="https://us3.assetplanner.com/service_request?ID=104456" xr:uid="{EB701DA3-C0A6-4B88-861E-974A360B955B}"/>
    <hyperlink ref="K82" r:id="rId137" display="https://us3.assetplanner.com/service_request?ID=104776" xr:uid="{00AD895B-7F92-4F12-B1D0-37E415C59A43}"/>
    <hyperlink ref="K83" r:id="rId138" display="https://us3.assetplanner.com/service_request?ID=103946" xr:uid="{79BDD467-35CF-4947-9926-F002DA4698FD}"/>
    <hyperlink ref="M83" r:id="rId139" display="https://us3.assetplanner.com/service_request?ID=104855" xr:uid="{CABF15A9-A55F-4AD6-B7FA-8709329356B5}"/>
    <hyperlink ref="K84" r:id="rId140" display="https://us3.assetplanner.com/service_request?ID=106885" xr:uid="{5E32B45D-7C32-4E8E-BA92-80BFBB8BA1E2}"/>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P326"/>
  <sheetViews>
    <sheetView tabSelected="1" zoomScale="69" zoomScaleNormal="69" workbookViewId="0">
      <pane xSplit="2" ySplit="3" topLeftCell="C4" activePane="bottomRight" state="frozen"/>
      <selection pane="bottomRight" activeCell="J91" sqref="J9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6.5703125" style="104" customWidth="1"/>
  </cols>
  <sheetData>
    <row r="1" spans="1:15" ht="19.5" customHeight="1">
      <c r="A1" s="119" t="str" cm="1">
        <f t="array" ref="A1">portfolio</f>
        <v>Clean Capital</v>
      </c>
      <c r="B1" s="119"/>
      <c r="C1" s="119"/>
      <c r="D1" s="120" t="s">
        <v>831</v>
      </c>
      <c r="E1" s="120"/>
      <c r="F1" s="120"/>
      <c r="G1" s="118" t="s">
        <v>832</v>
      </c>
      <c r="H1" s="118"/>
      <c r="I1" s="118"/>
      <c r="J1" s="4"/>
      <c r="K1" s="4"/>
      <c r="L1" s="4"/>
    </row>
    <row r="2" spans="1:15" ht="19.5" customHeight="1">
      <c r="A2" s="121" t="s">
        <v>2</v>
      </c>
      <c r="B2" s="121"/>
      <c r="C2" s="5">
        <f>SUM(C4:C184)</f>
        <v>2841325.6999700004</v>
      </c>
      <c r="D2" s="5">
        <f>SUM(D4:D184)</f>
        <v>2268881.7179999994</v>
      </c>
      <c r="E2" s="5">
        <f>C2-D2</f>
        <v>572443.98197000101</v>
      </c>
      <c r="F2" s="6">
        <f>IFERROR(E2/D2, 0)</f>
        <v>0.25230225860985195</v>
      </c>
      <c r="G2" s="5">
        <f>SUM(G4:G184)</f>
        <v>3257400.46</v>
      </c>
      <c r="H2" s="7">
        <f>C2-G2</f>
        <v>-416074.76002999954</v>
      </c>
      <c r="I2" s="6">
        <f>IFERROR(H2/G2, 0)</f>
        <v>-0.1277321487300335</v>
      </c>
      <c r="J2" s="11" t="str">
        <f ca="1">IF(AND(TODAY()&gt;DATE(2024, 11, 1), COUNTA(Sites[Site])&lt;&gt;(COUNT(C:C)-1)), "Some sites are missing actual data; if new sites were added, make sure they are aligned correctly (including prior months!)", "")</f>
        <v/>
      </c>
      <c r="K2" s="4"/>
      <c r="L2" s="4"/>
    </row>
    <row r="3" spans="1:15" ht="14.25" customHeight="1">
      <c r="A3" s="12" t="s">
        <v>3</v>
      </c>
      <c r="B3" s="12" t="s">
        <v>4</v>
      </c>
      <c r="C3" s="19" t="s">
        <v>5</v>
      </c>
      <c r="D3" s="20" t="s">
        <v>6</v>
      </c>
      <c r="E3" s="20" t="s">
        <v>7</v>
      </c>
      <c r="F3" s="21" t="s">
        <v>8</v>
      </c>
      <c r="G3" s="22" t="s">
        <v>9</v>
      </c>
      <c r="H3" s="23" t="s">
        <v>7</v>
      </c>
      <c r="I3" s="24" t="s">
        <v>8</v>
      </c>
      <c r="J3" s="10" t="s">
        <v>42</v>
      </c>
      <c r="K3" s="10" t="s">
        <v>21</v>
      </c>
      <c r="L3" s="10" t="s">
        <v>690</v>
      </c>
    </row>
    <row r="4" spans="1:15" ht="123" customHeight="1">
      <c r="A4" s="39" t="str" cm="1">
        <f t="array" ref="A4:A85">Sites[Site]</f>
        <v>Lexington - Cotting School</v>
      </c>
      <c r="B4" s="40" t="str" cm="1">
        <f t="array" ref="B4:B85">Sites[State]</f>
        <v>MA</v>
      </c>
      <c r="C4" s="28">
        <v>15820.5</v>
      </c>
      <c r="D4" s="29" t="s">
        <v>43</v>
      </c>
      <c r="E4" s="29" t="str">
        <f>IF(AND(ISNUMBER(C4),ISNUMBER(D4)), C4-D4, "")</f>
        <v/>
      </c>
      <c r="F4" s="30" t="str">
        <f>IFERROR(E4/D4, "")</f>
        <v/>
      </c>
      <c r="G4" s="73" t="s">
        <v>43</v>
      </c>
      <c r="H4" s="31" t="str">
        <f>IF(AND(ISNUMBER(C4),ISNUMBER(G4)), C4-G4, "")</f>
        <v/>
      </c>
      <c r="I4" s="32" t="str">
        <f>IFERROR(H4/G4, "")</f>
        <v/>
      </c>
      <c r="J4" s="62" t="s">
        <v>833</v>
      </c>
      <c r="K4" s="78" t="s">
        <v>834</v>
      </c>
      <c r="L4" s="62" t="s">
        <v>714</v>
      </c>
      <c r="M4" s="103" t="s">
        <v>86</v>
      </c>
    </row>
    <row r="5" spans="1:15" ht="102" customHeight="1">
      <c r="A5" s="41" t="str">
        <v>Pacoima - Whiteman Airport</v>
      </c>
      <c r="B5" s="42" t="str">
        <v>CA</v>
      </c>
      <c r="C5" s="35">
        <v>12206.1</v>
      </c>
      <c r="D5" s="36" t="s">
        <v>43</v>
      </c>
      <c r="E5" s="36" t="str">
        <f t="shared" ref="E5:E12" si="0">IF(AND(ISNUMBER(C5),ISNUMBER(D5)), C5-D5, "")</f>
        <v/>
      </c>
      <c r="F5" s="37" t="str">
        <f>IFERROR(E5/D5, "")</f>
        <v/>
      </c>
      <c r="G5" s="38">
        <v>28600</v>
      </c>
      <c r="H5" s="38">
        <f t="shared" ref="H5:H12" si="1">IF(AND(ISNUMBER(C5),ISNUMBER(G5)), C5-G5, "")</f>
        <v>-16393.900000000001</v>
      </c>
      <c r="I5" s="37">
        <f t="shared" ref="I5:I12" si="2">IFERROR(H5/G5, "")</f>
        <v>-0.57321328671328675</v>
      </c>
      <c r="J5" s="60" t="s">
        <v>835</v>
      </c>
      <c r="K5" s="75" t="s">
        <v>836</v>
      </c>
      <c r="L5" s="60" t="s">
        <v>837</v>
      </c>
      <c r="M5" s="103" t="s">
        <v>838</v>
      </c>
      <c r="N5" s="103" t="s">
        <v>602</v>
      </c>
      <c r="O5" s="103" t="s">
        <v>839</v>
      </c>
    </row>
    <row r="6" spans="1:15" ht="49.5" customHeight="1">
      <c r="A6" s="43" t="str">
        <v>Hyannis - Sturgis Charter School</v>
      </c>
      <c r="B6" s="40" t="str">
        <v>MA</v>
      </c>
      <c r="C6" s="28">
        <v>13255</v>
      </c>
      <c r="D6" s="29" t="s">
        <v>43</v>
      </c>
      <c r="E6" s="29" t="str">
        <f t="shared" si="0"/>
        <v/>
      </c>
      <c r="F6" s="30" t="str">
        <f t="shared" ref="F6:F12" si="3">IFERROR(E6/D6, "")</f>
        <v/>
      </c>
      <c r="G6" s="31">
        <v>11030</v>
      </c>
      <c r="H6" s="31">
        <f t="shared" si="1"/>
        <v>2225</v>
      </c>
      <c r="I6" s="32">
        <f t="shared" si="2"/>
        <v>0.20172257479601088</v>
      </c>
      <c r="J6" s="62"/>
      <c r="K6" s="62"/>
      <c r="L6" s="62"/>
    </row>
    <row r="7" spans="1:15" ht="15.6">
      <c r="A7" s="41" t="str">
        <v>South Dennis - Tony Kent Arena</v>
      </c>
      <c r="B7" s="42" t="str">
        <v>MA</v>
      </c>
      <c r="C7" s="35">
        <v>14911</v>
      </c>
      <c r="D7" s="36" t="s">
        <v>43</v>
      </c>
      <c r="E7" s="36" t="str">
        <f t="shared" si="0"/>
        <v/>
      </c>
      <c r="F7" s="37" t="str">
        <f t="shared" si="3"/>
        <v/>
      </c>
      <c r="G7" s="83" t="s">
        <v>43</v>
      </c>
      <c r="H7" s="38" t="str">
        <f t="shared" si="1"/>
        <v/>
      </c>
      <c r="I7" s="37" t="str">
        <f t="shared" si="2"/>
        <v/>
      </c>
      <c r="J7" s="60"/>
      <c r="K7" s="59"/>
      <c r="L7" s="59"/>
    </row>
    <row r="8" spans="1:15" ht="28.9">
      <c r="A8" s="43" t="str">
        <v xml:space="preserve"> Caropolis - Felician Sisters</v>
      </c>
      <c r="B8" s="40" t="str">
        <v>PA</v>
      </c>
      <c r="C8" s="28">
        <v>24821</v>
      </c>
      <c r="D8" s="29" t="s">
        <v>43</v>
      </c>
      <c r="E8" s="29" t="str">
        <f t="shared" si="0"/>
        <v/>
      </c>
      <c r="F8" s="30" t="str">
        <f t="shared" si="3"/>
        <v/>
      </c>
      <c r="G8" s="73" t="s">
        <v>43</v>
      </c>
      <c r="H8" s="31" t="str">
        <f t="shared" si="1"/>
        <v/>
      </c>
      <c r="I8" s="32" t="str">
        <f t="shared" si="2"/>
        <v/>
      </c>
      <c r="J8" s="62" t="s">
        <v>840</v>
      </c>
      <c r="K8" s="78" t="s">
        <v>841</v>
      </c>
      <c r="L8" s="62" t="s">
        <v>842</v>
      </c>
    </row>
    <row r="9" spans="1:15" ht="43.15">
      <c r="A9" s="41" t="str">
        <v>Clear Lake - Eastlake Gohman</v>
      </c>
      <c r="B9" s="42" t="str">
        <v>MN</v>
      </c>
      <c r="C9" s="35">
        <v>85064</v>
      </c>
      <c r="D9" s="36" t="s">
        <v>43</v>
      </c>
      <c r="E9" s="36" t="str">
        <f t="shared" si="0"/>
        <v/>
      </c>
      <c r="F9" s="37" t="str">
        <f t="shared" si="3"/>
        <v/>
      </c>
      <c r="G9" s="38">
        <v>95445.67</v>
      </c>
      <c r="H9" s="38">
        <f t="shared" si="1"/>
        <v>-10381.669999999998</v>
      </c>
      <c r="I9" s="37">
        <f t="shared" si="2"/>
        <v>-0.10877046596246848</v>
      </c>
      <c r="J9" s="60" t="s">
        <v>843</v>
      </c>
      <c r="K9" s="75" t="s">
        <v>844</v>
      </c>
      <c r="L9" s="63" t="s">
        <v>845</v>
      </c>
      <c r="M9" s="103" t="s">
        <v>846</v>
      </c>
    </row>
    <row r="10" spans="1:15" ht="15.6">
      <c r="A10" s="43" t="str">
        <v>Zumbrota - Eastlake Brenda Luhman</v>
      </c>
      <c r="B10" s="40" t="str">
        <v>MN</v>
      </c>
      <c r="C10" s="28">
        <v>100959</v>
      </c>
      <c r="D10" s="29" t="s">
        <v>43</v>
      </c>
      <c r="E10" s="29" t="str">
        <f t="shared" si="0"/>
        <v/>
      </c>
      <c r="F10" s="30" t="str">
        <f t="shared" si="3"/>
        <v/>
      </c>
      <c r="G10" s="31">
        <v>93900.84</v>
      </c>
      <c r="H10" s="31">
        <f t="shared" si="1"/>
        <v>7058.1600000000035</v>
      </c>
      <c r="I10" s="32">
        <f t="shared" si="2"/>
        <v>7.5166100750536452E-2</v>
      </c>
      <c r="J10" s="62" t="s">
        <v>847</v>
      </c>
      <c r="K10" s="62"/>
      <c r="L10" s="62"/>
    </row>
    <row r="11" spans="1:15" ht="43.15">
      <c r="A11" s="41" t="str">
        <v>Cokato - Eastlake Carlson</v>
      </c>
      <c r="B11" s="42" t="str">
        <v>MN</v>
      </c>
      <c r="C11" s="35">
        <v>91274</v>
      </c>
      <c r="D11" s="36" t="s">
        <v>43</v>
      </c>
      <c r="E11" s="36" t="str">
        <f t="shared" si="0"/>
        <v/>
      </c>
      <c r="F11" s="37" t="str">
        <f t="shared" si="3"/>
        <v/>
      </c>
      <c r="G11" s="38">
        <v>109641.60000000001</v>
      </c>
      <c r="H11" s="38">
        <f t="shared" si="1"/>
        <v>-18367.600000000006</v>
      </c>
      <c r="I11" s="37">
        <f t="shared" si="2"/>
        <v>-0.1675240054869685</v>
      </c>
      <c r="J11" s="60" t="s">
        <v>848</v>
      </c>
      <c r="K11" s="75" t="s">
        <v>849</v>
      </c>
      <c r="L11" s="59" t="s">
        <v>691</v>
      </c>
    </row>
    <row r="12" spans="1:15" ht="123" customHeight="1">
      <c r="A12" s="43" t="str">
        <v>North Branch - Cornille 2</v>
      </c>
      <c r="B12" s="40" t="str">
        <v>MN</v>
      </c>
      <c r="C12" s="28">
        <v>86726.662429999997</v>
      </c>
      <c r="D12" s="29" t="s">
        <v>43</v>
      </c>
      <c r="E12" s="29" t="str">
        <f t="shared" si="0"/>
        <v/>
      </c>
      <c r="F12" s="30" t="str">
        <f t="shared" si="3"/>
        <v/>
      </c>
      <c r="G12" s="31">
        <v>91138.559999999998</v>
      </c>
      <c r="H12" s="31">
        <f t="shared" si="1"/>
        <v>-4411.897570000001</v>
      </c>
      <c r="I12" s="32">
        <f t="shared" si="2"/>
        <v>-4.8408682011214586E-2</v>
      </c>
      <c r="J12" s="62" t="s">
        <v>850</v>
      </c>
      <c r="K12" s="78" t="s">
        <v>851</v>
      </c>
      <c r="L12" s="62" t="s">
        <v>852</v>
      </c>
      <c r="M12" s="103" t="s">
        <v>853</v>
      </c>
    </row>
    <row r="13" spans="1:15" ht="28.9">
      <c r="A13" s="41" t="str">
        <v>Clear Lake - Eastlake Hammer</v>
      </c>
      <c r="B13" s="42" t="str">
        <v>MN</v>
      </c>
      <c r="C13" s="35">
        <v>76831</v>
      </c>
      <c r="D13" s="36" t="s">
        <v>43</v>
      </c>
      <c r="E13" s="36" t="str">
        <f t="shared" ref="E13:E76" si="4">IF(AND(ISNUMBER(C13),ISNUMBER(D13)), C13-D13, "")</f>
        <v/>
      </c>
      <c r="F13" s="37" t="str">
        <f t="shared" ref="F13:F76" si="5">IFERROR(E13/D13, "")</f>
        <v/>
      </c>
      <c r="G13" s="38">
        <v>88474.26</v>
      </c>
      <c r="H13" s="38">
        <f t="shared" ref="H13:H76" si="6">IF(AND(ISNUMBER(C13),ISNUMBER(G13)), C13-G13, "")</f>
        <v>-11643.259999999995</v>
      </c>
      <c r="I13" s="37">
        <f t="shared" ref="I13:I76" si="7">IFERROR(H13/G13, "")</f>
        <v>-0.13160053556819798</v>
      </c>
      <c r="J13" s="60" t="s">
        <v>854</v>
      </c>
      <c r="K13" s="75" t="s">
        <v>710</v>
      </c>
      <c r="L13" s="59" t="s">
        <v>691</v>
      </c>
    </row>
    <row r="14" spans="1:15" ht="15.6">
      <c r="A14" s="43" t="str">
        <v>Eastlake - Hertzberg CSG 1</v>
      </c>
      <c r="B14" s="40" t="str">
        <v>MN</v>
      </c>
      <c r="C14" s="28">
        <v>80348.332999999999</v>
      </c>
      <c r="D14" s="29" t="s">
        <v>43</v>
      </c>
      <c r="E14" s="29" t="str">
        <f t="shared" si="4"/>
        <v/>
      </c>
      <c r="F14" s="30" t="str">
        <f t="shared" si="5"/>
        <v/>
      </c>
      <c r="G14" s="31">
        <v>85653</v>
      </c>
      <c r="H14" s="31">
        <f t="shared" si="6"/>
        <v>-5304.6670000000013</v>
      </c>
      <c r="I14" s="32">
        <f t="shared" si="7"/>
        <v>-6.1932063091777304E-2</v>
      </c>
      <c r="J14" s="62"/>
      <c r="K14" s="62"/>
      <c r="L14" s="62"/>
    </row>
    <row r="15" spans="1:15" ht="15.6">
      <c r="A15" s="41" t="str">
        <v>Cokato - Eastlake Laurel Village</v>
      </c>
      <c r="B15" s="42" t="str">
        <v>MN</v>
      </c>
      <c r="C15" s="35">
        <v>77357</v>
      </c>
      <c r="D15" s="36" t="s">
        <v>43</v>
      </c>
      <c r="E15" s="36" t="str">
        <f t="shared" si="4"/>
        <v/>
      </c>
      <c r="F15" s="37" t="str">
        <f t="shared" si="5"/>
        <v/>
      </c>
      <c r="G15" s="38">
        <v>85847.81</v>
      </c>
      <c r="H15" s="38">
        <f t="shared" si="6"/>
        <v>-8490.8099999999977</v>
      </c>
      <c r="I15" s="37">
        <f t="shared" si="7"/>
        <v>-9.8905376852362309E-2</v>
      </c>
      <c r="J15" s="60" t="s">
        <v>716</v>
      </c>
      <c r="K15" s="75" t="s">
        <v>717</v>
      </c>
      <c r="L15" s="59" t="s">
        <v>711</v>
      </c>
    </row>
    <row r="16" spans="1:15" ht="28.9">
      <c r="A16" s="43" t="str">
        <v>St. Peter - Eastlake Paulson</v>
      </c>
      <c r="B16" s="40" t="str">
        <v>MN</v>
      </c>
      <c r="C16" s="28">
        <v>87985.406440000006</v>
      </c>
      <c r="D16" s="29" t="s">
        <v>43</v>
      </c>
      <c r="E16" s="29" t="str">
        <f t="shared" si="4"/>
        <v/>
      </c>
      <c r="F16" s="30" t="str">
        <f t="shared" si="5"/>
        <v/>
      </c>
      <c r="G16" s="31">
        <v>110947.1</v>
      </c>
      <c r="H16" s="31">
        <f t="shared" si="6"/>
        <v>-22961.69356</v>
      </c>
      <c r="I16" s="32">
        <f t="shared" si="7"/>
        <v>-0.20696073678356622</v>
      </c>
      <c r="J16" s="62" t="s">
        <v>855</v>
      </c>
      <c r="K16" s="78" t="s">
        <v>856</v>
      </c>
      <c r="L16" s="62" t="s">
        <v>857</v>
      </c>
    </row>
    <row r="17" spans="1:16" ht="43.15">
      <c r="A17" s="41" t="str">
        <v>Felician Sisters Convent</v>
      </c>
      <c r="B17" s="42" t="str">
        <v>NJ</v>
      </c>
      <c r="C17" s="35">
        <v>17245.099999999999</v>
      </c>
      <c r="D17" s="36" t="s">
        <v>43</v>
      </c>
      <c r="E17" s="36" t="str">
        <f t="shared" si="4"/>
        <v/>
      </c>
      <c r="F17" s="37" t="str">
        <f t="shared" si="5"/>
        <v/>
      </c>
      <c r="G17" s="38" t="s">
        <v>625</v>
      </c>
      <c r="H17" s="38" t="str">
        <f t="shared" si="6"/>
        <v/>
      </c>
      <c r="I17" s="37" t="str">
        <f t="shared" si="7"/>
        <v/>
      </c>
      <c r="J17" s="60" t="s">
        <v>858</v>
      </c>
      <c r="K17" s="75" t="s">
        <v>859</v>
      </c>
      <c r="L17" s="59" t="s">
        <v>860</v>
      </c>
      <c r="M17" s="103" t="s">
        <v>723</v>
      </c>
    </row>
    <row r="18" spans="1:16" ht="62.25" customHeight="1">
      <c r="A18" s="43" t="str">
        <v>Sussex County Fairgrounds</v>
      </c>
      <c r="B18" s="40" t="str">
        <v>NJ</v>
      </c>
      <c r="C18" s="28">
        <v>26685</v>
      </c>
      <c r="D18" s="29" t="s">
        <v>43</v>
      </c>
      <c r="E18" s="29" t="str">
        <f t="shared" si="4"/>
        <v/>
      </c>
      <c r="F18" s="30" t="str">
        <f t="shared" si="5"/>
        <v/>
      </c>
      <c r="G18" s="31" t="s">
        <v>625</v>
      </c>
      <c r="H18" s="31" t="str">
        <f t="shared" si="6"/>
        <v/>
      </c>
      <c r="I18" s="32" t="str">
        <f t="shared" si="7"/>
        <v/>
      </c>
      <c r="J18" s="62" t="s">
        <v>861</v>
      </c>
      <c r="K18" s="62"/>
      <c r="L18" s="62"/>
    </row>
    <row r="19" spans="1:16" ht="62.45">
      <c r="A19" s="41" t="str">
        <v>Gateway Church</v>
      </c>
      <c r="B19" s="42" t="str">
        <v>NJ</v>
      </c>
      <c r="C19" s="35">
        <v>10307</v>
      </c>
      <c r="D19" s="36" t="s">
        <v>43</v>
      </c>
      <c r="E19" s="36" t="str">
        <f t="shared" si="4"/>
        <v/>
      </c>
      <c r="F19" s="37" t="str">
        <f t="shared" si="5"/>
        <v/>
      </c>
      <c r="G19" s="38" t="s">
        <v>625</v>
      </c>
      <c r="H19" s="38" t="str">
        <f t="shared" si="6"/>
        <v/>
      </c>
      <c r="I19" s="37" t="str">
        <f t="shared" si="7"/>
        <v/>
      </c>
      <c r="J19" s="60" t="s">
        <v>862</v>
      </c>
      <c r="K19" s="75" t="s">
        <v>863</v>
      </c>
      <c r="L19" s="59" t="s">
        <v>864</v>
      </c>
      <c r="M19" s="103" t="s">
        <v>865</v>
      </c>
      <c r="N19" s="103" t="s">
        <v>866</v>
      </c>
      <c r="O19" s="103" t="s">
        <v>631</v>
      </c>
    </row>
    <row r="20" spans="1:16" ht="28.9">
      <c r="A20" s="43" t="str">
        <v>Beaver Falls - Felician Sisters</v>
      </c>
      <c r="B20" s="40" t="str">
        <v>PA</v>
      </c>
      <c r="C20" s="28">
        <v>17046</v>
      </c>
      <c r="D20" s="29" t="s">
        <v>43</v>
      </c>
      <c r="E20" s="29" t="str">
        <f t="shared" si="4"/>
        <v/>
      </c>
      <c r="F20" s="30" t="str">
        <f t="shared" si="5"/>
        <v/>
      </c>
      <c r="G20" s="31" t="s">
        <v>625</v>
      </c>
      <c r="H20" s="31" t="str">
        <f t="shared" si="6"/>
        <v/>
      </c>
      <c r="I20" s="32" t="str">
        <f t="shared" si="7"/>
        <v/>
      </c>
      <c r="J20" s="62" t="s">
        <v>867</v>
      </c>
      <c r="K20" s="78" t="s">
        <v>868</v>
      </c>
      <c r="L20" s="62" t="s">
        <v>869</v>
      </c>
      <c r="M20" s="103" t="s">
        <v>870</v>
      </c>
    </row>
    <row r="21" spans="1:16" ht="83.25" customHeight="1">
      <c r="A21" s="41" t="str">
        <v>Livonia - Felician Sisters Ground</v>
      </c>
      <c r="B21" s="42" t="str">
        <v>MI</v>
      </c>
      <c r="C21" s="35">
        <v>5143</v>
      </c>
      <c r="D21" s="36" t="s">
        <v>43</v>
      </c>
      <c r="E21" s="36" t="str">
        <f t="shared" si="4"/>
        <v/>
      </c>
      <c r="F21" s="37" t="str">
        <f t="shared" si="5"/>
        <v/>
      </c>
      <c r="G21" s="38" t="s">
        <v>625</v>
      </c>
      <c r="H21" s="38" t="str">
        <f t="shared" si="6"/>
        <v/>
      </c>
      <c r="I21" s="37" t="str">
        <f t="shared" si="7"/>
        <v/>
      </c>
      <c r="J21" s="60" t="s">
        <v>871</v>
      </c>
      <c r="K21" s="117" t="s">
        <v>872</v>
      </c>
      <c r="L21" s="59" t="s">
        <v>864</v>
      </c>
      <c r="M21" s="103" t="s">
        <v>634</v>
      </c>
      <c r="N21" s="103" t="s">
        <v>873</v>
      </c>
      <c r="O21" s="103" t="s">
        <v>635</v>
      </c>
      <c r="P21" s="103" t="s">
        <v>874</v>
      </c>
    </row>
    <row r="22" spans="1:16" ht="15.6">
      <c r="A22" s="43" t="str">
        <v>Livonia - Felician Sisters Roof</v>
      </c>
      <c r="B22" s="40" t="str">
        <v>MI</v>
      </c>
      <c r="C22" s="28">
        <v>5790</v>
      </c>
      <c r="D22" s="29" t="s">
        <v>43</v>
      </c>
      <c r="E22" s="29" t="str">
        <f t="shared" si="4"/>
        <v/>
      </c>
      <c r="F22" s="30" t="str">
        <f t="shared" si="5"/>
        <v/>
      </c>
      <c r="G22" s="31" t="s">
        <v>625</v>
      </c>
      <c r="H22" s="31" t="str">
        <f t="shared" si="6"/>
        <v/>
      </c>
      <c r="I22" s="32" t="str">
        <f t="shared" si="7"/>
        <v/>
      </c>
      <c r="J22" s="62" t="s">
        <v>875</v>
      </c>
      <c r="K22" s="62"/>
      <c r="L22" s="62"/>
    </row>
    <row r="23" spans="1:16" ht="15.6">
      <c r="A23" s="41" t="str">
        <v>Monmouth Worship Ctr</v>
      </c>
      <c r="B23" s="42" t="str">
        <v>NJ</v>
      </c>
      <c r="C23" s="35">
        <v>2674.3</v>
      </c>
      <c r="D23" s="36" t="s">
        <v>43</v>
      </c>
      <c r="E23" s="36" t="str">
        <f t="shared" si="4"/>
        <v/>
      </c>
      <c r="F23" s="37" t="str">
        <f t="shared" si="5"/>
        <v/>
      </c>
      <c r="G23" s="38" t="s">
        <v>625</v>
      </c>
      <c r="H23" s="38" t="str">
        <f t="shared" si="6"/>
        <v/>
      </c>
      <c r="I23" s="37" t="str">
        <f t="shared" si="7"/>
        <v/>
      </c>
      <c r="J23" s="60" t="s">
        <v>876</v>
      </c>
      <c r="K23" s="75" t="s">
        <v>877</v>
      </c>
      <c r="L23" s="59" t="s">
        <v>711</v>
      </c>
    </row>
    <row r="24" spans="1:16" ht="15.6">
      <c r="A24" s="43" t="str">
        <v xml:space="preserve"> Audubon - Senior Citizens United</v>
      </c>
      <c r="B24" s="40" t="str">
        <v>NJ</v>
      </c>
      <c r="C24" s="28">
        <v>5196.3</v>
      </c>
      <c r="D24" s="29" t="s">
        <v>43</v>
      </c>
      <c r="E24" s="29" t="str">
        <f t="shared" si="4"/>
        <v/>
      </c>
      <c r="F24" s="30" t="str">
        <f t="shared" si="5"/>
        <v/>
      </c>
      <c r="G24" s="31" t="s">
        <v>625</v>
      </c>
      <c r="H24" s="31" t="str">
        <f t="shared" si="6"/>
        <v/>
      </c>
      <c r="I24" s="32" t="str">
        <f t="shared" si="7"/>
        <v/>
      </c>
      <c r="J24" s="62" t="s">
        <v>878</v>
      </c>
      <c r="K24" s="78" t="s">
        <v>879</v>
      </c>
      <c r="L24" s="62" t="s">
        <v>691</v>
      </c>
    </row>
    <row r="25" spans="1:16" ht="72">
      <c r="A25" s="41" t="str">
        <v>Hollister - PG&amp;E (Enerparc)</v>
      </c>
      <c r="B25" s="42" t="str">
        <v>CA</v>
      </c>
      <c r="C25" s="35">
        <v>179812.875</v>
      </c>
      <c r="D25" s="36">
        <v>185387.9</v>
      </c>
      <c r="E25" s="36">
        <f t="shared" si="4"/>
        <v>-5575.0249999999942</v>
      </c>
      <c r="F25" s="37">
        <f t="shared" si="5"/>
        <v>-3.007221614787154E-2</v>
      </c>
      <c r="G25" s="38">
        <v>188618.5</v>
      </c>
      <c r="H25" s="38">
        <f t="shared" si="6"/>
        <v>-8805.625</v>
      </c>
      <c r="I25" s="37">
        <f t="shared" si="7"/>
        <v>-4.6684842685102472E-2</v>
      </c>
      <c r="J25" s="60" t="s">
        <v>880</v>
      </c>
      <c r="K25" s="75" t="s">
        <v>881</v>
      </c>
      <c r="L25" s="59" t="s">
        <v>882</v>
      </c>
      <c r="M25" s="103" t="s">
        <v>883</v>
      </c>
      <c r="N25" s="103" t="s">
        <v>884</v>
      </c>
      <c r="O25" s="103" t="s">
        <v>885</v>
      </c>
      <c r="P25" s="103" t="s">
        <v>886</v>
      </c>
    </row>
    <row r="26" spans="1:16" ht="72">
      <c r="A26" s="43" t="str">
        <v>Taos County - Kit Carson Electric Co-Op</v>
      </c>
      <c r="B26" s="40" t="str">
        <v>NM</v>
      </c>
      <c r="C26" s="28">
        <v>132330</v>
      </c>
      <c r="D26" s="29">
        <v>122871.8</v>
      </c>
      <c r="E26" s="29">
        <f t="shared" si="4"/>
        <v>9458.1999999999971</v>
      </c>
      <c r="F26" s="30">
        <f t="shared" si="5"/>
        <v>7.6976165401662522E-2</v>
      </c>
      <c r="G26" s="31">
        <v>97797.91</v>
      </c>
      <c r="H26" s="31">
        <f t="shared" si="6"/>
        <v>34532.089999999997</v>
      </c>
      <c r="I26" s="32">
        <f t="shared" si="7"/>
        <v>0.35309640052635066</v>
      </c>
      <c r="J26" s="62" t="s">
        <v>887</v>
      </c>
      <c r="K26" s="78" t="s">
        <v>888</v>
      </c>
      <c r="L26" s="62" t="s">
        <v>889</v>
      </c>
      <c r="M26" s="103" t="s">
        <v>890</v>
      </c>
      <c r="N26" s="103" t="s">
        <v>891</v>
      </c>
      <c r="O26" s="103" t="s">
        <v>892</v>
      </c>
    </row>
    <row r="27" spans="1:16" ht="28.9">
      <c r="A27" s="41" t="str">
        <v>Commerce City - Adams City HS</v>
      </c>
      <c r="B27" s="42" t="str">
        <v>CO</v>
      </c>
      <c r="C27" s="35">
        <v>8571</v>
      </c>
      <c r="D27" s="36">
        <v>7296.4970000000003</v>
      </c>
      <c r="E27" s="36">
        <f t="shared" si="4"/>
        <v>1274.5029999999997</v>
      </c>
      <c r="F27" s="37">
        <f t="shared" si="5"/>
        <v>0.17467327129717172</v>
      </c>
      <c r="G27" s="38">
        <v>7140.7160000000003</v>
      </c>
      <c r="H27" s="38">
        <f t="shared" si="6"/>
        <v>1430.2839999999997</v>
      </c>
      <c r="I27" s="37">
        <f t="shared" si="7"/>
        <v>0.20029980186860807</v>
      </c>
      <c r="J27" s="60" t="s">
        <v>385</v>
      </c>
      <c r="K27" s="59"/>
      <c r="L27" s="59"/>
    </row>
    <row r="28" spans="1:16" ht="15.6">
      <c r="A28" s="43" t="str">
        <v>Commerce City - Adams City MS</v>
      </c>
      <c r="B28" s="40" t="str">
        <v>CO</v>
      </c>
      <c r="C28" s="28">
        <v>6536</v>
      </c>
      <c r="D28" s="29">
        <v>6630.3580000000002</v>
      </c>
      <c r="E28" s="29">
        <f t="shared" si="4"/>
        <v>-94.358000000000175</v>
      </c>
      <c r="F28" s="30">
        <f t="shared" si="5"/>
        <v>-1.4231207424998797E-2</v>
      </c>
      <c r="G28" s="31">
        <v>6290.12</v>
      </c>
      <c r="H28" s="31">
        <f t="shared" si="6"/>
        <v>245.88000000000011</v>
      </c>
      <c r="I28" s="32">
        <f t="shared" si="7"/>
        <v>3.9089874279028082E-2</v>
      </c>
      <c r="J28" s="62"/>
      <c r="K28" s="62"/>
      <c r="L28" s="62"/>
    </row>
    <row r="29" spans="1:16" ht="15.6">
      <c r="A29" s="41" t="str">
        <v>Commerce City - Central ES</v>
      </c>
      <c r="B29" s="42" t="str">
        <v>CO</v>
      </c>
      <c r="C29" s="35">
        <v>1684.5</v>
      </c>
      <c r="D29" s="36">
        <v>1821.74</v>
      </c>
      <c r="E29" s="36">
        <f t="shared" si="4"/>
        <v>-137.24</v>
      </c>
      <c r="F29" s="37">
        <f t="shared" si="5"/>
        <v>-7.533457024602852E-2</v>
      </c>
      <c r="G29" s="38">
        <v>1802.5</v>
      </c>
      <c r="H29" s="38">
        <f t="shared" si="6"/>
        <v>-118</v>
      </c>
      <c r="I29" s="37">
        <f t="shared" si="7"/>
        <v>-6.5464632454923719E-2</v>
      </c>
      <c r="J29" s="60"/>
      <c r="K29" s="59"/>
      <c r="L29" s="59"/>
    </row>
    <row r="30" spans="1:16" ht="15.6">
      <c r="A30" s="43" t="str">
        <v>Commerce City - Dupont ES</v>
      </c>
      <c r="B30" s="40" t="str">
        <v>CO</v>
      </c>
      <c r="C30" s="28">
        <v>5112</v>
      </c>
      <c r="D30" s="29">
        <v>4920.6149999999998</v>
      </c>
      <c r="E30" s="29">
        <f t="shared" si="4"/>
        <v>191.38500000000022</v>
      </c>
      <c r="F30" s="30">
        <f t="shared" si="5"/>
        <v>3.8894528427849004E-2</v>
      </c>
      <c r="G30" s="31">
        <v>4868.2330000000002</v>
      </c>
      <c r="H30" s="31">
        <f t="shared" si="6"/>
        <v>243.76699999999983</v>
      </c>
      <c r="I30" s="32">
        <f t="shared" si="7"/>
        <v>5.0072993630337702E-2</v>
      </c>
      <c r="J30" s="62"/>
      <c r="K30" s="62"/>
      <c r="L30" s="62"/>
    </row>
    <row r="31" spans="1:16" ht="28.9">
      <c r="A31" s="41" t="str">
        <v>Commerce City - Educational Support Services</v>
      </c>
      <c r="B31" s="42" t="str">
        <v>CO</v>
      </c>
      <c r="C31" s="35">
        <v>0</v>
      </c>
      <c r="D31" s="36">
        <v>5605.0810000000001</v>
      </c>
      <c r="E31" s="36">
        <f t="shared" si="4"/>
        <v>-5605.0810000000001</v>
      </c>
      <c r="F31" s="37">
        <f t="shared" si="5"/>
        <v>-1</v>
      </c>
      <c r="G31" s="38">
        <v>5429.6949999999997</v>
      </c>
      <c r="H31" s="38">
        <f t="shared" si="6"/>
        <v>-5429.6949999999997</v>
      </c>
      <c r="I31" s="37">
        <f t="shared" si="7"/>
        <v>-1</v>
      </c>
      <c r="J31" s="122" t="s">
        <v>516</v>
      </c>
      <c r="K31" s="75" t="s">
        <v>517</v>
      </c>
      <c r="L31" s="59" t="s">
        <v>711</v>
      </c>
    </row>
    <row r="32" spans="1:16" ht="15.6">
      <c r="A32" s="43" t="str">
        <v>Commerce City - Hanson ES</v>
      </c>
      <c r="B32" s="40" t="str">
        <v>CO</v>
      </c>
      <c r="C32" s="28">
        <v>7199</v>
      </c>
      <c r="D32" s="29">
        <v>7310.0730000000003</v>
      </c>
      <c r="E32" s="29">
        <f t="shared" si="4"/>
        <v>-111.07300000000032</v>
      </c>
      <c r="F32" s="30">
        <f t="shared" si="5"/>
        <v>-1.5194513105409525E-2</v>
      </c>
      <c r="G32" s="31">
        <v>7102.576</v>
      </c>
      <c r="H32" s="31">
        <f t="shared" si="6"/>
        <v>96.423999999999978</v>
      </c>
      <c r="I32" s="32">
        <f t="shared" si="7"/>
        <v>1.3575919497376724E-2</v>
      </c>
      <c r="J32" s="62"/>
      <c r="K32" s="62"/>
      <c r="L32" s="62"/>
    </row>
    <row r="33" spans="1:15" ht="15.6">
      <c r="A33" s="41" t="str">
        <v>Commerce City - Kemp ES</v>
      </c>
      <c r="B33" s="42" t="str">
        <v>CO</v>
      </c>
      <c r="C33" s="35">
        <v>6783</v>
      </c>
      <c r="D33" s="36">
        <v>7306.05</v>
      </c>
      <c r="E33" s="36">
        <f t="shared" si="4"/>
        <v>-523.05000000000018</v>
      </c>
      <c r="F33" s="37">
        <f t="shared" si="5"/>
        <v>-7.1591352372348968E-2</v>
      </c>
      <c r="G33" s="38">
        <v>7271.5</v>
      </c>
      <c r="H33" s="38">
        <f t="shared" si="6"/>
        <v>-488.5</v>
      </c>
      <c r="I33" s="37">
        <f t="shared" si="7"/>
        <v>-6.718008663962044E-2</v>
      </c>
      <c r="J33" s="60"/>
      <c r="K33" s="59"/>
      <c r="L33" s="59"/>
    </row>
    <row r="34" spans="1:15" ht="15.6">
      <c r="A34" s="43" t="str">
        <v>Commerce City -  Lester Arnold HS</v>
      </c>
      <c r="B34" s="40" t="str">
        <v>CO</v>
      </c>
      <c r="C34" s="28">
        <v>6673</v>
      </c>
      <c r="D34" s="29">
        <v>7062.9290000000001</v>
      </c>
      <c r="E34" s="29">
        <f t="shared" si="4"/>
        <v>-389.92900000000009</v>
      </c>
      <c r="F34" s="30">
        <f t="shared" si="5"/>
        <v>-5.5207832331317513E-2</v>
      </c>
      <c r="G34" s="31">
        <v>6882.7120000000004</v>
      </c>
      <c r="H34" s="31">
        <f t="shared" si="6"/>
        <v>-209.71200000000044</v>
      </c>
      <c r="I34" s="32">
        <f t="shared" si="7"/>
        <v>-3.0469384742525973E-2</v>
      </c>
      <c r="J34" s="62"/>
      <c r="K34" s="62"/>
      <c r="L34" s="62"/>
    </row>
    <row r="35" spans="1:15" ht="15.6">
      <c r="A35" s="41" t="str">
        <v>Commerce City - Monaco ES</v>
      </c>
      <c r="B35" s="42" t="str">
        <v>CO</v>
      </c>
      <c r="C35" s="35">
        <v>7519</v>
      </c>
      <c r="D35" s="36">
        <v>7310.2569999999996</v>
      </c>
      <c r="E35" s="36">
        <f t="shared" si="4"/>
        <v>208.74300000000039</v>
      </c>
      <c r="F35" s="37">
        <f t="shared" si="5"/>
        <v>2.8554810042930145E-2</v>
      </c>
      <c r="G35" s="38">
        <v>7102.576</v>
      </c>
      <c r="H35" s="38">
        <f t="shared" si="6"/>
        <v>416.42399999999998</v>
      </c>
      <c r="I35" s="37">
        <f t="shared" si="7"/>
        <v>5.862999565228165E-2</v>
      </c>
      <c r="J35" s="60"/>
      <c r="K35" s="59"/>
      <c r="L35" s="59"/>
    </row>
    <row r="36" spans="1:15" ht="28.9">
      <c r="A36" s="43" t="str">
        <v>Denver - Northgate / Old Fort Logan ES</v>
      </c>
      <c r="B36" s="40" t="str">
        <v>CO</v>
      </c>
      <c r="C36" s="28">
        <v>7280</v>
      </c>
      <c r="D36" s="29">
        <v>6302.7830000000004</v>
      </c>
      <c r="E36" s="29">
        <f t="shared" si="4"/>
        <v>977.21699999999964</v>
      </c>
      <c r="F36" s="30">
        <f t="shared" si="5"/>
        <v>0.15504531886945808</v>
      </c>
      <c r="G36" s="31">
        <v>8593.8310000000001</v>
      </c>
      <c r="H36" s="31">
        <f t="shared" si="6"/>
        <v>-1313.8310000000001</v>
      </c>
      <c r="I36" s="32">
        <f t="shared" si="7"/>
        <v>-0.15288071175707318</v>
      </c>
      <c r="J36" s="112" t="s">
        <v>893</v>
      </c>
      <c r="K36" s="62"/>
      <c r="L36" s="62"/>
    </row>
    <row r="37" spans="1:15" ht="28.9">
      <c r="A37" s="41" t="str">
        <v>Denver - Sheridan High School</v>
      </c>
      <c r="B37" s="42" t="str">
        <v>CO</v>
      </c>
      <c r="C37" s="35">
        <v>8182</v>
      </c>
      <c r="D37" s="36">
        <v>7289.6360000000004</v>
      </c>
      <c r="E37" s="36">
        <f t="shared" si="4"/>
        <v>892.36399999999958</v>
      </c>
      <c r="F37" s="37">
        <f t="shared" si="5"/>
        <v>0.1224154402222552</v>
      </c>
      <c r="G37" s="38">
        <v>8565.152</v>
      </c>
      <c r="H37" s="38">
        <f t="shared" si="6"/>
        <v>-383.15200000000004</v>
      </c>
      <c r="I37" s="37">
        <f t="shared" si="7"/>
        <v>-4.4733823754674759E-2</v>
      </c>
      <c r="J37" s="60" t="s">
        <v>894</v>
      </c>
      <c r="K37" s="59"/>
      <c r="L37" s="59"/>
    </row>
    <row r="38" spans="1:15" ht="28.9">
      <c r="A38" s="43" t="str">
        <v>Englewood -  Alice Terry Elementary</v>
      </c>
      <c r="B38" s="40" t="str">
        <v>CO</v>
      </c>
      <c r="C38" s="28">
        <v>8062</v>
      </c>
      <c r="D38" s="29">
        <v>7290.16</v>
      </c>
      <c r="E38" s="29">
        <f t="shared" si="4"/>
        <v>771.84000000000015</v>
      </c>
      <c r="F38" s="30">
        <f t="shared" si="5"/>
        <v>0.10587421949586842</v>
      </c>
      <c r="G38" s="31">
        <v>8593.8310000000001</v>
      </c>
      <c r="H38" s="31">
        <f t="shared" si="6"/>
        <v>-531.83100000000013</v>
      </c>
      <c r="I38" s="32">
        <f t="shared" si="7"/>
        <v>-6.1885205794714848E-2</v>
      </c>
      <c r="J38" s="62" t="s">
        <v>519</v>
      </c>
      <c r="K38" s="62"/>
      <c r="L38" s="62"/>
    </row>
    <row r="39" spans="1:15" ht="43.15">
      <c r="A39" s="41" t="str">
        <v>Englewood - Sheridan Middle School</v>
      </c>
      <c r="B39" s="42" t="str">
        <v>CO</v>
      </c>
      <c r="C39" s="35">
        <v>4522</v>
      </c>
      <c r="D39" s="36">
        <v>3584.6790000000001</v>
      </c>
      <c r="E39" s="36">
        <f t="shared" si="4"/>
        <v>937.32099999999991</v>
      </c>
      <c r="F39" s="37">
        <f t="shared" si="5"/>
        <v>0.26147975871758666</v>
      </c>
      <c r="G39" s="38">
        <v>5032.2340000000004</v>
      </c>
      <c r="H39" s="38">
        <f t="shared" si="6"/>
        <v>-510.23400000000038</v>
      </c>
      <c r="I39" s="37">
        <f t="shared" si="7"/>
        <v>-0.10139313871334289</v>
      </c>
      <c r="J39" s="60" t="s">
        <v>895</v>
      </c>
      <c r="K39" s="75" t="s">
        <v>896</v>
      </c>
      <c r="L39" s="59" t="s">
        <v>728</v>
      </c>
      <c r="M39" s="103" t="s">
        <v>897</v>
      </c>
    </row>
    <row r="40" spans="1:15" ht="72">
      <c r="A40" s="43" t="str">
        <v>Goshen - NIPSCO</v>
      </c>
      <c r="B40" s="40" t="str">
        <v>IN</v>
      </c>
      <c r="C40" s="28">
        <v>15246</v>
      </c>
      <c r="D40" s="29">
        <v>17567.669999999998</v>
      </c>
      <c r="E40" s="29">
        <f t="shared" si="4"/>
        <v>-2321.6699999999983</v>
      </c>
      <c r="F40" s="30">
        <f t="shared" si="5"/>
        <v>-0.13215582942985601</v>
      </c>
      <c r="G40" s="31">
        <v>21453.13</v>
      </c>
      <c r="H40" s="31">
        <f t="shared" si="6"/>
        <v>-6207.130000000001</v>
      </c>
      <c r="I40" s="32">
        <f t="shared" si="7"/>
        <v>-0.28933447007499608</v>
      </c>
      <c r="J40" s="62" t="s">
        <v>898</v>
      </c>
      <c r="K40" s="78" t="s">
        <v>899</v>
      </c>
      <c r="L40" s="62" t="s">
        <v>900</v>
      </c>
      <c r="M40" s="103" t="s">
        <v>901</v>
      </c>
    </row>
    <row r="41" spans="1:15" ht="28.9">
      <c r="A41" s="41" t="str">
        <v>Alamogordo - City of Alamogordo - Effluent</v>
      </c>
      <c r="B41" s="42" t="str">
        <v>NM</v>
      </c>
      <c r="C41" s="35">
        <v>22338</v>
      </c>
      <c r="D41" s="36">
        <v>26041.55</v>
      </c>
      <c r="E41" s="36">
        <f t="shared" si="4"/>
        <v>-3703.5499999999993</v>
      </c>
      <c r="F41" s="37">
        <f t="shared" si="5"/>
        <v>-0.14221695713196791</v>
      </c>
      <c r="G41" s="38">
        <v>16969.189999999999</v>
      </c>
      <c r="H41" s="38">
        <f t="shared" si="6"/>
        <v>5368.8100000000013</v>
      </c>
      <c r="I41" s="37">
        <f t="shared" si="7"/>
        <v>0.31638575559587712</v>
      </c>
      <c r="J41" s="60" t="s">
        <v>902</v>
      </c>
      <c r="K41" s="75" t="s">
        <v>270</v>
      </c>
      <c r="L41" s="59" t="s">
        <v>711</v>
      </c>
    </row>
    <row r="42" spans="1:15" ht="42.75" customHeight="1">
      <c r="A42" s="43" t="str">
        <v>Alamogordo - City of Alamogordo - WWTP</v>
      </c>
      <c r="B42" s="40" t="str">
        <v>NM</v>
      </c>
      <c r="C42" s="28">
        <v>82640</v>
      </c>
      <c r="D42" s="29">
        <v>0</v>
      </c>
      <c r="E42" s="29">
        <f t="shared" si="4"/>
        <v>82640</v>
      </c>
      <c r="F42" s="30" t="str">
        <f t="shared" si="5"/>
        <v/>
      </c>
      <c r="G42" s="31">
        <v>71964.38</v>
      </c>
      <c r="H42" s="31">
        <f t="shared" si="6"/>
        <v>10675.619999999995</v>
      </c>
      <c r="I42" s="32">
        <f t="shared" si="7"/>
        <v>0.1483458900083624</v>
      </c>
      <c r="J42" s="62" t="s">
        <v>903</v>
      </c>
      <c r="K42" s="78" t="s">
        <v>904</v>
      </c>
      <c r="L42" s="62" t="s">
        <v>728</v>
      </c>
      <c r="M42" s="103" t="s">
        <v>196</v>
      </c>
    </row>
    <row r="43" spans="1:15" ht="28.9">
      <c r="A43" s="41" t="str">
        <v>Deming - Bilbo Booster</v>
      </c>
      <c r="B43" s="42" t="str">
        <v>NM</v>
      </c>
      <c r="C43" s="35">
        <v>11339</v>
      </c>
      <c r="D43" s="36">
        <v>0</v>
      </c>
      <c r="E43" s="36">
        <f t="shared" si="4"/>
        <v>11339</v>
      </c>
      <c r="F43" s="37" t="str">
        <f t="shared" si="5"/>
        <v/>
      </c>
      <c r="G43" s="38">
        <v>6798.5309999999999</v>
      </c>
      <c r="H43" s="38">
        <f t="shared" si="6"/>
        <v>4540.4690000000001</v>
      </c>
      <c r="I43" s="37">
        <f t="shared" si="7"/>
        <v>0.66786030688100118</v>
      </c>
      <c r="J43" s="60" t="s">
        <v>527</v>
      </c>
      <c r="K43" s="75" t="s">
        <v>528</v>
      </c>
      <c r="L43" s="59" t="s">
        <v>691</v>
      </c>
    </row>
    <row r="44" spans="1:15" ht="28.9">
      <c r="A44" s="43" t="str">
        <v>Deming - Bilbo Well</v>
      </c>
      <c r="B44" s="40" t="str">
        <v>NM</v>
      </c>
      <c r="C44" s="28">
        <v>20427</v>
      </c>
      <c r="D44" s="29">
        <v>0</v>
      </c>
      <c r="E44" s="29">
        <f t="shared" si="4"/>
        <v>20427</v>
      </c>
      <c r="F44" s="30" t="str">
        <f t="shared" si="5"/>
        <v/>
      </c>
      <c r="G44" s="31">
        <v>12289.8</v>
      </c>
      <c r="H44" s="31">
        <f t="shared" si="6"/>
        <v>8137.2000000000007</v>
      </c>
      <c r="I44" s="32">
        <f t="shared" si="7"/>
        <v>0.66211004247424698</v>
      </c>
      <c r="J44" s="62" t="s">
        <v>905</v>
      </c>
      <c r="K44" s="78" t="s">
        <v>906</v>
      </c>
      <c r="L44" s="62" t="s">
        <v>845</v>
      </c>
      <c r="M44" s="103" t="s">
        <v>907</v>
      </c>
    </row>
    <row r="45" spans="1:15" ht="46.9">
      <c r="A45" s="41" t="str">
        <v>Deming - WWTP</v>
      </c>
      <c r="B45" s="42" t="str">
        <v>NM</v>
      </c>
      <c r="C45" s="35">
        <v>77476</v>
      </c>
      <c r="D45" s="36">
        <v>67405.48</v>
      </c>
      <c r="E45" s="36">
        <f t="shared" si="4"/>
        <v>10070.520000000004</v>
      </c>
      <c r="F45" s="37">
        <f t="shared" si="5"/>
        <v>0.14940209609070368</v>
      </c>
      <c r="G45" s="38">
        <v>64369.1</v>
      </c>
      <c r="H45" s="38">
        <f t="shared" si="6"/>
        <v>13106.900000000001</v>
      </c>
      <c r="I45" s="37">
        <f t="shared" si="7"/>
        <v>0.20362099205985484</v>
      </c>
      <c r="J45" s="60" t="s">
        <v>908</v>
      </c>
      <c r="K45" s="75" t="s">
        <v>909</v>
      </c>
      <c r="L45" s="59" t="s">
        <v>910</v>
      </c>
      <c r="M45" s="103" t="s">
        <v>754</v>
      </c>
      <c r="N45" s="103" t="s">
        <v>911</v>
      </c>
    </row>
    <row r="46" spans="1:15" ht="64.5" customHeight="1">
      <c r="A46" s="43" t="str">
        <v>Truth or Consequences - Walmart</v>
      </c>
      <c r="B46" s="40" t="str">
        <v>NM</v>
      </c>
      <c r="C46" s="28">
        <v>88900</v>
      </c>
      <c r="D46" s="29">
        <v>225462.6</v>
      </c>
      <c r="E46" s="29">
        <f t="shared" si="4"/>
        <v>-136562.6</v>
      </c>
      <c r="F46" s="30">
        <f t="shared" si="5"/>
        <v>-0.60569957057179324</v>
      </c>
      <c r="G46" s="31">
        <v>110233.1</v>
      </c>
      <c r="H46" s="31">
        <f t="shared" si="6"/>
        <v>-21333.100000000006</v>
      </c>
      <c r="I46" s="32">
        <f t="shared" si="7"/>
        <v>-0.19352717105842079</v>
      </c>
      <c r="J46" s="62" t="s">
        <v>912</v>
      </c>
      <c r="K46" s="78" t="s">
        <v>913</v>
      </c>
      <c r="L46" s="62" t="s">
        <v>914</v>
      </c>
      <c r="M46" s="103" t="s">
        <v>532</v>
      </c>
      <c r="N46" s="103" t="s">
        <v>533</v>
      </c>
      <c r="O46" s="103" t="s">
        <v>915</v>
      </c>
    </row>
    <row r="47" spans="1:15" ht="46.9">
      <c r="A47" s="41" t="str">
        <v>CA: Stockton - SUSD - Merlo</v>
      </c>
      <c r="B47" s="42" t="str">
        <v>CA</v>
      </c>
      <c r="C47" s="35">
        <v>0</v>
      </c>
      <c r="D47" s="36">
        <v>4778.8360000000002</v>
      </c>
      <c r="E47" s="36">
        <f t="shared" si="4"/>
        <v>-4778.8360000000002</v>
      </c>
      <c r="F47" s="37">
        <f t="shared" si="5"/>
        <v>-1</v>
      </c>
      <c r="G47" s="38">
        <v>6898.2380000000003</v>
      </c>
      <c r="H47" s="38">
        <f t="shared" si="6"/>
        <v>-6898.2380000000003</v>
      </c>
      <c r="I47" s="37">
        <f t="shared" si="7"/>
        <v>-1</v>
      </c>
      <c r="J47" s="60" t="s">
        <v>916</v>
      </c>
      <c r="K47" s="75" t="s">
        <v>756</v>
      </c>
      <c r="L47" s="59" t="s">
        <v>917</v>
      </c>
      <c r="M47" s="103" t="s">
        <v>757</v>
      </c>
      <c r="N47" s="103" t="s">
        <v>536</v>
      </c>
    </row>
    <row r="48" spans="1:15" ht="43.15">
      <c r="A48" s="43" t="str">
        <v>Stockton Unified School Dist. - Bush Elementary</v>
      </c>
      <c r="B48" s="40" t="str">
        <v>CA</v>
      </c>
      <c r="C48" s="28">
        <v>7643.75</v>
      </c>
      <c r="D48" s="29">
        <v>11195.2</v>
      </c>
      <c r="E48" s="29">
        <f t="shared" si="4"/>
        <v>-3551.4500000000007</v>
      </c>
      <c r="F48" s="30">
        <f t="shared" si="5"/>
        <v>-0.31722970558810926</v>
      </c>
      <c r="G48" s="31">
        <v>13778.5</v>
      </c>
      <c r="H48" s="31">
        <f t="shared" si="6"/>
        <v>-6134.75</v>
      </c>
      <c r="I48" s="32">
        <f t="shared" si="7"/>
        <v>-0.44524077366912218</v>
      </c>
      <c r="J48" s="62" t="s">
        <v>918</v>
      </c>
      <c r="K48" s="78" t="s">
        <v>919</v>
      </c>
      <c r="L48" s="62" t="s">
        <v>920</v>
      </c>
      <c r="M48" s="103" t="s">
        <v>762</v>
      </c>
      <c r="N48" s="103" t="s">
        <v>288</v>
      </c>
    </row>
    <row r="49" spans="1:16" ht="43.15">
      <c r="A49" s="41" t="str">
        <v>CA: Stockton - SUSD - Marshall JHS</v>
      </c>
      <c r="B49" s="42" t="str">
        <v>CA</v>
      </c>
      <c r="C49" s="35">
        <v>1250.375</v>
      </c>
      <c r="D49" s="36">
        <v>6689.8860000000004</v>
      </c>
      <c r="E49" s="36">
        <f t="shared" si="4"/>
        <v>-5439.5110000000004</v>
      </c>
      <c r="F49" s="37">
        <f t="shared" si="5"/>
        <v>-0.81309472239138303</v>
      </c>
      <c r="G49" s="38">
        <v>9764.9480000000003</v>
      </c>
      <c r="H49" s="38">
        <f t="shared" si="6"/>
        <v>-8514.5730000000003</v>
      </c>
      <c r="I49" s="37">
        <f t="shared" si="7"/>
        <v>-0.87195272314814165</v>
      </c>
      <c r="J49" s="60" t="s">
        <v>289</v>
      </c>
      <c r="K49" s="75" t="s">
        <v>290</v>
      </c>
      <c r="L49" s="59" t="s">
        <v>763</v>
      </c>
    </row>
    <row r="50" spans="1:16" ht="28.9">
      <c r="A50" s="43" t="str">
        <v>CA: Stockton - SUSD - Hong-Kingston ES</v>
      </c>
      <c r="B50" s="40" t="str">
        <v>CA</v>
      </c>
      <c r="C50" s="28">
        <v>1514.5</v>
      </c>
      <c r="D50" s="29">
        <v>11596.27</v>
      </c>
      <c r="E50" s="29">
        <f t="shared" si="4"/>
        <v>-10081.77</v>
      </c>
      <c r="F50" s="30">
        <f t="shared" si="5"/>
        <v>-0.86939765976473471</v>
      </c>
      <c r="G50" s="31">
        <v>16026.79</v>
      </c>
      <c r="H50" s="31">
        <f t="shared" si="6"/>
        <v>-14512.29</v>
      </c>
      <c r="I50" s="32">
        <f t="shared" si="7"/>
        <v>-0.9055019751303911</v>
      </c>
      <c r="J50" s="62" t="s">
        <v>291</v>
      </c>
      <c r="K50" s="78" t="s">
        <v>764</v>
      </c>
      <c r="L50" s="62" t="s">
        <v>743</v>
      </c>
      <c r="M50" s="103" t="s">
        <v>765</v>
      </c>
    </row>
    <row r="51" spans="1:16" ht="15.6">
      <c r="A51" s="41" t="str">
        <v>CA: Stockton - SUSD - Hamilton ES</v>
      </c>
      <c r="B51" s="42" t="str">
        <v>CA</v>
      </c>
      <c r="C51" s="35">
        <v>1921</v>
      </c>
      <c r="D51" s="36">
        <v>5990.7160000000003</v>
      </c>
      <c r="E51" s="36">
        <f t="shared" si="4"/>
        <v>-4069.7160000000003</v>
      </c>
      <c r="F51" s="37">
        <f t="shared" si="5"/>
        <v>-0.67933716103383968</v>
      </c>
      <c r="G51" s="38">
        <v>8686.83</v>
      </c>
      <c r="H51" s="38">
        <f t="shared" si="6"/>
        <v>-6765.83</v>
      </c>
      <c r="I51" s="37">
        <f t="shared" si="7"/>
        <v>-0.77886064306542202</v>
      </c>
      <c r="J51" s="60" t="s">
        <v>541</v>
      </c>
      <c r="K51" s="75" t="s">
        <v>294</v>
      </c>
      <c r="L51" s="59" t="s">
        <v>763</v>
      </c>
    </row>
    <row r="52" spans="1:16" ht="100.9">
      <c r="A52" s="43" t="str">
        <v>CA: Stockton - SUSD - Franklin - North</v>
      </c>
      <c r="B52" s="40" t="str">
        <v>CA</v>
      </c>
      <c r="C52" s="28">
        <v>8204.75</v>
      </c>
      <c r="D52" s="29">
        <v>43309.01</v>
      </c>
      <c r="E52" s="29">
        <f t="shared" si="4"/>
        <v>-35104.26</v>
      </c>
      <c r="F52" s="30">
        <f t="shared" si="5"/>
        <v>-0.81055327748198358</v>
      </c>
      <c r="G52" s="31">
        <v>22869.75</v>
      </c>
      <c r="H52" s="31">
        <f t="shared" si="6"/>
        <v>-14665</v>
      </c>
      <c r="I52" s="32">
        <f t="shared" si="7"/>
        <v>-0.64124006602608252</v>
      </c>
      <c r="J52" s="62" t="s">
        <v>543</v>
      </c>
      <c r="K52" s="78" t="s">
        <v>544</v>
      </c>
      <c r="L52" s="62" t="s">
        <v>766</v>
      </c>
      <c r="M52" s="103" t="s">
        <v>298</v>
      </c>
      <c r="N52" s="103" t="s">
        <v>317</v>
      </c>
      <c r="O52" s="103" t="s">
        <v>545</v>
      </c>
    </row>
    <row r="53" spans="1:16" ht="15.6">
      <c r="A53" s="41" t="str">
        <v>Stockton Unified School Dist. - Fillmore Elementary</v>
      </c>
      <c r="B53" s="42" t="str">
        <v>CA</v>
      </c>
      <c r="C53" s="35">
        <v>1476.5</v>
      </c>
      <c r="D53" s="36">
        <v>5297.3029999999999</v>
      </c>
      <c r="E53" s="36">
        <f t="shared" si="4"/>
        <v>-3820.8029999999999</v>
      </c>
      <c r="F53" s="37">
        <f t="shared" si="5"/>
        <v>-0.72127325924154229</v>
      </c>
      <c r="G53" s="38">
        <v>7385.04</v>
      </c>
      <c r="H53" s="38">
        <f t="shared" si="6"/>
        <v>-5908.54</v>
      </c>
      <c r="I53" s="37">
        <f t="shared" si="7"/>
        <v>-0.80006878771137324</v>
      </c>
      <c r="J53" s="60" t="s">
        <v>410</v>
      </c>
      <c r="K53" s="75" t="s">
        <v>546</v>
      </c>
      <c r="L53" s="59"/>
    </row>
    <row r="54" spans="1:16" ht="28.9">
      <c r="A54" s="43" t="str">
        <v>CA: Stockton - SUSD - El Dorado ES</v>
      </c>
      <c r="B54" s="40" t="str">
        <v>CA</v>
      </c>
      <c r="C54" s="28">
        <v>1706</v>
      </c>
      <c r="D54" s="29">
        <v>6338.4070000000002</v>
      </c>
      <c r="E54" s="29">
        <f t="shared" si="4"/>
        <v>-4632.4070000000002</v>
      </c>
      <c r="F54" s="30">
        <f t="shared" si="5"/>
        <v>-0.7308471986731051</v>
      </c>
      <c r="G54" s="31">
        <v>0</v>
      </c>
      <c r="H54" s="31">
        <f t="shared" si="6"/>
        <v>1706</v>
      </c>
      <c r="I54" s="32" t="str">
        <f t="shared" si="7"/>
        <v/>
      </c>
      <c r="J54" s="62" t="s">
        <v>411</v>
      </c>
      <c r="K54" s="78" t="s">
        <v>302</v>
      </c>
      <c r="L54" s="62" t="s">
        <v>763</v>
      </c>
    </row>
    <row r="55" spans="1:16" ht="72">
      <c r="A55" s="41" t="str">
        <v>CA: Stockton - SUSD - Edison HS</v>
      </c>
      <c r="B55" s="42" t="str">
        <v>CA</v>
      </c>
      <c r="C55" s="35">
        <v>10062</v>
      </c>
      <c r="D55" s="36">
        <v>16144</v>
      </c>
      <c r="E55" s="36">
        <f t="shared" si="4"/>
        <v>-6082</v>
      </c>
      <c r="F55" s="37">
        <f t="shared" si="5"/>
        <v>-0.37673439048562934</v>
      </c>
      <c r="G55" s="38">
        <v>24192.560000000001</v>
      </c>
      <c r="H55" s="38">
        <f t="shared" si="6"/>
        <v>-14130.560000000001</v>
      </c>
      <c r="I55" s="37">
        <f t="shared" si="7"/>
        <v>-0.58408700856792339</v>
      </c>
      <c r="J55" s="60" t="s">
        <v>921</v>
      </c>
      <c r="K55" s="75" t="s">
        <v>922</v>
      </c>
      <c r="L55" s="59" t="s">
        <v>753</v>
      </c>
      <c r="M55" s="103" t="s">
        <v>654</v>
      </c>
      <c r="N55" s="103" t="s">
        <v>654</v>
      </c>
      <c r="O55" s="103" t="s">
        <v>771</v>
      </c>
    </row>
    <row r="56" spans="1:16" ht="100.9">
      <c r="A56" s="43" t="str">
        <v>CA: Stockton - SUSD - Chavez HS - Large</v>
      </c>
      <c r="B56" s="40" t="str">
        <v>CA</v>
      </c>
      <c r="C56" s="28">
        <v>19216</v>
      </c>
      <c r="D56" s="29">
        <v>39689.269999999997</v>
      </c>
      <c r="E56" s="29">
        <f t="shared" si="4"/>
        <v>-20473.269999999997</v>
      </c>
      <c r="F56" s="30">
        <f t="shared" si="5"/>
        <v>-0.51583891565654894</v>
      </c>
      <c r="G56" s="31">
        <v>49297.46</v>
      </c>
      <c r="H56" s="31">
        <f t="shared" si="6"/>
        <v>-30081.46</v>
      </c>
      <c r="I56" s="32">
        <f t="shared" si="7"/>
        <v>-0.61020304088689359</v>
      </c>
      <c r="J56" s="62" t="s">
        <v>923</v>
      </c>
      <c r="K56" s="78" t="s">
        <v>924</v>
      </c>
      <c r="L56" s="62" t="s">
        <v>925</v>
      </c>
      <c r="M56" s="103" t="s">
        <v>926</v>
      </c>
      <c r="N56" s="103" t="s">
        <v>776</v>
      </c>
    </row>
    <row r="57" spans="1:16" ht="43.15">
      <c r="A57" s="41" t="str">
        <v>CA: San Jose - GE Mobile Water</v>
      </c>
      <c r="B57" s="42" t="str">
        <v>CA</v>
      </c>
      <c r="C57" s="35">
        <v>12910</v>
      </c>
      <c r="D57" s="36">
        <v>13398.76</v>
      </c>
      <c r="E57" s="36">
        <f t="shared" si="4"/>
        <v>-488.76000000000022</v>
      </c>
      <c r="F57" s="37">
        <f t="shared" si="5"/>
        <v>-3.6478002442017037E-2</v>
      </c>
      <c r="G57" s="38">
        <v>13991.5</v>
      </c>
      <c r="H57" s="38">
        <f t="shared" si="6"/>
        <v>-1081.5</v>
      </c>
      <c r="I57" s="37">
        <f t="shared" si="7"/>
        <v>-7.7296930279098022E-2</v>
      </c>
      <c r="J57" s="60" t="s">
        <v>778</v>
      </c>
      <c r="K57" s="75" t="s">
        <v>310</v>
      </c>
      <c r="L57" s="59" t="s">
        <v>763</v>
      </c>
    </row>
    <row r="58" spans="1:16" ht="15.6">
      <c r="A58" s="43" t="str">
        <v>CA: San Marcos - Vallecitos Water - Lift Station</v>
      </c>
      <c r="B58" s="40" t="str">
        <v>CA</v>
      </c>
      <c r="C58" s="28">
        <v>20058.375</v>
      </c>
      <c r="D58" s="29">
        <v>21484.1</v>
      </c>
      <c r="E58" s="29">
        <f t="shared" si="4"/>
        <v>-1425.7249999999985</v>
      </c>
      <c r="F58" s="30">
        <f t="shared" si="5"/>
        <v>-6.6361867613723577E-2</v>
      </c>
      <c r="G58" s="31">
        <v>22317.54</v>
      </c>
      <c r="H58" s="31">
        <f t="shared" si="6"/>
        <v>-2259.1650000000009</v>
      </c>
      <c r="I58" s="32">
        <f t="shared" si="7"/>
        <v>-0.10122822676692865</v>
      </c>
      <c r="J58" s="62" t="s">
        <v>779</v>
      </c>
      <c r="K58" s="78" t="s">
        <v>780</v>
      </c>
      <c r="L58" s="62" t="s">
        <v>711</v>
      </c>
    </row>
    <row r="59" spans="1:16" ht="26.45">
      <c r="A59" s="41" t="str">
        <v>CA: San Marcos - Vallecitos Water - Twin Oaks Reservoir</v>
      </c>
      <c r="B59" s="42" t="str">
        <v>CA</v>
      </c>
      <c r="C59" s="35">
        <v>188002</v>
      </c>
      <c r="D59" s="36">
        <v>268309.90000000002</v>
      </c>
      <c r="E59" s="36">
        <f t="shared" si="4"/>
        <v>-80307.900000000023</v>
      </c>
      <c r="F59" s="37">
        <f t="shared" si="5"/>
        <v>-0.29931023790027883</v>
      </c>
      <c r="G59" s="38">
        <v>163998</v>
      </c>
      <c r="H59" s="38">
        <f t="shared" si="6"/>
        <v>24004</v>
      </c>
      <c r="I59" s="37">
        <f t="shared" si="7"/>
        <v>0.14636763862973939</v>
      </c>
      <c r="J59" s="60" t="s">
        <v>781</v>
      </c>
      <c r="K59" s="75" t="s">
        <v>782</v>
      </c>
      <c r="L59" s="59" t="s">
        <v>691</v>
      </c>
      <c r="M59" s="103" t="s">
        <v>783</v>
      </c>
    </row>
    <row r="60" spans="1:16" ht="28.9">
      <c r="A60" s="43" t="str">
        <v>CA: Stockton - SUSD - Wilhelmina Henry ES</v>
      </c>
      <c r="B60" s="40" t="str">
        <v>CA</v>
      </c>
      <c r="C60" s="28">
        <v>2725.5</v>
      </c>
      <c r="D60" s="29">
        <v>15060.7</v>
      </c>
      <c r="E60" s="29">
        <f t="shared" si="4"/>
        <v>-12335.2</v>
      </c>
      <c r="F60" s="30">
        <f t="shared" si="5"/>
        <v>-0.81903231589501158</v>
      </c>
      <c r="G60" s="31">
        <v>15999.07</v>
      </c>
      <c r="H60" s="31">
        <f t="shared" si="6"/>
        <v>-13273.57</v>
      </c>
      <c r="I60" s="32">
        <f t="shared" si="7"/>
        <v>-0.82964634819398875</v>
      </c>
      <c r="J60" s="62" t="s">
        <v>784</v>
      </c>
      <c r="K60" s="78" t="s">
        <v>314</v>
      </c>
      <c r="L60" s="62" t="s">
        <v>763</v>
      </c>
    </row>
    <row r="61" spans="1:16" ht="115.15">
      <c r="A61" s="41" t="str">
        <v>Stockton Unified School Dist. - Franklin (North)</v>
      </c>
      <c r="B61" s="42" t="str">
        <v>CA</v>
      </c>
      <c r="C61" s="35">
        <v>8204.7000000000007</v>
      </c>
      <c r="D61" s="36">
        <v>43309</v>
      </c>
      <c r="E61" s="36">
        <f t="shared" si="4"/>
        <v>-35104.300000000003</v>
      </c>
      <c r="F61" s="37">
        <f t="shared" si="5"/>
        <v>-0.81055438823339265</v>
      </c>
      <c r="G61" s="38">
        <v>23075.1</v>
      </c>
      <c r="H61" s="38">
        <f t="shared" si="6"/>
        <v>-14870.399999999998</v>
      </c>
      <c r="I61" s="37">
        <f t="shared" si="7"/>
        <v>-0.64443491035791822</v>
      </c>
      <c r="J61" s="60" t="s">
        <v>927</v>
      </c>
      <c r="K61" s="75" t="s">
        <v>786</v>
      </c>
      <c r="L61" s="59" t="s">
        <v>787</v>
      </c>
      <c r="M61" s="103" t="s">
        <v>788</v>
      </c>
      <c r="N61" s="103" t="s">
        <v>298</v>
      </c>
      <c r="O61" s="103" t="s">
        <v>317</v>
      </c>
      <c r="P61" s="103" t="s">
        <v>545</v>
      </c>
    </row>
    <row r="62" spans="1:16" ht="86.45">
      <c r="A62" s="43" t="str">
        <v>CA: Stockton - SUSD - Franklin - South</v>
      </c>
      <c r="B62" s="40" t="str">
        <v>CA</v>
      </c>
      <c r="C62" s="28">
        <v>13475.5</v>
      </c>
      <c r="D62" s="29">
        <v>28509.200000000001</v>
      </c>
      <c r="E62" s="29">
        <f t="shared" si="4"/>
        <v>-15033.7</v>
      </c>
      <c r="F62" s="30">
        <f t="shared" si="5"/>
        <v>-0.52732802042849325</v>
      </c>
      <c r="G62" s="31">
        <v>37332.31</v>
      </c>
      <c r="H62" s="31">
        <f t="shared" si="6"/>
        <v>-23856.809999999998</v>
      </c>
      <c r="I62" s="32">
        <f t="shared" si="7"/>
        <v>-0.639039212949855</v>
      </c>
      <c r="J62" s="62" t="s">
        <v>928</v>
      </c>
      <c r="K62" s="78" t="s">
        <v>929</v>
      </c>
      <c r="L62" s="62" t="s">
        <v>930</v>
      </c>
      <c r="M62" s="103" t="s">
        <v>931</v>
      </c>
      <c r="N62" s="103" t="s">
        <v>792</v>
      </c>
      <c r="O62" s="103" t="s">
        <v>793</v>
      </c>
    </row>
    <row r="63" spans="1:16" ht="57.6">
      <c r="A63" s="41" t="str">
        <v>CA: Stockton - SUSD - Chavez HS - Small</v>
      </c>
      <c r="B63" s="42" t="str">
        <v>CA</v>
      </c>
      <c r="C63" s="35">
        <v>8308.75</v>
      </c>
      <c r="D63" s="36">
        <v>9195.0429999999997</v>
      </c>
      <c r="E63" s="36">
        <f t="shared" si="4"/>
        <v>-886.29299999999967</v>
      </c>
      <c r="F63" s="37">
        <f t="shared" si="5"/>
        <v>-9.6388129995694391E-2</v>
      </c>
      <c r="G63" s="38">
        <v>13937.65</v>
      </c>
      <c r="H63" s="38">
        <f t="shared" si="6"/>
        <v>-5628.9</v>
      </c>
      <c r="I63" s="37">
        <f t="shared" si="7"/>
        <v>-0.4038629180672495</v>
      </c>
      <c r="J63" s="60" t="s">
        <v>932</v>
      </c>
      <c r="K63" s="75" t="s">
        <v>933</v>
      </c>
      <c r="L63" s="59" t="s">
        <v>805</v>
      </c>
      <c r="M63" s="103" t="s">
        <v>934</v>
      </c>
    </row>
    <row r="64" spans="1:16" ht="43.15">
      <c r="A64" s="43" t="str">
        <v>CA: Stockton - SUSD - Facilities</v>
      </c>
      <c r="B64" s="40" t="str">
        <v>CA</v>
      </c>
      <c r="C64" s="28">
        <v>6197.5</v>
      </c>
      <c r="D64" s="29">
        <v>17523.419999999998</v>
      </c>
      <c r="E64" s="29">
        <f t="shared" si="4"/>
        <v>-11325.919999999998</v>
      </c>
      <c r="F64" s="30">
        <f t="shared" si="5"/>
        <v>-0.64633045375845577</v>
      </c>
      <c r="G64" s="31">
        <v>24397.43</v>
      </c>
      <c r="H64" s="31">
        <f t="shared" si="6"/>
        <v>-18199.93</v>
      </c>
      <c r="I64" s="32">
        <f t="shared" si="7"/>
        <v>-0.74597734269552163</v>
      </c>
      <c r="J64" s="62" t="s">
        <v>561</v>
      </c>
      <c r="K64" s="78" t="s">
        <v>324</v>
      </c>
      <c r="L64" s="62" t="s">
        <v>743</v>
      </c>
    </row>
    <row r="65" spans="1:15" ht="86.45">
      <c r="A65" s="41" t="str">
        <v>CA: Stockton - SUSD - Harrison</v>
      </c>
      <c r="B65" s="42" t="str">
        <v>CA</v>
      </c>
      <c r="C65" s="35">
        <v>3717.25</v>
      </c>
      <c r="D65" s="36">
        <v>6302.5829999999996</v>
      </c>
      <c r="E65" s="36">
        <f t="shared" si="4"/>
        <v>-2585.3329999999996</v>
      </c>
      <c r="F65" s="37">
        <f t="shared" si="5"/>
        <v>-0.41020213458513755</v>
      </c>
      <c r="G65" s="38">
        <v>8585.0669999999991</v>
      </c>
      <c r="H65" s="38">
        <f t="shared" si="6"/>
        <v>-4867.8169999999991</v>
      </c>
      <c r="I65" s="37">
        <f t="shared" si="7"/>
        <v>-0.56700978571279637</v>
      </c>
      <c r="J65" s="60" t="s">
        <v>935</v>
      </c>
      <c r="K65" s="75" t="s">
        <v>936</v>
      </c>
      <c r="L65" s="59" t="s">
        <v>937</v>
      </c>
      <c r="M65" s="103" t="s">
        <v>938</v>
      </c>
      <c r="N65" s="103" t="s">
        <v>939</v>
      </c>
    </row>
    <row r="66" spans="1:15" ht="39.6">
      <c r="A66" s="43" t="str">
        <v>CA: Stockton - SUSD - Commodore Skills School</v>
      </c>
      <c r="B66" s="40" t="str">
        <v>CA</v>
      </c>
      <c r="C66" s="28">
        <v>3749.5</v>
      </c>
      <c r="D66" s="29">
        <v>13273.78</v>
      </c>
      <c r="E66" s="29">
        <f t="shared" si="4"/>
        <v>-9524.2800000000007</v>
      </c>
      <c r="F66" s="30">
        <f t="shared" si="5"/>
        <v>-0.71752582911574547</v>
      </c>
      <c r="G66" s="31">
        <v>19414.87</v>
      </c>
      <c r="H66" s="31">
        <f t="shared" si="6"/>
        <v>-15665.369999999999</v>
      </c>
      <c r="I66" s="32">
        <f t="shared" si="7"/>
        <v>-0.80687483356829071</v>
      </c>
      <c r="J66" s="62" t="s">
        <v>797</v>
      </c>
      <c r="K66" s="78" t="s">
        <v>940</v>
      </c>
      <c r="L66" s="62" t="s">
        <v>745</v>
      </c>
      <c r="M66" s="103" t="s">
        <v>664</v>
      </c>
      <c r="N66" s="103" t="s">
        <v>665</v>
      </c>
    </row>
    <row r="67" spans="1:15" ht="15.6">
      <c r="A67" s="41" t="str">
        <v>CA: Stockton - SUSD - Nightingale ES</v>
      </c>
      <c r="B67" s="42" t="str">
        <v>CA</v>
      </c>
      <c r="C67" s="35">
        <v>5990</v>
      </c>
      <c r="D67" s="36">
        <v>6509.0990000000002</v>
      </c>
      <c r="E67" s="36">
        <f t="shared" si="4"/>
        <v>-519.09900000000016</v>
      </c>
      <c r="F67" s="37">
        <f t="shared" si="5"/>
        <v>-7.9749747238442706E-2</v>
      </c>
      <c r="G67" s="38">
        <v>8990.7080000000005</v>
      </c>
      <c r="H67" s="38">
        <f t="shared" si="6"/>
        <v>-3000.7080000000005</v>
      </c>
      <c r="I67" s="37">
        <f t="shared" si="7"/>
        <v>-0.33375658513211642</v>
      </c>
      <c r="J67" s="60" t="s">
        <v>798</v>
      </c>
      <c r="K67" s="75" t="s">
        <v>431</v>
      </c>
      <c r="L67" s="59" t="s">
        <v>431</v>
      </c>
    </row>
    <row r="68" spans="1:15" ht="57.6">
      <c r="A68" s="43" t="str">
        <v>CA: Stockton - SUSD - Weber Institute</v>
      </c>
      <c r="B68" s="40" t="str">
        <v>CA</v>
      </c>
      <c r="C68" s="28">
        <v>2881.75</v>
      </c>
      <c r="D68" s="29">
        <v>36620.85</v>
      </c>
      <c r="E68" s="29">
        <f t="shared" si="4"/>
        <v>-33739.1</v>
      </c>
      <c r="F68" s="30">
        <f t="shared" si="5"/>
        <v>-0.92130848956263989</v>
      </c>
      <c r="G68" s="31">
        <v>18831.93</v>
      </c>
      <c r="H68" s="31">
        <f t="shared" si="6"/>
        <v>-15950.18</v>
      </c>
      <c r="I68" s="32">
        <f t="shared" si="7"/>
        <v>-0.84697532329400116</v>
      </c>
      <c r="J68" s="62" t="s">
        <v>941</v>
      </c>
      <c r="K68" s="78" t="s">
        <v>942</v>
      </c>
      <c r="L68" s="62" t="s">
        <v>805</v>
      </c>
      <c r="M68" s="103" t="s">
        <v>943</v>
      </c>
    </row>
    <row r="69" spans="1:15" ht="28.9">
      <c r="A69" s="41" t="str">
        <v>CA: Stockton - SUSD - Warehouse</v>
      </c>
      <c r="B69" s="42" t="str">
        <v>CA</v>
      </c>
      <c r="C69" s="35">
        <v>3876.25</v>
      </c>
      <c r="D69" s="36">
        <v>10450.4</v>
      </c>
      <c r="E69" s="36">
        <f t="shared" si="4"/>
        <v>-6574.15</v>
      </c>
      <c r="F69" s="37">
        <f t="shared" si="5"/>
        <v>-0.62908118349536857</v>
      </c>
      <c r="G69" s="38">
        <v>17033.63</v>
      </c>
      <c r="H69" s="38">
        <f t="shared" si="6"/>
        <v>-13157.380000000001</v>
      </c>
      <c r="I69" s="37">
        <f t="shared" si="7"/>
        <v>-0.77243547030198501</v>
      </c>
      <c r="J69" s="60" t="s">
        <v>800</v>
      </c>
      <c r="K69" s="75" t="s">
        <v>801</v>
      </c>
      <c r="L69" s="59" t="s">
        <v>711</v>
      </c>
      <c r="M69" s="103" t="s">
        <v>802</v>
      </c>
    </row>
    <row r="70" spans="1:15" ht="43.15">
      <c r="A70" s="43" t="str">
        <v>CA: Stockton - SUSD - Walton Special Center</v>
      </c>
      <c r="B70" s="40" t="str">
        <v>CA</v>
      </c>
      <c r="C70" s="28">
        <v>5049.5</v>
      </c>
      <c r="D70" s="29">
        <v>8752.5259999999998</v>
      </c>
      <c r="E70" s="29">
        <f t="shared" si="4"/>
        <v>-3703.0259999999998</v>
      </c>
      <c r="F70" s="30">
        <f t="shared" si="5"/>
        <v>-0.42308083403579722</v>
      </c>
      <c r="G70" s="31">
        <v>12146.44</v>
      </c>
      <c r="H70" s="31">
        <f t="shared" si="6"/>
        <v>-7096.9400000000005</v>
      </c>
      <c r="I70" s="32">
        <f t="shared" si="7"/>
        <v>-0.58428148494538323</v>
      </c>
      <c r="J70" s="62" t="s">
        <v>667</v>
      </c>
      <c r="K70" s="78" t="s">
        <v>944</v>
      </c>
      <c r="L70" s="62" t="s">
        <v>804</v>
      </c>
      <c r="M70" s="103" t="s">
        <v>669</v>
      </c>
      <c r="N70" s="103" t="s">
        <v>571</v>
      </c>
    </row>
    <row r="71" spans="1:15" ht="57.6">
      <c r="A71" s="41" t="str">
        <v>CA: Stockton - SUSD - Stagg HS</v>
      </c>
      <c r="B71" s="42" t="str">
        <v>CA</v>
      </c>
      <c r="C71" s="35">
        <v>28722</v>
      </c>
      <c r="D71" s="36">
        <v>35347.11</v>
      </c>
      <c r="E71" s="36">
        <f t="shared" si="4"/>
        <v>-6625.1100000000006</v>
      </c>
      <c r="F71" s="37">
        <f t="shared" si="5"/>
        <v>-0.18743003317668688</v>
      </c>
      <c r="G71" s="38">
        <v>49088.68</v>
      </c>
      <c r="H71" s="38">
        <f t="shared" si="6"/>
        <v>-20366.68</v>
      </c>
      <c r="I71" s="37">
        <f t="shared" si="7"/>
        <v>-0.41489565415081442</v>
      </c>
      <c r="J71" s="60" t="s">
        <v>435</v>
      </c>
      <c r="K71" s="75" t="s">
        <v>945</v>
      </c>
      <c r="L71" s="59" t="s">
        <v>805</v>
      </c>
      <c r="M71" s="103" t="s">
        <v>437</v>
      </c>
    </row>
    <row r="72" spans="1:15" ht="28.9">
      <c r="A72" s="43" t="str">
        <v>CA: Stockton - SUSD - School for Adults</v>
      </c>
      <c r="B72" s="40" t="str">
        <v>CA</v>
      </c>
      <c r="C72" s="28">
        <v>1196.625</v>
      </c>
      <c r="D72" s="29">
        <v>6951.7309999999998</v>
      </c>
      <c r="E72" s="29">
        <f t="shared" si="4"/>
        <v>-5755.1059999999998</v>
      </c>
      <c r="F72" s="30">
        <f t="shared" si="5"/>
        <v>-0.82786661336579337</v>
      </c>
      <c r="G72" s="31">
        <v>10729.15</v>
      </c>
      <c r="H72" s="31">
        <f t="shared" si="6"/>
        <v>-9532.5249999999996</v>
      </c>
      <c r="I72" s="32">
        <f t="shared" si="7"/>
        <v>-0.888469729661716</v>
      </c>
      <c r="J72" s="62" t="s">
        <v>438</v>
      </c>
      <c r="K72" s="78" t="s">
        <v>338</v>
      </c>
      <c r="L72" s="62" t="s">
        <v>946</v>
      </c>
    </row>
    <row r="73" spans="1:15" ht="43.15">
      <c r="A73" s="41" t="str">
        <v>CA: Stockton - SUSD - San Joaquin</v>
      </c>
      <c r="B73" s="42" t="str">
        <v>CA</v>
      </c>
      <c r="C73" s="35">
        <v>3545.375</v>
      </c>
      <c r="D73" s="36">
        <v>6143</v>
      </c>
      <c r="E73" s="36">
        <f t="shared" si="4"/>
        <v>-2597.625</v>
      </c>
      <c r="F73" s="37">
        <f t="shared" si="5"/>
        <v>-0.4228593521080905</v>
      </c>
      <c r="G73" s="38">
        <v>9354.7919999999995</v>
      </c>
      <c r="H73" s="38">
        <f t="shared" si="6"/>
        <v>-5809.4169999999995</v>
      </c>
      <c r="I73" s="37">
        <f t="shared" si="7"/>
        <v>-0.62100974559348832</v>
      </c>
      <c r="J73" s="60" t="s">
        <v>947</v>
      </c>
      <c r="K73" s="75" t="s">
        <v>807</v>
      </c>
      <c r="L73" s="59" t="s">
        <v>805</v>
      </c>
      <c r="M73" s="103" t="s">
        <v>808</v>
      </c>
    </row>
    <row r="74" spans="1:15" ht="43.15">
      <c r="A74" s="43" t="str">
        <v>CA: Stockton - SUSD - Rio Calaveras</v>
      </c>
      <c r="B74" s="40" t="str">
        <v>CA</v>
      </c>
      <c r="C74" s="28">
        <v>0</v>
      </c>
      <c r="D74" s="29">
        <v>0</v>
      </c>
      <c r="E74" s="29">
        <f t="shared" si="4"/>
        <v>0</v>
      </c>
      <c r="F74" s="30" t="str">
        <f t="shared" si="5"/>
        <v/>
      </c>
      <c r="G74" s="31">
        <v>0</v>
      </c>
      <c r="H74" s="31">
        <f t="shared" si="6"/>
        <v>0</v>
      </c>
      <c r="I74" s="32" t="str">
        <f t="shared" si="7"/>
        <v/>
      </c>
      <c r="J74" s="62" t="s">
        <v>809</v>
      </c>
      <c r="K74" s="78" t="s">
        <v>948</v>
      </c>
      <c r="L74" s="62" t="s">
        <v>804</v>
      </c>
      <c r="M74" s="103" t="s">
        <v>812</v>
      </c>
      <c r="N74" s="103" t="s">
        <v>812</v>
      </c>
    </row>
    <row r="75" spans="1:15" ht="52.9">
      <c r="A75" s="41" t="str">
        <v>CA: Stockton - SUSD - Peyton</v>
      </c>
      <c r="B75" s="42" t="str">
        <v>CA</v>
      </c>
      <c r="C75" s="35">
        <v>14427</v>
      </c>
      <c r="D75" s="36">
        <v>17834.39</v>
      </c>
      <c r="E75" s="36">
        <f t="shared" si="4"/>
        <v>-3407.3899999999994</v>
      </c>
      <c r="F75" s="37">
        <f t="shared" si="5"/>
        <v>-0.1910572775407513</v>
      </c>
      <c r="G75" s="38">
        <v>21186.77</v>
      </c>
      <c r="H75" s="38">
        <f t="shared" si="6"/>
        <v>-6759.77</v>
      </c>
      <c r="I75" s="37">
        <f t="shared" si="7"/>
        <v>-0.31905618459066676</v>
      </c>
      <c r="J75" s="60" t="s">
        <v>813</v>
      </c>
      <c r="K75" s="75" t="s">
        <v>814</v>
      </c>
      <c r="L75" s="59" t="s">
        <v>815</v>
      </c>
      <c r="M75" s="103" t="s">
        <v>816</v>
      </c>
      <c r="N75" s="103" t="s">
        <v>816</v>
      </c>
    </row>
    <row r="76" spans="1:15" ht="100.9">
      <c r="A76" s="43" t="str">
        <v>TX: Barnhart - 42917 Ranch RD 2469</v>
      </c>
      <c r="B76" s="40" t="str">
        <v>TX</v>
      </c>
      <c r="C76" s="28">
        <v>176600</v>
      </c>
      <c r="D76" s="29">
        <v>185298.8</v>
      </c>
      <c r="E76" s="29">
        <f t="shared" si="4"/>
        <v>-8698.7999999999884</v>
      </c>
      <c r="F76" s="30">
        <f t="shared" si="5"/>
        <v>-4.6944718476320348E-2</v>
      </c>
      <c r="G76" s="31">
        <v>172171.5</v>
      </c>
      <c r="H76" s="31">
        <f t="shared" si="6"/>
        <v>4428.5</v>
      </c>
      <c r="I76" s="32">
        <f t="shared" si="7"/>
        <v>2.5721446348553622E-2</v>
      </c>
      <c r="J76" s="62" t="s">
        <v>817</v>
      </c>
      <c r="K76" s="78" t="s">
        <v>818</v>
      </c>
      <c r="L76" s="62" t="s">
        <v>949</v>
      </c>
      <c r="M76" s="103" t="s">
        <v>583</v>
      </c>
      <c r="N76" s="103" t="s">
        <v>585</v>
      </c>
      <c r="O76" s="103" t="s">
        <v>820</v>
      </c>
    </row>
    <row r="77" spans="1:15" ht="39.6">
      <c r="A77" s="41" t="str">
        <v>AZ: San Manuel - Senior &amp; Junior HS</v>
      </c>
      <c r="B77" s="42" t="str">
        <v>AZ</v>
      </c>
      <c r="C77" s="35">
        <v>31989</v>
      </c>
      <c r="D77" s="36" t="s">
        <v>43</v>
      </c>
      <c r="E77" s="36" t="str">
        <f t="shared" ref="E77:E85" si="8">IF(AND(ISNUMBER(C77),ISNUMBER(D77)), C77-D77, "")</f>
        <v/>
      </c>
      <c r="F77" s="37" t="str">
        <f t="shared" ref="F77:F85" si="9">IFERROR(E77/D77, "")</f>
        <v/>
      </c>
      <c r="G77" s="38">
        <v>26953</v>
      </c>
      <c r="H77" s="38">
        <f t="shared" ref="H77:H85" si="10">IF(AND(ISNUMBER(C77),ISNUMBER(G77)), C77-G77, "")</f>
        <v>5036</v>
      </c>
      <c r="I77" s="37">
        <f t="shared" ref="I77:I85" si="11">IFERROR(H77/G77, "")</f>
        <v>0.18684376507253367</v>
      </c>
      <c r="J77" s="60" t="s">
        <v>950</v>
      </c>
      <c r="K77" s="75" t="s">
        <v>822</v>
      </c>
      <c r="L77" s="59" t="s">
        <v>711</v>
      </c>
      <c r="M77" s="103" t="s">
        <v>676</v>
      </c>
    </row>
    <row r="78" spans="1:15" ht="100.9">
      <c r="A78" s="43" t="str">
        <v>AZ: Sierra Vista - Colonel Smith MS</v>
      </c>
      <c r="B78" s="40" t="str">
        <v>AZ</v>
      </c>
      <c r="C78" s="28">
        <v>26480</v>
      </c>
      <c r="D78" s="29">
        <v>54193.120000000003</v>
      </c>
      <c r="E78" s="29">
        <f t="shared" si="8"/>
        <v>-27713.120000000003</v>
      </c>
      <c r="F78" s="30">
        <f t="shared" si="9"/>
        <v>-0.51137708993318709</v>
      </c>
      <c r="G78" s="31">
        <v>40171.040000000001</v>
      </c>
      <c r="H78" s="31">
        <f t="shared" si="10"/>
        <v>-13691.04</v>
      </c>
      <c r="I78" s="32">
        <f t="shared" si="11"/>
        <v>-0.34081865941235279</v>
      </c>
      <c r="J78" s="62" t="s">
        <v>951</v>
      </c>
      <c r="K78" s="78" t="s">
        <v>952</v>
      </c>
      <c r="L78" s="62" t="s">
        <v>728</v>
      </c>
      <c r="M78" s="103" t="s">
        <v>953</v>
      </c>
    </row>
    <row r="79" spans="1:15" ht="43.15">
      <c r="A79" s="41" t="str">
        <v>AZ: Sierra Vista - Colonel Johnston ES</v>
      </c>
      <c r="B79" s="42" t="str">
        <v>AZ</v>
      </c>
      <c r="C79" s="35">
        <v>9740</v>
      </c>
      <c r="D79" s="36">
        <v>18443.21</v>
      </c>
      <c r="E79" s="36">
        <f t="shared" si="8"/>
        <v>-8703.2099999999991</v>
      </c>
      <c r="F79" s="37">
        <f t="shared" si="9"/>
        <v>-0.4718923658083381</v>
      </c>
      <c r="G79" s="38">
        <v>13651.67</v>
      </c>
      <c r="H79" s="38">
        <f t="shared" si="10"/>
        <v>-3911.67</v>
      </c>
      <c r="I79" s="37">
        <f t="shared" si="11"/>
        <v>-0.28653417493976929</v>
      </c>
      <c r="J79" s="60" t="s">
        <v>451</v>
      </c>
      <c r="K79" s="75" t="s">
        <v>452</v>
      </c>
      <c r="L79" s="59" t="s">
        <v>711</v>
      </c>
    </row>
    <row r="80" spans="1:15" ht="57.6">
      <c r="A80" s="43" t="str">
        <v>NH: Dover - Dover HS</v>
      </c>
      <c r="B80" s="40" t="str">
        <v>NH</v>
      </c>
      <c r="C80" s="28">
        <v>41615.5</v>
      </c>
      <c r="D80" s="29">
        <v>53518.65</v>
      </c>
      <c r="E80" s="29">
        <f t="shared" si="8"/>
        <v>-11903.150000000001</v>
      </c>
      <c r="F80" s="30">
        <f t="shared" si="9"/>
        <v>-0.22241125289969013</v>
      </c>
      <c r="G80" s="31">
        <v>47971.839999999997</v>
      </c>
      <c r="H80" s="31">
        <f t="shared" si="10"/>
        <v>-6356.3399999999965</v>
      </c>
      <c r="I80" s="32">
        <f t="shared" si="11"/>
        <v>-0.13250148420406632</v>
      </c>
      <c r="J80" s="62" t="s">
        <v>453</v>
      </c>
      <c r="K80" s="78" t="s">
        <v>454</v>
      </c>
      <c r="L80" s="62" t="s">
        <v>711</v>
      </c>
    </row>
    <row r="81" spans="1:15" ht="100.9">
      <c r="A81" s="41" t="str">
        <v>MA: Somerville - 30 Inner Belt Rd</v>
      </c>
      <c r="B81" s="42" t="str">
        <v>MA</v>
      </c>
      <c r="C81" s="35">
        <v>35976.5</v>
      </c>
      <c r="D81" s="36">
        <v>38352.230000000003</v>
      </c>
      <c r="E81" s="36">
        <f t="shared" si="8"/>
        <v>-2375.7300000000032</v>
      </c>
      <c r="F81" s="37">
        <f t="shared" si="9"/>
        <v>-6.1945029011350919E-2</v>
      </c>
      <c r="G81" s="38">
        <v>72503.3</v>
      </c>
      <c r="H81" s="38">
        <f t="shared" si="10"/>
        <v>-36526.800000000003</v>
      </c>
      <c r="I81" s="37">
        <f t="shared" si="11"/>
        <v>-0.50379499967587682</v>
      </c>
      <c r="J81" s="60" t="s">
        <v>954</v>
      </c>
      <c r="K81" s="75" t="s">
        <v>955</v>
      </c>
      <c r="L81" s="59" t="s">
        <v>711</v>
      </c>
    </row>
    <row r="82" spans="1:15" ht="115.15">
      <c r="A82" s="43" t="str">
        <v>MA: Boxborough - 1414 Massachusetts Ave</v>
      </c>
      <c r="B82" s="40" t="str">
        <v>MA</v>
      </c>
      <c r="C82" s="28">
        <v>324424.17310000001</v>
      </c>
      <c r="D82" s="29">
        <v>217514.2</v>
      </c>
      <c r="E82" s="29">
        <f t="shared" si="8"/>
        <v>106909.9731</v>
      </c>
      <c r="F82" s="30">
        <f t="shared" si="9"/>
        <v>0.49150801694785901</v>
      </c>
      <c r="G82" s="31">
        <v>405900</v>
      </c>
      <c r="H82" s="31">
        <f t="shared" si="10"/>
        <v>-81475.826899999985</v>
      </c>
      <c r="I82" s="32">
        <f t="shared" si="11"/>
        <v>-0.20072881719635374</v>
      </c>
      <c r="J82" s="62" t="s">
        <v>956</v>
      </c>
      <c r="K82" s="78" t="s">
        <v>957</v>
      </c>
      <c r="L82" s="62" t="s">
        <v>958</v>
      </c>
      <c r="M82" s="103" t="s">
        <v>959</v>
      </c>
      <c r="N82" s="103" t="s">
        <v>960</v>
      </c>
    </row>
    <row r="83" spans="1:15" ht="43.15">
      <c r="A83" s="41" t="str">
        <v>NY: Amsterdam - 153 NY Route 67</v>
      </c>
      <c r="B83" s="42" t="str">
        <v>NY</v>
      </c>
      <c r="C83" s="35">
        <v>134830</v>
      </c>
      <c r="D83" s="36">
        <v>124494.6</v>
      </c>
      <c r="E83" s="36">
        <f t="shared" si="8"/>
        <v>10335.399999999994</v>
      </c>
      <c r="F83" s="37">
        <f t="shared" si="9"/>
        <v>8.3018861862281523E-2</v>
      </c>
      <c r="G83" s="38">
        <v>179870.7</v>
      </c>
      <c r="H83" s="38">
        <f t="shared" si="10"/>
        <v>-45040.700000000012</v>
      </c>
      <c r="I83" s="37">
        <f t="shared" si="11"/>
        <v>-0.25040598607777703</v>
      </c>
      <c r="J83" s="60" t="s">
        <v>683</v>
      </c>
      <c r="K83" s="75" t="s">
        <v>826</v>
      </c>
      <c r="L83" s="59" t="s">
        <v>714</v>
      </c>
      <c r="M83" s="103" t="s">
        <v>462</v>
      </c>
    </row>
    <row r="84" spans="1:15" ht="15.6">
      <c r="A84" s="43" t="str">
        <v>CA: San Jose - GE Mobile Water</v>
      </c>
      <c r="B84" s="40" t="str">
        <v>CA</v>
      </c>
      <c r="C84" s="28">
        <v>12910</v>
      </c>
      <c r="D84" s="29">
        <v>13398.76</v>
      </c>
      <c r="E84" s="29">
        <f t="shared" si="8"/>
        <v>-488.76000000000022</v>
      </c>
      <c r="F84" s="30">
        <f t="shared" si="9"/>
        <v>-3.6478002442017037E-2</v>
      </c>
      <c r="G84" s="31">
        <v>13991.5</v>
      </c>
      <c r="H84" s="31">
        <f t="shared" si="10"/>
        <v>-1081.5</v>
      </c>
      <c r="I84" s="32">
        <f t="shared" si="11"/>
        <v>-7.7296930279098022E-2</v>
      </c>
      <c r="J84" s="62" t="s">
        <v>828</v>
      </c>
      <c r="K84" s="78" t="s">
        <v>961</v>
      </c>
      <c r="L84" s="62" t="s">
        <v>691</v>
      </c>
    </row>
    <row r="85" spans="1:15" ht="115.15">
      <c r="A85" s="41" t="str">
        <v>NY: Rome - 7776 Tannery RD</v>
      </c>
      <c r="B85" s="42" t="str">
        <v>NY</v>
      </c>
      <c r="C85" s="35">
        <v>94450</v>
      </c>
      <c r="D85" s="36">
        <v>123195.8</v>
      </c>
      <c r="E85" s="36">
        <f t="shared" si="8"/>
        <v>-28745.800000000003</v>
      </c>
      <c r="F85" s="37">
        <f t="shared" si="9"/>
        <v>-0.23333425327811502</v>
      </c>
      <c r="G85" s="38">
        <v>159057</v>
      </c>
      <c r="H85" s="38">
        <f t="shared" si="10"/>
        <v>-64607</v>
      </c>
      <c r="I85" s="37">
        <f t="shared" si="11"/>
        <v>-0.40618771886807875</v>
      </c>
      <c r="J85" s="60" t="s">
        <v>962</v>
      </c>
      <c r="K85" s="75" t="s">
        <v>963</v>
      </c>
      <c r="L85" s="59" t="s">
        <v>964</v>
      </c>
      <c r="M85" s="103" t="s">
        <v>965</v>
      </c>
      <c r="N85" s="103" t="s">
        <v>966</v>
      </c>
      <c r="O85" s="103" t="s">
        <v>967</v>
      </c>
    </row>
    <row r="86" spans="1:15" ht="14.45">
      <c r="A86" s="8"/>
      <c r="B86" s="13"/>
      <c r="C86" s="8"/>
      <c r="D86" s="8"/>
      <c r="E86" s="8"/>
      <c r="F86" s="9"/>
      <c r="G86" s="8"/>
      <c r="H86" s="8"/>
      <c r="I86" s="9"/>
      <c r="J86" s="8"/>
      <c r="K86" s="8"/>
      <c r="L86" s="8"/>
    </row>
    <row r="87" spans="1:15" ht="14.45">
      <c r="A87" s="8"/>
      <c r="B87" s="13"/>
      <c r="C87" s="8"/>
      <c r="D87" s="8"/>
      <c r="E87" s="8"/>
      <c r="F87" s="9"/>
      <c r="G87" s="8"/>
      <c r="H87" s="8"/>
      <c r="I87" s="9"/>
      <c r="J87" s="8"/>
      <c r="K87" s="8"/>
      <c r="L87" s="8"/>
    </row>
    <row r="88" spans="1:15" ht="14.45">
      <c r="A88" s="8"/>
      <c r="B88" s="13"/>
      <c r="C88" s="8"/>
      <c r="D88" s="8"/>
      <c r="E88" s="8"/>
      <c r="F88" s="9"/>
      <c r="G88" s="8"/>
      <c r="H88" s="8"/>
      <c r="I88" s="9"/>
      <c r="J88" s="8"/>
      <c r="K88" s="8"/>
      <c r="L88" s="8"/>
    </row>
    <row r="89" spans="1:15" ht="14.45">
      <c r="A89" s="8"/>
      <c r="B89" s="13"/>
      <c r="C89" s="8"/>
      <c r="D89" s="8"/>
      <c r="E89" s="8"/>
      <c r="F89" s="9"/>
      <c r="G89" s="8"/>
      <c r="H89" s="8"/>
      <c r="I89" s="9"/>
      <c r="J89" s="8"/>
      <c r="K89" s="8"/>
      <c r="L89" s="8"/>
    </row>
    <row r="90" spans="1:15" ht="14.45">
      <c r="A90" s="8"/>
      <c r="B90" s="13"/>
      <c r="C90" s="8"/>
      <c r="D90" s="8"/>
      <c r="E90" s="8"/>
      <c r="F90" s="9"/>
      <c r="G90" s="8"/>
      <c r="H90" s="8"/>
      <c r="I90" s="9"/>
      <c r="J90" s="8"/>
      <c r="K90" s="8"/>
      <c r="L90" s="8"/>
    </row>
    <row r="91" spans="1:15" ht="14.45">
      <c r="A91" s="8"/>
      <c r="B91" s="13"/>
      <c r="C91" s="8"/>
      <c r="D91" s="8"/>
      <c r="E91" s="8"/>
      <c r="F91" s="9"/>
      <c r="G91" s="8"/>
      <c r="H91" s="8"/>
      <c r="I91" s="9"/>
      <c r="J91" s="8"/>
      <c r="K91" s="8"/>
      <c r="L91" s="8"/>
    </row>
    <row r="92" spans="1:15" ht="14.45">
      <c r="A92" s="8"/>
      <c r="B92" s="13"/>
      <c r="C92" s="8"/>
      <c r="D92" s="8"/>
      <c r="E92" s="8"/>
      <c r="F92" s="9"/>
      <c r="G92" s="8"/>
      <c r="H92" s="8"/>
      <c r="I92" s="9"/>
      <c r="J92" s="8"/>
      <c r="K92" s="8"/>
      <c r="L92" s="8"/>
    </row>
    <row r="93" spans="1:15" ht="14.45">
      <c r="A93" s="8"/>
      <c r="B93" s="13"/>
      <c r="C93" s="8"/>
      <c r="D93" s="8"/>
      <c r="E93" s="8"/>
      <c r="F93" s="9"/>
      <c r="G93" s="8"/>
      <c r="H93" s="8"/>
      <c r="I93" s="9"/>
      <c r="J93" s="8"/>
      <c r="K93" s="8"/>
      <c r="L93" s="8"/>
    </row>
    <row r="94" spans="1:15" ht="14.45">
      <c r="A94" s="8"/>
      <c r="B94" s="13"/>
      <c r="C94" s="8"/>
      <c r="D94" s="8"/>
      <c r="E94" s="8"/>
      <c r="F94" s="9"/>
      <c r="G94" s="8"/>
      <c r="H94" s="8"/>
      <c r="I94" s="9"/>
      <c r="J94" s="8"/>
      <c r="K94" s="8"/>
      <c r="L94" s="8"/>
    </row>
    <row r="95" spans="1:15" ht="14.45">
      <c r="A95" s="8"/>
      <c r="B95" s="13"/>
      <c r="C95" s="8"/>
      <c r="D95" s="8"/>
      <c r="E95" s="8"/>
      <c r="F95" s="9"/>
      <c r="G95" s="8"/>
      <c r="H95" s="8"/>
      <c r="I95" s="9"/>
      <c r="J95" s="8"/>
      <c r="K95" s="8"/>
      <c r="L95" s="8"/>
    </row>
    <row r="96" spans="1:15" ht="14.45">
      <c r="A96" s="8"/>
      <c r="B96" s="13"/>
      <c r="C96" s="8"/>
      <c r="D96" s="8"/>
      <c r="E96" s="8"/>
      <c r="F96" s="9"/>
      <c r="G96" s="8"/>
      <c r="H96" s="8"/>
      <c r="I96" s="9"/>
      <c r="J96" s="8"/>
      <c r="K96" s="8"/>
      <c r="L96" s="8"/>
    </row>
    <row r="97" spans="1:12" ht="14.45">
      <c r="A97" s="8"/>
      <c r="B97" s="13"/>
      <c r="C97" s="8"/>
      <c r="D97" s="8"/>
      <c r="E97" s="8"/>
      <c r="F97" s="9"/>
      <c r="G97" s="8"/>
      <c r="H97" s="8"/>
      <c r="I97" s="9"/>
      <c r="J97" s="8"/>
      <c r="K97" s="8"/>
      <c r="L97" s="8"/>
    </row>
    <row r="98" spans="1:12" ht="14.45">
      <c r="A98" s="8"/>
      <c r="B98" s="13"/>
      <c r="C98" s="8"/>
      <c r="D98" s="8"/>
      <c r="E98" s="8"/>
      <c r="F98" s="9"/>
      <c r="G98" s="8"/>
      <c r="H98" s="8"/>
      <c r="I98" s="9"/>
      <c r="J98" s="8"/>
      <c r="K98" s="8"/>
      <c r="L98" s="8"/>
    </row>
    <row r="99" spans="1:12" ht="14.45">
      <c r="A99" s="8"/>
      <c r="B99" s="13"/>
      <c r="C99" s="8"/>
      <c r="D99" s="8"/>
      <c r="E99" s="8"/>
      <c r="F99" s="9"/>
      <c r="G99" s="8"/>
      <c r="H99" s="8"/>
      <c r="I99" s="9"/>
      <c r="J99" s="8"/>
      <c r="K99" s="8"/>
      <c r="L99" s="8"/>
    </row>
    <row r="100" spans="1:12" ht="14.45">
      <c r="A100" s="8"/>
      <c r="B100" s="13"/>
      <c r="C100" s="8"/>
      <c r="D100" s="8"/>
      <c r="E100" s="8"/>
      <c r="F100" s="9"/>
      <c r="G100" s="8"/>
      <c r="H100" s="8"/>
      <c r="I100" s="9"/>
      <c r="J100" s="8"/>
      <c r="K100" s="8"/>
      <c r="L100" s="8"/>
    </row>
    <row r="101" spans="1:12" ht="14.45">
      <c r="A101" s="8"/>
      <c r="B101" s="13"/>
      <c r="C101" s="8"/>
      <c r="D101" s="8"/>
      <c r="E101" s="8"/>
      <c r="F101" s="9"/>
      <c r="G101" s="8"/>
      <c r="H101" s="8"/>
      <c r="I101" s="9"/>
      <c r="J101" s="8"/>
      <c r="K101" s="8"/>
      <c r="L101" s="8"/>
    </row>
    <row r="102" spans="1:12" ht="14.45">
      <c r="A102" s="8"/>
      <c r="B102" s="13"/>
      <c r="C102" s="8"/>
      <c r="D102" s="8"/>
      <c r="E102" s="8"/>
      <c r="F102" s="9"/>
      <c r="G102" s="8"/>
      <c r="H102" s="8"/>
      <c r="I102" s="9"/>
      <c r="J102" s="8"/>
      <c r="K102" s="8"/>
      <c r="L102" s="8"/>
    </row>
    <row r="103" spans="1:12" ht="14.45">
      <c r="A103" s="8"/>
      <c r="B103" s="13"/>
      <c r="C103" s="8"/>
      <c r="D103" s="8"/>
      <c r="E103" s="8"/>
      <c r="F103" s="9"/>
      <c r="G103" s="8"/>
      <c r="H103" s="8"/>
      <c r="I103" s="9"/>
      <c r="J103" s="8"/>
      <c r="K103" s="8"/>
      <c r="L103" s="8"/>
    </row>
    <row r="104" spans="1:12" ht="14.45">
      <c r="A104" s="8"/>
      <c r="B104" s="13"/>
      <c r="C104" s="8"/>
      <c r="D104" s="8"/>
      <c r="E104" s="8"/>
      <c r="F104" s="9"/>
      <c r="G104" s="8"/>
      <c r="H104" s="8"/>
      <c r="I104" s="9"/>
      <c r="J104" s="8"/>
      <c r="K104" s="8"/>
      <c r="L104" s="8"/>
    </row>
    <row r="105" spans="1:12" ht="14.45">
      <c r="A105" s="8"/>
      <c r="B105" s="13"/>
      <c r="C105" s="8"/>
      <c r="D105" s="8"/>
      <c r="E105" s="8"/>
      <c r="F105" s="9"/>
      <c r="G105" s="8"/>
      <c r="H105" s="8"/>
      <c r="I105" s="9"/>
      <c r="J105" s="8"/>
      <c r="K105" s="8"/>
      <c r="L105" s="8"/>
    </row>
    <row r="106" spans="1:12" ht="14.45">
      <c r="A106" s="8"/>
      <c r="B106" s="13"/>
      <c r="C106" s="8"/>
      <c r="D106" s="8"/>
      <c r="E106" s="8"/>
      <c r="F106" s="9"/>
      <c r="G106" s="8"/>
      <c r="H106" s="8"/>
      <c r="I106" s="9"/>
      <c r="J106" s="8"/>
      <c r="K106" s="8"/>
      <c r="L106" s="8"/>
    </row>
    <row r="107" spans="1:12" ht="14.45">
      <c r="A107" s="8"/>
      <c r="B107" s="13"/>
      <c r="C107" s="8"/>
      <c r="D107" s="8"/>
      <c r="E107" s="8"/>
      <c r="F107" s="9"/>
      <c r="G107" s="8"/>
      <c r="H107" s="8"/>
      <c r="I107" s="9"/>
      <c r="J107" s="8"/>
      <c r="K107" s="8"/>
      <c r="L107" s="8"/>
    </row>
    <row r="108" spans="1:12" ht="14.45">
      <c r="A108" s="8"/>
      <c r="B108" s="13"/>
      <c r="C108" s="8"/>
      <c r="D108" s="8"/>
      <c r="E108" s="8"/>
      <c r="F108" s="9"/>
      <c r="G108" s="8"/>
      <c r="H108" s="8"/>
      <c r="I108" s="9"/>
      <c r="J108" s="8"/>
      <c r="K108" s="8"/>
      <c r="L108" s="8"/>
    </row>
    <row r="109" spans="1:12" ht="14.45">
      <c r="A109" s="8"/>
      <c r="B109" s="13"/>
      <c r="C109" s="8"/>
      <c r="D109" s="8"/>
      <c r="E109" s="8"/>
      <c r="F109" s="9"/>
      <c r="G109" s="8"/>
      <c r="H109" s="8"/>
      <c r="I109" s="9"/>
      <c r="J109" s="8"/>
      <c r="K109" s="8"/>
      <c r="L109" s="8"/>
    </row>
    <row r="110" spans="1:12" ht="14.45">
      <c r="A110" s="8"/>
      <c r="B110" s="13"/>
      <c r="C110" s="8"/>
      <c r="D110" s="8"/>
      <c r="E110" s="8"/>
      <c r="F110" s="9"/>
      <c r="G110" s="8"/>
      <c r="H110" s="8"/>
      <c r="I110" s="9"/>
      <c r="J110" s="8"/>
      <c r="K110" s="8"/>
      <c r="L110" s="8"/>
    </row>
    <row r="111" spans="1:12" ht="14.45">
      <c r="A111" s="8"/>
      <c r="B111" s="13"/>
      <c r="C111" s="8"/>
      <c r="D111" s="8"/>
      <c r="E111" s="8"/>
      <c r="F111" s="9"/>
      <c r="G111" s="8"/>
      <c r="H111" s="8"/>
      <c r="I111" s="9"/>
      <c r="J111" s="8"/>
      <c r="K111" s="8"/>
      <c r="L111" s="8"/>
    </row>
    <row r="112" spans="1:12" ht="14.45">
      <c r="A112" s="8"/>
      <c r="B112" s="13"/>
      <c r="C112" s="8"/>
      <c r="D112" s="8"/>
      <c r="E112" s="8"/>
      <c r="F112" s="9"/>
      <c r="G112" s="8"/>
      <c r="H112" s="8"/>
      <c r="I112" s="9"/>
      <c r="J112" s="8"/>
      <c r="K112" s="8"/>
      <c r="L112" s="8"/>
    </row>
    <row r="113" spans="1:12" ht="14.45">
      <c r="A113" s="8"/>
      <c r="B113" s="13"/>
      <c r="C113" s="8"/>
      <c r="D113" s="8"/>
      <c r="E113" s="8"/>
      <c r="F113" s="9"/>
      <c r="G113" s="8"/>
      <c r="H113" s="8"/>
      <c r="I113" s="9"/>
      <c r="J113" s="8"/>
      <c r="K113" s="8"/>
      <c r="L113" s="8"/>
    </row>
    <row r="114" spans="1:12" ht="14.45">
      <c r="A114" s="8"/>
      <c r="B114" s="13"/>
      <c r="C114" s="8"/>
      <c r="D114" s="8"/>
      <c r="E114" s="8"/>
      <c r="F114" s="9"/>
      <c r="G114" s="8"/>
      <c r="H114" s="8"/>
      <c r="I114" s="9"/>
      <c r="J114" s="8"/>
      <c r="K114" s="8"/>
      <c r="L114" s="8"/>
    </row>
    <row r="115" spans="1:12" ht="14.45">
      <c r="A115" s="8"/>
      <c r="B115" s="13"/>
      <c r="C115" s="8"/>
      <c r="D115" s="8"/>
      <c r="E115" s="8"/>
      <c r="F115" s="9"/>
      <c r="G115" s="8"/>
      <c r="H115" s="8"/>
      <c r="I115" s="9"/>
      <c r="J115" s="8"/>
      <c r="K115" s="8"/>
      <c r="L115" s="8"/>
    </row>
    <row r="116" spans="1:12" ht="14.45">
      <c r="A116" s="8"/>
      <c r="B116" s="13"/>
      <c r="C116" s="8"/>
      <c r="D116" s="8"/>
      <c r="E116" s="8"/>
      <c r="F116" s="9"/>
      <c r="G116" s="8"/>
      <c r="H116" s="8"/>
      <c r="I116" s="9"/>
      <c r="J116" s="8"/>
      <c r="K116" s="8"/>
      <c r="L116" s="8"/>
    </row>
    <row r="117" spans="1:12" ht="14.45">
      <c r="A117" s="8"/>
      <c r="B117" s="13"/>
      <c r="C117" s="8"/>
      <c r="D117" s="8"/>
      <c r="E117" s="8"/>
      <c r="F117" s="9"/>
      <c r="G117" s="8"/>
      <c r="H117" s="8"/>
      <c r="I117" s="9"/>
      <c r="J117" s="8"/>
      <c r="K117" s="8"/>
      <c r="L117" s="8"/>
    </row>
    <row r="118" spans="1:12" ht="14.45">
      <c r="A118" s="8"/>
      <c r="B118" s="13"/>
      <c r="C118" s="8"/>
      <c r="D118" s="8"/>
      <c r="E118" s="8"/>
      <c r="F118" s="9"/>
      <c r="G118" s="8"/>
      <c r="H118" s="8"/>
      <c r="I118" s="9"/>
      <c r="J118" s="8"/>
      <c r="K118" s="8"/>
      <c r="L118" s="8"/>
    </row>
    <row r="119" spans="1:12" ht="14.45">
      <c r="A119" s="8"/>
      <c r="B119" s="13"/>
      <c r="C119" s="8"/>
      <c r="D119" s="8"/>
      <c r="E119" s="8"/>
      <c r="F119" s="9"/>
      <c r="G119" s="8"/>
      <c r="H119" s="8"/>
      <c r="I119" s="9"/>
      <c r="J119" s="8"/>
      <c r="K119" s="8"/>
      <c r="L119" s="8"/>
    </row>
    <row r="120" spans="1:12" ht="14.45">
      <c r="A120" s="8"/>
      <c r="B120" s="13"/>
      <c r="C120" s="8"/>
      <c r="D120" s="8"/>
      <c r="E120" s="8"/>
      <c r="F120" s="9"/>
      <c r="G120" s="8"/>
      <c r="H120" s="8"/>
      <c r="I120" s="9"/>
      <c r="J120" s="8"/>
      <c r="K120" s="8"/>
      <c r="L120" s="8"/>
    </row>
    <row r="121" spans="1:12" ht="14.45">
      <c r="A121" s="8"/>
      <c r="B121" s="13"/>
      <c r="C121" s="8"/>
      <c r="D121" s="8"/>
      <c r="E121" s="8"/>
      <c r="F121" s="9"/>
      <c r="G121" s="8"/>
      <c r="H121" s="8"/>
      <c r="I121" s="9"/>
      <c r="J121" s="8"/>
      <c r="K121" s="8"/>
      <c r="L121" s="8"/>
    </row>
    <row r="122" spans="1:12" ht="14.45">
      <c r="A122" s="8"/>
      <c r="B122" s="13"/>
      <c r="C122" s="8"/>
      <c r="D122" s="8"/>
      <c r="E122" s="8"/>
      <c r="F122" s="9"/>
      <c r="G122" s="8"/>
      <c r="H122" s="8"/>
      <c r="I122" s="9"/>
      <c r="J122" s="8"/>
      <c r="K122" s="8"/>
      <c r="L122" s="8"/>
    </row>
    <row r="123" spans="1:12" ht="14.45">
      <c r="A123" s="8"/>
      <c r="B123" s="13"/>
      <c r="C123" s="8"/>
      <c r="D123" s="8"/>
      <c r="E123" s="8"/>
      <c r="F123" s="9"/>
      <c r="G123" s="8"/>
      <c r="H123" s="8"/>
      <c r="I123" s="9"/>
      <c r="J123" s="8"/>
      <c r="K123" s="8"/>
      <c r="L123" s="8"/>
    </row>
    <row r="124" spans="1:12" ht="14.45">
      <c r="A124" s="8"/>
      <c r="B124" s="13"/>
      <c r="C124" s="8"/>
      <c r="D124" s="8"/>
      <c r="E124" s="8"/>
      <c r="F124" s="9"/>
      <c r="G124" s="8"/>
      <c r="H124" s="8"/>
      <c r="I124" s="9"/>
      <c r="J124" s="8"/>
      <c r="K124" s="8"/>
      <c r="L124" s="8"/>
    </row>
    <row r="125" spans="1:12" ht="14.45">
      <c r="A125" s="8"/>
      <c r="B125" s="13"/>
      <c r="C125" s="8"/>
      <c r="D125" s="8"/>
      <c r="E125" s="8"/>
      <c r="F125" s="9"/>
      <c r="G125" s="8"/>
      <c r="H125" s="8"/>
      <c r="I125" s="9"/>
      <c r="J125" s="8"/>
      <c r="K125" s="8"/>
      <c r="L125" s="8"/>
    </row>
    <row r="126" spans="1:12" ht="14.45">
      <c r="A126" s="8"/>
      <c r="B126" s="13"/>
      <c r="C126" s="8"/>
      <c r="D126" s="8"/>
      <c r="E126" s="8"/>
      <c r="F126" s="9"/>
      <c r="G126" s="8"/>
      <c r="H126" s="8"/>
      <c r="I126" s="9"/>
      <c r="J126" s="8"/>
      <c r="K126" s="8"/>
      <c r="L126" s="8"/>
    </row>
    <row r="127" spans="1:12" ht="14.45">
      <c r="A127" s="8"/>
      <c r="B127" s="13"/>
      <c r="C127" s="8"/>
      <c r="D127" s="8"/>
      <c r="E127" s="8"/>
      <c r="F127" s="9"/>
      <c r="G127" s="8"/>
      <c r="H127" s="8"/>
      <c r="I127" s="9"/>
      <c r="J127" s="8"/>
      <c r="K127" s="8"/>
      <c r="L127" s="8"/>
    </row>
    <row r="128" spans="1:12" ht="14.45">
      <c r="A128" s="8"/>
      <c r="B128" s="13"/>
      <c r="C128" s="8"/>
      <c r="D128" s="8"/>
      <c r="E128" s="8"/>
      <c r="F128" s="9"/>
      <c r="G128" s="8"/>
      <c r="H128" s="8"/>
      <c r="I128" s="9"/>
      <c r="J128" s="8"/>
      <c r="K128" s="8"/>
      <c r="L128" s="8"/>
    </row>
    <row r="129" spans="1:12" ht="14.45">
      <c r="A129" s="8"/>
      <c r="B129" s="13"/>
      <c r="C129" s="8"/>
      <c r="D129" s="8"/>
      <c r="E129" s="8"/>
      <c r="F129" s="9"/>
      <c r="G129" s="8"/>
      <c r="H129" s="8"/>
      <c r="I129" s="9"/>
      <c r="J129" s="8"/>
      <c r="K129" s="8"/>
      <c r="L129" s="8"/>
    </row>
    <row r="130" spans="1:12" ht="14.45">
      <c r="A130" s="8"/>
      <c r="B130" s="13"/>
      <c r="C130" s="8"/>
      <c r="D130" s="8"/>
      <c r="E130" s="8"/>
      <c r="F130" s="9"/>
      <c r="G130" s="8"/>
      <c r="H130" s="8"/>
      <c r="I130" s="9"/>
      <c r="J130" s="8"/>
      <c r="K130" s="8"/>
      <c r="L130" s="8"/>
    </row>
    <row r="131" spans="1:12" ht="14.45">
      <c r="A131" s="8"/>
      <c r="B131" s="13"/>
      <c r="C131" s="8"/>
      <c r="D131" s="8"/>
      <c r="E131" s="8"/>
      <c r="F131" s="9"/>
      <c r="G131" s="8"/>
      <c r="H131" s="8"/>
      <c r="I131" s="9"/>
      <c r="J131" s="8"/>
      <c r="K131" s="8"/>
      <c r="L131" s="8"/>
    </row>
    <row r="132" spans="1:12" ht="14.45">
      <c r="A132" s="8"/>
      <c r="B132" s="13"/>
      <c r="C132" s="8"/>
      <c r="D132" s="8"/>
      <c r="E132" s="8"/>
      <c r="F132" s="9"/>
      <c r="G132" s="8"/>
      <c r="H132" s="8"/>
      <c r="I132" s="9"/>
      <c r="J132" s="8"/>
      <c r="K132" s="8"/>
      <c r="L132" s="8"/>
    </row>
    <row r="133" spans="1:12" ht="14.45">
      <c r="A133" s="8"/>
      <c r="B133" s="13"/>
      <c r="C133" s="8"/>
      <c r="D133" s="8"/>
      <c r="E133" s="8"/>
      <c r="F133" s="9"/>
      <c r="G133" s="8"/>
      <c r="H133" s="8"/>
      <c r="I133" s="9"/>
      <c r="J133" s="8"/>
      <c r="K133" s="8"/>
      <c r="L133" s="8"/>
    </row>
    <row r="134" spans="1:12" ht="14.45">
      <c r="A134" s="8"/>
      <c r="B134" s="13"/>
      <c r="C134" s="8"/>
      <c r="D134" s="8"/>
      <c r="E134" s="8"/>
      <c r="F134" s="9"/>
      <c r="G134" s="8"/>
      <c r="H134" s="8"/>
      <c r="I134" s="9"/>
      <c r="J134" s="8"/>
      <c r="K134" s="8"/>
      <c r="L134" s="8"/>
    </row>
    <row r="135" spans="1:12" ht="14.45">
      <c r="A135" s="8"/>
      <c r="B135" s="13"/>
      <c r="C135" s="8"/>
      <c r="D135" s="8"/>
      <c r="E135" s="8"/>
      <c r="F135" s="9"/>
      <c r="G135" s="8"/>
      <c r="H135" s="8"/>
      <c r="I135" s="9"/>
      <c r="J135" s="8"/>
      <c r="K135" s="8"/>
      <c r="L135" s="8"/>
    </row>
    <row r="136" spans="1:12" ht="14.45">
      <c r="A136" s="8"/>
      <c r="B136" s="13"/>
      <c r="C136" s="8"/>
      <c r="D136" s="8"/>
      <c r="E136" s="8"/>
      <c r="F136" s="9"/>
      <c r="G136" s="8"/>
      <c r="H136" s="8"/>
      <c r="I136" s="9"/>
      <c r="J136" s="8"/>
      <c r="K136" s="8"/>
      <c r="L136" s="8"/>
    </row>
    <row r="137" spans="1:12" ht="14.45">
      <c r="A137" s="8"/>
      <c r="B137" s="13"/>
      <c r="C137" s="8"/>
      <c r="D137" s="8"/>
      <c r="E137" s="8"/>
      <c r="F137" s="9"/>
      <c r="G137" s="8"/>
      <c r="H137" s="8"/>
      <c r="I137" s="9"/>
      <c r="J137" s="8"/>
      <c r="K137" s="8"/>
      <c r="L137" s="8"/>
    </row>
    <row r="138" spans="1:12" ht="14.45">
      <c r="A138" s="8"/>
      <c r="B138" s="13"/>
      <c r="C138" s="8"/>
      <c r="D138" s="8"/>
      <c r="E138" s="8"/>
      <c r="F138" s="9"/>
      <c r="G138" s="8"/>
      <c r="H138" s="8"/>
      <c r="I138" s="9"/>
      <c r="J138" s="8"/>
      <c r="K138" s="8"/>
      <c r="L138" s="8"/>
    </row>
    <row r="139" spans="1:12" ht="14.45">
      <c r="A139" s="8"/>
      <c r="B139" s="13"/>
      <c r="C139" s="8"/>
      <c r="D139" s="8"/>
      <c r="E139" s="8"/>
      <c r="F139" s="9"/>
      <c r="G139" s="8"/>
      <c r="H139" s="8"/>
      <c r="I139" s="9"/>
      <c r="J139" s="8"/>
      <c r="K139" s="8"/>
      <c r="L139" s="8"/>
    </row>
    <row r="140" spans="1:12" ht="14.45">
      <c r="A140" s="8"/>
      <c r="B140" s="13"/>
      <c r="C140" s="8"/>
      <c r="D140" s="8"/>
      <c r="E140" s="8"/>
      <c r="F140" s="9"/>
      <c r="G140" s="8"/>
      <c r="H140" s="8"/>
      <c r="I140" s="9"/>
      <c r="J140" s="8"/>
      <c r="K140" s="8"/>
      <c r="L140" s="8"/>
    </row>
    <row r="141" spans="1:12" ht="14.45">
      <c r="A141" s="8"/>
      <c r="B141" s="13"/>
      <c r="C141" s="8"/>
      <c r="D141" s="8"/>
      <c r="E141" s="8"/>
      <c r="F141" s="9"/>
      <c r="G141" s="8"/>
      <c r="H141" s="8"/>
      <c r="I141" s="9"/>
      <c r="J141" s="8"/>
      <c r="K141" s="8"/>
      <c r="L141" s="8"/>
    </row>
    <row r="142" spans="1:12" ht="14.45">
      <c r="A142" s="8"/>
      <c r="B142" s="13"/>
      <c r="C142" s="8"/>
      <c r="D142" s="8"/>
      <c r="E142" s="8"/>
      <c r="F142" s="9"/>
      <c r="G142" s="8"/>
      <c r="H142" s="8"/>
      <c r="I142" s="9"/>
      <c r="J142" s="8"/>
      <c r="K142" s="8"/>
      <c r="L142" s="8"/>
    </row>
    <row r="143" spans="1:12" ht="14.45">
      <c r="A143" s="8"/>
      <c r="B143" s="13"/>
      <c r="C143" s="8"/>
      <c r="D143" s="8"/>
      <c r="E143" s="8"/>
      <c r="F143" s="9"/>
      <c r="G143" s="8"/>
      <c r="H143" s="8"/>
      <c r="I143" s="9"/>
      <c r="J143" s="8"/>
      <c r="K143" s="8"/>
      <c r="L143" s="8"/>
    </row>
    <row r="144" spans="1:12" ht="14.45">
      <c r="A144" s="8"/>
      <c r="B144" s="13"/>
      <c r="C144" s="8"/>
      <c r="D144" s="8"/>
      <c r="E144" s="8"/>
      <c r="F144" s="9"/>
      <c r="G144" s="8"/>
      <c r="H144" s="8"/>
      <c r="I144" s="9"/>
      <c r="J144" s="8"/>
      <c r="K144" s="8"/>
      <c r="L144" s="8"/>
    </row>
    <row r="145" spans="1:12" ht="14.45">
      <c r="A145" s="8"/>
      <c r="B145" s="13"/>
      <c r="C145" s="8"/>
      <c r="D145" s="8"/>
      <c r="E145" s="8"/>
      <c r="F145" s="9"/>
      <c r="G145" s="8"/>
      <c r="H145" s="8"/>
      <c r="I145" s="9"/>
      <c r="J145" s="8"/>
      <c r="K145" s="8"/>
      <c r="L145" s="8"/>
    </row>
    <row r="146" spans="1:12" ht="14.45">
      <c r="A146" s="8"/>
      <c r="B146" s="13"/>
      <c r="C146" s="8"/>
      <c r="D146" s="8"/>
      <c r="E146" s="8"/>
      <c r="F146" s="9"/>
      <c r="G146" s="8"/>
      <c r="H146" s="8"/>
      <c r="I146" s="9"/>
      <c r="J146" s="8"/>
      <c r="K146" s="8"/>
      <c r="L146" s="8"/>
    </row>
    <row r="147" spans="1:12" ht="14.45">
      <c r="A147" s="8"/>
      <c r="B147" s="13"/>
      <c r="C147" s="8"/>
      <c r="D147" s="8"/>
      <c r="E147" s="8"/>
      <c r="F147" s="9"/>
      <c r="G147" s="8"/>
      <c r="H147" s="8"/>
      <c r="I147" s="9"/>
      <c r="J147" s="8"/>
      <c r="K147" s="8"/>
      <c r="L147" s="8"/>
    </row>
    <row r="148" spans="1:12" ht="14.45">
      <c r="A148" s="8"/>
      <c r="B148" s="13"/>
      <c r="C148" s="8"/>
      <c r="D148" s="8"/>
      <c r="E148" s="8"/>
      <c r="F148" s="9"/>
      <c r="G148" s="8"/>
      <c r="H148" s="8"/>
      <c r="I148" s="9"/>
      <c r="J148" s="8"/>
      <c r="K148" s="8"/>
      <c r="L148" s="8"/>
    </row>
    <row r="149" spans="1:12" ht="14.45">
      <c r="A149" s="8"/>
      <c r="B149" s="13"/>
      <c r="C149" s="8"/>
      <c r="D149" s="8"/>
      <c r="E149" s="8"/>
      <c r="F149" s="9"/>
      <c r="G149" s="8"/>
      <c r="H149" s="8"/>
      <c r="I149" s="9"/>
      <c r="J149" s="8"/>
      <c r="K149" s="8"/>
      <c r="L149" s="8"/>
    </row>
    <row r="150" spans="1:12" ht="14.45">
      <c r="A150" s="8"/>
      <c r="B150" s="13"/>
      <c r="C150" s="8"/>
      <c r="D150" s="8"/>
      <c r="E150" s="8"/>
      <c r="F150" s="9"/>
      <c r="G150" s="8"/>
      <c r="H150" s="8"/>
      <c r="I150" s="9"/>
      <c r="J150" s="8"/>
      <c r="K150" s="8"/>
      <c r="L150" s="8"/>
    </row>
    <row r="151" spans="1:12" ht="14.45">
      <c r="A151" s="8"/>
      <c r="B151" s="13"/>
      <c r="C151" s="8"/>
      <c r="D151" s="8"/>
      <c r="E151" s="8"/>
      <c r="F151" s="9"/>
      <c r="G151" s="8"/>
      <c r="H151" s="8"/>
      <c r="I151" s="9"/>
      <c r="J151" s="8"/>
      <c r="K151" s="8"/>
      <c r="L151" s="8"/>
    </row>
    <row r="152" spans="1:12" ht="14.45">
      <c r="A152" s="8"/>
      <c r="B152" s="13"/>
      <c r="C152" s="8"/>
      <c r="D152" s="8"/>
      <c r="E152" s="8"/>
      <c r="F152" s="9"/>
      <c r="G152" s="8"/>
      <c r="H152" s="8"/>
      <c r="I152" s="9"/>
      <c r="J152" s="8"/>
      <c r="K152" s="8"/>
      <c r="L152" s="8"/>
    </row>
    <row r="153" spans="1:12" ht="14.45">
      <c r="A153" s="8"/>
      <c r="B153" s="13"/>
      <c r="C153" s="8"/>
      <c r="D153" s="8"/>
      <c r="E153" s="8"/>
      <c r="F153" s="9"/>
      <c r="G153" s="8"/>
      <c r="H153" s="8"/>
      <c r="I153" s="9"/>
      <c r="J153" s="8"/>
      <c r="K153" s="8"/>
      <c r="L153" s="8"/>
    </row>
    <row r="154" spans="1:12" ht="14.45">
      <c r="A154" s="8"/>
      <c r="B154" s="13"/>
      <c r="C154" s="8"/>
      <c r="D154" s="8"/>
      <c r="E154" s="8"/>
      <c r="F154" s="9"/>
      <c r="G154" s="8"/>
      <c r="H154" s="8"/>
      <c r="I154" s="9"/>
      <c r="J154" s="8"/>
      <c r="K154" s="8"/>
      <c r="L154" s="8"/>
    </row>
    <row r="155" spans="1:12" ht="14.45">
      <c r="A155" s="8"/>
      <c r="B155" s="13"/>
      <c r="C155" s="8"/>
      <c r="D155" s="8"/>
      <c r="E155" s="8"/>
      <c r="F155" s="9"/>
      <c r="G155" s="8"/>
      <c r="H155" s="8"/>
      <c r="I155" s="9"/>
      <c r="J155" s="8"/>
      <c r="K155" s="8"/>
      <c r="L155" s="8"/>
    </row>
    <row r="156" spans="1:12" ht="14.45">
      <c r="A156" s="8"/>
      <c r="B156" s="13"/>
      <c r="C156" s="8"/>
      <c r="D156" s="8"/>
      <c r="E156" s="8"/>
      <c r="F156" s="9"/>
      <c r="G156" s="8"/>
      <c r="H156" s="8"/>
      <c r="I156" s="9"/>
      <c r="J156" s="8"/>
      <c r="K156" s="8"/>
      <c r="L156" s="8"/>
    </row>
    <row r="157" spans="1:12" ht="14.45">
      <c r="A157" s="8"/>
      <c r="B157" s="13"/>
      <c r="C157" s="8"/>
      <c r="D157" s="8"/>
      <c r="E157" s="8"/>
      <c r="F157" s="9"/>
      <c r="G157" s="8"/>
      <c r="H157" s="8"/>
      <c r="I157" s="9"/>
      <c r="J157" s="8"/>
      <c r="K157" s="8"/>
      <c r="L157" s="8"/>
    </row>
    <row r="158" spans="1:12" ht="14.45">
      <c r="A158" s="8"/>
      <c r="B158" s="13"/>
      <c r="C158" s="8"/>
      <c r="D158" s="8"/>
      <c r="E158" s="8"/>
      <c r="F158" s="9"/>
      <c r="G158" s="8"/>
      <c r="H158" s="8"/>
      <c r="I158" s="9"/>
      <c r="J158" s="8"/>
      <c r="K158" s="8"/>
      <c r="L158" s="8"/>
    </row>
    <row r="159" spans="1:12" ht="14.45">
      <c r="A159" s="8"/>
      <c r="B159" s="13"/>
      <c r="C159" s="8"/>
      <c r="D159" s="8"/>
      <c r="E159" s="8"/>
      <c r="F159" s="9"/>
      <c r="G159" s="8"/>
      <c r="H159" s="8"/>
      <c r="I159" s="9"/>
      <c r="J159" s="8"/>
      <c r="K159" s="8"/>
      <c r="L159" s="8"/>
    </row>
    <row r="160" spans="1:12" ht="14.45">
      <c r="A160" s="8"/>
      <c r="B160" s="13"/>
      <c r="C160" s="8"/>
      <c r="D160" s="8"/>
      <c r="E160" s="8"/>
      <c r="F160" s="9"/>
      <c r="G160" s="8"/>
      <c r="H160" s="8"/>
      <c r="I160" s="9"/>
      <c r="J160" s="8"/>
      <c r="K160" s="8"/>
      <c r="L160" s="8"/>
    </row>
    <row r="161" spans="1:12" ht="14.45">
      <c r="A161" s="8"/>
      <c r="B161" s="13"/>
      <c r="C161" s="8"/>
      <c r="D161" s="8"/>
      <c r="E161" s="8"/>
      <c r="F161" s="9"/>
      <c r="G161" s="8"/>
      <c r="H161" s="8"/>
      <c r="I161" s="9"/>
      <c r="J161" s="8"/>
      <c r="K161" s="8"/>
      <c r="L161" s="8"/>
    </row>
    <row r="162" spans="1:12" ht="14.45">
      <c r="A162" s="8"/>
      <c r="B162" s="13"/>
      <c r="C162" s="8"/>
      <c r="D162" s="8"/>
      <c r="E162" s="8"/>
      <c r="F162" s="9"/>
      <c r="G162" s="8"/>
      <c r="H162" s="8"/>
      <c r="I162" s="9"/>
      <c r="J162" s="8"/>
      <c r="K162" s="8"/>
      <c r="L162" s="8"/>
    </row>
    <row r="163" spans="1:12" ht="14.45">
      <c r="A163" s="8"/>
      <c r="B163" s="13"/>
      <c r="C163" s="8"/>
      <c r="D163" s="8"/>
      <c r="E163" s="8"/>
      <c r="F163" s="9"/>
      <c r="G163" s="8"/>
      <c r="H163" s="8"/>
      <c r="I163" s="9"/>
      <c r="J163" s="8"/>
      <c r="K163" s="8"/>
      <c r="L163" s="8"/>
    </row>
    <row r="164" spans="1:12" ht="14.45">
      <c r="A164" s="8"/>
      <c r="B164" s="13"/>
      <c r="C164" s="8"/>
      <c r="D164" s="8"/>
      <c r="E164" s="8"/>
      <c r="F164" s="9"/>
      <c r="G164" s="8"/>
      <c r="H164" s="8"/>
      <c r="I164" s="9"/>
      <c r="J164" s="8"/>
      <c r="K164" s="8"/>
      <c r="L164" s="8"/>
    </row>
    <row r="165" spans="1:12" ht="14.45">
      <c r="A165" s="8"/>
      <c r="B165" s="13"/>
      <c r="C165" s="8"/>
      <c r="D165" s="8"/>
      <c r="E165" s="8"/>
      <c r="F165" s="9"/>
      <c r="G165" s="8"/>
      <c r="H165" s="8"/>
      <c r="I165" s="9"/>
      <c r="J165" s="8"/>
      <c r="K165" s="8"/>
      <c r="L165" s="8"/>
    </row>
    <row r="166" spans="1:12" ht="14.45">
      <c r="A166" s="8"/>
      <c r="B166" s="13"/>
      <c r="C166" s="8"/>
      <c r="D166" s="8"/>
      <c r="E166" s="8"/>
      <c r="F166" s="9"/>
      <c r="G166" s="8"/>
      <c r="H166" s="8"/>
      <c r="I166" s="9"/>
      <c r="J166" s="8"/>
      <c r="K166" s="8"/>
      <c r="L166" s="8"/>
    </row>
    <row r="167" spans="1:12" ht="14.45">
      <c r="A167" s="8"/>
      <c r="B167" s="13"/>
      <c r="C167" s="8"/>
      <c r="D167" s="8"/>
      <c r="E167" s="8"/>
      <c r="F167" s="9"/>
      <c r="G167" s="8"/>
      <c r="H167" s="8"/>
      <c r="I167" s="9"/>
      <c r="J167" s="8"/>
      <c r="K167" s="8"/>
      <c r="L167" s="8"/>
    </row>
    <row r="168" spans="1:12" ht="14.45">
      <c r="A168" s="8"/>
      <c r="B168" s="13"/>
      <c r="C168" s="8"/>
      <c r="D168" s="8"/>
      <c r="E168" s="8"/>
      <c r="F168" s="9"/>
      <c r="G168" s="8"/>
      <c r="H168" s="8"/>
      <c r="I168" s="9"/>
      <c r="J168" s="8"/>
      <c r="K168" s="8"/>
      <c r="L168" s="8"/>
    </row>
    <row r="169" spans="1:12" ht="14.45">
      <c r="A169" s="8"/>
      <c r="B169" s="13"/>
      <c r="C169" s="8"/>
      <c r="D169" s="8"/>
      <c r="E169" s="8"/>
      <c r="F169" s="9"/>
      <c r="G169" s="8"/>
      <c r="H169" s="8"/>
      <c r="I169" s="9"/>
      <c r="J169" s="8"/>
      <c r="K169" s="8"/>
      <c r="L169" s="8"/>
    </row>
    <row r="170" spans="1:12" ht="14.45">
      <c r="A170" s="8"/>
      <c r="B170" s="13"/>
      <c r="C170" s="8"/>
      <c r="D170" s="8"/>
      <c r="E170" s="8"/>
      <c r="F170" s="9"/>
      <c r="G170" s="8"/>
      <c r="H170" s="8"/>
      <c r="I170" s="9"/>
      <c r="J170" s="8"/>
      <c r="K170" s="8"/>
      <c r="L170" s="8"/>
    </row>
    <row r="171" spans="1:12" ht="14.45">
      <c r="A171" s="8"/>
      <c r="B171" s="13"/>
      <c r="C171" s="8"/>
      <c r="D171" s="8"/>
      <c r="E171" s="8"/>
      <c r="F171" s="9"/>
      <c r="G171" s="8"/>
      <c r="H171" s="8"/>
      <c r="I171" s="9"/>
      <c r="J171" s="8"/>
      <c r="K171" s="8"/>
      <c r="L171" s="8"/>
    </row>
    <row r="172" spans="1:12" ht="14.45">
      <c r="A172" s="8"/>
      <c r="B172" s="13"/>
      <c r="C172" s="8"/>
      <c r="D172" s="8"/>
      <c r="E172" s="8"/>
      <c r="F172" s="9"/>
      <c r="G172" s="8"/>
      <c r="H172" s="8"/>
      <c r="I172" s="9"/>
      <c r="J172" s="8"/>
      <c r="K172" s="8"/>
      <c r="L172" s="8"/>
    </row>
    <row r="173" spans="1:12" ht="14.45">
      <c r="A173" s="8"/>
      <c r="B173" s="13"/>
      <c r="C173" s="8"/>
      <c r="D173" s="8"/>
      <c r="E173" s="8"/>
      <c r="F173" s="9"/>
      <c r="G173" s="8"/>
      <c r="H173" s="8"/>
      <c r="I173" s="9"/>
      <c r="J173" s="8"/>
      <c r="K173" s="8"/>
      <c r="L173" s="8"/>
    </row>
    <row r="174" spans="1:12" ht="14.45">
      <c r="A174" s="8"/>
      <c r="B174" s="13"/>
      <c r="C174" s="8"/>
      <c r="D174" s="8"/>
      <c r="E174" s="8"/>
      <c r="F174" s="9"/>
      <c r="G174" s="8"/>
      <c r="H174" s="8"/>
      <c r="I174" s="9"/>
      <c r="J174" s="8"/>
      <c r="K174" s="8"/>
      <c r="L174" s="8"/>
    </row>
    <row r="175" spans="1:12" ht="14.45">
      <c r="A175" s="8"/>
      <c r="B175" s="13"/>
      <c r="C175" s="8"/>
      <c r="D175" s="8"/>
      <c r="E175" s="8"/>
      <c r="F175" s="9"/>
      <c r="G175" s="8"/>
      <c r="H175" s="8"/>
      <c r="I175" s="9"/>
      <c r="J175" s="8"/>
      <c r="K175" s="8"/>
      <c r="L175" s="8"/>
    </row>
    <row r="176" spans="1:12" ht="14.45">
      <c r="A176" s="8"/>
      <c r="B176" s="13"/>
      <c r="C176" s="8"/>
      <c r="D176" s="8"/>
      <c r="E176" s="8"/>
      <c r="F176" s="9"/>
      <c r="G176" s="8"/>
      <c r="H176" s="8"/>
      <c r="I176" s="9"/>
      <c r="J176" s="8"/>
      <c r="K176" s="8"/>
      <c r="L176" s="8"/>
    </row>
    <row r="177" spans="1:12" ht="14.45">
      <c r="A177" s="8"/>
      <c r="B177" s="13"/>
      <c r="C177" s="8"/>
      <c r="D177" s="8"/>
      <c r="E177" s="8"/>
      <c r="F177" s="9"/>
      <c r="G177" s="8"/>
      <c r="H177" s="8"/>
      <c r="I177" s="9"/>
      <c r="J177" s="8"/>
      <c r="K177" s="8"/>
      <c r="L177" s="8"/>
    </row>
    <row r="178" spans="1:12" ht="14.45">
      <c r="A178" s="8"/>
      <c r="B178" s="13"/>
      <c r="C178" s="8"/>
      <c r="D178" s="8"/>
      <c r="E178" s="8"/>
      <c r="F178" s="9"/>
      <c r="G178" s="8"/>
      <c r="H178" s="8"/>
      <c r="I178" s="9"/>
      <c r="J178" s="8"/>
      <c r="K178" s="8"/>
      <c r="L178" s="8"/>
    </row>
    <row r="179" spans="1:12" ht="14.45">
      <c r="A179" s="8"/>
      <c r="B179" s="13"/>
      <c r="C179" s="8"/>
      <c r="D179" s="8"/>
      <c r="E179" s="8"/>
      <c r="F179" s="9"/>
      <c r="G179" s="8"/>
      <c r="H179" s="8"/>
      <c r="I179" s="9"/>
      <c r="J179" s="8"/>
      <c r="K179" s="8"/>
      <c r="L179" s="8"/>
    </row>
    <row r="180" spans="1:12" ht="14.45">
      <c r="A180" s="8"/>
      <c r="B180" s="13"/>
      <c r="C180" s="8"/>
      <c r="D180" s="8"/>
      <c r="E180" s="8"/>
      <c r="F180" s="9"/>
      <c r="G180" s="8"/>
      <c r="H180" s="8"/>
      <c r="I180" s="9"/>
      <c r="J180" s="8"/>
      <c r="K180" s="8"/>
      <c r="L180" s="8"/>
    </row>
    <row r="181" spans="1:12" ht="14.45">
      <c r="A181" s="8"/>
      <c r="B181" s="13"/>
      <c r="C181" s="8"/>
      <c r="D181" s="8"/>
      <c r="E181" s="8"/>
      <c r="F181" s="9"/>
      <c r="G181" s="8"/>
      <c r="H181" s="8"/>
      <c r="I181" s="9"/>
      <c r="J181" s="8"/>
      <c r="K181" s="8"/>
      <c r="L181" s="8"/>
    </row>
    <row r="182" spans="1:12" ht="14.45">
      <c r="A182" s="8"/>
      <c r="B182" s="13"/>
      <c r="C182" s="8"/>
      <c r="D182" s="8"/>
      <c r="E182" s="8"/>
      <c r="F182" s="9"/>
      <c r="G182" s="8"/>
      <c r="H182" s="8"/>
      <c r="I182" s="9"/>
      <c r="J182" s="8"/>
      <c r="K182" s="8"/>
      <c r="L182" s="8"/>
    </row>
    <row r="183" spans="1:12" ht="14.45">
      <c r="A183" s="8"/>
      <c r="B183" s="13"/>
      <c r="C183" s="8"/>
      <c r="D183" s="8"/>
      <c r="E183" s="8"/>
      <c r="F183" s="9"/>
      <c r="G183" s="8"/>
      <c r="H183" s="8"/>
      <c r="I183" s="9"/>
      <c r="J183" s="8"/>
      <c r="K183" s="8"/>
      <c r="L183" s="8"/>
    </row>
    <row r="184" spans="1:12" ht="14.45">
      <c r="A184" s="8"/>
      <c r="B184" s="13"/>
      <c r="C184" s="8"/>
      <c r="D184" s="8"/>
      <c r="E184" s="8"/>
      <c r="F184" s="9"/>
      <c r="G184" s="8"/>
      <c r="H184" s="8"/>
      <c r="I184" s="9"/>
      <c r="J184" s="8"/>
      <c r="K184" s="8"/>
      <c r="L184" s="8"/>
    </row>
    <row r="185" spans="1:12" ht="14.45">
      <c r="A185" s="8"/>
      <c r="B185" s="13"/>
      <c r="C185" s="8"/>
      <c r="D185" s="8"/>
      <c r="E185" s="8"/>
      <c r="F185" s="9"/>
      <c r="G185" s="8"/>
      <c r="H185" s="8"/>
      <c r="I185" s="9"/>
      <c r="J185" s="8"/>
      <c r="K185" s="8"/>
      <c r="L185" s="8"/>
    </row>
    <row r="186" spans="1:12" ht="14.45">
      <c r="A186" s="8"/>
      <c r="B186" s="13"/>
      <c r="C186" s="8"/>
      <c r="D186" s="8"/>
      <c r="E186" s="8"/>
      <c r="F186" s="9"/>
      <c r="G186" s="8"/>
      <c r="H186" s="8"/>
      <c r="I186" s="9"/>
      <c r="J186" s="8"/>
      <c r="K186" s="8"/>
      <c r="L186" s="8"/>
    </row>
    <row r="187" spans="1:12" ht="14.45">
      <c r="A187" s="8"/>
      <c r="B187" s="13"/>
      <c r="C187" s="8"/>
      <c r="D187" s="8"/>
      <c r="E187" s="8"/>
      <c r="F187" s="9"/>
      <c r="G187" s="8"/>
      <c r="H187" s="8"/>
      <c r="I187" s="9"/>
      <c r="J187" s="8"/>
      <c r="K187" s="8"/>
      <c r="L187" s="8"/>
    </row>
    <row r="188" spans="1:12" ht="14.45">
      <c r="A188" s="8"/>
      <c r="B188" s="13"/>
      <c r="C188" s="8"/>
      <c r="D188" s="8"/>
      <c r="E188" s="8"/>
      <c r="F188" s="9"/>
      <c r="G188" s="8"/>
      <c r="H188" s="8"/>
      <c r="I188" s="9"/>
      <c r="J188" s="8"/>
      <c r="K188" s="8"/>
      <c r="L188" s="8"/>
    </row>
    <row r="189" spans="1:12" ht="14.45">
      <c r="A189" s="8"/>
      <c r="B189" s="13"/>
      <c r="C189" s="8"/>
      <c r="D189" s="8"/>
      <c r="E189" s="8"/>
      <c r="F189" s="9"/>
      <c r="G189" s="8"/>
      <c r="H189" s="8"/>
      <c r="I189" s="9"/>
      <c r="J189" s="8"/>
      <c r="K189" s="8"/>
      <c r="L189" s="8"/>
    </row>
    <row r="190" spans="1:12" ht="14.45">
      <c r="A190" s="8"/>
      <c r="B190" s="13"/>
      <c r="C190" s="8"/>
      <c r="D190" s="8"/>
      <c r="E190" s="8"/>
      <c r="F190" s="9"/>
      <c r="G190" s="8"/>
      <c r="H190" s="8"/>
      <c r="I190" s="9"/>
      <c r="J190" s="8"/>
      <c r="K190" s="8"/>
      <c r="L190" s="8"/>
    </row>
    <row r="191" spans="1:12" ht="14.45">
      <c r="A191" s="8"/>
      <c r="B191" s="13"/>
      <c r="C191" s="8"/>
      <c r="D191" s="8"/>
      <c r="E191" s="8"/>
      <c r="F191" s="9"/>
      <c r="G191" s="8"/>
      <c r="H191" s="8"/>
      <c r="I191" s="9"/>
      <c r="J191" s="8"/>
      <c r="K191" s="8"/>
      <c r="L191" s="8"/>
    </row>
    <row r="192" spans="1:12" ht="14.45">
      <c r="A192" s="8"/>
      <c r="B192" s="13"/>
      <c r="C192" s="8"/>
      <c r="D192" s="8"/>
      <c r="E192" s="8"/>
      <c r="F192" s="9"/>
      <c r="G192" s="8"/>
      <c r="H192" s="8"/>
      <c r="I192" s="9"/>
      <c r="J192" s="8"/>
      <c r="K192" s="8"/>
      <c r="L192" s="8"/>
    </row>
    <row r="193" spans="1:12" ht="14.45">
      <c r="A193" s="8"/>
      <c r="B193" s="13"/>
      <c r="C193" s="8"/>
      <c r="D193" s="8"/>
      <c r="E193" s="8"/>
      <c r="F193" s="9"/>
      <c r="G193" s="8"/>
      <c r="H193" s="8"/>
      <c r="I193" s="9"/>
      <c r="J193" s="8"/>
      <c r="K193" s="8"/>
      <c r="L193" s="8"/>
    </row>
    <row r="194" spans="1:12" ht="14.45">
      <c r="A194" s="8"/>
      <c r="B194" s="13"/>
      <c r="C194" s="8"/>
      <c r="D194" s="8"/>
      <c r="E194" s="8"/>
      <c r="F194" s="9"/>
      <c r="G194" s="8"/>
      <c r="H194" s="8"/>
      <c r="I194" s="9"/>
      <c r="J194" s="8"/>
      <c r="K194" s="8"/>
      <c r="L194" s="8"/>
    </row>
    <row r="195" spans="1:12" ht="14.45">
      <c r="A195" s="8"/>
      <c r="B195" s="13"/>
      <c r="C195" s="8"/>
      <c r="D195" s="8"/>
      <c r="E195" s="8"/>
      <c r="F195" s="9"/>
      <c r="G195" s="8"/>
      <c r="H195" s="8"/>
      <c r="I195" s="9"/>
      <c r="J195" s="8"/>
      <c r="K195" s="8"/>
      <c r="L195" s="8"/>
    </row>
    <row r="196" spans="1:12" ht="14.45">
      <c r="A196" s="8"/>
      <c r="B196" s="13"/>
      <c r="C196" s="8"/>
      <c r="D196" s="8"/>
      <c r="E196" s="8"/>
      <c r="F196" s="9"/>
      <c r="G196" s="8"/>
      <c r="H196" s="8"/>
      <c r="I196" s="9"/>
      <c r="J196" s="8"/>
      <c r="K196" s="8"/>
      <c r="L196" s="8"/>
    </row>
    <row r="197" spans="1:12" ht="14.45">
      <c r="A197" s="8"/>
      <c r="B197" s="13"/>
      <c r="C197" s="8"/>
      <c r="D197" s="8"/>
      <c r="E197" s="8"/>
      <c r="F197" s="9"/>
      <c r="G197" s="8"/>
      <c r="H197" s="8"/>
      <c r="I197" s="9"/>
      <c r="J197" s="8"/>
      <c r="K197" s="8"/>
      <c r="L197" s="8"/>
    </row>
    <row r="198" spans="1:12" ht="14.45">
      <c r="A198" s="8"/>
      <c r="B198" s="13"/>
      <c r="C198" s="8"/>
      <c r="D198" s="8"/>
      <c r="E198" s="8"/>
      <c r="F198" s="9"/>
      <c r="G198" s="8"/>
      <c r="H198" s="8"/>
      <c r="I198" s="9"/>
      <c r="J198" s="8"/>
      <c r="K198" s="8"/>
      <c r="L198" s="8"/>
    </row>
    <row r="199" spans="1:12" ht="14.45">
      <c r="A199" s="8"/>
      <c r="B199" s="13"/>
      <c r="C199" s="8"/>
      <c r="D199" s="8"/>
      <c r="E199" s="8"/>
      <c r="F199" s="9"/>
      <c r="G199" s="8"/>
      <c r="H199" s="8"/>
      <c r="I199" s="9"/>
      <c r="J199" s="8"/>
      <c r="K199" s="8"/>
      <c r="L199" s="8"/>
    </row>
    <row r="200" spans="1:12" ht="14.45">
      <c r="A200" s="8"/>
      <c r="B200" s="13"/>
      <c r="C200" s="8"/>
      <c r="D200" s="8"/>
      <c r="E200" s="8"/>
      <c r="F200" s="9"/>
      <c r="G200" s="8"/>
      <c r="H200" s="8"/>
      <c r="I200" s="9"/>
      <c r="J200" s="8"/>
      <c r="K200" s="8"/>
      <c r="L200" s="8"/>
    </row>
    <row r="201" spans="1:12" ht="14.45">
      <c r="A201" s="8"/>
      <c r="B201" s="13"/>
      <c r="C201" s="8"/>
      <c r="D201" s="8"/>
      <c r="E201" s="8"/>
      <c r="F201" s="9"/>
      <c r="G201" s="8"/>
      <c r="H201" s="8"/>
      <c r="I201" s="9"/>
      <c r="J201" s="8"/>
      <c r="K201" s="8"/>
      <c r="L201" s="8"/>
    </row>
    <row r="202" spans="1:12" ht="14.45">
      <c r="A202" s="8"/>
      <c r="B202" s="13"/>
      <c r="C202" s="8"/>
      <c r="D202" s="8"/>
      <c r="E202" s="8"/>
      <c r="F202" s="9"/>
      <c r="G202" s="8"/>
      <c r="H202" s="8"/>
      <c r="I202" s="9"/>
      <c r="J202" s="8"/>
      <c r="K202" s="8"/>
      <c r="L202" s="8"/>
    </row>
    <row r="203" spans="1:12" ht="14.45">
      <c r="A203" s="8"/>
      <c r="B203" s="13"/>
      <c r="C203" s="8"/>
      <c r="D203" s="8"/>
      <c r="E203" s="8"/>
      <c r="F203" s="9"/>
      <c r="G203" s="8"/>
      <c r="H203" s="8"/>
      <c r="I203" s="9"/>
      <c r="J203" s="8"/>
      <c r="K203" s="8"/>
      <c r="L203" s="8"/>
    </row>
    <row r="204" spans="1:12" ht="14.45">
      <c r="A204" s="8"/>
      <c r="B204" s="13"/>
      <c r="C204" s="8"/>
      <c r="D204" s="8"/>
      <c r="E204" s="8"/>
      <c r="F204" s="9"/>
      <c r="G204" s="8"/>
      <c r="H204" s="8"/>
      <c r="I204" s="9"/>
      <c r="J204" s="8"/>
      <c r="K204" s="8"/>
      <c r="L204" s="8"/>
    </row>
    <row r="205" spans="1:12" ht="14.45">
      <c r="A205" s="8"/>
      <c r="B205" s="13"/>
      <c r="C205" s="8"/>
      <c r="D205" s="8"/>
      <c r="E205" s="8"/>
      <c r="F205" s="9"/>
      <c r="G205" s="8"/>
      <c r="H205" s="8"/>
      <c r="I205" s="9"/>
      <c r="J205" s="8"/>
      <c r="K205" s="8"/>
      <c r="L205" s="8"/>
    </row>
    <row r="206" spans="1:12" ht="14.45">
      <c r="A206" s="8"/>
      <c r="B206" s="13"/>
      <c r="C206" s="8"/>
      <c r="D206" s="8"/>
      <c r="E206" s="8"/>
      <c r="F206" s="9"/>
      <c r="G206" s="8"/>
      <c r="H206" s="8"/>
      <c r="I206" s="9"/>
      <c r="J206" s="8"/>
      <c r="K206" s="8"/>
      <c r="L206" s="8"/>
    </row>
    <row r="207" spans="1:12" ht="14.45">
      <c r="A207" s="8"/>
      <c r="B207" s="13"/>
      <c r="C207" s="8"/>
      <c r="D207" s="8"/>
      <c r="E207" s="8"/>
      <c r="F207" s="9"/>
      <c r="G207" s="8"/>
      <c r="H207" s="8"/>
      <c r="I207" s="9"/>
      <c r="J207" s="8"/>
      <c r="K207" s="8"/>
      <c r="L207" s="8"/>
    </row>
    <row r="208" spans="1:12" ht="14.45">
      <c r="A208" s="8"/>
      <c r="B208" s="13"/>
      <c r="C208" s="8"/>
      <c r="D208" s="8"/>
      <c r="E208" s="8"/>
      <c r="F208" s="9"/>
      <c r="G208" s="8"/>
      <c r="H208" s="8"/>
      <c r="I208" s="9"/>
      <c r="J208" s="8"/>
      <c r="K208" s="8"/>
      <c r="L208" s="8"/>
    </row>
    <row r="209" spans="1:12" ht="14.45">
      <c r="A209" s="8"/>
      <c r="B209" s="13"/>
      <c r="C209" s="8"/>
      <c r="D209" s="8"/>
      <c r="E209" s="8"/>
      <c r="F209" s="9"/>
      <c r="G209" s="8"/>
      <c r="H209" s="8"/>
      <c r="I209" s="9"/>
      <c r="J209" s="8"/>
      <c r="K209" s="8"/>
      <c r="L209" s="8"/>
    </row>
    <row r="210" spans="1:12" ht="14.45">
      <c r="A210" s="8"/>
      <c r="B210" s="13"/>
      <c r="C210" s="8"/>
      <c r="D210" s="8"/>
      <c r="E210" s="8"/>
      <c r="F210" s="9"/>
      <c r="G210" s="8"/>
      <c r="H210" s="8"/>
      <c r="I210" s="9"/>
      <c r="J210" s="8"/>
      <c r="K210" s="8"/>
      <c r="L210" s="8"/>
    </row>
    <row r="211" spans="1:12" ht="14.45">
      <c r="A211" s="8"/>
      <c r="B211" s="13"/>
      <c r="C211" s="8"/>
      <c r="D211" s="8"/>
      <c r="E211" s="8"/>
      <c r="F211" s="9"/>
      <c r="G211" s="8"/>
      <c r="H211" s="8"/>
      <c r="I211" s="9"/>
      <c r="J211" s="8"/>
      <c r="K211" s="8"/>
      <c r="L211" s="8"/>
    </row>
    <row r="212" spans="1:12" ht="14.45">
      <c r="A212" s="8"/>
      <c r="B212" s="13"/>
      <c r="C212" s="8"/>
      <c r="D212" s="8"/>
      <c r="E212" s="8"/>
      <c r="F212" s="9"/>
      <c r="G212" s="8"/>
      <c r="H212" s="8"/>
      <c r="I212" s="9"/>
      <c r="J212" s="8"/>
      <c r="K212" s="8"/>
      <c r="L212" s="8"/>
    </row>
    <row r="213" spans="1:12" ht="14.45">
      <c r="A213" s="8"/>
      <c r="B213" s="13"/>
      <c r="C213" s="8"/>
      <c r="D213" s="8"/>
      <c r="E213" s="8"/>
      <c r="F213" s="9"/>
      <c r="G213" s="8"/>
      <c r="H213" s="8"/>
      <c r="I213" s="9"/>
      <c r="J213" s="8"/>
      <c r="K213" s="8"/>
      <c r="L213" s="8"/>
    </row>
    <row r="214" spans="1:12" ht="14.45">
      <c r="A214" s="8"/>
      <c r="B214" s="13"/>
      <c r="C214" s="8"/>
      <c r="D214" s="8"/>
      <c r="E214" s="8"/>
      <c r="F214" s="9"/>
      <c r="G214" s="8"/>
      <c r="H214" s="8"/>
      <c r="I214" s="9"/>
      <c r="J214" s="8"/>
      <c r="K214" s="8"/>
      <c r="L214" s="8"/>
    </row>
    <row r="215" spans="1:12" ht="14.45">
      <c r="A215" s="8"/>
      <c r="B215" s="13"/>
      <c r="C215" s="8"/>
      <c r="D215" s="8"/>
      <c r="E215" s="8"/>
      <c r="F215" s="9"/>
      <c r="G215" s="8"/>
      <c r="H215" s="8"/>
      <c r="I215" s="9"/>
      <c r="J215" s="8"/>
      <c r="K215" s="8"/>
      <c r="L215" s="8"/>
    </row>
    <row r="216" spans="1:12" ht="14.45">
      <c r="A216" s="8"/>
      <c r="B216" s="13"/>
      <c r="C216" s="8"/>
      <c r="D216" s="8"/>
      <c r="E216" s="8"/>
      <c r="F216" s="9"/>
      <c r="G216" s="8"/>
      <c r="H216" s="8"/>
      <c r="I216" s="9"/>
      <c r="J216" s="8"/>
      <c r="K216" s="8"/>
      <c r="L216" s="8"/>
    </row>
    <row r="217" spans="1:12" ht="14.45">
      <c r="A217" s="8"/>
      <c r="B217" s="13"/>
      <c r="C217" s="8"/>
      <c r="D217" s="8"/>
      <c r="E217" s="8"/>
      <c r="F217" s="9"/>
      <c r="G217" s="8"/>
      <c r="H217" s="8"/>
      <c r="I217" s="9"/>
      <c r="J217" s="8"/>
      <c r="K217" s="8"/>
      <c r="L217" s="8"/>
    </row>
    <row r="218" spans="1:12" ht="14.45">
      <c r="A218" s="8"/>
      <c r="B218" s="13"/>
      <c r="C218" s="8"/>
      <c r="D218" s="8"/>
      <c r="E218" s="8"/>
      <c r="F218" s="9"/>
      <c r="G218" s="8"/>
      <c r="H218" s="8"/>
      <c r="I218" s="9"/>
      <c r="J218" s="8"/>
      <c r="K218" s="8"/>
      <c r="L218" s="8"/>
    </row>
    <row r="219" spans="1:12" ht="14.45">
      <c r="A219" s="8"/>
      <c r="B219" s="13"/>
      <c r="C219" s="8"/>
      <c r="D219" s="8"/>
      <c r="E219" s="8"/>
      <c r="F219" s="9"/>
      <c r="G219" s="8"/>
      <c r="H219" s="8"/>
      <c r="I219" s="9"/>
      <c r="J219" s="8"/>
      <c r="K219" s="8"/>
      <c r="L219" s="8"/>
    </row>
    <row r="220" spans="1:12" ht="14.45">
      <c r="A220" s="8"/>
      <c r="B220" s="13"/>
      <c r="C220" s="8"/>
      <c r="D220" s="8"/>
      <c r="E220" s="8"/>
      <c r="F220" s="9"/>
      <c r="G220" s="8"/>
      <c r="H220" s="8"/>
      <c r="I220" s="9"/>
      <c r="J220" s="8"/>
      <c r="K220" s="8"/>
      <c r="L220" s="8"/>
    </row>
    <row r="221" spans="1:12" ht="14.45">
      <c r="A221" s="8"/>
      <c r="B221" s="13"/>
      <c r="C221" s="8"/>
      <c r="D221" s="8"/>
      <c r="E221" s="8"/>
      <c r="F221" s="9"/>
      <c r="G221" s="8"/>
      <c r="H221" s="8"/>
      <c r="I221" s="9"/>
      <c r="J221" s="8"/>
      <c r="K221" s="8"/>
      <c r="L221" s="8"/>
    </row>
    <row r="222" spans="1:12" ht="14.45">
      <c r="A222" s="8"/>
      <c r="B222" s="13"/>
      <c r="C222" s="8"/>
      <c r="D222" s="8"/>
      <c r="E222" s="8"/>
      <c r="F222" s="9"/>
      <c r="G222" s="8"/>
      <c r="H222" s="8"/>
      <c r="I222" s="9"/>
      <c r="J222" s="8"/>
      <c r="K222" s="8"/>
      <c r="L222" s="8"/>
    </row>
    <row r="223" spans="1:12" ht="14.45">
      <c r="A223" s="8"/>
      <c r="B223" s="13"/>
      <c r="C223" s="8"/>
      <c r="D223" s="8"/>
      <c r="E223" s="8"/>
      <c r="F223" s="9"/>
      <c r="G223" s="8"/>
      <c r="H223" s="8"/>
      <c r="I223" s="9"/>
      <c r="J223" s="8"/>
      <c r="K223" s="8"/>
      <c r="L223" s="8"/>
    </row>
    <row r="224" spans="1:12" ht="14.45">
      <c r="A224" s="8"/>
      <c r="B224" s="13"/>
      <c r="C224" s="8"/>
      <c r="D224" s="8"/>
      <c r="E224" s="8"/>
      <c r="F224" s="9"/>
      <c r="G224" s="8"/>
      <c r="H224" s="8"/>
      <c r="I224" s="9"/>
      <c r="J224" s="8"/>
      <c r="K224" s="8"/>
      <c r="L224" s="8"/>
    </row>
    <row r="225" spans="1:12" ht="14.45">
      <c r="A225" s="8"/>
      <c r="B225" s="13"/>
      <c r="C225" s="8"/>
      <c r="D225" s="8"/>
      <c r="E225" s="8"/>
      <c r="F225" s="9"/>
      <c r="G225" s="8"/>
      <c r="H225" s="8"/>
      <c r="I225" s="9"/>
      <c r="J225" s="8"/>
      <c r="K225" s="8"/>
      <c r="L225" s="8"/>
    </row>
    <row r="226" spans="1:12" ht="14.45">
      <c r="A226" s="8"/>
      <c r="B226" s="13"/>
      <c r="C226" s="8"/>
      <c r="D226" s="8"/>
      <c r="E226" s="8"/>
      <c r="F226" s="9"/>
      <c r="G226" s="8"/>
      <c r="H226" s="8"/>
      <c r="I226" s="9"/>
      <c r="J226" s="8"/>
      <c r="K226" s="8"/>
      <c r="L226" s="8"/>
    </row>
    <row r="227" spans="1:12" ht="14.45">
      <c r="A227" s="8"/>
      <c r="B227" s="13"/>
      <c r="C227" s="8"/>
      <c r="D227" s="8"/>
      <c r="E227" s="8"/>
      <c r="F227" s="9"/>
      <c r="G227" s="8"/>
      <c r="H227" s="8"/>
      <c r="I227" s="9"/>
      <c r="J227" s="8"/>
      <c r="K227" s="8"/>
      <c r="L227" s="8"/>
    </row>
    <row r="228" spans="1:12" ht="14.45">
      <c r="A228" s="8"/>
      <c r="B228" s="13"/>
      <c r="C228" s="8"/>
      <c r="D228" s="8"/>
      <c r="E228" s="8"/>
      <c r="F228" s="9"/>
      <c r="G228" s="8"/>
      <c r="H228" s="8"/>
      <c r="I228" s="9"/>
      <c r="J228" s="8"/>
      <c r="K228" s="8"/>
      <c r="L228" s="8"/>
    </row>
    <row r="229" spans="1:12" ht="14.45">
      <c r="A229" s="8"/>
      <c r="B229" s="13"/>
      <c r="C229" s="8"/>
      <c r="D229" s="8"/>
      <c r="E229" s="8"/>
      <c r="F229" s="9"/>
      <c r="G229" s="8"/>
      <c r="H229" s="8"/>
      <c r="I229" s="9"/>
      <c r="J229" s="8"/>
      <c r="K229" s="8"/>
      <c r="L229" s="8"/>
    </row>
    <row r="230" spans="1:12" ht="14.45">
      <c r="A230" s="8"/>
      <c r="B230" s="13"/>
      <c r="C230" s="8"/>
      <c r="D230" s="8"/>
      <c r="E230" s="8"/>
      <c r="F230" s="9"/>
      <c r="G230" s="8"/>
      <c r="H230" s="8"/>
      <c r="I230" s="9"/>
      <c r="J230" s="8"/>
      <c r="K230" s="8"/>
      <c r="L230" s="8"/>
    </row>
    <row r="231" spans="1:12" ht="14.45">
      <c r="A231" s="8"/>
      <c r="B231" s="13"/>
      <c r="C231" s="8"/>
      <c r="D231" s="8"/>
      <c r="E231" s="8"/>
      <c r="F231" s="9"/>
      <c r="G231" s="8"/>
      <c r="H231" s="8"/>
      <c r="I231" s="9"/>
      <c r="J231" s="8"/>
      <c r="K231" s="8"/>
      <c r="L231" s="8"/>
    </row>
    <row r="232" spans="1:12" ht="14.45">
      <c r="A232" s="8"/>
      <c r="B232" s="13"/>
      <c r="C232" s="8"/>
      <c r="D232" s="8"/>
      <c r="E232" s="8"/>
      <c r="F232" s="9"/>
      <c r="G232" s="8"/>
      <c r="H232" s="8"/>
      <c r="I232" s="9"/>
      <c r="J232" s="8"/>
      <c r="K232" s="8"/>
      <c r="L232" s="8"/>
    </row>
    <row r="233" spans="1:12" ht="14.45">
      <c r="A233" s="8"/>
      <c r="B233" s="13"/>
      <c r="C233" s="8"/>
      <c r="D233" s="8"/>
      <c r="E233" s="8"/>
      <c r="F233" s="9"/>
      <c r="G233" s="8"/>
      <c r="H233" s="8"/>
      <c r="I233" s="9"/>
      <c r="J233" s="8"/>
      <c r="K233" s="8"/>
      <c r="L233" s="8"/>
    </row>
    <row r="234" spans="1:12" ht="14.45">
      <c r="A234" s="8"/>
      <c r="B234" s="13"/>
      <c r="C234" s="8"/>
      <c r="D234" s="8"/>
      <c r="E234" s="8"/>
      <c r="F234" s="9"/>
      <c r="G234" s="8"/>
      <c r="H234" s="8"/>
      <c r="I234" s="9"/>
      <c r="J234" s="8"/>
      <c r="K234" s="8"/>
      <c r="L234" s="8"/>
    </row>
    <row r="235" spans="1:12" ht="14.45">
      <c r="A235" s="8"/>
      <c r="B235" s="13"/>
      <c r="C235" s="8"/>
      <c r="D235" s="8"/>
      <c r="E235" s="8"/>
      <c r="F235" s="9"/>
      <c r="G235" s="8"/>
      <c r="H235" s="8"/>
      <c r="I235" s="9"/>
      <c r="J235" s="8"/>
      <c r="K235" s="8"/>
      <c r="L235" s="8"/>
    </row>
    <row r="236" spans="1:12" ht="14.45">
      <c r="A236" s="8"/>
      <c r="B236" s="13"/>
      <c r="C236" s="8"/>
      <c r="D236" s="8"/>
      <c r="E236" s="8"/>
      <c r="F236" s="9"/>
      <c r="G236" s="8"/>
      <c r="H236" s="8"/>
      <c r="I236" s="9"/>
      <c r="J236" s="8"/>
      <c r="K236" s="8"/>
      <c r="L236" s="8"/>
    </row>
    <row r="237" spans="1:12" ht="14.45">
      <c r="A237" s="8"/>
      <c r="B237" s="13"/>
      <c r="C237" s="8"/>
      <c r="D237" s="8"/>
      <c r="E237" s="8"/>
      <c r="F237" s="9"/>
      <c r="G237" s="8"/>
      <c r="H237" s="8"/>
      <c r="I237" s="9"/>
      <c r="J237" s="8"/>
      <c r="K237" s="8"/>
      <c r="L237" s="8"/>
    </row>
    <row r="238" spans="1:12" ht="14.45">
      <c r="A238" s="8"/>
      <c r="B238" s="13"/>
      <c r="C238" s="8"/>
      <c r="D238" s="8"/>
      <c r="E238" s="8"/>
      <c r="F238" s="9"/>
      <c r="G238" s="8"/>
      <c r="H238" s="8"/>
      <c r="I238" s="9"/>
      <c r="J238" s="8"/>
      <c r="K238" s="8"/>
      <c r="L238" s="8"/>
    </row>
    <row r="239" spans="1:12" ht="14.45">
      <c r="A239" s="8"/>
      <c r="B239" s="13"/>
      <c r="C239" s="8"/>
      <c r="D239" s="8"/>
      <c r="E239" s="8"/>
      <c r="F239" s="9"/>
      <c r="G239" s="8"/>
      <c r="H239" s="8"/>
      <c r="I239" s="9"/>
      <c r="J239" s="8"/>
      <c r="K239" s="8"/>
      <c r="L239" s="8"/>
    </row>
    <row r="240" spans="1:12" ht="14.45">
      <c r="A240" s="8"/>
      <c r="B240" s="13"/>
      <c r="C240" s="8"/>
      <c r="D240" s="8"/>
      <c r="E240" s="8"/>
      <c r="F240" s="9"/>
      <c r="G240" s="8"/>
      <c r="H240" s="8"/>
      <c r="I240" s="9"/>
      <c r="J240" s="8"/>
      <c r="K240" s="8"/>
      <c r="L240" s="8"/>
    </row>
    <row r="241" spans="1:12" ht="14.45">
      <c r="A241" s="8"/>
      <c r="B241" s="13"/>
      <c r="C241" s="8"/>
      <c r="D241" s="8"/>
      <c r="E241" s="8"/>
      <c r="F241" s="9"/>
      <c r="G241" s="8"/>
      <c r="H241" s="8"/>
      <c r="I241" s="9"/>
      <c r="J241" s="8"/>
      <c r="K241" s="8"/>
      <c r="L241" s="8"/>
    </row>
    <row r="242" spans="1:12" ht="14.45">
      <c r="A242" s="8"/>
      <c r="B242" s="13"/>
      <c r="C242" s="8"/>
      <c r="D242" s="8"/>
      <c r="E242" s="8"/>
      <c r="F242" s="9"/>
      <c r="G242" s="8"/>
      <c r="H242" s="8"/>
      <c r="I242" s="9"/>
      <c r="J242" s="8"/>
      <c r="K242" s="8"/>
      <c r="L242" s="8"/>
    </row>
    <row r="243" spans="1:12" ht="14.45">
      <c r="A243" s="8"/>
      <c r="B243" s="13"/>
      <c r="C243" s="8"/>
      <c r="D243" s="8"/>
      <c r="E243" s="8"/>
      <c r="F243" s="9"/>
      <c r="G243" s="8"/>
      <c r="H243" s="8"/>
      <c r="I243" s="9"/>
      <c r="J243" s="8"/>
      <c r="K243" s="8"/>
      <c r="L243" s="8"/>
    </row>
    <row r="244" spans="1:12" ht="14.45">
      <c r="A244" s="8"/>
      <c r="B244" s="13"/>
      <c r="C244" s="8"/>
      <c r="D244" s="8"/>
      <c r="E244" s="8"/>
      <c r="F244" s="9"/>
      <c r="G244" s="8"/>
      <c r="H244" s="8"/>
      <c r="I244" s="9"/>
      <c r="J244" s="8"/>
      <c r="K244" s="8"/>
      <c r="L244" s="8"/>
    </row>
    <row r="245" spans="1:12" ht="14.45">
      <c r="A245" s="8"/>
      <c r="B245" s="13"/>
      <c r="C245" s="8"/>
      <c r="D245" s="8"/>
      <c r="E245" s="8"/>
      <c r="F245" s="9"/>
      <c r="G245" s="8"/>
      <c r="H245" s="8"/>
      <c r="I245" s="9"/>
      <c r="J245" s="8"/>
      <c r="K245" s="8"/>
      <c r="L245" s="8"/>
    </row>
    <row r="246" spans="1:12" ht="14.45">
      <c r="A246" s="8"/>
      <c r="B246" s="13"/>
      <c r="C246" s="8"/>
      <c r="D246" s="8"/>
      <c r="E246" s="8"/>
      <c r="F246" s="9"/>
      <c r="G246" s="8"/>
      <c r="H246" s="8"/>
      <c r="I246" s="9"/>
      <c r="J246" s="8"/>
      <c r="K246" s="8"/>
      <c r="L246" s="8"/>
    </row>
    <row r="247" spans="1:12" ht="14.45">
      <c r="A247" s="8"/>
      <c r="B247" s="13"/>
      <c r="C247" s="8"/>
      <c r="D247" s="8"/>
      <c r="E247" s="8"/>
      <c r="F247" s="9"/>
      <c r="G247" s="8"/>
      <c r="H247" s="8"/>
      <c r="I247" s="9"/>
      <c r="J247" s="8"/>
      <c r="K247" s="8"/>
      <c r="L247" s="8"/>
    </row>
    <row r="248" spans="1:12" ht="14.45">
      <c r="A248" s="8"/>
      <c r="B248" s="13"/>
      <c r="C248" s="8"/>
      <c r="D248" s="8"/>
      <c r="E248" s="8"/>
      <c r="F248" s="9"/>
      <c r="G248" s="8"/>
      <c r="H248" s="8"/>
      <c r="I248" s="9"/>
      <c r="J248" s="8"/>
      <c r="K248" s="8"/>
      <c r="L248" s="8"/>
    </row>
    <row r="249" spans="1:12" ht="14.45">
      <c r="A249" s="8"/>
      <c r="B249" s="13"/>
      <c r="C249" s="8"/>
      <c r="D249" s="8"/>
      <c r="E249" s="8"/>
      <c r="F249" s="9"/>
      <c r="G249" s="8"/>
      <c r="H249" s="8"/>
      <c r="I249" s="9"/>
      <c r="J249" s="8"/>
      <c r="K249" s="8"/>
      <c r="L249" s="8"/>
    </row>
    <row r="250" spans="1:12" ht="14.45">
      <c r="A250" s="8"/>
      <c r="B250" s="13"/>
      <c r="C250" s="8"/>
      <c r="D250" s="8"/>
      <c r="E250" s="8"/>
      <c r="F250" s="9"/>
      <c r="G250" s="8"/>
      <c r="H250" s="8"/>
      <c r="I250" s="9"/>
      <c r="J250" s="8"/>
      <c r="K250" s="8"/>
      <c r="L250" s="8"/>
    </row>
    <row r="251" spans="1:12" ht="14.45">
      <c r="A251" s="8"/>
      <c r="B251" s="13"/>
      <c r="C251" s="8"/>
      <c r="D251" s="8"/>
      <c r="E251" s="8"/>
      <c r="F251" s="9"/>
      <c r="G251" s="8"/>
      <c r="H251" s="8"/>
      <c r="I251" s="9"/>
      <c r="J251" s="8"/>
      <c r="K251" s="8"/>
      <c r="L251" s="8"/>
    </row>
    <row r="252" spans="1:12" ht="14.45">
      <c r="A252" s="8"/>
      <c r="B252" s="13"/>
      <c r="C252" s="8"/>
      <c r="D252" s="8"/>
      <c r="E252" s="8"/>
      <c r="F252" s="9"/>
      <c r="G252" s="8"/>
      <c r="H252" s="8"/>
      <c r="I252" s="9"/>
      <c r="J252" s="8"/>
      <c r="K252" s="8"/>
      <c r="L252" s="8"/>
    </row>
    <row r="253" spans="1:12" ht="14.45">
      <c r="A253" s="8"/>
      <c r="B253" s="13"/>
      <c r="C253" s="8"/>
      <c r="D253" s="8"/>
      <c r="E253" s="8"/>
      <c r="F253" s="9"/>
      <c r="G253" s="8"/>
      <c r="H253" s="8"/>
      <c r="I253" s="9"/>
      <c r="J253" s="8"/>
      <c r="K253" s="8"/>
      <c r="L253" s="8"/>
    </row>
    <row r="254" spans="1:12" ht="14.45">
      <c r="A254" s="8"/>
      <c r="B254" s="13"/>
      <c r="C254" s="8"/>
      <c r="D254" s="8"/>
      <c r="E254" s="8"/>
      <c r="F254" s="9"/>
      <c r="G254" s="8"/>
      <c r="H254" s="8"/>
      <c r="I254" s="9"/>
      <c r="J254" s="8"/>
      <c r="K254" s="8"/>
      <c r="L254" s="8"/>
    </row>
    <row r="255" spans="1:12" ht="14.45">
      <c r="A255" s="8"/>
      <c r="B255" s="13"/>
      <c r="C255" s="8"/>
      <c r="D255" s="8"/>
      <c r="E255" s="8"/>
      <c r="F255" s="9"/>
      <c r="G255" s="8"/>
      <c r="H255" s="8"/>
      <c r="I255" s="9"/>
      <c r="J255" s="8"/>
      <c r="K255" s="8"/>
      <c r="L255" s="8"/>
    </row>
    <row r="256" spans="1:12" ht="14.45">
      <c r="A256" s="8"/>
      <c r="B256" s="13"/>
      <c r="C256" s="8"/>
      <c r="D256" s="8"/>
      <c r="E256" s="8"/>
      <c r="F256" s="9"/>
      <c r="G256" s="8"/>
      <c r="H256" s="8"/>
      <c r="I256" s="9"/>
      <c r="J256" s="8"/>
      <c r="K256" s="8"/>
      <c r="L256" s="8"/>
    </row>
    <row r="257" spans="1:12" ht="14.45">
      <c r="A257" s="8"/>
      <c r="B257" s="13"/>
      <c r="C257" s="8"/>
      <c r="D257" s="8"/>
      <c r="E257" s="8"/>
      <c r="F257" s="9"/>
      <c r="G257" s="8"/>
      <c r="H257" s="8"/>
      <c r="I257" s="9"/>
      <c r="J257" s="8"/>
      <c r="K257" s="8"/>
      <c r="L257" s="8"/>
    </row>
    <row r="258" spans="1:12" ht="14.45">
      <c r="A258" s="8"/>
      <c r="B258" s="13"/>
      <c r="C258" s="8"/>
      <c r="D258" s="8"/>
      <c r="E258" s="8"/>
      <c r="F258" s="9"/>
      <c r="G258" s="8"/>
      <c r="H258" s="8"/>
      <c r="I258" s="9"/>
      <c r="J258" s="8"/>
      <c r="K258" s="8"/>
      <c r="L258" s="8"/>
    </row>
    <row r="259" spans="1:12" ht="14.45">
      <c r="A259" s="8"/>
      <c r="B259" s="13"/>
      <c r="C259" s="8"/>
      <c r="D259" s="8"/>
      <c r="E259" s="8"/>
      <c r="F259" s="9"/>
      <c r="G259" s="8"/>
      <c r="H259" s="8"/>
      <c r="I259" s="9"/>
      <c r="J259" s="8"/>
      <c r="K259" s="8"/>
      <c r="L259" s="8"/>
    </row>
    <row r="260" spans="1:12" ht="14.45">
      <c r="A260" s="8"/>
      <c r="B260" s="13"/>
      <c r="C260" s="8"/>
      <c r="D260" s="8"/>
      <c r="E260" s="8"/>
      <c r="F260" s="9"/>
      <c r="G260" s="8"/>
      <c r="H260" s="8"/>
      <c r="I260" s="9"/>
      <c r="J260" s="8"/>
      <c r="K260" s="8"/>
      <c r="L260" s="8"/>
    </row>
    <row r="261" spans="1:12" ht="14.45">
      <c r="A261" s="8"/>
      <c r="B261" s="13"/>
      <c r="C261" s="8"/>
      <c r="D261" s="8"/>
      <c r="E261" s="8"/>
      <c r="F261" s="9"/>
      <c r="G261" s="8"/>
      <c r="H261" s="8"/>
      <c r="I261" s="9"/>
      <c r="J261" s="8"/>
      <c r="K261" s="8"/>
      <c r="L261" s="8"/>
    </row>
    <row r="262" spans="1:12" ht="14.45">
      <c r="A262" s="8"/>
      <c r="B262" s="13"/>
      <c r="C262" s="8"/>
      <c r="D262" s="8"/>
      <c r="E262" s="8"/>
      <c r="F262" s="9"/>
      <c r="G262" s="8"/>
      <c r="H262" s="8"/>
      <c r="I262" s="9"/>
      <c r="J262" s="8"/>
      <c r="K262" s="8"/>
      <c r="L262" s="8"/>
    </row>
    <row r="263" spans="1:12" ht="14.45">
      <c r="A263" s="8"/>
      <c r="B263" s="13"/>
      <c r="C263" s="8"/>
      <c r="D263" s="8"/>
      <c r="E263" s="8"/>
      <c r="F263" s="9"/>
      <c r="G263" s="8"/>
      <c r="H263" s="8"/>
      <c r="I263" s="9"/>
      <c r="J263" s="8"/>
      <c r="K263" s="8"/>
      <c r="L263" s="8"/>
    </row>
    <row r="264" spans="1:12" ht="14.45">
      <c r="A264" s="8"/>
      <c r="B264" s="13"/>
      <c r="C264" s="8"/>
      <c r="D264" s="8"/>
      <c r="E264" s="8"/>
      <c r="F264" s="9"/>
      <c r="G264" s="8"/>
      <c r="H264" s="8"/>
      <c r="I264" s="9"/>
      <c r="J264" s="8"/>
      <c r="K264" s="8"/>
      <c r="L264" s="8"/>
    </row>
    <row r="265" spans="1:12" ht="14.45">
      <c r="A265" s="8"/>
      <c r="B265" s="13"/>
      <c r="C265" s="8"/>
      <c r="D265" s="8"/>
      <c r="E265" s="8"/>
      <c r="F265" s="9"/>
      <c r="G265" s="8"/>
      <c r="H265" s="8"/>
      <c r="I265" s="9"/>
      <c r="J265" s="8"/>
      <c r="K265" s="8"/>
      <c r="L265" s="8"/>
    </row>
    <row r="266" spans="1:12" ht="14.45">
      <c r="A266" s="8"/>
      <c r="B266" s="13"/>
      <c r="C266" s="8"/>
      <c r="D266" s="8"/>
      <c r="E266" s="8"/>
      <c r="F266" s="9"/>
      <c r="G266" s="8"/>
      <c r="H266" s="8"/>
      <c r="I266" s="9"/>
      <c r="J266" s="8"/>
      <c r="K266" s="8"/>
      <c r="L266" s="8"/>
    </row>
    <row r="267" spans="1:12" ht="14.45">
      <c r="A267" s="8"/>
      <c r="B267" s="13"/>
      <c r="C267" s="8"/>
      <c r="D267" s="8"/>
      <c r="E267" s="8"/>
      <c r="F267" s="9"/>
      <c r="G267" s="8"/>
      <c r="H267" s="8"/>
      <c r="I267" s="9"/>
      <c r="J267" s="8"/>
      <c r="K267" s="8"/>
      <c r="L267" s="8"/>
    </row>
    <row r="268" spans="1:12" ht="14.45">
      <c r="A268" s="8"/>
      <c r="B268" s="13"/>
      <c r="C268" s="8"/>
      <c r="D268" s="8"/>
      <c r="E268" s="8"/>
      <c r="F268" s="9"/>
      <c r="G268" s="8"/>
      <c r="H268" s="8"/>
      <c r="I268" s="9"/>
      <c r="J268" s="8"/>
      <c r="K268" s="8"/>
      <c r="L268" s="8"/>
    </row>
    <row r="269" spans="1:12" ht="14.45">
      <c r="A269" s="8"/>
      <c r="B269" s="13"/>
      <c r="C269" s="8"/>
      <c r="D269" s="8"/>
      <c r="E269" s="8"/>
      <c r="F269" s="9"/>
      <c r="G269" s="8"/>
      <c r="H269" s="8"/>
      <c r="I269" s="9"/>
      <c r="J269" s="8"/>
      <c r="K269" s="8"/>
      <c r="L269" s="8"/>
    </row>
    <row r="270" spans="1:12" ht="14.45">
      <c r="A270" s="8"/>
      <c r="B270" s="13"/>
      <c r="C270" s="8"/>
      <c r="D270" s="8"/>
      <c r="E270" s="8"/>
      <c r="F270" s="9"/>
      <c r="G270" s="8"/>
      <c r="H270" s="8"/>
      <c r="I270" s="9"/>
      <c r="J270" s="8"/>
      <c r="K270" s="8"/>
      <c r="L270" s="8"/>
    </row>
    <row r="271" spans="1:12" ht="14.45">
      <c r="A271" s="8"/>
      <c r="B271" s="13"/>
      <c r="C271" s="8"/>
      <c r="D271" s="8"/>
      <c r="E271" s="8"/>
      <c r="F271" s="9"/>
      <c r="G271" s="8"/>
      <c r="H271" s="8"/>
      <c r="I271" s="9"/>
      <c r="J271" s="8"/>
      <c r="K271" s="8"/>
      <c r="L271" s="8"/>
    </row>
    <row r="272" spans="1:12" ht="14.45">
      <c r="A272" s="8"/>
      <c r="B272" s="13"/>
      <c r="C272" s="8"/>
      <c r="D272" s="8"/>
      <c r="E272" s="8"/>
      <c r="F272" s="9"/>
      <c r="G272" s="8"/>
      <c r="H272" s="8"/>
      <c r="I272" s="9"/>
      <c r="J272" s="8"/>
      <c r="K272" s="8"/>
      <c r="L272" s="8"/>
    </row>
    <row r="273" spans="1:12" ht="14.45">
      <c r="A273" s="8"/>
      <c r="B273" s="13"/>
      <c r="C273" s="8"/>
      <c r="D273" s="8"/>
      <c r="E273" s="8"/>
      <c r="F273" s="9"/>
      <c r="G273" s="8"/>
      <c r="H273" s="8"/>
      <c r="I273" s="9"/>
      <c r="J273" s="8"/>
      <c r="K273" s="8"/>
      <c r="L273" s="8"/>
    </row>
    <row r="274" spans="1:12" ht="14.45">
      <c r="A274" s="8"/>
      <c r="B274" s="13"/>
      <c r="C274" s="8"/>
      <c r="D274" s="8"/>
      <c r="E274" s="8"/>
      <c r="F274" s="9"/>
      <c r="G274" s="8"/>
      <c r="H274" s="8"/>
      <c r="I274" s="9"/>
      <c r="J274" s="8"/>
      <c r="K274" s="8"/>
      <c r="L274" s="8"/>
    </row>
    <row r="275" spans="1:12" ht="14.45">
      <c r="A275" s="8"/>
      <c r="B275" s="13"/>
      <c r="C275" s="8"/>
      <c r="D275" s="8"/>
      <c r="E275" s="8"/>
      <c r="F275" s="9"/>
      <c r="G275" s="8"/>
      <c r="H275" s="8"/>
      <c r="I275" s="9"/>
      <c r="J275" s="8"/>
      <c r="K275" s="8"/>
      <c r="L275" s="8"/>
    </row>
    <row r="276" spans="1:12" ht="14.45">
      <c r="A276" s="8"/>
      <c r="B276" s="13"/>
      <c r="C276" s="8"/>
      <c r="D276" s="8"/>
      <c r="E276" s="8"/>
      <c r="F276" s="9"/>
      <c r="G276" s="8"/>
      <c r="H276" s="8"/>
      <c r="I276" s="9"/>
      <c r="J276" s="8"/>
      <c r="K276" s="8"/>
      <c r="L276" s="8"/>
    </row>
    <row r="277" spans="1:12" ht="14.45">
      <c r="A277" s="8"/>
      <c r="B277" s="13"/>
      <c r="C277" s="8"/>
      <c r="D277" s="8"/>
      <c r="E277" s="8"/>
      <c r="F277" s="9"/>
      <c r="G277" s="8"/>
      <c r="H277" s="8"/>
      <c r="I277" s="9"/>
      <c r="J277" s="8"/>
      <c r="K277" s="8"/>
      <c r="L277" s="8"/>
    </row>
    <row r="278" spans="1:12" ht="14.45">
      <c r="A278" s="8"/>
      <c r="B278" s="13"/>
      <c r="C278" s="8"/>
      <c r="D278" s="8"/>
      <c r="E278" s="8"/>
      <c r="F278" s="9"/>
      <c r="G278" s="8"/>
      <c r="H278" s="8"/>
      <c r="I278" s="9"/>
      <c r="J278" s="8"/>
      <c r="K278" s="8"/>
      <c r="L278" s="8"/>
    </row>
    <row r="279" spans="1:12" ht="14.45">
      <c r="A279" s="8"/>
      <c r="B279" s="13"/>
      <c r="C279" s="8"/>
      <c r="D279" s="8"/>
      <c r="E279" s="8"/>
      <c r="F279" s="9"/>
      <c r="G279" s="8"/>
      <c r="H279" s="8"/>
      <c r="I279" s="9"/>
      <c r="J279" s="8"/>
      <c r="K279" s="8"/>
      <c r="L279" s="8"/>
    </row>
    <row r="280" spans="1:12" ht="14.45">
      <c r="A280" s="8"/>
      <c r="B280" s="13"/>
      <c r="C280" s="8"/>
      <c r="D280" s="8"/>
      <c r="E280" s="8"/>
      <c r="F280" s="9"/>
      <c r="G280" s="8"/>
      <c r="H280" s="8"/>
      <c r="I280" s="9"/>
      <c r="J280" s="8"/>
      <c r="K280" s="8"/>
      <c r="L280" s="8"/>
    </row>
    <row r="281" spans="1:12" ht="14.45">
      <c r="A281" s="8"/>
      <c r="B281" s="13"/>
      <c r="C281" s="8"/>
      <c r="D281" s="8"/>
      <c r="E281" s="8"/>
      <c r="F281" s="9"/>
      <c r="G281" s="8"/>
      <c r="H281" s="8"/>
      <c r="I281" s="9"/>
      <c r="J281" s="8"/>
      <c r="K281" s="8"/>
      <c r="L281" s="8"/>
    </row>
    <row r="282" spans="1:12" ht="14.45">
      <c r="A282" s="8"/>
      <c r="B282" s="13"/>
      <c r="C282" s="8"/>
      <c r="D282" s="8"/>
      <c r="E282" s="8"/>
      <c r="F282" s="9"/>
      <c r="G282" s="8"/>
      <c r="H282" s="8"/>
      <c r="I282" s="9"/>
      <c r="J282" s="8"/>
      <c r="K282" s="8"/>
      <c r="L282" s="8"/>
    </row>
    <row r="283" spans="1:12" ht="14.45">
      <c r="A283" s="8"/>
      <c r="B283" s="13"/>
      <c r="C283" s="8"/>
      <c r="D283" s="8"/>
      <c r="E283" s="8"/>
      <c r="F283" s="9"/>
      <c r="G283" s="8"/>
      <c r="H283" s="8"/>
      <c r="I283" s="9"/>
      <c r="J283" s="8"/>
      <c r="K283" s="8"/>
      <c r="L283" s="8"/>
    </row>
    <row r="284" spans="1:12" ht="14.45">
      <c r="A284" s="8"/>
      <c r="B284" s="13"/>
      <c r="C284" s="8"/>
      <c r="D284" s="8"/>
      <c r="E284" s="8"/>
      <c r="F284" s="9"/>
      <c r="G284" s="8"/>
      <c r="H284" s="8"/>
      <c r="I284" s="9"/>
      <c r="J284" s="8"/>
      <c r="K284" s="8"/>
      <c r="L284" s="8"/>
    </row>
    <row r="285" spans="1:12" ht="14.45">
      <c r="A285" s="8"/>
      <c r="B285" s="13"/>
      <c r="C285" s="8"/>
      <c r="D285" s="8"/>
      <c r="E285" s="8"/>
      <c r="F285" s="9"/>
      <c r="G285" s="8"/>
      <c r="H285" s="8"/>
      <c r="I285" s="9"/>
      <c r="J285" s="8"/>
      <c r="K285" s="8"/>
      <c r="L285" s="8"/>
    </row>
    <row r="286" spans="1:12" ht="14.45">
      <c r="A286" s="8"/>
      <c r="B286" s="13"/>
      <c r="C286" s="8"/>
      <c r="D286" s="8"/>
      <c r="E286" s="8"/>
      <c r="F286" s="9"/>
      <c r="G286" s="8"/>
      <c r="H286" s="8"/>
      <c r="I286" s="9"/>
      <c r="J286" s="8"/>
      <c r="K286" s="8"/>
      <c r="L286" s="8"/>
    </row>
    <row r="287" spans="1:12" ht="14.45">
      <c r="A287" s="8"/>
      <c r="B287" s="13"/>
      <c r="C287" s="8"/>
      <c r="D287" s="8"/>
      <c r="E287" s="8"/>
      <c r="F287" s="9"/>
      <c r="G287" s="8"/>
      <c r="H287" s="8"/>
      <c r="I287" s="9"/>
      <c r="J287" s="8"/>
      <c r="K287" s="8"/>
      <c r="L287" s="8"/>
    </row>
    <row r="288" spans="1:12" ht="14.45">
      <c r="A288" s="8"/>
      <c r="B288" s="13"/>
      <c r="C288" s="8"/>
      <c r="D288" s="8"/>
      <c r="E288" s="8"/>
      <c r="F288" s="9"/>
      <c r="G288" s="8"/>
      <c r="H288" s="8"/>
      <c r="I288" s="9"/>
      <c r="J288" s="8"/>
      <c r="K288" s="8"/>
      <c r="L288" s="8"/>
    </row>
    <row r="289" spans="1:12" ht="14.45">
      <c r="A289" s="8"/>
      <c r="B289" s="13"/>
      <c r="C289" s="8"/>
      <c r="D289" s="8"/>
      <c r="E289" s="8"/>
      <c r="F289" s="9"/>
      <c r="G289" s="8"/>
      <c r="H289" s="8"/>
      <c r="I289" s="9"/>
      <c r="J289" s="8"/>
      <c r="K289" s="8"/>
      <c r="L289" s="8"/>
    </row>
    <row r="290" spans="1:12" ht="14.45">
      <c r="A290" s="8"/>
      <c r="B290" s="13"/>
      <c r="C290" s="8"/>
      <c r="D290" s="8"/>
      <c r="E290" s="8"/>
      <c r="F290" s="9"/>
      <c r="G290" s="8"/>
      <c r="H290" s="8"/>
      <c r="I290" s="9"/>
      <c r="J290" s="8"/>
      <c r="K290" s="8"/>
      <c r="L290" s="8"/>
    </row>
    <row r="291" spans="1:12" ht="14.45">
      <c r="A291" s="8"/>
      <c r="B291" s="13"/>
      <c r="C291" s="8"/>
      <c r="D291" s="8"/>
      <c r="E291" s="8"/>
      <c r="F291" s="9"/>
      <c r="G291" s="8"/>
      <c r="H291" s="8"/>
      <c r="I291" s="9"/>
      <c r="J291" s="8"/>
      <c r="K291" s="8"/>
      <c r="L291" s="8"/>
    </row>
    <row r="292" spans="1:12" ht="14.45">
      <c r="A292" s="8"/>
      <c r="B292" s="13"/>
      <c r="C292" s="8"/>
      <c r="D292" s="8"/>
      <c r="E292" s="8"/>
      <c r="F292" s="9"/>
      <c r="G292" s="8"/>
      <c r="H292" s="8"/>
      <c r="I292" s="9"/>
      <c r="J292" s="8"/>
      <c r="K292" s="8"/>
      <c r="L292" s="8"/>
    </row>
    <row r="293" spans="1:12" ht="14.45">
      <c r="A293" s="8"/>
      <c r="B293" s="13"/>
      <c r="C293" s="8"/>
      <c r="D293" s="8"/>
      <c r="E293" s="8"/>
      <c r="F293" s="9"/>
      <c r="G293" s="8"/>
      <c r="H293" s="8"/>
      <c r="I293" s="9"/>
      <c r="J293" s="8"/>
      <c r="K293" s="8"/>
      <c r="L293" s="8"/>
    </row>
    <row r="294" spans="1:12" ht="14.45">
      <c r="A294" s="8"/>
      <c r="B294" s="13"/>
      <c r="C294" s="8"/>
      <c r="D294" s="8"/>
      <c r="E294" s="8"/>
      <c r="F294" s="9"/>
      <c r="G294" s="8"/>
      <c r="H294" s="8"/>
      <c r="I294" s="9"/>
      <c r="J294" s="8"/>
      <c r="K294" s="8"/>
      <c r="L294" s="8"/>
    </row>
    <row r="295" spans="1:12" ht="14.45">
      <c r="A295" s="8"/>
      <c r="B295" s="13"/>
      <c r="C295" s="8"/>
      <c r="D295" s="8"/>
      <c r="E295" s="8"/>
      <c r="F295" s="9"/>
      <c r="G295" s="8"/>
      <c r="H295" s="8"/>
      <c r="I295" s="9"/>
      <c r="J295" s="8"/>
      <c r="K295" s="8"/>
      <c r="L295" s="8"/>
    </row>
    <row r="296" spans="1:12" ht="14.45">
      <c r="A296" s="8"/>
      <c r="B296" s="13"/>
      <c r="C296" s="8"/>
      <c r="D296" s="8"/>
      <c r="E296" s="8"/>
      <c r="F296" s="9"/>
      <c r="G296" s="8"/>
      <c r="H296" s="8"/>
      <c r="I296" s="9"/>
      <c r="J296" s="8"/>
      <c r="K296" s="8"/>
      <c r="L296" s="8"/>
    </row>
    <row r="297" spans="1:12" ht="14.45">
      <c r="A297" s="8"/>
      <c r="B297" s="13"/>
      <c r="C297" s="8"/>
      <c r="D297" s="8"/>
      <c r="E297" s="8"/>
      <c r="F297" s="9"/>
      <c r="G297" s="8"/>
      <c r="H297" s="8"/>
      <c r="I297" s="9"/>
      <c r="J297" s="8"/>
      <c r="K297" s="8"/>
      <c r="L297" s="8"/>
    </row>
    <row r="298" spans="1:12" ht="14.45">
      <c r="A298" s="8"/>
      <c r="B298" s="13"/>
      <c r="C298" s="8"/>
      <c r="D298" s="8"/>
      <c r="E298" s="8"/>
      <c r="F298" s="9"/>
      <c r="G298" s="8"/>
      <c r="H298" s="8"/>
      <c r="I298" s="9"/>
      <c r="J298" s="8"/>
      <c r="K298" s="8"/>
      <c r="L298" s="8"/>
    </row>
    <row r="299" spans="1:12" ht="14.45">
      <c r="A299" s="8"/>
      <c r="B299" s="13"/>
      <c r="C299" s="8"/>
      <c r="D299" s="8"/>
      <c r="E299" s="8"/>
      <c r="F299" s="9"/>
      <c r="G299" s="8"/>
      <c r="H299" s="8"/>
      <c r="I299" s="9"/>
      <c r="J299" s="8"/>
      <c r="K299" s="8"/>
      <c r="L299" s="8"/>
    </row>
    <row r="300" spans="1:12" ht="14.45">
      <c r="A300" s="8"/>
      <c r="B300" s="13"/>
      <c r="C300" s="8"/>
      <c r="D300" s="8"/>
      <c r="E300" s="8"/>
      <c r="F300" s="9"/>
      <c r="G300" s="8"/>
      <c r="H300" s="8"/>
      <c r="I300" s="9"/>
      <c r="J300" s="8"/>
      <c r="K300" s="8"/>
      <c r="L300" s="8"/>
    </row>
    <row r="301" spans="1:12" ht="14.45">
      <c r="A301" s="8"/>
      <c r="B301" s="13"/>
      <c r="C301" s="8"/>
      <c r="D301" s="8"/>
      <c r="E301" s="8"/>
      <c r="F301" s="9"/>
      <c r="G301" s="8"/>
      <c r="H301" s="8"/>
      <c r="I301" s="9"/>
      <c r="J301" s="8"/>
      <c r="K301" s="8"/>
      <c r="L301" s="8"/>
    </row>
    <row r="302" spans="1:12" ht="14.45">
      <c r="A302" s="8"/>
      <c r="B302" s="13"/>
      <c r="C302" s="8"/>
      <c r="D302" s="8"/>
      <c r="E302" s="8"/>
      <c r="F302" s="9"/>
      <c r="G302" s="8"/>
      <c r="H302" s="8"/>
      <c r="I302" s="9"/>
      <c r="J302" s="8"/>
      <c r="K302" s="8"/>
      <c r="L302" s="8"/>
    </row>
    <row r="303" spans="1:12" ht="14.45">
      <c r="A303" s="8"/>
      <c r="B303" s="13"/>
      <c r="C303" s="8"/>
      <c r="D303" s="8"/>
      <c r="E303" s="8"/>
      <c r="F303" s="9"/>
      <c r="G303" s="8"/>
      <c r="H303" s="8"/>
      <c r="I303" s="9"/>
      <c r="J303" s="8"/>
      <c r="K303" s="8"/>
      <c r="L303" s="8"/>
    </row>
    <row r="304" spans="1:12" ht="14.45">
      <c r="A304" s="8"/>
      <c r="B304" s="13"/>
      <c r="C304" s="8"/>
      <c r="D304" s="8"/>
      <c r="E304" s="8"/>
      <c r="F304" s="9"/>
      <c r="G304" s="8"/>
      <c r="H304" s="8"/>
      <c r="I304" s="9"/>
      <c r="J304" s="8"/>
      <c r="K304" s="8"/>
      <c r="L304" s="8"/>
    </row>
    <row r="305" spans="1:12" ht="14.45">
      <c r="A305" s="8"/>
      <c r="B305" s="13"/>
      <c r="C305" s="8"/>
      <c r="D305" s="8"/>
      <c r="E305" s="8"/>
      <c r="F305" s="9"/>
      <c r="G305" s="8"/>
      <c r="H305" s="8"/>
      <c r="I305" s="9"/>
      <c r="J305" s="8"/>
      <c r="K305" s="8"/>
      <c r="L305" s="8"/>
    </row>
    <row r="306" spans="1:12" ht="14.45">
      <c r="A306" s="8"/>
      <c r="B306" s="13"/>
      <c r="C306" s="8"/>
      <c r="D306" s="8"/>
      <c r="E306" s="8"/>
      <c r="F306" s="9"/>
      <c r="G306" s="8"/>
      <c r="H306" s="8"/>
      <c r="I306" s="9"/>
      <c r="J306" s="8"/>
      <c r="K306" s="8"/>
      <c r="L306" s="8"/>
    </row>
    <row r="307" spans="1:12" ht="14.45">
      <c r="A307" s="8"/>
      <c r="B307" s="13"/>
      <c r="C307" s="8"/>
      <c r="D307" s="8"/>
      <c r="E307" s="8"/>
      <c r="F307" s="9"/>
      <c r="G307" s="8"/>
      <c r="H307" s="8"/>
      <c r="I307" s="9"/>
      <c r="J307" s="8"/>
      <c r="K307" s="8"/>
      <c r="L307" s="8"/>
    </row>
    <row r="308" spans="1:12" ht="14.45">
      <c r="A308" s="8"/>
      <c r="B308" s="13"/>
      <c r="C308" s="8"/>
      <c r="D308" s="8"/>
      <c r="E308" s="8"/>
      <c r="F308" s="9"/>
      <c r="G308" s="8"/>
      <c r="H308" s="8"/>
      <c r="I308" s="9"/>
      <c r="J308" s="8"/>
      <c r="K308" s="8"/>
      <c r="L308" s="8"/>
    </row>
    <row r="309" spans="1:12" ht="14.45">
      <c r="A309" s="8"/>
      <c r="B309" s="13"/>
      <c r="C309" s="8"/>
      <c r="D309" s="8"/>
      <c r="E309" s="8"/>
      <c r="F309" s="9"/>
      <c r="G309" s="8"/>
      <c r="H309" s="8"/>
      <c r="I309" s="9"/>
      <c r="J309" s="8"/>
      <c r="K309" s="8"/>
      <c r="L309" s="8"/>
    </row>
    <row r="310" spans="1:12" ht="14.45">
      <c r="A310" s="8"/>
      <c r="B310" s="13"/>
      <c r="C310" s="8"/>
      <c r="D310" s="8"/>
      <c r="E310" s="8"/>
      <c r="F310" s="9"/>
      <c r="G310" s="8"/>
      <c r="H310" s="8"/>
      <c r="I310" s="9"/>
      <c r="J310" s="8"/>
      <c r="K310" s="8"/>
      <c r="L310" s="8"/>
    </row>
    <row r="311" spans="1:12" ht="14.45">
      <c r="A311" s="8"/>
      <c r="B311" s="13"/>
      <c r="C311" s="8"/>
      <c r="D311" s="8"/>
      <c r="E311" s="8"/>
      <c r="F311" s="9"/>
      <c r="G311" s="8"/>
      <c r="H311" s="8"/>
      <c r="I311" s="9"/>
      <c r="J311" s="8"/>
      <c r="K311" s="8"/>
      <c r="L311" s="8"/>
    </row>
    <row r="312" spans="1:12" ht="14.45">
      <c r="A312" s="8"/>
      <c r="B312" s="13"/>
      <c r="C312" s="8"/>
      <c r="D312" s="8"/>
      <c r="E312" s="8"/>
      <c r="F312" s="9"/>
      <c r="G312" s="8"/>
      <c r="H312" s="8"/>
      <c r="I312" s="9"/>
      <c r="J312" s="8"/>
      <c r="K312" s="8"/>
      <c r="L312" s="8"/>
    </row>
    <row r="313" spans="1:12" ht="14.45">
      <c r="A313" s="8"/>
      <c r="B313" s="13"/>
      <c r="C313" s="8"/>
      <c r="D313" s="8"/>
      <c r="E313" s="8"/>
      <c r="F313" s="9"/>
      <c r="G313" s="8"/>
      <c r="H313" s="8"/>
      <c r="I313" s="9"/>
      <c r="J313" s="8"/>
      <c r="K313" s="8"/>
      <c r="L313" s="8"/>
    </row>
    <row r="314" spans="1:12" ht="14.45">
      <c r="A314" s="8"/>
      <c r="B314" s="13"/>
      <c r="C314" s="8"/>
      <c r="D314" s="8"/>
      <c r="E314" s="8"/>
      <c r="F314" s="9"/>
      <c r="G314" s="8"/>
      <c r="H314" s="8"/>
      <c r="I314" s="9"/>
      <c r="J314" s="8"/>
      <c r="K314" s="8"/>
      <c r="L314" s="8"/>
    </row>
    <row r="315" spans="1:12" ht="14.45">
      <c r="A315" s="8"/>
      <c r="B315" s="13"/>
      <c r="C315" s="8"/>
      <c r="D315" s="8"/>
      <c r="E315" s="8"/>
      <c r="F315" s="9"/>
      <c r="G315" s="8"/>
      <c r="H315" s="8"/>
      <c r="I315" s="9"/>
      <c r="J315" s="8"/>
      <c r="K315" s="8"/>
      <c r="L315" s="8"/>
    </row>
    <row r="316" spans="1:12" ht="14.45">
      <c r="A316" s="8"/>
      <c r="B316" s="13"/>
      <c r="C316" s="8"/>
      <c r="D316" s="8"/>
      <c r="E316" s="8"/>
      <c r="F316" s="9"/>
      <c r="G316" s="8"/>
      <c r="H316" s="8"/>
      <c r="I316" s="9"/>
      <c r="J316" s="8"/>
      <c r="K316" s="8"/>
      <c r="L316" s="8"/>
    </row>
    <row r="317" spans="1:12" ht="14.45">
      <c r="A317" s="8"/>
      <c r="B317" s="13"/>
      <c r="C317" s="8"/>
      <c r="D317" s="8"/>
      <c r="E317" s="8"/>
      <c r="F317" s="9"/>
      <c r="G317" s="8"/>
      <c r="H317" s="8"/>
      <c r="I317" s="9"/>
      <c r="J317" s="8"/>
      <c r="K317" s="8"/>
      <c r="L317" s="8"/>
    </row>
    <row r="318" spans="1:12" ht="14.45">
      <c r="A318" s="8"/>
      <c r="B318" s="13"/>
      <c r="C318" s="8"/>
      <c r="D318" s="8"/>
      <c r="E318" s="8"/>
      <c r="F318" s="9"/>
      <c r="G318" s="8"/>
      <c r="H318" s="8"/>
      <c r="I318" s="9"/>
      <c r="J318" s="8"/>
      <c r="K318" s="8"/>
      <c r="L318" s="8"/>
    </row>
    <row r="319" spans="1:12" ht="14.45">
      <c r="A319" s="8"/>
      <c r="B319" s="13"/>
      <c r="C319" s="8"/>
      <c r="D319" s="8"/>
      <c r="E319" s="8"/>
      <c r="F319" s="9"/>
      <c r="G319" s="8"/>
      <c r="H319" s="8"/>
      <c r="I319" s="9"/>
      <c r="J319" s="8"/>
      <c r="K319" s="8"/>
      <c r="L319" s="8"/>
    </row>
    <row r="320" spans="1:12" ht="14.45">
      <c r="A320" s="8"/>
      <c r="B320" s="13"/>
      <c r="C320" s="8"/>
      <c r="D320" s="8"/>
      <c r="E320" s="8"/>
      <c r="F320" s="9"/>
      <c r="G320" s="8"/>
      <c r="H320" s="8"/>
      <c r="I320" s="9"/>
      <c r="J320" s="8"/>
      <c r="K320" s="8"/>
      <c r="L320" s="8"/>
    </row>
    <row r="321" spans="1:12" ht="14.45">
      <c r="A321" s="8"/>
      <c r="B321" s="13"/>
      <c r="C321" s="8"/>
      <c r="D321" s="8"/>
      <c r="E321" s="8"/>
      <c r="F321" s="9"/>
      <c r="G321" s="8"/>
      <c r="H321" s="8"/>
      <c r="I321" s="9"/>
      <c r="J321" s="8"/>
      <c r="K321" s="8"/>
      <c r="L321" s="8"/>
    </row>
    <row r="322" spans="1:12" ht="14.45">
      <c r="A322" s="8"/>
      <c r="B322" s="13"/>
      <c r="C322" s="8"/>
      <c r="D322" s="8"/>
      <c r="E322" s="8"/>
      <c r="F322" s="9"/>
      <c r="G322" s="8"/>
      <c r="H322" s="8"/>
      <c r="I322" s="9"/>
      <c r="J322" s="8"/>
      <c r="K322" s="8"/>
      <c r="L322" s="8"/>
    </row>
    <row r="323" spans="1:12" ht="14.45">
      <c r="A323" s="8"/>
      <c r="B323" s="13"/>
      <c r="C323" s="8"/>
      <c r="D323" s="8"/>
      <c r="E323" s="8"/>
      <c r="F323" s="9"/>
      <c r="G323" s="8"/>
      <c r="H323" s="8"/>
      <c r="I323" s="9"/>
      <c r="J323" s="8"/>
      <c r="K323" s="8"/>
      <c r="L323" s="8"/>
    </row>
    <row r="324" spans="1:12" ht="14.45">
      <c r="A324" s="8"/>
      <c r="B324" s="13"/>
      <c r="C324" s="8"/>
      <c r="D324" s="8"/>
      <c r="E324" s="8"/>
      <c r="F324" s="9"/>
      <c r="G324" s="8"/>
      <c r="H324" s="8"/>
      <c r="I324" s="9"/>
      <c r="J324" s="8"/>
      <c r="K324" s="8"/>
      <c r="L324" s="8"/>
    </row>
    <row r="325" spans="1:12" ht="14.45">
      <c r="A325" s="8"/>
      <c r="B325" s="13"/>
      <c r="C325" s="8"/>
      <c r="D325" s="8"/>
      <c r="E325" s="8"/>
      <c r="F325" s="9"/>
      <c r="G325" s="8"/>
      <c r="H325" s="8"/>
      <c r="I325" s="9"/>
      <c r="J325" s="8"/>
      <c r="K325" s="8"/>
      <c r="L325" s="8"/>
    </row>
    <row r="326" spans="1:12" ht="14.45">
      <c r="C326" s="8"/>
      <c r="D326" s="8"/>
      <c r="E326" s="8"/>
      <c r="F326" s="9"/>
      <c r="G326" s="8"/>
      <c r="H326" s="8"/>
      <c r="I326" s="9"/>
      <c r="J326" s="8"/>
      <c r="K326" s="8"/>
      <c r="L326" s="8"/>
    </row>
  </sheetData>
  <mergeCells count="4">
    <mergeCell ref="G1:I1"/>
    <mergeCell ref="A1:C1"/>
    <mergeCell ref="D1:F1"/>
    <mergeCell ref="A2:B2"/>
  </mergeCells>
  <conditionalFormatting sqref="F2 I2 F4:F85 I4:I85">
    <cfRule type="cellIs" dxfId="6" priority="3" stopIfTrue="1" operator="lessThanOrEqual">
      <formula>-0.1</formula>
    </cfRule>
    <cfRule type="expression" dxfId="5" priority="4">
      <formula>AND(ISNUMBER(F2), F2&gt;=0.1)</formula>
    </cfRule>
  </conditionalFormatting>
  <hyperlinks>
    <hyperlink ref="K31" r:id="rId1" display="https://us3.assetplanner.com/service_request?ID=105973" xr:uid="{8B21711C-4449-408D-9954-5D89F6BE0B05}"/>
    <hyperlink ref="K4" r:id="rId2" display="https://us3.assetplanner.com/service_request?ID=110895" xr:uid="{51ACBC2B-164D-4FBF-8F83-0F344839EB9B}"/>
    <hyperlink ref="M4" r:id="rId3" display="https://us3.assetplanner.com/service_request?ID=099290" xr:uid="{CE18EF44-B1BE-4690-8ADC-1DF5F2D16427}"/>
    <hyperlink ref="K5" r:id="rId4" display="https://us3.assetplanner.com/service_request?ID=111394" xr:uid="{427AD8BD-3CFF-4502-B2D0-523DC74EAD0A}"/>
    <hyperlink ref="M5" r:id="rId5" display="https://us3.assetplanner.com/service_request?ID=107271" xr:uid="{CBB46519-CD6B-4408-86A3-40DEC2EE06B1}"/>
    <hyperlink ref="N5" r:id="rId6" display="https://us3.assetplanner.com/service_request?ID=105924" xr:uid="{8073E176-A84B-4ED4-B302-A578374EBA10}"/>
    <hyperlink ref="O5" r:id="rId7" display="https://us3.assetplanner.com/service_request?ID=105701" xr:uid="{B0542444-6E1D-416F-9CC5-EAA36989F7D6}"/>
    <hyperlink ref="K8" r:id="rId8" display="https://us3.assetplanner.com/service_request?ID=110899" xr:uid="{01D05E5E-B8AB-47AA-9830-8C02BE3E72CF}"/>
    <hyperlink ref="K9" r:id="rId9" display="https://us3.assetplanner.com/service_request?ID=110774" xr:uid="{5E8B11B8-8726-44EA-B6DA-2AEBC7007A0F}"/>
    <hyperlink ref="M9" r:id="rId10" display="https://us3.assetplanner.com/service_request?ID=110773" xr:uid="{BB62BD50-B2EF-4BE8-8DFE-9FDE406EF41F}"/>
    <hyperlink ref="K11" r:id="rId11" display="https://us3.assetplanner.com/service_request?ID=110400" xr:uid="{9A1B6978-3E7E-4471-96AC-98897E45FF07}"/>
    <hyperlink ref="K12" r:id="rId12" display="https://us3.assetplanner.com/service_request?ID=110401" xr:uid="{1B5E673C-8B49-4D21-81E2-0946D49EE998}"/>
    <hyperlink ref="M12" r:id="rId13" display="https://us3.assetplanner.com/service_request?ID=110720" xr:uid="{02B6CF54-B6F2-4B91-9C75-599B9871C9C1}"/>
    <hyperlink ref="K13" r:id="rId14" display="https://us3.assetplanner.com/service_request?ID=109506" xr:uid="{52268D70-F64D-4FCB-9546-358710BD56A5}"/>
    <hyperlink ref="K15" r:id="rId15" display="https://us3.assetplanner.com/service_request?ID=106831" xr:uid="{8CF52A3A-F911-40AA-8E14-F64A28B9CE5D}"/>
    <hyperlink ref="K16" r:id="rId16" display="https://us3.assetplanner.com/service_request?ID=103239" xr:uid="{73C6FE56-3634-4B46-ABED-FF9A57979738}"/>
    <hyperlink ref="K17" r:id="rId17" display="https://us3.assetplanner.com/service_request?ID=108705" xr:uid="{534DC6C3-ADDC-40D6-B212-A19E2C0F0C82}"/>
    <hyperlink ref="M17" r:id="rId18" display="https://us3.assetplanner.com/service_request?ID=109222" xr:uid="{C78FB47F-E055-4A48-B50E-77050F73E579}"/>
    <hyperlink ref="K19" r:id="rId19" display="https://us3.assetplanner.com/service_request?ID=098076" xr:uid="{201D750A-E7D5-4017-BD12-04B3459F6BD0}"/>
    <hyperlink ref="M19" r:id="rId20" display="https://us3.assetplanner.com/service_request?ID=110133" xr:uid="{3C1A3E14-74B8-4D1F-A2C9-2260EEBDF311}"/>
    <hyperlink ref="N19" r:id="rId21" display="https://us3.assetplanner.com/service_request?ID=107579" xr:uid="{D40DFFC3-2240-4516-9F29-209D808E7B98}"/>
    <hyperlink ref="O19" r:id="rId22" display="https://us3.assetplanner.com/service_request?ID=107791" xr:uid="{0546FCAB-B91E-4B21-B749-A7877801CC47}"/>
    <hyperlink ref="K20" r:id="rId23" display="https://us3.assetplanner.com/service_request?ID=108704" xr:uid="{6F3FDF95-A87E-456B-A18A-374B0F153AE9}"/>
    <hyperlink ref="M20" r:id="rId24" display="https://us3.assetplanner.com/service_request?ID=109491" xr:uid="{0F6D90BA-08AB-4AAD-BFF3-9D469D491A8B}"/>
    <hyperlink ref="K21" r:id="rId25" display="https://us3.assetplanner.com/service_request?ID=106483" xr:uid="{76A4CDA9-1351-4172-B175-984D07ED1453}"/>
    <hyperlink ref="M21" r:id="rId26" display="https://us3.assetplanner.com/service_request?ID=106514" xr:uid="{70C938C1-A705-4808-B5DA-90F9D2058310}"/>
    <hyperlink ref="N21" r:id="rId27" display="https://us3.assetplanner.com/service_request?ID=104354" xr:uid="{D1809F01-8108-44CE-8F30-DA3DD100EE67}"/>
    <hyperlink ref="O21" r:id="rId28" display="https://us3.assetplanner.com/service_request?ID=106806" xr:uid="{FE0198D3-A318-42F1-B2AA-D9874EAD4D09}"/>
    <hyperlink ref="P21" r:id="rId29" display="https://us3.assetplanner.com/service_request?ID=107509" xr:uid="{3176298C-3F40-42A5-854A-F39190A10BD4}"/>
    <hyperlink ref="K23" r:id="rId30" display="https://us3.assetplanner.com/service_request?ID=109147" xr:uid="{44047E54-882A-4F74-94F0-177A2AFD6D95}"/>
    <hyperlink ref="K24" r:id="rId31" display="https://us3.assetplanner.com/service_request?ID=111507" xr:uid="{4AE34CC6-083A-4A1D-9C9E-16720A3164EA}"/>
    <hyperlink ref="K25" r:id="rId32" display="https://us3.assetplanner.com/service_request?ID=105489" xr:uid="{3F446A8F-7631-450C-B0EB-BABCDC9D4D09}"/>
    <hyperlink ref="M25" r:id="rId33" display="https://us3.assetplanner.com/service_request?ID=110709" xr:uid="{02D26856-AFEF-4394-A127-F3A97380F179}"/>
    <hyperlink ref="N25" r:id="rId34" display="https://us3.assetplanner.com/service_request?ID=110275" xr:uid="{5CB06E4B-BCA8-4165-84A1-5AD67F3D704F}"/>
    <hyperlink ref="O25" r:id="rId35" display="https://us3.assetplanner.com/service_request?ID=110357" xr:uid="{8A045AA1-E19C-4841-A727-8570C8F86FEB}"/>
    <hyperlink ref="P25" r:id="rId36" display="https://us3.assetplanner.com/service_request?ID=111172" xr:uid="{4C557658-52AD-4EF5-93F7-336D2E8A5989}"/>
    <hyperlink ref="K26" r:id="rId37" display="https://us3.assetplanner.com/service_request?ID=109814" xr:uid="{AB989210-7FEA-48F7-92A6-FE53BF52F279}"/>
    <hyperlink ref="M26" r:id="rId38" display="https://us3.assetplanner.com/service_request?ID=111366" xr:uid="{FC5FE3B4-82DC-4AEC-BE07-E3257E2B4D03}"/>
    <hyperlink ref="N26" r:id="rId39" display="https://us3.assetplanner.com/service_request?ID=111491" xr:uid="{A532A5FE-3B01-4343-9739-B6D7008CCA21}"/>
    <hyperlink ref="O26" r:id="rId40" display="https://us3.assetplanner.com/service_request?ID=111489" xr:uid="{9F0D0C97-ED7A-4CB2-871F-43DDF4EE22CC}"/>
    <hyperlink ref="K39" r:id="rId41" display="https://us3.assetplanner.com/service_request?ID=106082" xr:uid="{6333D4DF-B6A8-4111-B40A-CB650F5DAE81}"/>
    <hyperlink ref="M39" r:id="rId42" display="https://us3.assetplanner.com/service_request?ID=106056" xr:uid="{A0849D95-567B-401B-974E-FE777F3CB3E3}"/>
    <hyperlink ref="K40" r:id="rId43" display="https://us3.assetplanner.com/service_request?ID=111833" xr:uid="{A27E7AC3-47B1-4BEF-A6C3-8F166245D342}"/>
    <hyperlink ref="M40" r:id="rId44" display="https://us3.assetplanner.com/service_request?ID=101963" xr:uid="{84D55CD1-0AC1-4441-A724-E9B0E82BE529}"/>
    <hyperlink ref="K41" r:id="rId45" display="https://us3.assetplanner.com/service_request?ID=101818" xr:uid="{6C13227E-0C58-4E6F-A209-B05C4160A315}"/>
    <hyperlink ref="K42" r:id="rId46" display="https://us3.assetplanner.com/service_request?ID=111395" xr:uid="{E8DD2660-F54C-45B2-95A9-35711BA7AB1E}"/>
    <hyperlink ref="M42" r:id="rId47" display="https://us3.assetplanner.com/service_request?ID=101034" xr:uid="{516DA34E-237E-432D-ACE5-B32D032888C2}"/>
    <hyperlink ref="K43" r:id="rId48" display="https://us3.assetplanner.com/service_request?ID=101021" xr:uid="{0CBDAA1A-DDEC-4BCA-A114-0AE209E50CCE}"/>
    <hyperlink ref="K44" r:id="rId49" display="https://us3.assetplanner.com/service_request?ID=100915" xr:uid="{4097BF2E-7A5C-487C-9652-37E37E5702BA}"/>
    <hyperlink ref="M44" r:id="rId50" display="https://us3.assetplanner.com/service_request?ID=104930" xr:uid="{802332B2-2AC9-4298-9460-4129ACDF019D}"/>
    <hyperlink ref="K45" r:id="rId51" display="https://us3.assetplanner.com/service_request?ID=107802" xr:uid="{29818035-2AD1-4BE9-B50C-1C36FDFAEAD0}"/>
    <hyperlink ref="M45" r:id="rId52" display="https://us3.assetplanner.com/service_request?ID=108849" xr:uid="{7D7813EB-94A6-4EA5-9A60-CA7472C38416}"/>
    <hyperlink ref="N45" r:id="rId53" display="https://us3.assetplanner.com/service_request?ID=105366" xr:uid="{961A9272-B5D4-4FBD-B863-168886C2252D}"/>
    <hyperlink ref="K46" r:id="rId54" display="https://us3.assetplanner.com/service_request?ID=105192" xr:uid="{832BE8B4-1F13-4C8A-AA08-19DCAE064E28}"/>
    <hyperlink ref="M46" r:id="rId55" display="https://us3.assetplanner.com/service_request?ID=106435" xr:uid="{F92F9FB7-0BA6-47E6-9352-63E9B7D88565}"/>
    <hyperlink ref="N46" r:id="rId56" display="https://us3.assetplanner.com/service_request?ID=106650" xr:uid="{C4F75F5E-1EBC-4472-B3D6-6906C1837990}"/>
    <hyperlink ref="O46" r:id="rId57" display="https://us3.assetplanner.com/service_request?ID=111059" xr:uid="{3E0CE6B1-93D5-4FFC-BF8E-743F9935BF39}"/>
    <hyperlink ref="K47" r:id="rId58" display="https://us3.assetplanner.com/service_request?ID=102419" xr:uid="{19EFBD2E-C58D-4B3D-AB78-37A8E6803E15}"/>
    <hyperlink ref="M47" r:id="rId59" display="https://us3.assetplanner.com/service_request?ID=105494" xr:uid="{37F8379A-097A-4210-AAC7-FF3BE3985112}"/>
    <hyperlink ref="N47" r:id="rId60" display="https://us3.assetplanner.com/service_request?ID=107209" xr:uid="{9AD46BD0-6A41-4DD0-B2B7-ABFA34AEBCE8}"/>
    <hyperlink ref="K48" r:id="rId61" display="https://us3.assetplanner.com/service_request?ID=108846" xr:uid="{D1B27C3C-4B32-47C7-A1F8-E5813748EC2A}"/>
    <hyperlink ref="M48" r:id="rId62" display="https://us3.assetplanner.com/service_request?ID=109533" xr:uid="{735EE0D9-96E9-4E3F-ACCF-E405F96C857E}"/>
    <hyperlink ref="N48" r:id="rId63" display="https://us3.assetplanner.com/service_request?ID=102283" xr:uid="{1E340769-06D7-4A8C-9FDC-DFDE66453BC1}"/>
    <hyperlink ref="K49" r:id="rId64" display="https://us3.assetplanner.com/service_request?ID=102418" xr:uid="{B5A38521-8922-4C28-81E6-A5B0AE0F908A}"/>
    <hyperlink ref="K50" r:id="rId65" display="https://us3.assetplanner.com/service_request?ID=102416" xr:uid="{9FF575B4-C15E-425B-B06F-3D2B721C03BA}"/>
    <hyperlink ref="M50" r:id="rId66" display="https://us3.assetplanner.com/service_request?ID=105908" xr:uid="{1F5B81CB-0E02-4F8E-B188-A8F79C62A76A}"/>
    <hyperlink ref="K51" r:id="rId67" display="https://us3.assetplanner.com/service_request?ID=102392" xr:uid="{86B8C017-A604-49F2-9FE0-242AB4AEA29D}"/>
    <hyperlink ref="K52" r:id="rId68" display="https://us3.assetplanner.com/service_request?ID=102321" xr:uid="{664DCCC8-7A9F-4D3A-8550-27F0A3B5E996}"/>
    <hyperlink ref="M52" r:id="rId69" display="https://us3.assetplanner.com/service_request?ID=103636" xr:uid="{BF425384-C446-47CA-8F2B-E00082B998DC}"/>
    <hyperlink ref="N52" r:id="rId70" display="https://us3.assetplanner.com/service_request?ID=102539" xr:uid="{BCFB0BE0-9FEE-4FF5-AB3D-FF2B686F1F62}"/>
    <hyperlink ref="O52" r:id="rId71" display="https://us3.assetplanner.com/service_request?ID=104882" xr:uid="{3F8FC5D6-8A85-4F5D-9DE3-6F5AB38A5627}"/>
    <hyperlink ref="K53" r:id="rId72" display="https://us3.assetplanner.com/service_request?ID=102320" xr:uid="{2C64D561-8F35-4BC7-8FBC-5E91F8787D07}"/>
    <hyperlink ref="K54" r:id="rId73" display="https://us3.assetplanner.com/service_request?ID=102317" xr:uid="{1F8F6CB5-CC9A-46A1-B317-792CE51BEFD6}"/>
    <hyperlink ref="K55" r:id="rId74" display="https://us3.assetplanner.com/service_request?ID=108297" xr:uid="{1A1D03EF-C03E-4C7F-9761-DFC93B2EC82F}"/>
    <hyperlink ref="M55" r:id="rId75" display="https://us3.assetplanner.com/service_request?ID=108307" xr:uid="{B175937B-F7EE-4121-ADBA-84C5A6F86E99}"/>
    <hyperlink ref="N55" r:id="rId76" display="https://us3.assetplanner.com/service_request?ID=108307" xr:uid="{5A89EF81-4893-4E6F-8068-7A07A03572A3}"/>
    <hyperlink ref="O55" r:id="rId77" display="https://us3.assetplanner.com/service_request?ID=109599" xr:uid="{0A180173-5F89-4281-8CAB-681AE414D81B}"/>
    <hyperlink ref="K56" r:id="rId78" display="https://us3.assetplanner.com/service_request?ID=102286" xr:uid="{FB04A03C-63C7-477F-8DA6-3881C08E19BE}"/>
    <hyperlink ref="M56" r:id="rId79" display="https://us3.assetplanner.com/service_request?ID=111280" xr:uid="{B3B314F1-94FC-4502-B1B5-7157A3240C89}"/>
    <hyperlink ref="N56" r:id="rId80" display="https://us3.assetplanner.com/service_request?ID=107512" xr:uid="{336660A8-4F97-4F25-BE0A-9C0A9F1426ED}"/>
    <hyperlink ref="K57" r:id="rId81" display="https://us3.assetplanner.com/service_request?ID=102281" xr:uid="{7DAD3BF6-3D84-4D7A-B8A4-9D7179E44A68}"/>
    <hyperlink ref="K58" r:id="rId82" display="https://us3.assetplanner.com/service_request?ID=109629" xr:uid="{26A07A23-13B3-4222-9BA9-FD4D25043E0D}"/>
    <hyperlink ref="K59" r:id="rId83" display="https://us3.assetplanner.com/service_request?ID=101986" xr:uid="{C47CEBD1-8885-401F-85B0-DE7A65DB1399}"/>
    <hyperlink ref="M59" r:id="rId84" display="https://us3.assetplanner.com/service_request?ID=102503" xr:uid="{EB708967-3DEA-4DDB-993B-3F2C8226BC5C}"/>
    <hyperlink ref="K60" r:id="rId85" display="https://us3.assetplanner.com/service_request?ID=102451" xr:uid="{24B1854B-7A53-4E7D-97A7-5687794E3993}"/>
    <hyperlink ref="K61" r:id="rId86" display="https://us3.assetplanner.com/service_request?ID=102321" xr:uid="{0DE57449-47F3-4545-BE09-3EE8CA300335}"/>
    <hyperlink ref="M61" r:id="rId87" display="https://us3.assetplanner.com/service_request?ID=108902" xr:uid="{FDE2496D-8BDD-471A-9B99-0CEE63184BBF}"/>
    <hyperlink ref="N61" r:id="rId88" display="https://us3.assetplanner.com/service_request?ID=103636" xr:uid="{A067D833-86DC-4C92-AF5B-9B1F0144189B}"/>
    <hyperlink ref="O61" r:id="rId89" display="https://us3.assetplanner.com/service_request?ID=102539" xr:uid="{F963061B-6202-4054-A5E9-BE1A119BEC5A}"/>
    <hyperlink ref="P61" r:id="rId90" display="https://us3.assetplanner.com/service_request?ID=104882" xr:uid="{D481E9A6-827F-498A-A59B-53FABC59F7BB}"/>
    <hyperlink ref="K62" r:id="rId91" display="https://us3.assetplanner.com/service_request?ID=102329" xr:uid="{42D87E95-4F8B-4D23-9AFE-1C33EB5D378A}"/>
    <hyperlink ref="M62" r:id="rId92" display="https://us3.assetplanner.com/service_request?ID=108904" xr:uid="{7C4C109D-DE7D-439A-B26C-82F878C39ACD}"/>
    <hyperlink ref="N62" r:id="rId93" display="https://us3.assetplanner.com/service_request?ID=106828" xr:uid="{B82D7AF4-7307-470C-A3F3-CC5221DA5FEA}"/>
    <hyperlink ref="O62" r:id="rId94" display="https://us3.assetplanner.com/service_request?ID=109164" xr:uid="{39E44E60-5C86-4FE1-9A92-09514B1F77D9}"/>
    <hyperlink ref="K63" r:id="rId95" display="https://us3.assetplanner.com/service_request?ID=102303" xr:uid="{DBD711D0-8D72-4EC3-A2FC-1410778AA801}"/>
    <hyperlink ref="M63" r:id="rId96" display="https://us3.assetplanner.com/service_request?ID=111390" xr:uid="{4ECDDACE-C4A3-41FE-A822-5E3ADC524628}"/>
    <hyperlink ref="K64" r:id="rId97" display="https://us3.assetplanner.com/service_request?ID=102411" xr:uid="{8C594DA0-E7AE-4C89-952D-AECFF75902E6}"/>
    <hyperlink ref="K65" r:id="rId98" display="https://us3.assetplanner.com/service_request?ID=106531" xr:uid="{ACA18E98-DC96-4391-887C-AEC87C4F7382}"/>
    <hyperlink ref="M65" r:id="rId99" display="https://us3.assetplanner.com/service_request?ID=105917" xr:uid="{5788B608-FD84-4A3C-84F4-B44BD3194E8D}"/>
    <hyperlink ref="N65" r:id="rId100" display="https://us3.assetplanner.com/service_request?ID=111359" xr:uid="{DBE68FBB-F98C-4393-AAC0-A487DCEA3028}"/>
    <hyperlink ref="K66" r:id="rId101" display="https://us3.assetplanner.com/service_request?ID=108501" xr:uid="{986FF6AF-0DE7-44CF-B594-39A8F67EAF61}"/>
    <hyperlink ref="M66" r:id="rId102" display="https://us3.assetplanner.com/service_request?ID=107991" xr:uid="{E5F9AA86-8458-4E2A-8077-1F93381FACA1}"/>
    <hyperlink ref="N66" r:id="rId103" display="https://us3.assetplanner.com/service_request?ID=102310" xr:uid="{BA42CF79-CB69-4F1A-A035-CF5CD8687FFA}"/>
    <hyperlink ref="K67" r:id="rId104" display="https://us3.assetplanner.com/service_request?ID=104289" xr:uid="{87227BB9-212D-467F-B8C9-DAAD8E2260A8}"/>
    <hyperlink ref="K68" r:id="rId105" display="https://us3.assetplanner.com/service_request?ID=102450" xr:uid="{9A6AA52E-280A-4258-BCB6-11414717DE8B}"/>
    <hyperlink ref="M68" r:id="rId106" display="https://us3.assetplanner.com/service_request?ID=110375" xr:uid="{68EBFC78-7892-4D31-BC17-6FBB79C4CAD3}"/>
    <hyperlink ref="K69" r:id="rId107" display="https://us3.assetplanner.com/service_request?ID=102413" xr:uid="{B3371786-2387-4CAA-919A-D0384A43B930}"/>
    <hyperlink ref="M69" r:id="rId108" display="https://us3.assetplanner.com/service_request?ID=108898" xr:uid="{DB22DBA3-60DC-4CD9-8BEC-11A17B2FC246}"/>
    <hyperlink ref="K70" r:id="rId109" display="https://us3.assetplanner.com/service_request?ID=106842" xr:uid="{4A5CEEA5-EEBE-46AF-B0B3-3FA62F8102D4}"/>
    <hyperlink ref="M70" r:id="rId110" display="https://us3.assetplanner.com/service_request?ID=102425" xr:uid="{C0EF0E5D-7236-4407-A9DB-8A37EBBB417F}"/>
    <hyperlink ref="N70" r:id="rId111" display="https://us3.assetplanner.com/service_request?ID=106842" xr:uid="{604E197F-7C90-44C6-B79B-D9FE55B7092A}"/>
    <hyperlink ref="K71" r:id="rId112" display="https://us3.assetplanner.com/service_request?ID=102820" xr:uid="{B662168A-0F1F-473E-B2CE-1D51318A51C0}"/>
    <hyperlink ref="M71" r:id="rId113" display="https://us3.assetplanner.com/service_request?ID=104290" xr:uid="{E72AF6BB-9FB1-453F-A9B3-113D0EC02A01}"/>
    <hyperlink ref="K72" r:id="rId114" display="https://us3.assetplanner.com/service_request?ID=102424" xr:uid="{9697CD37-ACED-47BE-B9B9-0AE0CD12BB2F}"/>
    <hyperlink ref="K73" r:id="rId115" display="https://us3.assetplanner.com/service_request?ID=102423" xr:uid="{7E754BC8-F869-4486-A538-5A111815C6FD}"/>
    <hyperlink ref="M73" r:id="rId116" display="https://us3.assetplanner.com/service_request?ID=108298" xr:uid="{71D4EAB9-F497-4597-A074-788CFF1A778B}"/>
    <hyperlink ref="K74" r:id="rId117" display="https://us3.assetplanner.com/service_request?ID=102421" xr:uid="{9A805173-019C-4A68-892B-6D36C17AE75F}"/>
    <hyperlink ref="M74" r:id="rId118" display="https://us3.assetplanner.com/service_request?ID=108404" xr:uid="{9159542F-D28A-4AB2-A5DA-9C91CDF19F7D}"/>
    <hyperlink ref="N74" r:id="rId119" display="https://us3.assetplanner.com/service_request?ID=108404" xr:uid="{8C55928A-D86D-40F9-8CDB-0071CB936179}"/>
    <hyperlink ref="K75" r:id="rId120" display="https://us3.assetplanner.com/service_request?ID=102420" xr:uid="{9D3A6154-05C8-489B-8AAD-D9B0FC4EBA03}"/>
    <hyperlink ref="M75" r:id="rId121" display="https://us3.assetplanner.com/service_request?ID=109601" xr:uid="{77B11236-7EE3-4B4C-AA77-2DD809FDD522}"/>
    <hyperlink ref="N75" r:id="rId122" display="https://us3.assetplanner.com/service_request?ID=109601" xr:uid="{48368233-F559-4C76-ABF1-0D9B785355F5}"/>
    <hyperlink ref="K76" r:id="rId123" display="https://us3.assetplanner.com/service_request?ID=108494" xr:uid="{10D2BB6B-2CA5-4AFE-8320-C735C928F76B}"/>
    <hyperlink ref="M76" r:id="rId124" display="https://us3.assetplanner.com/service_request?ID=106851" xr:uid="{3BAB2423-5B27-4852-A798-8E92F9B68835}"/>
    <hyperlink ref="N76" r:id="rId125" display="https://us3.assetplanner.com/service_request?ID=103869" xr:uid="{44DE627A-D724-43E4-9F3A-6805CFFB3F62}"/>
    <hyperlink ref="O76" r:id="rId126" display="https://us3.assetplanner.com/service_request?ID=110121" xr:uid="{7BBF2902-CC17-4185-8E07-8C2D79CEE855}"/>
    <hyperlink ref="K77" r:id="rId127" display="https://us3.assetplanner.com/service_request?ID=108282" xr:uid="{2F20799F-0A13-49A8-9FA0-DCED7058BE2B}"/>
    <hyperlink ref="M77" r:id="rId128" display="https://us3.assetplanner.com/service_request?ID=103868" xr:uid="{58AE4550-7016-4E8D-9988-59B9ED00435C}"/>
    <hyperlink ref="K78" r:id="rId129" display="https://us3.assetplanner.com/service_request?ID=103867" xr:uid="{B0C7A00E-EF82-4D17-9B4B-995EA2D7E921}"/>
    <hyperlink ref="M78" r:id="rId130" display="https://us3.assetplanner.com/service_request?ID=110350" xr:uid="{4C866007-73AD-4B60-B9C9-D1347831B743}"/>
    <hyperlink ref="K79" r:id="rId131" display="https://us3.assetplanner.com/service_request?ID=103866" xr:uid="{52761239-8F2A-4B45-A177-4A7F76BD2CAA}"/>
    <hyperlink ref="K80" r:id="rId132" display="https://us3.assetplanner.com/service_request?ID=104456" xr:uid="{F5E9F2AB-FBA1-4A0D-B0C7-77B0E5818DAC}"/>
    <hyperlink ref="K81" r:id="rId133" display="https://us3.assetplanner.com/service_request?ID=110610" xr:uid="{0A59F84B-E3AA-48FE-B3F5-917F57D4B195}"/>
    <hyperlink ref="K82" r:id="rId134" display="https://us3.assetplanner.com/service_request?ID=104776" xr:uid="{ABD85472-7CC3-4677-8ADD-6816BD9525E7}"/>
    <hyperlink ref="M82" r:id="rId135" display="https://us3.assetplanner.com/service_request?ID=111277" xr:uid="{03F706A4-C58E-45D2-B8E2-1721C18B73CC}"/>
    <hyperlink ref="N82" r:id="rId136" display="https://us3.assetplanner.com/service_request?ID=111832" xr:uid="{2190C14F-DF8B-4CCB-AC68-5F374541AD1B}"/>
    <hyperlink ref="K83" r:id="rId137" display="https://us3.assetplanner.com/service_request?ID=103946" xr:uid="{2303B9C8-AF02-43A7-A205-92527A93E5ED}"/>
    <hyperlink ref="M83" r:id="rId138" display="https://us3.assetplanner.com/service_request?ID=104855" xr:uid="{653D59BF-6A8C-4589-A4CC-80E68CC5EC6B}"/>
    <hyperlink ref="K84" r:id="rId139" display="https://us3.assetplanner.com/service_request?ID=106885" xr:uid="{39A20B03-9125-4033-B67F-EA8B35E13DCD}"/>
    <hyperlink ref="K85" r:id="rId140" display="https://us3.assetplanner.com/service_request?ID=110945" xr:uid="{85324935-8DD2-40E8-9481-F6C899101D62}"/>
    <hyperlink ref="M85" r:id="rId141" display="https://us3.assetplanner.com/service_request?ID=110990" xr:uid="{DDD00986-8B7E-494F-8780-87DCBF46AB3A}"/>
    <hyperlink ref="N85" r:id="rId142" display="https://us3.assetplanner.com/service_request?ID=111427" xr:uid="{56996D9A-81C5-405D-8EB2-8A27CA7ED00F}"/>
    <hyperlink ref="O85" r:id="rId143" display="https://us3.assetplanner.com/service_request?ID=111679" xr:uid="{A5F32FC3-E907-44E4-BCA2-AD5C24C09D67}"/>
  </hyperlinks>
  <pageMargins left="0.4" right="0.7" top="0.25" bottom="0.25" header="0.3" footer="0.3"/>
  <pageSetup fitToHeight="99" orientation="landscape" r:id="rId14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6"/>
  <sheetViews>
    <sheetView workbookViewId="0">
      <pane xSplit="2" ySplit="3" topLeftCell="C4" activePane="bottomRight" state="frozen"/>
      <selection pane="bottomRight" activeCell="G88" sqref="G88"/>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9" t="str" cm="1">
        <f t="array" ref="A1">portfolio</f>
        <v>Clean Capital</v>
      </c>
      <c r="B1" s="119"/>
      <c r="C1" s="119"/>
      <c r="D1" s="120" t="s">
        <v>968</v>
      </c>
      <c r="E1" s="120"/>
      <c r="F1" s="120"/>
      <c r="G1" s="118" t="s">
        <v>969</v>
      </c>
      <c r="H1" s="118"/>
      <c r="I1" s="118"/>
      <c r="J1" s="4"/>
      <c r="K1" s="4"/>
    </row>
    <row r="2" spans="1:11" ht="19.5" customHeight="1">
      <c r="A2" s="121" t="s">
        <v>2</v>
      </c>
      <c r="B2" s="121"/>
      <c r="C2" s="5">
        <f>SUM(C4:C84)</f>
        <v>0</v>
      </c>
      <c r="D2" s="5">
        <f>SUM(D4:D84)</f>
        <v>0</v>
      </c>
      <c r="E2" s="5">
        <f>C2-D2</f>
        <v>0</v>
      </c>
      <c r="F2" s="6">
        <f>IFERROR(E2/D2, 0)</f>
        <v>0</v>
      </c>
      <c r="G2" s="5">
        <f>SUM(G4:G84)</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 t="shared" ref="F5:F12" si="1">IFERROR(E5/D5, "")</f>
        <v/>
      </c>
      <c r="G5" s="38"/>
      <c r="H5" s="38" t="str">
        <f t="shared" ref="H5:H12" si="2">IF(AND(ISNUMBER(C5),ISNUMBER(G5)), C5-G5, "")</f>
        <v/>
      </c>
      <c r="I5" s="37" t="str">
        <f t="shared" ref="I5:I12" si="3">IFERROR(H5/G5, "")</f>
        <v/>
      </c>
      <c r="J5" s="60"/>
      <c r="K5" s="60"/>
    </row>
    <row r="6" spans="1:11" ht="15.6">
      <c r="A6" s="43" t="str">
        <v>Hyannis - Sturgis Charter School</v>
      </c>
      <c r="B6" s="40" t="str">
        <v>MA</v>
      </c>
      <c r="C6" s="28"/>
      <c r="D6" s="29"/>
      <c r="E6" s="29" t="str">
        <f t="shared" si="0"/>
        <v/>
      </c>
      <c r="F6" s="30" t="str">
        <f t="shared" si="1"/>
        <v/>
      </c>
      <c r="G6" s="31"/>
      <c r="H6" s="31" t="str">
        <f t="shared" si="2"/>
        <v/>
      </c>
      <c r="I6" s="32" t="str">
        <f t="shared" si="3"/>
        <v/>
      </c>
      <c r="J6" s="49"/>
      <c r="K6" s="49"/>
    </row>
    <row r="7" spans="1:11" ht="15.6">
      <c r="A7" s="41" t="str">
        <v>South Dennis - Tony Kent Arena</v>
      </c>
      <c r="B7" s="42" t="str">
        <v>MA</v>
      </c>
      <c r="C7" s="35"/>
      <c r="D7" s="36"/>
      <c r="E7" s="36" t="str">
        <f t="shared" si="0"/>
        <v/>
      </c>
      <c r="F7" s="37" t="str">
        <f t="shared" si="1"/>
        <v/>
      </c>
      <c r="G7" s="38"/>
      <c r="H7" s="38" t="str">
        <f t="shared" si="2"/>
        <v/>
      </c>
      <c r="I7" s="37" t="str">
        <f t="shared" si="3"/>
        <v/>
      </c>
      <c r="J7" s="60"/>
      <c r="K7" s="60"/>
    </row>
    <row r="8" spans="1:11" ht="15.6">
      <c r="A8" s="43" t="str">
        <v xml:space="preserve"> Caropolis - Felician Sisters</v>
      </c>
      <c r="B8" s="40" t="str">
        <v>PA</v>
      </c>
      <c r="C8" s="28"/>
      <c r="D8" s="29"/>
      <c r="E8" s="29" t="str">
        <f t="shared" si="0"/>
        <v/>
      </c>
      <c r="F8" s="30" t="str">
        <f t="shared" si="1"/>
        <v/>
      </c>
      <c r="G8" s="31"/>
      <c r="H8" s="31" t="str">
        <f t="shared" si="2"/>
        <v/>
      </c>
      <c r="I8" s="32" t="str">
        <f t="shared" si="3"/>
        <v/>
      </c>
      <c r="J8" s="49"/>
      <c r="K8" s="49"/>
    </row>
    <row r="9" spans="1:11" ht="15.6">
      <c r="A9" s="41" t="str">
        <v>Clear Lake - Eastlake Gohman</v>
      </c>
      <c r="B9" s="42" t="str">
        <v>MN</v>
      </c>
      <c r="C9" s="35"/>
      <c r="D9" s="36"/>
      <c r="E9" s="36" t="str">
        <f t="shared" si="0"/>
        <v/>
      </c>
      <c r="F9" s="37" t="str">
        <f t="shared" si="1"/>
        <v/>
      </c>
      <c r="G9" s="38"/>
      <c r="H9" s="38" t="str">
        <f t="shared" si="2"/>
        <v/>
      </c>
      <c r="I9" s="37" t="str">
        <f t="shared" si="3"/>
        <v/>
      </c>
      <c r="J9" s="60"/>
      <c r="K9" s="60"/>
    </row>
    <row r="10" spans="1:11" ht="15.6">
      <c r="A10" s="43" t="str">
        <v>Zumbrota - Eastlake Brenda Luhman</v>
      </c>
      <c r="B10" s="40" t="str">
        <v>MN</v>
      </c>
      <c r="C10" s="28"/>
      <c r="D10" s="29"/>
      <c r="E10" s="29" t="str">
        <f t="shared" si="0"/>
        <v/>
      </c>
      <c r="F10" s="30" t="str">
        <f t="shared" si="1"/>
        <v/>
      </c>
      <c r="G10" s="31"/>
      <c r="H10" s="31" t="str">
        <f t="shared" si="2"/>
        <v/>
      </c>
      <c r="I10" s="32" t="str">
        <f t="shared" si="3"/>
        <v/>
      </c>
      <c r="J10" s="49"/>
      <c r="K10" s="49"/>
    </row>
    <row r="11" spans="1:11" ht="15.6">
      <c r="A11" s="41" t="str">
        <v>Cokato - Eastlake Carlson</v>
      </c>
      <c r="B11" s="42" t="str">
        <v>MN</v>
      </c>
      <c r="C11" s="35"/>
      <c r="D11" s="36"/>
      <c r="E11" s="36" t="str">
        <f t="shared" si="0"/>
        <v/>
      </c>
      <c r="F11" s="37" t="str">
        <f t="shared" si="1"/>
        <v/>
      </c>
      <c r="G11" s="38"/>
      <c r="H11" s="38" t="str">
        <f t="shared" si="2"/>
        <v/>
      </c>
      <c r="I11" s="37" t="str">
        <f t="shared" si="3"/>
        <v/>
      </c>
      <c r="J11" s="60"/>
      <c r="K11" s="60"/>
    </row>
    <row r="12" spans="1:11" ht="15.6">
      <c r="A12" s="43" t="str">
        <v>North Branch - Cornille 2</v>
      </c>
      <c r="B12" s="40" t="str">
        <v>MN</v>
      </c>
      <c r="C12" s="28"/>
      <c r="D12" s="29"/>
      <c r="E12" s="29" t="str">
        <f t="shared" si="0"/>
        <v/>
      </c>
      <c r="F12" s="30" t="str">
        <f t="shared" si="1"/>
        <v/>
      </c>
      <c r="G12" s="31"/>
      <c r="H12" s="31" t="str">
        <f t="shared" si="2"/>
        <v/>
      </c>
      <c r="I12" s="32" t="str">
        <f t="shared" si="3"/>
        <v/>
      </c>
      <c r="J12" s="49"/>
      <c r="K12" s="49"/>
    </row>
    <row r="13" spans="1:11" ht="15.6">
      <c r="A13" s="41" t="str">
        <v>Clear Lake - Eastlake Hammer</v>
      </c>
      <c r="B13" s="42" t="str">
        <v>MN</v>
      </c>
      <c r="C13" s="35"/>
      <c r="D13" s="36"/>
      <c r="E13" s="36" t="str">
        <f t="shared" ref="E13:E76" si="4">IF(AND(ISNUMBER(C13),ISNUMBER(D13)), C13-D13, "")</f>
        <v/>
      </c>
      <c r="F13" s="37" t="str">
        <f t="shared" ref="F13:F76" si="5">IFERROR(E13/D13, "")</f>
        <v/>
      </c>
      <c r="G13" s="38"/>
      <c r="H13" s="38" t="str">
        <f t="shared" ref="H13:H76" si="6">IF(AND(ISNUMBER(C13),ISNUMBER(G13)), C13-G13, "")</f>
        <v/>
      </c>
      <c r="I13" s="37" t="str">
        <f t="shared" ref="I13:I76" si="7">IFERROR(H13/G13, "")</f>
        <v/>
      </c>
      <c r="J13" s="60"/>
      <c r="K13" s="60"/>
    </row>
    <row r="14" spans="1:11" ht="15.6">
      <c r="A14" s="43" t="str">
        <v>Eastlake - Hertzberg CSG 1</v>
      </c>
      <c r="B14" s="40" t="str">
        <v>MN</v>
      </c>
      <c r="C14" s="28"/>
      <c r="D14" s="29"/>
      <c r="E14" s="29" t="str">
        <f t="shared" si="4"/>
        <v/>
      </c>
      <c r="F14" s="30" t="str">
        <f t="shared" si="5"/>
        <v/>
      </c>
      <c r="G14" s="31"/>
      <c r="H14" s="31" t="str">
        <f t="shared" si="6"/>
        <v/>
      </c>
      <c r="I14" s="32" t="str">
        <f t="shared" si="7"/>
        <v/>
      </c>
      <c r="J14" s="49"/>
      <c r="K14" s="49"/>
    </row>
    <row r="15" spans="1:11" ht="15.6">
      <c r="A15" s="41" t="str">
        <v>Cokato - Eastlake Laurel Village</v>
      </c>
      <c r="B15" s="42" t="str">
        <v>MN</v>
      </c>
      <c r="C15" s="35"/>
      <c r="D15" s="36"/>
      <c r="E15" s="36" t="str">
        <f t="shared" si="4"/>
        <v/>
      </c>
      <c r="F15" s="37" t="str">
        <f t="shared" si="5"/>
        <v/>
      </c>
      <c r="G15" s="38"/>
      <c r="H15" s="38" t="str">
        <f t="shared" si="6"/>
        <v/>
      </c>
      <c r="I15" s="37" t="str">
        <f t="shared" si="7"/>
        <v/>
      </c>
      <c r="J15" s="60"/>
      <c r="K15" s="60"/>
    </row>
    <row r="16" spans="1:11" ht="15.6">
      <c r="A16" s="43" t="str">
        <v>St. Peter - Eastlake Paulson</v>
      </c>
      <c r="B16" s="40" t="str">
        <v>MN</v>
      </c>
      <c r="C16" s="28"/>
      <c r="D16" s="29"/>
      <c r="E16" s="29" t="str">
        <f t="shared" si="4"/>
        <v/>
      </c>
      <c r="F16" s="30" t="str">
        <f t="shared" si="5"/>
        <v/>
      </c>
      <c r="G16" s="31"/>
      <c r="H16" s="31" t="str">
        <f t="shared" si="6"/>
        <v/>
      </c>
      <c r="I16" s="32" t="str">
        <f t="shared" si="7"/>
        <v/>
      </c>
      <c r="J16" s="49"/>
      <c r="K16" s="49"/>
    </row>
    <row r="17" spans="1:11" ht="15.6">
      <c r="A17" s="41" t="str">
        <v>Felician Sisters Convent</v>
      </c>
      <c r="B17" s="42" t="str">
        <v>NJ</v>
      </c>
      <c r="C17" s="35"/>
      <c r="D17" s="36"/>
      <c r="E17" s="36" t="str">
        <f t="shared" si="4"/>
        <v/>
      </c>
      <c r="F17" s="37" t="str">
        <f t="shared" si="5"/>
        <v/>
      </c>
      <c r="G17" s="38"/>
      <c r="H17" s="38" t="str">
        <f t="shared" si="6"/>
        <v/>
      </c>
      <c r="I17" s="37" t="str">
        <f t="shared" si="7"/>
        <v/>
      </c>
      <c r="J17" s="60"/>
      <c r="K17" s="60"/>
    </row>
    <row r="18" spans="1:11" ht="15.6">
      <c r="A18" s="43" t="str">
        <v>Sussex County Fairgrounds</v>
      </c>
      <c r="B18" s="40" t="str">
        <v>NJ</v>
      </c>
      <c r="C18" s="28"/>
      <c r="D18" s="29"/>
      <c r="E18" s="29" t="str">
        <f t="shared" si="4"/>
        <v/>
      </c>
      <c r="F18" s="30" t="str">
        <f t="shared" si="5"/>
        <v/>
      </c>
      <c r="G18" s="31"/>
      <c r="H18" s="31" t="str">
        <f t="shared" si="6"/>
        <v/>
      </c>
      <c r="I18" s="32" t="str">
        <f t="shared" si="7"/>
        <v/>
      </c>
      <c r="J18" s="49"/>
      <c r="K18" s="49"/>
    </row>
    <row r="19" spans="1:11" ht="15.6">
      <c r="A19" s="41" t="str">
        <v>Gateway Church</v>
      </c>
      <c r="B19" s="42" t="str">
        <v>NJ</v>
      </c>
      <c r="C19" s="35"/>
      <c r="D19" s="36"/>
      <c r="E19" s="36" t="str">
        <f t="shared" si="4"/>
        <v/>
      </c>
      <c r="F19" s="37" t="str">
        <f t="shared" si="5"/>
        <v/>
      </c>
      <c r="G19" s="38"/>
      <c r="H19" s="38" t="str">
        <f t="shared" si="6"/>
        <v/>
      </c>
      <c r="I19" s="37" t="str">
        <f t="shared" si="7"/>
        <v/>
      </c>
      <c r="J19" s="60"/>
      <c r="K19" s="60"/>
    </row>
    <row r="20" spans="1:11" ht="15.6">
      <c r="A20" s="43" t="str">
        <v>Beaver Falls - Felician Sisters</v>
      </c>
      <c r="B20" s="40" t="str">
        <v>PA</v>
      </c>
      <c r="C20" s="28"/>
      <c r="D20" s="29"/>
      <c r="E20" s="29" t="str">
        <f t="shared" si="4"/>
        <v/>
      </c>
      <c r="F20" s="30" t="str">
        <f t="shared" si="5"/>
        <v/>
      </c>
      <c r="G20" s="31"/>
      <c r="H20" s="31" t="str">
        <f t="shared" si="6"/>
        <v/>
      </c>
      <c r="I20" s="32" t="str">
        <f t="shared" si="7"/>
        <v/>
      </c>
      <c r="J20" s="49"/>
      <c r="K20" s="49"/>
    </row>
    <row r="21" spans="1:11" ht="15.6">
      <c r="A21" s="41" t="str">
        <v>Livonia - Felician Sisters Ground</v>
      </c>
      <c r="B21" s="42" t="str">
        <v>MI</v>
      </c>
      <c r="C21" s="35"/>
      <c r="D21" s="36"/>
      <c r="E21" s="36" t="str">
        <f t="shared" si="4"/>
        <v/>
      </c>
      <c r="F21" s="37" t="str">
        <f t="shared" si="5"/>
        <v/>
      </c>
      <c r="G21" s="38"/>
      <c r="H21" s="38" t="str">
        <f t="shared" si="6"/>
        <v/>
      </c>
      <c r="I21" s="37" t="str">
        <f t="shared" si="7"/>
        <v/>
      </c>
      <c r="J21" s="60"/>
      <c r="K21" s="60"/>
    </row>
    <row r="22" spans="1:11" ht="15.6">
      <c r="A22" s="43" t="str">
        <v>Livonia - Felician Sisters Roof</v>
      </c>
      <c r="B22" s="40" t="str">
        <v>MI</v>
      </c>
      <c r="C22" s="28"/>
      <c r="D22" s="29"/>
      <c r="E22" s="29" t="str">
        <f t="shared" si="4"/>
        <v/>
      </c>
      <c r="F22" s="30" t="str">
        <f t="shared" si="5"/>
        <v/>
      </c>
      <c r="G22" s="31"/>
      <c r="H22" s="31" t="str">
        <f t="shared" si="6"/>
        <v/>
      </c>
      <c r="I22" s="32" t="str">
        <f t="shared" si="7"/>
        <v/>
      </c>
      <c r="J22" s="49"/>
      <c r="K22" s="49"/>
    </row>
    <row r="23" spans="1:11" ht="15.6">
      <c r="A23" s="41" t="str">
        <v>Monmouth Worship Ctr</v>
      </c>
      <c r="B23" s="42" t="str">
        <v>NJ</v>
      </c>
      <c r="C23" s="35"/>
      <c r="D23" s="36"/>
      <c r="E23" s="36" t="str">
        <f t="shared" si="4"/>
        <v/>
      </c>
      <c r="F23" s="37" t="str">
        <f t="shared" si="5"/>
        <v/>
      </c>
      <c r="G23" s="38"/>
      <c r="H23" s="38" t="str">
        <f t="shared" si="6"/>
        <v/>
      </c>
      <c r="I23" s="37" t="str">
        <f t="shared" si="7"/>
        <v/>
      </c>
      <c r="J23" s="60"/>
      <c r="K23" s="60"/>
    </row>
    <row r="24" spans="1:11" ht="15.6">
      <c r="A24" s="43" t="str">
        <v xml:space="preserve"> Audubon - Senior Citizens United</v>
      </c>
      <c r="B24" s="40" t="str">
        <v>NJ</v>
      </c>
      <c r="C24" s="28"/>
      <c r="D24" s="29"/>
      <c r="E24" s="29" t="str">
        <f t="shared" si="4"/>
        <v/>
      </c>
      <c r="F24" s="30" t="str">
        <f t="shared" si="5"/>
        <v/>
      </c>
      <c r="G24" s="31"/>
      <c r="H24" s="31" t="str">
        <f t="shared" si="6"/>
        <v/>
      </c>
      <c r="I24" s="32" t="str">
        <f t="shared" si="7"/>
        <v/>
      </c>
      <c r="J24" s="49"/>
      <c r="K24" s="49"/>
    </row>
    <row r="25" spans="1:11" ht="15.6">
      <c r="A25" s="41" t="str">
        <v>Hollister - PG&amp;E (Enerparc)</v>
      </c>
      <c r="B25" s="42" t="str">
        <v>CA</v>
      </c>
      <c r="C25" s="35"/>
      <c r="D25" s="36"/>
      <c r="E25" s="36" t="str">
        <f t="shared" si="4"/>
        <v/>
      </c>
      <c r="F25" s="37" t="str">
        <f t="shared" si="5"/>
        <v/>
      </c>
      <c r="G25" s="38"/>
      <c r="H25" s="38" t="str">
        <f t="shared" si="6"/>
        <v/>
      </c>
      <c r="I25" s="37" t="str">
        <f t="shared" si="7"/>
        <v/>
      </c>
      <c r="J25" s="60"/>
      <c r="K25" s="60"/>
    </row>
    <row r="26" spans="1:11" ht="15.6">
      <c r="A26" s="43" t="str">
        <v>Taos County - Kit Carson Electric Co-Op</v>
      </c>
      <c r="B26" s="40" t="str">
        <v>NM</v>
      </c>
      <c r="C26" s="28"/>
      <c r="D26" s="29"/>
      <c r="E26" s="29" t="str">
        <f t="shared" si="4"/>
        <v/>
      </c>
      <c r="F26" s="30" t="str">
        <f t="shared" si="5"/>
        <v/>
      </c>
      <c r="G26" s="31"/>
      <c r="H26" s="31" t="str">
        <f t="shared" si="6"/>
        <v/>
      </c>
      <c r="I26" s="32" t="str">
        <f t="shared" si="7"/>
        <v/>
      </c>
      <c r="J26" s="49"/>
      <c r="K26" s="49"/>
    </row>
    <row r="27" spans="1:11" ht="15.6">
      <c r="A27" s="41" t="str">
        <v>Commerce City - Adams City HS</v>
      </c>
      <c r="B27" s="42" t="str">
        <v>CO</v>
      </c>
      <c r="C27" s="35"/>
      <c r="D27" s="36"/>
      <c r="E27" s="36" t="str">
        <f t="shared" si="4"/>
        <v/>
      </c>
      <c r="F27" s="37" t="str">
        <f t="shared" si="5"/>
        <v/>
      </c>
      <c r="G27" s="38"/>
      <c r="H27" s="38" t="str">
        <f t="shared" si="6"/>
        <v/>
      </c>
      <c r="I27" s="37" t="str">
        <f t="shared" si="7"/>
        <v/>
      </c>
      <c r="J27" s="60"/>
      <c r="K27" s="60"/>
    </row>
    <row r="28" spans="1:11" ht="15.6">
      <c r="A28" s="43" t="str">
        <v>Commerce City - Adams City MS</v>
      </c>
      <c r="B28" s="40" t="str">
        <v>CO</v>
      </c>
      <c r="C28" s="28"/>
      <c r="D28" s="29"/>
      <c r="E28" s="29" t="str">
        <f t="shared" si="4"/>
        <v/>
      </c>
      <c r="F28" s="30" t="str">
        <f t="shared" si="5"/>
        <v/>
      </c>
      <c r="G28" s="31"/>
      <c r="H28" s="31" t="str">
        <f t="shared" si="6"/>
        <v/>
      </c>
      <c r="I28" s="32" t="str">
        <f t="shared" si="7"/>
        <v/>
      </c>
      <c r="J28" s="49"/>
      <c r="K28" s="49"/>
    </row>
    <row r="29" spans="1:11" ht="15.6">
      <c r="A29" s="41" t="str">
        <v>Commerce City - Central ES</v>
      </c>
      <c r="B29" s="42" t="str">
        <v>CO</v>
      </c>
      <c r="C29" s="35"/>
      <c r="D29" s="36"/>
      <c r="E29" s="36" t="str">
        <f t="shared" si="4"/>
        <v/>
      </c>
      <c r="F29" s="37" t="str">
        <f t="shared" si="5"/>
        <v/>
      </c>
      <c r="G29" s="38"/>
      <c r="H29" s="38" t="str">
        <f t="shared" si="6"/>
        <v/>
      </c>
      <c r="I29" s="37" t="str">
        <f t="shared" si="7"/>
        <v/>
      </c>
      <c r="J29" s="60"/>
      <c r="K29" s="60"/>
    </row>
    <row r="30" spans="1:11" ht="15.6">
      <c r="A30" s="43" t="str">
        <v>Commerce City - Dupont ES</v>
      </c>
      <c r="B30" s="40" t="str">
        <v>CO</v>
      </c>
      <c r="C30" s="28"/>
      <c r="D30" s="29"/>
      <c r="E30" s="29" t="str">
        <f t="shared" si="4"/>
        <v/>
      </c>
      <c r="F30" s="30" t="str">
        <f t="shared" si="5"/>
        <v/>
      </c>
      <c r="G30" s="31"/>
      <c r="H30" s="31" t="str">
        <f t="shared" si="6"/>
        <v/>
      </c>
      <c r="I30" s="32" t="str">
        <f t="shared" si="7"/>
        <v/>
      </c>
      <c r="J30" s="49"/>
      <c r="K30" s="49"/>
    </row>
    <row r="31" spans="1:11" ht="15.6">
      <c r="A31" s="41" t="str">
        <v>Commerce City - Educational Support Services</v>
      </c>
      <c r="B31" s="42" t="str">
        <v>CO</v>
      </c>
      <c r="C31" s="35"/>
      <c r="D31" s="36"/>
      <c r="E31" s="36" t="str">
        <f t="shared" si="4"/>
        <v/>
      </c>
      <c r="F31" s="37" t="str">
        <f t="shared" si="5"/>
        <v/>
      </c>
      <c r="G31" s="38"/>
      <c r="H31" s="38" t="str">
        <f t="shared" si="6"/>
        <v/>
      </c>
      <c r="I31" s="37" t="str">
        <f t="shared" si="7"/>
        <v/>
      </c>
      <c r="J31" s="60"/>
      <c r="K31" s="60"/>
    </row>
    <row r="32" spans="1:11" ht="15.6">
      <c r="A32" s="43" t="str">
        <v>Commerce City - Hanson ES</v>
      </c>
      <c r="B32" s="40" t="str">
        <v>CO</v>
      </c>
      <c r="C32" s="28"/>
      <c r="D32" s="29"/>
      <c r="E32" s="29" t="str">
        <f t="shared" si="4"/>
        <v/>
      </c>
      <c r="F32" s="30" t="str">
        <f t="shared" si="5"/>
        <v/>
      </c>
      <c r="G32" s="31"/>
      <c r="H32" s="31" t="str">
        <f t="shared" si="6"/>
        <v/>
      </c>
      <c r="I32" s="32" t="str">
        <f t="shared" si="7"/>
        <v/>
      </c>
      <c r="J32" s="49"/>
      <c r="K32" s="49"/>
    </row>
    <row r="33" spans="1:11" ht="15.6">
      <c r="A33" s="41" t="str">
        <v>Commerce City - Kemp ES</v>
      </c>
      <c r="B33" s="42" t="str">
        <v>CO</v>
      </c>
      <c r="C33" s="35"/>
      <c r="D33" s="36"/>
      <c r="E33" s="36" t="str">
        <f t="shared" si="4"/>
        <v/>
      </c>
      <c r="F33" s="37" t="str">
        <f t="shared" si="5"/>
        <v/>
      </c>
      <c r="G33" s="38"/>
      <c r="H33" s="38" t="str">
        <f t="shared" si="6"/>
        <v/>
      </c>
      <c r="I33" s="37" t="str">
        <f t="shared" si="7"/>
        <v/>
      </c>
      <c r="J33" s="60"/>
      <c r="K33" s="60"/>
    </row>
    <row r="34" spans="1:11" ht="15.6">
      <c r="A34" s="43" t="str">
        <v>Commerce City -  Lester Arnold HS</v>
      </c>
      <c r="B34" s="40" t="str">
        <v>CO</v>
      </c>
      <c r="C34" s="28"/>
      <c r="D34" s="29"/>
      <c r="E34" s="29" t="str">
        <f t="shared" si="4"/>
        <v/>
      </c>
      <c r="F34" s="30" t="str">
        <f t="shared" si="5"/>
        <v/>
      </c>
      <c r="G34" s="31"/>
      <c r="H34" s="31" t="str">
        <f t="shared" si="6"/>
        <v/>
      </c>
      <c r="I34" s="32" t="str">
        <f t="shared" si="7"/>
        <v/>
      </c>
      <c r="J34" s="49"/>
      <c r="K34" s="49"/>
    </row>
    <row r="35" spans="1:11" ht="15.6">
      <c r="A35" s="41" t="str">
        <v>Commerce City - Monaco ES</v>
      </c>
      <c r="B35" s="42" t="str">
        <v>CO</v>
      </c>
      <c r="C35" s="35"/>
      <c r="D35" s="36"/>
      <c r="E35" s="36" t="str">
        <f t="shared" si="4"/>
        <v/>
      </c>
      <c r="F35" s="37" t="str">
        <f t="shared" si="5"/>
        <v/>
      </c>
      <c r="G35" s="38"/>
      <c r="H35" s="38" t="str">
        <f t="shared" si="6"/>
        <v/>
      </c>
      <c r="I35" s="37" t="str">
        <f t="shared" si="7"/>
        <v/>
      </c>
      <c r="J35" s="60"/>
      <c r="K35" s="60"/>
    </row>
    <row r="36" spans="1:11" ht="15.6">
      <c r="A36" s="43" t="str">
        <v>Denver - Northgate / Old Fort Logan ES</v>
      </c>
      <c r="B36" s="40" t="str">
        <v>CO</v>
      </c>
      <c r="C36" s="28"/>
      <c r="D36" s="29"/>
      <c r="E36" s="29" t="str">
        <f t="shared" si="4"/>
        <v/>
      </c>
      <c r="F36" s="30" t="str">
        <f t="shared" si="5"/>
        <v/>
      </c>
      <c r="G36" s="31"/>
      <c r="H36" s="31" t="str">
        <f t="shared" si="6"/>
        <v/>
      </c>
      <c r="I36" s="32" t="str">
        <f t="shared" si="7"/>
        <v/>
      </c>
      <c r="J36" s="49"/>
      <c r="K36" s="49"/>
    </row>
    <row r="37" spans="1:11" ht="15.6">
      <c r="A37" s="41" t="str">
        <v>Denver - Sheridan High School</v>
      </c>
      <c r="B37" s="42" t="str">
        <v>CO</v>
      </c>
      <c r="C37" s="35"/>
      <c r="D37" s="36"/>
      <c r="E37" s="36" t="str">
        <f t="shared" si="4"/>
        <v/>
      </c>
      <c r="F37" s="37" t="str">
        <f t="shared" si="5"/>
        <v/>
      </c>
      <c r="G37" s="38"/>
      <c r="H37" s="38" t="str">
        <f t="shared" si="6"/>
        <v/>
      </c>
      <c r="I37" s="37" t="str">
        <f t="shared" si="7"/>
        <v/>
      </c>
      <c r="J37" s="60"/>
      <c r="K37" s="60"/>
    </row>
    <row r="38" spans="1:11" ht="15.6">
      <c r="A38" s="43" t="str">
        <v>Englewood -  Alice Terry Elementary</v>
      </c>
      <c r="B38" s="40" t="str">
        <v>CO</v>
      </c>
      <c r="C38" s="28"/>
      <c r="D38" s="29"/>
      <c r="E38" s="29" t="str">
        <f t="shared" si="4"/>
        <v/>
      </c>
      <c r="F38" s="30" t="str">
        <f t="shared" si="5"/>
        <v/>
      </c>
      <c r="G38" s="31"/>
      <c r="H38" s="31" t="str">
        <f t="shared" si="6"/>
        <v/>
      </c>
      <c r="I38" s="32" t="str">
        <f t="shared" si="7"/>
        <v/>
      </c>
      <c r="J38" s="49"/>
      <c r="K38" s="49"/>
    </row>
    <row r="39" spans="1:11" ht="15.6">
      <c r="A39" s="41" t="str">
        <v>Englewood - Sheridan Middle School</v>
      </c>
      <c r="B39" s="42" t="str">
        <v>CO</v>
      </c>
      <c r="C39" s="35"/>
      <c r="D39" s="36"/>
      <c r="E39" s="36" t="str">
        <f t="shared" si="4"/>
        <v/>
      </c>
      <c r="F39" s="37" t="str">
        <f t="shared" si="5"/>
        <v/>
      </c>
      <c r="G39" s="38"/>
      <c r="H39" s="38" t="str">
        <f t="shared" si="6"/>
        <v/>
      </c>
      <c r="I39" s="37" t="str">
        <f t="shared" si="7"/>
        <v/>
      </c>
      <c r="J39" s="60"/>
      <c r="K39" s="60"/>
    </row>
    <row r="40" spans="1:11" ht="15.6">
      <c r="A40" s="43" t="str">
        <v>Goshen - NIPSCO</v>
      </c>
      <c r="B40" s="40" t="str">
        <v>IN</v>
      </c>
      <c r="C40" s="28"/>
      <c r="D40" s="29"/>
      <c r="E40" s="29" t="str">
        <f t="shared" si="4"/>
        <v/>
      </c>
      <c r="F40" s="30" t="str">
        <f t="shared" si="5"/>
        <v/>
      </c>
      <c r="G40" s="31"/>
      <c r="H40" s="31" t="str">
        <f t="shared" si="6"/>
        <v/>
      </c>
      <c r="I40" s="32" t="str">
        <f t="shared" si="7"/>
        <v/>
      </c>
      <c r="J40" s="49"/>
      <c r="K40" s="49"/>
    </row>
    <row r="41" spans="1:11" ht="15.6">
      <c r="A41" s="41" t="str">
        <v>Alamogordo - City of Alamogordo - Effluent</v>
      </c>
      <c r="B41" s="42" t="str">
        <v>NM</v>
      </c>
      <c r="C41" s="35"/>
      <c r="D41" s="36"/>
      <c r="E41" s="36" t="str">
        <f t="shared" si="4"/>
        <v/>
      </c>
      <c r="F41" s="37" t="str">
        <f t="shared" si="5"/>
        <v/>
      </c>
      <c r="G41" s="38"/>
      <c r="H41" s="38" t="str">
        <f t="shared" si="6"/>
        <v/>
      </c>
      <c r="I41" s="37" t="str">
        <f t="shared" si="7"/>
        <v/>
      </c>
      <c r="J41" s="60"/>
      <c r="K41" s="60"/>
    </row>
    <row r="42" spans="1:11" ht="15.6">
      <c r="A42" s="43" t="str">
        <v>Alamogordo - City of Alamogordo - WWTP</v>
      </c>
      <c r="B42" s="40" t="str">
        <v>NM</v>
      </c>
      <c r="C42" s="28"/>
      <c r="D42" s="29"/>
      <c r="E42" s="29" t="str">
        <f t="shared" si="4"/>
        <v/>
      </c>
      <c r="F42" s="30" t="str">
        <f t="shared" si="5"/>
        <v/>
      </c>
      <c r="G42" s="31"/>
      <c r="H42" s="31" t="str">
        <f t="shared" si="6"/>
        <v/>
      </c>
      <c r="I42" s="32" t="str">
        <f t="shared" si="7"/>
        <v/>
      </c>
      <c r="J42" s="49"/>
      <c r="K42" s="49"/>
    </row>
    <row r="43" spans="1:11" ht="15.6">
      <c r="A43" s="41" t="str">
        <v>Deming - Bilbo Booster</v>
      </c>
      <c r="B43" s="42" t="str">
        <v>NM</v>
      </c>
      <c r="C43" s="35"/>
      <c r="D43" s="36"/>
      <c r="E43" s="36" t="str">
        <f t="shared" si="4"/>
        <v/>
      </c>
      <c r="F43" s="37" t="str">
        <f t="shared" si="5"/>
        <v/>
      </c>
      <c r="G43" s="38"/>
      <c r="H43" s="38" t="str">
        <f t="shared" si="6"/>
        <v/>
      </c>
      <c r="I43" s="37" t="str">
        <f t="shared" si="7"/>
        <v/>
      </c>
      <c r="J43" s="60"/>
      <c r="K43" s="60"/>
    </row>
    <row r="44" spans="1:11" ht="15.6">
      <c r="A44" s="43" t="str">
        <v>Deming - Bilbo Well</v>
      </c>
      <c r="B44" s="40" t="str">
        <v>NM</v>
      </c>
      <c r="C44" s="28"/>
      <c r="D44" s="29"/>
      <c r="E44" s="29" t="str">
        <f t="shared" si="4"/>
        <v/>
      </c>
      <c r="F44" s="30" t="str">
        <f t="shared" si="5"/>
        <v/>
      </c>
      <c r="G44" s="31"/>
      <c r="H44" s="31" t="str">
        <f t="shared" si="6"/>
        <v/>
      </c>
      <c r="I44" s="32" t="str">
        <f t="shared" si="7"/>
        <v/>
      </c>
      <c r="J44" s="49"/>
      <c r="K44" s="49"/>
    </row>
    <row r="45" spans="1:11" ht="15.6">
      <c r="A45" s="41" t="str">
        <v>Deming - WWTP</v>
      </c>
      <c r="B45" s="42" t="str">
        <v>NM</v>
      </c>
      <c r="C45" s="35"/>
      <c r="D45" s="36"/>
      <c r="E45" s="36" t="str">
        <f t="shared" si="4"/>
        <v/>
      </c>
      <c r="F45" s="37" t="str">
        <f t="shared" si="5"/>
        <v/>
      </c>
      <c r="G45" s="38"/>
      <c r="H45" s="38" t="str">
        <f t="shared" si="6"/>
        <v/>
      </c>
      <c r="I45" s="37" t="str">
        <f t="shared" si="7"/>
        <v/>
      </c>
      <c r="J45" s="60"/>
      <c r="K45" s="60"/>
    </row>
    <row r="46" spans="1:11" ht="15.6">
      <c r="A46" s="43" t="str">
        <v>Truth or Consequences - Walmart</v>
      </c>
      <c r="B46" s="40" t="str">
        <v>NM</v>
      </c>
      <c r="C46" s="28"/>
      <c r="D46" s="29"/>
      <c r="E46" s="29" t="str">
        <f t="shared" si="4"/>
        <v/>
      </c>
      <c r="F46" s="30" t="str">
        <f t="shared" si="5"/>
        <v/>
      </c>
      <c r="G46" s="31"/>
      <c r="H46" s="31" t="str">
        <f t="shared" si="6"/>
        <v/>
      </c>
      <c r="I46" s="32" t="str">
        <f t="shared" si="7"/>
        <v/>
      </c>
      <c r="J46" s="49"/>
      <c r="K46" s="49"/>
    </row>
    <row r="47" spans="1:11" ht="15.6">
      <c r="A47" s="41" t="str">
        <v>CA: Stockton - SUSD - Merlo</v>
      </c>
      <c r="B47" s="42" t="str">
        <v>CA</v>
      </c>
      <c r="C47" s="35"/>
      <c r="D47" s="36"/>
      <c r="E47" s="36" t="str">
        <f t="shared" si="4"/>
        <v/>
      </c>
      <c r="F47" s="37" t="str">
        <f t="shared" si="5"/>
        <v/>
      </c>
      <c r="G47" s="38"/>
      <c r="H47" s="38" t="str">
        <f t="shared" si="6"/>
        <v/>
      </c>
      <c r="I47" s="37" t="str">
        <f t="shared" si="7"/>
        <v/>
      </c>
      <c r="J47" s="60"/>
      <c r="K47" s="60"/>
    </row>
    <row r="48" spans="1:11" ht="15.6">
      <c r="A48" s="43" t="str">
        <v>Stockton Unified School Dist. - Bush Elementary</v>
      </c>
      <c r="B48" s="40" t="str">
        <v>CA</v>
      </c>
      <c r="C48" s="28"/>
      <c r="D48" s="29"/>
      <c r="E48" s="29" t="str">
        <f t="shared" si="4"/>
        <v/>
      </c>
      <c r="F48" s="30" t="str">
        <f t="shared" si="5"/>
        <v/>
      </c>
      <c r="G48" s="31"/>
      <c r="H48" s="31" t="str">
        <f t="shared" si="6"/>
        <v/>
      </c>
      <c r="I48" s="32" t="str">
        <f t="shared" si="7"/>
        <v/>
      </c>
      <c r="J48" s="49"/>
      <c r="K48" s="49"/>
    </row>
    <row r="49" spans="1:11" ht="15.6">
      <c r="A49" s="41" t="str">
        <v>CA: Stockton - SUSD - Marshall JHS</v>
      </c>
      <c r="B49" s="42" t="str">
        <v>CA</v>
      </c>
      <c r="C49" s="35"/>
      <c r="D49" s="36"/>
      <c r="E49" s="36" t="str">
        <f t="shared" si="4"/>
        <v/>
      </c>
      <c r="F49" s="37" t="str">
        <f t="shared" si="5"/>
        <v/>
      </c>
      <c r="G49" s="38"/>
      <c r="H49" s="38" t="str">
        <f t="shared" si="6"/>
        <v/>
      </c>
      <c r="I49" s="37" t="str">
        <f t="shared" si="7"/>
        <v/>
      </c>
      <c r="J49" s="60"/>
      <c r="K49" s="60"/>
    </row>
    <row r="50" spans="1:11" ht="15.6">
      <c r="A50" s="43" t="str">
        <v>CA: Stockton - SUSD - Hong-Kingston ES</v>
      </c>
      <c r="B50" s="40" t="str">
        <v>CA</v>
      </c>
      <c r="C50" s="28"/>
      <c r="D50" s="29"/>
      <c r="E50" s="29" t="str">
        <f t="shared" si="4"/>
        <v/>
      </c>
      <c r="F50" s="30" t="str">
        <f t="shared" si="5"/>
        <v/>
      </c>
      <c r="G50" s="31"/>
      <c r="H50" s="31" t="str">
        <f t="shared" si="6"/>
        <v/>
      </c>
      <c r="I50" s="32" t="str">
        <f t="shared" si="7"/>
        <v/>
      </c>
      <c r="J50" s="49"/>
      <c r="K50" s="49"/>
    </row>
    <row r="51" spans="1:11" ht="15.6">
      <c r="A51" s="41" t="str">
        <v>CA: Stockton - SUSD - Hamilton ES</v>
      </c>
      <c r="B51" s="42" t="str">
        <v>CA</v>
      </c>
      <c r="C51" s="35"/>
      <c r="D51" s="36"/>
      <c r="E51" s="36" t="str">
        <f t="shared" si="4"/>
        <v/>
      </c>
      <c r="F51" s="37" t="str">
        <f t="shared" si="5"/>
        <v/>
      </c>
      <c r="G51" s="38"/>
      <c r="H51" s="38" t="str">
        <f t="shared" si="6"/>
        <v/>
      </c>
      <c r="I51" s="37" t="str">
        <f t="shared" si="7"/>
        <v/>
      </c>
      <c r="J51" s="60"/>
      <c r="K51" s="60"/>
    </row>
    <row r="52" spans="1:11" ht="15.6">
      <c r="A52" s="43" t="str">
        <v>CA: Stockton - SUSD - Franklin - North</v>
      </c>
      <c r="B52" s="40" t="str">
        <v>CA</v>
      </c>
      <c r="C52" s="28"/>
      <c r="D52" s="29"/>
      <c r="E52" s="29" t="str">
        <f t="shared" si="4"/>
        <v/>
      </c>
      <c r="F52" s="30" t="str">
        <f t="shared" si="5"/>
        <v/>
      </c>
      <c r="G52" s="31"/>
      <c r="H52" s="31" t="str">
        <f t="shared" si="6"/>
        <v/>
      </c>
      <c r="I52" s="32" t="str">
        <f t="shared" si="7"/>
        <v/>
      </c>
      <c r="J52" s="49"/>
      <c r="K52" s="49"/>
    </row>
    <row r="53" spans="1:11" ht="15.6">
      <c r="A53" s="41" t="str">
        <v>Stockton Unified School Dist. - Fillmore Elementary</v>
      </c>
      <c r="B53" s="42" t="str">
        <v>CA</v>
      </c>
      <c r="C53" s="35"/>
      <c r="D53" s="36"/>
      <c r="E53" s="36" t="str">
        <f t="shared" si="4"/>
        <v/>
      </c>
      <c r="F53" s="37" t="str">
        <f t="shared" si="5"/>
        <v/>
      </c>
      <c r="G53" s="38"/>
      <c r="H53" s="38" t="str">
        <f t="shared" si="6"/>
        <v/>
      </c>
      <c r="I53" s="37" t="str">
        <f t="shared" si="7"/>
        <v/>
      </c>
      <c r="J53" s="60"/>
      <c r="K53" s="60"/>
    </row>
    <row r="54" spans="1:11" ht="15.6">
      <c r="A54" s="43" t="str">
        <v>CA: Stockton - SUSD - El Dorado ES</v>
      </c>
      <c r="B54" s="40" t="str">
        <v>CA</v>
      </c>
      <c r="C54" s="28"/>
      <c r="D54" s="29"/>
      <c r="E54" s="29" t="str">
        <f t="shared" si="4"/>
        <v/>
      </c>
      <c r="F54" s="30" t="str">
        <f t="shared" si="5"/>
        <v/>
      </c>
      <c r="G54" s="31"/>
      <c r="H54" s="31" t="str">
        <f t="shared" si="6"/>
        <v/>
      </c>
      <c r="I54" s="32" t="str">
        <f t="shared" si="7"/>
        <v/>
      </c>
      <c r="J54" s="49"/>
      <c r="K54" s="49"/>
    </row>
    <row r="55" spans="1:11" ht="15.6">
      <c r="A55" s="41" t="str">
        <v>CA: Stockton - SUSD - Edison HS</v>
      </c>
      <c r="B55" s="42" t="str">
        <v>CA</v>
      </c>
      <c r="C55" s="35"/>
      <c r="D55" s="36"/>
      <c r="E55" s="36" t="str">
        <f t="shared" si="4"/>
        <v/>
      </c>
      <c r="F55" s="37" t="str">
        <f t="shared" si="5"/>
        <v/>
      </c>
      <c r="G55" s="38"/>
      <c r="H55" s="38" t="str">
        <f t="shared" si="6"/>
        <v/>
      </c>
      <c r="I55" s="37" t="str">
        <f t="shared" si="7"/>
        <v/>
      </c>
      <c r="J55" s="60"/>
      <c r="K55" s="60"/>
    </row>
    <row r="56" spans="1:11" ht="15.6">
      <c r="A56" s="43" t="str">
        <v>CA: Stockton - SUSD - Chavez HS - Large</v>
      </c>
      <c r="B56" s="40" t="str">
        <v>CA</v>
      </c>
      <c r="C56" s="28"/>
      <c r="D56" s="29"/>
      <c r="E56" s="29" t="str">
        <f t="shared" si="4"/>
        <v/>
      </c>
      <c r="F56" s="30" t="str">
        <f t="shared" si="5"/>
        <v/>
      </c>
      <c r="G56" s="31"/>
      <c r="H56" s="31" t="str">
        <f t="shared" si="6"/>
        <v/>
      </c>
      <c r="I56" s="32" t="str">
        <f t="shared" si="7"/>
        <v/>
      </c>
      <c r="J56" s="49"/>
      <c r="K56" s="49"/>
    </row>
    <row r="57" spans="1:11" ht="15.6">
      <c r="A57" s="41" t="str">
        <v>CA: San Jose - GE Mobile Water</v>
      </c>
      <c r="B57" s="42" t="str">
        <v>CA</v>
      </c>
      <c r="C57" s="35"/>
      <c r="D57" s="36"/>
      <c r="E57" s="36" t="str">
        <f t="shared" si="4"/>
        <v/>
      </c>
      <c r="F57" s="37" t="str">
        <f t="shared" si="5"/>
        <v/>
      </c>
      <c r="G57" s="38"/>
      <c r="H57" s="38" t="str">
        <f t="shared" si="6"/>
        <v/>
      </c>
      <c r="I57" s="37" t="str">
        <f t="shared" si="7"/>
        <v/>
      </c>
      <c r="J57" s="60"/>
      <c r="K57" s="60"/>
    </row>
    <row r="58" spans="1:11" ht="15.6">
      <c r="A58" s="43" t="str">
        <v>CA: San Marcos - Vallecitos Water - Lift Station</v>
      </c>
      <c r="B58" s="40" t="str">
        <v>CA</v>
      </c>
      <c r="C58" s="28"/>
      <c r="D58" s="29"/>
      <c r="E58" s="29" t="str">
        <f t="shared" si="4"/>
        <v/>
      </c>
      <c r="F58" s="30" t="str">
        <f t="shared" si="5"/>
        <v/>
      </c>
      <c r="G58" s="31"/>
      <c r="H58" s="31" t="str">
        <f t="shared" si="6"/>
        <v/>
      </c>
      <c r="I58" s="32" t="str">
        <f t="shared" si="7"/>
        <v/>
      </c>
      <c r="J58" s="49"/>
      <c r="K58" s="49"/>
    </row>
    <row r="59" spans="1:11" ht="15.6">
      <c r="A59" s="41" t="str">
        <v>CA: San Marcos - Vallecitos Water - Twin Oaks Reservoir</v>
      </c>
      <c r="B59" s="42" t="str">
        <v>CA</v>
      </c>
      <c r="C59" s="35"/>
      <c r="D59" s="36"/>
      <c r="E59" s="36" t="str">
        <f t="shared" si="4"/>
        <v/>
      </c>
      <c r="F59" s="37" t="str">
        <f t="shared" si="5"/>
        <v/>
      </c>
      <c r="G59" s="38"/>
      <c r="H59" s="38" t="str">
        <f t="shared" si="6"/>
        <v/>
      </c>
      <c r="I59" s="37" t="str">
        <f t="shared" si="7"/>
        <v/>
      </c>
      <c r="J59" s="60"/>
      <c r="K59" s="60"/>
    </row>
    <row r="60" spans="1:11" ht="15.6">
      <c r="A60" s="43" t="str">
        <v>CA: Stockton - SUSD - Wilhelmina Henry ES</v>
      </c>
      <c r="B60" s="40" t="str">
        <v>CA</v>
      </c>
      <c r="C60" s="28"/>
      <c r="D60" s="29"/>
      <c r="E60" s="29" t="str">
        <f t="shared" si="4"/>
        <v/>
      </c>
      <c r="F60" s="30" t="str">
        <f t="shared" si="5"/>
        <v/>
      </c>
      <c r="G60" s="31"/>
      <c r="H60" s="31" t="str">
        <f t="shared" si="6"/>
        <v/>
      </c>
      <c r="I60" s="32" t="str">
        <f t="shared" si="7"/>
        <v/>
      </c>
      <c r="J60" s="49"/>
      <c r="K60" s="49"/>
    </row>
    <row r="61" spans="1:11" ht="15.6">
      <c r="A61" s="41" t="str">
        <v>Stockton Unified School Dist. - Franklin (North)</v>
      </c>
      <c r="B61" s="42" t="str">
        <v>CA</v>
      </c>
      <c r="C61" s="35"/>
      <c r="D61" s="36"/>
      <c r="E61" s="36" t="str">
        <f t="shared" si="4"/>
        <v/>
      </c>
      <c r="F61" s="37" t="str">
        <f t="shared" si="5"/>
        <v/>
      </c>
      <c r="G61" s="38"/>
      <c r="H61" s="38" t="str">
        <f t="shared" si="6"/>
        <v/>
      </c>
      <c r="I61" s="37" t="str">
        <f t="shared" si="7"/>
        <v/>
      </c>
      <c r="J61" s="60"/>
      <c r="K61" s="60"/>
    </row>
    <row r="62" spans="1:11" ht="15.6">
      <c r="A62" s="43" t="str">
        <v>CA: Stockton - SUSD - Franklin - South</v>
      </c>
      <c r="B62" s="40" t="str">
        <v>CA</v>
      </c>
      <c r="C62" s="28"/>
      <c r="D62" s="29"/>
      <c r="E62" s="29" t="str">
        <f t="shared" si="4"/>
        <v/>
      </c>
      <c r="F62" s="30" t="str">
        <f t="shared" si="5"/>
        <v/>
      </c>
      <c r="G62" s="31"/>
      <c r="H62" s="31" t="str">
        <f t="shared" si="6"/>
        <v/>
      </c>
      <c r="I62" s="32" t="str">
        <f t="shared" si="7"/>
        <v/>
      </c>
      <c r="J62" s="49"/>
      <c r="K62" s="49"/>
    </row>
    <row r="63" spans="1:11" ht="15.6">
      <c r="A63" s="41" t="str">
        <v>CA: Stockton - SUSD - Chavez HS - Small</v>
      </c>
      <c r="B63" s="42" t="str">
        <v>CA</v>
      </c>
      <c r="C63" s="35"/>
      <c r="D63" s="36"/>
      <c r="E63" s="36" t="str">
        <f t="shared" si="4"/>
        <v/>
      </c>
      <c r="F63" s="37" t="str">
        <f t="shared" si="5"/>
        <v/>
      </c>
      <c r="G63" s="38"/>
      <c r="H63" s="38" t="str">
        <f t="shared" si="6"/>
        <v/>
      </c>
      <c r="I63" s="37" t="str">
        <f t="shared" si="7"/>
        <v/>
      </c>
      <c r="J63" s="60"/>
      <c r="K63" s="60"/>
    </row>
    <row r="64" spans="1:11" ht="15.6">
      <c r="A64" s="43" t="str">
        <v>CA: Stockton - SUSD - Facilities</v>
      </c>
      <c r="B64" s="40" t="str">
        <v>CA</v>
      </c>
      <c r="C64" s="28"/>
      <c r="D64" s="29"/>
      <c r="E64" s="29" t="str">
        <f t="shared" si="4"/>
        <v/>
      </c>
      <c r="F64" s="30" t="str">
        <f t="shared" si="5"/>
        <v/>
      </c>
      <c r="G64" s="31"/>
      <c r="H64" s="31" t="str">
        <f t="shared" si="6"/>
        <v/>
      </c>
      <c r="I64" s="32" t="str">
        <f t="shared" si="7"/>
        <v/>
      </c>
      <c r="J64" s="49"/>
      <c r="K64" s="49"/>
    </row>
    <row r="65" spans="1:11" ht="15.6">
      <c r="A65" s="41" t="str">
        <v>CA: Stockton - SUSD - Harrison</v>
      </c>
      <c r="B65" s="42" t="str">
        <v>CA</v>
      </c>
      <c r="C65" s="35"/>
      <c r="D65" s="36"/>
      <c r="E65" s="36" t="str">
        <f t="shared" si="4"/>
        <v/>
      </c>
      <c r="F65" s="37" t="str">
        <f t="shared" si="5"/>
        <v/>
      </c>
      <c r="G65" s="38"/>
      <c r="H65" s="38" t="str">
        <f t="shared" si="6"/>
        <v/>
      </c>
      <c r="I65" s="37" t="str">
        <f t="shared" si="7"/>
        <v/>
      </c>
      <c r="J65" s="60"/>
      <c r="K65" s="60"/>
    </row>
    <row r="66" spans="1:11" ht="15.6">
      <c r="A66" s="43" t="str">
        <v>CA: Stockton - SUSD - Commodore Skills School</v>
      </c>
      <c r="B66" s="40" t="str">
        <v>CA</v>
      </c>
      <c r="C66" s="28"/>
      <c r="D66" s="29"/>
      <c r="E66" s="29" t="str">
        <f t="shared" si="4"/>
        <v/>
      </c>
      <c r="F66" s="30" t="str">
        <f t="shared" si="5"/>
        <v/>
      </c>
      <c r="G66" s="31"/>
      <c r="H66" s="31" t="str">
        <f t="shared" si="6"/>
        <v/>
      </c>
      <c r="I66" s="32" t="str">
        <f t="shared" si="7"/>
        <v/>
      </c>
      <c r="J66" s="49"/>
      <c r="K66" s="49"/>
    </row>
    <row r="67" spans="1:11" ht="15.6">
      <c r="A67" s="41" t="str">
        <v>CA: Stockton - SUSD - Nightingale ES</v>
      </c>
      <c r="B67" s="42" t="str">
        <v>CA</v>
      </c>
      <c r="C67" s="35"/>
      <c r="D67" s="36"/>
      <c r="E67" s="36" t="str">
        <f t="shared" si="4"/>
        <v/>
      </c>
      <c r="F67" s="37" t="str">
        <f t="shared" si="5"/>
        <v/>
      </c>
      <c r="G67" s="38"/>
      <c r="H67" s="38" t="str">
        <f t="shared" si="6"/>
        <v/>
      </c>
      <c r="I67" s="37" t="str">
        <f t="shared" si="7"/>
        <v/>
      </c>
      <c r="J67" s="60"/>
      <c r="K67" s="60"/>
    </row>
    <row r="68" spans="1:11" ht="15.6">
      <c r="A68" s="43" t="str">
        <v>CA: Stockton - SUSD - Weber Institute</v>
      </c>
      <c r="B68" s="40" t="str">
        <v>CA</v>
      </c>
      <c r="C68" s="28"/>
      <c r="D68" s="29"/>
      <c r="E68" s="29" t="str">
        <f t="shared" si="4"/>
        <v/>
      </c>
      <c r="F68" s="30" t="str">
        <f t="shared" si="5"/>
        <v/>
      </c>
      <c r="G68" s="31"/>
      <c r="H68" s="31" t="str">
        <f t="shared" si="6"/>
        <v/>
      </c>
      <c r="I68" s="32" t="str">
        <f t="shared" si="7"/>
        <v/>
      </c>
      <c r="J68" s="49"/>
      <c r="K68" s="49"/>
    </row>
    <row r="69" spans="1:11" ht="15.6">
      <c r="A69" s="41" t="str">
        <v>CA: Stockton - SUSD - Warehouse</v>
      </c>
      <c r="B69" s="42" t="str">
        <v>CA</v>
      </c>
      <c r="C69" s="35"/>
      <c r="D69" s="36"/>
      <c r="E69" s="36" t="str">
        <f t="shared" si="4"/>
        <v/>
      </c>
      <c r="F69" s="37" t="str">
        <f t="shared" si="5"/>
        <v/>
      </c>
      <c r="G69" s="38"/>
      <c r="H69" s="38" t="str">
        <f t="shared" si="6"/>
        <v/>
      </c>
      <c r="I69" s="37" t="str">
        <f t="shared" si="7"/>
        <v/>
      </c>
      <c r="J69" s="60"/>
      <c r="K69" s="60"/>
    </row>
    <row r="70" spans="1:11" ht="15.6">
      <c r="A70" s="43" t="str">
        <v>CA: Stockton - SUSD - Walton Special Center</v>
      </c>
      <c r="B70" s="40" t="str">
        <v>CA</v>
      </c>
      <c r="C70" s="28"/>
      <c r="D70" s="29"/>
      <c r="E70" s="29" t="str">
        <f t="shared" si="4"/>
        <v/>
      </c>
      <c r="F70" s="30" t="str">
        <f t="shared" si="5"/>
        <v/>
      </c>
      <c r="G70" s="31"/>
      <c r="H70" s="31" t="str">
        <f t="shared" si="6"/>
        <v/>
      </c>
      <c r="I70" s="32" t="str">
        <f t="shared" si="7"/>
        <v/>
      </c>
      <c r="J70" s="49"/>
      <c r="K70" s="49"/>
    </row>
    <row r="71" spans="1:11" ht="15.6">
      <c r="A71" s="41" t="str">
        <v>CA: Stockton - SUSD - Stagg HS</v>
      </c>
      <c r="B71" s="42" t="str">
        <v>CA</v>
      </c>
      <c r="C71" s="35"/>
      <c r="D71" s="36"/>
      <c r="E71" s="36" t="str">
        <f t="shared" si="4"/>
        <v/>
      </c>
      <c r="F71" s="37" t="str">
        <f t="shared" si="5"/>
        <v/>
      </c>
      <c r="G71" s="38"/>
      <c r="H71" s="38" t="str">
        <f t="shared" si="6"/>
        <v/>
      </c>
      <c r="I71" s="37" t="str">
        <f t="shared" si="7"/>
        <v/>
      </c>
      <c r="J71" s="60"/>
      <c r="K71" s="60"/>
    </row>
    <row r="72" spans="1:11" ht="15.6">
      <c r="A72" s="43" t="str">
        <v>CA: Stockton - SUSD - School for Adults</v>
      </c>
      <c r="B72" s="40" t="str">
        <v>CA</v>
      </c>
      <c r="C72" s="28"/>
      <c r="D72" s="29"/>
      <c r="E72" s="29" t="str">
        <f t="shared" si="4"/>
        <v/>
      </c>
      <c r="F72" s="30" t="str">
        <f t="shared" si="5"/>
        <v/>
      </c>
      <c r="G72" s="31"/>
      <c r="H72" s="31" t="str">
        <f t="shared" si="6"/>
        <v/>
      </c>
      <c r="I72" s="32" t="str">
        <f t="shared" si="7"/>
        <v/>
      </c>
      <c r="J72" s="49"/>
      <c r="K72" s="49"/>
    </row>
    <row r="73" spans="1:11" ht="15.6">
      <c r="A73" s="41" t="str">
        <v>CA: Stockton - SUSD - San Joaquin</v>
      </c>
      <c r="B73" s="42" t="str">
        <v>CA</v>
      </c>
      <c r="C73" s="35"/>
      <c r="D73" s="36"/>
      <c r="E73" s="36" t="str">
        <f t="shared" si="4"/>
        <v/>
      </c>
      <c r="F73" s="37" t="str">
        <f t="shared" si="5"/>
        <v/>
      </c>
      <c r="G73" s="38"/>
      <c r="H73" s="38" t="str">
        <f t="shared" si="6"/>
        <v/>
      </c>
      <c r="I73" s="37" t="str">
        <f t="shared" si="7"/>
        <v/>
      </c>
      <c r="J73" s="60"/>
      <c r="K73" s="60"/>
    </row>
    <row r="74" spans="1:11" ht="15.6">
      <c r="A74" s="43" t="str">
        <v>CA: Stockton - SUSD - Rio Calaveras</v>
      </c>
      <c r="B74" s="40" t="str">
        <v>CA</v>
      </c>
      <c r="C74" s="28"/>
      <c r="D74" s="29"/>
      <c r="E74" s="29" t="str">
        <f t="shared" si="4"/>
        <v/>
      </c>
      <c r="F74" s="30" t="str">
        <f t="shared" si="5"/>
        <v/>
      </c>
      <c r="G74" s="31"/>
      <c r="H74" s="31" t="str">
        <f t="shared" si="6"/>
        <v/>
      </c>
      <c r="I74" s="32" t="str">
        <f t="shared" si="7"/>
        <v/>
      </c>
      <c r="J74" s="49"/>
      <c r="K74" s="49"/>
    </row>
    <row r="75" spans="1:11" ht="15.6">
      <c r="A75" s="41" t="str">
        <v>CA: Stockton - SUSD - Peyton</v>
      </c>
      <c r="B75" s="42" t="str">
        <v>CA</v>
      </c>
      <c r="C75" s="35"/>
      <c r="D75" s="36"/>
      <c r="E75" s="36" t="str">
        <f t="shared" si="4"/>
        <v/>
      </c>
      <c r="F75" s="37" t="str">
        <f t="shared" si="5"/>
        <v/>
      </c>
      <c r="G75" s="38"/>
      <c r="H75" s="38" t="str">
        <f t="shared" si="6"/>
        <v/>
      </c>
      <c r="I75" s="37" t="str">
        <f t="shared" si="7"/>
        <v/>
      </c>
      <c r="J75" s="60"/>
      <c r="K75" s="60"/>
    </row>
    <row r="76" spans="1:11" ht="15.6">
      <c r="A76" s="43" t="str">
        <v>TX: Barnhart - 42917 Ranch RD 2469</v>
      </c>
      <c r="B76" s="40" t="str">
        <v>TX</v>
      </c>
      <c r="C76" s="28"/>
      <c r="D76" s="29"/>
      <c r="E76" s="29" t="str">
        <f t="shared" si="4"/>
        <v/>
      </c>
      <c r="F76" s="30" t="str">
        <f t="shared" si="5"/>
        <v/>
      </c>
      <c r="G76" s="31"/>
      <c r="H76" s="31" t="str">
        <f t="shared" si="6"/>
        <v/>
      </c>
      <c r="I76" s="32" t="str">
        <f t="shared" si="7"/>
        <v/>
      </c>
      <c r="J76" s="49"/>
      <c r="K76" s="49"/>
    </row>
    <row r="77" spans="1:11" ht="15.6">
      <c r="A77" s="41" t="str">
        <v>AZ: San Manuel - Senior &amp; Junior HS</v>
      </c>
      <c r="B77" s="42" t="str">
        <v>AZ</v>
      </c>
      <c r="C77" s="35"/>
      <c r="D77" s="36"/>
      <c r="E77" s="36" t="str">
        <f t="shared" ref="E77:E85" si="8">IF(AND(ISNUMBER(C77),ISNUMBER(D77)), C77-D77, "")</f>
        <v/>
      </c>
      <c r="F77" s="37" t="str">
        <f t="shared" ref="F77:F85" si="9">IFERROR(E77/D77, "")</f>
        <v/>
      </c>
      <c r="G77" s="38"/>
      <c r="H77" s="38" t="str">
        <f t="shared" ref="H77:H85" si="10">IF(AND(ISNUMBER(C77),ISNUMBER(G77)), C77-G77, "")</f>
        <v/>
      </c>
      <c r="I77" s="37" t="str">
        <f t="shared" ref="I77:I85" si="11">IFERROR(H77/G77, "")</f>
        <v/>
      </c>
      <c r="J77" s="60"/>
      <c r="K77" s="60"/>
    </row>
    <row r="78" spans="1:11" ht="15.6">
      <c r="A78" s="43" t="str">
        <v>AZ: Sierra Vista - Colonel Smith MS</v>
      </c>
      <c r="B78" s="40" t="str">
        <v>AZ</v>
      </c>
      <c r="C78" s="28"/>
      <c r="D78" s="29"/>
      <c r="E78" s="29" t="str">
        <f t="shared" si="8"/>
        <v/>
      </c>
      <c r="F78" s="30" t="str">
        <f t="shared" si="9"/>
        <v/>
      </c>
      <c r="G78" s="31"/>
      <c r="H78" s="31" t="str">
        <f t="shared" si="10"/>
        <v/>
      </c>
      <c r="I78" s="32" t="str">
        <f t="shared" si="11"/>
        <v/>
      </c>
      <c r="J78" s="49"/>
      <c r="K78" s="49"/>
    </row>
    <row r="79" spans="1:11" ht="15.6">
      <c r="A79" s="41" t="str">
        <v>AZ: Sierra Vista - Colonel Johnston ES</v>
      </c>
      <c r="B79" s="42" t="str">
        <v>AZ</v>
      </c>
      <c r="C79" s="35"/>
      <c r="D79" s="36"/>
      <c r="E79" s="36" t="str">
        <f t="shared" si="8"/>
        <v/>
      </c>
      <c r="F79" s="37" t="str">
        <f t="shared" si="9"/>
        <v/>
      </c>
      <c r="G79" s="38"/>
      <c r="H79" s="38" t="str">
        <f t="shared" si="10"/>
        <v/>
      </c>
      <c r="I79" s="37" t="str">
        <f t="shared" si="11"/>
        <v/>
      </c>
      <c r="J79" s="60"/>
      <c r="K79" s="60"/>
    </row>
    <row r="80" spans="1:11" ht="15.6">
      <c r="A80" s="43" t="str">
        <v>NH: Dover - Dover HS</v>
      </c>
      <c r="B80" s="40" t="str">
        <v>NH</v>
      </c>
      <c r="C80" s="28"/>
      <c r="D80" s="29"/>
      <c r="E80" s="29" t="str">
        <f t="shared" si="8"/>
        <v/>
      </c>
      <c r="F80" s="30" t="str">
        <f t="shared" si="9"/>
        <v/>
      </c>
      <c r="G80" s="31"/>
      <c r="H80" s="31" t="str">
        <f t="shared" si="10"/>
        <v/>
      </c>
      <c r="I80" s="32" t="str">
        <f t="shared" si="11"/>
        <v/>
      </c>
      <c r="J80" s="49"/>
      <c r="K80" s="49"/>
    </row>
    <row r="81" spans="1:11" ht="15.6">
      <c r="A81" s="41" t="str">
        <v>MA: Somerville - 30 Inner Belt Rd</v>
      </c>
      <c r="B81" s="42" t="str">
        <v>MA</v>
      </c>
      <c r="C81" s="35"/>
      <c r="D81" s="36"/>
      <c r="E81" s="36" t="str">
        <f t="shared" si="8"/>
        <v/>
      </c>
      <c r="F81" s="37" t="str">
        <f t="shared" si="9"/>
        <v/>
      </c>
      <c r="G81" s="38"/>
      <c r="H81" s="38" t="str">
        <f t="shared" si="10"/>
        <v/>
      </c>
      <c r="I81" s="37" t="str">
        <f t="shared" si="11"/>
        <v/>
      </c>
      <c r="J81" s="60"/>
      <c r="K81" s="60"/>
    </row>
    <row r="82" spans="1:11" ht="15.6">
      <c r="A82" s="43" t="str">
        <v>MA: Boxborough - 1414 Massachusetts Ave</v>
      </c>
      <c r="B82" s="40" t="str">
        <v>MA</v>
      </c>
      <c r="C82" s="28"/>
      <c r="D82" s="29"/>
      <c r="E82" s="29" t="str">
        <f t="shared" si="8"/>
        <v/>
      </c>
      <c r="F82" s="30" t="str">
        <f t="shared" si="9"/>
        <v/>
      </c>
      <c r="G82" s="31"/>
      <c r="H82" s="31" t="str">
        <f t="shared" si="10"/>
        <v/>
      </c>
      <c r="I82" s="32" t="str">
        <f t="shared" si="11"/>
        <v/>
      </c>
      <c r="J82" s="49"/>
      <c r="K82" s="49"/>
    </row>
    <row r="83" spans="1:11" ht="15.6">
      <c r="A83" s="41" t="str">
        <v>NY: Amsterdam - 153 NY Route 67</v>
      </c>
      <c r="B83" s="42" t="str">
        <v>NY</v>
      </c>
      <c r="C83" s="35"/>
      <c r="D83" s="36"/>
      <c r="E83" s="36" t="str">
        <f t="shared" si="8"/>
        <v/>
      </c>
      <c r="F83" s="37" t="str">
        <f t="shared" si="9"/>
        <v/>
      </c>
      <c r="G83" s="38"/>
      <c r="H83" s="38" t="str">
        <f t="shared" si="10"/>
        <v/>
      </c>
      <c r="I83" s="37" t="str">
        <f t="shared" si="11"/>
        <v/>
      </c>
      <c r="J83" s="60"/>
      <c r="K83" s="60"/>
    </row>
    <row r="84" spans="1:11" ht="15.6">
      <c r="A84" s="43" t="str">
        <v>CA: San Jose - GE Mobile Water</v>
      </c>
      <c r="B84" s="40" t="str">
        <v>CA</v>
      </c>
      <c r="C84" s="28"/>
      <c r="D84" s="29"/>
      <c r="E84" s="29" t="str">
        <f t="shared" si="8"/>
        <v/>
      </c>
      <c r="F84" s="30" t="str">
        <f t="shared" si="9"/>
        <v/>
      </c>
      <c r="G84" s="31"/>
      <c r="H84" s="31" t="str">
        <f t="shared" si="10"/>
        <v/>
      </c>
      <c r="I84" s="32" t="str">
        <f t="shared" si="11"/>
        <v/>
      </c>
      <c r="J84" s="49"/>
      <c r="K84" s="49"/>
    </row>
    <row r="85" spans="1:11" ht="15.6">
      <c r="A85" s="41" t="str">
        <v>NY: Rome - 7776 Tannery RD</v>
      </c>
      <c r="B85" s="42" t="str">
        <v>NY</v>
      </c>
      <c r="C85" s="35"/>
      <c r="D85" s="36"/>
      <c r="E85" s="36" t="str">
        <f t="shared" si="8"/>
        <v/>
      </c>
      <c r="F85" s="37" t="str">
        <f t="shared" si="9"/>
        <v/>
      </c>
      <c r="G85" s="38"/>
      <c r="H85" s="38" t="str">
        <f t="shared" si="10"/>
        <v/>
      </c>
      <c r="I85" s="37" t="str">
        <f t="shared" si="11"/>
        <v/>
      </c>
      <c r="J85" s="60"/>
      <c r="K85" s="60"/>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5 I4:I85">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85"/>
  <sheetViews>
    <sheetView workbookViewId="0">
      <pane ySplit="3" topLeftCell="A10" activePane="bottomLeft" state="frozen"/>
      <selection pane="bottomLeft" activeCell="A20" sqref="A20:E2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970</v>
      </c>
      <c r="B1" t="s">
        <v>971</v>
      </c>
    </row>
    <row r="3" spans="1:12" ht="13.15">
      <c r="A3" t="s">
        <v>972</v>
      </c>
      <c r="B3" t="s">
        <v>3</v>
      </c>
      <c r="C3" t="s">
        <v>4</v>
      </c>
      <c r="D3" t="s">
        <v>973</v>
      </c>
      <c r="E3" s="2" t="s">
        <v>974</v>
      </c>
    </row>
    <row r="4" spans="1:12" ht="14.45">
      <c r="A4" s="18" t="s">
        <v>975</v>
      </c>
      <c r="B4" t="s">
        <v>976</v>
      </c>
      <c r="C4" s="17" t="s">
        <v>977</v>
      </c>
      <c r="D4" s="16"/>
      <c r="E4" t="s">
        <v>978</v>
      </c>
      <c r="G4" s="3"/>
    </row>
    <row r="5" spans="1:12" ht="14.45">
      <c r="A5" s="18" t="s">
        <v>979</v>
      </c>
      <c r="B5" t="s">
        <v>980</v>
      </c>
      <c r="C5" s="17" t="s">
        <v>981</v>
      </c>
      <c r="D5" s="16"/>
      <c r="E5" t="s">
        <v>982</v>
      </c>
      <c r="G5" s="3"/>
    </row>
    <row r="6" spans="1:12" ht="12.75" customHeight="1">
      <c r="A6" s="18" t="s">
        <v>983</v>
      </c>
      <c r="B6" t="s">
        <v>983</v>
      </c>
      <c r="C6" s="17" t="s">
        <v>977</v>
      </c>
      <c r="D6" s="16"/>
      <c r="E6" t="s">
        <v>984</v>
      </c>
      <c r="K6" s="15"/>
      <c r="L6" s="15"/>
    </row>
    <row r="7" spans="1:12" ht="12.75" customHeight="1">
      <c r="A7" s="64" t="s">
        <v>985</v>
      </c>
      <c r="B7" s="65" t="s">
        <v>986</v>
      </c>
      <c r="C7" s="17" t="s">
        <v>977</v>
      </c>
      <c r="E7" t="s">
        <v>978</v>
      </c>
      <c r="K7" s="15"/>
      <c r="L7" s="15"/>
    </row>
    <row r="8" spans="1:12" ht="12.75" customHeight="1">
      <c r="A8" s="64" t="s">
        <v>987</v>
      </c>
      <c r="B8" s="65" t="s">
        <v>988</v>
      </c>
      <c r="C8" s="17" t="s">
        <v>989</v>
      </c>
      <c r="E8" s="70" t="s">
        <v>990</v>
      </c>
      <c r="K8" s="15"/>
      <c r="L8" s="15"/>
    </row>
    <row r="9" spans="1:12" ht="12.75" customHeight="1">
      <c r="A9" s="64" t="s">
        <v>991</v>
      </c>
      <c r="B9" s="65" t="s">
        <v>992</v>
      </c>
      <c r="C9" s="17" t="s">
        <v>993</v>
      </c>
      <c r="D9" t="s">
        <v>994</v>
      </c>
      <c r="E9" t="s">
        <v>984</v>
      </c>
      <c r="K9" s="15"/>
      <c r="L9" s="15"/>
    </row>
    <row r="10" spans="1:12" ht="12.75" customHeight="1">
      <c r="A10" s="64" t="s">
        <v>995</v>
      </c>
      <c r="B10" s="65" t="s">
        <v>996</v>
      </c>
      <c r="C10" s="17" t="s">
        <v>993</v>
      </c>
      <c r="D10" t="s">
        <v>994</v>
      </c>
      <c r="E10" t="s">
        <v>984</v>
      </c>
    </row>
    <row r="11" spans="1:12" ht="12.75" customHeight="1">
      <c r="A11" s="64" t="s">
        <v>997</v>
      </c>
      <c r="B11" s="65" t="s">
        <v>998</v>
      </c>
      <c r="C11" s="17" t="s">
        <v>993</v>
      </c>
      <c r="D11" t="s">
        <v>994</v>
      </c>
      <c r="E11" t="s">
        <v>984</v>
      </c>
    </row>
    <row r="12" spans="1:12" ht="12.75" customHeight="1">
      <c r="A12" s="64" t="s">
        <v>999</v>
      </c>
      <c r="B12" s="65" t="s">
        <v>1000</v>
      </c>
      <c r="C12" s="17" t="s">
        <v>993</v>
      </c>
      <c r="D12" t="s">
        <v>994</v>
      </c>
      <c r="E12" t="s">
        <v>984</v>
      </c>
    </row>
    <row r="13" spans="1:12" ht="12.75" customHeight="1">
      <c r="A13" s="64" t="s">
        <v>1001</v>
      </c>
      <c r="B13" s="65" t="s">
        <v>1002</v>
      </c>
      <c r="C13" s="17" t="s">
        <v>993</v>
      </c>
      <c r="D13" t="s">
        <v>994</v>
      </c>
      <c r="E13" t="s">
        <v>984</v>
      </c>
    </row>
    <row r="14" spans="1:12" ht="12.75" customHeight="1">
      <c r="A14" s="64" t="s">
        <v>1003</v>
      </c>
      <c r="B14" s="65" t="s">
        <v>1004</v>
      </c>
      <c r="C14" s="17" t="s">
        <v>993</v>
      </c>
      <c r="E14" t="s">
        <v>984</v>
      </c>
    </row>
    <row r="15" spans="1:12" ht="12.75" customHeight="1">
      <c r="A15" s="64" t="s">
        <v>1005</v>
      </c>
      <c r="B15" s="65" t="s">
        <v>1006</v>
      </c>
      <c r="C15" s="17" t="s">
        <v>993</v>
      </c>
      <c r="D15" t="s">
        <v>994</v>
      </c>
      <c r="E15" t="s">
        <v>984</v>
      </c>
    </row>
    <row r="16" spans="1:12" ht="12.75" customHeight="1">
      <c r="A16" s="64" t="s">
        <v>1007</v>
      </c>
      <c r="B16" s="65" t="s">
        <v>1008</v>
      </c>
      <c r="C16" s="17" t="s">
        <v>993</v>
      </c>
      <c r="D16" t="s">
        <v>994</v>
      </c>
      <c r="E16" t="s">
        <v>984</v>
      </c>
    </row>
    <row r="17" spans="1:5" ht="12.75" customHeight="1">
      <c r="A17" s="64" t="s">
        <v>1009</v>
      </c>
      <c r="B17" s="65" t="s">
        <v>1010</v>
      </c>
      <c r="C17" s="17" t="s">
        <v>1011</v>
      </c>
      <c r="E17" t="s">
        <v>1012</v>
      </c>
    </row>
    <row r="18" spans="1:5" ht="12.75" customHeight="1">
      <c r="A18" s="64" t="s">
        <v>1013</v>
      </c>
      <c r="B18" s="65" t="s">
        <v>1014</v>
      </c>
      <c r="C18" s="17" t="s">
        <v>1011</v>
      </c>
      <c r="E18" t="s">
        <v>1012</v>
      </c>
    </row>
    <row r="19" spans="1:5" ht="12.75" customHeight="1">
      <c r="A19" s="64" t="s">
        <v>1015</v>
      </c>
      <c r="B19" s="65" t="s">
        <v>1016</v>
      </c>
      <c r="C19" s="17" t="s">
        <v>1011</v>
      </c>
      <c r="E19" t="s">
        <v>1017</v>
      </c>
    </row>
    <row r="20" spans="1:5" ht="12.75" customHeight="1">
      <c r="A20" s="64" t="s">
        <v>1018</v>
      </c>
      <c r="B20" s="65" t="s">
        <v>1019</v>
      </c>
      <c r="C20" s="17" t="s">
        <v>989</v>
      </c>
      <c r="E20" t="s">
        <v>1017</v>
      </c>
    </row>
    <row r="21" spans="1:5" ht="12.75" customHeight="1">
      <c r="A21" s="64" t="s">
        <v>1020</v>
      </c>
      <c r="B21" s="65" t="s">
        <v>1021</v>
      </c>
      <c r="C21" s="17" t="s">
        <v>1022</v>
      </c>
      <c r="E21" t="s">
        <v>1017</v>
      </c>
    </row>
    <row r="22" spans="1:5" ht="12.75" customHeight="1">
      <c r="A22" s="64" t="s">
        <v>1023</v>
      </c>
      <c r="B22" s="65" t="s">
        <v>1024</v>
      </c>
      <c r="C22" s="17" t="s">
        <v>1022</v>
      </c>
      <c r="E22" t="s">
        <v>1017</v>
      </c>
    </row>
    <row r="23" spans="1:5" ht="12.75" customHeight="1">
      <c r="A23" s="64" t="s">
        <v>1025</v>
      </c>
      <c r="B23" s="65" t="s">
        <v>1025</v>
      </c>
      <c r="C23" s="17" t="s">
        <v>1011</v>
      </c>
      <c r="E23" t="s">
        <v>1026</v>
      </c>
    </row>
    <row r="24" spans="1:5" ht="12.75" customHeight="1">
      <c r="A24" s="64" t="s">
        <v>1027</v>
      </c>
      <c r="B24" s="65" t="s">
        <v>1028</v>
      </c>
      <c r="C24" s="17" t="s">
        <v>1011</v>
      </c>
      <c r="E24" t="s">
        <v>1026</v>
      </c>
    </row>
    <row r="25" spans="1:5" ht="12.75" customHeight="1">
      <c r="A25" s="64" t="s">
        <v>1029</v>
      </c>
      <c r="B25" s="65" t="s">
        <v>1030</v>
      </c>
      <c r="C25" s="17" t="s">
        <v>981</v>
      </c>
      <c r="D25" t="s">
        <v>1031</v>
      </c>
      <c r="E25" t="s">
        <v>1032</v>
      </c>
    </row>
    <row r="26" spans="1:5" ht="12.75" customHeight="1">
      <c r="A26" s="64" t="s">
        <v>1033</v>
      </c>
      <c r="B26" s="65" t="s">
        <v>1034</v>
      </c>
      <c r="C26" s="17" t="s">
        <v>1035</v>
      </c>
      <c r="D26" t="s">
        <v>1031</v>
      </c>
      <c r="E26" t="s">
        <v>1032</v>
      </c>
    </row>
    <row r="27" spans="1:5" ht="12.75" customHeight="1">
      <c r="A27" s="64" t="s">
        <v>1036</v>
      </c>
      <c r="B27" s="65" t="s">
        <v>1037</v>
      </c>
      <c r="C27" s="17" t="s">
        <v>1038</v>
      </c>
      <c r="D27" t="s">
        <v>1031</v>
      </c>
      <c r="E27" t="s">
        <v>1032</v>
      </c>
    </row>
    <row r="28" spans="1:5" ht="12.75" customHeight="1">
      <c r="A28" s="64" t="s">
        <v>1039</v>
      </c>
      <c r="B28" s="65" t="s">
        <v>1040</v>
      </c>
      <c r="C28" s="17" t="s">
        <v>1038</v>
      </c>
      <c r="D28" t="s">
        <v>1031</v>
      </c>
      <c r="E28" t="s">
        <v>1032</v>
      </c>
    </row>
    <row r="29" spans="1:5" ht="12.75" customHeight="1">
      <c r="A29" s="64" t="s">
        <v>1041</v>
      </c>
      <c r="B29" s="65" t="s">
        <v>1042</v>
      </c>
      <c r="C29" s="17" t="s">
        <v>1038</v>
      </c>
      <c r="E29" t="s">
        <v>1032</v>
      </c>
    </row>
    <row r="30" spans="1:5" ht="12.75" customHeight="1">
      <c r="A30" s="64" t="s">
        <v>1043</v>
      </c>
      <c r="B30" s="65" t="s">
        <v>1044</v>
      </c>
      <c r="C30" s="17" t="s">
        <v>1038</v>
      </c>
      <c r="D30" t="s">
        <v>1031</v>
      </c>
      <c r="E30" t="s">
        <v>1032</v>
      </c>
    </row>
    <row r="31" spans="1:5" ht="12.75" customHeight="1">
      <c r="A31" s="64" t="s">
        <v>1045</v>
      </c>
      <c r="B31" s="65" t="s">
        <v>1046</v>
      </c>
      <c r="C31" s="17" t="s">
        <v>1038</v>
      </c>
      <c r="D31" t="s">
        <v>1031</v>
      </c>
      <c r="E31" t="s">
        <v>1032</v>
      </c>
    </row>
    <row r="32" spans="1:5" ht="12.75" customHeight="1">
      <c r="A32" s="64" t="s">
        <v>1047</v>
      </c>
      <c r="B32" s="65" t="s">
        <v>1048</v>
      </c>
      <c r="C32" s="17" t="s">
        <v>1038</v>
      </c>
      <c r="D32" t="s">
        <v>1031</v>
      </c>
      <c r="E32" t="s">
        <v>1032</v>
      </c>
    </row>
    <row r="33" spans="1:5" ht="12.75" customHeight="1">
      <c r="A33" s="64" t="s">
        <v>1049</v>
      </c>
      <c r="B33" s="65" t="s">
        <v>1050</v>
      </c>
      <c r="C33" s="17" t="s">
        <v>1038</v>
      </c>
      <c r="E33" t="s">
        <v>1032</v>
      </c>
    </row>
    <row r="34" spans="1:5" ht="12.75" customHeight="1">
      <c r="A34" s="64" t="s">
        <v>1051</v>
      </c>
      <c r="B34" s="65" t="s">
        <v>1052</v>
      </c>
      <c r="C34" s="17" t="s">
        <v>1038</v>
      </c>
      <c r="D34" t="s">
        <v>1031</v>
      </c>
      <c r="E34" t="s">
        <v>1032</v>
      </c>
    </row>
    <row r="35" spans="1:5" ht="12.75" customHeight="1">
      <c r="A35" s="64" t="s">
        <v>1053</v>
      </c>
      <c r="B35" s="65" t="s">
        <v>1054</v>
      </c>
      <c r="C35" s="17" t="s">
        <v>1038</v>
      </c>
      <c r="D35" t="s">
        <v>1031</v>
      </c>
      <c r="E35" t="s">
        <v>1032</v>
      </c>
    </row>
    <row r="36" spans="1:5" ht="12.75" customHeight="1">
      <c r="A36" s="64" t="s">
        <v>1055</v>
      </c>
      <c r="B36" s="65" t="s">
        <v>1056</v>
      </c>
      <c r="C36" s="17" t="s">
        <v>1038</v>
      </c>
      <c r="D36" t="s">
        <v>1031</v>
      </c>
      <c r="E36" t="s">
        <v>1032</v>
      </c>
    </row>
    <row r="37" spans="1:5" ht="12.75" customHeight="1">
      <c r="A37" s="64" t="s">
        <v>1057</v>
      </c>
      <c r="B37" s="65" t="s">
        <v>1058</v>
      </c>
      <c r="C37" s="17" t="s">
        <v>1038</v>
      </c>
      <c r="D37" t="s">
        <v>1031</v>
      </c>
      <c r="E37" t="s">
        <v>1032</v>
      </c>
    </row>
    <row r="38" spans="1:5" ht="12.75" customHeight="1">
      <c r="A38" s="64" t="s">
        <v>1059</v>
      </c>
      <c r="B38" s="65" t="s">
        <v>1060</v>
      </c>
      <c r="C38" s="17" t="s">
        <v>1038</v>
      </c>
      <c r="D38" t="s">
        <v>1031</v>
      </c>
      <c r="E38" t="s">
        <v>1032</v>
      </c>
    </row>
    <row r="39" spans="1:5" ht="12.75" customHeight="1">
      <c r="A39" s="64" t="s">
        <v>1061</v>
      </c>
      <c r="B39" s="65" t="s">
        <v>1062</v>
      </c>
      <c r="C39" s="17" t="s">
        <v>1038</v>
      </c>
      <c r="D39" t="s">
        <v>1031</v>
      </c>
      <c r="E39" t="s">
        <v>1032</v>
      </c>
    </row>
    <row r="40" spans="1:5" ht="12.75" customHeight="1">
      <c r="A40" s="64" t="s">
        <v>1063</v>
      </c>
      <c r="B40" s="65" t="s">
        <v>1064</v>
      </c>
      <c r="C40" s="17" t="s">
        <v>1065</v>
      </c>
      <c r="D40" t="s">
        <v>1031</v>
      </c>
      <c r="E40" t="s">
        <v>1032</v>
      </c>
    </row>
    <row r="41" spans="1:5" ht="12.75" customHeight="1">
      <c r="A41" s="64" t="s">
        <v>1066</v>
      </c>
      <c r="B41" s="65" t="s">
        <v>1067</v>
      </c>
      <c r="C41" s="17" t="s">
        <v>1035</v>
      </c>
      <c r="D41" t="s">
        <v>1031</v>
      </c>
      <c r="E41" t="s">
        <v>1032</v>
      </c>
    </row>
    <row r="42" spans="1:5" ht="12.75" customHeight="1">
      <c r="A42" s="64" t="s">
        <v>1068</v>
      </c>
      <c r="B42" s="65" t="s">
        <v>1069</v>
      </c>
      <c r="C42" s="17" t="s">
        <v>1035</v>
      </c>
      <c r="D42" t="s">
        <v>1031</v>
      </c>
      <c r="E42" t="s">
        <v>1032</v>
      </c>
    </row>
    <row r="43" spans="1:5" ht="12.75" customHeight="1">
      <c r="A43" s="64" t="s">
        <v>1070</v>
      </c>
      <c r="B43" s="65" t="s">
        <v>1071</v>
      </c>
      <c r="C43" s="17" t="s">
        <v>1035</v>
      </c>
      <c r="D43" t="s">
        <v>994</v>
      </c>
      <c r="E43" t="s">
        <v>1032</v>
      </c>
    </row>
    <row r="44" spans="1:5" ht="12.75" customHeight="1">
      <c r="A44" s="64" t="s">
        <v>1072</v>
      </c>
      <c r="B44" s="65" t="s">
        <v>1073</v>
      </c>
      <c r="C44" s="17" t="s">
        <v>1035</v>
      </c>
      <c r="D44" t="s">
        <v>1031</v>
      </c>
      <c r="E44" t="s">
        <v>1032</v>
      </c>
    </row>
    <row r="45" spans="1:5" ht="12.75" customHeight="1">
      <c r="A45" s="64" t="s">
        <v>1074</v>
      </c>
      <c r="B45" s="65" t="s">
        <v>1075</v>
      </c>
      <c r="C45" s="17" t="s">
        <v>1035</v>
      </c>
      <c r="D45" t="s">
        <v>1031</v>
      </c>
      <c r="E45" t="s">
        <v>1032</v>
      </c>
    </row>
    <row r="46" spans="1:5" ht="12.75" customHeight="1">
      <c r="A46" s="64" t="s">
        <v>1076</v>
      </c>
      <c r="B46" s="65" t="s">
        <v>1077</v>
      </c>
      <c r="C46" s="17" t="s">
        <v>1035</v>
      </c>
      <c r="D46" t="s">
        <v>1031</v>
      </c>
      <c r="E46" t="s">
        <v>1032</v>
      </c>
    </row>
    <row r="47" spans="1:5" ht="12.75" customHeight="1">
      <c r="A47" s="64" t="s">
        <v>1078</v>
      </c>
      <c r="B47" s="65" t="s">
        <v>1079</v>
      </c>
      <c r="C47" s="17" t="s">
        <v>981</v>
      </c>
      <c r="D47" t="s">
        <v>1031</v>
      </c>
      <c r="E47" t="s">
        <v>1032</v>
      </c>
    </row>
    <row r="48" spans="1:5" ht="12.75" customHeight="1">
      <c r="A48" s="64" t="s">
        <v>1080</v>
      </c>
      <c r="B48" s="65" t="s">
        <v>1081</v>
      </c>
      <c r="C48" s="17" t="s">
        <v>981</v>
      </c>
      <c r="E48" t="s">
        <v>1032</v>
      </c>
    </row>
    <row r="49" spans="1:5" ht="12.75" customHeight="1">
      <c r="A49" s="64" t="s">
        <v>1082</v>
      </c>
      <c r="B49" s="65" t="s">
        <v>1083</v>
      </c>
      <c r="C49" s="17" t="s">
        <v>981</v>
      </c>
      <c r="D49" t="s">
        <v>1031</v>
      </c>
      <c r="E49" t="s">
        <v>1032</v>
      </c>
    </row>
    <row r="50" spans="1:5" ht="12.75" customHeight="1">
      <c r="A50" s="64" t="s">
        <v>1084</v>
      </c>
      <c r="B50" s="65" t="s">
        <v>1085</v>
      </c>
      <c r="C50" s="17" t="s">
        <v>981</v>
      </c>
      <c r="D50" t="s">
        <v>1031</v>
      </c>
      <c r="E50" t="s">
        <v>1032</v>
      </c>
    </row>
    <row r="51" spans="1:5" ht="12.75" customHeight="1">
      <c r="A51" s="64" t="s">
        <v>1086</v>
      </c>
      <c r="B51" s="65" t="s">
        <v>1087</v>
      </c>
      <c r="C51" s="17" t="s">
        <v>981</v>
      </c>
      <c r="D51" t="s">
        <v>1031</v>
      </c>
      <c r="E51" t="s">
        <v>1032</v>
      </c>
    </row>
    <row r="52" spans="1:5" ht="12.75" customHeight="1">
      <c r="A52" s="64" t="s">
        <v>1088</v>
      </c>
      <c r="B52" s="65" t="s">
        <v>1089</v>
      </c>
      <c r="C52" s="17" t="s">
        <v>981</v>
      </c>
      <c r="D52" t="s">
        <v>1031</v>
      </c>
      <c r="E52" t="s">
        <v>1032</v>
      </c>
    </row>
    <row r="53" spans="1:5" ht="12.75" customHeight="1">
      <c r="A53" s="64" t="s">
        <v>1090</v>
      </c>
      <c r="B53" s="65" t="s">
        <v>1091</v>
      </c>
      <c r="C53" s="17" t="s">
        <v>981</v>
      </c>
      <c r="E53" t="s">
        <v>1032</v>
      </c>
    </row>
    <row r="54" spans="1:5" ht="12.75" customHeight="1">
      <c r="A54" s="64" t="s">
        <v>1092</v>
      </c>
      <c r="B54" s="65" t="s">
        <v>1093</v>
      </c>
      <c r="C54" s="17" t="s">
        <v>981</v>
      </c>
      <c r="D54" t="s">
        <v>1031</v>
      </c>
      <c r="E54" t="s">
        <v>1032</v>
      </c>
    </row>
    <row r="55" spans="1:5" ht="12.75" customHeight="1">
      <c r="A55" s="64" t="s">
        <v>1094</v>
      </c>
      <c r="B55" s="65" t="s">
        <v>1095</v>
      </c>
      <c r="C55" s="17" t="s">
        <v>981</v>
      </c>
      <c r="D55" t="s">
        <v>1031</v>
      </c>
      <c r="E55" t="s">
        <v>1032</v>
      </c>
    </row>
    <row r="56" spans="1:5" ht="12.75" customHeight="1">
      <c r="A56" s="64" t="s">
        <v>1096</v>
      </c>
      <c r="B56" s="65" t="s">
        <v>1097</v>
      </c>
      <c r="C56" s="17" t="s">
        <v>981</v>
      </c>
      <c r="D56" t="s">
        <v>1031</v>
      </c>
      <c r="E56" t="s">
        <v>1032</v>
      </c>
    </row>
    <row r="57" spans="1:5" ht="12.75" customHeight="1">
      <c r="A57" s="64" t="s">
        <v>1098</v>
      </c>
      <c r="B57" s="65" t="s">
        <v>1099</v>
      </c>
      <c r="C57" s="17" t="s">
        <v>981</v>
      </c>
      <c r="D57" t="s">
        <v>1031</v>
      </c>
      <c r="E57" t="s">
        <v>1032</v>
      </c>
    </row>
    <row r="58" spans="1:5" ht="12.75" customHeight="1">
      <c r="A58" s="64" t="s">
        <v>1100</v>
      </c>
      <c r="B58" s="65" t="s">
        <v>1101</v>
      </c>
      <c r="C58" s="17" t="s">
        <v>981</v>
      </c>
      <c r="D58" t="s">
        <v>1031</v>
      </c>
      <c r="E58" t="s">
        <v>1032</v>
      </c>
    </row>
    <row r="59" spans="1:5" ht="12.75" customHeight="1">
      <c r="A59" s="64" t="s">
        <v>1102</v>
      </c>
      <c r="B59" s="65" t="s">
        <v>1103</v>
      </c>
      <c r="C59" s="17" t="s">
        <v>981</v>
      </c>
      <c r="D59" t="s">
        <v>1031</v>
      </c>
      <c r="E59" t="s">
        <v>1032</v>
      </c>
    </row>
    <row r="60" spans="1:5" ht="12.75" customHeight="1">
      <c r="A60" s="64" t="s">
        <v>1104</v>
      </c>
      <c r="B60" s="65" t="s">
        <v>1105</v>
      </c>
      <c r="C60" s="17" t="s">
        <v>981</v>
      </c>
      <c r="D60" t="s">
        <v>1031</v>
      </c>
      <c r="E60" t="s">
        <v>1032</v>
      </c>
    </row>
    <row r="61" spans="1:5" ht="12.75" customHeight="1">
      <c r="A61" s="64" t="s">
        <v>1089</v>
      </c>
      <c r="B61" s="65" t="s">
        <v>1088</v>
      </c>
      <c r="C61" s="17" t="s">
        <v>981</v>
      </c>
      <c r="E61" t="s">
        <v>1032</v>
      </c>
    </row>
    <row r="62" spans="1:5" ht="12.75" customHeight="1">
      <c r="A62" s="64" t="s">
        <v>1106</v>
      </c>
      <c r="B62" s="65" t="s">
        <v>1107</v>
      </c>
      <c r="C62" s="17" t="s">
        <v>981</v>
      </c>
      <c r="D62" t="s">
        <v>1031</v>
      </c>
      <c r="E62" t="s">
        <v>1032</v>
      </c>
    </row>
    <row r="63" spans="1:5" ht="12.75" customHeight="1">
      <c r="A63" s="64" t="s">
        <v>1108</v>
      </c>
      <c r="B63" s="65" t="s">
        <v>1109</v>
      </c>
      <c r="C63" s="17" t="s">
        <v>981</v>
      </c>
      <c r="D63" t="s">
        <v>1031</v>
      </c>
      <c r="E63" t="s">
        <v>1032</v>
      </c>
    </row>
    <row r="64" spans="1:5" ht="12.75" customHeight="1">
      <c r="A64" s="64" t="s">
        <v>1110</v>
      </c>
      <c r="B64" s="65" t="s">
        <v>1111</v>
      </c>
      <c r="C64" s="17" t="s">
        <v>981</v>
      </c>
      <c r="D64" t="s">
        <v>1031</v>
      </c>
      <c r="E64" t="s">
        <v>1032</v>
      </c>
    </row>
    <row r="65" spans="1:5" ht="12.75" customHeight="1">
      <c r="A65" s="64" t="s">
        <v>1112</v>
      </c>
      <c r="B65" s="65" t="s">
        <v>1113</v>
      </c>
      <c r="C65" s="17" t="s">
        <v>981</v>
      </c>
      <c r="D65" t="s">
        <v>1031</v>
      </c>
      <c r="E65" t="s">
        <v>1032</v>
      </c>
    </row>
    <row r="66" spans="1:5" ht="12.75" customHeight="1">
      <c r="A66" s="64" t="s">
        <v>1114</v>
      </c>
      <c r="B66" s="65" t="s">
        <v>1115</v>
      </c>
      <c r="C66" s="17" t="s">
        <v>981</v>
      </c>
      <c r="D66" t="s">
        <v>1031</v>
      </c>
      <c r="E66" t="s">
        <v>1032</v>
      </c>
    </row>
    <row r="67" spans="1:5" ht="12.75" customHeight="1">
      <c r="A67" s="64" t="s">
        <v>1116</v>
      </c>
      <c r="B67" s="65" t="s">
        <v>1117</v>
      </c>
      <c r="C67" s="17" t="s">
        <v>981</v>
      </c>
      <c r="D67" t="s">
        <v>1031</v>
      </c>
      <c r="E67" t="s">
        <v>1032</v>
      </c>
    </row>
    <row r="68" spans="1:5" ht="12.75" customHeight="1">
      <c r="A68" s="64" t="s">
        <v>1118</v>
      </c>
      <c r="B68" s="65" t="s">
        <v>1119</v>
      </c>
      <c r="C68" s="17" t="s">
        <v>981</v>
      </c>
      <c r="D68" t="s">
        <v>1031</v>
      </c>
      <c r="E68" t="s">
        <v>1032</v>
      </c>
    </row>
    <row r="69" spans="1:5" ht="12.75" customHeight="1">
      <c r="A69" s="64" t="s">
        <v>1120</v>
      </c>
      <c r="B69" s="65" t="s">
        <v>1121</v>
      </c>
      <c r="C69" s="17" t="s">
        <v>981</v>
      </c>
      <c r="D69" t="s">
        <v>1031</v>
      </c>
      <c r="E69" t="s">
        <v>1032</v>
      </c>
    </row>
    <row r="70" spans="1:5" ht="12.75" customHeight="1">
      <c r="A70" s="64" t="s">
        <v>1122</v>
      </c>
      <c r="B70" s="65" t="s">
        <v>1123</v>
      </c>
      <c r="C70" s="17" t="s">
        <v>981</v>
      </c>
      <c r="D70" t="s">
        <v>1031</v>
      </c>
      <c r="E70" t="s">
        <v>1032</v>
      </c>
    </row>
    <row r="71" spans="1:5" ht="12.75" customHeight="1">
      <c r="A71" s="64" t="s">
        <v>1124</v>
      </c>
      <c r="B71" s="65" t="s">
        <v>1125</v>
      </c>
      <c r="C71" s="17" t="s">
        <v>981</v>
      </c>
      <c r="D71" t="s">
        <v>1031</v>
      </c>
      <c r="E71" t="s">
        <v>1032</v>
      </c>
    </row>
    <row r="72" spans="1:5" ht="12.75" customHeight="1">
      <c r="A72" s="64" t="s">
        <v>1126</v>
      </c>
      <c r="B72" s="65" t="s">
        <v>1127</v>
      </c>
      <c r="C72" s="17" t="s">
        <v>981</v>
      </c>
      <c r="D72" t="s">
        <v>1031</v>
      </c>
      <c r="E72" t="s">
        <v>1032</v>
      </c>
    </row>
    <row r="73" spans="1:5" ht="12.75" customHeight="1">
      <c r="A73" s="64" t="s">
        <v>1128</v>
      </c>
      <c r="B73" s="65" t="s">
        <v>1129</v>
      </c>
      <c r="C73" s="17" t="s">
        <v>981</v>
      </c>
      <c r="D73" t="s">
        <v>1031</v>
      </c>
      <c r="E73" t="s">
        <v>1032</v>
      </c>
    </row>
    <row r="74" spans="1:5" ht="12.75" customHeight="1">
      <c r="A74" s="64" t="s">
        <v>1130</v>
      </c>
      <c r="B74" s="65" t="s">
        <v>1131</v>
      </c>
      <c r="C74" s="17" t="s">
        <v>981</v>
      </c>
      <c r="D74" t="s">
        <v>1031</v>
      </c>
      <c r="E74" t="s">
        <v>1032</v>
      </c>
    </row>
    <row r="75" spans="1:5" ht="12.75" customHeight="1">
      <c r="A75" s="64" t="s">
        <v>1132</v>
      </c>
      <c r="B75" s="65" t="s">
        <v>1133</v>
      </c>
      <c r="C75" s="17" t="s">
        <v>981</v>
      </c>
      <c r="D75" t="s">
        <v>1031</v>
      </c>
      <c r="E75" t="s">
        <v>1032</v>
      </c>
    </row>
    <row r="76" spans="1:5" ht="12.75" customHeight="1">
      <c r="A76" s="64" t="s">
        <v>1134</v>
      </c>
      <c r="B76" s="65" t="s">
        <v>1135</v>
      </c>
      <c r="C76" s="17" t="s">
        <v>1136</v>
      </c>
      <c r="D76" t="s">
        <v>1031</v>
      </c>
      <c r="E76" t="s">
        <v>1032</v>
      </c>
    </row>
    <row r="77" spans="1:5" ht="12.75" customHeight="1">
      <c r="A77" s="64" t="s">
        <v>1137</v>
      </c>
      <c r="B77" s="65" t="s">
        <v>1138</v>
      </c>
      <c r="C77" s="17" t="s">
        <v>1139</v>
      </c>
      <c r="D77" t="s">
        <v>1140</v>
      </c>
      <c r="E77" t="s">
        <v>1032</v>
      </c>
    </row>
    <row r="78" spans="1:5" ht="12.75" customHeight="1">
      <c r="A78" s="64" t="s">
        <v>1141</v>
      </c>
      <c r="B78" s="65" t="s">
        <v>1142</v>
      </c>
      <c r="C78" s="17" t="s">
        <v>1139</v>
      </c>
      <c r="D78" t="s">
        <v>1031</v>
      </c>
      <c r="E78" t="s">
        <v>1032</v>
      </c>
    </row>
    <row r="79" spans="1:5" ht="12.75" customHeight="1">
      <c r="A79" s="64" t="s">
        <v>1143</v>
      </c>
      <c r="B79" s="65" t="s">
        <v>1144</v>
      </c>
      <c r="C79" s="17" t="s">
        <v>1139</v>
      </c>
      <c r="D79" t="s">
        <v>1031</v>
      </c>
      <c r="E79" t="s">
        <v>1032</v>
      </c>
    </row>
    <row r="80" spans="1:5" ht="12.75" customHeight="1">
      <c r="A80" s="64" t="s">
        <v>1145</v>
      </c>
      <c r="B80" s="65" t="s">
        <v>1146</v>
      </c>
      <c r="C80" s="17" t="s">
        <v>1147</v>
      </c>
      <c r="D80" t="s">
        <v>1031</v>
      </c>
      <c r="E80" t="s">
        <v>1032</v>
      </c>
    </row>
    <row r="81" spans="1:5" ht="12.75" customHeight="1">
      <c r="A81" s="64" t="s">
        <v>1148</v>
      </c>
      <c r="B81" s="65" t="s">
        <v>1149</v>
      </c>
      <c r="C81" s="17" t="s">
        <v>977</v>
      </c>
      <c r="D81" t="s">
        <v>1031</v>
      </c>
      <c r="E81" t="s">
        <v>1032</v>
      </c>
    </row>
    <row r="82" spans="1:5" ht="12.75" customHeight="1">
      <c r="A82" s="64" t="s">
        <v>1150</v>
      </c>
      <c r="B82" s="65" t="s">
        <v>1151</v>
      </c>
      <c r="C82" s="17" t="s">
        <v>977</v>
      </c>
      <c r="D82" t="s">
        <v>1031</v>
      </c>
      <c r="E82" t="s">
        <v>1032</v>
      </c>
    </row>
    <row r="83" spans="1:5" ht="12.75" customHeight="1">
      <c r="A83" s="64" t="s">
        <v>1152</v>
      </c>
      <c r="B83" s="65" t="s">
        <v>1153</v>
      </c>
      <c r="C83" s="17" t="s">
        <v>1154</v>
      </c>
      <c r="D83" t="s">
        <v>1031</v>
      </c>
      <c r="E83" t="s">
        <v>1032</v>
      </c>
    </row>
    <row r="84" spans="1:5" ht="12.75" customHeight="1">
      <c r="A84" s="64" t="s">
        <v>1098</v>
      </c>
      <c r="B84" s="65" t="s">
        <v>1099</v>
      </c>
      <c r="C84" s="17" t="s">
        <v>981</v>
      </c>
      <c r="E84" t="s">
        <v>1032</v>
      </c>
    </row>
    <row r="85" spans="1:5" ht="12.75" customHeight="1">
      <c r="A85" s="64" t="s">
        <v>1155</v>
      </c>
      <c r="B85" s="65" t="s">
        <v>1156</v>
      </c>
      <c r="C85" s="17" t="s">
        <v>1154</v>
      </c>
      <c r="D85" t="s">
        <v>1031</v>
      </c>
      <c r="E85" t="s">
        <v>1032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8D732231-4216-4543-A665-18A2886B0EB7}"/>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E3716282-BFD2-4ED2-BA47-BFA1123827F0}"/>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D3A7101F-9A85-4235-8B03-415370C100B2}"/>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D892F5B6-D617-458C-B9DE-DC2DF02D33DF}"/>
</file>

<file path=customXml/itemProps18.xml><?xml version="1.0" encoding="utf-8"?>
<ds:datastoreItem xmlns:ds="http://schemas.openxmlformats.org/officeDocument/2006/customXml" ds:itemID="{E20E8303-6A67-485C-B6F4-303542CC295C}"/>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7946C510-7D04-49D8-9B25-EEC04582A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2025-12-12T16:03:39Z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2025-02-19T13:13:26Z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