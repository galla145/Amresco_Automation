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\"/>
    </mc:Choice>
  </mc:AlternateContent>
  <xr:revisionPtr revIDLastSave="0" documentId="13_ncr:1_{DA447420-791E-4F47-813F-040BF4E3DF1A}" xr6:coauthVersionLast="47" xr6:coauthVersionMax="47" xr10:uidLastSave="{00000000-0000-0000-0000-000000000000}"/>
  <bookViews>
    <workbookView xWindow="28680" yWindow="-120" windowWidth="29040" windowHeight="15720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2" l="1"/>
  <c r="G5" i="29"/>
  <c r="G4" i="29"/>
  <c r="E4" i="19"/>
  <c r="F4" i="19" s="1"/>
  <c r="H4" i="19"/>
  <c r="I4" i="19" s="1"/>
  <c r="E4" i="20"/>
  <c r="H4" i="21"/>
  <c r="H4" i="20"/>
  <c r="H5" i="21"/>
  <c r="H5" i="20"/>
  <c r="I5" i="20" s="1"/>
  <c r="I4" i="21"/>
  <c r="I5" i="21"/>
  <c r="H5" i="4"/>
  <c r="E5" i="4"/>
  <c r="E5" i="72"/>
  <c r="F5" i="72" s="1"/>
  <c r="H5" i="3"/>
  <c r="I5" i="3" s="1"/>
  <c r="G5" i="30"/>
  <c r="G4" i="30"/>
  <c r="G5" i="18"/>
  <c r="G4" i="18"/>
  <c r="H6" i="28"/>
  <c r="I6" i="28" s="1"/>
  <c r="E6" i="28"/>
  <c r="F6" i="28" s="1"/>
  <c r="H6" i="27"/>
  <c r="I6" i="27" s="1"/>
  <c r="E6" i="27"/>
  <c r="F6" i="27" s="1"/>
  <c r="H6" i="26"/>
  <c r="I6" i="26" s="1"/>
  <c r="E6" i="26"/>
  <c r="F6" i="26" s="1"/>
  <c r="H6" i="21"/>
  <c r="I6" i="21" s="1"/>
  <c r="E6" i="21"/>
  <c r="F6" i="21" s="1"/>
  <c r="H6" i="4"/>
  <c r="I6" i="4" s="1"/>
  <c r="E6" i="4"/>
  <c r="F6" i="4" s="1"/>
  <c r="E6" i="3"/>
  <c r="F6" i="3"/>
  <c r="H6" i="3"/>
  <c r="I6" i="3" s="1"/>
  <c r="E6" i="72"/>
  <c r="F6" i="72"/>
  <c r="H6" i="72"/>
  <c r="I6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G5" i="1"/>
  <c r="G4" i="1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I5" i="32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G2" i="19"/>
  <c r="D2" i="19"/>
  <c r="C2" i="19"/>
  <c r="A1" i="19" a="1"/>
  <c r="A1" i="19" s="1"/>
  <c r="E5" i="20"/>
  <c r="F5" i="20" s="1"/>
  <c r="I4" i="20"/>
  <c r="F4" i="20"/>
  <c r="G2" i="20"/>
  <c r="D2" i="20"/>
  <c r="C2" i="20"/>
  <c r="A1" i="20" a="1"/>
  <c r="A1" i="20" s="1"/>
  <c r="E5" i="21"/>
  <c r="F5" i="21" s="1"/>
  <c r="E4" i="21"/>
  <c r="F4" i="21" s="1"/>
  <c r="G2" i="21"/>
  <c r="D2" i="21"/>
  <c r="C2" i="21"/>
  <c r="A1" i="21" a="1"/>
  <c r="A1" i="21" s="1"/>
  <c r="I5" i="4"/>
  <c r="F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D2" i="30" l="1"/>
  <c r="E4" i="30"/>
  <c r="F4" i="30" s="1"/>
  <c r="G2" i="30"/>
  <c r="G2" i="29"/>
  <c r="G5" i="34"/>
  <c r="G2" i="18"/>
  <c r="G4" i="34"/>
  <c r="E5" i="30"/>
  <c r="F5" i="30" s="1"/>
  <c r="C5" i="34"/>
  <c r="D5" i="34"/>
  <c r="D4" i="34"/>
  <c r="E4" i="18"/>
  <c r="F4" i="18" s="1"/>
  <c r="D2" i="18"/>
  <c r="E5" i="18"/>
  <c r="F5" i="18" s="1"/>
  <c r="D2" i="29"/>
  <c r="E5" i="29"/>
  <c r="F5" i="29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H4" i="18"/>
  <c r="I4" i="18" s="1"/>
  <c r="C4" i="34"/>
  <c r="H5" i="18"/>
  <c r="I5" i="18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29" l="1"/>
  <c r="H5" i="34"/>
  <c r="I5" i="34" s="1"/>
  <c r="G2" i="34"/>
  <c r="D2" i="34"/>
  <c r="E2" i="29"/>
  <c r="F2" i="29" s="1"/>
  <c r="E5" i="34"/>
  <c r="F5" i="34" s="1"/>
  <c r="E4" i="34"/>
  <c r="F4" i="34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<sst xmlns="http://schemas.openxmlformats.org/spreadsheetml/2006/main" count="290" uniqueCount="92">
  <si>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</si>
  <si>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</si>
  <si>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</si>
  <si>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</si>
  <si>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</si>
  <si>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</si>
  <si>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</si>
  <si>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</si>
  <si>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</si>
  <si>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</si>
  <si>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</si>
  <si>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</si>
  <si>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</si>
  <si>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</si>
  <si>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</si>
  <si>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</si>
  <si>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</si>
  <si>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</si>
  <si>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</si>
  <si>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</si>
  <si>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</si>
  <si>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</si>
  <si>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Low generation due to snow/rain.</t>
  </si>
  <si>
    <t>1. Inverter 8 tripped offline at 12:1PM on 01/26 and self resolved and started for production at 7:45AM on 01/27.
2. Low generation due to snow/rain.</t>
  </si>
  <si>
    <t>1. SR095995</t>
  </si>
  <si>
    <t>February Actual v. Expected</t>
  </si>
  <si>
    <t>February Actual v. Forecasted</t>
  </si>
  <si>
    <t>March Actual v. Expected</t>
  </si>
  <si>
    <t>March Actual v. Forecasted</t>
  </si>
  <si>
    <t>1. Considering the fluctuating irradiance and weather throughout the month, actual values is reporting lower than the forecasted values.</t>
  </si>
  <si>
    <t>April Actual v. Expected</t>
  </si>
  <si>
    <t>April Actual v. Forecasted</t>
  </si>
  <si>
    <t>1.  Inverter 2 is underperforming by 10KW down compared to peer inverter.</t>
  </si>
  <si>
    <t>1. SR100595</t>
  </si>
  <si>
    <t>1. Inverter 4 tripped offline at 14:45 on 04/08 and later self-resolved at 11:00 on 04/09.
2. Actual vs expected delta is showing 71% due to expected energy recording low possibly due to data glitch (similar event observe last 2 years).</t>
  </si>
  <si>
    <t>1. SR099525</t>
  </si>
  <si>
    <t>May Actual v. Expected</t>
  </si>
  <si>
    <t>May Actual v. Forecasted</t>
  </si>
  <si>
    <t>1.  Inverter 2 is underperforming by 10kW down compared to peer inverter.</t>
  </si>
  <si>
    <t>1. Actual vs expected delta is showing 58% due to expected energy recording low possibly due to data glitch (similar event observe last 2 years).</t>
  </si>
  <si>
    <t>June Actual v. Expected</t>
  </si>
  <si>
    <t>June Actual v. Forecasted</t>
  </si>
  <si>
    <t>1. Inverter 2 is underperforming by 10kW down compared to peer inverter.</t>
  </si>
  <si>
    <t>1.SR100595</t>
  </si>
  <si>
    <t>1. Inverter 6 has tripped offline at 14:30 on 06/02 and reporting "Waiting for grid voltage &gt; Installation failure grid connection and came back online at 13:45 on 06/04
2. Inverter 6 has tripped offline at 13:45 on 06/23 and came back online at 07:30 on 06/25
3. Actual vs expected delta is showing 60% due to expected energy recording low possibly due to data glitch (similar event observe last 2 years).</t>
  </si>
  <si>
    <t>1.SR102313
2.	SR103325</t>
  </si>
  <si>
    <t>SR103325</t>
  </si>
  <si>
    <t>July Actual v. Expected</t>
  </si>
  <si>
    <t>July Actual v. Forecasted</t>
  </si>
  <si>
    <t>1. Inverter 2 is underperforming by 10kW down compared to peer inverter. The quote was expired.</t>
  </si>
  <si>
    <t>1. Inverter 6 tripped offline at 15:15 on 07/02 and back online at 8:15 on 07/04. and again inverter 6 was offline from 12:15 to 15:45 on 07/12. The inverter again went offline  at 13:00 on 07/31 and remained offline.
2. Inverter 13 was offline from 13:30 to 16:00 on 07/09.
3. Actual vs expected delta is showing 60% due to expected energy recording low possibly due to data glitch (similar event observe last 2 years).</t>
  </si>
  <si>
    <t>1. SR103325
2. SR104216</t>
  </si>
  <si>
    <t>SR104216</t>
  </si>
  <si>
    <t>August Actual v. Expected</t>
  </si>
  <si>
    <t>August Actual v. Forecasted</t>
  </si>
  <si>
    <t>1. Inverter 2 was underperforming by 10kW down compared to peer inverter. The quote was expired.</t>
  </si>
  <si>
    <t>1.	SR100595</t>
  </si>
  <si>
    <t>1.Inverter 6 started production at 09:00 on 08/01 
2.Inverter 13 tripped offline at 13:15 on 08/14 and came back online at 13:15 on 08/15 
3.Actual vs expected delta is showing 70% due to expected energy recording low possibly due to data glitch (similar event observe last 2 years).</t>
  </si>
  <si>
    <t>1.	SR103325
2.SR106294</t>
  </si>
  <si>
    <t>SR106294</t>
  </si>
  <si>
    <t>September Actual v. Expected</t>
  </si>
  <si>
    <t>September Actual v. Forecasted</t>
  </si>
  <si>
    <t>1.Actual vs expected delta is showing 85% due to expected energy recording low possibly due to data glitch (similar event observe last 2 years).</t>
  </si>
  <si>
    <t>October Actual v. Expected</t>
  </si>
  <si>
    <t>October Actual v. Forecasted</t>
  </si>
  <si>
    <t>Status</t>
  </si>
  <si>
    <t>1. Closed</t>
  </si>
  <si>
    <t>1. Inverter 8 tripped offline at 16:30 on 10/09 and later self-resolved, back online at 09:45 on 10/12.
2.Actual vs expected delta is showing 105% due to expected energy recording low possibly due to data glitch (similar event observe last 2 years).</t>
  </si>
  <si>
    <t>1. SR109305</t>
  </si>
  <si>
    <t>November Actual v. Expected</t>
  </si>
  <si>
    <t>November Actual v. Forecasted</t>
  </si>
  <si>
    <t>1. Inverter 2 was underperforming by 10kW down compared to peer inverter. The quote was expired.
2. Inverter 5 Started derating to 60kW on 10/16. This is no longer happening as seasonal irradiance has decreased, although at the time there was a consistent small loss at noon. Losses will likely not reappear until spring but 40kW losses would be anticipated next summer if not resolved.</t>
  </si>
  <si>
    <t>1.	SR100595
2.SR110743</t>
  </si>
  <si>
    <t>1.Closed
2.Pending</t>
  </si>
  <si>
    <t>SR110743</t>
  </si>
  <si>
    <t xml:space="preserve">1.Actual vs expected delta is showing 119% due to expected energy recording low possibly due to data glitch (similar event observe last 2 years
2.Inverter are tripped on and offline 09:15 to 09:45 due to technician was onsite to work on PM  </t>
  </si>
  <si>
    <t>2.PM9733</t>
  </si>
  <si>
    <t>2.Completed</t>
  </si>
  <si>
    <t>December Actual v. Expected</t>
  </si>
  <si>
    <t>December Actual v. Forecasted</t>
  </si>
  <si>
    <t>Portfolio:</t>
  </si>
  <si>
    <t>Amergy Solar</t>
  </si>
  <si>
    <t>Site DAS Name</t>
  </si>
  <si>
    <t>Update</t>
  </si>
  <si>
    <t>DAS</t>
  </si>
  <si>
    <t>Howell Ice Arena</t>
  </si>
  <si>
    <t>Farmingdale - Howell Ice Arena</t>
  </si>
  <si>
    <t>NJ</t>
  </si>
  <si>
    <t>AEF</t>
  </si>
  <si>
    <t>PowerTrack</t>
  </si>
  <si>
    <t>Igloo</t>
  </si>
  <si>
    <t>Mount Laurel - Igloo Ice 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</si>
</sst>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9"/>
      <color rgb="FF555555"/>
      <name val="Arial"/>
      <family val="2"/>
    </font>
    <font>
      <sz val="11"/>
      <name val="Calibri"/>
      <scheme val="minor"/>
    </font>
    <font>
      <b/>
      <sz val="11"/>
      <name val="Calibri"/>
      <scheme val="minor"/>
    </font>
    <font>
      <b/>
      <sz val="11"/>
      <color rgb="FFFF0000"/>
      <name val="Calibri"/>
      <scheme val="minor"/>
    </font>
    <font>
      <sz val="1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78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35" fillId="46" borderId="12" xfId="0" applyFont="1" applyFill="1" applyBorder="1"/>
    <xf numFmtId="0" fontId="35" fillId="0" borderId="0" xfId="0" applyFont="1"/>
    <xf numFmtId="0" fontId="35" fillId="0" borderId="12" xfId="0" applyFont="1" applyBorder="1"/>
    <xf numFmtId="164" fontId="28" fillId="47" borderId="0" xfId="1" applyNumberFormat="1" applyFont="1" applyFill="1" applyBorder="1" applyAlignment="1">
      <alignment horizontal="center" vertical="center"/>
    </xf>
    <xf numFmtId="3" fontId="30" fillId="48" borderId="0" xfId="0" applyNumberFormat="1" applyFont="1" applyFill="1" applyAlignment="1">
      <alignment horizontal="right" vertical="center"/>
    </xf>
    <xf numFmtId="3" fontId="30" fillId="48" borderId="0" xfId="1" applyNumberFormat="1" applyFont="1" applyFill="1" applyBorder="1" applyAlignment="1">
      <alignment vertical="center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vertical="top" wrapText="1"/>
    </xf>
    <xf numFmtId="49" fontId="36" fillId="0" borderId="0" xfId="45" applyNumberFormat="1" applyAlignment="1">
      <alignment vertical="top" wrapText="1"/>
    </xf>
    <xf numFmtId="4" fontId="37" fillId="0" borderId="0" xfId="0" applyNumberFormat="1" applyFont="1"/>
    <xf numFmtId="0" fontId="23" fillId="0" borderId="0" xfId="0" applyFont="1"/>
    <xf numFmtId="0" fontId="35" fillId="46" borderId="0" xfId="0" applyFont="1" applyFill="1"/>
    <xf numFmtId="49" fontId="36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0" fontId="0" fillId="0" borderId="0" xfId="0" applyAlignment="1">
      <alignment vertical="top"/>
    </xf>
    <xf numFmtId="0" fontId="36" fillId="0" borderId="0" xfId="45" applyAlignment="1">
      <alignment vertical="top"/>
    </xf>
    <xf numFmtId="0" fontId="34" fillId="40" borderId="0" xfId="0" applyFont="1" applyFill="1" applyAlignment="1">
      <alignment horizontal="center" vertical="center"/>
    </xf>
    <xf numFmtId="0" fontId="38" fillId="0" borderId="0" xfId="0" applyFont="1"/>
    <xf numFmtId="0" fontId="39" fillId="45" borderId="1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49" fontId="38" fillId="38" borderId="0" xfId="2" applyNumberFormat="1" applyFont="1" applyFill="1" applyBorder="1" applyAlignment="1">
      <alignment horizontal="left" vertical="top" wrapText="1"/>
    </xf>
    <xf numFmtId="0" fontId="38" fillId="0" borderId="0" xfId="0" applyFont="1" applyAlignment="1">
      <alignment horizontal="left" vertical="top"/>
    </xf>
    <xf numFmtId="49" fontId="36" fillId="38" borderId="0" xfId="45" applyNumberFormat="1" applyFill="1" applyBorder="1" applyAlignment="1">
      <alignment horizontal="left" vertical="top" wrapText="1"/>
    </xf>
    <xf numFmtId="49" fontId="36" fillId="0" borderId="0" xfId="45" applyNumberFormat="1" applyAlignment="1">
      <alignment horizontal="left" vertical="top" wrapText="1"/>
    </xf>
    <xf numFmtId="49" fontId="41" fillId="38" borderId="0" xfId="2" applyNumberFormat="1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49" fontId="1" fillId="0" borderId="0" xfId="0" applyNumberFormat="1" applyFont="1" applyAlignment="1">
      <alignment vertical="center" wrapText="1"/>
    </xf>
    <xf numFmtId="0" fontId="36" fillId="0" borderId="0" xfId="45"/>
    <xf numFmtId="0" fontId="4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5995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952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0595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325" TargetMode="External"/><Relationship Id="rId2" Type="http://schemas.openxmlformats.org/officeDocument/2006/relationships/hyperlink" Target="https://us3.assetplanner.com/service_request?ID=102313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4216" TargetMode="External"/><Relationship Id="rId2" Type="http://schemas.openxmlformats.org/officeDocument/2006/relationships/hyperlink" Target="https://us3.assetplanner.com/service_request?ID=10332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6294" TargetMode="External"/><Relationship Id="rId2" Type="http://schemas.openxmlformats.org/officeDocument/2006/relationships/hyperlink" Target="https://us3.assetplanner.com/service_request?ID=10332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0595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930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110743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0"/>
  <sheetViews>
    <sheetView workbookViewId="0">
      <pane xSplit="2" ySplit="3" topLeftCell="C4" activePane="bottomRight" state="frozen"/>
      <selection pane="bottomRight" activeCell="G10" sqref="G10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Amergy Solar</v>
      </c>
      <c r="B1" s="75"/>
      <c r="C1" s="75"/>
      <c r="D1" s="76" t="s">
        <v>0</v>
      </c>
      <c r="E1" s="76"/>
      <c r="F1" s="76"/>
      <c r="G1" s="74" t="s">
        <v>1</v>
      </c>
      <c r="H1" s="74"/>
      <c r="I1" s="74"/>
    </row>
    <row r="2" spans="1:9" ht="19.5" customHeight="1">
      <c r="A2" s="77" t="s">
        <v>2</v>
      </c>
      <c r="B2" s="77"/>
      <c r="C2" s="5">
        <f>SUM(C4:C88)</f>
        <v>1626148.5</v>
      </c>
      <c r="D2" s="5">
        <f>SUM(D4:D88)</f>
        <v>1339589.9410000001</v>
      </c>
      <c r="E2" s="5">
        <f>C2-D2</f>
        <v>286558.55899999989</v>
      </c>
      <c r="F2" s="6">
        <f>IFERROR(E2/D2, 0)</f>
        <v>0.21391513195902676</v>
      </c>
      <c r="G2" s="5">
        <f>SUM(G4:G88)</f>
        <v>1777625.946</v>
      </c>
      <c r="H2" s="7">
        <f>C2-G2</f>
        <v>-151477.446</v>
      </c>
      <c r="I2" s="6">
        <f>IFERROR(H2/G2, 0)</f>
        <v>-8.5213341052347583E-2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SUM('1st Qtr'!C4, '2nd Qtr'!C4, '3rd Qtr'!C4, '4th Qtr'!C4)</f>
        <v>670679.60000000021</v>
      </c>
      <c r="D4" s="13">
        <f>SUM('1st Qtr'!D4, '2nd Qtr'!D4, '3rd Qtr'!D4, '4th Qtr'!D4)</f>
        <v>675139.20000000007</v>
      </c>
      <c r="E4" s="13">
        <f>IF(AND(ISNUMBER(C4),ISNUMBER(D4)), C4-D4, "")</f>
        <v>-4459.5999999998603</v>
      </c>
      <c r="F4" s="14">
        <f>IFERROR(E4/D4, "")</f>
        <v>-6.6054526236957647E-3</v>
      </c>
      <c r="G4" s="15">
        <f>SUM('1st Qtr'!G4+'2nd Qtr'!G4+'3rd Qtr'!G4+'4th Qtr'!G4)</f>
        <v>836322.17099999997</v>
      </c>
      <c r="H4" s="15">
        <f>SUM('1st Qtr'!H4, '2nd Qtr'!H4, '3rd Qtr'!H4, '4th Qtr'!H4)</f>
        <v>-165642.57099999988</v>
      </c>
      <c r="I4" s="16">
        <f>IFERROR(H4/G4, "")</f>
        <v>-0.19806071959319119</v>
      </c>
    </row>
    <row r="5" spans="1:9" ht="15.6">
      <c r="A5" s="17" t="str">
        <v>Mount Laurel - Igloo Ice Rink</v>
      </c>
      <c r="B5" s="10" t="str">
        <v>NJ</v>
      </c>
      <c r="C5" s="46">
        <f>SUM('1st Qtr'!C5, '2nd Qtr'!C5, '3rd Qtr'!C5, '4th Qtr'!C5)</f>
        <v>955468.89999999991</v>
      </c>
      <c r="D5" s="47">
        <f>SUM('1st Qtr'!D5, '2nd Qtr'!D5, '3rd Qtr'!D5, '4th Qtr'!D5)</f>
        <v>664450.74100000004</v>
      </c>
      <c r="E5" s="18">
        <f t="shared" ref="E5" si="0">IF(AND(ISNUMBER(C5),ISNUMBER(D5)), C5-D5, "")</f>
        <v>291018.15899999987</v>
      </c>
      <c r="F5" s="19">
        <f>IFERROR(E5/D5, "")</f>
        <v>0.43798304530749232</v>
      </c>
      <c r="G5" s="48">
        <f>SUM('1st Qtr'!G5+'2nd Qtr'!G5+'3rd Qtr'!G5+'4th Qtr'!G5)</f>
        <v>941303.77500000002</v>
      </c>
      <c r="H5" s="18">
        <f>SUM('1st Qtr'!H5, '2nd Qtr'!H5, '3rd Qtr'!H5, '4th Qtr'!H5)</f>
        <v>14165.124999999884</v>
      </c>
      <c r="I5" s="19">
        <f>IFERROR(H5/G5, "")</f>
        <v>1.5048409850475616E-2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8 I4:I88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xSplit="2" ySplit="3" topLeftCell="C4" activePane="bottomRight" state="frozen"/>
      <selection pane="bottomRight" activeCell="E21" sqref="E2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Amergy Solar</v>
      </c>
      <c r="B1" s="75"/>
      <c r="C1" s="75"/>
      <c r="D1" s="76" t="s">
        <v>10</v>
      </c>
      <c r="E1" s="76"/>
      <c r="F1" s="76"/>
      <c r="G1" s="74" t="s">
        <v>11</v>
      </c>
      <c r="H1" s="74"/>
      <c r="I1" s="74"/>
    </row>
    <row r="2" spans="1:9" ht="19.5" customHeight="1">
      <c r="A2" s="77" t="s">
        <v>2</v>
      </c>
      <c r="B2" s="77"/>
      <c r="C2" s="5">
        <f>SUM(C4:C88)</f>
        <v>330546.59999999998</v>
      </c>
      <c r="D2" s="5">
        <f>SUM(D4:D88)</f>
        <v>360979.011</v>
      </c>
      <c r="E2" s="5">
        <f>C2-D2</f>
        <v>-30432.411000000022</v>
      </c>
      <c r="F2" s="6">
        <f>IFERROR(E2/D2, 0)</f>
        <v>-8.4305209091505934E-2</v>
      </c>
      <c r="G2" s="5">
        <f>SUM(G4:G88)</f>
        <v>351260.761</v>
      </c>
      <c r="H2" s="7">
        <f>C2-G2</f>
        <v>-20714.161000000022</v>
      </c>
      <c r="I2" s="6">
        <f>IFERROR(H2/G2, 0)</f>
        <v>-5.8970893705944064E-2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SUM(Jan!C4, Feb!C4, Mar!C4)</f>
        <v>136545.09999999998</v>
      </c>
      <c r="D4" s="13">
        <f>SUM(Jan!D4, Feb!D4, Mar!D4)</f>
        <v>138174.27000000002</v>
      </c>
      <c r="E4" s="13">
        <f>IF(AND(ISNUMBER(C4),ISNUMBER(D4)), C4-D4, "")</f>
        <v>-1629.1700000000419</v>
      </c>
      <c r="F4" s="14">
        <f>IFERROR(E4/D4, "")</f>
        <v>-1.1790690119079635E-2</v>
      </c>
      <c r="G4" s="15">
        <f>SUM(Jan!G4, Feb!G4, Mar!G4)</f>
        <v>185557.845</v>
      </c>
      <c r="H4" s="15">
        <f>SUM(Jan!H4, Feb!H4, Mar!H4)</f>
        <v>-49012.745000000003</v>
      </c>
      <c r="I4" s="16">
        <f>IFERROR(H4/G4, "")</f>
        <v>-0.26413728290496152</v>
      </c>
    </row>
    <row r="5" spans="1:9" ht="15.6">
      <c r="A5" s="17" t="str">
        <v>Mount Laurel - Igloo Ice Rink</v>
      </c>
      <c r="B5" s="10" t="str">
        <v>NJ</v>
      </c>
      <c r="C5" s="11">
        <f>SUM(Jan!C5, Feb!C5, Mar!C5)</f>
        <v>194001.5</v>
      </c>
      <c r="D5" s="18">
        <f>SUM(Jan!D5, Feb!D5, Mar!D5)</f>
        <v>222804.74099999998</v>
      </c>
      <c r="E5" s="18">
        <f t="shared" ref="E5" si="0">IF(AND(ISNUMBER(C5),ISNUMBER(D5)), C5-D5, "")</f>
        <v>-28803.24099999998</v>
      </c>
      <c r="F5" s="19">
        <f>IFERROR(E5/D5, "")</f>
        <v>-0.12927570962235485</v>
      </c>
      <c r="G5" s="20">
        <f>SUM(Jan!G5, Feb!G5, Mar!G5)</f>
        <v>165702.916</v>
      </c>
      <c r="H5" s="20">
        <f>SUM(Jan!H5, Feb!H5, Mar!H5)</f>
        <v>28298.58400000001</v>
      </c>
      <c r="I5" s="19">
        <f>IFERROR(H5/G5, "")</f>
        <v>0.17077903444982229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xSplit="2" ySplit="3" topLeftCell="C4" activePane="bottomRight" state="frozen"/>
      <selection pane="bottomRight" activeCell="D20" sqref="D20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Amergy Solar</v>
      </c>
      <c r="B1" s="75"/>
      <c r="C1" s="75"/>
      <c r="D1" s="76" t="s">
        <v>12</v>
      </c>
      <c r="E1" s="76"/>
      <c r="F1" s="76"/>
      <c r="G1" s="74" t="s">
        <v>13</v>
      </c>
      <c r="H1" s="74"/>
      <c r="I1" s="74"/>
    </row>
    <row r="2" spans="1:9" ht="19.5" customHeight="1">
      <c r="A2" s="77" t="s">
        <v>2</v>
      </c>
      <c r="B2" s="77"/>
      <c r="C2" s="5">
        <f>SUM(C4:C88)</f>
        <v>524729.30000000005</v>
      </c>
      <c r="D2" s="5">
        <f>SUM(D4:D88)</f>
        <v>411049.58999999997</v>
      </c>
      <c r="E2" s="5">
        <f>C2-D2</f>
        <v>113679.71000000008</v>
      </c>
      <c r="F2" s="6">
        <f>IFERROR(E2/D2, 0)</f>
        <v>0.27655959953639681</v>
      </c>
      <c r="G2" s="5">
        <f>SUM(G4:G88)</f>
        <v>609183.69999999995</v>
      </c>
      <c r="H2" s="7">
        <f>C2-G2</f>
        <v>-84454.399999999907</v>
      </c>
      <c r="I2" s="6">
        <f>IFERROR(H2/G2, 0)</f>
        <v>-0.13863535744636621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SUM(Apr!C4, May!C4, Jun!C4)</f>
        <v>217734.49999999994</v>
      </c>
      <c r="D4" s="13">
        <f>SUM(Apr!D4, May!D4, Jun!D4)</f>
        <v>222436.1</v>
      </c>
      <c r="E4" s="13">
        <f>IF(AND(ISNUMBER(C4),ISNUMBER(D4)), C4-D4, "")</f>
        <v>-4701.600000000064</v>
      </c>
      <c r="F4" s="14">
        <f>IFERROR(E4/D4, "")</f>
        <v>-2.1136856832142191E-2</v>
      </c>
      <c r="G4" s="15">
        <f>SUM(Apr!G4,May!G4,Jun!G4)</f>
        <v>275917</v>
      </c>
      <c r="H4" s="15">
        <f>SUM(Apr!H4, May!H4, Jun!H4)</f>
        <v>-58182.500000000087</v>
      </c>
      <c r="I4" s="16">
        <f>IFERROR(H4/G4, "")</f>
        <v>-0.21086957309625753</v>
      </c>
    </row>
    <row r="5" spans="1:9" ht="15.6">
      <c r="A5" s="17" t="str">
        <v>Mount Laurel - Igloo Ice Rink</v>
      </c>
      <c r="B5" s="10" t="str">
        <v>NJ</v>
      </c>
      <c r="C5" s="11">
        <f>SUM(Apr!C5, May!C5, Jun!C5)</f>
        <v>306994.8000000001</v>
      </c>
      <c r="D5" s="18">
        <f>SUM(Apr!D5, May!D5, Jun!D5)</f>
        <v>188613.49</v>
      </c>
      <c r="E5" s="18">
        <f t="shared" ref="E5" si="0">IF(AND(ISNUMBER(C5),ISNUMBER(D5)), C5-D5, "")</f>
        <v>118381.31000000011</v>
      </c>
      <c r="F5" s="19">
        <f>IFERROR(E5/D5, "")</f>
        <v>0.62763967731046233</v>
      </c>
      <c r="G5" s="20">
        <f>SUM(Apr!G5,May!G5,Jun!G5)</f>
        <v>333266.7</v>
      </c>
      <c r="H5" s="20">
        <f>SUM(Apr!H5, May!H5, Jun!H5)</f>
        <v>-26271.899999999907</v>
      </c>
      <c r="I5" s="19">
        <f>IFERROR(H5/G5, "")</f>
        <v>-7.8831458408535587E-2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H5" sqref="H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Amergy Solar</v>
      </c>
      <c r="B1" s="75"/>
      <c r="C1" s="75"/>
      <c r="D1" s="76" t="s">
        <v>14</v>
      </c>
      <c r="E1" s="76"/>
      <c r="F1" s="76"/>
      <c r="G1" s="74" t="s">
        <v>15</v>
      </c>
      <c r="H1" s="74"/>
      <c r="I1" s="74"/>
    </row>
    <row r="2" spans="1:9" ht="19.5" customHeight="1">
      <c r="A2" s="77" t="s">
        <v>2</v>
      </c>
      <c r="B2" s="77"/>
      <c r="C2" s="5">
        <f>SUM(C4:C87)</f>
        <v>564948.80000000016</v>
      </c>
      <c r="D2" s="5">
        <f>SUM(D4:D87)</f>
        <v>429606.81200000003</v>
      </c>
      <c r="E2" s="5">
        <f>C2-D2</f>
        <v>135341.98800000013</v>
      </c>
      <c r="F2" s="6">
        <f>IFERROR(E2/D2, 0)</f>
        <v>0.31503687609124809</v>
      </c>
      <c r="G2" s="5">
        <f>SUM(G4:G87)</f>
        <v>582665.50600000005</v>
      </c>
      <c r="H2" s="7">
        <f>C2-G2</f>
        <v>-17716.705999999889</v>
      </c>
      <c r="I2" s="6">
        <f>IFERROR(H2/G2, 0)</f>
        <v>-3.0406306564507504E-2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SUM(Jul!C4, Aug!C4, Sep!C4)</f>
        <v>233789.60000000012</v>
      </c>
      <c r="D4" s="13">
        <f>SUM(Jul!D4, Aug!D4, Sep!D4)</f>
        <v>235237.60200000001</v>
      </c>
      <c r="E4" s="13">
        <f>IF(AND(ISNUMBER(C4),ISNUMBER(D4)), C4-D4, "")</f>
        <v>-1448.0019999998913</v>
      </c>
      <c r="F4" s="14">
        <f>IFERROR(E4/D4, "")</f>
        <v>-6.1554869956542543E-3</v>
      </c>
      <c r="G4" s="15">
        <f>SUM(Jul!G4,Aug!G4,Sep!G4)</f>
        <v>264136.36600000004</v>
      </c>
      <c r="H4" s="15">
        <f>SUM(Jul!H4, Aug!H4, Sep!H4)</f>
        <v>-30346.765999999909</v>
      </c>
      <c r="I4" s="16">
        <f>IFERROR(H4/G4, "")</f>
        <v>-0.11489052590357779</v>
      </c>
    </row>
    <row r="5" spans="1:9" ht="15.6">
      <c r="A5" s="17" t="str">
        <v>Mount Laurel - Igloo Ice Rink</v>
      </c>
      <c r="B5" s="10" t="str">
        <v>NJ</v>
      </c>
      <c r="C5" s="11">
        <f>SUM(Jul!C5, Aug!C5, Sep!C5)</f>
        <v>331159.2</v>
      </c>
      <c r="D5" s="18">
        <f>SUM(Jul!D5, Aug!D5, Sep!D5)</f>
        <v>194369.21</v>
      </c>
      <c r="E5" s="18">
        <f t="shared" ref="E5" si="0">IF(AND(ISNUMBER(C5),ISNUMBER(D5)), C5-D5, "")</f>
        <v>136789.99000000002</v>
      </c>
      <c r="F5" s="19">
        <f>IFERROR(E5/D5, "")</f>
        <v>0.70376367738491108</v>
      </c>
      <c r="G5" s="11">
        <f>SUM(Jul!G5,Aug!G5,Sep!G5)</f>
        <v>318529.14</v>
      </c>
      <c r="H5" s="20">
        <f>SUM(Jul!H5, Aug!H5, Sep!H5)</f>
        <v>12630.059999999983</v>
      </c>
      <c r="I5" s="19">
        <f>IFERROR(H5/G5, "")</f>
        <v>3.9651191724562412E-2</v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mergeCells count="4">
    <mergeCell ref="G1:I1"/>
    <mergeCell ref="A1:C1"/>
    <mergeCell ref="D1:F1"/>
    <mergeCell ref="A2:B2"/>
  </mergeCells>
  <conditionalFormatting sqref="F2 I2 F4:F87 I4:I87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G6">
    <cfRule type="cellIs" dxfId="34" priority="1" stopIfTrue="1" operator="lessThanOrEqual">
      <formula>-0.1</formula>
    </cfRule>
    <cfRule type="expression" dxfId="33" priority="2">
      <formula>AND(ISNUMBER(G6), G6&gt;=0.1)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4" activePane="bottomRight" state="frozen"/>
      <selection pane="bottomRight" activeCell="E23" sqref="E2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5" t="str" cm="1">
        <f t="array" ref="A1">portfolio</f>
        <v>Amergy Solar</v>
      </c>
      <c r="B1" s="75"/>
      <c r="C1" s="75"/>
      <c r="D1" s="76" t="s">
        <v>16</v>
      </c>
      <c r="E1" s="76"/>
      <c r="F1" s="76"/>
      <c r="G1" s="74" t="s">
        <v>17</v>
      </c>
      <c r="H1" s="74"/>
      <c r="I1" s="74"/>
    </row>
    <row r="2" spans="1:9" ht="19.5" customHeight="1">
      <c r="A2" s="77" t="s">
        <v>2</v>
      </c>
      <c r="B2" s="77"/>
      <c r="C2" s="5">
        <f>SUM(C4:C86)</f>
        <v>205923.79999999993</v>
      </c>
      <c r="D2" s="5">
        <f>SUM(D4:D86)</f>
        <v>137954.52799999999</v>
      </c>
      <c r="E2" s="5">
        <f>C2-D2</f>
        <v>67969.271999999939</v>
      </c>
      <c r="F2" s="6">
        <f>IFERROR(E2/D2, 0)</f>
        <v>0.49269330253516536</v>
      </c>
      <c r="G2" s="5">
        <f>SUM(G4:G86)</f>
        <v>234515.97899999999</v>
      </c>
      <c r="H2" s="7">
        <f>C2-G2</f>
        <v>-28592.179000000062</v>
      </c>
      <c r="I2" s="6">
        <f>IFERROR(H2/G2, 0)</f>
        <v>-0.12191996094219261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SUM(Oct!C4, Nov!C4, Dec!C4)</f>
        <v>82610.400000000111</v>
      </c>
      <c r="D4" s="13">
        <f>SUM(Oct!D4, Nov!D4, Dec!D4)</f>
        <v>79291.228000000003</v>
      </c>
      <c r="E4" s="13">
        <f>IF(AND(ISNUMBER(C4),ISNUMBER(D4)), C4-D4, "")</f>
        <v>3319.1720000001078</v>
      </c>
      <c r="F4" s="14">
        <f>IFERROR(E4/D4, "")</f>
        <v>4.1860519552050675E-2</v>
      </c>
      <c r="G4" s="15">
        <f>SUM(Oct!G4,Nov!G4,Dec!G4)</f>
        <v>110710.95999999999</v>
      </c>
      <c r="H4" s="15">
        <f>SUM(Oct!H4, Nov!H4, Dec!H4)</f>
        <v>-28100.559999999896</v>
      </c>
      <c r="I4" s="16">
        <f>IFERROR(H4/G4, "")</f>
        <v>-0.25381913407669754</v>
      </c>
    </row>
    <row r="5" spans="1:9" ht="15.6">
      <c r="A5" s="17" t="str">
        <v>Mount Laurel - Igloo Ice Rink</v>
      </c>
      <c r="B5" s="10" t="str">
        <v>NJ</v>
      </c>
      <c r="C5" s="11">
        <f>SUM(Oct!C5, Nov!C5, Dec!C5)</f>
        <v>123313.39999999981</v>
      </c>
      <c r="D5" s="18">
        <f>SUM(Oct!D5, Nov!D5, Dec!D5)</f>
        <v>58663.299999999996</v>
      </c>
      <c r="E5" s="18">
        <f t="shared" ref="E5" si="0">IF(AND(ISNUMBER(C5),ISNUMBER(D5)), C5-D5, "")</f>
        <v>64650.099999999809</v>
      </c>
      <c r="F5" s="19">
        <f>IFERROR(E5/D5, "")</f>
        <v>1.102053583756792</v>
      </c>
      <c r="G5" s="18">
        <f>SUM(Oct!G5,Nov!G5,Dec!G5)</f>
        <v>123805.019</v>
      </c>
      <c r="H5" s="20">
        <f>SUM(Oct!H5, Nov!H5, Dec!H5)</f>
        <v>-491.6190000002025</v>
      </c>
      <c r="I5" s="19">
        <f>IFERROR(H5/G5, "")</f>
        <v>-3.9709133278369151E-3</v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0"/>
  <sheetViews>
    <sheetView zoomScale="70" zoomScaleNormal="70" workbookViewId="0">
      <pane xSplit="2" ySplit="3" topLeftCell="C4" activePane="bottomRight" state="frozen"/>
      <selection pane="bottomRight" activeCell="I29" sqref="I2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Amergy Solar</v>
      </c>
      <c r="B1" s="75"/>
      <c r="C1" s="75"/>
      <c r="D1" s="76" t="s">
        <v>18</v>
      </c>
      <c r="E1" s="76"/>
      <c r="F1" s="76"/>
      <c r="G1" s="74" t="s">
        <v>19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SUM(C4:C88)</f>
        <v>62843.3</v>
      </c>
      <c r="D2" s="5">
        <f>SUM(D4:D88)</f>
        <v>86823.505000000005</v>
      </c>
      <c r="E2" s="5">
        <f>C2-D2</f>
        <v>-23980.205000000002</v>
      </c>
      <c r="F2" s="6">
        <f>IFERROR(E2/D2, 0)</f>
        <v>-0.27619485069164162</v>
      </c>
      <c r="G2" s="5">
        <f>SUM(G4:G88)</f>
        <v>87326.428</v>
      </c>
      <c r="H2" s="7">
        <f>C2-G2</f>
        <v>-24483.127999999997</v>
      </c>
      <c r="I2" s="6">
        <f>IFERROR(H2/G2, 0)</f>
        <v>-0.28036332826987953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27760</v>
      </c>
      <c r="D4" s="13">
        <v>30103.183000000001</v>
      </c>
      <c r="E4" s="13">
        <f>IF(AND(ISNUMBER(C4),ISNUMBER(D4)), C4-D4, "")</f>
        <v>-2343.1830000000009</v>
      </c>
      <c r="F4" s="14">
        <f>IFERROR(E4/D4, "")</f>
        <v>-7.7838380080936978E-2</v>
      </c>
      <c r="G4" s="15">
        <v>49684.402000000002</v>
      </c>
      <c r="H4" s="15">
        <f>IF(AND(ISNUMBER(C4),ISNUMBER(G4)), C4-G4, "")</f>
        <v>-21924.402000000002</v>
      </c>
      <c r="I4" s="16">
        <f>IFERROR(H4/G4, "")</f>
        <v>-0.44127333966905752</v>
      </c>
      <c r="J4" s="40" t="s">
        <v>22</v>
      </c>
      <c r="K4" s="40"/>
    </row>
    <row r="5" spans="1:11" ht="43.15">
      <c r="A5" s="29" t="str">
        <v>Mount Laurel - Igloo Ice Rink</v>
      </c>
      <c r="B5" s="30" t="str">
        <v>NJ</v>
      </c>
      <c r="C5" s="11">
        <v>35083.300000000003</v>
      </c>
      <c r="D5" s="18">
        <v>56720.322</v>
      </c>
      <c r="E5" s="20">
        <f>IF(AND(ISNUMBER(C5),ISNUMBER(D5)), C5-D5, "")</f>
        <v>-21637.021999999997</v>
      </c>
      <c r="F5" s="19">
        <f>IFERROR(E5/D5, "")</f>
        <v>-0.38146860308726732</v>
      </c>
      <c r="G5" s="20">
        <v>37642.025999999998</v>
      </c>
      <c r="H5" s="20">
        <f t="shared" ref="H5" si="0">IF(AND(ISNUMBER(C5),ISNUMBER(G5)), C5-G5, "")</f>
        <v>-2558.7259999999951</v>
      </c>
      <c r="I5" s="19">
        <f t="shared" ref="I5" si="1">IFERROR(H5/G5, "")</f>
        <v>-6.797524660335752E-2</v>
      </c>
      <c r="J5" s="41" t="s">
        <v>23</v>
      </c>
      <c r="K5" s="51" t="s">
        <v>24</v>
      </c>
    </row>
    <row r="6" spans="1:11" ht="15.6">
      <c r="A6" s="29"/>
      <c r="B6" s="30"/>
      <c r="C6" s="11"/>
      <c r="D6" s="18"/>
      <c r="E6" s="18" t="str">
        <f t="shared" ref="E6" si="2">IF(AND(ISNUMBER(C6),ISNUMBER(D6)), C6-D6, "")</f>
        <v/>
      </c>
      <c r="F6" s="19" t="str">
        <f t="shared" ref="F6" si="3">IFERROR(E6/D6, "")</f>
        <v/>
      </c>
      <c r="G6" s="20"/>
      <c r="H6" s="20" t="str">
        <f t="shared" ref="H6" si="4">IF(AND(ISNUMBER(C6),ISNUMBER(G6)), C6-G6, "")</f>
        <v/>
      </c>
      <c r="I6" s="19" t="str">
        <f t="shared" ref="I6" si="5">IFERROR(H6/G6, "")</f>
        <v/>
      </c>
      <c r="J6" s="41"/>
      <c r="K6" s="42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D1:F1"/>
    <mergeCell ref="A1:C1"/>
    <mergeCell ref="G1:I1"/>
    <mergeCell ref="A2:B2"/>
  </mergeCells>
  <conditionalFormatting sqref="F2 I2 F4:F88 I4:I88">
    <cfRule type="cellIs" dxfId="30" priority="4" stopIfTrue="1" operator="lessThanOrEqual">
      <formula>-0.1</formula>
    </cfRule>
    <cfRule type="expression" dxfId="29" priority="5">
      <formula>AND(ISNUMBER(F2), F2&gt;=0.1)</formula>
    </cfRule>
  </conditionalFormatting>
  <hyperlinks>
    <hyperlink ref="K5" r:id="rId1" display="https://us3.assetplanner.com/service_request?ID=095995" xr:uid="{F0726D91-57C2-4563-B991-33569A90BDB0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zoomScale="90" zoomScaleNormal="90" workbookViewId="0">
      <pane xSplit="2" ySplit="3" topLeftCell="I4" activePane="bottomRight" state="frozen"/>
      <selection pane="bottomRight" activeCell="I36" sqref="I36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Amergy Solar</v>
      </c>
      <c r="B1" s="75"/>
      <c r="C1" s="75"/>
      <c r="D1" s="76" t="s">
        <v>25</v>
      </c>
      <c r="E1" s="76"/>
      <c r="F1" s="76"/>
      <c r="G1" s="74" t="s">
        <v>26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SUM(C4:C89)</f>
        <v>101062.8</v>
      </c>
      <c r="D2" s="5">
        <f>SUM(D4:D89)</f>
        <v>103326.06099999999</v>
      </c>
      <c r="E2" s="5">
        <f>C2-D2</f>
        <v>-2263.2609999999841</v>
      </c>
      <c r="F2" s="6">
        <f>IFERROR(E2/D2, 0)</f>
        <v>-2.1904067358185505E-2</v>
      </c>
      <c r="G2" s="5">
        <f>SUM(G4:G89)</f>
        <v>106702.659</v>
      </c>
      <c r="H2" s="7">
        <f>C2-G2</f>
        <v>-5639.8589999999967</v>
      </c>
      <c r="I2" s="6">
        <f>IFERROR(H2/G2, 0)</f>
        <v>-5.2855843076975211E-2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41249.4</v>
      </c>
      <c r="D4" s="13">
        <v>40885.517999999996</v>
      </c>
      <c r="E4" s="13">
        <f>IF(AND(ISNUMBER(C4),ISNUMBER(D4)), C4-D4, "")</f>
        <v>363.88200000000506</v>
      </c>
      <c r="F4" s="14">
        <f>IFERROR(E4/D4, "")</f>
        <v>8.9000217632073317E-3</v>
      </c>
      <c r="G4" s="15">
        <v>58474.985000000001</v>
      </c>
      <c r="H4" s="15">
        <f>IF(AND(ISNUMBER(C4),ISNUMBER(G4)), C4-G4, "")</f>
        <v>-17225.584999999999</v>
      </c>
      <c r="I4" s="16">
        <f>IFERROR(H4/G4, "")</f>
        <v>-0.29458040904157562</v>
      </c>
      <c r="J4" s="40" t="s">
        <v>22</v>
      </c>
      <c r="K4" s="40"/>
    </row>
    <row r="5" spans="1:11" ht="15.6">
      <c r="A5" s="29" t="str">
        <v>Mount Laurel - Igloo Ice Rink</v>
      </c>
      <c r="B5" s="30" t="str">
        <v>NJ</v>
      </c>
      <c r="C5" s="11">
        <v>59813.4</v>
      </c>
      <c r="D5" s="11">
        <v>62440.542999999998</v>
      </c>
      <c r="E5" s="18">
        <f t="shared" ref="E5" si="0">IF(AND(ISNUMBER(C5),ISNUMBER(D5)), C5-D5, "")</f>
        <v>-2627.1429999999964</v>
      </c>
      <c r="F5" s="19">
        <f>IFERROR(E5/D5, "")</f>
        <v>-4.2074313799609277E-2</v>
      </c>
      <c r="G5" s="11">
        <v>48227.673999999999</v>
      </c>
      <c r="H5" s="18">
        <f>IF(AND(ISNUMBER(C5),ISNUMBER(G5)), C5-G5, "")</f>
        <v>11585.726000000002</v>
      </c>
      <c r="I5" s="19">
        <f t="shared" ref="I5" si="1">IFERROR(H5/G5, "")</f>
        <v>0.24022983152784858</v>
      </c>
      <c r="J5" s="41"/>
      <c r="K5" s="41"/>
    </row>
    <row r="6" spans="1:11" ht="15.6">
      <c r="A6" s="29"/>
      <c r="B6" s="30"/>
      <c r="C6" s="11"/>
      <c r="D6" s="18"/>
      <c r="E6" s="18" t="str">
        <f t="shared" ref="E6" si="2">IF(AND(ISNUMBER(C6),ISNUMBER(D6)), C6-D6, "")</f>
        <v/>
      </c>
      <c r="F6" s="19" t="str">
        <f t="shared" ref="F6" si="3">IFERROR(E6/D6, "")</f>
        <v/>
      </c>
      <c r="G6" s="20"/>
      <c r="H6" s="20" t="str">
        <f t="shared" ref="H6" si="4">IF(AND(ISNUMBER(C6),ISNUMBER(G6)), C6-G6, "")</f>
        <v/>
      </c>
      <c r="I6" s="19" t="str">
        <f t="shared" ref="I6" si="5">IFERROR(H6/G6, "")</f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1"/>
  <sheetViews>
    <sheetView zoomScale="70" zoomScaleNormal="70" workbookViewId="0">
      <pane xSplit="2" ySplit="3" topLeftCell="J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Amergy Solar</v>
      </c>
      <c r="B1" s="75"/>
      <c r="C1" s="75"/>
      <c r="D1" s="76" t="s">
        <v>27</v>
      </c>
      <c r="E1" s="76"/>
      <c r="F1" s="76"/>
      <c r="G1" s="74" t="s">
        <v>28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SUM(C4:C89)</f>
        <v>166640.5</v>
      </c>
      <c r="D2" s="5">
        <f>SUM(D4:D89)</f>
        <v>170829.44500000001</v>
      </c>
      <c r="E2" s="5">
        <f>C2-D2</f>
        <v>-4188.945000000007</v>
      </c>
      <c r="F2" s="6">
        <f>IFERROR(E2/D2, 0)</f>
        <v>-2.4521211785239992E-2</v>
      </c>
      <c r="G2" s="5">
        <f>SUM(G4:G89)</f>
        <v>157231.674</v>
      </c>
      <c r="H2" s="7">
        <f>C2-G2</f>
        <v>9408.8260000000009</v>
      </c>
      <c r="I2" s="6">
        <f>IFERROR(H2/G2, 0)</f>
        <v>5.9840525516506309E-2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67535.7</v>
      </c>
      <c r="D4" s="13">
        <v>67185.569000000003</v>
      </c>
      <c r="E4" s="13">
        <f>IF(AND(ISNUMBER(C4),ISNUMBER(D4)), C4-D4, "")</f>
        <v>350.13099999999395</v>
      </c>
      <c r="F4" s="14">
        <f>IFERROR(E4/D4, "")</f>
        <v>5.2114018711368502E-3</v>
      </c>
      <c r="G4" s="15">
        <v>77398.457999999999</v>
      </c>
      <c r="H4" s="15">
        <f>IF(AND(ISNUMBER(C4),ISNUMBER(G4)), C4-G4, "")</f>
        <v>-9862.7580000000016</v>
      </c>
      <c r="I4" s="16">
        <f>IFERROR(H4/G4, "")</f>
        <v>-0.12742835264237437</v>
      </c>
      <c r="J4" s="40" t="s">
        <v>29</v>
      </c>
      <c r="K4" s="40"/>
    </row>
    <row r="5" spans="1:11" ht="15.6">
      <c r="A5" s="29" t="str">
        <v>Mount Laurel - Igloo Ice Rink</v>
      </c>
      <c r="B5" s="30" t="str">
        <v>NJ</v>
      </c>
      <c r="C5" s="11">
        <v>99104.8</v>
      </c>
      <c r="D5" s="18">
        <v>103643.876</v>
      </c>
      <c r="E5" s="18">
        <f>IF(AND(ISNUMBER(C5),ISNUMBER(D5)), C5-D5, "")</f>
        <v>-4539.0760000000009</v>
      </c>
      <c r="F5" s="19">
        <f>IFERROR(E5/D5, "")</f>
        <v>-4.379492715999931E-2</v>
      </c>
      <c r="G5" s="20">
        <v>79833.216</v>
      </c>
      <c r="H5" s="20">
        <f>IF(AND(ISNUMBER(C5),ISNUMBER(G5)), C5-G5, "")</f>
        <v>19271.584000000003</v>
      </c>
      <c r="I5" s="19">
        <f t="shared" ref="I5:I6" si="0">IFERROR(H5/G5, "")</f>
        <v>0.24139806668943417</v>
      </c>
      <c r="J5" s="41"/>
      <c r="K5" s="41"/>
    </row>
    <row r="6" spans="1:11" ht="15.6">
      <c r="A6" s="29"/>
      <c r="B6" s="30"/>
      <c r="C6" s="11"/>
      <c r="D6" s="18"/>
      <c r="E6" s="18" t="str">
        <f t="shared" ref="E6" si="1">IF(AND(ISNUMBER(C6),ISNUMBER(D6)), C6-D6, "")</f>
        <v/>
      </c>
      <c r="F6" s="19" t="str">
        <f t="shared" ref="F6" si="2">IFERROR(E6/D6, "")</f>
        <v/>
      </c>
      <c r="G6" s="20"/>
      <c r="H6" s="20" t="str">
        <f t="shared" ref="H6" si="3">IF(AND(ISNUMBER(C6),ISNUMBER(G6)), C6-G6, "")</f>
        <v/>
      </c>
      <c r="I6" s="19" t="str">
        <f t="shared" si="0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1"/>
  <sheetViews>
    <sheetView zoomScale="80" zoomScaleNormal="80" workbookViewId="0">
      <pane xSplit="2" ySplit="3" topLeftCell="C4" activePane="bottomRight" state="frozen"/>
      <selection pane="bottomRight" activeCell="J14" sqref="J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Amergy Solar</v>
      </c>
      <c r="B1" s="75"/>
      <c r="C1" s="75"/>
      <c r="D1" s="76" t="s">
        <v>30</v>
      </c>
      <c r="E1" s="76"/>
      <c r="F1" s="76"/>
      <c r="G1" s="74" t="s">
        <v>31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SUM(C4:C89)</f>
        <v>167794.1</v>
      </c>
      <c r="D2" s="5">
        <f>SUM(D4:D89)</f>
        <v>127938.35</v>
      </c>
      <c r="E2" s="5">
        <f>C2-D2</f>
        <v>39855.75</v>
      </c>
      <c r="F2" s="6">
        <f>IFERROR(E2/D2, 0)</f>
        <v>0.31152308905031212</v>
      </c>
      <c r="G2" s="5">
        <f>SUM(G4:G89)</f>
        <v>191379.95</v>
      </c>
      <c r="H2" s="7">
        <f>C2-G2</f>
        <v>-23585.850000000006</v>
      </c>
      <c r="I2" s="6">
        <f>IFERROR(H2/G2, 0)</f>
        <v>-0.12324096646487788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33.6" customHeight="1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69895.100000000006</v>
      </c>
      <c r="D4" s="13">
        <v>70676.850000000006</v>
      </c>
      <c r="E4" s="13">
        <f>IF(AND(ISNUMBER(C4),ISNUMBER(D4)), C4-D4, "")</f>
        <v>-781.75</v>
      </c>
      <c r="F4" s="14">
        <f>IFERROR(E4/D4, "")</f>
        <v>-1.1060906081694358E-2</v>
      </c>
      <c r="G4" s="15">
        <v>89306.95</v>
      </c>
      <c r="H4" s="15">
        <f>IF(AND(ISNUMBER(C4),ISNUMBER(G4)), C4-G4, "")</f>
        <v>-19411.849999999991</v>
      </c>
      <c r="I4" s="16">
        <f>IFERROR(H4/G4, "")</f>
        <v>-0.21736102285432424</v>
      </c>
      <c r="J4" s="40" t="s">
        <v>32</v>
      </c>
      <c r="K4" s="55" t="s">
        <v>33</v>
      </c>
    </row>
    <row r="5" spans="1:11" ht="64.5" customHeight="1">
      <c r="A5" s="29" t="str">
        <v>Mount Laurel - Igloo Ice Rink</v>
      </c>
      <c r="B5" s="30" t="str">
        <v>NJ</v>
      </c>
      <c r="C5" s="11">
        <v>97899</v>
      </c>
      <c r="D5" s="18">
        <v>57261.5</v>
      </c>
      <c r="E5" s="18">
        <f t="shared" ref="E5:E6" si="0">IF(AND(ISNUMBER(C5),ISNUMBER(D5)), C5-D5, "")</f>
        <v>40637.5</v>
      </c>
      <c r="F5" s="19">
        <f>IFERROR(E5/D5, "")</f>
        <v>0.70968277114640732</v>
      </c>
      <c r="G5" s="20">
        <v>102073</v>
      </c>
      <c r="H5" s="20">
        <f>IF(AND(ISNUMBER(C5),ISNUMBER(G5)), C5-G5, "")</f>
        <v>-4174</v>
      </c>
      <c r="I5" s="19">
        <f t="shared" ref="I5:I6" si="1">IFERROR(H5/G5, "")</f>
        <v>-4.0892302567770128E-2</v>
      </c>
      <c r="J5" s="50" t="s">
        <v>34</v>
      </c>
      <c r="K5" s="51" t="s">
        <v>35</v>
      </c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2">IFERROR(E6/D6, "")</f>
        <v/>
      </c>
      <c r="G6" s="20"/>
      <c r="H6" s="20" t="str">
        <f t="shared" ref="H6" si="3">IF(AND(ISNUMBER(C6),ISNUMBER(G6)), C6-G6, "")</f>
        <v/>
      </c>
      <c r="I6" s="19" t="str">
        <f t="shared" si="1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9" stopIfTrue="1" operator="lessThanOrEqual">
      <formula>-0.1</formula>
    </cfRule>
    <cfRule type="expression" dxfId="23" priority="10">
      <formula>AND(ISNUMBER(F2), F2&gt;=0.1)</formula>
    </cfRule>
  </conditionalFormatting>
  <conditionalFormatting sqref="F4:F89 I4:I89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4" r:id="rId1" display="https://us3.assetplanner.com/service_request?ID=100595" xr:uid="{B8DEF680-3205-4F3A-AF40-292376CEB52E}"/>
    <hyperlink ref="K5" r:id="rId2" display="https://us3.assetplanner.com/service_request?ID=099525" xr:uid="{A2F60132-FA68-44E2-A603-64018891DBF9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zoomScale="80" zoomScaleNormal="80" workbookViewId="0">
      <pane xSplit="2" ySplit="3" topLeftCell="C4" activePane="bottomRight" state="frozen"/>
      <selection pane="bottomRight" activeCell="J12" sqref="J12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Amergy Solar</v>
      </c>
      <c r="B1" s="75"/>
      <c r="C1" s="75"/>
      <c r="D1" s="76" t="s">
        <v>36</v>
      </c>
      <c r="E1" s="76"/>
      <c r="F1" s="76"/>
      <c r="G1" s="74" t="s">
        <v>37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SUM(C4:C87)</f>
        <v>169852.90000000008</v>
      </c>
      <c r="D2" s="5">
        <f>SUM(D4:D87)</f>
        <v>135384.81</v>
      </c>
      <c r="E2" s="5">
        <f>C2-D2</f>
        <v>34468.090000000084</v>
      </c>
      <c r="F2" s="6">
        <f>IFERROR(E2/D2, 0)</f>
        <v>0.25459348061278131</v>
      </c>
      <c r="G2" s="5">
        <f>SUM(G4:G87)</f>
        <v>204867.78999999998</v>
      </c>
      <c r="H2" s="7">
        <f>C2-G2</f>
        <v>-35014.889999999898</v>
      </c>
      <c r="I2" s="6">
        <f>IFERROR(H2/G2, 0)</f>
        <v>-0.17091456885438117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70707.3</v>
      </c>
      <c r="D4" s="13">
        <v>72770.5</v>
      </c>
      <c r="E4" s="13">
        <f>IF(AND(ISNUMBER(C4),ISNUMBER(D4)), C4-D4, "")</f>
        <v>-2063.1999999999971</v>
      </c>
      <c r="F4" s="14">
        <f>IFERROR(E4/D4, "")</f>
        <v>-2.8352148191918388E-2</v>
      </c>
      <c r="G4" s="15">
        <v>91904.89</v>
      </c>
      <c r="H4" s="15">
        <f>IF(AND(ISNUMBER(C4),ISNUMBER(G4)), C4-G4, "")</f>
        <v>-21197.589999999997</v>
      </c>
      <c r="I4" s="16">
        <f>IFERROR(H4/G4, "")</f>
        <v>-0.23064703085983779</v>
      </c>
      <c r="J4" s="40" t="s">
        <v>38</v>
      </c>
      <c r="K4" s="55" t="s">
        <v>33</v>
      </c>
    </row>
    <row r="5" spans="1:11" ht="28.9">
      <c r="A5" s="29" t="str">
        <v>Mount Laurel - Igloo Ice Rink</v>
      </c>
      <c r="B5" s="30" t="str">
        <v>NJ</v>
      </c>
      <c r="C5" s="11">
        <v>99145.600000000093</v>
      </c>
      <c r="D5" s="18">
        <v>62614.31</v>
      </c>
      <c r="E5" s="18">
        <f t="shared" ref="E5" si="0">IF(AND(ISNUMBER(C5),ISNUMBER(D5)), C5-D5, "")</f>
        <v>36531.290000000095</v>
      </c>
      <c r="F5" s="19">
        <f>IFERROR(E5/D5, "")</f>
        <v>0.58343356334997698</v>
      </c>
      <c r="G5" s="53">
        <v>112962.9</v>
      </c>
      <c r="H5" s="20">
        <f>IF(AND(ISNUMBER(C5),ISNUMBER(G5)), C5-G5, "")</f>
        <v>-13817.299999999901</v>
      </c>
      <c r="I5" s="19">
        <f t="shared" ref="I5" si="1">IFERROR(H5/G5, "")</f>
        <v>-0.12231715014398446</v>
      </c>
      <c r="J5" s="41" t="s">
        <v>39</v>
      </c>
      <c r="K5" s="41"/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52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53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7 I4:I87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hyperlinks>
    <hyperlink ref="K4" r:id="rId1" display="https://us3.assetplanner.com/service_request?ID=100595" xr:uid="{52FD9B62-F90D-4A92-8DD9-95A0EF60A32B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0"/>
  <sheetViews>
    <sheetView zoomScale="80" zoomScaleNormal="80" workbookViewId="0">
      <pane xSplit="2" ySplit="3" topLeftCell="C4" activePane="bottomRight" state="frozen"/>
      <selection pane="bottomRight" activeCell="D13" sqref="D13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6"/>
  </cols>
  <sheetData>
    <row r="1" spans="1:12" ht="19.5" customHeight="1">
      <c r="A1" s="75" t="str" cm="1">
        <f t="array" ref="A1">portfolio</f>
        <v>Amergy Solar</v>
      </c>
      <c r="B1" s="75"/>
      <c r="C1" s="75"/>
      <c r="D1" s="76" t="s">
        <v>40</v>
      </c>
      <c r="E1" s="76"/>
      <c r="F1" s="76"/>
      <c r="G1" s="74" t="s">
        <v>41</v>
      </c>
      <c r="H1" s="74"/>
      <c r="I1" s="74"/>
      <c r="J1" s="4"/>
      <c r="K1" s="4"/>
    </row>
    <row r="2" spans="1:12" ht="19.5" customHeight="1">
      <c r="A2" s="77" t="s">
        <v>2</v>
      </c>
      <c r="B2" s="77"/>
      <c r="C2" s="5">
        <f>SUM(C4:C88)</f>
        <v>187082.2999999999</v>
      </c>
      <c r="D2" s="5">
        <f>SUM(D4:D88)</f>
        <v>147726.43</v>
      </c>
      <c r="E2" s="5">
        <f>C2-D2</f>
        <v>39355.869999999908</v>
      </c>
      <c r="F2" s="6">
        <f>IFERROR(E2/D2, 0)</f>
        <v>0.26641048592320216</v>
      </c>
      <c r="G2" s="5">
        <f>SUM(G4:G88)</f>
        <v>212935.96000000002</v>
      </c>
      <c r="H2" s="7">
        <f>C2-G2</f>
        <v>-25853.66000000012</v>
      </c>
      <c r="I2" s="6">
        <f>IFERROR(H2/G2, 0)</f>
        <v>-0.12141518980636298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77132.099999999904</v>
      </c>
      <c r="D4" s="13">
        <v>78988.75</v>
      </c>
      <c r="E4" s="13">
        <f>IF(AND(ISNUMBER(C4),ISNUMBER(D4)), C4-D4, "")</f>
        <v>-1856.650000000096</v>
      </c>
      <c r="F4" s="14">
        <f>IFERROR(E4/D4, "")</f>
        <v>-2.3505246000222767E-2</v>
      </c>
      <c r="G4" s="15">
        <v>94705.16</v>
      </c>
      <c r="H4" s="15">
        <f>IF(AND(ISNUMBER(C4),ISNUMBER(G4)), C4-G4, "")</f>
        <v>-17573.0600000001</v>
      </c>
      <c r="I4" s="16">
        <f>IFERROR(H4/G4, "")</f>
        <v>-0.18555546498205694</v>
      </c>
      <c r="J4" s="40" t="s">
        <v>42</v>
      </c>
      <c r="K4" s="55" t="s">
        <v>43</v>
      </c>
    </row>
    <row r="5" spans="1:12" ht="122.25" customHeight="1">
      <c r="A5" s="29" t="str">
        <v>Mount Laurel - Igloo Ice Rink</v>
      </c>
      <c r="B5" s="30" t="str">
        <v>NJ</v>
      </c>
      <c r="C5" s="11">
        <v>109950.2</v>
      </c>
      <c r="D5" s="18">
        <v>68737.679999999993</v>
      </c>
      <c r="E5" s="18">
        <f t="shared" ref="E5" si="0">IF(AND(ISNUMBER(C5),ISNUMBER(D5)), C5-D5, "")</f>
        <v>41212.520000000004</v>
      </c>
      <c r="F5" s="19">
        <f>IFERROR(E5/D5, "")</f>
        <v>0.59956227792384043</v>
      </c>
      <c r="G5" s="20">
        <v>118230.8</v>
      </c>
      <c r="H5" s="20">
        <f t="shared" ref="H5" si="1">IF(AND(ISNUMBER(C5),ISNUMBER(G5)), C5-G5, "")</f>
        <v>-8280.6000000000058</v>
      </c>
      <c r="I5" s="19">
        <f t="shared" ref="I5" si="2">IFERROR(H5/G5, "")</f>
        <v>-7.0037587498350734E-2</v>
      </c>
      <c r="J5" s="50" t="s">
        <v>44</v>
      </c>
      <c r="K5" s="51" t="s">
        <v>45</v>
      </c>
      <c r="L5" s="57" t="s">
        <v>46</v>
      </c>
    </row>
    <row r="6" spans="1:12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2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0595" xr:uid="{2A92204E-07AC-4244-925B-9650ABA3FFFE}"/>
    <hyperlink ref="K5" r:id="rId2" display="https://us3.assetplanner.com/service_request?ID=102313" xr:uid="{968C70C1-686D-4E09-ADAB-A16F2C8705B7}"/>
    <hyperlink ref="L5" r:id="rId3" display="https://us3.assetplanner.com/service_request?ID=103325" xr:uid="{1950BECB-CF23-406D-9398-78505867A166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31"/>
  <sheetViews>
    <sheetView zoomScale="70" zoomScaleNormal="70" workbookViewId="0">
      <pane xSplit="2" ySplit="3" topLeftCell="C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140625" style="58"/>
  </cols>
  <sheetData>
    <row r="1" spans="1:12" ht="19.5" customHeight="1">
      <c r="A1" s="75" t="str" cm="1">
        <f t="array" ref="A1">portfolio</f>
        <v>Amergy Solar</v>
      </c>
      <c r="B1" s="75"/>
      <c r="C1" s="75"/>
      <c r="D1" s="76" t="s">
        <v>47</v>
      </c>
      <c r="E1" s="76"/>
      <c r="F1" s="76"/>
      <c r="G1" s="74" t="s">
        <v>48</v>
      </c>
      <c r="H1" s="74"/>
      <c r="I1" s="74"/>
      <c r="J1" s="4"/>
      <c r="K1" s="4"/>
    </row>
    <row r="2" spans="1:12" ht="19.5" customHeight="1">
      <c r="A2" s="77" t="s">
        <v>2</v>
      </c>
      <c r="B2" s="77"/>
      <c r="C2" s="5">
        <f>SUM(C4:C89)</f>
        <v>208635.6</v>
      </c>
      <c r="D2" s="5">
        <f>SUM(D4:D89)</f>
        <v>163551.62</v>
      </c>
      <c r="E2" s="5">
        <f>C2-D2</f>
        <v>45083.98000000001</v>
      </c>
      <c r="F2" s="6">
        <f>IFERROR(E2/D2, 0)</f>
        <v>0.27565596721084151</v>
      </c>
      <c r="G2" s="5">
        <f>SUM(G4:G89)</f>
        <v>220673.45</v>
      </c>
      <c r="H2" s="7">
        <f>C2-G2</f>
        <v>-12037.850000000006</v>
      </c>
      <c r="I2" s="6">
        <f>IFERROR(H2/G2, 0)</f>
        <v>-5.4550513439654863E-2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48" customHeight="1">
      <c r="A4" s="60" t="str" cm="1">
        <f t="array" ref="A4:A5">Sites[Site]</f>
        <v>Farmingdale - Howell Ice Arena</v>
      </c>
      <c r="B4" s="28" t="str" cm="1">
        <f t="array" ref="B4:B5">Sites[State]</f>
        <v>NJ</v>
      </c>
      <c r="C4" s="24">
        <v>86004.6</v>
      </c>
      <c r="D4" s="13">
        <v>87364.57</v>
      </c>
      <c r="E4" s="13">
        <f>IF(AND(ISNUMBER(C4),ISNUMBER(D4)), C4-D4, "")</f>
        <v>-1359.9700000000012</v>
      </c>
      <c r="F4" s="14">
        <f>IFERROR(E4/D4, "")</f>
        <v>-1.5566607836563507E-2</v>
      </c>
      <c r="G4" s="15">
        <v>96882.35</v>
      </c>
      <c r="H4" s="15">
        <f>IF(AND(ISNUMBER(C4),ISNUMBER(G4)), C4-G4, "")</f>
        <v>-10877.75</v>
      </c>
      <c r="I4" s="16">
        <f>IFERROR(H4/G4, "")</f>
        <v>-0.11227793297747216</v>
      </c>
      <c r="J4" s="40" t="s">
        <v>49</v>
      </c>
      <c r="K4" s="55" t="s">
        <v>33</v>
      </c>
    </row>
    <row r="5" spans="1:12" ht="105" customHeight="1">
      <c r="A5" s="29" t="str">
        <v>Mount Laurel - Igloo Ice Rink</v>
      </c>
      <c r="B5" s="30" t="str">
        <v>NJ</v>
      </c>
      <c r="C5" s="11">
        <v>122631</v>
      </c>
      <c r="D5" s="18">
        <v>76187.05</v>
      </c>
      <c r="E5" s="18">
        <f t="shared" ref="E5:E6" si="0">IF(AND(ISNUMBER(C5),ISNUMBER(D5)), C5-D5, "")</f>
        <v>46443.95</v>
      </c>
      <c r="F5" s="19">
        <f>IFERROR(E5/D5, "")</f>
        <v>0.60960425689142705</v>
      </c>
      <c r="G5" s="20">
        <v>123791.1</v>
      </c>
      <c r="H5" s="20">
        <f t="shared" ref="H5:H6" si="1">IF(AND(ISNUMBER(C5),ISNUMBER(G5)), C5-G5, "")</f>
        <v>-1160.1000000000058</v>
      </c>
      <c r="I5" s="19">
        <f t="shared" ref="I5:I6" si="2">IFERROR(H5/G5, "")</f>
        <v>-9.3714330028572788E-3</v>
      </c>
      <c r="J5" s="50" t="s">
        <v>50</v>
      </c>
      <c r="K5" s="51" t="s">
        <v>51</v>
      </c>
      <c r="L5" s="59" t="s">
        <v>52</v>
      </c>
    </row>
    <row r="6" spans="1:12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2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9 I4:I8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0595" xr:uid="{DBB57D04-09D4-40FC-803F-D1D7F93AAC9A}"/>
    <hyperlink ref="K5" r:id="rId2" display="https://us3.assetplanner.com/service_request?ID=103325" xr:uid="{630C8ECC-DA5B-43E8-B705-14DC45DBB8A6}"/>
    <hyperlink ref="L5" r:id="rId3" display="https://us3.assetplanner.com/service_request?ID=104216" xr:uid="{23289CBD-779E-4651-A6CE-8D975090CF43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31"/>
  <sheetViews>
    <sheetView zoomScale="80" zoomScaleNormal="80" workbookViewId="0">
      <pane xSplit="2" ySplit="3" topLeftCell="C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6"/>
  </cols>
  <sheetData>
    <row r="1" spans="1:12" ht="19.5" customHeight="1">
      <c r="A1" s="75" t="str" cm="1">
        <f t="array" ref="A1">portfolio</f>
        <v>Amergy Solar</v>
      </c>
      <c r="B1" s="75"/>
      <c r="C1" s="75"/>
      <c r="D1" s="76" t="s">
        <v>53</v>
      </c>
      <c r="E1" s="76"/>
      <c r="F1" s="76"/>
      <c r="G1" s="74" t="s">
        <v>54</v>
      </c>
      <c r="H1" s="74"/>
      <c r="I1" s="74"/>
      <c r="J1" s="4"/>
      <c r="K1" s="4"/>
    </row>
    <row r="2" spans="1:12" ht="19.5" customHeight="1">
      <c r="A2" s="77" t="s">
        <v>2</v>
      </c>
      <c r="B2" s="77"/>
      <c r="C2" s="5">
        <f>SUM(C4:C89)</f>
        <v>198389.3000000001</v>
      </c>
      <c r="D2" s="5">
        <f>SUM(D4:D89)</f>
        <v>151075.19</v>
      </c>
      <c r="E2" s="5">
        <f>C2-D2</f>
        <v>47314.110000000102</v>
      </c>
      <c r="F2" s="6">
        <f>IFERROR(E2/D2, 0)</f>
        <v>0.31318252851444439</v>
      </c>
      <c r="G2" s="5">
        <f>SUM(G4:G89)</f>
        <v>198737.33000000002</v>
      </c>
      <c r="H2" s="7">
        <f>C2-G2</f>
        <v>-348.02999999991152</v>
      </c>
      <c r="I2" s="6">
        <f>IFERROR(H2/G2, 0)</f>
        <v>-1.7512059762497137E-3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40.5" customHeight="1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82994.400000000096</v>
      </c>
      <c r="D4" s="13">
        <v>83230.399999999994</v>
      </c>
      <c r="E4" s="13">
        <f>IF(AND(ISNUMBER(C4),ISNUMBER(D4)), C4-D4, "")</f>
        <v>-235.99999999989814</v>
      </c>
      <c r="F4" s="14">
        <f>IFERROR(E4/D4, "")</f>
        <v>-2.8355024125787951E-3</v>
      </c>
      <c r="G4" s="15">
        <v>90835.03</v>
      </c>
      <c r="H4" s="15">
        <f>IF(AND(ISNUMBER(C4),ISNUMBER(G4)), C4-G4, "")</f>
        <v>-7840.6299999999028</v>
      </c>
      <c r="I4" s="16">
        <f>IFERROR(H4/G4, "")</f>
        <v>-8.6317250074116808E-2</v>
      </c>
      <c r="J4" s="40" t="s">
        <v>55</v>
      </c>
      <c r="K4" s="55" t="s">
        <v>56</v>
      </c>
    </row>
    <row r="5" spans="1:12" ht="101.25" customHeight="1">
      <c r="A5" s="29" t="str">
        <v>Mount Laurel - Igloo Ice Rink</v>
      </c>
      <c r="B5" s="30" t="str">
        <v>NJ</v>
      </c>
      <c r="C5" s="11">
        <v>115394.9</v>
      </c>
      <c r="D5" s="18">
        <v>67844.789999999994</v>
      </c>
      <c r="E5" s="18">
        <f t="shared" ref="E5:E6" si="0">IF(AND(ISNUMBER(C5),ISNUMBER(D5)), C5-D5, "")</f>
        <v>47550.11</v>
      </c>
      <c r="F5" s="19">
        <f>IFERROR(E5/D5, "")</f>
        <v>0.70086605028919691</v>
      </c>
      <c r="G5" s="20">
        <v>107902.3</v>
      </c>
      <c r="H5" s="20">
        <f t="shared" ref="H5:H6" si="1">IF(AND(ISNUMBER(C5),ISNUMBER(G5)), C5-G5, "")</f>
        <v>7492.5999999999913</v>
      </c>
      <c r="I5" s="19">
        <f t="shared" ref="I5:I6" si="2">IFERROR(H5/G5, "")</f>
        <v>6.9438742269627166E-2</v>
      </c>
      <c r="J5" s="49" t="s">
        <v>57</v>
      </c>
      <c r="K5" s="51" t="s">
        <v>58</v>
      </c>
      <c r="L5" s="57" t="s">
        <v>59</v>
      </c>
    </row>
    <row r="6" spans="1:12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2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100595" xr:uid="{FB417A9F-1C58-46D1-9720-7F0FE87585A5}"/>
    <hyperlink ref="K5" r:id="rId2" display="https://us3.assetplanner.com/service_request?ID=103325" xr:uid="{78A75FD4-8E28-42C6-AC9F-E1D375B555D2}"/>
    <hyperlink ref="L5" r:id="rId3" display="https://us3.assetplanner.com/service_request?ID=106294" xr:uid="{C48CAFB7-F706-4D20-9540-E13AA805573F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1"/>
  <sheetViews>
    <sheetView zoomScale="80" zoomScaleNormal="80" workbookViewId="0">
      <pane xSplit="2" ySplit="3" topLeftCell="C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Amergy Solar</v>
      </c>
      <c r="B1" s="75"/>
      <c r="C1" s="75"/>
      <c r="D1" s="76" t="s">
        <v>60</v>
      </c>
      <c r="E1" s="76"/>
      <c r="F1" s="76"/>
      <c r="G1" s="74" t="s">
        <v>61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SUM(C4:C89)</f>
        <v>157923.9</v>
      </c>
      <c r="D2" s="5">
        <f>SUM(D4:D89)</f>
        <v>114980.00200000001</v>
      </c>
      <c r="E2" s="5">
        <f>C2-D2</f>
        <v>42943.897999999986</v>
      </c>
      <c r="F2" s="6">
        <f>IFERROR(E2/D2, 0)</f>
        <v>0.37349014831292127</v>
      </c>
      <c r="G2" s="5">
        <f>SUM(G4:G89)</f>
        <v>163254.72600000002</v>
      </c>
      <c r="H2" s="7">
        <f>C2-G2</f>
        <v>-5330.82600000003</v>
      </c>
      <c r="I2" s="6">
        <f>IFERROR(H2/G2, 0)</f>
        <v>-3.2653425298083127E-2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64790.6</v>
      </c>
      <c r="D4" s="13">
        <v>64642.631999999998</v>
      </c>
      <c r="E4" s="13">
        <f>IF(AND(ISNUMBER(C4),ISNUMBER(D4)), C4-D4, "")</f>
        <v>147.96800000000076</v>
      </c>
      <c r="F4" s="14">
        <f>IFERROR(E4/D4, "")</f>
        <v>2.2890157071574803E-3</v>
      </c>
      <c r="G4" s="15">
        <v>76418.986000000004</v>
      </c>
      <c r="H4" s="15">
        <f>IF(AND(ISNUMBER(C4),ISNUMBER(G4)), C4-G4, "")</f>
        <v>-11628.386000000006</v>
      </c>
      <c r="I4" s="16">
        <f>IFERROR(H4/G4, "")</f>
        <v>-0.1521661907421803</v>
      </c>
      <c r="J4" s="40" t="s">
        <v>55</v>
      </c>
      <c r="K4" s="55" t="s">
        <v>56</v>
      </c>
    </row>
    <row r="5" spans="1:11" ht="28.9">
      <c r="A5" s="29" t="str">
        <v>Mount Laurel - Igloo Ice Rink</v>
      </c>
      <c r="B5" s="30" t="str">
        <v>NJ</v>
      </c>
      <c r="C5" s="11">
        <v>93133.3</v>
      </c>
      <c r="D5" s="18">
        <v>50337.37</v>
      </c>
      <c r="E5" s="18">
        <f t="shared" ref="E5:E6" si="0">IF(AND(ISNUMBER(C5),ISNUMBER(D5)), C5-D5, "")</f>
        <v>42795.93</v>
      </c>
      <c r="F5" s="19">
        <f>IFERROR(E5/D5, "")</f>
        <v>0.85018208142380103</v>
      </c>
      <c r="G5" s="20">
        <v>86835.74</v>
      </c>
      <c r="H5" s="20">
        <f t="shared" ref="H5:H6" si="1">IF(AND(ISNUMBER(C5),ISNUMBER(G5)), C5-G5, "")</f>
        <v>6297.5599999999977</v>
      </c>
      <c r="I5" s="19">
        <f t="shared" ref="I5:I6" si="2">IFERROR(H5/G5, "")</f>
        <v>7.2522673267942414E-2</v>
      </c>
      <c r="J5" s="41" t="s">
        <v>62</v>
      </c>
      <c r="K5" s="41"/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4" r:id="rId1" display="https://us3.assetplanner.com/service_request?ID=100595" xr:uid="{E033DD91-3C56-4E58-AFA2-DDB80CAD46AD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30"/>
  <sheetViews>
    <sheetView zoomScale="70" zoomScaleNormal="70" workbookViewId="0">
      <pane xSplit="2" ySplit="3" topLeftCell="C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4.4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1" customWidth="1"/>
    <col min="11" max="11" width="20.5703125" style="61" bestFit="1" customWidth="1"/>
    <col min="12" max="12" width="8.85546875" style="61"/>
  </cols>
  <sheetData>
    <row r="1" spans="1:12" ht="19.5" customHeight="1">
      <c r="A1" s="75" t="str" cm="1">
        <f t="array" ref="A1">portfolio</f>
        <v>Amergy Solar</v>
      </c>
      <c r="B1" s="75"/>
      <c r="C1" s="75"/>
      <c r="D1" s="76" t="s">
        <v>63</v>
      </c>
      <c r="E1" s="76"/>
      <c r="F1" s="76"/>
      <c r="G1" s="74" t="s">
        <v>64</v>
      </c>
      <c r="H1" s="74"/>
      <c r="I1" s="74"/>
      <c r="J1" s="63"/>
      <c r="K1" s="63"/>
    </row>
    <row r="2" spans="1:12" ht="19.5" customHeight="1">
      <c r="A2" s="77" t="s">
        <v>2</v>
      </c>
      <c r="B2" s="77"/>
      <c r="C2" s="5">
        <f>SUM(C4:C88)</f>
        <v>125532.1</v>
      </c>
      <c r="D2" s="5">
        <f>SUM(D4:D88)</f>
        <v>85756.03</v>
      </c>
      <c r="E2" s="5">
        <f>C2-D2</f>
        <v>39776.070000000007</v>
      </c>
      <c r="F2" s="6">
        <f>IFERROR(E2/D2, 0)</f>
        <v>0.46382825790792798</v>
      </c>
      <c r="G2" s="5">
        <f>SUM(G4:G88)</f>
        <v>133798.08900000001</v>
      </c>
      <c r="H2" s="7">
        <f>C2-G2</f>
        <v>-8265.9890000000014</v>
      </c>
      <c r="I2" s="6">
        <f>IFERROR(H2/G2, 0)</f>
        <v>-6.1779574445192567E-2</v>
      </c>
      <c r="J2" s="64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63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62" t="s">
        <v>20</v>
      </c>
      <c r="K3" s="62" t="s">
        <v>21</v>
      </c>
      <c r="L3" s="62" t="s">
        <v>65</v>
      </c>
    </row>
    <row r="4" spans="1:12" ht="28.9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49580.5</v>
      </c>
      <c r="D4" s="13">
        <v>48704.9</v>
      </c>
      <c r="E4" s="13">
        <f>IF(AND(ISNUMBER(C4),ISNUMBER(D4)), C4-D4, "")</f>
        <v>875.59999999999854</v>
      </c>
      <c r="F4" s="14">
        <f>IFERROR(E4/D4, "")</f>
        <v>1.7977657278836389E-2</v>
      </c>
      <c r="G4" s="15">
        <v>62157</v>
      </c>
      <c r="H4" s="15">
        <f>IF(AND(ISNUMBER(C4),ISNUMBER(G4)), C4-G4, "")</f>
        <v>-12576.5</v>
      </c>
      <c r="I4" s="16">
        <f>IFERROR(H4/G4, "")</f>
        <v>-0.20233441124893414</v>
      </c>
      <c r="J4" s="69" t="s">
        <v>55</v>
      </c>
      <c r="K4" s="67" t="s">
        <v>33</v>
      </c>
      <c r="L4" s="65" t="s">
        <v>66</v>
      </c>
    </row>
    <row r="5" spans="1:12" ht="57.6">
      <c r="A5" s="29" t="str">
        <v>Mount Laurel - Igloo Ice Rink</v>
      </c>
      <c r="B5" s="30" t="str">
        <v>NJ</v>
      </c>
      <c r="C5" s="11">
        <v>75951.600000000006</v>
      </c>
      <c r="D5" s="18">
        <v>37051.129999999997</v>
      </c>
      <c r="E5" s="18">
        <f t="shared" ref="E5" si="0">IF(AND(ISNUMBER(C5),ISNUMBER(D5)), C5-D5, "")</f>
        <v>38900.470000000008</v>
      </c>
      <c r="F5" s="19">
        <f>IFERROR(E5/D5, "")</f>
        <v>1.0499131875330121</v>
      </c>
      <c r="G5" s="20">
        <v>71641.089000000007</v>
      </c>
      <c r="H5" s="20">
        <f t="shared" ref="H5" si="1">IF(AND(ISNUMBER(C5),ISNUMBER(G5)), C5-G5, "")</f>
        <v>4310.5109999999986</v>
      </c>
      <c r="I5" s="19">
        <f t="shared" ref="I5" si="2">IFERROR(H5/G5, "")</f>
        <v>6.0168138985156945E-2</v>
      </c>
      <c r="J5" s="72" t="s">
        <v>67</v>
      </c>
      <c r="K5" s="68" t="s">
        <v>68</v>
      </c>
      <c r="L5" s="66" t="s">
        <v>66</v>
      </c>
    </row>
    <row r="6" spans="1:12" ht="12.75" customHeight="1">
      <c r="A6" s="21"/>
      <c r="B6" s="32"/>
      <c r="C6" s="21"/>
      <c r="D6" s="21"/>
      <c r="E6" s="21"/>
      <c r="F6" s="21"/>
      <c r="G6" s="21"/>
      <c r="H6" s="21"/>
      <c r="I6" s="21"/>
    </row>
    <row r="7" spans="1:12">
      <c r="A7" s="21"/>
      <c r="B7" s="32"/>
      <c r="C7" s="21"/>
      <c r="D7" s="21"/>
      <c r="E7" s="21"/>
      <c r="F7" s="21"/>
      <c r="G7" s="21"/>
      <c r="H7" s="21"/>
      <c r="I7" s="21"/>
    </row>
    <row r="8" spans="1:12">
      <c r="A8" s="21"/>
      <c r="B8" s="32"/>
      <c r="C8" s="21"/>
      <c r="D8" s="21"/>
      <c r="E8" s="21"/>
      <c r="F8" s="21"/>
      <c r="G8" s="21"/>
      <c r="H8" s="21"/>
      <c r="I8" s="21"/>
    </row>
    <row r="9" spans="1:12">
      <c r="A9" s="21"/>
      <c r="B9" s="32"/>
      <c r="C9" s="21"/>
      <c r="D9" s="21"/>
      <c r="E9" s="21"/>
      <c r="F9" s="21"/>
      <c r="G9" s="21"/>
      <c r="H9" s="21"/>
      <c r="I9" s="21"/>
    </row>
    <row r="10" spans="1:12">
      <c r="A10" s="21"/>
      <c r="B10" s="32"/>
      <c r="C10" s="21"/>
      <c r="D10" s="21"/>
      <c r="E10" s="21"/>
      <c r="F10" s="21"/>
      <c r="G10" s="21"/>
      <c r="H10" s="21"/>
      <c r="I10" s="21"/>
    </row>
    <row r="11" spans="1:12">
      <c r="A11" s="21"/>
      <c r="B11" s="32"/>
      <c r="C11" s="21"/>
      <c r="D11" s="21"/>
      <c r="E11" s="21"/>
      <c r="F11" s="21"/>
      <c r="G11" s="21"/>
      <c r="H11" s="21"/>
      <c r="I11" s="21"/>
    </row>
    <row r="12" spans="1:12">
      <c r="A12" s="21"/>
      <c r="B12" s="32"/>
      <c r="C12" s="21"/>
      <c r="D12" s="21"/>
      <c r="E12" s="21"/>
      <c r="F12" s="21"/>
      <c r="G12" s="21"/>
      <c r="H12" s="21"/>
      <c r="I12" s="21"/>
    </row>
    <row r="13" spans="1:12">
      <c r="A13" s="21"/>
      <c r="B13" s="32"/>
      <c r="C13" s="21"/>
      <c r="D13" s="21"/>
      <c r="E13" s="21"/>
      <c r="F13" s="21"/>
      <c r="G13" s="21"/>
      <c r="H13" s="21"/>
      <c r="I13" s="21"/>
    </row>
    <row r="14" spans="1:12">
      <c r="A14" s="21"/>
      <c r="B14" s="32"/>
      <c r="C14" s="21"/>
      <c r="D14" s="21"/>
      <c r="E14" s="21"/>
      <c r="F14" s="21"/>
      <c r="G14" s="21"/>
      <c r="H14" s="21"/>
      <c r="I14" s="21"/>
    </row>
    <row r="15" spans="1:12">
      <c r="A15" s="21"/>
      <c r="B15" s="32"/>
      <c r="C15" s="21"/>
      <c r="D15" s="21"/>
      <c r="E15" s="21"/>
      <c r="F15" s="21"/>
      <c r="G15" s="21"/>
      <c r="H15" s="21"/>
      <c r="I15" s="21"/>
    </row>
    <row r="16" spans="1:12">
      <c r="A16" s="21"/>
      <c r="B16" s="32"/>
      <c r="C16" s="21"/>
      <c r="D16" s="21"/>
      <c r="E16" s="21"/>
      <c r="F16" s="21"/>
      <c r="G16" s="21"/>
      <c r="H16" s="21"/>
      <c r="I16" s="21"/>
    </row>
    <row r="17" spans="1:9">
      <c r="A17" s="21"/>
      <c r="B17" s="32"/>
      <c r="C17" s="21"/>
      <c r="D17" s="21"/>
      <c r="E17" s="21"/>
      <c r="F17" s="21"/>
      <c r="G17" s="21"/>
      <c r="H17" s="21"/>
      <c r="I17" s="21"/>
    </row>
    <row r="18" spans="1:9">
      <c r="A18" s="21"/>
      <c r="B18" s="32"/>
      <c r="C18" s="21"/>
      <c r="D18" s="21"/>
      <c r="E18" s="21"/>
      <c r="F18" s="21"/>
      <c r="G18" s="21"/>
      <c r="H18" s="21"/>
      <c r="I18" s="21"/>
    </row>
    <row r="19" spans="1:9">
      <c r="A19" s="21"/>
      <c r="B19" s="32"/>
      <c r="C19" s="21"/>
      <c r="D19" s="21"/>
      <c r="E19" s="21"/>
      <c r="F19" s="21"/>
      <c r="G19" s="21"/>
      <c r="H19" s="21"/>
      <c r="I19" s="21"/>
    </row>
    <row r="20" spans="1:9">
      <c r="A20" s="21"/>
      <c r="B20" s="32"/>
      <c r="C20" s="21"/>
      <c r="D20" s="21"/>
      <c r="E20" s="21"/>
      <c r="F20" s="21"/>
      <c r="G20" s="21"/>
      <c r="H20" s="21"/>
      <c r="I20" s="21"/>
    </row>
    <row r="21" spans="1:9">
      <c r="A21" s="21"/>
      <c r="B21" s="32"/>
      <c r="C21" s="21"/>
      <c r="D21" s="21"/>
      <c r="E21" s="21"/>
      <c r="F21" s="22"/>
      <c r="G21" s="21"/>
      <c r="H21" s="21"/>
      <c r="I21" s="22"/>
    </row>
    <row r="22" spans="1:9">
      <c r="A22" s="21"/>
      <c r="B22" s="32"/>
      <c r="C22" s="21"/>
      <c r="D22" s="21"/>
      <c r="E22" s="21"/>
      <c r="F22" s="22"/>
      <c r="G22" s="21"/>
      <c r="H22" s="21"/>
      <c r="I22" s="22"/>
    </row>
    <row r="23" spans="1:9">
      <c r="A23" s="21"/>
      <c r="B23" s="32"/>
      <c r="C23" s="21"/>
      <c r="D23" s="21"/>
      <c r="E23" s="21"/>
      <c r="F23" s="22"/>
      <c r="G23" s="21"/>
      <c r="H23" s="21"/>
      <c r="I23" s="22"/>
    </row>
    <row r="24" spans="1:9">
      <c r="A24" s="21"/>
      <c r="B24" s="32"/>
      <c r="C24" s="21"/>
      <c r="D24" s="21"/>
      <c r="E24" s="21"/>
      <c r="F24" s="22"/>
      <c r="G24" s="21"/>
      <c r="H24" s="21"/>
      <c r="I24" s="22"/>
    </row>
    <row r="25" spans="1:9">
      <c r="A25" s="21"/>
      <c r="B25" s="32"/>
      <c r="C25" s="21"/>
      <c r="D25" s="21"/>
      <c r="E25" s="21"/>
      <c r="F25" s="22"/>
      <c r="G25" s="21"/>
      <c r="H25" s="21"/>
      <c r="I25" s="22"/>
    </row>
    <row r="26" spans="1:9">
      <c r="A26" s="21"/>
      <c r="B26" s="32"/>
      <c r="C26" s="21"/>
      <c r="D26" s="21"/>
      <c r="E26" s="21"/>
      <c r="F26" s="22"/>
      <c r="G26" s="21"/>
      <c r="H26" s="21"/>
      <c r="I26" s="22"/>
    </row>
    <row r="27" spans="1:9">
      <c r="A27" s="21"/>
      <c r="B27" s="32"/>
      <c r="C27" s="21"/>
      <c r="D27" s="21"/>
      <c r="E27" s="21"/>
      <c r="F27" s="22"/>
      <c r="G27" s="21"/>
      <c r="H27" s="21"/>
      <c r="I27" s="22"/>
    </row>
    <row r="28" spans="1:9">
      <c r="A28" s="21"/>
      <c r="B28" s="32"/>
      <c r="C28" s="21"/>
      <c r="D28" s="21"/>
      <c r="E28" s="21"/>
      <c r="F28" s="22"/>
      <c r="G28" s="21"/>
      <c r="H28" s="21"/>
      <c r="I28" s="22"/>
    </row>
    <row r="29" spans="1:9">
      <c r="A29" s="21"/>
      <c r="B29" s="32"/>
      <c r="C29" s="21"/>
      <c r="D29" s="21"/>
      <c r="E29" s="21"/>
      <c r="F29" s="22"/>
      <c r="G29" s="21"/>
      <c r="H29" s="21"/>
      <c r="I29" s="22"/>
    </row>
    <row r="30" spans="1:9">
      <c r="A30" s="21"/>
      <c r="B30" s="32"/>
      <c r="C30" s="21"/>
      <c r="D30" s="21"/>
      <c r="E30" s="21"/>
      <c r="F30" s="22"/>
      <c r="G30" s="21"/>
      <c r="H30" s="21"/>
      <c r="I30" s="22"/>
    </row>
    <row r="31" spans="1:9">
      <c r="A31" s="21"/>
      <c r="B31" s="32"/>
      <c r="C31" s="21"/>
      <c r="D31" s="21"/>
      <c r="E31" s="21"/>
      <c r="F31" s="22"/>
      <c r="G31" s="21"/>
      <c r="H31" s="21"/>
      <c r="I31" s="22"/>
    </row>
    <row r="32" spans="1:9">
      <c r="A32" s="21"/>
      <c r="B32" s="32"/>
      <c r="C32" s="21"/>
      <c r="D32" s="21"/>
      <c r="E32" s="21"/>
      <c r="F32" s="22"/>
      <c r="G32" s="21"/>
      <c r="H32" s="21"/>
      <c r="I32" s="22"/>
    </row>
    <row r="33" spans="1:9">
      <c r="A33" s="21"/>
      <c r="B33" s="32"/>
      <c r="C33" s="21"/>
      <c r="D33" s="21"/>
      <c r="E33" s="21"/>
      <c r="F33" s="22"/>
      <c r="G33" s="21"/>
      <c r="H33" s="21"/>
      <c r="I33" s="22"/>
    </row>
    <row r="34" spans="1:9">
      <c r="A34" s="21"/>
      <c r="B34" s="32"/>
      <c r="C34" s="21"/>
      <c r="D34" s="21"/>
      <c r="E34" s="21"/>
      <c r="F34" s="22"/>
      <c r="G34" s="21"/>
      <c r="H34" s="21"/>
      <c r="I34" s="22"/>
    </row>
    <row r="35" spans="1:9">
      <c r="A35" s="21"/>
      <c r="B35" s="32"/>
      <c r="C35" s="21"/>
      <c r="D35" s="21"/>
      <c r="E35" s="21"/>
      <c r="F35" s="22"/>
      <c r="G35" s="21"/>
      <c r="H35" s="21"/>
      <c r="I35" s="22"/>
    </row>
    <row r="36" spans="1:9">
      <c r="A36" s="21"/>
      <c r="B36" s="32"/>
      <c r="C36" s="21"/>
      <c r="D36" s="21"/>
      <c r="E36" s="21"/>
      <c r="F36" s="22"/>
      <c r="G36" s="21"/>
      <c r="H36" s="21"/>
      <c r="I36" s="22"/>
    </row>
    <row r="37" spans="1:9">
      <c r="A37" s="21"/>
      <c r="B37" s="32"/>
      <c r="C37" s="21"/>
      <c r="D37" s="21"/>
      <c r="E37" s="21"/>
      <c r="F37" s="22"/>
      <c r="G37" s="21"/>
      <c r="H37" s="21"/>
      <c r="I37" s="22"/>
    </row>
    <row r="38" spans="1:9">
      <c r="A38" s="21"/>
      <c r="B38" s="32"/>
      <c r="C38" s="21"/>
      <c r="D38" s="21"/>
      <c r="E38" s="21"/>
      <c r="F38" s="22"/>
      <c r="G38" s="21"/>
      <c r="H38" s="21"/>
      <c r="I38" s="22"/>
    </row>
    <row r="39" spans="1:9">
      <c r="A39" s="21"/>
      <c r="B39" s="32"/>
      <c r="C39" s="21"/>
      <c r="D39" s="21"/>
      <c r="E39" s="21"/>
      <c r="F39" s="22"/>
      <c r="G39" s="21"/>
      <c r="H39" s="21"/>
      <c r="I39" s="22"/>
    </row>
    <row r="40" spans="1:9">
      <c r="A40" s="21"/>
      <c r="B40" s="32"/>
      <c r="C40" s="21"/>
      <c r="D40" s="21"/>
      <c r="E40" s="21"/>
      <c r="F40" s="22"/>
      <c r="G40" s="21"/>
      <c r="H40" s="21"/>
      <c r="I40" s="22"/>
    </row>
    <row r="41" spans="1:9">
      <c r="A41" s="21"/>
      <c r="B41" s="32"/>
      <c r="C41" s="21"/>
      <c r="D41" s="21"/>
      <c r="E41" s="21"/>
      <c r="F41" s="22"/>
      <c r="G41" s="21"/>
      <c r="H41" s="21"/>
      <c r="I41" s="22"/>
    </row>
    <row r="42" spans="1:9">
      <c r="A42" s="21"/>
      <c r="B42" s="32"/>
      <c r="C42" s="21"/>
      <c r="D42" s="21"/>
      <c r="E42" s="21"/>
      <c r="F42" s="22"/>
      <c r="G42" s="21"/>
      <c r="H42" s="21"/>
      <c r="I42" s="22"/>
    </row>
    <row r="43" spans="1:9">
      <c r="A43" s="21"/>
      <c r="B43" s="32"/>
      <c r="C43" s="21"/>
      <c r="D43" s="21"/>
      <c r="E43" s="21"/>
      <c r="F43" s="22"/>
      <c r="G43" s="21"/>
      <c r="H43" s="21"/>
      <c r="I43" s="22"/>
    </row>
    <row r="44" spans="1:9">
      <c r="A44" s="21"/>
      <c r="B44" s="32"/>
      <c r="C44" s="21"/>
      <c r="D44" s="21"/>
      <c r="E44" s="21"/>
      <c r="F44" s="22"/>
      <c r="G44" s="21"/>
      <c r="H44" s="21"/>
      <c r="I44" s="22"/>
    </row>
    <row r="45" spans="1:9">
      <c r="A45" s="21"/>
      <c r="B45" s="32"/>
      <c r="C45" s="21"/>
      <c r="D45" s="21"/>
      <c r="E45" s="21"/>
      <c r="F45" s="22"/>
      <c r="G45" s="21"/>
      <c r="H45" s="21"/>
      <c r="I45" s="22"/>
    </row>
    <row r="46" spans="1:9">
      <c r="A46" s="21"/>
      <c r="B46" s="32"/>
      <c r="C46" s="21"/>
      <c r="D46" s="21"/>
      <c r="E46" s="21"/>
      <c r="F46" s="22"/>
      <c r="G46" s="21"/>
      <c r="H46" s="21"/>
      <c r="I46" s="22"/>
    </row>
    <row r="47" spans="1:9">
      <c r="A47" s="21"/>
      <c r="B47" s="32"/>
      <c r="C47" s="21"/>
      <c r="D47" s="21"/>
      <c r="E47" s="21"/>
      <c r="F47" s="22"/>
      <c r="G47" s="21"/>
      <c r="H47" s="21"/>
      <c r="I47" s="22"/>
    </row>
    <row r="48" spans="1:9">
      <c r="A48" s="21"/>
      <c r="B48" s="32"/>
      <c r="C48" s="21"/>
      <c r="D48" s="21"/>
      <c r="E48" s="21"/>
      <c r="F48" s="22"/>
      <c r="G48" s="21"/>
      <c r="H48" s="21"/>
      <c r="I48" s="22"/>
    </row>
    <row r="49" spans="1:9">
      <c r="A49" s="21"/>
      <c r="B49" s="32"/>
      <c r="C49" s="21"/>
      <c r="D49" s="21"/>
      <c r="E49" s="21"/>
      <c r="F49" s="22"/>
      <c r="G49" s="21"/>
      <c r="H49" s="21"/>
      <c r="I49" s="22"/>
    </row>
    <row r="50" spans="1:9">
      <c r="A50" s="21"/>
      <c r="B50" s="32"/>
      <c r="C50" s="21"/>
      <c r="D50" s="21"/>
      <c r="E50" s="21"/>
      <c r="F50" s="22"/>
      <c r="G50" s="21"/>
      <c r="H50" s="21"/>
      <c r="I50" s="22"/>
    </row>
    <row r="51" spans="1:9">
      <c r="A51" s="21"/>
      <c r="B51" s="32"/>
      <c r="C51" s="21"/>
      <c r="D51" s="21"/>
      <c r="E51" s="21"/>
      <c r="F51" s="22"/>
      <c r="G51" s="21"/>
      <c r="H51" s="21"/>
      <c r="I51" s="22"/>
    </row>
    <row r="52" spans="1:9">
      <c r="A52" s="21"/>
      <c r="B52" s="32"/>
      <c r="C52" s="21"/>
      <c r="D52" s="21"/>
      <c r="E52" s="21"/>
      <c r="F52" s="22"/>
      <c r="G52" s="21"/>
      <c r="H52" s="21"/>
      <c r="I52" s="22"/>
    </row>
    <row r="53" spans="1:9">
      <c r="A53" s="21"/>
      <c r="B53" s="32"/>
      <c r="C53" s="21"/>
      <c r="D53" s="21"/>
      <c r="E53" s="21"/>
      <c r="F53" s="22"/>
      <c r="G53" s="21"/>
      <c r="H53" s="21"/>
      <c r="I53" s="22"/>
    </row>
    <row r="54" spans="1:9">
      <c r="A54" s="21"/>
      <c r="B54" s="32"/>
      <c r="C54" s="21"/>
      <c r="D54" s="21"/>
      <c r="E54" s="21"/>
      <c r="F54" s="22"/>
      <c r="G54" s="21"/>
      <c r="H54" s="21"/>
      <c r="I54" s="22"/>
    </row>
    <row r="55" spans="1:9">
      <c r="A55" s="21"/>
      <c r="B55" s="32"/>
      <c r="C55" s="21"/>
      <c r="D55" s="21"/>
      <c r="E55" s="21"/>
      <c r="F55" s="22"/>
      <c r="G55" s="21"/>
      <c r="H55" s="21"/>
      <c r="I55" s="22"/>
    </row>
    <row r="56" spans="1:9">
      <c r="A56" s="21"/>
      <c r="B56" s="32"/>
      <c r="C56" s="21"/>
      <c r="D56" s="21"/>
      <c r="E56" s="21"/>
      <c r="F56" s="22"/>
      <c r="G56" s="21"/>
      <c r="H56" s="21"/>
      <c r="I56" s="22"/>
    </row>
    <row r="57" spans="1:9">
      <c r="A57" s="21"/>
      <c r="B57" s="32"/>
      <c r="C57" s="21"/>
      <c r="D57" s="21"/>
      <c r="E57" s="21"/>
      <c r="F57" s="22"/>
      <c r="G57" s="21"/>
      <c r="H57" s="21"/>
      <c r="I57" s="22"/>
    </row>
    <row r="58" spans="1:9">
      <c r="A58" s="21"/>
      <c r="B58" s="32"/>
      <c r="C58" s="21"/>
      <c r="D58" s="21"/>
      <c r="E58" s="21"/>
      <c r="F58" s="22"/>
      <c r="G58" s="21"/>
      <c r="H58" s="21"/>
      <c r="I58" s="22"/>
    </row>
    <row r="59" spans="1:9">
      <c r="A59" s="21"/>
      <c r="B59" s="32"/>
      <c r="C59" s="21"/>
      <c r="D59" s="21"/>
      <c r="E59" s="21"/>
      <c r="F59" s="22"/>
      <c r="G59" s="21"/>
      <c r="H59" s="21"/>
      <c r="I59" s="22"/>
    </row>
    <row r="60" spans="1:9">
      <c r="A60" s="21"/>
      <c r="B60" s="32"/>
      <c r="C60" s="21"/>
      <c r="D60" s="21"/>
      <c r="E60" s="21"/>
      <c r="F60" s="22"/>
      <c r="G60" s="21"/>
      <c r="H60" s="21"/>
      <c r="I60" s="22"/>
    </row>
    <row r="61" spans="1:9">
      <c r="A61" s="21"/>
      <c r="B61" s="32"/>
      <c r="C61" s="21"/>
      <c r="D61" s="21"/>
      <c r="E61" s="21"/>
      <c r="F61" s="22"/>
      <c r="G61" s="21"/>
      <c r="H61" s="21"/>
      <c r="I61" s="22"/>
    </row>
    <row r="62" spans="1:9">
      <c r="A62" s="21"/>
      <c r="B62" s="32"/>
      <c r="C62" s="21"/>
      <c r="D62" s="21"/>
      <c r="E62" s="21"/>
      <c r="F62" s="22"/>
      <c r="G62" s="21"/>
      <c r="H62" s="21"/>
      <c r="I62" s="22"/>
    </row>
    <row r="63" spans="1:9">
      <c r="A63" s="21"/>
      <c r="B63" s="32"/>
      <c r="C63" s="21"/>
      <c r="D63" s="21"/>
      <c r="E63" s="21"/>
      <c r="F63" s="22"/>
      <c r="G63" s="21"/>
      <c r="H63" s="21"/>
      <c r="I63" s="22"/>
    </row>
    <row r="64" spans="1:9">
      <c r="A64" s="21"/>
      <c r="B64" s="32"/>
      <c r="C64" s="21"/>
      <c r="D64" s="21"/>
      <c r="E64" s="21"/>
      <c r="F64" s="22"/>
      <c r="G64" s="21"/>
      <c r="H64" s="21"/>
      <c r="I64" s="22"/>
    </row>
    <row r="65" spans="1:9">
      <c r="A65" s="21"/>
      <c r="B65" s="32"/>
      <c r="C65" s="21"/>
      <c r="D65" s="21"/>
      <c r="E65" s="21"/>
      <c r="F65" s="22"/>
      <c r="G65" s="21"/>
      <c r="H65" s="21"/>
      <c r="I65" s="22"/>
    </row>
    <row r="66" spans="1:9">
      <c r="A66" s="21"/>
      <c r="B66" s="32"/>
      <c r="C66" s="21"/>
      <c r="D66" s="21"/>
      <c r="E66" s="21"/>
      <c r="F66" s="22"/>
      <c r="G66" s="21"/>
      <c r="H66" s="21"/>
      <c r="I66" s="22"/>
    </row>
    <row r="67" spans="1:9">
      <c r="A67" s="21"/>
      <c r="B67" s="32"/>
      <c r="C67" s="21"/>
      <c r="D67" s="21"/>
      <c r="E67" s="21"/>
      <c r="F67" s="22"/>
      <c r="G67" s="21"/>
      <c r="H67" s="21"/>
      <c r="I67" s="22"/>
    </row>
    <row r="68" spans="1:9">
      <c r="A68" s="21"/>
      <c r="B68" s="32"/>
      <c r="C68" s="21"/>
      <c r="D68" s="21"/>
      <c r="E68" s="21"/>
      <c r="F68" s="22"/>
      <c r="G68" s="21"/>
      <c r="H68" s="21"/>
      <c r="I68" s="22"/>
    </row>
    <row r="69" spans="1:9">
      <c r="A69" s="21"/>
      <c r="B69" s="32"/>
      <c r="C69" s="21"/>
      <c r="D69" s="21"/>
      <c r="E69" s="21"/>
      <c r="F69" s="22"/>
      <c r="G69" s="21"/>
      <c r="H69" s="21"/>
      <c r="I69" s="22"/>
    </row>
    <row r="70" spans="1:9">
      <c r="A70" s="21"/>
      <c r="B70" s="32"/>
      <c r="C70" s="21"/>
      <c r="D70" s="21"/>
      <c r="E70" s="21"/>
      <c r="F70" s="22"/>
      <c r="G70" s="21"/>
      <c r="H70" s="21"/>
      <c r="I70" s="22"/>
    </row>
    <row r="71" spans="1:9">
      <c r="A71" s="21"/>
      <c r="B71" s="32"/>
      <c r="C71" s="21"/>
      <c r="D71" s="21"/>
      <c r="E71" s="21"/>
      <c r="F71" s="22"/>
      <c r="G71" s="21"/>
      <c r="H71" s="21"/>
      <c r="I71" s="22"/>
    </row>
    <row r="72" spans="1:9">
      <c r="A72" s="21"/>
      <c r="B72" s="32"/>
      <c r="C72" s="21"/>
      <c r="D72" s="21"/>
      <c r="E72" s="21"/>
      <c r="F72" s="22"/>
      <c r="G72" s="21"/>
      <c r="H72" s="21"/>
      <c r="I72" s="22"/>
    </row>
    <row r="73" spans="1:9">
      <c r="A73" s="21"/>
      <c r="B73" s="32"/>
      <c r="C73" s="21"/>
      <c r="D73" s="21"/>
      <c r="E73" s="21"/>
      <c r="F73" s="22"/>
      <c r="G73" s="21"/>
      <c r="H73" s="21"/>
      <c r="I73" s="22"/>
    </row>
    <row r="74" spans="1:9">
      <c r="A74" s="21"/>
      <c r="B74" s="32"/>
      <c r="C74" s="21"/>
      <c r="D74" s="21"/>
      <c r="E74" s="21"/>
      <c r="F74" s="22"/>
      <c r="G74" s="21"/>
      <c r="H74" s="21"/>
      <c r="I74" s="22"/>
    </row>
    <row r="75" spans="1:9">
      <c r="A75" s="21"/>
      <c r="B75" s="32"/>
      <c r="C75" s="21"/>
      <c r="D75" s="21"/>
      <c r="E75" s="21"/>
      <c r="F75" s="22"/>
      <c r="G75" s="21"/>
      <c r="H75" s="21"/>
      <c r="I75" s="22"/>
    </row>
    <row r="76" spans="1:9">
      <c r="A76" s="21"/>
      <c r="B76" s="32"/>
      <c r="C76" s="21"/>
      <c r="D76" s="21"/>
      <c r="E76" s="21"/>
      <c r="F76" s="22"/>
      <c r="G76" s="21"/>
      <c r="H76" s="21"/>
      <c r="I76" s="22"/>
    </row>
    <row r="77" spans="1:9">
      <c r="A77" s="21"/>
      <c r="B77" s="32"/>
      <c r="C77" s="21"/>
      <c r="D77" s="21"/>
      <c r="E77" s="21"/>
      <c r="F77" s="22"/>
      <c r="G77" s="21"/>
      <c r="H77" s="21"/>
      <c r="I77" s="22"/>
    </row>
    <row r="78" spans="1:9">
      <c r="A78" s="21"/>
      <c r="B78" s="32"/>
      <c r="C78" s="21"/>
      <c r="D78" s="21"/>
      <c r="E78" s="21"/>
      <c r="F78" s="22"/>
      <c r="G78" s="21"/>
      <c r="H78" s="21"/>
      <c r="I78" s="22"/>
    </row>
    <row r="79" spans="1:9">
      <c r="A79" s="21"/>
      <c r="B79" s="32"/>
      <c r="C79" s="21"/>
      <c r="D79" s="21"/>
      <c r="E79" s="21"/>
      <c r="F79" s="22"/>
      <c r="G79" s="21"/>
      <c r="H79" s="21"/>
      <c r="I79" s="22"/>
    </row>
    <row r="80" spans="1:9">
      <c r="A80" s="21"/>
      <c r="B80" s="32"/>
      <c r="C80" s="21"/>
      <c r="D80" s="21"/>
      <c r="E80" s="21"/>
      <c r="F80" s="22"/>
      <c r="G80" s="21"/>
      <c r="H80" s="21"/>
      <c r="I80" s="22"/>
    </row>
    <row r="81" spans="1:9">
      <c r="A81" s="21"/>
      <c r="B81" s="32"/>
      <c r="C81" s="21"/>
      <c r="D81" s="21"/>
      <c r="E81" s="21"/>
      <c r="F81" s="22"/>
      <c r="G81" s="21"/>
      <c r="H81" s="21"/>
      <c r="I81" s="22"/>
    </row>
    <row r="82" spans="1:9">
      <c r="A82" s="21"/>
      <c r="B82" s="32"/>
      <c r="C82" s="21"/>
      <c r="D82" s="21"/>
      <c r="E82" s="21"/>
      <c r="F82" s="22"/>
      <c r="G82" s="21"/>
      <c r="H82" s="21"/>
      <c r="I82" s="22"/>
    </row>
    <row r="83" spans="1:9">
      <c r="A83" s="21"/>
      <c r="B83" s="32"/>
      <c r="C83" s="21"/>
      <c r="D83" s="21"/>
      <c r="E83" s="21"/>
      <c r="F83" s="22"/>
      <c r="G83" s="21"/>
      <c r="H83" s="21"/>
      <c r="I83" s="22"/>
    </row>
    <row r="84" spans="1:9">
      <c r="A84" s="21"/>
      <c r="B84" s="32"/>
      <c r="C84" s="21"/>
      <c r="D84" s="21"/>
      <c r="E84" s="21"/>
      <c r="F84" s="22"/>
      <c r="G84" s="21"/>
      <c r="H84" s="21"/>
      <c r="I84" s="22"/>
    </row>
    <row r="85" spans="1:9">
      <c r="A85" s="21"/>
      <c r="B85" s="32"/>
      <c r="C85" s="21"/>
      <c r="D85" s="21"/>
      <c r="E85" s="21"/>
      <c r="F85" s="22"/>
      <c r="G85" s="21"/>
      <c r="H85" s="21"/>
      <c r="I85" s="22"/>
    </row>
    <row r="86" spans="1:9">
      <c r="A86" s="21"/>
      <c r="B86" s="32"/>
      <c r="C86" s="21"/>
      <c r="D86" s="21"/>
      <c r="E86" s="21"/>
      <c r="F86" s="22"/>
      <c r="G86" s="21"/>
      <c r="H86" s="21"/>
      <c r="I86" s="22"/>
    </row>
    <row r="87" spans="1:9">
      <c r="A87" s="21"/>
      <c r="B87" s="32"/>
      <c r="C87" s="21"/>
      <c r="D87" s="21"/>
      <c r="E87" s="21"/>
      <c r="F87" s="22"/>
      <c r="G87" s="21"/>
      <c r="H87" s="21"/>
      <c r="I87" s="22"/>
    </row>
    <row r="88" spans="1:9">
      <c r="A88" s="21"/>
      <c r="B88" s="32"/>
      <c r="C88" s="21"/>
      <c r="D88" s="21"/>
      <c r="E88" s="21"/>
      <c r="F88" s="22"/>
      <c r="G88" s="21"/>
      <c r="H88" s="21"/>
      <c r="I88" s="22"/>
    </row>
    <row r="89" spans="1:9">
      <c r="A89" s="21"/>
      <c r="B89" s="32"/>
      <c r="C89" s="21"/>
      <c r="D89" s="21"/>
      <c r="E89" s="21"/>
      <c r="F89" s="22"/>
      <c r="G89" s="21"/>
      <c r="H89" s="21"/>
      <c r="I89" s="22"/>
    </row>
    <row r="90" spans="1:9">
      <c r="A90" s="21"/>
      <c r="B90" s="32"/>
      <c r="C90" s="21"/>
      <c r="D90" s="21"/>
      <c r="E90" s="21"/>
      <c r="F90" s="22"/>
      <c r="G90" s="21"/>
      <c r="H90" s="21"/>
      <c r="I90" s="22"/>
    </row>
    <row r="91" spans="1:9">
      <c r="A91" s="21"/>
      <c r="B91" s="32"/>
      <c r="C91" s="21"/>
      <c r="D91" s="21"/>
      <c r="E91" s="21"/>
      <c r="F91" s="22"/>
      <c r="G91" s="21"/>
      <c r="H91" s="21"/>
      <c r="I91" s="22"/>
    </row>
    <row r="92" spans="1:9">
      <c r="A92" s="21"/>
      <c r="B92" s="32"/>
      <c r="C92" s="21"/>
      <c r="D92" s="21"/>
      <c r="E92" s="21"/>
      <c r="F92" s="22"/>
      <c r="G92" s="21"/>
      <c r="H92" s="21"/>
      <c r="I92" s="22"/>
    </row>
    <row r="93" spans="1:9">
      <c r="A93" s="21"/>
      <c r="B93" s="32"/>
      <c r="C93" s="21"/>
      <c r="D93" s="21"/>
      <c r="E93" s="21"/>
      <c r="F93" s="22"/>
      <c r="G93" s="21"/>
      <c r="H93" s="21"/>
      <c r="I93" s="22"/>
    </row>
    <row r="94" spans="1:9">
      <c r="A94" s="21"/>
      <c r="B94" s="32"/>
      <c r="C94" s="21"/>
      <c r="D94" s="21"/>
      <c r="E94" s="21"/>
      <c r="F94" s="22"/>
      <c r="G94" s="21"/>
      <c r="H94" s="21"/>
      <c r="I94" s="22"/>
    </row>
    <row r="95" spans="1:9">
      <c r="A95" s="21"/>
      <c r="B95" s="32"/>
      <c r="C95" s="21"/>
      <c r="D95" s="21"/>
      <c r="E95" s="21"/>
      <c r="F95" s="22"/>
      <c r="G95" s="21"/>
      <c r="H95" s="21"/>
      <c r="I95" s="22"/>
    </row>
    <row r="96" spans="1:9">
      <c r="A96" s="21"/>
      <c r="B96" s="32"/>
      <c r="C96" s="21"/>
      <c r="D96" s="21"/>
      <c r="E96" s="21"/>
      <c r="F96" s="22"/>
      <c r="G96" s="21"/>
      <c r="H96" s="21"/>
      <c r="I96" s="22"/>
    </row>
    <row r="97" spans="1:9">
      <c r="A97" s="21"/>
      <c r="B97" s="32"/>
      <c r="C97" s="21"/>
      <c r="D97" s="21"/>
      <c r="E97" s="21"/>
      <c r="F97" s="22"/>
      <c r="G97" s="21"/>
      <c r="H97" s="21"/>
      <c r="I97" s="22"/>
    </row>
    <row r="98" spans="1:9">
      <c r="A98" s="21"/>
      <c r="B98" s="32"/>
      <c r="C98" s="21"/>
      <c r="D98" s="21"/>
      <c r="E98" s="21"/>
      <c r="F98" s="22"/>
      <c r="G98" s="21"/>
      <c r="H98" s="21"/>
      <c r="I98" s="22"/>
    </row>
    <row r="99" spans="1:9">
      <c r="A99" s="21"/>
      <c r="B99" s="32"/>
      <c r="C99" s="21"/>
      <c r="D99" s="21"/>
      <c r="E99" s="21"/>
      <c r="F99" s="22"/>
      <c r="G99" s="21"/>
      <c r="H99" s="21"/>
      <c r="I99" s="22"/>
    </row>
    <row r="100" spans="1:9">
      <c r="A100" s="21"/>
      <c r="B100" s="32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32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32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32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32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32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32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32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32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32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32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32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32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32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32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32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32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32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32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32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32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32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32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32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32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32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32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32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32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32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32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32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32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32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32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32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32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32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32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32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32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32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32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32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32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32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32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32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32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32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32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32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32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32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32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32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32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32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32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32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32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32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32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32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32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32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32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32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32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32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32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32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32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32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32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32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32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32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32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32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32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32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32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32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32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32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32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32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32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32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32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32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32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32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32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32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32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32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32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32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32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32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32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32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32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32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32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32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32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32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32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32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32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32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32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32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32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32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32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32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32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32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32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32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32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32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32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32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32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32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32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32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32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32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32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32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32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32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32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32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32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32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32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32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32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32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32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32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32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32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32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32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32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32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32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32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32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32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32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32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32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32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32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32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32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32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32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32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32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32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32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32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32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32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32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32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32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32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32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32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32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32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32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32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32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32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32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32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32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32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32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32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32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32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32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32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32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32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32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32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32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32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32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32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32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32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32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32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32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32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32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32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32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32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32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32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32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32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32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32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32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32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32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32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32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32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32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32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32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32"/>
      <c r="C329" s="21"/>
      <c r="D329" s="21"/>
      <c r="E329" s="21"/>
      <c r="F329" s="22"/>
      <c r="G329" s="21"/>
      <c r="H329" s="21"/>
      <c r="I329" s="22"/>
    </row>
    <row r="330" spans="1:9">
      <c r="C330" s="21"/>
      <c r="D330" s="21"/>
      <c r="E330" s="21"/>
      <c r="F330" s="22"/>
      <c r="G330" s="21"/>
      <c r="H330" s="21"/>
      <c r="I330" s="22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hyperlinks>
    <hyperlink ref="K4" r:id="rId1" display="https://us3.assetplanner.com/service_request?ID=100595" xr:uid="{6F1E3A59-575B-4B2A-8ED6-709F49774134}"/>
    <hyperlink ref="K5" r:id="rId2" display="https://us3.assetplanner.com/service_request?ID=109305" xr:uid="{C7381B13-0844-43A0-B18A-9E12E3A1B068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M330"/>
  <sheetViews>
    <sheetView tabSelected="1" zoomScale="70" zoomScaleNormal="70" zoomScaleSheetLayoutView="100" workbookViewId="0">
      <pane xSplit="2" ySplit="3" topLeftCell="C4" activePane="bottomRight" state="frozen"/>
      <selection pane="bottomRight" activeCell="Q16" sqref="Q16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.28515625" customWidth="1"/>
  </cols>
  <sheetData>
    <row r="1" spans="1:13" ht="19.5" customHeight="1">
      <c r="A1" s="75" t="str" cm="1">
        <f t="array" ref="A1">portfolio</f>
        <v>Amergy Solar</v>
      </c>
      <c r="B1" s="75"/>
      <c r="C1" s="75"/>
      <c r="D1" s="76" t="s">
        <v>69</v>
      </c>
      <c r="E1" s="76"/>
      <c r="F1" s="76"/>
      <c r="G1" s="74" t="s">
        <v>70</v>
      </c>
      <c r="H1" s="74"/>
      <c r="I1" s="74"/>
      <c r="J1" s="4"/>
      <c r="K1" s="4"/>
    </row>
    <row r="2" spans="1:13" ht="19.5" customHeight="1">
      <c r="A2" s="77" t="s">
        <v>2</v>
      </c>
      <c r="B2" s="77"/>
      <c r="C2" s="5">
        <f>SUM(C4:C88)</f>
        <v>80391.699999999895</v>
      </c>
      <c r="D2" s="5">
        <f>SUM(D4:D88)</f>
        <v>52198.498</v>
      </c>
      <c r="E2" s="5">
        <f>C2-D2</f>
        <v>28193.201999999896</v>
      </c>
      <c r="F2" s="6">
        <f>IFERROR(E2/D2, 0)</f>
        <v>0.5401151964181018</v>
      </c>
      <c r="G2" s="5">
        <f>SUM(G4:G88)</f>
        <v>100717.89</v>
      </c>
      <c r="H2" s="7">
        <f>C2-G2</f>
        <v>-20326.190000000104</v>
      </c>
      <c r="I2" s="6">
        <f>IFERROR(H2/G2, 0)</f>
        <v>-0.20181310390835336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  <c r="L3" s="25" t="s">
        <v>65</v>
      </c>
    </row>
    <row r="4" spans="1:13" ht="86.45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33029.900000000103</v>
      </c>
      <c r="D4" s="13">
        <v>30586.328000000001</v>
      </c>
      <c r="E4" s="13">
        <f>IF(AND(ISNUMBER(C4),ISNUMBER(D4)), C4-D4, "")</f>
        <v>2443.572000000102</v>
      </c>
      <c r="F4" s="14">
        <f>IFERROR(E4/D4, "")</f>
        <v>7.9890989202760845E-2</v>
      </c>
      <c r="G4" s="15">
        <v>48553.96</v>
      </c>
      <c r="H4" s="15">
        <f>IF(AND(ISNUMBER(C4),ISNUMBER(G4)), C4-G4, "")</f>
        <v>-15524.059999999896</v>
      </c>
      <c r="I4" s="16">
        <f>IFERROR(H4/G4, "")</f>
        <v>-0.31972798923094831</v>
      </c>
      <c r="J4" s="40" t="s">
        <v>71</v>
      </c>
      <c r="K4" s="55" t="s">
        <v>72</v>
      </c>
      <c r="L4" s="71" t="s">
        <v>73</v>
      </c>
      <c r="M4" s="73" t="s">
        <v>74</v>
      </c>
    </row>
    <row r="5" spans="1:13" ht="73.5" customHeight="1">
      <c r="A5" s="29" t="str">
        <v>Mount Laurel - Igloo Ice Rink</v>
      </c>
      <c r="B5" s="30" t="str">
        <v>NJ</v>
      </c>
      <c r="C5" s="11">
        <v>47361.799999999799</v>
      </c>
      <c r="D5" s="18">
        <v>21612.17</v>
      </c>
      <c r="E5" s="18">
        <f t="shared" ref="E5" si="0">IF(AND(ISNUMBER(C5),ISNUMBER(D5)), C5-D5, "")</f>
        <v>25749.629999999801</v>
      </c>
      <c r="F5" s="19">
        <f>IFERROR(E5/D5, "")</f>
        <v>1.1914412111324222</v>
      </c>
      <c r="G5" s="20">
        <v>52163.93</v>
      </c>
      <c r="H5" s="20">
        <f>IF(AND(ISNUMBER(C5),ISNUMBER(G5)), C5-G5, "")</f>
        <v>-4802.1300000002011</v>
      </c>
      <c r="I5" s="19">
        <f t="shared" ref="I5" si="1">IFERROR(H5/G5, "")</f>
        <v>-9.2058439615270576E-2</v>
      </c>
      <c r="J5" s="41" t="s">
        <v>75</v>
      </c>
      <c r="K5" s="50" t="s">
        <v>76</v>
      </c>
      <c r="L5" s="70" t="s">
        <v>77</v>
      </c>
    </row>
    <row r="6" spans="1:13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3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3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3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3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3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3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3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3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3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3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hyperlinks>
    <hyperlink ref="K4" r:id="rId1" display="https://us3.assetplanner.com/service_request?ID=100595" xr:uid="{71229617-A680-443A-92F8-5C8BDB756C34}"/>
    <hyperlink ref="M4" r:id="rId2" display="https://us3.assetplanner.com/service_request?ID=110743" xr:uid="{21D39D42-688F-401C-92F2-8E6C9304A03B}"/>
  </hyperlinks>
  <pageMargins left="0.4" right="0.7" top="0.25" bottom="0.25" header="0.3" footer="0.3"/>
  <pageSetup scale="53" fitToHeight="99" orientation="landscape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zoomScale="80" zoomScaleNormal="80" workbookViewId="0">
      <pane xSplit="2" ySplit="3" topLeftCell="D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5" t="str" cm="1">
        <f t="array" ref="A1">portfolio</f>
        <v>Amergy Solar</v>
      </c>
      <c r="B1" s="75"/>
      <c r="C1" s="75"/>
      <c r="D1" s="76" t="s">
        <v>78</v>
      </c>
      <c r="E1" s="76"/>
      <c r="F1" s="76"/>
      <c r="G1" s="74" t="s">
        <v>79</v>
      </c>
      <c r="H1" s="74"/>
      <c r="I1" s="74"/>
      <c r="J1" s="4"/>
      <c r="K1" s="4"/>
    </row>
    <row r="2" spans="1:11" ht="19.5" customHeight="1">
      <c r="A2" s="77" t="s">
        <v>2</v>
      </c>
      <c r="B2" s="77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9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F23" sqref="F2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80</v>
      </c>
      <c r="B1" t="s">
        <v>81</v>
      </c>
    </row>
    <row r="3" spans="1:7" ht="13.15">
      <c r="A3" t="s">
        <v>82</v>
      </c>
      <c r="B3" t="s">
        <v>3</v>
      </c>
      <c r="C3" t="s">
        <v>4</v>
      </c>
      <c r="D3" t="s">
        <v>83</v>
      </c>
      <c r="E3" s="2" t="s">
        <v>84</v>
      </c>
    </row>
    <row r="4" spans="1:7" ht="14.45">
      <c r="A4" s="43" t="s">
        <v>85</v>
      </c>
      <c r="B4" s="43" t="s">
        <v>86</v>
      </c>
      <c r="C4" s="43" t="s">
        <v>87</v>
      </c>
      <c r="D4" s="54" t="s">
        <v>88</v>
      </c>
      <c r="E4" t="s">
        <v>89</v>
      </c>
      <c r="G4" s="3"/>
    </row>
    <row r="5" spans="1:7" ht="14.45">
      <c r="A5" s="44" t="s">
        <v>90</v>
      </c>
      <c r="B5" s="44" t="s">
        <v>91</v>
      </c>
      <c r="C5" s="45" t="s">
        <v>87</v>
      </c>
      <c r="D5" s="44" t="s">
        <v>88</v>
      </c>
      <c r="E5" t="s">
        <v>89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752E428C-ABFD-4316-BFAD-681EA5F75408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2025-12-10T10:24:25Z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2024-10-10T19:53:55Z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7d7b8187-cb6d-49b7-8957-f364653634be</vt:lpwstr>
  </property>
  <property fmtid="{D5CDD505-2E9C-101B-9397-08002B2CF9AE}" pid="9" name="MSIP_Label_9d817c99-0b37-4a07-8277-96aa1f96b74b_ContentBits">
    <vt:lpwstr>0</vt:lpwstr>
  </property>
</Properties>
</file>