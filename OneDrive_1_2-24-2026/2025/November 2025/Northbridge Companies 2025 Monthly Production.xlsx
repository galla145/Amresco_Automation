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83FB1A2-6C9E-49F4-85B1-F35DE5DDA1D6}" xr6:coauthVersionLast="47" xr6:coauthVersionMax="47" xr10:uidLastSave="{00000000-0000-0000-0000-000000000000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7" l="1"/>
  <c r="H5" i="4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5" i="29" l="1"/>
  <c r="F5" i="29" s="1"/>
  <c r="H2" i="28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<sst xmlns="http://schemas.openxmlformats.org/spreadsheetml/2006/main" count="300" uniqueCount="85">
  <si>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</si>
  <si>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</si>
  <si>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</si>
  <si>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</si>
  <si>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</si>
  <si>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</si>
  <si>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</si>
  <si>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</si>
  <si>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</si>
  <si>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</si>
  <si>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</si>
  <si>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</si>
  <si>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</si>
  <si>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</si>
  <si>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</si>
  <si>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</si>
  <si>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</si>
  <si>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</si>
  <si>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</si>
  <si>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</si>
  <si>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</si>
  <si>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</si>
  <si>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</si>
  <si>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</si>
  <si>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</si>
  <si>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</si>
  <si>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</si>
  <si>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</si>
  <si>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</si>
  <si>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</si>
  <si>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</si>
  <si>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</si>
  <si>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</si>
  <si>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</si>
  <si>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</si>
  <si>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</si>
  <si>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</si>
  <si>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</si>
  <si>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</si>
  <si>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</si>
  <si>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</si>
  <si>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</si>
  <si>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</si>
  <si>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</si>
  <si>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</si>
  <si>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</si>
  <si>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</si>
  <si>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</si>
  <si>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</si>
  <si>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</si>
  <si>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</si>
  <si>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</si>
  <si>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	SR100216</t>
  </si>
  <si>
    <t>1.	SR094280</t>
  </si>
  <si>
    <t>October Actual v. Expected</t>
  </si>
  <si>
    <t>October Actual v. Forecasted</t>
  </si>
  <si>
    <t>Status</t>
  </si>
  <si>
    <t>1.Site was not communicated for whole month. Transformer that connects to DAS needs to be replaced. Remains without communication.</t>
  </si>
  <si>
    <t>1.SR106124</t>
  </si>
  <si>
    <t>1.Closed</t>
  </si>
  <si>
    <t>1.The POA irradiance sensor has intermittent communication issues and has been
 showing bad data since 11/03/2024.
2.Site stopped communicating at 13:30 on 10/08 and later back online at 09:00 on 10/22</t>
  </si>
  <si>
    <t>1.SR094280
2.SR109266</t>
  </si>
  <si>
    <t>1.Pending
2.Closed</t>
  </si>
  <si>
    <t>SR109266</t>
  </si>
  <si>
    <t>November Actual v. Expected</t>
  </si>
  <si>
    <t>November Actual v. Forecasted</t>
  </si>
  <si>
    <t>1.Meter started communicating to DAS from 11/13 at 10:30. Created Ticket #142793 with power factors as data points require recalculation.</t>
  </si>
  <si>
    <t>1.PM9586 , SR111018</t>
  </si>
  <si>
    <t>1.Completed, Pending</t>
  </si>
  <si>
    <t>1.The POA irradiance sensor has intermittent communication issues and has been
 showing bad data since 11/03/2024.
2.Inverter 2.3 having heavy shading starting from mid day</t>
  </si>
  <si>
    <t>1.Pending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</si>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</sst>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5" fontId="28" fillId="0" borderId="0" xfId="1" applyNumberFormat="1" applyFont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49" fontId="23" fillId="0" borderId="0" xfId="0" applyNumberFormat="1" applyFont="1" applyAlignment="1">
      <alignment horizontal="left" vertical="top" wrapText="1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9266" TargetMode="External"/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6124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11018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352761.82500000001</v>
      </c>
      <c r="D2" s="6">
        <f>SUM(D4:D90)</f>
        <v>180892.75</v>
      </c>
      <c r="E2" s="6">
        <f>C2-D2</f>
        <v>171869.07500000001</v>
      </c>
      <c r="F2" s="7">
        <f>IFERROR(E2/D2, 0)</f>
        <v>0.95011588358295185</v>
      </c>
      <c r="G2" s="6">
        <f>SUM(G4:G90)</f>
        <v>262811.17799999996</v>
      </c>
      <c r="H2" s="8">
        <f>C2-G2</f>
        <v>89950.647000000055</v>
      </c>
      <c r="I2" s="7">
        <f>IFERROR(H2/G2, 0)</f>
        <v>0.34226339870521061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90696.7</v>
      </c>
      <c r="D4" s="14">
        <f>SUM('1st Qtr'!D4, '2nd Qtr'!D4, '3rd Qtr'!D4, '4th Qtr'!D4)</f>
        <v>0</v>
      </c>
      <c r="E4" s="14">
        <f>IF(AND(ISNUMBER(C4),ISNUMBER(D4)), C4-D4, "")</f>
        <v>90696.7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20">
        <f>SUM('1st Qtr'!C5, '2nd Qtr'!C5, '3rd Qtr'!C5, '4th Qtr'!C5)</f>
        <v>262065.125</v>
      </c>
      <c r="D5" s="20">
        <f>SUM('1st Qtr'!D5, '2nd Qtr'!D5, '3rd Qtr'!D5, '4th Qtr'!D5)</f>
        <v>180892.75</v>
      </c>
      <c r="E5" s="20">
        <f t="shared" ref="E5" si="0">IF(AND(ISNUMBER(C5),ISNUMBER(D5)), C5-D5, "")</f>
        <v>81172.375</v>
      </c>
      <c r="F5" s="21">
        <f>IFERROR(E5/D5, "")</f>
        <v>0.44873205255600351</v>
      </c>
      <c r="G5" s="22">
        <f>SUM('1st Qtr'!G5,'2nd Qtr'!G5,'3rd Qtr'!G5,'4th Qtr'!G5)</f>
        <v>262811.17799999996</v>
      </c>
      <c r="H5" s="22">
        <f>SUM('1st Qtr'!H5, '2nd Qtr'!H5, '3rd Qtr'!H5, '4th Qtr'!H5)</f>
        <v>-746.05299999999988</v>
      </c>
      <c r="I5" s="21">
        <f>IFERROR(H5/G5, "")</f>
        <v>-2.8387415089323178E-3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5" sqref="E5"/>
    </sheetView>
  </sheetViews>
  <sheetFormatPr defaultRowHeight="13.2" x14ac:dyDescent="0.25"/>
  <cols>
    <col min="1" max="1" width="40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92112.5</v>
      </c>
      <c r="D2" s="6">
        <f>SUM(D4:D90)</f>
        <v>44172.071000000004</v>
      </c>
      <c r="E2" s="6">
        <f>C2-D2</f>
        <v>47940.428999999996</v>
      </c>
      <c r="F2" s="7">
        <f>IFERROR(E2/D2, 0)</f>
        <v>1.0853108743758018</v>
      </c>
      <c r="G2" s="6">
        <f>SUM(G4:G90)</f>
        <v>84996.659</v>
      </c>
      <c r="H2" s="8">
        <f>C2-G2</f>
        <v>7115.8410000000003</v>
      </c>
      <c r="I2" s="7">
        <f>IFERROR(H2/G2, 0)</f>
        <v>8.3719067122391244E-2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SUM(Jul!C5, Aug!C5, Sep!C5)</f>
        <v>92112.5</v>
      </c>
      <c r="D5" s="20">
        <f>SUM(Jul!D5, Aug!D5, Sep!D5)</f>
        <v>44172.071000000004</v>
      </c>
      <c r="E5" s="20">
        <f t="shared" ref="E5" si="0">IF(AND(ISNUMBER(C5),ISNUMBER(D5)), C5-D5, "")</f>
        <v>47940.428999999996</v>
      </c>
      <c r="F5" s="21">
        <f>IFERROR(E5/D5, "")</f>
        <v>1.0853108743758018</v>
      </c>
      <c r="G5" s="20">
        <f>SUM(Jul!G5, Aug!G5, Sep!G5)</f>
        <v>84996.659</v>
      </c>
      <c r="H5" s="22">
        <f>SUM(Jul!H5, Aug!H5, Sep!H5)</f>
        <v>7115.8410000000003</v>
      </c>
      <c r="I5" s="21">
        <f>IFERROR(H5/G5, "")</f>
        <v>8.3719067122391244E-2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Northbridge Companies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25">
      <c r="A2" s="57" t="s">
        <v>2</v>
      </c>
      <c r="B2" s="57"/>
      <c r="C2" s="6">
        <f>SUM(C4:C90)</f>
        <v>35789.425000000003</v>
      </c>
      <c r="D2" s="6">
        <f>SUM(D4:D90)</f>
        <v>23131.026000000002</v>
      </c>
      <c r="E2" s="6">
        <f>C2-D2</f>
        <v>12658.399000000001</v>
      </c>
      <c r="F2" s="7">
        <f>IFERROR(E2/D2, 0)</f>
        <v>0.54724762317071451</v>
      </c>
      <c r="G2" s="6">
        <f>SUM(G4:G90)</f>
        <v>36677.315999999999</v>
      </c>
      <c r="H2" s="8">
        <f>C2-G2</f>
        <v>-887.89099999999598</v>
      </c>
      <c r="I2" s="7">
        <f>IFERROR(H2/G2, 0)</f>
        <v>-2.4208178155675185E-2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9773.2999999999993</v>
      </c>
      <c r="D4" s="14">
        <f>SUM(Oct!D4, Nov!D4, Dec!D4)</f>
        <v>0</v>
      </c>
      <c r="E4" s="14">
        <f>IF(AND(ISNUMBER(C4),ISNUMBER(D4)), C4-D4, "")</f>
        <v>9773.2999999999993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 x14ac:dyDescent="0.25">
      <c r="A5" s="19" t="str">
        <v>MA: North Dartmouth - 293 Cross St (Array 2)</v>
      </c>
      <c r="B5" s="11" t="str">
        <v>MA</v>
      </c>
      <c r="C5" s="12">
        <f>SUM(Oct!C5, Nov!C5, Dec!C5)</f>
        <v>26016.125</v>
      </c>
      <c r="D5" s="20">
        <f>SUM(Oct!D5, Nov!D5, Dec!D5)</f>
        <v>23131.026000000002</v>
      </c>
      <c r="E5" s="20">
        <f t="shared" ref="E5" si="0">IF(AND(ISNUMBER(C5),ISNUMBER(D5)), C5-D5, "")</f>
        <v>2885.0989999999983</v>
      </c>
      <c r="F5" s="21">
        <f>IFERROR(E5/D5, "")</f>
        <v>0.12472853560408423</v>
      </c>
      <c r="G5" s="20">
        <f>SUM(Oct!G5,Nov!G5,Dec!G5)</f>
        <v>36677.315999999999</v>
      </c>
      <c r="H5" s="22">
        <f>SUM(Oct!H5, Nov!H5, Dec!H5)</f>
        <v>-10661.191000000001</v>
      </c>
      <c r="I5" s="21">
        <f>IFERROR(H5/G5, "")</f>
        <v>-0.29067533185907063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activeCell="F18" sqref="F18"/>
      <selection pane="bottomLeft" activeCell="G18" sqref="G18"/>
    </sheetView>
  </sheetViews>
  <sheetFormatPr defaultRowHeight="13.8" x14ac:dyDescent="0.25"/>
  <cols>
    <col min="1" max="1" width="40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7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2" t="s">
        <v>23</v>
      </c>
      <c r="K5" s="45" t="s">
        <v>24</v>
      </c>
    </row>
    <row r="6" spans="1:11" ht="14.4" x14ac:dyDescent="0.3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activeCell="F18" sqref="F18"/>
      <selection pane="bottomLeft" activeCell="F18" sqref="F18"/>
    </sheetView>
  </sheetViews>
  <sheetFormatPr defaultRowHeight="13.8" x14ac:dyDescent="0.25"/>
  <cols>
    <col min="1" max="1" width="44.4414062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5" t="str" cm="1">
        <f t="array" ref="A1">portfolio</f>
        <v>Northbridge Companies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5"/>
      <c r="K1" s="5"/>
    </row>
    <row r="2" spans="1:12" ht="19.5" customHeight="1" x14ac:dyDescent="0.25">
      <c r="A2" s="57" t="s">
        <v>2</v>
      </c>
      <c r="B2" s="57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7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" x14ac:dyDescent="0.2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2" t="s">
        <v>27</v>
      </c>
      <c r="K5" s="45" t="s">
        <v>28</v>
      </c>
      <c r="L5" s="49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D15" sqref="D15"/>
    </sheetView>
  </sheetViews>
  <sheetFormatPr defaultRowHeight="13.8" x14ac:dyDescent="0.25"/>
  <cols>
    <col min="1" max="1" width="46.441406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7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8" x14ac:dyDescent="0.25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6">
        <f>IF(AND(ISNUMBER(C5),ISNUMBER(G5)), C5-G5, "")</f>
        <v>2775.3240000000005</v>
      </c>
      <c r="I5" s="21">
        <f t="shared" ref="I5" si="1">IFERROR(H5/G5, "")</f>
        <v>0.12475510397831972</v>
      </c>
      <c r="J5" s="42" t="s">
        <v>32</v>
      </c>
      <c r="K5" s="48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activeCell="F18" sqref="F18"/>
      <selection pane="bottomLeft" activeCell="J11" sqref="J11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1"/>
  </cols>
  <sheetData>
    <row r="1" spans="1:12" ht="19.5" customHeight="1" x14ac:dyDescent="0.25">
      <c r="A1" s="55" t="str" cm="1">
        <f t="array" ref="A1">portfolio</f>
        <v>Northbridge Companies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5"/>
      <c r="K1" s="5"/>
    </row>
    <row r="2" spans="1:12" ht="19.5" customHeight="1" x14ac:dyDescent="0.25">
      <c r="A2" s="57" t="s">
        <v>2</v>
      </c>
      <c r="B2" s="57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2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7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0" t="s">
        <v>37</v>
      </c>
    </row>
    <row r="5" spans="1:12" ht="57.6" x14ac:dyDescent="0.25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2" t="s">
        <v>38</v>
      </c>
      <c r="K5" s="45" t="s">
        <v>39</v>
      </c>
      <c r="L5" s="49" t="s">
        <v>29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activeCell="F18" sqref="F18"/>
      <selection pane="bottomLeft" activeCell="K4" sqref="K4"/>
    </sheetView>
  </sheetViews>
  <sheetFormatPr defaultRowHeight="13.8" x14ac:dyDescent="0.25"/>
  <cols>
    <col min="1" max="1" width="56.1093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0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2" t="s">
        <v>32</v>
      </c>
      <c r="K5" s="48" t="s">
        <v>43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47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0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2" t="s">
        <v>32</v>
      </c>
      <c r="K5" s="48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0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3" t="s">
        <v>32</v>
      </c>
      <c r="K5" s="48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60" zoomScaleNormal="60" workbookViewId="0">
      <pane ySplit="2" topLeftCell="A3" activePane="bottomLeft" state="frozen"/>
      <selection activeCell="F18" sqref="F18"/>
      <selection pane="bottomLeft" activeCell="J5" sqref="J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34330.125</v>
      </c>
      <c r="D2" s="6">
        <f>SUM(D4:D90)</f>
        <v>14682.458000000001</v>
      </c>
      <c r="E2" s="6">
        <f>C2-D2</f>
        <v>19647.667000000001</v>
      </c>
      <c r="F2" s="7">
        <f>IFERROR(E2/D2, 0)</f>
        <v>1.3381728726893005</v>
      </c>
      <c r="G2" s="6">
        <f>SUM(G4:G90)</f>
        <v>29110</v>
      </c>
      <c r="H2" s="8">
        <f>C2-G2</f>
        <v>5220.125</v>
      </c>
      <c r="I2" s="7">
        <f>IFERROR(H2/G2, 0)</f>
        <v>0.17932411542425283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0" t="s">
        <v>37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34330.125</v>
      </c>
      <c r="D5" s="20">
        <v>14682.458000000001</v>
      </c>
      <c r="E5" s="20">
        <f>IF(AND(ISNUMBER(C5),ISNUMBER(D5)), C5-D5, "")</f>
        <v>19647.667000000001</v>
      </c>
      <c r="F5" s="21">
        <f>IFERROR(E5/D5, "")</f>
        <v>1.3381728726893005</v>
      </c>
      <c r="G5" s="22">
        <v>29110</v>
      </c>
      <c r="H5" s="22">
        <f t="shared" ref="H5" si="0">IF(AND(ISNUMBER(C5),ISNUMBER(G5)), C5-G5, "")</f>
        <v>5220.125</v>
      </c>
      <c r="I5" s="21">
        <f t="shared" ref="I5" si="1">IFERROR(H5/G5, "")</f>
        <v>0.17932411542425283</v>
      </c>
      <c r="J5" s="43" t="s">
        <v>32</v>
      </c>
      <c r="K5" s="48" t="s">
        <v>33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0216" xr:uid="{726A4759-6CB4-44F8-B414-872E2EB9DC13}"/>
    <hyperlink ref="K5" r:id="rId2" display="https://us3.assetplanner.com/service_request?ID=094280" xr:uid="{C04032DD-D005-4AF7-9123-A8CCE4C59BB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="80" zoomScaleNormal="80" workbookViewId="0">
      <pane ySplit="2" topLeftCell="A3" activePane="bottomLeft" state="frozen"/>
      <selection activeCell="F18" sqref="F18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SUM(C4:C90)</f>
        <v>25126.75</v>
      </c>
      <c r="D2" s="6">
        <f>SUM(D4:D90)</f>
        <v>16682.328000000001</v>
      </c>
      <c r="E2" s="6">
        <f>C2-D2</f>
        <v>8444.4219999999987</v>
      </c>
      <c r="F2" s="7">
        <f>IFERROR(E2/D2, 0)</f>
        <v>0.50618966369681728</v>
      </c>
      <c r="G2" s="6">
        <f>SUM(G4:G90)</f>
        <v>25023.446</v>
      </c>
      <c r="H2" s="8">
        <f>C2-G2</f>
        <v>103.30400000000009</v>
      </c>
      <c r="I2" s="7">
        <f>IFERROR(H2/G2, 0)</f>
        <v>4.1282883260762761E-3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0" t="s">
        <v>52</v>
      </c>
    </row>
    <row r="5" spans="1:11" ht="28.8" x14ac:dyDescent="0.25">
      <c r="A5" s="31" t="str">
        <v>MA: North Dartmouth - 293 Cross St (Array 2)</v>
      </c>
      <c r="B5" s="32" t="str">
        <v>MA</v>
      </c>
      <c r="C5" s="12">
        <v>25126.75</v>
      </c>
      <c r="D5" s="20">
        <v>16682.328000000001</v>
      </c>
      <c r="E5" s="20">
        <f t="shared" ref="E5" si="0">IF(AND(ISNUMBER(C5),ISNUMBER(D5)), C5-D5, "")</f>
        <v>8444.4219999999987</v>
      </c>
      <c r="F5" s="21">
        <f>IFERROR(E5/D5, "")</f>
        <v>0.50618966369681728</v>
      </c>
      <c r="G5" s="22">
        <v>25023.446</v>
      </c>
      <c r="H5" s="22">
        <f t="shared" ref="H5" si="1">IF(AND(ISNUMBER(C5),ISNUMBER(G5)), C5-G5, "")</f>
        <v>103.30400000000009</v>
      </c>
      <c r="I5" s="21">
        <f t="shared" ref="I5" si="2">IFERROR(H5/G5, "")</f>
        <v>4.1282883260762761E-3</v>
      </c>
      <c r="J5" s="43" t="s">
        <v>32</v>
      </c>
      <c r="K5" s="48" t="s">
        <v>53</v>
      </c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0216" xr:uid="{5DF6436B-4F90-44DC-B483-D52C9FC71FB3}"/>
    <hyperlink ref="K5" r:id="rId2" display="https://us3.assetplanner.com/service_request?ID=094280" xr:uid="{2C34ACF0-728C-4E3E-BC50-DF7BD2193D8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2"/>
  <sheetViews>
    <sheetView topLeftCell="C1" zoomScale="80" zoomScaleNormal="80" workbookViewId="0">
      <pane ySplit="2" topLeftCell="A3" activePane="bottomLeft" state="frozen"/>
      <selection activeCell="F18" sqref="F18"/>
      <selection pane="bottomLeft" activeCell="J5" sqref="J5"/>
    </sheetView>
  </sheetViews>
  <sheetFormatPr defaultRowHeight="13.8" x14ac:dyDescent="0.25"/>
  <cols>
    <col min="1" max="1" width="40.332031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1.6640625" customWidth="1"/>
  </cols>
  <sheetData>
    <row r="1" spans="1:13" ht="19.5" customHeight="1" x14ac:dyDescent="0.25">
      <c r="A1" s="55" t="str" cm="1">
        <f t="array" ref="A1">portfolio</f>
        <v>Northbridge Companies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5"/>
      <c r="K1" s="5"/>
    </row>
    <row r="2" spans="1:13" ht="19.5" customHeight="1" x14ac:dyDescent="0.25">
      <c r="A2" s="57" t="s">
        <v>2</v>
      </c>
      <c r="B2" s="57"/>
      <c r="C2" s="6">
        <f>SUM(C4:C90)</f>
        <v>12226.125</v>
      </c>
      <c r="D2" s="6">
        <f>SUM(D4:D90)</f>
        <v>7030.3540000000003</v>
      </c>
      <c r="E2" s="6">
        <f>C2-D2</f>
        <v>5195.7709999999997</v>
      </c>
      <c r="F2" s="7">
        <f>IFERROR(E2/D2, 0)</f>
        <v>0.73904827552069208</v>
      </c>
      <c r="G2" s="6">
        <f>SUM(G4:G90)</f>
        <v>21374.539000000001</v>
      </c>
      <c r="H2" s="8">
        <f>C2-G2</f>
        <v>-9148.4140000000007</v>
      </c>
      <c r="I2" s="7">
        <f>IFERROR(H2/G2, 0)</f>
        <v>-0.42800520750412441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3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57</v>
      </c>
      <c r="K4" s="50" t="s">
        <v>58</v>
      </c>
      <c r="L4" s="18" t="s">
        <v>59</v>
      </c>
    </row>
    <row r="5" spans="1:13" ht="64.5" customHeight="1" x14ac:dyDescent="0.25">
      <c r="A5" s="31" t="str">
        <v>MA: North Dartmouth - 293 Cross St (Array 2)</v>
      </c>
      <c r="B5" s="32" t="str">
        <v>MA</v>
      </c>
      <c r="C5" s="12">
        <v>12226.125</v>
      </c>
      <c r="D5" s="20">
        <v>7030.3540000000003</v>
      </c>
      <c r="E5" s="20">
        <f t="shared" ref="E5" si="0">IF(AND(ISNUMBER(C5),ISNUMBER(D5)), C5-D5, "")</f>
        <v>5195.7709999999997</v>
      </c>
      <c r="F5" s="21">
        <f>IFERROR(E5/D5, "")</f>
        <v>0.73904827552069208</v>
      </c>
      <c r="G5" s="22">
        <v>21374.539000000001</v>
      </c>
      <c r="H5" s="22">
        <f t="shared" ref="H5" si="1">IF(AND(ISNUMBER(C5),ISNUMBER(G5)), C5-G5, "")</f>
        <v>-9148.4140000000007</v>
      </c>
      <c r="I5" s="21">
        <f t="shared" ref="I5" si="2">IFERROR(H5/G5, "")</f>
        <v>-0.42800520750412441</v>
      </c>
      <c r="J5" s="43" t="s">
        <v>60</v>
      </c>
      <c r="K5" s="45" t="s">
        <v>61</v>
      </c>
      <c r="L5" s="52" t="s">
        <v>62</v>
      </c>
      <c r="M5" s="53" t="s">
        <v>63</v>
      </c>
    </row>
    <row r="6" spans="1:13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3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3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3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3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hyperlinks>
    <hyperlink ref="K4" r:id="rId1" display="https://us3.assetplanner.com/service_request?ID=106124" xr:uid="{2F719BBB-F7CF-4A0E-A03B-ACCA5BFC329D}"/>
    <hyperlink ref="K5" r:id="rId2" display="https://us3.assetplanner.com/service_request?ID=094280" xr:uid="{CBFC3ED4-4C02-401E-9268-F743C8665582}"/>
    <hyperlink ref="M5" r:id="rId3" display="https://us3.assetplanner.com/service_request?ID=109266" xr:uid="{151E25F1-4F4C-4C4D-BC25-77A2D0F75DA2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2"/>
  <sheetViews>
    <sheetView tabSelected="1" topLeftCell="F1" workbookViewId="0">
      <pane ySplit="2" topLeftCell="A3" activePane="bottomLeft" state="frozen"/>
      <selection activeCell="F18" sqref="F18"/>
      <selection pane="bottomLeft" activeCell="L1" sqref="L1:L1048576"/>
    </sheetView>
  </sheetViews>
  <sheetFormatPr defaultRowHeight="13.8" x14ac:dyDescent="0.25"/>
  <cols>
    <col min="1" max="1" width="43.664062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5.88671875" customWidth="1"/>
  </cols>
  <sheetData>
    <row r="1" spans="1:12" ht="19.5" customHeight="1" x14ac:dyDescent="0.25">
      <c r="A1" s="55" t="str" cm="1">
        <f t="array" ref="A1">portfolio</f>
        <v>Northbridge Companies</v>
      </c>
      <c r="B1" s="55"/>
      <c r="C1" s="55"/>
      <c r="D1" s="56" t="s">
        <v>64</v>
      </c>
      <c r="E1" s="56"/>
      <c r="F1" s="56"/>
      <c r="G1" s="54" t="s">
        <v>65</v>
      </c>
      <c r="H1" s="54"/>
      <c r="I1" s="54"/>
      <c r="J1" s="5"/>
      <c r="K1" s="5"/>
    </row>
    <row r="2" spans="1:12" ht="19.5" customHeight="1" x14ac:dyDescent="0.25">
      <c r="A2" s="57" t="s">
        <v>2</v>
      </c>
      <c r="B2" s="57"/>
      <c r="C2" s="6">
        <f>SUM(C4:C90)</f>
        <v>23563.3</v>
      </c>
      <c r="D2" s="6">
        <f>SUM(D4:D90)</f>
        <v>16100.672</v>
      </c>
      <c r="E2" s="6">
        <f>C2-D2</f>
        <v>7462.6279999999988</v>
      </c>
      <c r="F2" s="7">
        <f>IFERROR(E2/D2, 0)</f>
        <v>0.46349792108056104</v>
      </c>
      <c r="G2" s="6">
        <f>SUM(G4:G90)</f>
        <v>15302.777</v>
      </c>
      <c r="H2" s="8">
        <f>C2-G2</f>
        <v>8260.5229999999992</v>
      </c>
      <c r="I2" s="7">
        <f>IFERROR(H2/G2, 0)</f>
        <v>0.53980548759221936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2" ht="28.8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9773.2999999999993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7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66</v>
      </c>
      <c r="K4" s="50" t="s">
        <v>67</v>
      </c>
      <c r="L4" s="18" t="s">
        <v>68</v>
      </c>
    </row>
    <row r="5" spans="1:12" ht="43.2" x14ac:dyDescent="0.25">
      <c r="A5" s="31" t="str">
        <v>MA: North Dartmouth - 293 Cross St (Array 2)</v>
      </c>
      <c r="B5" s="32" t="str">
        <v>MA</v>
      </c>
      <c r="C5" s="12">
        <v>13790</v>
      </c>
      <c r="D5" s="20">
        <v>16100.672</v>
      </c>
      <c r="E5" s="20">
        <f t="shared" ref="E5" si="0">IF(AND(ISNUMBER(C5),ISNUMBER(D5)), C5-D5, "")</f>
        <v>-2310.6720000000005</v>
      </c>
      <c r="F5" s="21">
        <f>IFERROR(E5/D5, "")</f>
        <v>-0.14351400985002369</v>
      </c>
      <c r="G5" s="22">
        <v>15302.777</v>
      </c>
      <c r="H5" s="22">
        <f t="shared" ref="H5" si="1">IF(AND(ISNUMBER(C5),ISNUMBER(G5)), C5-G5, "")</f>
        <v>-1512.777</v>
      </c>
      <c r="I5" s="21">
        <f t="shared" ref="I5" si="2">IFERROR(H5/G5, "")</f>
        <v>-9.8856370971098909E-2</v>
      </c>
      <c r="J5" s="43" t="s">
        <v>69</v>
      </c>
      <c r="K5" s="45" t="s">
        <v>33</v>
      </c>
      <c r="L5" s="52" t="s">
        <v>70</v>
      </c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hyperlinks>
    <hyperlink ref="K4" r:id="rId1" display="https://us3.assetplanner.com/service_request?ID=111018" xr:uid="{57CC0B65-A241-41AB-8877-C0658888F635}"/>
    <hyperlink ref="K5" r:id="rId2" display="https://us3.assetplanner.com/service_request?ID=094280" xr:uid="{01515B6D-C5A6-4452-9474-1E96ED541FE3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activeCell="J16" sqref="J16"/>
      <selection pane="bottomLeft" activeCell="H15" sqref="H15"/>
    </sheetView>
  </sheetViews>
  <sheetFormatPr defaultRowHeight="13.8" x14ac:dyDescent="0.25"/>
  <cols>
    <col min="1" max="1" width="40.5546875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7.88671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Northbridge Companies</v>
      </c>
      <c r="B1" s="55"/>
      <c r="C1" s="55"/>
      <c r="D1" s="56" t="s">
        <v>71</v>
      </c>
      <c r="E1" s="56"/>
      <c r="F1" s="56"/>
      <c r="G1" s="54" t="s">
        <v>72</v>
      </c>
      <c r="H1" s="54"/>
      <c r="I1" s="54"/>
      <c r="J1" s="5"/>
      <c r="K1" s="5"/>
    </row>
    <row r="2" spans="1:11" ht="19.5" customHeight="1" x14ac:dyDescent="0.25">
      <c r="A2" s="57" t="s">
        <v>2</v>
      </c>
      <c r="B2" s="5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2"/>
      <c r="K5" s="44"/>
    </row>
    <row r="6" spans="1:11" ht="15.6" x14ac:dyDescent="0.2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" x14ac:dyDescent="0.3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73</v>
      </c>
      <c r="B1" t="s">
        <v>74</v>
      </c>
    </row>
    <row r="3" spans="1:7" ht="13.2" x14ac:dyDescent="0.25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7" ht="14.4" x14ac:dyDescent="0.3">
      <c r="A4" t="s">
        <v>78</v>
      </c>
      <c r="B4" t="s">
        <v>79</v>
      </c>
      <c r="C4" s="4" t="s">
        <v>80</v>
      </c>
      <c r="E4" t="s">
        <v>81</v>
      </c>
      <c r="G4" s="3"/>
    </row>
    <row r="5" spans="1:7" ht="14.4" x14ac:dyDescent="0.3">
      <c r="A5" t="s">
        <v>82</v>
      </c>
      <c r="B5" t="s">
        <v>83</v>
      </c>
      <c r="C5" s="4" t="s">
        <v>80</v>
      </c>
      <c r="E5" t="s">
        <v>84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25B703B4-D55F-4FCC-ABF9-C5677EDF93CA}"/>
</file>

<file path=customXml/itemProps1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2025-12-21T12:55:55Z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