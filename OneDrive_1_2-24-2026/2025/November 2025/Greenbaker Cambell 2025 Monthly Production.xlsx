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66FB1081-6EB7-47A0-978F-2A406C2E11CB}" xr6:coauthVersionLast="47" xr6:coauthVersionMax="47" xr10:uidLastSave="{00000000-0000-0000-0000-000000000000}"/>
  <bookViews>
    <workbookView xWindow="-108" yWindow="-108" windowWidth="23256" windowHeight="13896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I4" i="27"/>
  <c r="H4" i="27"/>
  <c r="B4" i="26" a="1"/>
  <c r="B4" i="26"/>
  <c r="H4" i="21"/>
  <c r="I4" i="21" s="1"/>
  <c r="H4" i="4"/>
  <c r="C4" i="1"/>
  <c r="C2" i="1" s="1"/>
  <c r="G4" i="18"/>
  <c r="G2" i="18" s="1"/>
  <c r="I4" i="4"/>
  <c r="E4" i="72"/>
  <c r="F4" i="72" s="1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A4" i="26" a="1"/>
  <c r="A4" i="26"/>
  <c r="A4" i="72" a="1"/>
  <c r="A4" i="72"/>
  <c r="A4" i="30" a="1"/>
  <c r="A4" i="30"/>
  <c r="B4" i="72" a="1"/>
  <c r="B4" i="72"/>
  <c r="E4" i="3"/>
  <c r="F4" i="3" s="1"/>
  <c r="H4" i="3"/>
  <c r="I4" i="3" s="1"/>
  <c r="G4" i="1"/>
  <c r="G2" i="1" s="1"/>
  <c r="B4" i="34" a="1"/>
  <c r="B4" i="34"/>
  <c r="A4" i="34" a="1"/>
  <c r="A4" i="34"/>
  <c r="A1" i="34" a="1"/>
  <c r="A1" i="34"/>
  <c r="D4" i="30"/>
  <c r="C4" i="30"/>
  <c r="D4" i="29"/>
  <c r="D2" i="29" s="1"/>
  <c r="C4" i="29"/>
  <c r="C2" i="29" s="1"/>
  <c r="D4" i="18"/>
  <c r="D2" i="18" s="1"/>
  <c r="C4" i="18"/>
  <c r="B4" i="30" a="1"/>
  <c r="B4" i="30"/>
  <c r="G2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/>
  <c r="D4" i="1"/>
  <c r="D2" i="1" s="1"/>
  <c r="B4" i="1" a="1"/>
  <c r="B4" i="1"/>
  <c r="A4" i="1" a="1"/>
  <c r="A4" i="1"/>
  <c r="A1" i="1" a="1"/>
  <c r="A1" i="1"/>
  <c r="H4" i="33"/>
  <c r="I4" i="33"/>
  <c r="E4" i="33"/>
  <c r="F4" i="33" s="1"/>
  <c r="G2" i="33"/>
  <c r="D2" i="33"/>
  <c r="C2" i="33"/>
  <c r="H2" i="33" s="1"/>
  <c r="I2" i="33" s="1"/>
  <c r="A1" i="33" a="1"/>
  <c r="A1" i="33"/>
  <c r="H4" i="32"/>
  <c r="I4" i="32"/>
  <c r="E4" i="32"/>
  <c r="F4" i="32" s="1"/>
  <c r="G2" i="32"/>
  <c r="D2" i="32"/>
  <c r="C2" i="32"/>
  <c r="E2" i="32" s="1"/>
  <c r="F2" i="32" s="1"/>
  <c r="A1" i="32" a="1"/>
  <c r="A1" i="32"/>
  <c r="H4" i="31"/>
  <c r="I4" i="31"/>
  <c r="E4" i="31"/>
  <c r="F4" i="31" s="1"/>
  <c r="G2" i="31"/>
  <c r="D2" i="31"/>
  <c r="C2" i="31"/>
  <c r="J2" i="31" s="1"/>
  <c r="A1" i="31" a="1"/>
  <c r="A1" i="31" s="1"/>
  <c r="H4" i="28"/>
  <c r="I4" i="28" s="1"/>
  <c r="E4" i="28"/>
  <c r="F4" i="28"/>
  <c r="B4" i="28" a="1"/>
  <c r="B4" i="28"/>
  <c r="A4" i="28" a="1"/>
  <c r="A4" i="28"/>
  <c r="G2" i="28"/>
  <c r="D2" i="28"/>
  <c r="C2" i="28"/>
  <c r="E2" i="28" s="1"/>
  <c r="F2" i="28" s="1"/>
  <c r="A1" i="28" a="1"/>
  <c r="A1" i="28"/>
  <c r="G4" i="29"/>
  <c r="E4" i="27"/>
  <c r="F4" i="27"/>
  <c r="G2" i="27"/>
  <c r="D2" i="27"/>
  <c r="C2" i="27"/>
  <c r="J2" i="27" s="1"/>
  <c r="A1" i="27" a="1"/>
  <c r="A1" i="27"/>
  <c r="H4" i="26"/>
  <c r="H4" i="29" s="1"/>
  <c r="I4" i="26"/>
  <c r="E4" i="26"/>
  <c r="F4" i="26" s="1"/>
  <c r="G2" i="26"/>
  <c r="D2" i="26"/>
  <c r="C2" i="26"/>
  <c r="J2" i="26" s="1"/>
  <c r="A1" i="26" a="1"/>
  <c r="A1" i="26"/>
  <c r="H4" i="19"/>
  <c r="I4" i="19"/>
  <c r="E4" i="19"/>
  <c r="F4" i="19"/>
  <c r="G2" i="19"/>
  <c r="D2" i="19"/>
  <c r="C2" i="19"/>
  <c r="A1" i="19" a="1"/>
  <c r="A1" i="19"/>
  <c r="H4" i="20"/>
  <c r="I4" i="20" s="1"/>
  <c r="E4" i="20"/>
  <c r="F4" i="20" s="1"/>
  <c r="G2" i="20"/>
  <c r="D2" i="20"/>
  <c r="C2" i="20"/>
  <c r="J2" i="20" s="1"/>
  <c r="A1" i="20" a="1"/>
  <c r="A1" i="20"/>
  <c r="E4" i="21"/>
  <c r="F4" i="21"/>
  <c r="G2" i="21"/>
  <c r="D2" i="21"/>
  <c r="C2" i="21"/>
  <c r="A1" i="21" a="1"/>
  <c r="A1" i="21"/>
  <c r="E4" i="4"/>
  <c r="F4" i="4" s="1"/>
  <c r="G2" i="4"/>
  <c r="D2" i="4"/>
  <c r="C2" i="4"/>
  <c r="A1" i="4" a="1"/>
  <c r="A1" i="4"/>
  <c r="G2" i="3"/>
  <c r="D2" i="3"/>
  <c r="C2" i="3"/>
  <c r="J2" i="3"/>
  <c r="A1" i="3" a="1"/>
  <c r="A1" i="3"/>
  <c r="H4" i="72"/>
  <c r="I4" i="72"/>
  <c r="G2" i="72"/>
  <c r="D2" i="72"/>
  <c r="C2" i="72"/>
  <c r="J2" i="72"/>
  <c r="A1" i="72" a="1"/>
  <c r="A1" i="72"/>
  <c r="D2" i="30"/>
  <c r="E2" i="31" l="1"/>
  <c r="F2" i="31" s="1"/>
  <c r="H2" i="31"/>
  <c r="I2" i="31" s="1"/>
  <c r="E2" i="27"/>
  <c r="F2" i="27" s="1"/>
  <c r="H2" i="32"/>
  <c r="I2" i="32" s="1"/>
  <c r="E2" i="19"/>
  <c r="F2" i="19" s="1"/>
  <c r="H2" i="20"/>
  <c r="I2" i="20" s="1"/>
  <c r="E2" i="21"/>
  <c r="F2" i="21" s="1"/>
  <c r="E4" i="18"/>
  <c r="F4" i="18" s="1"/>
  <c r="H2" i="21"/>
  <c r="I2" i="21" s="1"/>
  <c r="H2" i="3"/>
  <c r="I2" i="3" s="1"/>
  <c r="H4" i="1"/>
  <c r="I4" i="1" s="1"/>
  <c r="E2" i="1"/>
  <c r="F2" i="1" s="1"/>
  <c r="E4" i="1"/>
  <c r="F4" i="1" s="1"/>
  <c r="E2" i="3"/>
  <c r="F2" i="3" s="1"/>
  <c r="H4" i="30"/>
  <c r="I4" i="30" s="1"/>
  <c r="H2" i="72"/>
  <c r="I2" i="72" s="1"/>
  <c r="H2" i="27"/>
  <c r="I2" i="27" s="1"/>
  <c r="H2" i="4"/>
  <c r="I2" i="4" s="1"/>
  <c r="H2" i="19"/>
  <c r="I2" i="19" s="1"/>
  <c r="H2" i="28"/>
  <c r="I2" i="28" s="1"/>
  <c r="J2" i="21"/>
  <c r="J2" i="32"/>
  <c r="E2" i="20"/>
  <c r="F2" i="20" s="1"/>
  <c r="E2" i="29"/>
  <c r="F2" i="29" s="1"/>
  <c r="I4" i="29"/>
  <c r="G4" i="34"/>
  <c r="G2" i="34" s="1"/>
  <c r="G2" i="29"/>
  <c r="H2" i="29" s="1"/>
  <c r="I2" i="29" s="1"/>
  <c r="H4" i="18"/>
  <c r="I4" i="18" s="1"/>
  <c r="H2" i="26"/>
  <c r="I2" i="26" s="1"/>
  <c r="E2" i="72"/>
  <c r="F2" i="72" s="1"/>
  <c r="E2" i="26"/>
  <c r="F2" i="26" s="1"/>
  <c r="J2" i="33"/>
  <c r="H2" i="1"/>
  <c r="I2" i="1" s="1"/>
  <c r="C2" i="18"/>
  <c r="C4" i="34"/>
  <c r="D4" i="34"/>
  <c r="D2" i="34" s="1"/>
  <c r="E4" i="29"/>
  <c r="F4" i="29" s="1"/>
  <c r="J2" i="28"/>
  <c r="E4" i="30"/>
  <c r="F4" i="30" s="1"/>
  <c r="C2" i="30"/>
  <c r="J2" i="19"/>
  <c r="E2" i="4"/>
  <c r="F2" i="4" s="1"/>
  <c r="J2" i="4"/>
  <c r="E2" i="33"/>
  <c r="F2" i="33" s="1"/>
  <c r="E4" i="34" l="1"/>
  <c r="F4" i="34" s="1"/>
  <c r="E2" i="30"/>
  <c r="F2" i="30" s="1"/>
  <c r="H2" i="30"/>
  <c r="I2" i="30" s="1"/>
  <c r="H2" i="18"/>
  <c r="I2" i="18" s="1"/>
  <c r="E2" i="18"/>
  <c r="F2" i="18" s="1"/>
  <c r="H4" i="34"/>
  <c r="I4" i="34" s="1"/>
  <c r="C2" i="34"/>
  <c r="E2" i="34" s="1"/>
  <c r="F2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<sst xmlns="http://schemas.openxmlformats.org/spreadsheetml/2006/main" count="263" uniqueCount="71">
  <si>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</si>
  <si>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</si>
  <si>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</si>
  <si>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</si>
  <si>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</si>
  <si>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</si>
  <si>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</si>
  <si>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</si>
  <si>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</si>
  <si>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</si>
  <si>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</si>
  <si>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</si>
  <si>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</si>
  <si>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</si>
  <si>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</si>
  <si>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</si>
  <si>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</si>
  <si>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</si>
  <si>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</si>
  <si>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</si>
  <si>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</si>
  <si>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</si>
  <si>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</si>
  <si>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</si>
  <si>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</si>
  <si>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</si>
  <si>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</si>
  <si>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</si>
  <si>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</si>
  <si>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</si>
  <si>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</si>
  <si>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</si>
  <si>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</si>
  <si>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</si>
  <si>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Site was offline at 10:10 0n 07/30 due to billing mix up with Verizon and remained offline.</t>
  </si>
  <si>
    <t>1. SR097964
2. SR105456</t>
  </si>
  <si>
    <t>SR105456</t>
  </si>
  <si>
    <t>August Actual v. Expected</t>
  </si>
  <si>
    <t>August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</si>
  <si>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Inverters 4-03 and 6-09 are offline on 8/18 on 08/26 technician checked in and found that 3 inverters without production and restored 2. remaining inverter need further troubleshooting.</t>
  </si>
  <si>
    <t>1. SR097964
2. SR106854, SR105456</t>
  </si>
  <si>
    <t>SR106854</t>
  </si>
  <si>
    <t>September Actual v. Expected</t>
  </si>
  <si>
    <t>September Actual v. Forecasted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</si>
  <si>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Inverter 1 has been offline since 03/10, and its communication board is currently being RMA’d.
2. Inverter S/N ending 1195 was offline for whole month.
3. Inverter 1.3 has tripped offline at 13:20 on 09/18 and was back online on 09/24  at 07:00</t>
  </si>
  <si>
    <t>1. SR097964
2. SR106854, SR105456
3. SR108260</t>
  </si>
  <si>
    <t>SR108260</t>
  </si>
  <si>
    <t>October Actual v. Expected</t>
  </si>
  <si>
    <t>October Actual v. Forecasted</t>
  </si>
  <si>
    <t>Status</t>
  </si>
  <si>
    <t>1. Numerous inverters lost communication on 03/03, possibly due to being offline. Many of these inverters appear to be duplicates. Additionally, the Block 4 inverters have been offline since 07/24 due to a datalogger fault, which requires further troubleshooting. 
2. Inverter S/N ending 1195 was back online at 10/16.
3. Inverters 1–21 and 22, Inverter 2–21 and 22, Inverter 3–15, Inverter 4–6, Inverter 5–3, and Inverter 6–3 have been offline since 10/22.</t>
  </si>
  <si>
    <t>1. SR097964
2. SR106854, SR105456
3. SR109924</t>
  </si>
  <si>
    <t>1. Closed
2. Closed
3. Pending</t>
  </si>
  <si>
    <t>SR109924</t>
  </si>
  <si>
    <t>November Actual v. Expected</t>
  </si>
  <si>
    <t>November Actual v. Forecasted</t>
  </si>
  <si>
    <t>1. Inverters 1–21 and 22, Inverters 2–21 and 22, Inverters 3–15, Inverters 4–6, Inverter 5–3, and Inverter 6–3 had been offline since 10/22. On 11/24, after the technician replaced the RMA’d communications board, all inverters came back online and are now producing as expected.</t>
  </si>
  <si>
    <t>1 SR109924</t>
  </si>
  <si>
    <t>1. Pending</t>
  </si>
  <si>
    <t>December Actual v. Expected</t>
  </si>
  <si>
    <t>December Actual v. Forecasted</t>
  </si>
  <si>
    <t>Portfolio:</t>
  </si>
  <si>
    <t>Greenbaker Capital</t>
  </si>
  <si>
    <t>Site DAS Name</t>
  </si>
  <si>
    <t>Update</t>
  </si>
  <si>
    <t>DAS</t>
  </si>
  <si>
    <t>BNB Camden [0821]</t>
  </si>
  <si>
    <t>NJ: Camden - Cambell Soup (Roof Parkade)</t>
  </si>
  <si>
    <t>NJ</t>
  </si>
  <si>
    <t>AEF</t>
  </si>
  <si>
    <t>PF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</si>
</sst>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6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23" fillId="46" borderId="0" xfId="0" applyNumberFormat="1" applyFont="1" applyFill="1" applyAlignment="1">
      <alignment horizontal="right" vertical="center"/>
    </xf>
    <xf numFmtId="0" fontId="36" fillId="38" borderId="12" xfId="0" applyFont="1" applyFill="1" applyBorder="1" applyAlignment="1">
      <alignment horizontal="left" vertical="top" wrapText="1"/>
    </xf>
    <xf numFmtId="0" fontId="35" fillId="47" borderId="13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center" vertical="center"/>
    </xf>
    <xf numFmtId="49" fontId="37" fillId="38" borderId="0" xfId="45" applyNumberFormat="1" applyFill="1" applyBorder="1" applyAlignment="1">
      <alignment vertical="top" wrapText="1"/>
    </xf>
    <xf numFmtId="0" fontId="37" fillId="0" borderId="0" xfId="45" applyAlignment="1">
      <alignment horizontal="left" vertical="top"/>
    </xf>
    <xf numFmtId="0" fontId="37" fillId="38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7" fillId="38" borderId="14" xfId="45" applyFill="1" applyBorder="1" applyAlignment="1">
      <alignment horizontal="left" vertical="top" wrapText="1"/>
    </xf>
    <xf numFmtId="0" fontId="37" fillId="0" borderId="0" xfId="45" applyAlignment="1">
      <alignment vertical="top"/>
    </xf>
    <xf numFmtId="49" fontId="37" fillId="38" borderId="0" xfId="45" applyNumberFormat="1" applyFill="1" applyBorder="1" applyAlignment="1">
      <alignment horizontal="left" vertical="top" wrapText="1"/>
    </xf>
    <xf numFmtId="0" fontId="37" fillId="0" borderId="0" xfId="45" applyAlignment="1">
      <alignment vertical="top" wrapText="1"/>
    </xf>
    <xf numFmtId="0" fontId="37" fillId="0" borderId="0" xfId="45"/>
    <xf numFmtId="0" fontId="5" fillId="4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456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Relationship Id="rId4" Type="http://schemas.openxmlformats.org/officeDocument/2006/relationships/hyperlink" Target="https://us3.assetplanner.com/service_request?ID=10826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5456" TargetMode="External"/><Relationship Id="rId2" Type="http://schemas.openxmlformats.org/officeDocument/2006/relationships/hyperlink" Target="https://us3.assetplanner.com/service_request?ID=106854" TargetMode="External"/><Relationship Id="rId1" Type="http://schemas.openxmlformats.org/officeDocument/2006/relationships/hyperlink" Target="https://us3.assetplanner.com/service_request?ID=097964" TargetMode="External"/><Relationship Id="rId4" Type="http://schemas.openxmlformats.org/officeDocument/2006/relationships/hyperlink" Target="https://us3.assetplanner.com/service_request?ID=109924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us3.assetplanner.com/service_request?ID=109924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D2" sqref="D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0</v>
      </c>
      <c r="E1" s="64"/>
      <c r="F1" s="64"/>
      <c r="G1" s="62" t="s">
        <v>1</v>
      </c>
      <c r="H1" s="62"/>
      <c r="I1" s="62"/>
    </row>
    <row r="2" spans="1:9" ht="19.5" customHeight="1">
      <c r="A2" s="65" t="s">
        <v>2</v>
      </c>
      <c r="B2" s="65"/>
      <c r="C2" s="5">
        <f>SUM(C4:C79)</f>
        <v>1356780.5238999999</v>
      </c>
      <c r="D2" s="5">
        <f>SUM(D4:D79)</f>
        <v>2492033.6121</v>
      </c>
      <c r="E2" s="5">
        <f>C2-D2</f>
        <v>-1135253.0882000001</v>
      </c>
      <c r="F2" s="6">
        <f>IFERROR(E2/D2, 0)</f>
        <v>-0.45555287965933133</v>
      </c>
      <c r="G2" s="5">
        <f>SUM(G4:G79)</f>
        <v>1525093.9238999998</v>
      </c>
      <c r="H2" s="7">
        <f>C2-G2</f>
        <v>-168313.39999999991</v>
      </c>
      <c r="I2" s="6">
        <f>IFERROR(H2/G2, 0)</f>
        <v>-0.11036264544913117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SUM('1st Qtr'!C4, '2nd Qtr'!C4, '3rd Qtr'!C4, '4th Qtr'!C4)</f>
        <v>1356780.5238999999</v>
      </c>
      <c r="D4" s="12">
        <f>SUM('1st Qtr'!D4, '2nd Qtr'!D4, '3rd Qtr'!D4, '4th Qtr'!D4)</f>
        <v>2492033.6121</v>
      </c>
      <c r="E4" s="12">
        <f>IF(AND(ISNUMBER(C4),ISNUMBER(D4)), C4-D4, "")</f>
        <v>-1135253.0882000001</v>
      </c>
      <c r="F4" s="13">
        <f>IFERROR(E4/D4, "")</f>
        <v>-0.45555287965933133</v>
      </c>
      <c r="G4" s="14">
        <f>SUM('1st Qtr'!G4, '2nd Qtr'!G4, '3rd Qtr'!G4, '4th Qtr'!G4)</f>
        <v>1525093.9238999998</v>
      </c>
      <c r="H4" s="14">
        <f>SUM('1st Qtr'!H4, '2nd Qtr'!H4, '3rd Qtr'!H4, '4th Qtr'!H4)</f>
        <v>-986281.93610000005</v>
      </c>
      <c r="I4" s="15">
        <f>IFERROR(H4/G4, "")</f>
        <v>-0.64670242313854398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H9" sqref="H9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10</v>
      </c>
      <c r="E1" s="64"/>
      <c r="F1" s="64"/>
      <c r="G1" s="62" t="s">
        <v>11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SUM(Jan!C4, Feb!C4, Mar!C4)</f>
        <v>0</v>
      </c>
      <c r="D4" s="12">
        <f>SUM(Jan!D4, Feb!D4, Mar!D4)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12</v>
      </c>
      <c r="E1" s="64"/>
      <c r="F1" s="64"/>
      <c r="G1" s="62" t="s">
        <v>13</v>
      </c>
      <c r="H1" s="62"/>
      <c r="I1" s="62"/>
    </row>
    <row r="2" spans="1:9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14</v>
      </c>
      <c r="E1" s="64"/>
      <c r="F1" s="64"/>
      <c r="G1" s="62" t="s">
        <v>15</v>
      </c>
      <c r="H1" s="62"/>
      <c r="I1" s="62"/>
    </row>
    <row r="2" spans="1:9" ht="19.5" customHeight="1">
      <c r="A2" s="65" t="s">
        <v>2</v>
      </c>
      <c r="B2" s="65"/>
      <c r="C2" s="5">
        <f>SUM(C4:C79)</f>
        <v>986677.52389999991</v>
      </c>
      <c r="D2" s="5">
        <f>SUM(D4:D79)</f>
        <v>1858006.6284</v>
      </c>
      <c r="E2" s="5">
        <f>C2-D2</f>
        <v>-871329.10450000013</v>
      </c>
      <c r="F2" s="6">
        <f>IFERROR(E2/D2, 0)</f>
        <v>-0.46895909367682648</v>
      </c>
      <c r="G2" s="5">
        <f>SUM(G4:G79)</f>
        <v>860568.16389999993</v>
      </c>
      <c r="H2" s="7">
        <f>C2-G2</f>
        <v>126109.35999999999</v>
      </c>
      <c r="I2" s="6">
        <f>IFERROR(H2/G2, 0)</f>
        <v>0.14654197690568321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SUM(Jul!C4, Aug!C4, Sep!C4)</f>
        <v>986677.52389999991</v>
      </c>
      <c r="D4" s="12">
        <f>SUM(Jul!D4, Aug!D4, Sep!D4)</f>
        <v>1858006.6284</v>
      </c>
      <c r="E4" s="12">
        <f>IF(AND(ISNUMBER(C4),ISNUMBER(D4)), C4-D4, "")</f>
        <v>-871329.10450000013</v>
      </c>
      <c r="F4" s="13">
        <f>IFERROR(E4/D4, "")</f>
        <v>-0.46895909367682648</v>
      </c>
      <c r="G4" s="14">
        <f>SUM(Jul!G4,Aug!H4,Sep!G4)</f>
        <v>860568.16389999993</v>
      </c>
      <c r="H4" s="14">
        <f>SUM(Jul!H4, Aug!H4, Sep!H4)</f>
        <v>-691859.17610000004</v>
      </c>
      <c r="I4" s="15">
        <f>IFERROR(H4/G4, "")</f>
        <v>-0.80395627577549533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F22" sqref="F2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3" t="str" cm="1">
        <f t="array" ref="A1">portfolio</f>
        <v>Greenbaker Capital</v>
      </c>
      <c r="B1" s="63"/>
      <c r="C1" s="63"/>
      <c r="D1" s="64" t="s">
        <v>16</v>
      </c>
      <c r="E1" s="64"/>
      <c r="F1" s="64"/>
      <c r="G1" s="62" t="s">
        <v>17</v>
      </c>
      <c r="H1" s="62"/>
      <c r="I1" s="62"/>
    </row>
    <row r="2" spans="1:9" ht="19.5" customHeight="1">
      <c r="A2" s="65" t="s">
        <v>2</v>
      </c>
      <c r="B2" s="65"/>
      <c r="C2" s="5">
        <f>SUM(C4:C79)</f>
        <v>370103</v>
      </c>
      <c r="D2" s="5">
        <f>SUM(D4:D79)</f>
        <v>634026.98369999998</v>
      </c>
      <c r="E2" s="5">
        <f>C2-D2</f>
        <v>-263923.98369999998</v>
      </c>
      <c r="F2" s="6">
        <f>IFERROR(E2/D2, 0)</f>
        <v>-0.41626616924064519</v>
      </c>
      <c r="G2" s="5">
        <f>SUM(G4:G79)</f>
        <v>664525.76</v>
      </c>
      <c r="H2" s="7">
        <f>C2-G2</f>
        <v>-294422.76</v>
      </c>
      <c r="I2" s="6">
        <f>IFERROR(H2/G2, 0)</f>
        <v>-0.44305695538424272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NJ: Camden - Cambell Soup (Roof Parkade)</v>
      </c>
      <c r="B4" s="9" t="str" cm="1">
        <f t="array" ref="B4">Sites[State]</f>
        <v>NJ</v>
      </c>
      <c r="C4" s="23">
        <f>SUM(Oct!C4, Nov!C4, Dec!C4)</f>
        <v>370103</v>
      </c>
      <c r="D4" s="12">
        <f>SUM(Oct!D4, Nov!D4, Dec!D4)</f>
        <v>634026.98369999998</v>
      </c>
      <c r="E4" s="12">
        <f>IF(AND(ISNUMBER(C4),ISNUMBER(D4)), C4-D4, "")</f>
        <v>-263923.98369999998</v>
      </c>
      <c r="F4" s="13">
        <f>IFERROR(E4/D4, "")</f>
        <v>-0.41626616924064519</v>
      </c>
      <c r="G4" s="14">
        <f>SUM(Oct!G4,Nov!G4,Dec!G4)</f>
        <v>664525.76</v>
      </c>
      <c r="H4" s="14">
        <f>SUM(Oct!H4, Nov!H4, Dec!H4)</f>
        <v>-294422.76</v>
      </c>
      <c r="I4" s="15">
        <f>IFERROR(H4/G4, "")</f>
        <v>-0.44305695538424272</v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Greenbaker Capital</v>
      </c>
      <c r="B1" s="63"/>
      <c r="C1" s="63"/>
      <c r="D1" s="64" t="s">
        <v>18</v>
      </c>
      <c r="E1" s="64"/>
      <c r="F1" s="64"/>
      <c r="G1" s="62" t="s">
        <v>19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26" t="s">
        <v>3</v>
      </c>
      <c r="B3" s="8" t="s">
        <v>4</v>
      </c>
      <c r="C3" s="45" t="s">
        <v>5</v>
      </c>
      <c r="D3" s="46" t="s">
        <v>6</v>
      </c>
      <c r="E3" s="31" t="s">
        <v>7</v>
      </c>
      <c r="F3" s="32" t="s">
        <v>8</v>
      </c>
      <c r="G3" s="47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07.25" customHeight="1">
      <c r="A4" s="11" t="str" cm="1">
        <f t="array" ref="A4">Sites[Site]</f>
        <v>NJ: Camden - Cambell Soup (Roof Parkade)</v>
      </c>
      <c r="B4" s="9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32" priority="6" stopIfTrue="1" operator="lessThanOrEqual">
      <formula>-0.1</formula>
    </cfRule>
    <cfRule type="expression" dxfId="31" priority="7">
      <formula>AND(ISNUMBER(F2), F2&gt;=0.1)</formula>
    </cfRule>
  </conditionalFormatting>
  <conditionalFormatting sqref="F4:F78 I4:I78">
    <cfRule type="cellIs" dxfId="30" priority="1" stopIfTrue="1" operator="lessThanOrEqual">
      <formula>-0.1</formula>
    </cfRule>
    <cfRule type="expression" dxfId="2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P321"/>
  <sheetViews>
    <sheetView zoomScale="90" zoomScaleNormal="90" workbookViewId="0">
      <pane xSplit="2" ySplit="3" topLeftCell="F13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6" ht="19.5" customHeight="1">
      <c r="A1" s="63" t="str" cm="1">
        <f t="array" ref="A1">portfolio</f>
        <v>Greenbaker Capital</v>
      </c>
      <c r="B1" s="63"/>
      <c r="C1" s="63"/>
      <c r="D1" s="64" t="s">
        <v>22</v>
      </c>
      <c r="E1" s="64"/>
      <c r="F1" s="64"/>
      <c r="G1" s="62" t="s">
        <v>23</v>
      </c>
      <c r="H1" s="62"/>
      <c r="I1" s="62"/>
      <c r="J1" s="4"/>
      <c r="K1" s="4"/>
    </row>
    <row r="2" spans="1:16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  <c r="L4" s="53"/>
      <c r="M4" s="53"/>
      <c r="N4" s="53"/>
      <c r="O4" s="53"/>
      <c r="P4" s="53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O321"/>
  <sheetViews>
    <sheetView workbookViewId="0">
      <pane xSplit="2" ySplit="3" topLeftCell="C4" activePane="bottomRight" state="frozen"/>
      <selection pane="bottomRight" activeCell="G8" sqref="G8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63" t="str" cm="1">
        <f t="array" ref="A1">portfolio</f>
        <v>Greenbaker Capital</v>
      </c>
      <c r="B1" s="63"/>
      <c r="C1" s="63"/>
      <c r="D1" s="64" t="s">
        <v>24</v>
      </c>
      <c r="E1" s="64"/>
      <c r="F1" s="64"/>
      <c r="G1" s="62" t="s">
        <v>25</v>
      </c>
      <c r="H1" s="62"/>
      <c r="I1" s="62"/>
      <c r="J1" s="4"/>
      <c r="K1" s="4"/>
    </row>
    <row r="2" spans="1:15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55"/>
      <c r="M3" s="55"/>
      <c r="N3" s="55"/>
      <c r="O3" s="55"/>
    </row>
    <row r="4" spans="1:15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48"/>
      <c r="H4" s="14" t="str">
        <f>IF(AND(ISNUMBER(C4),ISNUMBER(G4)), C4-G4, "")</f>
        <v/>
      </c>
      <c r="I4" s="15" t="str">
        <f>IFERROR(H4/G4, "")</f>
        <v/>
      </c>
      <c r="J4" s="49"/>
      <c r="K4" s="54"/>
      <c r="L4" s="53"/>
      <c r="M4" s="53"/>
      <c r="N4" s="53"/>
      <c r="O4" s="55"/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55"/>
      <c r="M5" s="55"/>
      <c r="N5" s="55"/>
      <c r="O5" s="55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55"/>
      <c r="M6" s="55"/>
      <c r="N6" s="55"/>
      <c r="O6" s="55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55"/>
      <c r="M7" s="55"/>
      <c r="N7" s="55"/>
      <c r="O7" s="55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55"/>
      <c r="M8" s="55"/>
      <c r="N8" s="55"/>
      <c r="O8" s="55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55"/>
      <c r="M9" s="55"/>
      <c r="N9" s="55"/>
      <c r="O9" s="55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55"/>
      <c r="M10" s="55"/>
      <c r="N10" s="55"/>
      <c r="O10" s="55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55"/>
      <c r="M11" s="55"/>
      <c r="N11" s="55"/>
      <c r="O11" s="55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63" t="str" cm="1">
        <f t="array" ref="A1">portfolio</f>
        <v>Greenbaker Capital</v>
      </c>
      <c r="B1" s="63"/>
      <c r="C1" s="63"/>
      <c r="D1" s="64" t="s">
        <v>26</v>
      </c>
      <c r="E1" s="64"/>
      <c r="F1" s="64"/>
      <c r="G1" s="62" t="s">
        <v>27</v>
      </c>
      <c r="H1" s="62"/>
      <c r="I1" s="62"/>
      <c r="J1" s="4"/>
      <c r="K1" s="4"/>
    </row>
    <row r="2" spans="1:14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5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0"/>
      <c r="K4" s="56"/>
      <c r="L4" s="57"/>
      <c r="M4" s="57"/>
      <c r="N4" s="57"/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21"/>
  <sheetViews>
    <sheetView workbookViewId="0">
      <pane xSplit="2" ySplit="3" topLeftCell="F13" activePane="bottomRight" state="frozen"/>
      <selection pane="bottomRight" activeCell="F13" sqref="F13"/>
      <selection pane="bottomLeft" activeCell="P4" activeCellId="10" sqref="H17 C4 D4 G4 J4 K4 L4 N4 M4 O4 P4"/>
      <selection pane="topRight" activeCell="P4" activeCellId="10" sqref="H17 C4 D4 G4 J4 K4 L4 N4 M4 O4 P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63" t="str" cm="1">
        <f t="array" ref="A1">portfolio</f>
        <v>Greenbaker Capital</v>
      </c>
      <c r="B1" s="63"/>
      <c r="C1" s="63"/>
      <c r="D1" s="64" t="s">
        <v>28</v>
      </c>
      <c r="E1" s="64"/>
      <c r="F1" s="64"/>
      <c r="G1" s="62" t="s">
        <v>29</v>
      </c>
      <c r="H1" s="62"/>
      <c r="I1" s="62"/>
      <c r="J1" s="4"/>
      <c r="K1" s="4"/>
    </row>
    <row r="2" spans="1:13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  <c r="L4" s="57"/>
      <c r="M4" s="57"/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P321"/>
  <sheetViews>
    <sheetView workbookViewId="0">
      <pane xSplit="2" ySplit="3" topLeftCell="F4" activePane="bottomRight" state="frozen"/>
      <selection pane="bottomRight" activeCell="A4" sqref="A4:XFD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  <col min="12" max="16" width="8.85546875" style="55"/>
  </cols>
  <sheetData>
    <row r="1" spans="1:16" ht="19.5" customHeight="1">
      <c r="A1" s="63" t="str" cm="1">
        <f t="array" ref="A1">portfolio</f>
        <v>Greenbaker Capital</v>
      </c>
      <c r="B1" s="63"/>
      <c r="C1" s="63"/>
      <c r="D1" s="64" t="s">
        <v>30</v>
      </c>
      <c r="E1" s="64"/>
      <c r="F1" s="64"/>
      <c r="G1" s="62" t="s">
        <v>31</v>
      </c>
      <c r="H1" s="62"/>
      <c r="I1" s="62"/>
      <c r="J1" s="4"/>
      <c r="K1" s="4"/>
    </row>
    <row r="2" spans="1:16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6" ht="15.6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52"/>
      <c r="L4" s="53"/>
      <c r="M4" s="53"/>
      <c r="N4" s="53"/>
      <c r="O4" s="53"/>
      <c r="P4" s="53"/>
    </row>
    <row r="5" spans="1:16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6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6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6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6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6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6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6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6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6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6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6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K4" sqref="K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3" t="str" cm="1">
        <f t="array" ref="A1">portfolio</f>
        <v>Greenbaker Capital</v>
      </c>
      <c r="B1" s="63"/>
      <c r="C1" s="63"/>
      <c r="D1" s="64" t="s">
        <v>32</v>
      </c>
      <c r="E1" s="64"/>
      <c r="F1" s="64"/>
      <c r="G1" s="62" t="s">
        <v>33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352821</v>
      </c>
      <c r="D2" s="5">
        <f>SUM(D4:D79)</f>
        <v>731357.36159999995</v>
      </c>
      <c r="E2" s="5">
        <f>C2-D2</f>
        <v>-378536.36159999995</v>
      </c>
      <c r="F2" s="6">
        <f>IFERROR(E2/D2, 0)</f>
        <v>-0.5175805720638007</v>
      </c>
      <c r="G2" s="5">
        <f>SUM(G4:G79)</f>
        <v>641267.71</v>
      </c>
      <c r="H2" s="7">
        <f>C2-G2</f>
        <v>-288446.70999999996</v>
      </c>
      <c r="I2" s="6">
        <f>IFERROR(H2/G2, 0)</f>
        <v>-0.44980700805908341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117" customHeight="1">
      <c r="A4" s="51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352821</v>
      </c>
      <c r="D4" s="12">
        <v>731357.36159999995</v>
      </c>
      <c r="E4" s="12">
        <f>IF(AND(ISNUMBER(C4),ISNUMBER(D4)), C4-D4, "")</f>
        <v>-378536.36159999995</v>
      </c>
      <c r="F4" s="13">
        <f>IFERROR(E4/D4, "")</f>
        <v>-0.5175805720638007</v>
      </c>
      <c r="G4" s="14">
        <v>641267.71</v>
      </c>
      <c r="H4" s="14">
        <f>IF(AND(ISNUMBER(C4),ISNUMBER(G4)), C4-G4, "")</f>
        <v>-288446.70999999996</v>
      </c>
      <c r="I4" s="15">
        <f>IFERROR(H4/G4, "")</f>
        <v>-0.44980700805908341</v>
      </c>
      <c r="J4" s="36" t="s">
        <v>34</v>
      </c>
      <c r="K4" s="52" t="s">
        <v>35</v>
      </c>
      <c r="L4" s="53" t="s">
        <v>36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7964" xr:uid="{2C5DA488-9AE7-4BAA-A29C-B39F0F735DF6}"/>
    <hyperlink ref="L4" r:id="rId2" display="https://us3.assetplanner.com/service_request?ID=105456" xr:uid="{4BDB2109-B2F6-4157-943D-C3C6949D6A5A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21"/>
  <sheetViews>
    <sheetView zoomScale="90" zoomScaleNormal="90" workbookViewId="0">
      <pane xSplit="2" ySplit="3" topLeftCell="J4" activePane="bottomRight" state="frozen"/>
      <selection pane="bottomRight" activeCell="J12" sqref="J12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55"/>
  </cols>
  <sheetData>
    <row r="1" spans="1:13" ht="19.5" customHeight="1">
      <c r="A1" s="63" t="str" cm="1">
        <f t="array" ref="A1">portfolio</f>
        <v>Greenbaker Capital</v>
      </c>
      <c r="B1" s="63"/>
      <c r="C1" s="63"/>
      <c r="D1" s="64" t="s">
        <v>37</v>
      </c>
      <c r="E1" s="64"/>
      <c r="F1" s="64"/>
      <c r="G1" s="62" t="s">
        <v>38</v>
      </c>
      <c r="H1" s="62"/>
      <c r="I1" s="62"/>
      <c r="J1" s="4"/>
      <c r="K1" s="4"/>
    </row>
    <row r="2" spans="1:13" ht="19.5" customHeight="1">
      <c r="A2" s="65" t="s">
        <v>2</v>
      </c>
      <c r="B2" s="65"/>
      <c r="C2" s="5">
        <f>SUM(C4:C79)</f>
        <v>350363.52389999997</v>
      </c>
      <c r="D2" s="5">
        <f>SUM(D4:D79)</f>
        <v>633412.45799999998</v>
      </c>
      <c r="E2" s="5">
        <f>C2-D2</f>
        <v>-283048.93410000001</v>
      </c>
      <c r="F2" s="6">
        <f>IFERROR(E2/D2, 0)</f>
        <v>-0.44686354132302214</v>
      </c>
      <c r="G2" s="5">
        <f>SUM(G5:G79)</f>
        <v>0</v>
      </c>
      <c r="H2" s="7">
        <f>C2-G2</f>
        <v>350363.52389999997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15.15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350363.52389999997</v>
      </c>
      <c r="D4" s="12">
        <v>633412.45799999998</v>
      </c>
      <c r="E4" s="12">
        <f>IF(AND(ISNUMBER(C4),ISNUMBER(D4)), C4-D4, "")</f>
        <v>-283048.93410000001</v>
      </c>
      <c r="F4" s="13">
        <f>IFERROR(E4/D4, "")</f>
        <v>-0.44686354132302214</v>
      </c>
      <c r="G4" s="14">
        <v>584166.03</v>
      </c>
      <c r="H4" s="14">
        <f>IF(AND(ISNUMBER(C4),ISNUMBER(G4)), C4-G4, "")</f>
        <v>-233802.50610000006</v>
      </c>
      <c r="I4" s="15">
        <f>IFERROR(H4/G4, "")</f>
        <v>-0.40023297160911608</v>
      </c>
      <c r="J4" s="36" t="s">
        <v>39</v>
      </c>
      <c r="K4" s="52" t="s">
        <v>40</v>
      </c>
      <c r="L4" s="53" t="s">
        <v>41</v>
      </c>
      <c r="M4" s="53" t="s">
        <v>36</v>
      </c>
    </row>
    <row r="5" spans="1:13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5" stopIfTrue="1" operator="lessThanOrEqual">
      <formula>-0.1</formula>
    </cfRule>
    <cfRule type="expression" dxfId="15" priority="6">
      <formula>AND(ISNUMBER(F2), F2&gt;=0.1)</formula>
    </cfRule>
  </conditionalFormatting>
  <conditionalFormatting sqref="G5">
    <cfRule type="cellIs" dxfId="14" priority="1" stopIfTrue="1" operator="lessThanOrEqual">
      <formula>-0.1</formula>
    </cfRule>
    <cfRule type="expression" dxfId="13" priority="2">
      <formula>AND(ISNUMBER(G5), G5&gt;=0.1)</formula>
    </cfRule>
  </conditionalFormatting>
  <hyperlinks>
    <hyperlink ref="K4" r:id="rId1" display="https://us3.assetplanner.com/service_request?ID=097964" xr:uid="{425FD9FB-AC8B-4907-B2B7-1EA2D92D554A}"/>
    <hyperlink ref="L4" r:id="rId2" display="https://us3.assetplanner.com/service_request?ID=106854" xr:uid="{539ABBBD-E2CF-4900-BEAD-75897C879431}"/>
    <hyperlink ref="M4" r:id="rId3" display="https://us3.assetplanner.com/service_request?ID=105456" xr:uid="{D2475A36-2975-4884-A979-DABD0577C200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321"/>
  <sheetViews>
    <sheetView zoomScale="80" zoomScaleNormal="80" workbookViewId="0">
      <pane xSplit="2" ySplit="3" topLeftCell="K4" activePane="bottomRight" state="frozen"/>
      <selection pane="bottomRight" activeCell="K4" sqref="K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8.85546875" style="55"/>
  </cols>
  <sheetData>
    <row r="1" spans="1:14" ht="19.5" customHeight="1">
      <c r="A1" s="63" t="str" cm="1">
        <f t="array" ref="A1">portfolio</f>
        <v>Greenbaker Capital</v>
      </c>
      <c r="B1" s="63"/>
      <c r="C1" s="63"/>
      <c r="D1" s="64" t="s">
        <v>42</v>
      </c>
      <c r="E1" s="64"/>
      <c r="F1" s="64"/>
      <c r="G1" s="62" t="s">
        <v>43</v>
      </c>
      <c r="H1" s="62"/>
      <c r="I1" s="62"/>
      <c r="J1" s="4"/>
      <c r="K1" s="4"/>
    </row>
    <row r="2" spans="1:14" ht="19.5" customHeight="1">
      <c r="A2" s="65" t="s">
        <v>2</v>
      </c>
      <c r="B2" s="65"/>
      <c r="C2" s="5">
        <f>SUM(C4:C79)</f>
        <v>283493</v>
      </c>
      <c r="D2" s="5">
        <f>SUM(D4:D79)</f>
        <v>493236.8088</v>
      </c>
      <c r="E2" s="5">
        <f>C2-D2</f>
        <v>-209743.8088</v>
      </c>
      <c r="F2" s="6">
        <f>IFERROR(E2/D2, 0)</f>
        <v>-0.42523957064414453</v>
      </c>
      <c r="G2" s="5">
        <f>SUM(G4:G79)</f>
        <v>453102.96</v>
      </c>
      <c r="H2" s="7">
        <f>C2-G2</f>
        <v>-169609.96000000002</v>
      </c>
      <c r="I2" s="6">
        <f>IFERROR(H2/G2, 0)</f>
        <v>-0.37432984326564545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4" ht="115.15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283493</v>
      </c>
      <c r="D4" s="12">
        <v>493236.8088</v>
      </c>
      <c r="E4" s="12">
        <f>IF(AND(ISNUMBER(C4),ISNUMBER(D4)), C4-D4, "")</f>
        <v>-209743.8088</v>
      </c>
      <c r="F4" s="13">
        <f>IFERROR(E4/D4, "")</f>
        <v>-0.42523957064414453</v>
      </c>
      <c r="G4" s="14">
        <v>453102.96</v>
      </c>
      <c r="H4" s="14">
        <f>IF(AND(ISNUMBER(C4),ISNUMBER(G4)), C4-G4, "")</f>
        <v>-169609.96000000002</v>
      </c>
      <c r="I4" s="15">
        <f>IFERROR(H4/G4, "")</f>
        <v>-0.37432984326564545</v>
      </c>
      <c r="J4" s="36" t="s">
        <v>44</v>
      </c>
      <c r="K4" s="52" t="s">
        <v>45</v>
      </c>
      <c r="L4" s="53" t="s">
        <v>41</v>
      </c>
      <c r="M4" s="53" t="s">
        <v>36</v>
      </c>
      <c r="N4" s="53" t="s">
        <v>46</v>
      </c>
    </row>
    <row r="5" spans="1:14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4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4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4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4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4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4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4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4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4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4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4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97964" xr:uid="{19CE0BCD-4E87-45B9-9E64-6845159A058C}"/>
    <hyperlink ref="L4" r:id="rId2" display="https://us3.assetplanner.com/service_request?ID=106854" xr:uid="{5E35EEE3-C991-4866-9F77-0F370F3C0B7E}"/>
    <hyperlink ref="M4" r:id="rId3" display="https://us3.assetplanner.com/service_request?ID=105456" xr:uid="{646C5602-3930-42C7-91DE-749B90C0F9BA}"/>
    <hyperlink ref="N4" r:id="rId4" display="https://us3.assetplanner.com/service_request?ID=108260" xr:uid="{145BE4F8-B291-4D99-BDF3-CEA2FE15086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21"/>
  <sheetViews>
    <sheetView zoomScale="80" zoomScaleNormal="80" workbookViewId="0">
      <pane xSplit="2" ySplit="3" topLeftCell="C4" activePane="bottomRight" state="frozen"/>
      <selection pane="bottomRight" activeCell="L4" sqref="L4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20.5703125" customWidth="1"/>
    <col min="13" max="13" width="12.140625" customWidth="1"/>
  </cols>
  <sheetData>
    <row r="1" spans="1:15" ht="19.5" customHeight="1">
      <c r="A1" s="63" t="str" cm="1">
        <f t="array" ref="A1">portfolio</f>
        <v>Greenbaker Capital</v>
      </c>
      <c r="B1" s="63"/>
      <c r="C1" s="63"/>
      <c r="D1" s="64" t="s">
        <v>47</v>
      </c>
      <c r="E1" s="64"/>
      <c r="F1" s="64"/>
      <c r="G1" s="62" t="s">
        <v>48</v>
      </c>
      <c r="H1" s="62"/>
      <c r="I1" s="62"/>
      <c r="J1" s="4"/>
      <c r="K1" s="4"/>
      <c r="L1" s="4"/>
    </row>
    <row r="2" spans="1:15" ht="19.5" customHeight="1">
      <c r="A2" s="65" t="s">
        <v>2</v>
      </c>
      <c r="B2" s="65"/>
      <c r="C2" s="5">
        <f>SUM(C4:C79)</f>
        <v>231582</v>
      </c>
      <c r="D2" s="5">
        <f>SUM(D4:D79)</f>
        <v>405866.15960000001</v>
      </c>
      <c r="E2" s="5">
        <f>C2-D2</f>
        <v>-174284.15960000001</v>
      </c>
      <c r="F2" s="6">
        <f>IFERROR(E2/D2, 0)</f>
        <v>-0.42941288766662677</v>
      </c>
      <c r="G2" s="5">
        <f>SUM(G4:G79)</f>
        <v>377886.4</v>
      </c>
      <c r="H2" s="7">
        <f>C2-G2</f>
        <v>-146304.40000000002</v>
      </c>
      <c r="I2" s="6">
        <f>IFERROR(H2/G2, 0)</f>
        <v>-0.38716503160738258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5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61" t="s">
        <v>49</v>
      </c>
    </row>
    <row r="4" spans="1:15" ht="100.9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231582</v>
      </c>
      <c r="D4" s="12">
        <v>405866.15960000001</v>
      </c>
      <c r="E4" s="12">
        <f>IF(AND(ISNUMBER(C4),ISNUMBER(D4)), C4-D4, "")</f>
        <v>-174284.15960000001</v>
      </c>
      <c r="F4" s="13">
        <f>IFERROR(E4/D4, "")</f>
        <v>-0.42941288766662677</v>
      </c>
      <c r="G4" s="14">
        <v>377886.4</v>
      </c>
      <c r="H4" s="14">
        <f>IF(AND(ISNUMBER(C4),ISNUMBER(G4)), C4-G4, "")</f>
        <v>-146304.40000000002</v>
      </c>
      <c r="I4" s="15">
        <f>IFERROR(H4/G4, "")</f>
        <v>-0.38716503160738258</v>
      </c>
      <c r="J4" s="36" t="s">
        <v>50</v>
      </c>
      <c r="K4" s="58" t="s">
        <v>51</v>
      </c>
      <c r="L4" s="36" t="s">
        <v>52</v>
      </c>
      <c r="M4" s="59" t="s">
        <v>41</v>
      </c>
      <c r="N4" s="60" t="s">
        <v>36</v>
      </c>
      <c r="O4" s="60" t="s">
        <v>53</v>
      </c>
    </row>
    <row r="5" spans="1:15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  <c r="L5" s="20"/>
    </row>
    <row r="6" spans="1:15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1:15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5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5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1:15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5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1:15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  <c r="L12" s="20"/>
    </row>
    <row r="13" spans="1:15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  <c r="L13" s="20"/>
    </row>
    <row r="14" spans="1:15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  <c r="L14" s="20"/>
    </row>
    <row r="15" spans="1:15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  <c r="L15" s="20"/>
    </row>
    <row r="16" spans="1:15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  <c r="L16" s="20"/>
    </row>
    <row r="17" spans="1:12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  <c r="L17" s="20"/>
    </row>
    <row r="18" spans="1:12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  <c r="L18" s="20"/>
    </row>
    <row r="19" spans="1:12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  <c r="L19" s="20"/>
    </row>
    <row r="20" spans="1:12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  <c r="L20" s="20"/>
    </row>
    <row r="21" spans="1:12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  <c r="L21" s="20"/>
    </row>
    <row r="22" spans="1:12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  <c r="L22" s="20"/>
    </row>
    <row r="23" spans="1:12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  <c r="L23" s="20"/>
    </row>
    <row r="24" spans="1:12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  <c r="L24" s="20"/>
    </row>
    <row r="25" spans="1:12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  <c r="L25" s="20"/>
    </row>
    <row r="26" spans="1:12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  <c r="L26" s="20"/>
    </row>
    <row r="27" spans="1:12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  <c r="L27" s="20"/>
    </row>
    <row r="28" spans="1:12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  <c r="L28" s="20"/>
    </row>
    <row r="29" spans="1:12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  <c r="L29" s="20"/>
    </row>
    <row r="30" spans="1:12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  <c r="L30" s="20"/>
    </row>
    <row r="31" spans="1:12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  <c r="L31" s="20"/>
    </row>
    <row r="32" spans="1:12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  <c r="L32" s="20"/>
    </row>
    <row r="33" spans="1:12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  <c r="L33" s="20"/>
    </row>
    <row r="34" spans="1:12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  <c r="L34" s="20"/>
    </row>
    <row r="35" spans="1:12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  <c r="L35" s="20"/>
    </row>
    <row r="36" spans="1:12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  <c r="L36" s="20"/>
    </row>
    <row r="37" spans="1:12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  <c r="L37" s="20"/>
    </row>
    <row r="38" spans="1:12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  <c r="L38" s="20"/>
    </row>
    <row r="39" spans="1:12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  <c r="L39" s="20"/>
    </row>
    <row r="40" spans="1:12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  <c r="L40" s="20"/>
    </row>
    <row r="41" spans="1:12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  <c r="L41" s="20"/>
    </row>
    <row r="42" spans="1:12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  <c r="L42" s="20"/>
    </row>
    <row r="43" spans="1:12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  <c r="L43" s="20"/>
    </row>
    <row r="44" spans="1:12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  <c r="L44" s="20"/>
    </row>
    <row r="45" spans="1:12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  <c r="L45" s="20"/>
    </row>
    <row r="46" spans="1:12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  <c r="L46" s="20"/>
    </row>
    <row r="47" spans="1:12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  <c r="L47" s="20"/>
    </row>
    <row r="48" spans="1:12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  <c r="L48" s="20"/>
    </row>
    <row r="49" spans="1:12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  <c r="L49" s="20"/>
    </row>
    <row r="50" spans="1:12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  <c r="L50" s="20"/>
    </row>
    <row r="51" spans="1:12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  <c r="L51" s="20"/>
    </row>
    <row r="52" spans="1:12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  <c r="L52" s="20"/>
    </row>
    <row r="53" spans="1:12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  <c r="L53" s="20"/>
    </row>
    <row r="54" spans="1:12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  <c r="L54" s="20"/>
    </row>
    <row r="55" spans="1:12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  <c r="L55" s="20"/>
    </row>
    <row r="56" spans="1:12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  <c r="L56" s="20"/>
    </row>
    <row r="57" spans="1:12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  <c r="L57" s="20"/>
    </row>
    <row r="58" spans="1:12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  <c r="L58" s="20"/>
    </row>
    <row r="59" spans="1:12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  <c r="L59" s="20"/>
    </row>
    <row r="60" spans="1:12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  <c r="L60" s="20"/>
    </row>
    <row r="61" spans="1:12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  <c r="L61" s="20"/>
    </row>
    <row r="62" spans="1:12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  <c r="L62" s="20"/>
    </row>
    <row r="63" spans="1:12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  <c r="L63" s="20"/>
    </row>
    <row r="64" spans="1:12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  <c r="L64" s="20"/>
    </row>
    <row r="65" spans="1:12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  <c r="L65" s="20"/>
    </row>
    <row r="66" spans="1:12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  <c r="L66" s="20"/>
    </row>
    <row r="67" spans="1:12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  <c r="L67" s="20"/>
    </row>
    <row r="68" spans="1:12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  <c r="L68" s="20"/>
    </row>
    <row r="69" spans="1:12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  <c r="L69" s="20"/>
    </row>
    <row r="70" spans="1:12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  <c r="L70" s="20"/>
    </row>
    <row r="71" spans="1:12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  <c r="L71" s="20"/>
    </row>
    <row r="72" spans="1:12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  <c r="L72" s="20"/>
    </row>
    <row r="73" spans="1:12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  <c r="L73" s="20"/>
    </row>
    <row r="74" spans="1:12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  <c r="L74" s="20"/>
    </row>
    <row r="75" spans="1:12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  <c r="L75" s="20"/>
    </row>
    <row r="76" spans="1:12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  <c r="L76" s="20"/>
    </row>
    <row r="77" spans="1:12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  <c r="L77" s="20"/>
    </row>
    <row r="78" spans="1:12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  <c r="L78" s="20"/>
    </row>
    <row r="79" spans="1:12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  <c r="L79" s="20"/>
    </row>
    <row r="80" spans="1:12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  <c r="L80" s="20"/>
    </row>
    <row r="81" spans="1:12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  <c r="L81" s="20"/>
    </row>
    <row r="82" spans="1:12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  <c r="L82" s="20"/>
    </row>
    <row r="83" spans="1:12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  <c r="L83" s="20"/>
    </row>
    <row r="84" spans="1:12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  <c r="L84" s="20"/>
    </row>
    <row r="85" spans="1:12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  <c r="L85" s="20"/>
    </row>
    <row r="86" spans="1:12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  <c r="L86" s="20"/>
    </row>
    <row r="87" spans="1:12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  <c r="L87" s="20"/>
    </row>
    <row r="88" spans="1:12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  <c r="L88" s="20"/>
    </row>
    <row r="89" spans="1:12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  <c r="L89" s="20"/>
    </row>
    <row r="90" spans="1:12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  <c r="L90" s="20"/>
    </row>
    <row r="91" spans="1:12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  <c r="L91" s="20"/>
    </row>
    <row r="92" spans="1:12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  <c r="L92" s="20"/>
    </row>
    <row r="93" spans="1:12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  <c r="L93" s="20"/>
    </row>
    <row r="94" spans="1:12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  <c r="L94" s="20"/>
    </row>
    <row r="95" spans="1:12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  <c r="L95" s="20"/>
    </row>
    <row r="96" spans="1:12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  <c r="L96" s="20"/>
    </row>
    <row r="97" spans="1:12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  <c r="L97" s="20"/>
    </row>
    <row r="98" spans="1:12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  <c r="L98" s="20"/>
    </row>
    <row r="99" spans="1:12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  <c r="L99" s="20"/>
    </row>
    <row r="100" spans="1:12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  <c r="L100" s="20"/>
    </row>
    <row r="101" spans="1:12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  <c r="L101" s="20"/>
    </row>
    <row r="102" spans="1:12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  <c r="L102" s="20"/>
    </row>
    <row r="103" spans="1:12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  <c r="L103" s="20"/>
    </row>
    <row r="104" spans="1:12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  <c r="L104" s="20"/>
    </row>
    <row r="105" spans="1:12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  <c r="L105" s="20"/>
    </row>
    <row r="106" spans="1:12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  <c r="L106" s="20"/>
    </row>
    <row r="107" spans="1:12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  <c r="L107" s="20"/>
    </row>
    <row r="108" spans="1:12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  <c r="L108" s="20"/>
    </row>
    <row r="109" spans="1:12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  <c r="L109" s="20"/>
    </row>
    <row r="110" spans="1:12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  <c r="L110" s="20"/>
    </row>
    <row r="111" spans="1:12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  <c r="L111" s="20"/>
    </row>
    <row r="112" spans="1:12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  <c r="L112" s="20"/>
    </row>
    <row r="113" spans="1:12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  <c r="L113" s="20"/>
    </row>
    <row r="114" spans="1:12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  <c r="L114" s="20"/>
    </row>
    <row r="115" spans="1:12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  <c r="L115" s="20"/>
    </row>
    <row r="116" spans="1:12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  <c r="L116" s="20"/>
    </row>
    <row r="117" spans="1:12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  <c r="L117" s="20"/>
    </row>
    <row r="118" spans="1:12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  <c r="L118" s="20"/>
    </row>
    <row r="119" spans="1:12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  <c r="L119" s="20"/>
    </row>
    <row r="120" spans="1:12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  <c r="L120" s="20"/>
    </row>
    <row r="121" spans="1:12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  <c r="L121" s="20"/>
    </row>
    <row r="122" spans="1:12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  <c r="L122" s="20"/>
    </row>
    <row r="123" spans="1:12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  <c r="L123" s="20"/>
    </row>
    <row r="124" spans="1:12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  <c r="L124" s="20"/>
    </row>
    <row r="125" spans="1:12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  <c r="L125" s="20"/>
    </row>
    <row r="126" spans="1:12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  <c r="L126" s="20"/>
    </row>
    <row r="127" spans="1:12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  <c r="L127" s="20"/>
    </row>
    <row r="128" spans="1:12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  <c r="L128" s="20"/>
    </row>
    <row r="129" spans="1:12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  <c r="L129" s="20"/>
    </row>
    <row r="130" spans="1:12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  <c r="L130" s="20"/>
    </row>
    <row r="131" spans="1:12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  <c r="L131" s="20"/>
    </row>
    <row r="132" spans="1:12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  <c r="L132" s="20"/>
    </row>
    <row r="133" spans="1:12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  <c r="L133" s="20"/>
    </row>
    <row r="134" spans="1:12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  <c r="L134" s="20"/>
    </row>
    <row r="135" spans="1:12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  <c r="L135" s="20"/>
    </row>
    <row r="136" spans="1:12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  <c r="L136" s="20"/>
    </row>
    <row r="137" spans="1:12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  <c r="L137" s="20"/>
    </row>
    <row r="138" spans="1:12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  <c r="L138" s="20"/>
    </row>
    <row r="139" spans="1:12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  <c r="L139" s="20"/>
    </row>
    <row r="140" spans="1:12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  <c r="L140" s="20"/>
    </row>
    <row r="141" spans="1:12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  <c r="L141" s="20"/>
    </row>
    <row r="142" spans="1:12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  <c r="L142" s="20"/>
    </row>
    <row r="143" spans="1:12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  <c r="L143" s="20"/>
    </row>
    <row r="144" spans="1:12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  <c r="L144" s="20"/>
    </row>
    <row r="145" spans="1:12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  <c r="L145" s="20"/>
    </row>
    <row r="146" spans="1:12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  <c r="L146" s="20"/>
    </row>
    <row r="147" spans="1:12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  <c r="L147" s="20"/>
    </row>
    <row r="148" spans="1:12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  <c r="L148" s="20"/>
    </row>
    <row r="149" spans="1:12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  <c r="L149" s="20"/>
    </row>
    <row r="150" spans="1:12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  <c r="L150" s="20"/>
    </row>
    <row r="151" spans="1:12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  <c r="L151" s="20"/>
    </row>
    <row r="152" spans="1:12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  <c r="L152" s="20"/>
    </row>
    <row r="153" spans="1:12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  <c r="L153" s="20"/>
    </row>
    <row r="154" spans="1:12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  <c r="L154" s="20"/>
    </row>
    <row r="155" spans="1:12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  <c r="L155" s="20"/>
    </row>
    <row r="156" spans="1:12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  <c r="L156" s="20"/>
    </row>
    <row r="157" spans="1:12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  <c r="L157" s="20"/>
    </row>
    <row r="158" spans="1:12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  <c r="L158" s="20"/>
    </row>
    <row r="159" spans="1:12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  <c r="L159" s="20"/>
    </row>
    <row r="160" spans="1:12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  <c r="L160" s="20"/>
    </row>
    <row r="161" spans="1:12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  <c r="L161" s="20"/>
    </row>
    <row r="162" spans="1:12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  <c r="L162" s="20"/>
    </row>
    <row r="163" spans="1:12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  <c r="L163" s="20"/>
    </row>
    <row r="164" spans="1:12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  <c r="L164" s="20"/>
    </row>
    <row r="165" spans="1:12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  <c r="L165" s="20"/>
    </row>
    <row r="166" spans="1:12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  <c r="L166" s="20"/>
    </row>
    <row r="167" spans="1:12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  <c r="L167" s="20"/>
    </row>
    <row r="168" spans="1:12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  <c r="L168" s="20"/>
    </row>
    <row r="169" spans="1:12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  <c r="L169" s="20"/>
    </row>
    <row r="170" spans="1:12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  <c r="L170" s="20"/>
    </row>
    <row r="171" spans="1:12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  <c r="L171" s="20"/>
    </row>
    <row r="172" spans="1:12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  <c r="L172" s="20"/>
    </row>
    <row r="173" spans="1:12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  <c r="L173" s="20"/>
    </row>
    <row r="174" spans="1:12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  <c r="L174" s="20"/>
    </row>
    <row r="175" spans="1:12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  <c r="L175" s="20"/>
    </row>
    <row r="176" spans="1:12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  <c r="L176" s="20"/>
    </row>
    <row r="177" spans="1:12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  <c r="L177" s="20"/>
    </row>
    <row r="178" spans="1:12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  <c r="L178" s="20"/>
    </row>
    <row r="179" spans="1:12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  <c r="L179" s="20"/>
    </row>
    <row r="180" spans="1:12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  <c r="L180" s="20"/>
    </row>
    <row r="181" spans="1:12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  <c r="L181" s="20"/>
    </row>
    <row r="182" spans="1:12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  <c r="L182" s="20"/>
    </row>
    <row r="183" spans="1:12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  <c r="L183" s="20"/>
    </row>
    <row r="184" spans="1:12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  <c r="L184" s="20"/>
    </row>
    <row r="185" spans="1:12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  <c r="L185" s="20"/>
    </row>
    <row r="186" spans="1:12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  <c r="L186" s="20"/>
    </row>
    <row r="187" spans="1:12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  <c r="L187" s="20"/>
    </row>
    <row r="188" spans="1:12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  <c r="L188" s="20"/>
    </row>
    <row r="189" spans="1:12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  <c r="L189" s="20"/>
    </row>
    <row r="190" spans="1:12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  <c r="L190" s="20"/>
    </row>
    <row r="191" spans="1:12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  <c r="L191" s="20"/>
    </row>
    <row r="192" spans="1:12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  <c r="L192" s="20"/>
    </row>
    <row r="193" spans="1:12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  <c r="L193" s="20"/>
    </row>
    <row r="194" spans="1:12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  <c r="L194" s="20"/>
    </row>
    <row r="195" spans="1:12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  <c r="L195" s="20"/>
    </row>
    <row r="196" spans="1:12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  <c r="L196" s="20"/>
    </row>
    <row r="197" spans="1:12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  <c r="L197" s="20"/>
    </row>
    <row r="198" spans="1:12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  <c r="L198" s="20"/>
    </row>
    <row r="199" spans="1:12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  <c r="L199" s="20"/>
    </row>
    <row r="200" spans="1:12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  <c r="L200" s="20"/>
    </row>
    <row r="201" spans="1:12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  <c r="L201" s="20"/>
    </row>
    <row r="202" spans="1:12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  <c r="L202" s="20"/>
    </row>
    <row r="203" spans="1:12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  <c r="L203" s="20"/>
    </row>
    <row r="204" spans="1:12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  <c r="L204" s="20"/>
    </row>
    <row r="205" spans="1:12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  <c r="L205" s="20"/>
    </row>
    <row r="206" spans="1:12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  <c r="L206" s="20"/>
    </row>
    <row r="207" spans="1:12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  <c r="L207" s="20"/>
    </row>
    <row r="208" spans="1:12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  <c r="L208" s="20"/>
    </row>
    <row r="209" spans="1:12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  <c r="L209" s="20"/>
    </row>
    <row r="210" spans="1:12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  <c r="L210" s="20"/>
    </row>
    <row r="211" spans="1:12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  <c r="L211" s="20"/>
    </row>
    <row r="212" spans="1:12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  <c r="L212" s="20"/>
    </row>
    <row r="213" spans="1:12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  <c r="L213" s="20"/>
    </row>
    <row r="214" spans="1:12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  <c r="L214" s="20"/>
    </row>
    <row r="215" spans="1:12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  <c r="L215" s="20"/>
    </row>
    <row r="216" spans="1:12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  <c r="L216" s="20"/>
    </row>
    <row r="217" spans="1:12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  <c r="L217" s="20"/>
    </row>
    <row r="218" spans="1:12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  <c r="L218" s="20"/>
    </row>
    <row r="219" spans="1:12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  <c r="L219" s="20"/>
    </row>
    <row r="220" spans="1:12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  <c r="L220" s="20"/>
    </row>
    <row r="221" spans="1:12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  <c r="L221" s="20"/>
    </row>
    <row r="222" spans="1:12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  <c r="L222" s="20"/>
    </row>
    <row r="223" spans="1:12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  <c r="L223" s="20"/>
    </row>
    <row r="224" spans="1:12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  <c r="L224" s="20"/>
    </row>
    <row r="225" spans="1:12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  <c r="L225" s="20"/>
    </row>
    <row r="226" spans="1:12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  <c r="L226" s="20"/>
    </row>
    <row r="227" spans="1:12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  <c r="L227" s="20"/>
    </row>
    <row r="228" spans="1:12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  <c r="L228" s="20"/>
    </row>
    <row r="229" spans="1:12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  <c r="L229" s="20"/>
    </row>
    <row r="230" spans="1:12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  <c r="L230" s="20"/>
    </row>
    <row r="231" spans="1:12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  <c r="L231" s="20"/>
    </row>
    <row r="232" spans="1:12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  <c r="L232" s="20"/>
    </row>
    <row r="233" spans="1:12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  <c r="L233" s="20"/>
    </row>
    <row r="234" spans="1:12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  <c r="L234" s="20"/>
    </row>
    <row r="235" spans="1:12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  <c r="L235" s="20"/>
    </row>
    <row r="236" spans="1:12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  <c r="L236" s="20"/>
    </row>
    <row r="237" spans="1:12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  <c r="L237" s="20"/>
    </row>
    <row r="238" spans="1:12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  <c r="L238" s="20"/>
    </row>
    <row r="239" spans="1:12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  <c r="L239" s="20"/>
    </row>
    <row r="240" spans="1:12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  <c r="L240" s="20"/>
    </row>
    <row r="241" spans="1:12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  <c r="L241" s="20"/>
    </row>
    <row r="242" spans="1:12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  <c r="L242" s="20"/>
    </row>
    <row r="243" spans="1:12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  <c r="L243" s="20"/>
    </row>
    <row r="244" spans="1:12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  <c r="L244" s="20"/>
    </row>
    <row r="245" spans="1:12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  <c r="L245" s="20"/>
    </row>
    <row r="246" spans="1:12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  <c r="L246" s="20"/>
    </row>
    <row r="247" spans="1:12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  <c r="L247" s="20"/>
    </row>
    <row r="248" spans="1:12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  <c r="L248" s="20"/>
    </row>
    <row r="249" spans="1:12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  <c r="L249" s="20"/>
    </row>
    <row r="250" spans="1:12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  <c r="L250" s="20"/>
    </row>
    <row r="251" spans="1:12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  <c r="L251" s="20"/>
    </row>
    <row r="252" spans="1:12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  <c r="L252" s="20"/>
    </row>
    <row r="253" spans="1:12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  <c r="L253" s="20"/>
    </row>
    <row r="254" spans="1:12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  <c r="L254" s="20"/>
    </row>
    <row r="255" spans="1:12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  <c r="L255" s="20"/>
    </row>
    <row r="256" spans="1:12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  <c r="L256" s="20"/>
    </row>
    <row r="257" spans="1:12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  <c r="L257" s="20"/>
    </row>
    <row r="258" spans="1:12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  <c r="L258" s="20"/>
    </row>
    <row r="259" spans="1:12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  <c r="L259" s="20"/>
    </row>
    <row r="260" spans="1:12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  <c r="L260" s="20"/>
    </row>
    <row r="261" spans="1:12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  <c r="L261" s="20"/>
    </row>
    <row r="262" spans="1:12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  <c r="L262" s="20"/>
    </row>
    <row r="263" spans="1:12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  <c r="L263" s="20"/>
    </row>
    <row r="264" spans="1:12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  <c r="L264" s="20"/>
    </row>
    <row r="265" spans="1:12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  <c r="L265" s="20"/>
    </row>
    <row r="266" spans="1:12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  <c r="L266" s="20"/>
    </row>
    <row r="267" spans="1:12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  <c r="L267" s="20"/>
    </row>
    <row r="268" spans="1:12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  <c r="L268" s="20"/>
    </row>
    <row r="269" spans="1:12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  <c r="L269" s="20"/>
    </row>
    <row r="270" spans="1:12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  <c r="L270" s="20"/>
    </row>
    <row r="271" spans="1:12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  <c r="L271" s="20"/>
    </row>
    <row r="272" spans="1:12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  <c r="L272" s="20"/>
    </row>
    <row r="273" spans="1:12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  <c r="L273" s="20"/>
    </row>
    <row r="274" spans="1:12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  <c r="L274" s="20"/>
    </row>
    <row r="275" spans="1:12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  <c r="L275" s="20"/>
    </row>
    <row r="276" spans="1:12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  <c r="L276" s="20"/>
    </row>
    <row r="277" spans="1:12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  <c r="L277" s="20"/>
    </row>
    <row r="278" spans="1:12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  <c r="L278" s="20"/>
    </row>
    <row r="279" spans="1:12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  <c r="L279" s="20"/>
    </row>
    <row r="280" spans="1:12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  <c r="L280" s="20"/>
    </row>
    <row r="281" spans="1:12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  <c r="L281" s="20"/>
    </row>
    <row r="282" spans="1:12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  <c r="L282" s="20"/>
    </row>
    <row r="283" spans="1:12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  <c r="L283" s="20"/>
    </row>
    <row r="284" spans="1:12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  <c r="L284" s="20"/>
    </row>
    <row r="285" spans="1:12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  <c r="L285" s="20"/>
    </row>
    <row r="286" spans="1:12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  <c r="L286" s="20"/>
    </row>
    <row r="287" spans="1:12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  <c r="L287" s="20"/>
    </row>
    <row r="288" spans="1:12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  <c r="L288" s="20"/>
    </row>
    <row r="289" spans="1:12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  <c r="L289" s="20"/>
    </row>
    <row r="290" spans="1:12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  <c r="L290" s="20"/>
    </row>
    <row r="291" spans="1:12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  <c r="L291" s="20"/>
    </row>
    <row r="292" spans="1:12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  <c r="L292" s="20"/>
    </row>
    <row r="293" spans="1:12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  <c r="L293" s="20"/>
    </row>
    <row r="294" spans="1:12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  <c r="L294" s="20"/>
    </row>
    <row r="295" spans="1:12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  <c r="L295" s="20"/>
    </row>
    <row r="296" spans="1:12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  <c r="L296" s="20"/>
    </row>
    <row r="297" spans="1:12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  <c r="L297" s="20"/>
    </row>
    <row r="298" spans="1:12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  <c r="L298" s="20"/>
    </row>
    <row r="299" spans="1:12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  <c r="L299" s="20"/>
    </row>
    <row r="300" spans="1:12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  <c r="L300" s="20"/>
    </row>
    <row r="301" spans="1:12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  <c r="L301" s="20"/>
    </row>
    <row r="302" spans="1:12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  <c r="L302" s="20"/>
    </row>
    <row r="303" spans="1:12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  <c r="L303" s="20"/>
    </row>
    <row r="304" spans="1:12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  <c r="L304" s="20"/>
    </row>
    <row r="305" spans="1:12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  <c r="L305" s="20"/>
    </row>
    <row r="306" spans="1:12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  <c r="L306" s="20"/>
    </row>
    <row r="307" spans="1:12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  <c r="L307" s="20"/>
    </row>
    <row r="308" spans="1:12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  <c r="L308" s="20"/>
    </row>
    <row r="309" spans="1:12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  <c r="L309" s="20"/>
    </row>
    <row r="310" spans="1:12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  <c r="L310" s="20"/>
    </row>
    <row r="311" spans="1:12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  <c r="L311" s="20"/>
    </row>
    <row r="312" spans="1:12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  <c r="L312" s="20"/>
    </row>
    <row r="313" spans="1:12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  <c r="L313" s="20"/>
    </row>
    <row r="314" spans="1:12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  <c r="L314" s="20"/>
    </row>
    <row r="315" spans="1:12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  <c r="L315" s="20"/>
    </row>
    <row r="316" spans="1:12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  <c r="L316" s="20"/>
    </row>
    <row r="317" spans="1:12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  <c r="L317" s="20"/>
    </row>
    <row r="318" spans="1:12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  <c r="L318" s="20"/>
    </row>
    <row r="319" spans="1:12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  <c r="L319" s="20"/>
    </row>
    <row r="320" spans="1:12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  <c r="L320" s="20"/>
    </row>
    <row r="321" spans="3:12" ht="14.45">
      <c r="C321" s="20"/>
      <c r="D321" s="20"/>
      <c r="E321" s="20"/>
      <c r="F321" s="21"/>
      <c r="G321" s="20"/>
      <c r="H321" s="20"/>
      <c r="I321" s="21"/>
      <c r="J321" s="20"/>
      <c r="K321" s="20"/>
      <c r="L321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79 I4:I79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hyperlinks>
    <hyperlink ref="K4" r:id="rId1" display="https://us3.assetplanner.com/service_request?ID=097964" xr:uid="{606C68DF-E038-4791-9CD1-8D351999641A}"/>
    <hyperlink ref="M4" r:id="rId2" display="https://us3.assetplanner.com/service_request?ID=106854" xr:uid="{22015091-349E-4FA3-9DE8-16023C2C4596}"/>
    <hyperlink ref="N4" r:id="rId3" display="https://us3.assetplanner.com/service_request?ID=105456" xr:uid="{40DF71ED-0C4F-48F8-97C5-555481D0CE1F}"/>
    <hyperlink ref="O4" r:id="rId4" display="https://us3.assetplanner.com/service_request?ID=109924" xr:uid="{ABBF3350-D183-47E9-ADE2-B7CC95833933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21"/>
  <sheetViews>
    <sheetView zoomScale="80" zoomScaleNormal="80" workbookViewId="0">
      <pane xSplit="2" ySplit="3" topLeftCell="C4" activePane="bottomRight" state="frozen"/>
      <selection pane="bottomRight" activeCell="J15" sqref="J15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28515625" customWidth="1"/>
  </cols>
  <sheetData>
    <row r="1" spans="1:12" ht="19.5" customHeight="1">
      <c r="A1" s="63" t="str" cm="1">
        <f t="array" ref="A1">portfolio</f>
        <v>Greenbaker Capital</v>
      </c>
      <c r="B1" s="63"/>
      <c r="C1" s="63"/>
      <c r="D1" s="64" t="s">
        <v>54</v>
      </c>
      <c r="E1" s="64"/>
      <c r="F1" s="64"/>
      <c r="G1" s="62" t="s">
        <v>55</v>
      </c>
      <c r="H1" s="62"/>
      <c r="I1" s="62"/>
      <c r="J1" s="4"/>
      <c r="K1" s="4"/>
    </row>
    <row r="2" spans="1:12" ht="19.5" customHeight="1">
      <c r="A2" s="65" t="s">
        <v>2</v>
      </c>
      <c r="B2" s="65"/>
      <c r="C2" s="5">
        <f>SUM(C4:C79)</f>
        <v>138521</v>
      </c>
      <c r="D2" s="5">
        <f>SUM(D4:D79)</f>
        <v>228160.8241</v>
      </c>
      <c r="E2" s="5">
        <f>C2-D2</f>
        <v>-89639.824099999998</v>
      </c>
      <c r="F2" s="6">
        <f>IFERROR(E2/D2, 0)</f>
        <v>-0.39287999792949557</v>
      </c>
      <c r="G2" s="5">
        <f>SUM(G4:G79)</f>
        <v>286639.35999999999</v>
      </c>
      <c r="H2" s="7">
        <f>C2-G2</f>
        <v>-148118.35999999999</v>
      </c>
      <c r="I2" s="6">
        <f>IFERROR(H2/G2, 0)</f>
        <v>-0.51674117608970382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  <c r="L3" s="24" t="s">
        <v>49</v>
      </c>
    </row>
    <row r="4" spans="1:12" ht="57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>
        <v>138521</v>
      </c>
      <c r="D4" s="12">
        <v>228160.8241</v>
      </c>
      <c r="E4" s="12">
        <f>IF(AND(ISNUMBER(C4),ISNUMBER(D4)), C4-D4, "")</f>
        <v>-89639.824099999998</v>
      </c>
      <c r="F4" s="13">
        <f>IFERROR(E4/D4, "")</f>
        <v>-0.39287999792949557</v>
      </c>
      <c r="G4" s="14">
        <v>286639.35999999999</v>
      </c>
      <c r="H4" s="14">
        <f>IF(AND(ISNUMBER(C4),ISNUMBER(G4)), C4-G4, "")</f>
        <v>-148118.35999999999</v>
      </c>
      <c r="I4" s="15">
        <f>IFERROR(H4/G4, "")</f>
        <v>-0.51674117608970382</v>
      </c>
      <c r="J4" s="36" t="s">
        <v>56</v>
      </c>
      <c r="K4" s="52" t="s">
        <v>57</v>
      </c>
      <c r="L4" s="36" t="s">
        <v>58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109924" xr:uid="{5CAA77B6-F0D2-462C-AC45-6497D7B51738}"/>
  </hyperlinks>
  <pageMargins left="0.4" right="0.7" top="0.25" bottom="0.25" header="0.3" footer="0.3"/>
  <pageSetup fitToHeight="99" orientation="landscape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F13" sqref="F13"/>
      <selection pane="bottomLeft" activeCell="F13" sqref="F13"/>
      <selection pane="topRight" activeCell="F13" sqref="F13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3" t="str" cm="1">
        <f t="array" ref="A1">portfolio</f>
        <v>Greenbaker Capital</v>
      </c>
      <c r="B1" s="63"/>
      <c r="C1" s="63"/>
      <c r="D1" s="64" t="s">
        <v>59</v>
      </c>
      <c r="E1" s="64"/>
      <c r="F1" s="64"/>
      <c r="G1" s="62" t="s">
        <v>60</v>
      </c>
      <c r="H1" s="62"/>
      <c r="I1" s="62"/>
      <c r="J1" s="4"/>
      <c r="K1" s="4"/>
    </row>
    <row r="2" spans="1:11" ht="19.5" customHeight="1">
      <c r="A2" s="65" t="s">
        <v>2</v>
      </c>
      <c r="B2" s="65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NJ: Camden - Cambell Soup (Roof Parkade)</v>
      </c>
      <c r="B4" s="27" t="str" cm="1">
        <f t="array" ref="B4">Sites[State]</f>
        <v>NJ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5" sqref="C1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61</v>
      </c>
      <c r="B1" t="s">
        <v>62</v>
      </c>
    </row>
    <row r="3" spans="1:12" ht="13.15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12" ht="14.45">
      <c r="A4" s="44" t="s">
        <v>66</v>
      </c>
      <c r="B4" t="s">
        <v>67</v>
      </c>
      <c r="C4" s="42" t="s">
        <v>68</v>
      </c>
      <c r="D4" s="41" t="s">
        <v>69</v>
      </c>
      <c r="E4" t="s">
        <v>70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7946C510-7D04-49D8-9B25-EEC04582A1CA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E2592A17-3DDF-4CC9-AE3B-25FB112FEDC5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Dheeraj Cheripelly [AGS]</cp:lastModifiedBy>
  <cp:revision/>
  <dcterms:created xsi:type="dcterms:W3CDTF">2021-01-01T16:39:53Z</dcterms:created>
  <dcterms:modified xsi:type="dcterms:W3CDTF">2026-01-06T10:38:30Z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2024-08-26T12:31:49Z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68bd6363-48df-474e-93cb-d504771664c3</vt:lpwstr>
  </property>
  <property fmtid="{D5CDD505-2E9C-101B-9397-08002B2CF9AE}" pid="9" name="MSIP_Label_9d817c99-0b37-4a07-8277-96aa1f96b74b_ContentBits">
    <vt:lpwstr>0</vt:lpwstr>
  </property>
</Properties>
</file>