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9"/>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34" documentId="13_ncr:1_{3A60647E-504F-4881-B445-BDC5E3C3A7B7}" xr6:coauthVersionLast="47" xr6:coauthVersionMax="47" xr10:uidLastSave="{99A3861D-99A5-4E8A-B95C-29D0DF33C880}"/>
  <bookViews>
    <workbookView xWindow="-108" yWindow="-108" windowWidth="23256" windowHeight="13896" tabRatio="866" firstSheet="15" activeTab="15"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Mar!$G$1:$G$286</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8" l="1"/>
  <c r="H2" i="31"/>
  <c r="D2" i="31"/>
  <c r="E2" i="31"/>
  <c r="H2" i="32"/>
  <c r="E2" i="32"/>
  <c r="D2" i="32"/>
  <c r="J171" i="32"/>
  <c r="J172" i="32"/>
  <c r="I171" i="32"/>
  <c r="I172" i="32"/>
  <c r="C172" i="32"/>
  <c r="C167" i="29"/>
  <c r="C168" i="29"/>
  <c r="C169" i="29"/>
  <c r="C170" i="29"/>
  <c r="C171" i="29"/>
  <c r="J167" i="18"/>
  <c r="J168" i="18"/>
  <c r="J169" i="18"/>
  <c r="J170" i="18"/>
  <c r="J171" i="18"/>
  <c r="I167" i="18"/>
  <c r="I168" i="18"/>
  <c r="I169" i="18"/>
  <c r="I170" i="18"/>
  <c r="I171" i="18"/>
  <c r="H167" i="18"/>
  <c r="H168" i="18"/>
  <c r="H169" i="18"/>
  <c r="H170" i="18"/>
  <c r="H171" i="18"/>
  <c r="G167" i="18"/>
  <c r="F167" i="18"/>
  <c r="F168" i="18"/>
  <c r="G168" i="18" s="1"/>
  <c r="F169" i="18"/>
  <c r="G169" i="18" s="1"/>
  <c r="F170" i="18"/>
  <c r="G170" i="18" s="1"/>
  <c r="F171" i="18"/>
  <c r="G171" i="18" s="1"/>
  <c r="E167" i="18"/>
  <c r="E168" i="18"/>
  <c r="E169" i="18"/>
  <c r="E170" i="18"/>
  <c r="E171" i="18"/>
  <c r="D167" i="18"/>
  <c r="D168" i="18"/>
  <c r="D169" i="18"/>
  <c r="D170" i="18"/>
  <c r="D171" i="18"/>
  <c r="C167" i="18"/>
  <c r="C168" i="18"/>
  <c r="C169" i="18"/>
  <c r="C170" i="18"/>
  <c r="C171" i="18"/>
  <c r="J165" i="1"/>
  <c r="J166" i="1"/>
  <c r="J167" i="1"/>
  <c r="J168" i="1"/>
  <c r="J169" i="1"/>
  <c r="J170" i="1"/>
  <c r="J171" i="1"/>
  <c r="I165" i="1"/>
  <c r="I166" i="1"/>
  <c r="I167" i="1"/>
  <c r="I168" i="1"/>
  <c r="I169" i="1"/>
  <c r="I170" i="1"/>
  <c r="I171" i="1"/>
  <c r="H165" i="1"/>
  <c r="H166" i="1"/>
  <c r="H167" i="1"/>
  <c r="H168" i="1"/>
  <c r="H169" i="1"/>
  <c r="H170" i="1"/>
  <c r="H171" i="1"/>
  <c r="G165" i="1"/>
  <c r="G166" i="1"/>
  <c r="G167" i="1"/>
  <c r="G168" i="1"/>
  <c r="G169" i="1"/>
  <c r="G170" i="1"/>
  <c r="G171" i="1"/>
  <c r="F165" i="1"/>
  <c r="F166" i="1"/>
  <c r="F167" i="1"/>
  <c r="F168" i="1"/>
  <c r="F169" i="1"/>
  <c r="F170" i="1"/>
  <c r="F171" i="1"/>
  <c r="E165" i="1"/>
  <c r="E166" i="1"/>
  <c r="E167" i="1"/>
  <c r="E168" i="1"/>
  <c r="E169" i="1"/>
  <c r="E170" i="1"/>
  <c r="E171" i="1"/>
  <c r="C167" i="1"/>
  <c r="C168" i="1"/>
  <c r="C169" i="1"/>
  <c r="C170" i="1"/>
  <c r="C171" i="1"/>
  <c r="D165" i="1"/>
  <c r="D166" i="1"/>
  <c r="D167" i="1"/>
  <c r="D168" i="1"/>
  <c r="D169" i="1"/>
  <c r="D170" i="1"/>
  <c r="D171" i="1"/>
  <c r="J166" i="29" l="1"/>
  <c r="J167" i="29"/>
  <c r="J168" i="29"/>
  <c r="J169" i="29"/>
  <c r="J170" i="29"/>
  <c r="J171" i="29"/>
  <c r="I167" i="29"/>
  <c r="I168" i="29"/>
  <c r="I169" i="29"/>
  <c r="I170" i="29"/>
  <c r="I171" i="29"/>
  <c r="H167" i="29"/>
  <c r="H168" i="29"/>
  <c r="H169" i="29"/>
  <c r="H170" i="29"/>
  <c r="H171" i="29"/>
  <c r="G167" i="29"/>
  <c r="G168" i="29"/>
  <c r="G169" i="29"/>
  <c r="G170" i="29"/>
  <c r="G171" i="29"/>
  <c r="F167" i="29"/>
  <c r="F168" i="29"/>
  <c r="F169" i="29"/>
  <c r="F170" i="29"/>
  <c r="F171" i="29"/>
  <c r="E167" i="29"/>
  <c r="E168" i="29"/>
  <c r="E169" i="29"/>
  <c r="E170" i="29"/>
  <c r="E171" i="29"/>
  <c r="D167" i="29"/>
  <c r="D168" i="29"/>
  <c r="D169" i="29"/>
  <c r="D170" i="29"/>
  <c r="D171" i="29"/>
  <c r="H2" i="18"/>
  <c r="E2" i="18"/>
  <c r="D2" i="18"/>
  <c r="H2" i="1"/>
  <c r="E2" i="1"/>
  <c r="D2" i="1"/>
  <c r="E159" i="1"/>
  <c r="D155" i="1"/>
  <c r="I160" i="32" l="1"/>
  <c r="J160" i="32" s="1"/>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43" i="32"/>
  <c r="C44" i="32"/>
  <c r="C45" i="32"/>
  <c r="C46" i="32"/>
  <c r="C47" i="32"/>
  <c r="C48" i="32"/>
  <c r="C49" i="32"/>
  <c r="C50" i="32"/>
  <c r="C51" i="32"/>
  <c r="C52" i="32"/>
  <c r="C53" i="32"/>
  <c r="C54" i="32"/>
  <c r="C55" i="32"/>
  <c r="C56" i="32"/>
  <c r="C57" i="32"/>
  <c r="C58" i="32"/>
  <c r="C59" i="32"/>
  <c r="C60" i="32"/>
  <c r="C61" i="32"/>
  <c r="C62" i="32"/>
  <c r="C63" i="32"/>
  <c r="C64" i="32"/>
  <c r="C65" i="32"/>
  <c r="C66" i="32"/>
  <c r="C67" i="32"/>
  <c r="C68" i="32"/>
  <c r="C69" i="32"/>
  <c r="C70" i="32"/>
  <c r="C71" i="32"/>
  <c r="C72" i="32"/>
  <c r="C73" i="32"/>
  <c r="C74" i="32"/>
  <c r="C75" i="32"/>
  <c r="C76" i="32"/>
  <c r="C77" i="32"/>
  <c r="C78" i="32"/>
  <c r="C79" i="32"/>
  <c r="C80" i="32"/>
  <c r="C81" i="32"/>
  <c r="C82" i="32"/>
  <c r="C83" i="32"/>
  <c r="C84" i="32"/>
  <c r="C85" i="32"/>
  <c r="C86" i="32"/>
  <c r="C87" i="32"/>
  <c r="C88" i="32"/>
  <c r="C89" i="32"/>
  <c r="C90" i="32"/>
  <c r="C91" i="32"/>
  <c r="C92" i="32"/>
  <c r="C93" i="32"/>
  <c r="C94" i="32"/>
  <c r="C95" i="32"/>
  <c r="C96" i="32"/>
  <c r="C97" i="32"/>
  <c r="C98" i="32"/>
  <c r="C99" i="32"/>
  <c r="C100" i="32"/>
  <c r="C101" i="32"/>
  <c r="C102" i="32"/>
  <c r="C103" i="32"/>
  <c r="C104" i="32"/>
  <c r="C105" i="32"/>
  <c r="C106" i="32"/>
  <c r="C107" i="32"/>
  <c r="C108" i="32"/>
  <c r="C109" i="32"/>
  <c r="C110" i="32"/>
  <c r="C111" i="32"/>
  <c r="C112" i="32"/>
  <c r="C113" i="32"/>
  <c r="C114" i="32"/>
  <c r="C115" i="32"/>
  <c r="C116" i="32"/>
  <c r="C117" i="32"/>
  <c r="C118" i="32"/>
  <c r="C119" i="32"/>
  <c r="C120" i="32"/>
  <c r="C121" i="32"/>
  <c r="C122" i="32"/>
  <c r="C123" i="32"/>
  <c r="C124" i="32"/>
  <c r="C125" i="32"/>
  <c r="C126" i="32"/>
  <c r="C127" i="32"/>
  <c r="C128" i="32"/>
  <c r="C129" i="32"/>
  <c r="C130" i="32"/>
  <c r="C131" i="32"/>
  <c r="C132" i="32"/>
  <c r="C133" i="32"/>
  <c r="C134" i="32"/>
  <c r="C135" i="32"/>
  <c r="C136" i="32"/>
  <c r="C137" i="32"/>
  <c r="C138" i="32"/>
  <c r="C139" i="32"/>
  <c r="C140" i="32"/>
  <c r="C141" i="32"/>
  <c r="C142" i="32"/>
  <c r="C143" i="32"/>
  <c r="C144" i="32"/>
  <c r="C145" i="32"/>
  <c r="C146" i="32"/>
  <c r="C147" i="32"/>
  <c r="C148" i="32"/>
  <c r="C149" i="32"/>
  <c r="C150" i="32"/>
  <c r="C151" i="32"/>
  <c r="C152" i="32"/>
  <c r="C153" i="32"/>
  <c r="C154" i="32"/>
  <c r="C155" i="32"/>
  <c r="C156" i="32"/>
  <c r="C157" i="32"/>
  <c r="C158" i="32"/>
  <c r="C159" i="32"/>
  <c r="C160" i="32"/>
  <c r="C161" i="32"/>
  <c r="C162" i="32"/>
  <c r="C163" i="32"/>
  <c r="C164" i="32"/>
  <c r="C165" i="32"/>
  <c r="C166" i="32"/>
  <c r="C167" i="32"/>
  <c r="C168" i="32"/>
  <c r="C169" i="32"/>
  <c r="C170" i="32"/>
  <c r="C171" i="32"/>
  <c r="F159" i="32"/>
  <c r="G159" i="32" s="1"/>
  <c r="I159" i="32"/>
  <c r="J159" i="32" s="1"/>
  <c r="F160" i="32"/>
  <c r="G160" i="32" s="1"/>
  <c r="F161" i="32"/>
  <c r="G161" i="32" s="1"/>
  <c r="I161" i="32"/>
  <c r="J161" i="32" s="1"/>
  <c r="F162" i="32"/>
  <c r="G162" i="32" s="1"/>
  <c r="I162" i="32"/>
  <c r="J162" i="32" s="1"/>
  <c r="F163" i="32"/>
  <c r="G163" i="32" s="1"/>
  <c r="I163" i="32"/>
  <c r="J163" i="32" s="1"/>
  <c r="F164" i="32"/>
  <c r="G164" i="32" s="1"/>
  <c r="I164" i="32"/>
  <c r="J164" i="32" s="1"/>
  <c r="F165" i="32"/>
  <c r="G165" i="32" s="1"/>
  <c r="I165" i="32"/>
  <c r="J165" i="32" s="1"/>
  <c r="F166" i="32"/>
  <c r="G166" i="32" s="1"/>
  <c r="I166" i="32"/>
  <c r="I166" i="30" s="1"/>
  <c r="F167" i="32"/>
  <c r="G167" i="32" s="1"/>
  <c r="I167" i="32"/>
  <c r="J167" i="32"/>
  <c r="F168" i="32"/>
  <c r="G168" i="32" s="1"/>
  <c r="I168" i="32"/>
  <c r="J168" i="32" s="1"/>
  <c r="F169" i="32"/>
  <c r="G169" i="32"/>
  <c r="I169" i="32"/>
  <c r="I169" i="30" s="1"/>
  <c r="J169" i="32"/>
  <c r="F170" i="32"/>
  <c r="G170" i="32" s="1"/>
  <c r="I170" i="32"/>
  <c r="J170" i="32" s="1"/>
  <c r="F171" i="32"/>
  <c r="G171" i="32" s="1"/>
  <c r="C167" i="34"/>
  <c r="C168" i="34"/>
  <c r="C169" i="34"/>
  <c r="C170" i="34"/>
  <c r="C171" i="34"/>
  <c r="C159" i="30"/>
  <c r="C160" i="30"/>
  <c r="C161" i="30"/>
  <c r="C162" i="30"/>
  <c r="C163" i="30"/>
  <c r="C164" i="30"/>
  <c r="C165" i="30"/>
  <c r="C166" i="30"/>
  <c r="C167" i="30"/>
  <c r="C168" i="30"/>
  <c r="C169" i="30"/>
  <c r="C170" i="30"/>
  <c r="C171" i="30"/>
  <c r="I160" i="30"/>
  <c r="I164" i="30"/>
  <c r="I164" i="34" s="1"/>
  <c r="I167" i="30"/>
  <c r="I167" i="34" s="1"/>
  <c r="I171" i="30"/>
  <c r="H6" i="30"/>
  <c r="H7" i="30"/>
  <c r="H8" i="30"/>
  <c r="H9" i="30"/>
  <c r="H10" i="30"/>
  <c r="H11" i="30"/>
  <c r="H12" i="30"/>
  <c r="H13" i="30"/>
  <c r="H14" i="30"/>
  <c r="H15" i="30"/>
  <c r="H16" i="30"/>
  <c r="H17" i="30"/>
  <c r="H18" i="30"/>
  <c r="H19" i="30"/>
  <c r="H20" i="30"/>
  <c r="H21" i="30"/>
  <c r="H22" i="30"/>
  <c r="H23" i="30"/>
  <c r="H24" i="30"/>
  <c r="H25" i="30"/>
  <c r="H26" i="30"/>
  <c r="H27" i="30"/>
  <c r="H28" i="30"/>
  <c r="H29" i="30"/>
  <c r="H30" i="30"/>
  <c r="H31" i="30"/>
  <c r="H32" i="30"/>
  <c r="H33" i="30"/>
  <c r="H34" i="30"/>
  <c r="H35" i="30"/>
  <c r="H36" i="30"/>
  <c r="H37" i="30"/>
  <c r="H38" i="30"/>
  <c r="H39" i="30"/>
  <c r="H40" i="30"/>
  <c r="H41" i="30"/>
  <c r="H42" i="30"/>
  <c r="H43" i="30"/>
  <c r="H44" i="30"/>
  <c r="H45" i="30"/>
  <c r="H46" i="30"/>
  <c r="H47" i="30"/>
  <c r="H48" i="30"/>
  <c r="H49" i="30"/>
  <c r="H50" i="30"/>
  <c r="H51" i="30"/>
  <c r="H52" i="30"/>
  <c r="H53" i="30"/>
  <c r="H54" i="30"/>
  <c r="H55" i="30"/>
  <c r="H56" i="30"/>
  <c r="H57" i="30"/>
  <c r="H58" i="30"/>
  <c r="H59" i="30"/>
  <c r="H60" i="30"/>
  <c r="H61" i="30"/>
  <c r="H62" i="30"/>
  <c r="H63" i="30"/>
  <c r="H64" i="30"/>
  <c r="H65" i="30"/>
  <c r="H66" i="30"/>
  <c r="H67" i="30"/>
  <c r="H68" i="30"/>
  <c r="H69" i="30"/>
  <c r="H70" i="30"/>
  <c r="H71" i="30"/>
  <c r="H72" i="30"/>
  <c r="H73" i="30"/>
  <c r="H74" i="30"/>
  <c r="H75" i="30"/>
  <c r="H76" i="30"/>
  <c r="H77" i="30"/>
  <c r="H78" i="30"/>
  <c r="H79" i="30"/>
  <c r="H80" i="30"/>
  <c r="H81" i="30"/>
  <c r="H82" i="30"/>
  <c r="H83" i="30"/>
  <c r="H84" i="30"/>
  <c r="H85" i="30"/>
  <c r="H86" i="30"/>
  <c r="H87" i="30"/>
  <c r="H88" i="30"/>
  <c r="H89" i="30"/>
  <c r="H90" i="30"/>
  <c r="H91" i="30"/>
  <c r="H92" i="30"/>
  <c r="H93" i="30"/>
  <c r="H94" i="30"/>
  <c r="H95" i="30"/>
  <c r="H96" i="30"/>
  <c r="H97" i="30"/>
  <c r="H98" i="30"/>
  <c r="H99" i="30"/>
  <c r="H100" i="30"/>
  <c r="H101" i="30"/>
  <c r="H102" i="30"/>
  <c r="H103" i="30"/>
  <c r="H104" i="30"/>
  <c r="H105" i="30"/>
  <c r="H106" i="30"/>
  <c r="H107" i="30"/>
  <c r="H108" i="30"/>
  <c r="H109" i="30"/>
  <c r="H110" i="30"/>
  <c r="H111" i="30"/>
  <c r="H112" i="30"/>
  <c r="H113" i="30"/>
  <c r="H114" i="30"/>
  <c r="H115" i="30"/>
  <c r="H116" i="30"/>
  <c r="H117" i="30"/>
  <c r="H118" i="30"/>
  <c r="H119" i="30"/>
  <c r="H120" i="30"/>
  <c r="H121" i="30"/>
  <c r="H122" i="30"/>
  <c r="H123" i="30"/>
  <c r="H124" i="30"/>
  <c r="H125" i="30"/>
  <c r="H126" i="30"/>
  <c r="H127" i="30"/>
  <c r="H128" i="30"/>
  <c r="H129" i="30"/>
  <c r="H130" i="30"/>
  <c r="H131" i="30"/>
  <c r="H132" i="30"/>
  <c r="H133" i="30"/>
  <c r="H134" i="30"/>
  <c r="H135" i="30"/>
  <c r="H136" i="30"/>
  <c r="H137" i="30"/>
  <c r="H138" i="30"/>
  <c r="H139" i="30"/>
  <c r="H140" i="30"/>
  <c r="H141" i="30"/>
  <c r="H142" i="30"/>
  <c r="H143" i="30"/>
  <c r="H144" i="30"/>
  <c r="H145" i="30"/>
  <c r="H146" i="30"/>
  <c r="H147" i="30"/>
  <c r="H148" i="30"/>
  <c r="H149" i="30"/>
  <c r="H150" i="30"/>
  <c r="H151" i="30"/>
  <c r="H152" i="30"/>
  <c r="H153" i="30"/>
  <c r="H154" i="30"/>
  <c r="H155" i="30"/>
  <c r="H156" i="30"/>
  <c r="H157" i="30"/>
  <c r="H158" i="30"/>
  <c r="H159" i="30"/>
  <c r="H160" i="30"/>
  <c r="H161" i="30"/>
  <c r="H162" i="30"/>
  <c r="H163" i="30"/>
  <c r="H164" i="30"/>
  <c r="H165" i="30"/>
  <c r="H165" i="34" s="1"/>
  <c r="H166" i="30"/>
  <c r="H166" i="34" s="1"/>
  <c r="H167" i="30"/>
  <c r="H167" i="34" s="1"/>
  <c r="H168" i="30"/>
  <c r="H168" i="34" s="1"/>
  <c r="H169" i="30"/>
  <c r="H169" i="34" s="1"/>
  <c r="H170" i="30"/>
  <c r="H170" i="34" s="1"/>
  <c r="H171" i="30"/>
  <c r="H171" i="34" s="1"/>
  <c r="H5" i="30"/>
  <c r="H4" i="30"/>
  <c r="E6" i="30"/>
  <c r="E7" i="30"/>
  <c r="E8" i="30"/>
  <c r="E9" i="30"/>
  <c r="E10" i="30"/>
  <c r="E11" i="30"/>
  <c r="E12" i="30"/>
  <c r="E13" i="30"/>
  <c r="E14" i="30"/>
  <c r="E15" i="30"/>
  <c r="E16" i="30"/>
  <c r="E17" i="30"/>
  <c r="E18" i="30"/>
  <c r="E19" i="30"/>
  <c r="E20" i="30"/>
  <c r="E21" i="30"/>
  <c r="E22" i="30"/>
  <c r="E23" i="30"/>
  <c r="E24" i="30"/>
  <c r="E25" i="30"/>
  <c r="E26" i="30"/>
  <c r="E27" i="30"/>
  <c r="E28" i="30"/>
  <c r="E29" i="30"/>
  <c r="E30" i="30"/>
  <c r="E31" i="30"/>
  <c r="E32" i="30"/>
  <c r="E33" i="30"/>
  <c r="E34" i="30"/>
  <c r="E35" i="30"/>
  <c r="E36" i="30"/>
  <c r="E37" i="30"/>
  <c r="E38" i="30"/>
  <c r="E39" i="30"/>
  <c r="E40" i="30"/>
  <c r="E41" i="30"/>
  <c r="E42" i="30"/>
  <c r="E43" i="30"/>
  <c r="E44" i="30"/>
  <c r="E45" i="30"/>
  <c r="E46" i="30"/>
  <c r="E47" i="30"/>
  <c r="E48" i="30"/>
  <c r="E49" i="30"/>
  <c r="E50" i="30"/>
  <c r="E51" i="30"/>
  <c r="E52" i="30"/>
  <c r="E53" i="30"/>
  <c r="E54" i="30"/>
  <c r="E55" i="30"/>
  <c r="E56" i="30"/>
  <c r="E57" i="30"/>
  <c r="E58" i="30"/>
  <c r="E59" i="30"/>
  <c r="E60" i="30"/>
  <c r="E61" i="30"/>
  <c r="E62" i="30"/>
  <c r="E63" i="30"/>
  <c r="E64" i="30"/>
  <c r="E65" i="30"/>
  <c r="E66" i="30"/>
  <c r="E67" i="30"/>
  <c r="E68" i="30"/>
  <c r="E69" i="30"/>
  <c r="E70" i="30"/>
  <c r="E71" i="30"/>
  <c r="E72" i="30"/>
  <c r="E73" i="30"/>
  <c r="E74" i="30"/>
  <c r="E75" i="30"/>
  <c r="E76" i="30"/>
  <c r="E77" i="30"/>
  <c r="E78" i="30"/>
  <c r="E79" i="30"/>
  <c r="E80" i="30"/>
  <c r="E81" i="30"/>
  <c r="E82" i="30"/>
  <c r="E83" i="30"/>
  <c r="E84" i="30"/>
  <c r="E85" i="30"/>
  <c r="E86" i="30"/>
  <c r="E87" i="30"/>
  <c r="E88" i="30"/>
  <c r="E89" i="30"/>
  <c r="E90" i="30"/>
  <c r="E91" i="30"/>
  <c r="E92" i="30"/>
  <c r="E93" i="30"/>
  <c r="E94" i="30"/>
  <c r="E95" i="30"/>
  <c r="E96" i="30"/>
  <c r="E97" i="30"/>
  <c r="E98" i="30"/>
  <c r="E99" i="30"/>
  <c r="E100" i="30"/>
  <c r="E101" i="30"/>
  <c r="E102" i="30"/>
  <c r="E103" i="30"/>
  <c r="E104" i="30"/>
  <c r="E105" i="30"/>
  <c r="E106" i="30"/>
  <c r="E107" i="30"/>
  <c r="E108" i="30"/>
  <c r="E109" i="30"/>
  <c r="E110" i="30"/>
  <c r="E111" i="30"/>
  <c r="E112" i="30"/>
  <c r="E113" i="30"/>
  <c r="E114" i="30"/>
  <c r="E115" i="30"/>
  <c r="E116" i="30"/>
  <c r="E117" i="30"/>
  <c r="E118" i="30"/>
  <c r="E119" i="30"/>
  <c r="E120" i="30"/>
  <c r="E121" i="30"/>
  <c r="E122" i="30"/>
  <c r="E123" i="30"/>
  <c r="E124" i="30"/>
  <c r="E125" i="30"/>
  <c r="E126" i="30"/>
  <c r="E127" i="30"/>
  <c r="E128" i="30"/>
  <c r="E129" i="30"/>
  <c r="E130" i="30"/>
  <c r="E131" i="30"/>
  <c r="E132" i="30"/>
  <c r="E133" i="30"/>
  <c r="E134" i="30"/>
  <c r="E135" i="30"/>
  <c r="E136" i="30"/>
  <c r="E137" i="30"/>
  <c r="E138" i="30"/>
  <c r="E139" i="30"/>
  <c r="E140" i="30"/>
  <c r="E141" i="30"/>
  <c r="E142" i="30"/>
  <c r="E143" i="30"/>
  <c r="E144" i="30"/>
  <c r="E145" i="30"/>
  <c r="E146" i="30"/>
  <c r="E147" i="30"/>
  <c r="E148" i="30"/>
  <c r="E149" i="30"/>
  <c r="E150" i="30"/>
  <c r="E151" i="30"/>
  <c r="E152" i="30"/>
  <c r="E153" i="30"/>
  <c r="E154" i="30"/>
  <c r="E155" i="30"/>
  <c r="E156" i="30"/>
  <c r="E157" i="30"/>
  <c r="E158" i="30"/>
  <c r="E159" i="30"/>
  <c r="E160" i="30"/>
  <c r="E161" i="30"/>
  <c r="E162" i="30"/>
  <c r="E163" i="30"/>
  <c r="E164" i="30"/>
  <c r="E165" i="30"/>
  <c r="E166" i="30"/>
  <c r="E166" i="34" s="1"/>
  <c r="E167" i="30"/>
  <c r="E167" i="34" s="1"/>
  <c r="E168" i="30"/>
  <c r="E168" i="34" s="1"/>
  <c r="E169" i="30"/>
  <c r="E169" i="34" s="1"/>
  <c r="E170" i="30"/>
  <c r="E170" i="34" s="1"/>
  <c r="E171" i="30"/>
  <c r="E4" i="30"/>
  <c r="E5" i="30"/>
  <c r="D6" i="30"/>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38" i="30"/>
  <c r="D39"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D82" i="30"/>
  <c r="D83" i="30"/>
  <c r="D84" i="30"/>
  <c r="D85" i="30"/>
  <c r="D86" i="30"/>
  <c r="D87" i="30"/>
  <c r="D88" i="30"/>
  <c r="D89" i="30"/>
  <c r="D90" i="30"/>
  <c r="D91" i="30"/>
  <c r="D92" i="30"/>
  <c r="D93" i="30"/>
  <c r="D94" i="30"/>
  <c r="D95" i="30"/>
  <c r="D96" i="30"/>
  <c r="D97" i="30"/>
  <c r="D98" i="30"/>
  <c r="D99" i="30"/>
  <c r="D10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25" i="30"/>
  <c r="D126" i="30"/>
  <c r="D127" i="30"/>
  <c r="D128" i="30"/>
  <c r="D129" i="30"/>
  <c r="D130" i="30"/>
  <c r="D131" i="30"/>
  <c r="D132" i="30"/>
  <c r="D133" i="30"/>
  <c r="D134" i="30"/>
  <c r="D135" i="30"/>
  <c r="D136" i="30"/>
  <c r="D137" i="30"/>
  <c r="D138" i="30"/>
  <c r="D139" i="30"/>
  <c r="D140" i="30"/>
  <c r="D141" i="30"/>
  <c r="D142" i="30"/>
  <c r="D143" i="30"/>
  <c r="D144" i="30"/>
  <c r="D145" i="30"/>
  <c r="D146" i="30"/>
  <c r="D147" i="30"/>
  <c r="D148" i="30"/>
  <c r="D149" i="30"/>
  <c r="D150" i="30"/>
  <c r="D151" i="30"/>
  <c r="D152" i="30"/>
  <c r="D153" i="30"/>
  <c r="D154" i="30"/>
  <c r="D155" i="30"/>
  <c r="D155" i="34" s="1"/>
  <c r="D156" i="30"/>
  <c r="D157" i="30"/>
  <c r="D158" i="30"/>
  <c r="D159" i="30"/>
  <c r="D160" i="30"/>
  <c r="D161" i="30"/>
  <c r="D162" i="30"/>
  <c r="D163" i="30"/>
  <c r="D164" i="30"/>
  <c r="D165" i="30"/>
  <c r="D166" i="30"/>
  <c r="D167" i="30"/>
  <c r="D167" i="34" s="1"/>
  <c r="D168" i="30"/>
  <c r="D168" i="34" s="1"/>
  <c r="F168" i="34" s="1"/>
  <c r="G168" i="34" s="1"/>
  <c r="D169" i="30"/>
  <c r="D169" i="34" s="1"/>
  <c r="D170" i="30"/>
  <c r="D170" i="34" s="1"/>
  <c r="D171" i="30"/>
  <c r="D171" i="34" s="1"/>
  <c r="D5" i="30"/>
  <c r="D4" i="30"/>
  <c r="I155" i="31"/>
  <c r="J155" i="31" s="1"/>
  <c r="I156" i="31"/>
  <c r="J156" i="31" s="1"/>
  <c r="I157" i="31"/>
  <c r="J157" i="31" s="1"/>
  <c r="I158" i="31"/>
  <c r="J158" i="31" s="1"/>
  <c r="I159" i="31"/>
  <c r="J159" i="31" s="1"/>
  <c r="I160" i="31"/>
  <c r="J160" i="31" s="1"/>
  <c r="I161" i="31"/>
  <c r="J161" i="31" s="1"/>
  <c r="I162" i="31"/>
  <c r="J162" i="31" s="1"/>
  <c r="I163" i="31"/>
  <c r="J163" i="31" s="1"/>
  <c r="I164" i="31"/>
  <c r="J164" i="31" s="1"/>
  <c r="I165" i="31"/>
  <c r="J165" i="31" s="1"/>
  <c r="I166" i="31"/>
  <c r="J166" i="31" s="1"/>
  <c r="I167" i="31"/>
  <c r="J167" i="31" s="1"/>
  <c r="I168" i="31"/>
  <c r="J168" i="31" s="1"/>
  <c r="I169" i="31"/>
  <c r="J169" i="31" s="1"/>
  <c r="I170" i="31"/>
  <c r="J170" i="31" s="1"/>
  <c r="I171" i="31"/>
  <c r="J171" i="31" s="1"/>
  <c r="F159" i="31"/>
  <c r="G159" i="31" s="1"/>
  <c r="F160" i="31"/>
  <c r="G160" i="31" s="1"/>
  <c r="F161" i="31"/>
  <c r="G161" i="31" s="1"/>
  <c r="F162" i="31"/>
  <c r="G162" i="31" s="1"/>
  <c r="F163" i="31"/>
  <c r="G163" i="31" s="1"/>
  <c r="F164" i="31"/>
  <c r="G164" i="31" s="1"/>
  <c r="F165" i="31"/>
  <c r="G165" i="31" s="1"/>
  <c r="F166" i="31"/>
  <c r="G166" i="31" s="1"/>
  <c r="F167" i="31"/>
  <c r="G167" i="31" s="1"/>
  <c r="F168" i="31"/>
  <c r="G168" i="31" s="1"/>
  <c r="F169" i="31"/>
  <c r="G169" i="31" s="1"/>
  <c r="F170" i="31"/>
  <c r="G170" i="31" s="1"/>
  <c r="F171" i="31"/>
  <c r="G171" i="31" s="1"/>
  <c r="I127" i="31"/>
  <c r="C167" i="31"/>
  <c r="C168" i="31"/>
  <c r="C169" i="31"/>
  <c r="C170" i="31"/>
  <c r="C171" i="31"/>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C43" i="31"/>
  <c r="C44" i="31"/>
  <c r="C45" i="31"/>
  <c r="C46" i="31"/>
  <c r="C47" i="31"/>
  <c r="C48" i="31"/>
  <c r="C49" i="31"/>
  <c r="C50" i="31"/>
  <c r="C51" i="31"/>
  <c r="C52" i="31"/>
  <c r="C53" i="31"/>
  <c r="C54" i="31"/>
  <c r="C55" i="31"/>
  <c r="C56" i="31"/>
  <c r="C57" i="31"/>
  <c r="C58" i="31"/>
  <c r="C59" i="31"/>
  <c r="C60" i="31"/>
  <c r="C61" i="31"/>
  <c r="C62" i="31"/>
  <c r="C63" i="31"/>
  <c r="C64" i="31"/>
  <c r="C65" i="31"/>
  <c r="C66" i="31"/>
  <c r="C67" i="31"/>
  <c r="C68" i="31"/>
  <c r="C69" i="31"/>
  <c r="C70" i="31"/>
  <c r="C71" i="31"/>
  <c r="C72" i="31"/>
  <c r="C73" i="31"/>
  <c r="C74" i="31"/>
  <c r="C75" i="31"/>
  <c r="C76" i="31"/>
  <c r="C77" i="31"/>
  <c r="C78" i="31"/>
  <c r="C79" i="31"/>
  <c r="C80" i="31"/>
  <c r="C81" i="31"/>
  <c r="C82" i="31"/>
  <c r="C83" i="31"/>
  <c r="C84" i="31"/>
  <c r="C85" i="31"/>
  <c r="C86" i="31"/>
  <c r="C87" i="31"/>
  <c r="C88" i="31"/>
  <c r="C89" i="31"/>
  <c r="C90" i="31"/>
  <c r="C91" i="31"/>
  <c r="C92" i="31"/>
  <c r="C93" i="31"/>
  <c r="C94" i="31"/>
  <c r="C95" i="31"/>
  <c r="C96" i="31"/>
  <c r="C97" i="31"/>
  <c r="C98" i="31"/>
  <c r="C99" i="31"/>
  <c r="C100" i="31"/>
  <c r="C101" i="31"/>
  <c r="C102" i="31"/>
  <c r="C103" i="31"/>
  <c r="C104" i="31"/>
  <c r="C105" i="31"/>
  <c r="C106" i="31"/>
  <c r="C107" i="31"/>
  <c r="C108" i="31"/>
  <c r="C109" i="31"/>
  <c r="C110" i="31"/>
  <c r="C111" i="31"/>
  <c r="C112" i="31"/>
  <c r="C113" i="31"/>
  <c r="C114" i="31"/>
  <c r="C115" i="31"/>
  <c r="C116" i="31"/>
  <c r="C117" i="31"/>
  <c r="C118" i="31"/>
  <c r="C119" i="31"/>
  <c r="C120" i="31"/>
  <c r="C121" i="31"/>
  <c r="C122" i="31"/>
  <c r="C123" i="31"/>
  <c r="C124" i="31"/>
  <c r="C125" i="31"/>
  <c r="C126" i="31"/>
  <c r="C127" i="31"/>
  <c r="C128" i="31"/>
  <c r="C129" i="31"/>
  <c r="C130" i="31"/>
  <c r="C131" i="31"/>
  <c r="C132" i="31"/>
  <c r="C133" i="31"/>
  <c r="C134" i="31"/>
  <c r="C135" i="31"/>
  <c r="C136" i="31"/>
  <c r="C137" i="31"/>
  <c r="C138" i="31"/>
  <c r="C139" i="31"/>
  <c r="C140" i="31"/>
  <c r="C141" i="31"/>
  <c r="C142" i="31"/>
  <c r="C143" i="31"/>
  <c r="C144" i="31"/>
  <c r="C145" i="31"/>
  <c r="C146" i="31"/>
  <c r="C147" i="31"/>
  <c r="C148" i="31"/>
  <c r="C149" i="31"/>
  <c r="C150" i="31"/>
  <c r="C151" i="31"/>
  <c r="C152" i="31"/>
  <c r="C153" i="31"/>
  <c r="C154" i="31"/>
  <c r="C155" i="31"/>
  <c r="C156" i="31"/>
  <c r="C157" i="31"/>
  <c r="C158" i="31"/>
  <c r="C159" i="31"/>
  <c r="C160" i="31"/>
  <c r="C161" i="31"/>
  <c r="C162" i="31"/>
  <c r="C163" i="31"/>
  <c r="C164" i="31"/>
  <c r="C165" i="31"/>
  <c r="C166" i="31"/>
  <c r="C165" i="29"/>
  <c r="D165" i="29"/>
  <c r="F165" i="29" s="1"/>
  <c r="G165" i="29" s="1"/>
  <c r="E165" i="29"/>
  <c r="H165" i="29"/>
  <c r="I165" i="29"/>
  <c r="J165" i="29"/>
  <c r="C166" i="29"/>
  <c r="D166" i="29"/>
  <c r="F166" i="29" s="1"/>
  <c r="G166" i="29" s="1"/>
  <c r="E166" i="29"/>
  <c r="H166" i="29"/>
  <c r="I166" i="29"/>
  <c r="C159" i="18"/>
  <c r="D159" i="18"/>
  <c r="F159" i="18" s="1"/>
  <c r="G159" i="18" s="1"/>
  <c r="E159" i="18"/>
  <c r="H159" i="18"/>
  <c r="I159" i="18"/>
  <c r="J159" i="18"/>
  <c r="C160" i="18"/>
  <c r="D160" i="18"/>
  <c r="F160" i="18" s="1"/>
  <c r="G160" i="18" s="1"/>
  <c r="E160" i="18"/>
  <c r="H160" i="18"/>
  <c r="I160" i="18"/>
  <c r="J160" i="18"/>
  <c r="C161" i="18"/>
  <c r="D161" i="18"/>
  <c r="F161" i="18" s="1"/>
  <c r="G161" i="18" s="1"/>
  <c r="E161" i="18"/>
  <c r="H161" i="18"/>
  <c r="I161" i="18"/>
  <c r="J161" i="18"/>
  <c r="C162" i="18"/>
  <c r="D162" i="18"/>
  <c r="F162" i="18" s="1"/>
  <c r="G162" i="18" s="1"/>
  <c r="E162" i="18"/>
  <c r="H162" i="18"/>
  <c r="I162" i="18"/>
  <c r="J162" i="18"/>
  <c r="C163" i="18"/>
  <c r="D163" i="18"/>
  <c r="F163" i="18" s="1"/>
  <c r="G163" i="18" s="1"/>
  <c r="E163" i="18"/>
  <c r="H163" i="18"/>
  <c r="I163" i="18"/>
  <c r="J163" i="18"/>
  <c r="C164" i="18"/>
  <c r="D164" i="18"/>
  <c r="F164" i="18" s="1"/>
  <c r="G164" i="18" s="1"/>
  <c r="E164" i="18"/>
  <c r="H164" i="18"/>
  <c r="I164" i="18"/>
  <c r="J164" i="18"/>
  <c r="C165" i="18"/>
  <c r="D165" i="18"/>
  <c r="F165" i="18" s="1"/>
  <c r="G165" i="18" s="1"/>
  <c r="E165" i="18"/>
  <c r="E165" i="34" s="1"/>
  <c r="H165" i="18"/>
  <c r="I165" i="18"/>
  <c r="J165" i="18"/>
  <c r="C166" i="18"/>
  <c r="D166" i="18"/>
  <c r="F166" i="18" s="1"/>
  <c r="G166" i="18" s="1"/>
  <c r="E166" i="18"/>
  <c r="H166" i="18"/>
  <c r="I166" i="18"/>
  <c r="J166" i="18"/>
  <c r="C165" i="1"/>
  <c r="C166" i="1"/>
  <c r="C165" i="34"/>
  <c r="C166" i="34"/>
  <c r="F164" i="30" l="1"/>
  <c r="G164" i="30" s="1"/>
  <c r="F163" i="30"/>
  <c r="G163" i="30" s="1"/>
  <c r="F162" i="30"/>
  <c r="G162" i="30" s="1"/>
  <c r="F161" i="30"/>
  <c r="G161" i="30" s="1"/>
  <c r="E2" i="30"/>
  <c r="I161" i="30"/>
  <c r="J161" i="30" s="1"/>
  <c r="F159" i="30"/>
  <c r="G159" i="30" s="1"/>
  <c r="I162" i="30"/>
  <c r="F160" i="30"/>
  <c r="G160" i="30" s="1"/>
  <c r="D2" i="30"/>
  <c r="H2" i="30"/>
  <c r="F169" i="34"/>
  <c r="G169" i="34" s="1"/>
  <c r="F167" i="34"/>
  <c r="G167" i="34" s="1"/>
  <c r="J171" i="30"/>
  <c r="J169" i="30"/>
  <c r="J162" i="30"/>
  <c r="I166" i="34"/>
  <c r="J166" i="34" s="1"/>
  <c r="J166" i="30"/>
  <c r="J166" i="32"/>
  <c r="F165" i="30"/>
  <c r="G165" i="30" s="1"/>
  <c r="F171" i="30"/>
  <c r="G171" i="30" s="1"/>
  <c r="J164" i="30"/>
  <c r="I163" i="30"/>
  <c r="J163" i="30" s="1"/>
  <c r="J160" i="30"/>
  <c r="I171" i="34"/>
  <c r="J171" i="34" s="1"/>
  <c r="E171" i="34"/>
  <c r="F171" i="34" s="1"/>
  <c r="G171" i="34" s="1"/>
  <c r="F166" i="30"/>
  <c r="G166" i="30" s="1"/>
  <c r="I159" i="30"/>
  <c r="J159" i="30" s="1"/>
  <c r="I168" i="30"/>
  <c r="I168" i="34" s="1"/>
  <c r="J168" i="34" s="1"/>
  <c r="I170" i="30"/>
  <c r="J170" i="30" s="1"/>
  <c r="F170" i="34"/>
  <c r="G170" i="34" s="1"/>
  <c r="J167" i="34"/>
  <c r="I165" i="30"/>
  <c r="F170" i="30"/>
  <c r="G170" i="30" s="1"/>
  <c r="I169" i="34"/>
  <c r="J169" i="34" s="1"/>
  <c r="F169" i="30"/>
  <c r="G169" i="30" s="1"/>
  <c r="F168" i="30"/>
  <c r="G168" i="30" s="1"/>
  <c r="F167" i="30"/>
  <c r="G167" i="30" s="1"/>
  <c r="J167" i="30"/>
  <c r="D165" i="34"/>
  <c r="F165" i="34" s="1"/>
  <c r="G165" i="34" s="1"/>
  <c r="D166" i="34"/>
  <c r="F166" i="34" s="1"/>
  <c r="G166" i="34" s="1"/>
  <c r="G165" i="28"/>
  <c r="J168" i="30" l="1"/>
  <c r="I170" i="34"/>
  <c r="J170" i="34" s="1"/>
  <c r="J165" i="30"/>
  <c r="I165" i="34"/>
  <c r="J165" i="34" s="1"/>
  <c r="J164" i="28"/>
  <c r="J165" i="28"/>
  <c r="I166" i="28"/>
  <c r="J166" i="28" s="1"/>
  <c r="F163" i="28"/>
  <c r="F164" i="28"/>
  <c r="F165" i="28"/>
  <c r="F166" i="28"/>
  <c r="G166" i="28" s="1"/>
  <c r="C165" i="28"/>
  <c r="C166" i="28"/>
  <c r="I133" i="28"/>
  <c r="F132" i="28"/>
  <c r="F133" i="28"/>
  <c r="F90" i="28"/>
  <c r="J14" i="28"/>
  <c r="F136" i="28"/>
  <c r="F137" i="28"/>
  <c r="F138" i="28"/>
  <c r="F139" i="28"/>
  <c r="G50" i="28" l="1"/>
  <c r="C116" i="28"/>
  <c r="C117" i="28"/>
  <c r="C118" i="28"/>
  <c r="C119" i="28"/>
  <c r="C120" i="28"/>
  <c r="C121" i="28"/>
  <c r="C122" i="28"/>
  <c r="C123" i="28"/>
  <c r="C124" i="28"/>
  <c r="C125" i="28"/>
  <c r="C126" i="28"/>
  <c r="C127" i="28"/>
  <c r="C128" i="28"/>
  <c r="C129" i="28"/>
  <c r="C130" i="28"/>
  <c r="C131" i="28"/>
  <c r="C132" i="28"/>
  <c r="C133" i="28"/>
  <c r="C134" i="28"/>
  <c r="C135" i="28"/>
  <c r="C136" i="28"/>
  <c r="C137" i="28"/>
  <c r="C138" i="28"/>
  <c r="C139" i="28"/>
  <c r="C140" i="28"/>
  <c r="C141" i="28"/>
  <c r="C142" i="28"/>
  <c r="C143" i="28"/>
  <c r="C144" i="28"/>
  <c r="C145" i="28"/>
  <c r="C146" i="28"/>
  <c r="C147" i="28"/>
  <c r="C148" i="28"/>
  <c r="C149" i="28"/>
  <c r="C150" i="28"/>
  <c r="C151" i="28"/>
  <c r="C152" i="28"/>
  <c r="C153" i="28"/>
  <c r="C154" i="28"/>
  <c r="C155" i="28"/>
  <c r="C156" i="28"/>
  <c r="C157" i="28"/>
  <c r="C158" i="28"/>
  <c r="C159" i="28"/>
  <c r="C160" i="28"/>
  <c r="C161" i="28"/>
  <c r="C162" i="28"/>
  <c r="C163" i="28"/>
  <c r="C164" i="28"/>
  <c r="F159" i="28"/>
  <c r="F161" i="28"/>
  <c r="F162" i="28"/>
  <c r="G163" i="28"/>
  <c r="G164" i="28"/>
  <c r="F36" i="28"/>
  <c r="G34" i="28"/>
  <c r="G35" i="28"/>
  <c r="C22" i="28"/>
  <c r="G159" i="28"/>
  <c r="I159" i="28"/>
  <c r="J159" i="28"/>
  <c r="F160" i="28"/>
  <c r="G160" i="28"/>
  <c r="I160" i="28"/>
  <c r="J160" i="28"/>
  <c r="G161" i="28"/>
  <c r="I161" i="28"/>
  <c r="J161" i="28"/>
  <c r="G162" i="28"/>
  <c r="I162" i="28"/>
  <c r="J162" i="28"/>
  <c r="I163" i="28"/>
  <c r="J163" i="28" s="1"/>
  <c r="I164" i="28"/>
  <c r="I164" i="29"/>
  <c r="H164" i="29"/>
  <c r="I162" i="29"/>
  <c r="H159" i="29"/>
  <c r="H160" i="29"/>
  <c r="H161" i="29"/>
  <c r="H162" i="29"/>
  <c r="H163" i="29"/>
  <c r="E159" i="29"/>
  <c r="E160" i="29"/>
  <c r="E161" i="29"/>
  <c r="E162" i="29"/>
  <c r="E163" i="29"/>
  <c r="E164" i="29"/>
  <c r="D159" i="29"/>
  <c r="F159" i="29" s="1"/>
  <c r="G159" i="29" s="1"/>
  <c r="D160" i="29"/>
  <c r="F160" i="29" s="1"/>
  <c r="G160" i="29" s="1"/>
  <c r="D161" i="29"/>
  <c r="F161" i="29" s="1"/>
  <c r="G161" i="29" s="1"/>
  <c r="D162" i="29"/>
  <c r="F162" i="29" s="1"/>
  <c r="G162" i="29" s="1"/>
  <c r="D163" i="29"/>
  <c r="D164" i="29"/>
  <c r="C159" i="29"/>
  <c r="C160" i="29"/>
  <c r="C161" i="29"/>
  <c r="C162" i="29"/>
  <c r="C163" i="29"/>
  <c r="C164" i="29"/>
  <c r="J155" i="26"/>
  <c r="J156" i="26"/>
  <c r="J157" i="26"/>
  <c r="J158" i="26"/>
  <c r="J162" i="26"/>
  <c r="J163" i="26"/>
  <c r="J164" i="26"/>
  <c r="I156" i="26"/>
  <c r="I157" i="26"/>
  <c r="I158" i="26"/>
  <c r="I159" i="26"/>
  <c r="I159" i="29" s="1"/>
  <c r="J159" i="29" s="1"/>
  <c r="I160" i="26"/>
  <c r="I160" i="29" s="1"/>
  <c r="J160" i="29" s="1"/>
  <c r="I161" i="26"/>
  <c r="I161" i="29" s="1"/>
  <c r="J161" i="29" s="1"/>
  <c r="I162" i="26"/>
  <c r="I163" i="26"/>
  <c r="I164" i="26"/>
  <c r="G159" i="26"/>
  <c r="G160" i="26"/>
  <c r="G162" i="26"/>
  <c r="G163" i="26"/>
  <c r="G164" i="26"/>
  <c r="F159" i="26"/>
  <c r="F160" i="26"/>
  <c r="F161" i="26"/>
  <c r="G161" i="26" s="1"/>
  <c r="F162" i="26"/>
  <c r="F163" i="26"/>
  <c r="F164" i="26"/>
  <c r="C159" i="26"/>
  <c r="C160" i="26"/>
  <c r="C161" i="26"/>
  <c r="C162" i="26"/>
  <c r="C163" i="26"/>
  <c r="C164" i="26"/>
  <c r="J158" i="19"/>
  <c r="J160" i="19"/>
  <c r="J161" i="19"/>
  <c r="J162" i="19"/>
  <c r="J163" i="19"/>
  <c r="J164" i="19"/>
  <c r="I158" i="19"/>
  <c r="I159" i="19"/>
  <c r="J159" i="19" s="1"/>
  <c r="I160" i="19"/>
  <c r="I161" i="19"/>
  <c r="I162" i="19"/>
  <c r="I163" i="19"/>
  <c r="I164" i="19"/>
  <c r="G158" i="19"/>
  <c r="G160" i="19"/>
  <c r="G161" i="19"/>
  <c r="G162" i="19"/>
  <c r="G163" i="19"/>
  <c r="G164" i="19"/>
  <c r="F158" i="19"/>
  <c r="F159" i="19"/>
  <c r="G159" i="19" s="1"/>
  <c r="F160" i="19"/>
  <c r="F161" i="19"/>
  <c r="F162" i="19"/>
  <c r="F163" i="19"/>
  <c r="F164" i="19"/>
  <c r="J152" i="20"/>
  <c r="J153" i="20"/>
  <c r="J154" i="20"/>
  <c r="J155" i="20"/>
  <c r="J156" i="20"/>
  <c r="J157" i="20"/>
  <c r="J158" i="20"/>
  <c r="J162" i="20"/>
  <c r="J163" i="20"/>
  <c r="J164" i="20"/>
  <c r="I152" i="20"/>
  <c r="I153" i="20"/>
  <c r="I154" i="20"/>
  <c r="I155" i="20"/>
  <c r="I156" i="20"/>
  <c r="I157" i="20"/>
  <c r="I158" i="20"/>
  <c r="I159" i="20"/>
  <c r="J159" i="20" s="1"/>
  <c r="I160" i="20"/>
  <c r="J160" i="20" s="1"/>
  <c r="I161" i="20"/>
  <c r="J161" i="20" s="1"/>
  <c r="I162" i="20"/>
  <c r="I163" i="20"/>
  <c r="I164" i="20"/>
  <c r="G144" i="20"/>
  <c r="G145" i="20"/>
  <c r="G146" i="20"/>
  <c r="G147" i="20"/>
  <c r="G148" i="20"/>
  <c r="G149" i="20"/>
  <c r="G150" i="20"/>
  <c r="G151" i="20"/>
  <c r="G152" i="20"/>
  <c r="G153" i="20"/>
  <c r="G154" i="20"/>
  <c r="G155" i="20"/>
  <c r="G156" i="20"/>
  <c r="G157" i="20"/>
  <c r="G158" i="20"/>
  <c r="G161" i="20"/>
  <c r="G162" i="20"/>
  <c r="G163" i="20"/>
  <c r="G164"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G159" i="20" s="1"/>
  <c r="F160" i="20"/>
  <c r="G160" i="20" s="1"/>
  <c r="F161" i="20"/>
  <c r="F162" i="20"/>
  <c r="F163" i="20"/>
  <c r="F164" i="20"/>
  <c r="C159" i="20"/>
  <c r="C160" i="20"/>
  <c r="C161" i="20"/>
  <c r="C162" i="20"/>
  <c r="C163" i="20"/>
  <c r="C164" i="20"/>
  <c r="J158" i="21"/>
  <c r="J159" i="21"/>
  <c r="J162" i="21"/>
  <c r="J163" i="21"/>
  <c r="J164" i="21"/>
  <c r="I158" i="21"/>
  <c r="I159" i="21"/>
  <c r="I160" i="21"/>
  <c r="J160" i="21" s="1"/>
  <c r="I161" i="21"/>
  <c r="J161" i="21" s="1"/>
  <c r="I162" i="21"/>
  <c r="I163" i="21"/>
  <c r="I164" i="21"/>
  <c r="G158" i="21"/>
  <c r="G161" i="21"/>
  <c r="G162" i="21"/>
  <c r="G163" i="21"/>
  <c r="G164" i="21"/>
  <c r="F158" i="21"/>
  <c r="F159" i="21"/>
  <c r="G159" i="21" s="1"/>
  <c r="F160" i="21"/>
  <c r="G160" i="21" s="1"/>
  <c r="F161" i="21"/>
  <c r="F162" i="21"/>
  <c r="F163" i="21"/>
  <c r="F164" i="21"/>
  <c r="C159" i="21"/>
  <c r="C160" i="21"/>
  <c r="C161" i="21"/>
  <c r="C162" i="21"/>
  <c r="C163" i="21"/>
  <c r="C164" i="21"/>
  <c r="J152" i="4"/>
  <c r="J153" i="4"/>
  <c r="J154" i="4"/>
  <c r="J155" i="4"/>
  <c r="J156" i="4"/>
  <c r="J157" i="4"/>
  <c r="J158" i="4"/>
  <c r="J159" i="4"/>
  <c r="J160" i="4"/>
  <c r="J161" i="4"/>
  <c r="J162" i="4"/>
  <c r="J163" i="4"/>
  <c r="J164" i="4"/>
  <c r="I158" i="4"/>
  <c r="I159" i="4"/>
  <c r="I160" i="4"/>
  <c r="I161" i="4"/>
  <c r="I162" i="4"/>
  <c r="I163" i="4"/>
  <c r="I164" i="4"/>
  <c r="G155" i="4"/>
  <c r="G156" i="4"/>
  <c r="G157" i="4"/>
  <c r="G158" i="4"/>
  <c r="G159" i="4"/>
  <c r="G160" i="4"/>
  <c r="G162" i="4"/>
  <c r="G163" i="4"/>
  <c r="G164" i="4"/>
  <c r="F159" i="4"/>
  <c r="F160" i="4"/>
  <c r="F161" i="4"/>
  <c r="G161" i="4" s="1"/>
  <c r="F162" i="4"/>
  <c r="F163" i="4"/>
  <c r="F164" i="4"/>
  <c r="C159" i="4"/>
  <c r="C160" i="4"/>
  <c r="C161" i="4"/>
  <c r="C162" i="4"/>
  <c r="C163" i="4"/>
  <c r="C164" i="4"/>
  <c r="J152" i="3"/>
  <c r="J153" i="3"/>
  <c r="J154" i="3"/>
  <c r="J155" i="3"/>
  <c r="J156" i="3"/>
  <c r="J157" i="3"/>
  <c r="J158" i="3"/>
  <c r="J159" i="3"/>
  <c r="J160" i="3"/>
  <c r="J161" i="3"/>
  <c r="J162" i="3"/>
  <c r="J163" i="3"/>
  <c r="J164" i="3"/>
  <c r="I154" i="3"/>
  <c r="I155" i="3"/>
  <c r="I156" i="3"/>
  <c r="I157" i="3"/>
  <c r="I158" i="3"/>
  <c r="I159" i="3"/>
  <c r="I160" i="3"/>
  <c r="I161" i="3"/>
  <c r="I162" i="3"/>
  <c r="I163" i="3"/>
  <c r="I164" i="3"/>
  <c r="G152" i="3"/>
  <c r="G153" i="3"/>
  <c r="G154" i="3"/>
  <c r="G155" i="3"/>
  <c r="G156" i="3"/>
  <c r="G157" i="3"/>
  <c r="G158" i="3"/>
  <c r="G159" i="3"/>
  <c r="G160" i="3"/>
  <c r="G161" i="3"/>
  <c r="G162" i="3"/>
  <c r="G163" i="3"/>
  <c r="G164" i="3"/>
  <c r="F154" i="3"/>
  <c r="F155" i="3"/>
  <c r="F156" i="3"/>
  <c r="F157" i="3"/>
  <c r="F158" i="3"/>
  <c r="F159" i="3"/>
  <c r="F160" i="3"/>
  <c r="F161" i="3"/>
  <c r="F162" i="3"/>
  <c r="F163" i="3"/>
  <c r="F164" i="3"/>
  <c r="C159" i="3"/>
  <c r="C160" i="3"/>
  <c r="C161" i="3"/>
  <c r="C162" i="3"/>
  <c r="C163" i="3"/>
  <c r="C164" i="3"/>
  <c r="J153" i="72"/>
  <c r="J154" i="72"/>
  <c r="J155" i="72"/>
  <c r="J156" i="72"/>
  <c r="J157" i="72"/>
  <c r="J158" i="72"/>
  <c r="J159" i="72"/>
  <c r="J160" i="72"/>
  <c r="J161" i="72"/>
  <c r="J162" i="72"/>
  <c r="J163" i="72"/>
  <c r="J164" i="72"/>
  <c r="I154" i="72"/>
  <c r="I155" i="72"/>
  <c r="I156" i="72"/>
  <c r="I157" i="72"/>
  <c r="I158" i="72"/>
  <c r="I159" i="72"/>
  <c r="I160" i="72"/>
  <c r="I161" i="72"/>
  <c r="I162" i="72"/>
  <c r="I163" i="72"/>
  <c r="I164" i="72"/>
  <c r="G153" i="72"/>
  <c r="G154" i="72"/>
  <c r="G155" i="72"/>
  <c r="G156" i="72"/>
  <c r="G157" i="72"/>
  <c r="G158" i="72"/>
  <c r="G159" i="72"/>
  <c r="G160" i="72"/>
  <c r="G161" i="72"/>
  <c r="G162" i="72"/>
  <c r="G163" i="72"/>
  <c r="G164" i="72"/>
  <c r="F154" i="72"/>
  <c r="F155" i="72"/>
  <c r="F156" i="72"/>
  <c r="F157" i="72"/>
  <c r="F158" i="72"/>
  <c r="F159" i="72"/>
  <c r="F160" i="72"/>
  <c r="F161" i="72"/>
  <c r="F162" i="72"/>
  <c r="F163" i="72"/>
  <c r="F164" i="72"/>
  <c r="C159" i="72"/>
  <c r="C160" i="72"/>
  <c r="C161" i="72"/>
  <c r="C162" i="72"/>
  <c r="C163" i="72"/>
  <c r="C164" i="72"/>
  <c r="C159" i="19"/>
  <c r="C160" i="19"/>
  <c r="C161" i="19"/>
  <c r="C162" i="19"/>
  <c r="C163" i="19"/>
  <c r="C164" i="19"/>
  <c r="F164" i="29" l="1"/>
  <c r="G164" i="29" s="1"/>
  <c r="I163" i="29"/>
  <c r="F163" i="29"/>
  <c r="G163" i="29" s="1"/>
  <c r="J163" i="29"/>
  <c r="J162" i="29"/>
  <c r="J164" i="29"/>
  <c r="J161" i="26"/>
  <c r="J160" i="26"/>
  <c r="J159" i="26"/>
  <c r="F58" i="26" l="1"/>
  <c r="F59" i="26"/>
  <c r="F60" i="26"/>
  <c r="F61" i="26"/>
  <c r="F62" i="26"/>
  <c r="F63" i="26"/>
  <c r="F64" i="26"/>
  <c r="F65" i="26"/>
  <c r="G65" i="26" s="1"/>
  <c r="F66" i="26"/>
  <c r="F67" i="26"/>
  <c r="F68" i="26"/>
  <c r="F69" i="26"/>
  <c r="F70" i="26"/>
  <c r="F71" i="26"/>
  <c r="F72" i="26"/>
  <c r="F73" i="26"/>
  <c r="F74" i="26"/>
  <c r="G74" i="26" s="1"/>
  <c r="F75" i="26"/>
  <c r="F76" i="26"/>
  <c r="F77" i="26"/>
  <c r="F78" i="26"/>
  <c r="F79" i="26"/>
  <c r="F80" i="26"/>
  <c r="F81" i="26"/>
  <c r="F82" i="26"/>
  <c r="G82" i="26" s="1"/>
  <c r="F83" i="26"/>
  <c r="F84" i="26"/>
  <c r="F85" i="26"/>
  <c r="F86" i="26"/>
  <c r="F87" i="26"/>
  <c r="F88" i="26"/>
  <c r="F89" i="26"/>
  <c r="F90" i="26"/>
  <c r="G90" i="26" s="1"/>
  <c r="F91" i="26"/>
  <c r="F92" i="26"/>
  <c r="F93" i="26"/>
  <c r="F94" i="26"/>
  <c r="F95" i="26"/>
  <c r="F96" i="26"/>
  <c r="F97" i="26"/>
  <c r="F98" i="26"/>
  <c r="G98" i="26" s="1"/>
  <c r="F99" i="26"/>
  <c r="F100" i="26"/>
  <c r="F101" i="26"/>
  <c r="F102" i="26"/>
  <c r="F103" i="26"/>
  <c r="F105" i="26"/>
  <c r="F106" i="26"/>
  <c r="F107" i="26"/>
  <c r="G107" i="26" s="1"/>
  <c r="F108" i="26"/>
  <c r="F109" i="26"/>
  <c r="F110" i="26"/>
  <c r="F111" i="26"/>
  <c r="F112" i="26"/>
  <c r="F113" i="26"/>
  <c r="F114" i="26"/>
  <c r="F115" i="26"/>
  <c r="G115" i="26" s="1"/>
  <c r="F116" i="26"/>
  <c r="F117" i="26"/>
  <c r="F118" i="26"/>
  <c r="F119" i="26"/>
  <c r="F120" i="26"/>
  <c r="F121" i="26"/>
  <c r="F122" i="26"/>
  <c r="F123" i="26"/>
  <c r="G123" i="26" s="1"/>
  <c r="F124" i="26"/>
  <c r="F125" i="26"/>
  <c r="F126" i="26"/>
  <c r="F127" i="26"/>
  <c r="F128" i="26"/>
  <c r="F129" i="26"/>
  <c r="F130" i="26"/>
  <c r="F131" i="26"/>
  <c r="F132" i="26"/>
  <c r="F133" i="26"/>
  <c r="F134" i="26"/>
  <c r="F135" i="26"/>
  <c r="F136" i="26"/>
  <c r="F137" i="26"/>
  <c r="F138" i="26"/>
  <c r="F139" i="26"/>
  <c r="G139" i="26" s="1"/>
  <c r="F140" i="26"/>
  <c r="F141" i="26"/>
  <c r="F142" i="26"/>
  <c r="F143" i="26"/>
  <c r="F144" i="26"/>
  <c r="F145" i="26"/>
  <c r="F146" i="26"/>
  <c r="F147" i="26"/>
  <c r="G147" i="26" s="1"/>
  <c r="F148" i="26"/>
  <c r="F149" i="26"/>
  <c r="F150" i="26"/>
  <c r="F151" i="26"/>
  <c r="F152" i="26"/>
  <c r="F153" i="26"/>
  <c r="F154" i="26"/>
  <c r="F155" i="26"/>
  <c r="G155" i="26" s="1"/>
  <c r="F156" i="26"/>
  <c r="F157" i="26"/>
  <c r="F158" i="26"/>
  <c r="G63" i="26"/>
  <c r="G64" i="26"/>
  <c r="G71" i="26"/>
  <c r="G72" i="26"/>
  <c r="G73" i="26"/>
  <c r="G79" i="26"/>
  <c r="G80" i="26"/>
  <c r="G81" i="26"/>
  <c r="G87" i="26"/>
  <c r="G88" i="26"/>
  <c r="G89" i="26"/>
  <c r="G95" i="26"/>
  <c r="G96" i="26"/>
  <c r="G97" i="26"/>
  <c r="G103" i="26"/>
  <c r="G105" i="26"/>
  <c r="G113" i="26"/>
  <c r="G121" i="26"/>
  <c r="G128" i="26"/>
  <c r="G129" i="26"/>
  <c r="G136" i="26"/>
  <c r="G137" i="26"/>
  <c r="J159" i="27"/>
  <c r="J162" i="27"/>
  <c r="J163" i="27"/>
  <c r="J164" i="27"/>
  <c r="I159" i="27"/>
  <c r="I160" i="27"/>
  <c r="J160" i="27" s="1"/>
  <c r="I161" i="27"/>
  <c r="J161" i="27" s="1"/>
  <c r="I162" i="27"/>
  <c r="I163" i="27"/>
  <c r="I164" i="27"/>
  <c r="F53" i="27"/>
  <c r="I158" i="1"/>
  <c r="J158" i="1" s="1"/>
  <c r="I159" i="1"/>
  <c r="I159" i="34" s="1"/>
  <c r="I160" i="1"/>
  <c r="I160" i="34" s="1"/>
  <c r="I161" i="1"/>
  <c r="I161" i="34" s="1"/>
  <c r="I162" i="1"/>
  <c r="I163" i="1"/>
  <c r="I163" i="34" s="1"/>
  <c r="I164" i="1"/>
  <c r="J164" i="1" s="1"/>
  <c r="H158" i="1"/>
  <c r="H159" i="1"/>
  <c r="H159" i="34" s="1"/>
  <c r="H160" i="1"/>
  <c r="H160" i="34" s="1"/>
  <c r="H161" i="1"/>
  <c r="H162" i="1"/>
  <c r="H162" i="34" s="1"/>
  <c r="H163" i="1"/>
  <c r="H163" i="34" s="1"/>
  <c r="H164" i="1"/>
  <c r="E158" i="1"/>
  <c r="F158" i="1" s="1"/>
  <c r="G158" i="1" s="1"/>
  <c r="E160" i="1"/>
  <c r="E160" i="34" s="1"/>
  <c r="E161" i="1"/>
  <c r="E162" i="1"/>
  <c r="E163" i="1"/>
  <c r="E164" i="1"/>
  <c r="D158" i="1"/>
  <c r="D159" i="1"/>
  <c r="D159" i="34" s="1"/>
  <c r="D160" i="1"/>
  <c r="D160" i="34" s="1"/>
  <c r="D161" i="1"/>
  <c r="D161" i="34" s="1"/>
  <c r="D162" i="1"/>
  <c r="D162" i="34" s="1"/>
  <c r="D163" i="1"/>
  <c r="D163" i="34" s="1"/>
  <c r="D164" i="1"/>
  <c r="D164" i="34" s="1"/>
  <c r="C158" i="1"/>
  <c r="C159" i="1"/>
  <c r="C160" i="1"/>
  <c r="C161" i="1"/>
  <c r="C162" i="1"/>
  <c r="C163" i="1"/>
  <c r="C164" i="1"/>
  <c r="H164" i="34"/>
  <c r="E162" i="34"/>
  <c r="C158" i="34"/>
  <c r="C159" i="34"/>
  <c r="C160" i="34"/>
  <c r="C161" i="34"/>
  <c r="C162" i="34"/>
  <c r="C163" i="34"/>
  <c r="C164" i="34"/>
  <c r="F6" i="27"/>
  <c r="G6" i="27" s="1"/>
  <c r="F7" i="27"/>
  <c r="F8" i="27"/>
  <c r="F9" i="27"/>
  <c r="F10" i="27"/>
  <c r="F11" i="27"/>
  <c r="F12" i="27"/>
  <c r="G12" i="27" s="1"/>
  <c r="F13" i="27"/>
  <c r="F14" i="27"/>
  <c r="G14" i="27" s="1"/>
  <c r="F15" i="27"/>
  <c r="F16" i="27"/>
  <c r="F17" i="27"/>
  <c r="F18" i="27"/>
  <c r="F19" i="27"/>
  <c r="F20" i="27"/>
  <c r="F21" i="27"/>
  <c r="F22" i="27"/>
  <c r="F23" i="27"/>
  <c r="F24" i="27"/>
  <c r="F25" i="27"/>
  <c r="F26" i="27"/>
  <c r="F27" i="27"/>
  <c r="F28" i="27"/>
  <c r="F29" i="27"/>
  <c r="F30" i="27"/>
  <c r="F31" i="27"/>
  <c r="F32" i="27"/>
  <c r="F33" i="27"/>
  <c r="F34" i="27"/>
  <c r="F35" i="27"/>
  <c r="F36" i="27"/>
  <c r="F37" i="27"/>
  <c r="F38" i="27"/>
  <c r="F39" i="27"/>
  <c r="F40" i="27"/>
  <c r="F41" i="27"/>
  <c r="F42" i="27"/>
  <c r="F43" i="27"/>
  <c r="F44" i="27"/>
  <c r="F45" i="27"/>
  <c r="F46" i="27"/>
  <c r="F47" i="27"/>
  <c r="F48" i="27"/>
  <c r="F49" i="27"/>
  <c r="F50" i="27"/>
  <c r="F51" i="27"/>
  <c r="F52" i="27"/>
  <c r="F54" i="27"/>
  <c r="F55" i="27"/>
  <c r="F56" i="27"/>
  <c r="F57" i="27"/>
  <c r="F58" i="27"/>
  <c r="G58" i="27" s="1"/>
  <c r="F59" i="27"/>
  <c r="G59" i="27" s="1"/>
  <c r="F60" i="27"/>
  <c r="G60" i="27" s="1"/>
  <c r="F61" i="27"/>
  <c r="G61" i="27" s="1"/>
  <c r="F62" i="27"/>
  <c r="G62" i="27" s="1"/>
  <c r="F63" i="27"/>
  <c r="F64" i="27"/>
  <c r="F65" i="27"/>
  <c r="G65" i="27" s="1"/>
  <c r="F66" i="27"/>
  <c r="F67" i="27"/>
  <c r="G67" i="27" s="1"/>
  <c r="F68" i="27"/>
  <c r="F69" i="27"/>
  <c r="G69" i="27" s="1"/>
  <c r="F70" i="27"/>
  <c r="G70" i="27" s="1"/>
  <c r="F71" i="27"/>
  <c r="G71" i="27" s="1"/>
  <c r="F72" i="27"/>
  <c r="G72" i="27" s="1"/>
  <c r="F73" i="27"/>
  <c r="G73" i="27" s="1"/>
  <c r="F74" i="27"/>
  <c r="F75" i="27"/>
  <c r="G75" i="27" s="1"/>
  <c r="F76" i="27"/>
  <c r="F77" i="27"/>
  <c r="G77" i="27" s="1"/>
  <c r="F78" i="27"/>
  <c r="G78" i="27" s="1"/>
  <c r="F79" i="27"/>
  <c r="F80" i="27"/>
  <c r="G80" i="27" s="1"/>
  <c r="F81" i="27"/>
  <c r="G81" i="27" s="1"/>
  <c r="F82" i="27"/>
  <c r="G82" i="27" s="1"/>
  <c r="F83" i="27"/>
  <c r="G83" i="27" s="1"/>
  <c r="F84" i="27"/>
  <c r="G84" i="27" s="1"/>
  <c r="F85" i="27"/>
  <c r="G85" i="27" s="1"/>
  <c r="F86" i="27"/>
  <c r="G86" i="27" s="1"/>
  <c r="F87" i="27"/>
  <c r="G87" i="27" s="1"/>
  <c r="F88" i="27"/>
  <c r="G88" i="27" s="1"/>
  <c r="F89" i="27"/>
  <c r="G89" i="27" s="1"/>
  <c r="F90" i="27"/>
  <c r="G90" i="27" s="1"/>
  <c r="F91" i="27"/>
  <c r="G91" i="27" s="1"/>
  <c r="F92" i="27"/>
  <c r="G92" i="27" s="1"/>
  <c r="F93" i="27"/>
  <c r="G93" i="27" s="1"/>
  <c r="F94" i="27"/>
  <c r="F95" i="27"/>
  <c r="F96" i="27"/>
  <c r="G96" i="27" s="1"/>
  <c r="F97" i="27"/>
  <c r="G97" i="27" s="1"/>
  <c r="F98" i="27"/>
  <c r="G98" i="27" s="1"/>
  <c r="F99" i="27"/>
  <c r="G99" i="27" s="1"/>
  <c r="F100" i="27"/>
  <c r="F101" i="27"/>
  <c r="F102" i="27"/>
  <c r="G102" i="27" s="1"/>
  <c r="F103" i="27"/>
  <c r="G103" i="27" s="1"/>
  <c r="F104" i="27"/>
  <c r="G105" i="27"/>
  <c r="F106" i="27"/>
  <c r="G106" i="27" s="1"/>
  <c r="F107" i="27"/>
  <c r="G107" i="27" s="1"/>
  <c r="F108" i="27"/>
  <c r="G108" i="27" s="1"/>
  <c r="F109" i="27"/>
  <c r="G109" i="27" s="1"/>
  <c r="F110" i="27"/>
  <c r="G110" i="27" s="1"/>
  <c r="F111" i="27"/>
  <c r="G111" i="27" s="1"/>
  <c r="F112" i="27"/>
  <c r="F113" i="27"/>
  <c r="F114" i="27"/>
  <c r="G114" i="27" s="1"/>
  <c r="F115" i="27"/>
  <c r="G115" i="27" s="1"/>
  <c r="F116" i="27"/>
  <c r="G116" i="27" s="1"/>
  <c r="F117" i="27"/>
  <c r="F118" i="27"/>
  <c r="G118" i="27" s="1"/>
  <c r="F119" i="27"/>
  <c r="F120" i="27"/>
  <c r="F121" i="27"/>
  <c r="F122" i="27"/>
  <c r="F123" i="27"/>
  <c r="F124" i="27"/>
  <c r="F125" i="27"/>
  <c r="F126" i="27"/>
  <c r="F127" i="27"/>
  <c r="F128" i="27"/>
  <c r="F129" i="27"/>
  <c r="F130" i="27"/>
  <c r="F131" i="27"/>
  <c r="F132" i="27"/>
  <c r="F133" i="27"/>
  <c r="F134" i="27"/>
  <c r="F135" i="27"/>
  <c r="F136" i="27"/>
  <c r="F137" i="27"/>
  <c r="F138" i="27"/>
  <c r="F139" i="27"/>
  <c r="F140" i="27"/>
  <c r="G140" i="27" s="1"/>
  <c r="F141" i="27"/>
  <c r="F142" i="27"/>
  <c r="F143" i="27"/>
  <c r="F144" i="27"/>
  <c r="F145" i="27"/>
  <c r="F146" i="27"/>
  <c r="F147" i="27"/>
  <c r="F148" i="27"/>
  <c r="F149" i="27"/>
  <c r="F150" i="27"/>
  <c r="G150" i="27" s="1"/>
  <c r="F151" i="27"/>
  <c r="F152" i="27"/>
  <c r="G152" i="27" s="1"/>
  <c r="F153" i="27"/>
  <c r="G153" i="27" s="1"/>
  <c r="F154" i="27"/>
  <c r="F155" i="27"/>
  <c r="G155" i="27" s="1"/>
  <c r="F156" i="27"/>
  <c r="G156" i="27" s="1"/>
  <c r="F157" i="27"/>
  <c r="G157" i="27" s="1"/>
  <c r="F158" i="27"/>
  <c r="G158" i="27" s="1"/>
  <c r="F159" i="27"/>
  <c r="F160" i="27"/>
  <c r="G160" i="27" s="1"/>
  <c r="F161" i="27"/>
  <c r="G161" i="27" s="1"/>
  <c r="F162" i="27"/>
  <c r="F163" i="27"/>
  <c r="G163" i="27" s="1"/>
  <c r="F164" i="27"/>
  <c r="G164" i="27" s="1"/>
  <c r="G7" i="27"/>
  <c r="G8" i="27"/>
  <c r="G9" i="27"/>
  <c r="G10" i="27"/>
  <c r="G11" i="27"/>
  <c r="G13" i="27"/>
  <c r="G15" i="27"/>
  <c r="G16" i="27"/>
  <c r="G17" i="27"/>
  <c r="G18" i="27"/>
  <c r="G19" i="27"/>
  <c r="G20" i="27"/>
  <c r="G21" i="27"/>
  <c r="G22" i="27"/>
  <c r="G23" i="27"/>
  <c r="G24" i="27"/>
  <c r="G25" i="27"/>
  <c r="G26" i="27"/>
  <c r="G27" i="27"/>
  <c r="G28" i="27"/>
  <c r="G29" i="27"/>
  <c r="G30" i="27"/>
  <c r="G31" i="27"/>
  <c r="G32" i="27"/>
  <c r="G33" i="27"/>
  <c r="G34" i="27"/>
  <c r="G35" i="27"/>
  <c r="G36" i="27"/>
  <c r="G37" i="27"/>
  <c r="G38" i="27"/>
  <c r="G39" i="27"/>
  <c r="G40" i="27"/>
  <c r="G41" i="27"/>
  <c r="G42" i="27"/>
  <c r="G43" i="27"/>
  <c r="G44" i="27"/>
  <c r="G45" i="27"/>
  <c r="G46" i="27"/>
  <c r="G47" i="27"/>
  <c r="G48" i="27"/>
  <c r="G49" i="27"/>
  <c r="G50" i="27"/>
  <c r="G51" i="27"/>
  <c r="G52" i="27"/>
  <c r="G53" i="27"/>
  <c r="G54" i="27"/>
  <c r="G55" i="27"/>
  <c r="G56" i="27"/>
  <c r="G57" i="27"/>
  <c r="G63" i="27"/>
  <c r="G64" i="27"/>
  <c r="G66" i="27"/>
  <c r="G68" i="27"/>
  <c r="G74" i="27"/>
  <c r="G76" i="27"/>
  <c r="G79" i="27"/>
  <c r="G94" i="27"/>
  <c r="G95" i="27"/>
  <c r="G100" i="27"/>
  <c r="G101" i="27"/>
  <c r="G104" i="27"/>
  <c r="G112" i="27"/>
  <c r="G113" i="27"/>
  <c r="G117" i="27"/>
  <c r="G119" i="27"/>
  <c r="G120" i="27"/>
  <c r="G121" i="27"/>
  <c r="G122" i="27"/>
  <c r="G123" i="27"/>
  <c r="G124" i="27"/>
  <c r="G125" i="27"/>
  <c r="G126" i="27"/>
  <c r="G127" i="27"/>
  <c r="G128" i="27"/>
  <c r="G129" i="27"/>
  <c r="G130" i="27"/>
  <c r="G131" i="27"/>
  <c r="G132" i="27"/>
  <c r="G133" i="27"/>
  <c r="G134" i="27"/>
  <c r="G135" i="27"/>
  <c r="G136" i="27"/>
  <c r="G137" i="27"/>
  <c r="G138" i="27"/>
  <c r="G139" i="27"/>
  <c r="G141" i="27"/>
  <c r="G142" i="27"/>
  <c r="G143" i="27"/>
  <c r="G144" i="27"/>
  <c r="G145" i="27"/>
  <c r="G146" i="27"/>
  <c r="G147" i="27"/>
  <c r="G148" i="27"/>
  <c r="G149" i="27"/>
  <c r="G151" i="27"/>
  <c r="G154" i="27"/>
  <c r="G159" i="27"/>
  <c r="G162" i="27"/>
  <c r="J4" i="26"/>
  <c r="I4" i="26"/>
  <c r="G4" i="27"/>
  <c r="J4" i="27"/>
  <c r="I4" i="27"/>
  <c r="F4" i="27"/>
  <c r="C159" i="27"/>
  <c r="C160" i="27"/>
  <c r="C161" i="27"/>
  <c r="C162" i="27"/>
  <c r="C163" i="27"/>
  <c r="C164" i="27"/>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C43" i="27"/>
  <c r="C44" i="27"/>
  <c r="C45" i="27"/>
  <c r="C46" i="27"/>
  <c r="C47" i="27"/>
  <c r="C48" i="27"/>
  <c r="C49" i="27"/>
  <c r="C50" i="27"/>
  <c r="C51" i="27"/>
  <c r="C52" i="27"/>
  <c r="C53" i="27"/>
  <c r="C54" i="27"/>
  <c r="C55" i="27"/>
  <c r="C56" i="27"/>
  <c r="C57" i="27"/>
  <c r="C58" i="27"/>
  <c r="C59" i="27"/>
  <c r="C60" i="27"/>
  <c r="C61" i="27"/>
  <c r="C62" i="27"/>
  <c r="C63" i="27"/>
  <c r="C64" i="27"/>
  <c r="C65" i="27"/>
  <c r="C66" i="27"/>
  <c r="C67" i="27"/>
  <c r="C68" i="27"/>
  <c r="C69" i="27"/>
  <c r="C70" i="27"/>
  <c r="C71" i="27"/>
  <c r="C72" i="27"/>
  <c r="C73" i="27"/>
  <c r="C74" i="27"/>
  <c r="C75" i="27"/>
  <c r="C76" i="27"/>
  <c r="C77" i="27"/>
  <c r="C78" i="27"/>
  <c r="C79" i="27"/>
  <c r="C80" i="27"/>
  <c r="C81" i="27"/>
  <c r="C82" i="27"/>
  <c r="C83" i="27"/>
  <c r="C84" i="27"/>
  <c r="C85" i="27"/>
  <c r="C86" i="27"/>
  <c r="C87" i="27"/>
  <c r="C88" i="27"/>
  <c r="C89" i="27"/>
  <c r="C90" i="27"/>
  <c r="C91" i="27"/>
  <c r="C92" i="27"/>
  <c r="C93" i="27"/>
  <c r="C94" i="27"/>
  <c r="C95" i="27"/>
  <c r="C96" i="27"/>
  <c r="C97" i="27"/>
  <c r="C98" i="27"/>
  <c r="C99" i="27"/>
  <c r="C100" i="27"/>
  <c r="C101" i="27"/>
  <c r="C102" i="27"/>
  <c r="C103" i="27"/>
  <c r="C104" i="27"/>
  <c r="C105" i="27"/>
  <c r="C106" i="27"/>
  <c r="C107" i="27"/>
  <c r="C108" i="27"/>
  <c r="C109" i="27"/>
  <c r="C110" i="27"/>
  <c r="C111" i="27"/>
  <c r="C112" i="27"/>
  <c r="C113" i="27"/>
  <c r="C114" i="27"/>
  <c r="C115" i="27"/>
  <c r="C116" i="27"/>
  <c r="C117" i="27"/>
  <c r="C118" i="27"/>
  <c r="C119" i="27"/>
  <c r="C120" i="27"/>
  <c r="C121" i="27"/>
  <c r="C122" i="27"/>
  <c r="C123" i="27"/>
  <c r="C124" i="27"/>
  <c r="C125" i="27"/>
  <c r="C126" i="27"/>
  <c r="C127" i="27"/>
  <c r="C128" i="27"/>
  <c r="C129" i="27"/>
  <c r="C130" i="27"/>
  <c r="C131" i="27"/>
  <c r="C132" i="27"/>
  <c r="C133" i="27"/>
  <c r="C134" i="27"/>
  <c r="C135" i="27"/>
  <c r="C136" i="27"/>
  <c r="C137" i="27"/>
  <c r="C138" i="27"/>
  <c r="C139" i="27"/>
  <c r="C140" i="27"/>
  <c r="C141" i="27"/>
  <c r="C142" i="27"/>
  <c r="C143" i="27"/>
  <c r="C144" i="27"/>
  <c r="C145" i="27"/>
  <c r="C146" i="27"/>
  <c r="C147" i="27"/>
  <c r="C148" i="27"/>
  <c r="C149" i="27"/>
  <c r="C150" i="27"/>
  <c r="C151" i="27"/>
  <c r="C152" i="27"/>
  <c r="C153" i="27"/>
  <c r="C154" i="27"/>
  <c r="C155" i="27"/>
  <c r="C156" i="27"/>
  <c r="C157" i="27"/>
  <c r="C158" i="27"/>
  <c r="I158" i="27"/>
  <c r="J158" i="27" s="1"/>
  <c r="C98" i="29"/>
  <c r="D98" i="29"/>
  <c r="E98" i="29"/>
  <c r="H98" i="29"/>
  <c r="C99" i="29"/>
  <c r="D99" i="29"/>
  <c r="E99" i="29"/>
  <c r="H99" i="29"/>
  <c r="C100" i="29"/>
  <c r="D100" i="29"/>
  <c r="E100" i="29"/>
  <c r="H100" i="29"/>
  <c r="C101" i="29"/>
  <c r="D101" i="29"/>
  <c r="E101" i="29"/>
  <c r="H101" i="29"/>
  <c r="C102" i="29"/>
  <c r="D102" i="29"/>
  <c r="E102" i="29"/>
  <c r="H102" i="29"/>
  <c r="C103" i="29"/>
  <c r="D103" i="29"/>
  <c r="E103" i="29"/>
  <c r="H103" i="29"/>
  <c r="C104" i="29"/>
  <c r="D104" i="29"/>
  <c r="E104" i="29"/>
  <c r="H104" i="29"/>
  <c r="C105" i="29"/>
  <c r="D105" i="29"/>
  <c r="E105" i="29"/>
  <c r="H105" i="29"/>
  <c r="C106" i="29"/>
  <c r="D106" i="29"/>
  <c r="E106" i="29"/>
  <c r="H106" i="29"/>
  <c r="C107" i="29"/>
  <c r="D107" i="29"/>
  <c r="E107" i="29"/>
  <c r="H107" i="29"/>
  <c r="C108" i="29"/>
  <c r="D108" i="29"/>
  <c r="E108" i="29"/>
  <c r="H108" i="29"/>
  <c r="C109" i="29"/>
  <c r="D109" i="29"/>
  <c r="E109" i="29"/>
  <c r="H109" i="29"/>
  <c r="C110" i="29"/>
  <c r="D110" i="29"/>
  <c r="E110" i="29"/>
  <c r="H110" i="29"/>
  <c r="C111" i="29"/>
  <c r="D111" i="29"/>
  <c r="E111" i="29"/>
  <c r="H111" i="29"/>
  <c r="C112" i="29"/>
  <c r="D112" i="29"/>
  <c r="E112" i="29"/>
  <c r="H112" i="29"/>
  <c r="C113" i="29"/>
  <c r="D113" i="29"/>
  <c r="E113" i="29"/>
  <c r="H113" i="29"/>
  <c r="C114" i="29"/>
  <c r="D114" i="29"/>
  <c r="E114" i="29"/>
  <c r="H114" i="29"/>
  <c r="C115" i="29"/>
  <c r="D115" i="29"/>
  <c r="E115" i="29"/>
  <c r="H115" i="29"/>
  <c r="C116" i="29"/>
  <c r="D116" i="29"/>
  <c r="E116" i="29"/>
  <c r="H116" i="29"/>
  <c r="C117" i="29"/>
  <c r="D117" i="29"/>
  <c r="E117" i="29"/>
  <c r="H117" i="29"/>
  <c r="C118" i="29"/>
  <c r="D118" i="29"/>
  <c r="E118" i="29"/>
  <c r="H118" i="29"/>
  <c r="C119" i="29"/>
  <c r="D119" i="29"/>
  <c r="E119" i="29"/>
  <c r="F119" i="29"/>
  <c r="G119" i="29" s="1"/>
  <c r="H119" i="29"/>
  <c r="C120" i="29"/>
  <c r="D120" i="29"/>
  <c r="E120" i="29"/>
  <c r="H120" i="29"/>
  <c r="C121" i="29"/>
  <c r="D121" i="29"/>
  <c r="E121" i="29"/>
  <c r="H121" i="29"/>
  <c r="C122" i="29"/>
  <c r="D122" i="29"/>
  <c r="E122" i="29"/>
  <c r="H122" i="29"/>
  <c r="C123" i="29"/>
  <c r="D123" i="29"/>
  <c r="E123" i="29"/>
  <c r="H123" i="29"/>
  <c r="C124" i="29"/>
  <c r="D124" i="29"/>
  <c r="E124" i="29"/>
  <c r="H124" i="29"/>
  <c r="C125" i="29"/>
  <c r="D125" i="29"/>
  <c r="E125" i="29"/>
  <c r="H125" i="29"/>
  <c r="C126" i="29"/>
  <c r="D126" i="29"/>
  <c r="E126" i="29"/>
  <c r="H126" i="29"/>
  <c r="C127" i="29"/>
  <c r="D127" i="29"/>
  <c r="E127" i="29"/>
  <c r="H127" i="29"/>
  <c r="C128" i="29"/>
  <c r="D128" i="29"/>
  <c r="E128" i="29"/>
  <c r="H128" i="29"/>
  <c r="C129" i="29"/>
  <c r="D129" i="29"/>
  <c r="E129" i="29"/>
  <c r="H129" i="29"/>
  <c r="C130" i="29"/>
  <c r="D130" i="29"/>
  <c r="E130" i="29"/>
  <c r="H130" i="29"/>
  <c r="C131" i="29"/>
  <c r="D131" i="29"/>
  <c r="E131" i="29"/>
  <c r="H131" i="29"/>
  <c r="C132" i="29"/>
  <c r="D132" i="29"/>
  <c r="E132" i="29"/>
  <c r="H132" i="29"/>
  <c r="C133" i="29"/>
  <c r="D133" i="29"/>
  <c r="E133" i="29"/>
  <c r="H133" i="29"/>
  <c r="C134" i="29"/>
  <c r="D134" i="29"/>
  <c r="E134" i="29"/>
  <c r="H134" i="29"/>
  <c r="C135" i="29"/>
  <c r="D135" i="29"/>
  <c r="E135" i="29"/>
  <c r="H135" i="29"/>
  <c r="C136" i="29"/>
  <c r="D136" i="29"/>
  <c r="E136" i="29"/>
  <c r="H136" i="29"/>
  <c r="C137" i="29"/>
  <c r="D137" i="29"/>
  <c r="E137" i="29"/>
  <c r="H137" i="29"/>
  <c r="C138" i="29"/>
  <c r="D138" i="29"/>
  <c r="E138" i="29"/>
  <c r="H138" i="29"/>
  <c r="C139" i="29"/>
  <c r="D139" i="29"/>
  <c r="E139" i="29"/>
  <c r="H139" i="29"/>
  <c r="C140" i="29"/>
  <c r="D140" i="29"/>
  <c r="E140" i="29"/>
  <c r="H140" i="29"/>
  <c r="C141" i="29"/>
  <c r="D141" i="29"/>
  <c r="E141" i="29"/>
  <c r="H141" i="29"/>
  <c r="C142" i="29"/>
  <c r="D142" i="29"/>
  <c r="E142" i="29"/>
  <c r="H142" i="29"/>
  <c r="C143" i="29"/>
  <c r="D143" i="29"/>
  <c r="E143" i="29"/>
  <c r="H143" i="29"/>
  <c r="C144" i="29"/>
  <c r="D144" i="29"/>
  <c r="E144" i="29"/>
  <c r="H144" i="29"/>
  <c r="C145" i="29"/>
  <c r="D145" i="29"/>
  <c r="E145" i="29"/>
  <c r="H145" i="29"/>
  <c r="C146" i="29"/>
  <c r="D146" i="29"/>
  <c r="E146" i="29"/>
  <c r="H146" i="29"/>
  <c r="C147" i="29"/>
  <c r="D147" i="29"/>
  <c r="E147" i="29"/>
  <c r="H147" i="29"/>
  <c r="C148" i="29"/>
  <c r="D148" i="29"/>
  <c r="E148" i="29"/>
  <c r="H148" i="29"/>
  <c r="C149" i="29"/>
  <c r="D149" i="29"/>
  <c r="E149" i="29"/>
  <c r="H149" i="29"/>
  <c r="C150" i="29"/>
  <c r="D150" i="29"/>
  <c r="E150" i="29"/>
  <c r="H150" i="29"/>
  <c r="C151" i="29"/>
  <c r="D151" i="29"/>
  <c r="E151" i="29"/>
  <c r="H151" i="29"/>
  <c r="C152" i="29"/>
  <c r="D152" i="29"/>
  <c r="E152" i="29"/>
  <c r="H152" i="29"/>
  <c r="C153" i="29"/>
  <c r="D153" i="29"/>
  <c r="E153" i="29"/>
  <c r="H153" i="29"/>
  <c r="C154" i="29"/>
  <c r="D154" i="29"/>
  <c r="E154" i="29"/>
  <c r="H154" i="29"/>
  <c r="C155" i="29"/>
  <c r="D155" i="29"/>
  <c r="E155" i="29"/>
  <c r="H155" i="29"/>
  <c r="C156" i="29"/>
  <c r="D156" i="29"/>
  <c r="E156" i="29"/>
  <c r="H156" i="29"/>
  <c r="C157" i="29"/>
  <c r="D157" i="29"/>
  <c r="E157" i="29"/>
  <c r="H157" i="29"/>
  <c r="C158" i="29"/>
  <c r="D158" i="29"/>
  <c r="E158" i="29"/>
  <c r="H158" i="29"/>
  <c r="C96" i="29"/>
  <c r="D96" i="29"/>
  <c r="E96" i="29"/>
  <c r="H96" i="29"/>
  <c r="C97" i="29"/>
  <c r="D97" i="29"/>
  <c r="E97" i="29"/>
  <c r="H97" i="29"/>
  <c r="F121" i="30"/>
  <c r="G121" i="30" s="1"/>
  <c r="F122" i="30"/>
  <c r="G122" i="30" s="1"/>
  <c r="F138" i="30"/>
  <c r="G138" i="30" s="1"/>
  <c r="F153" i="30"/>
  <c r="G153" i="30" s="1"/>
  <c r="D148" i="34"/>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43" i="29"/>
  <c r="H44" i="29"/>
  <c r="H45" i="29"/>
  <c r="H46" i="29"/>
  <c r="H47" i="29"/>
  <c r="H48" i="29"/>
  <c r="H49" i="29"/>
  <c r="H50" i="29"/>
  <c r="H51" i="29"/>
  <c r="H52" i="29"/>
  <c r="H53" i="29"/>
  <c r="H54" i="29"/>
  <c r="H55" i="29"/>
  <c r="H56" i="29"/>
  <c r="H57" i="29"/>
  <c r="H58" i="29"/>
  <c r="H59" i="29"/>
  <c r="H60" i="29"/>
  <c r="H61" i="29"/>
  <c r="H62" i="29"/>
  <c r="H63" i="29"/>
  <c r="H64" i="29"/>
  <c r="H65" i="29"/>
  <c r="H66" i="29"/>
  <c r="H67" i="29"/>
  <c r="H68" i="29"/>
  <c r="H69" i="29"/>
  <c r="H70" i="29"/>
  <c r="H71" i="29"/>
  <c r="H72" i="29"/>
  <c r="H73" i="29"/>
  <c r="H74" i="29"/>
  <c r="H75" i="29"/>
  <c r="H76" i="29"/>
  <c r="H77" i="29"/>
  <c r="H78" i="29"/>
  <c r="H79" i="29"/>
  <c r="H80" i="29"/>
  <c r="H81" i="29"/>
  <c r="H82" i="29"/>
  <c r="H83" i="29"/>
  <c r="H84" i="29"/>
  <c r="H85" i="29"/>
  <c r="H86" i="29"/>
  <c r="H87" i="29"/>
  <c r="H88" i="29"/>
  <c r="H89" i="29"/>
  <c r="H90" i="29"/>
  <c r="H91" i="29"/>
  <c r="H92" i="29"/>
  <c r="H93" i="29"/>
  <c r="H94" i="29"/>
  <c r="H95" i="29"/>
  <c r="H5" i="29"/>
  <c r="H4"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43" i="29"/>
  <c r="E44" i="29"/>
  <c r="E45" i="29"/>
  <c r="E46" i="29"/>
  <c r="E47" i="29"/>
  <c r="E48" i="29"/>
  <c r="E49" i="29"/>
  <c r="E50" i="29"/>
  <c r="E51" i="29"/>
  <c r="E52" i="29"/>
  <c r="E53" i="29"/>
  <c r="E54" i="29"/>
  <c r="E55" i="29"/>
  <c r="E56" i="29"/>
  <c r="E57" i="29"/>
  <c r="E58" i="29"/>
  <c r="E59" i="29"/>
  <c r="E60" i="29"/>
  <c r="E61" i="29"/>
  <c r="E62" i="29"/>
  <c r="E63" i="29"/>
  <c r="E64" i="29"/>
  <c r="E65" i="29"/>
  <c r="E66" i="29"/>
  <c r="E67" i="29"/>
  <c r="E68" i="29"/>
  <c r="E69" i="29"/>
  <c r="E70" i="29"/>
  <c r="E71" i="29"/>
  <c r="E72" i="29"/>
  <c r="E73" i="29"/>
  <c r="E74" i="29"/>
  <c r="E75" i="29"/>
  <c r="E76" i="29"/>
  <c r="E77" i="29"/>
  <c r="E78" i="29"/>
  <c r="E79" i="29"/>
  <c r="E80" i="29"/>
  <c r="E81" i="29"/>
  <c r="E82" i="29"/>
  <c r="E83" i="29"/>
  <c r="E84" i="29"/>
  <c r="E85" i="29"/>
  <c r="E86" i="29"/>
  <c r="E87" i="29"/>
  <c r="E88" i="29"/>
  <c r="E89" i="29"/>
  <c r="E90" i="29"/>
  <c r="E91" i="29"/>
  <c r="E92" i="29"/>
  <c r="E93" i="29"/>
  <c r="E94" i="29"/>
  <c r="E95" i="29"/>
  <c r="E5" i="29"/>
  <c r="E4"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43" i="29"/>
  <c r="D44" i="29"/>
  <c r="D45" i="29"/>
  <c r="D46" i="29"/>
  <c r="D47" i="29"/>
  <c r="D48" i="29"/>
  <c r="D49" i="29"/>
  <c r="D50" i="29"/>
  <c r="D51" i="29"/>
  <c r="D52" i="29"/>
  <c r="D53" i="29"/>
  <c r="D54" i="29"/>
  <c r="D55" i="29"/>
  <c r="D56" i="29"/>
  <c r="D57" i="29"/>
  <c r="D58" i="29"/>
  <c r="D59" i="29"/>
  <c r="D60" i="29"/>
  <c r="D61" i="29"/>
  <c r="D62" i="29"/>
  <c r="D63" i="29"/>
  <c r="D64" i="29"/>
  <c r="D65" i="29"/>
  <c r="D66" i="29"/>
  <c r="D67" i="29"/>
  <c r="D68" i="29"/>
  <c r="D69" i="29"/>
  <c r="D70" i="29"/>
  <c r="D71" i="29"/>
  <c r="D72" i="29"/>
  <c r="D73" i="29"/>
  <c r="D74" i="29"/>
  <c r="D75" i="29"/>
  <c r="D76" i="29"/>
  <c r="D77" i="29"/>
  <c r="D78" i="29"/>
  <c r="D79" i="29"/>
  <c r="D80" i="29"/>
  <c r="D81" i="29"/>
  <c r="D82" i="29"/>
  <c r="D83" i="29"/>
  <c r="D84" i="29"/>
  <c r="D85" i="29"/>
  <c r="D86" i="29"/>
  <c r="D87" i="29"/>
  <c r="D88" i="29"/>
  <c r="D89" i="29"/>
  <c r="D90" i="29"/>
  <c r="D91" i="29"/>
  <c r="D92" i="29"/>
  <c r="D93" i="29"/>
  <c r="D94" i="29"/>
  <c r="D95" i="29"/>
  <c r="D5" i="29"/>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4" i="72"/>
  <c r="I5" i="72"/>
  <c r="D4" i="29"/>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5" i="18"/>
  <c r="H4" i="18"/>
  <c r="B4" i="29" a="1"/>
  <c r="B4" i="29" s="1"/>
  <c r="A4" i="29" a="1"/>
  <c r="A4" i="29" s="1"/>
  <c r="B4" i="30" a="1"/>
  <c r="B4" i="30" s="1"/>
  <c r="A4" i="30" a="1"/>
  <c r="A4" i="30" s="1"/>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5" i="18"/>
  <c r="E4"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5" i="18"/>
  <c r="D4" i="18"/>
  <c r="I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5" i="1"/>
  <c r="H4"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5" i="1"/>
  <c r="E4"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7" i="34" s="1"/>
  <c r="D118" i="1"/>
  <c r="D119" i="1"/>
  <c r="F119" i="1" s="1"/>
  <c r="G119" i="1" s="1"/>
  <c r="D120" i="1"/>
  <c r="D121" i="1"/>
  <c r="D121" i="34" s="1"/>
  <c r="D122" i="1"/>
  <c r="D122" i="34" s="1"/>
  <c r="D123" i="1"/>
  <c r="D124" i="1"/>
  <c r="D125" i="1"/>
  <c r="D126" i="1"/>
  <c r="D127" i="1"/>
  <c r="D128" i="1"/>
  <c r="D129" i="1"/>
  <c r="D130" i="1"/>
  <c r="D131" i="1"/>
  <c r="D132" i="1"/>
  <c r="D133" i="1"/>
  <c r="D134" i="1"/>
  <c r="D135" i="1"/>
  <c r="D136" i="1"/>
  <c r="D137" i="1"/>
  <c r="D138" i="1"/>
  <c r="D139" i="1"/>
  <c r="D140" i="1"/>
  <c r="D140" i="34" s="1"/>
  <c r="D141" i="1"/>
  <c r="D142" i="1"/>
  <c r="D143" i="1"/>
  <c r="D144" i="1"/>
  <c r="D145" i="1"/>
  <c r="D146" i="1"/>
  <c r="D147" i="1"/>
  <c r="D148" i="1"/>
  <c r="D149" i="1"/>
  <c r="D150" i="1"/>
  <c r="D151" i="1"/>
  <c r="D152" i="1"/>
  <c r="D153" i="1"/>
  <c r="D154" i="1"/>
  <c r="D156" i="1"/>
  <c r="D156" i="34" s="1"/>
  <c r="D157" i="1"/>
  <c r="D5" i="1"/>
  <c r="D4" i="1"/>
  <c r="C97" i="34"/>
  <c r="C98" i="34"/>
  <c r="C99" i="34"/>
  <c r="C100" i="34"/>
  <c r="C101" i="34"/>
  <c r="C102" i="34"/>
  <c r="C103" i="34"/>
  <c r="C104" i="34"/>
  <c r="C105" i="34"/>
  <c r="C106" i="34"/>
  <c r="C107" i="34"/>
  <c r="C108" i="34"/>
  <c r="C109" i="34"/>
  <c r="C110" i="34"/>
  <c r="C111" i="34"/>
  <c r="C112" i="34"/>
  <c r="C113" i="34"/>
  <c r="C114" i="34"/>
  <c r="C115" i="34"/>
  <c r="C116" i="34"/>
  <c r="C117" i="34"/>
  <c r="C118" i="34"/>
  <c r="C119" i="34"/>
  <c r="C120" i="34"/>
  <c r="C121" i="34"/>
  <c r="C122" i="34"/>
  <c r="C123" i="34"/>
  <c r="C124" i="34"/>
  <c r="C125" i="34"/>
  <c r="C126" i="34"/>
  <c r="C127" i="34"/>
  <c r="C128" i="34"/>
  <c r="C129" i="34"/>
  <c r="C130" i="34"/>
  <c r="C131" i="34"/>
  <c r="C132" i="34"/>
  <c r="C133" i="34"/>
  <c r="C134" i="34"/>
  <c r="C135" i="34"/>
  <c r="C136" i="34"/>
  <c r="C137" i="34"/>
  <c r="C138" i="34"/>
  <c r="C139" i="34"/>
  <c r="C140" i="34"/>
  <c r="C141" i="34"/>
  <c r="C142" i="34"/>
  <c r="C143" i="34"/>
  <c r="C144" i="34"/>
  <c r="C145" i="34"/>
  <c r="C146" i="34"/>
  <c r="C147" i="34"/>
  <c r="C148" i="34"/>
  <c r="C149" i="34"/>
  <c r="C150" i="34"/>
  <c r="C151" i="34"/>
  <c r="C152" i="34"/>
  <c r="C153" i="34"/>
  <c r="C154" i="34"/>
  <c r="C155" i="34"/>
  <c r="C156" i="34"/>
  <c r="C157" i="34"/>
  <c r="B4" i="34" a="1"/>
  <c r="B4" i="34" s="1"/>
  <c r="A4" i="34" a="1"/>
  <c r="A4" i="34" s="1"/>
  <c r="B4" i="26" a="1"/>
  <c r="B4" i="26" s="1"/>
  <c r="A4" i="26" a="1"/>
  <c r="A4" i="26" s="1"/>
  <c r="B4" i="19" a="1"/>
  <c r="B4" i="19" s="1"/>
  <c r="A4" i="19" a="1"/>
  <c r="A4" i="19" s="1"/>
  <c r="B4" i="20" a="1"/>
  <c r="B4" i="20" s="1"/>
  <c r="A4" i="20" a="1"/>
  <c r="A4" i="20" s="1"/>
  <c r="B4" i="21" a="1"/>
  <c r="B4" i="21" s="1"/>
  <c r="A4" i="21" a="1"/>
  <c r="A4" i="21" s="1"/>
  <c r="B4" i="4" a="1"/>
  <c r="B4" i="4" s="1"/>
  <c r="A4" i="4" a="1"/>
  <c r="A4" i="4" s="1"/>
  <c r="B4" i="3" a="1"/>
  <c r="B4" i="3" s="1"/>
  <c r="B4" i="72" a="1"/>
  <c r="B4" i="72" s="1"/>
  <c r="A4" i="3" a="1"/>
  <c r="A4" i="3" s="1"/>
  <c r="A4" i="72" a="1"/>
  <c r="A4" i="72" s="1"/>
  <c r="C93" i="72"/>
  <c r="F93" i="72"/>
  <c r="G93" i="72" s="1"/>
  <c r="I93" i="72"/>
  <c r="J93" i="72"/>
  <c r="C94" i="72"/>
  <c r="F94" i="72"/>
  <c r="G94" i="72" s="1"/>
  <c r="I94" i="72"/>
  <c r="C95" i="72"/>
  <c r="F95" i="72"/>
  <c r="G95" i="72" s="1"/>
  <c r="I95" i="72"/>
  <c r="J95" i="72" s="1"/>
  <c r="J11" i="26"/>
  <c r="J24" i="26"/>
  <c r="J40" i="26"/>
  <c r="J59" i="26"/>
  <c r="J101" i="26"/>
  <c r="J133" i="26"/>
  <c r="J134" i="26"/>
  <c r="J138" i="26"/>
  <c r="I5" i="26"/>
  <c r="J5" i="26" s="1"/>
  <c r="I6" i="26"/>
  <c r="J6" i="26" s="1"/>
  <c r="I7" i="26"/>
  <c r="I8" i="26"/>
  <c r="I9" i="26"/>
  <c r="I10" i="26"/>
  <c r="I11" i="26"/>
  <c r="I12" i="26"/>
  <c r="J12" i="26" s="1"/>
  <c r="I13" i="26"/>
  <c r="J13" i="26" s="1"/>
  <c r="I14" i="26"/>
  <c r="J14" i="26" s="1"/>
  <c r="I15" i="26"/>
  <c r="J15" i="26" s="1"/>
  <c r="I16" i="26"/>
  <c r="J16" i="26" s="1"/>
  <c r="I17" i="26"/>
  <c r="I18" i="26"/>
  <c r="J18" i="26" s="1"/>
  <c r="I19" i="26"/>
  <c r="J19" i="26" s="1"/>
  <c r="I20" i="26"/>
  <c r="J20" i="26" s="1"/>
  <c r="I21" i="26"/>
  <c r="J21" i="26" s="1"/>
  <c r="I22" i="26"/>
  <c r="I23" i="26"/>
  <c r="I24" i="26"/>
  <c r="I25" i="26"/>
  <c r="I26" i="26"/>
  <c r="J26" i="26" s="1"/>
  <c r="I27" i="26"/>
  <c r="I28" i="26"/>
  <c r="J28" i="26" s="1"/>
  <c r="I29" i="26"/>
  <c r="J29" i="26" s="1"/>
  <c r="I30" i="26"/>
  <c r="J30" i="26" s="1"/>
  <c r="I31" i="26"/>
  <c r="J31" i="26" s="1"/>
  <c r="I32" i="26"/>
  <c r="J32" i="26" s="1"/>
  <c r="I33" i="26"/>
  <c r="I34" i="26"/>
  <c r="J34" i="26" s="1"/>
  <c r="I35" i="26"/>
  <c r="I36" i="26"/>
  <c r="J36" i="26" s="1"/>
  <c r="I37" i="26"/>
  <c r="J37" i="26" s="1"/>
  <c r="I38" i="26"/>
  <c r="J38" i="26" s="1"/>
  <c r="I39" i="26"/>
  <c r="J39" i="26" s="1"/>
  <c r="I40" i="26"/>
  <c r="I41" i="26"/>
  <c r="J41" i="26" s="1"/>
  <c r="I42" i="26"/>
  <c r="J42" i="26" s="1"/>
  <c r="I43" i="26"/>
  <c r="J43" i="26" s="1"/>
  <c r="I44" i="26"/>
  <c r="J44" i="26" s="1"/>
  <c r="I45" i="26"/>
  <c r="J45" i="26" s="1"/>
  <c r="I46" i="26"/>
  <c r="J46" i="26" s="1"/>
  <c r="I47" i="26"/>
  <c r="J47" i="26" s="1"/>
  <c r="I48" i="26"/>
  <c r="J48" i="26" s="1"/>
  <c r="I49" i="26"/>
  <c r="I50" i="26"/>
  <c r="I51" i="26"/>
  <c r="J51" i="26" s="1"/>
  <c r="I52" i="26"/>
  <c r="J52" i="26" s="1"/>
  <c r="I53" i="26"/>
  <c r="J53" i="26" s="1"/>
  <c r="I54" i="26"/>
  <c r="J54" i="26" s="1"/>
  <c r="I55" i="26"/>
  <c r="J55" i="26" s="1"/>
  <c r="I56" i="26"/>
  <c r="J56" i="26" s="1"/>
  <c r="I57" i="26"/>
  <c r="I58" i="26"/>
  <c r="J58" i="26" s="1"/>
  <c r="I59" i="26"/>
  <c r="I60" i="26"/>
  <c r="J60" i="26" s="1"/>
  <c r="I61" i="26"/>
  <c r="J61" i="26" s="1"/>
  <c r="I62" i="26"/>
  <c r="J62" i="26" s="1"/>
  <c r="I63" i="26"/>
  <c r="J63" i="26" s="1"/>
  <c r="I64" i="26"/>
  <c r="J64" i="26" s="1"/>
  <c r="I65" i="26"/>
  <c r="I66" i="26"/>
  <c r="I67" i="26"/>
  <c r="J67" i="26" s="1"/>
  <c r="I68" i="26"/>
  <c r="J68" i="26" s="1"/>
  <c r="I69" i="26"/>
  <c r="I70" i="26"/>
  <c r="I71" i="26"/>
  <c r="I72" i="26"/>
  <c r="J72" i="26" s="1"/>
  <c r="I73" i="26"/>
  <c r="J73" i="26" s="1"/>
  <c r="I74" i="26"/>
  <c r="J74" i="26" s="1"/>
  <c r="I75" i="26"/>
  <c r="J75" i="26" s="1"/>
  <c r="I76" i="26"/>
  <c r="J76" i="26" s="1"/>
  <c r="I77" i="26"/>
  <c r="J77" i="26" s="1"/>
  <c r="I78" i="26"/>
  <c r="J78" i="26" s="1"/>
  <c r="I79" i="26"/>
  <c r="J79" i="26" s="1"/>
  <c r="I80" i="26"/>
  <c r="J80" i="26" s="1"/>
  <c r="I81" i="26"/>
  <c r="J81" i="26" s="1"/>
  <c r="I82" i="26"/>
  <c r="J82" i="26" s="1"/>
  <c r="I83" i="26"/>
  <c r="J83" i="26" s="1"/>
  <c r="I84" i="26"/>
  <c r="J84" i="26" s="1"/>
  <c r="I85" i="26"/>
  <c r="J85" i="26" s="1"/>
  <c r="I86" i="26"/>
  <c r="J86" i="26" s="1"/>
  <c r="I87" i="26"/>
  <c r="J87" i="26" s="1"/>
  <c r="I88" i="26"/>
  <c r="J88" i="26" s="1"/>
  <c r="I89" i="26"/>
  <c r="J89" i="26" s="1"/>
  <c r="I90" i="26"/>
  <c r="J90" i="26" s="1"/>
  <c r="I91" i="26"/>
  <c r="J91" i="26" s="1"/>
  <c r="I92" i="26"/>
  <c r="J92" i="26" s="1"/>
  <c r="I93" i="26"/>
  <c r="I94" i="26"/>
  <c r="J94" i="26" s="1"/>
  <c r="I95" i="26"/>
  <c r="J95" i="26" s="1"/>
  <c r="I96" i="26"/>
  <c r="I97" i="26"/>
  <c r="J97" i="26" s="1"/>
  <c r="I98" i="26"/>
  <c r="J98" i="26" s="1"/>
  <c r="I99" i="26"/>
  <c r="J99" i="26" s="1"/>
  <c r="I100" i="26"/>
  <c r="I101" i="26"/>
  <c r="I102" i="26"/>
  <c r="J102" i="26" s="1"/>
  <c r="I103" i="26"/>
  <c r="J103" i="26" s="1"/>
  <c r="I104" i="26"/>
  <c r="J104" i="26" s="1"/>
  <c r="I105" i="26"/>
  <c r="J105" i="26" s="1"/>
  <c r="I106" i="26"/>
  <c r="J106" i="26" s="1"/>
  <c r="I107" i="26"/>
  <c r="J107" i="26" s="1"/>
  <c r="I108" i="26"/>
  <c r="I109" i="26"/>
  <c r="I110" i="26"/>
  <c r="J110" i="26" s="1"/>
  <c r="I111" i="26"/>
  <c r="J111" i="26" s="1"/>
  <c r="I112" i="26"/>
  <c r="J112" i="26" s="1"/>
  <c r="I113" i="26"/>
  <c r="J113" i="26" s="1"/>
  <c r="I114" i="26"/>
  <c r="J114" i="26" s="1"/>
  <c r="I115" i="26"/>
  <c r="J115" i="26" s="1"/>
  <c r="I116" i="26"/>
  <c r="J116" i="26" s="1"/>
  <c r="I117" i="26"/>
  <c r="J117" i="26" s="1"/>
  <c r="I118" i="26"/>
  <c r="J118" i="26" s="1"/>
  <c r="I119" i="26"/>
  <c r="J119" i="26" s="1"/>
  <c r="I120" i="26"/>
  <c r="J120" i="26" s="1"/>
  <c r="I121" i="26"/>
  <c r="J121" i="26" s="1"/>
  <c r="I122" i="26"/>
  <c r="I123" i="26"/>
  <c r="J123" i="26" s="1"/>
  <c r="I124" i="26"/>
  <c r="J124" i="26" s="1"/>
  <c r="I125" i="26"/>
  <c r="J125" i="26" s="1"/>
  <c r="I126" i="26"/>
  <c r="J126" i="26" s="1"/>
  <c r="I127" i="26"/>
  <c r="J127" i="26" s="1"/>
  <c r="I128" i="26"/>
  <c r="J128" i="26" s="1"/>
  <c r="I129" i="26"/>
  <c r="I130" i="26"/>
  <c r="J130" i="26" s="1"/>
  <c r="I131" i="26"/>
  <c r="J131" i="26" s="1"/>
  <c r="I132" i="26"/>
  <c r="J132" i="26" s="1"/>
  <c r="I133" i="26"/>
  <c r="I134" i="26"/>
  <c r="I135" i="26"/>
  <c r="J135" i="26" s="1"/>
  <c r="I136" i="26"/>
  <c r="J136" i="26" s="1"/>
  <c r="I137" i="26"/>
  <c r="J137" i="26" s="1"/>
  <c r="I138" i="26"/>
  <c r="I139" i="26"/>
  <c r="J139" i="26" s="1"/>
  <c r="I140" i="26"/>
  <c r="J140" i="26" s="1"/>
  <c r="I141" i="26"/>
  <c r="J141" i="26" s="1"/>
  <c r="I142" i="26"/>
  <c r="I143" i="26"/>
  <c r="J143" i="26" s="1"/>
  <c r="I144" i="26"/>
  <c r="I145" i="26"/>
  <c r="I146" i="26"/>
  <c r="I147" i="26"/>
  <c r="I148" i="26"/>
  <c r="I149" i="26"/>
  <c r="J149" i="26" s="1"/>
  <c r="I150" i="26"/>
  <c r="J150" i="26" s="1"/>
  <c r="I151" i="26"/>
  <c r="J151" i="26" s="1"/>
  <c r="I152" i="26"/>
  <c r="J152" i="26" s="1"/>
  <c r="I153" i="26"/>
  <c r="I154" i="26"/>
  <c r="J154" i="26" s="1"/>
  <c r="I155" i="26"/>
  <c r="G142" i="26"/>
  <c r="G130" i="26"/>
  <c r="G131" i="26"/>
  <c r="G132" i="26"/>
  <c r="G133" i="26"/>
  <c r="G134" i="26"/>
  <c r="G135" i="26"/>
  <c r="G138" i="26"/>
  <c r="G140" i="26"/>
  <c r="G141" i="26"/>
  <c r="G143" i="26"/>
  <c r="G144" i="26"/>
  <c r="G145" i="26"/>
  <c r="G146" i="26"/>
  <c r="G148" i="26"/>
  <c r="G149" i="26"/>
  <c r="G150" i="26"/>
  <c r="G151" i="26"/>
  <c r="G152" i="26"/>
  <c r="G153" i="26"/>
  <c r="G154" i="26"/>
  <c r="G156" i="26"/>
  <c r="G157" i="26"/>
  <c r="G158" i="26"/>
  <c r="G118" i="26"/>
  <c r="G119" i="26"/>
  <c r="G120" i="26"/>
  <c r="G122" i="26"/>
  <c r="G124" i="26"/>
  <c r="G125" i="26"/>
  <c r="G126" i="26"/>
  <c r="G127" i="26"/>
  <c r="F17" i="26"/>
  <c r="G17" i="26" s="1"/>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J122" i="19"/>
  <c r="J123" i="19"/>
  <c r="J138" i="19"/>
  <c r="J139" i="19"/>
  <c r="J154" i="19"/>
  <c r="J155" i="19"/>
  <c r="J156" i="19"/>
  <c r="J157" i="19"/>
  <c r="I119" i="19"/>
  <c r="J119" i="19" s="1"/>
  <c r="I120" i="19"/>
  <c r="J120" i="19" s="1"/>
  <c r="I121" i="19"/>
  <c r="I122" i="19"/>
  <c r="I123" i="19"/>
  <c r="I124" i="19"/>
  <c r="J124" i="19" s="1"/>
  <c r="I125" i="19"/>
  <c r="J125" i="19" s="1"/>
  <c r="I126" i="19"/>
  <c r="J126" i="19" s="1"/>
  <c r="I127" i="19"/>
  <c r="J127" i="19" s="1"/>
  <c r="I128" i="19"/>
  <c r="J128" i="19" s="1"/>
  <c r="I129" i="19"/>
  <c r="J129" i="19" s="1"/>
  <c r="I130" i="19"/>
  <c r="I131" i="19"/>
  <c r="J131" i="19" s="1"/>
  <c r="I132" i="19"/>
  <c r="J132" i="19" s="1"/>
  <c r="I133" i="19"/>
  <c r="J133" i="19" s="1"/>
  <c r="I134" i="19"/>
  <c r="J134" i="19" s="1"/>
  <c r="I135" i="19"/>
  <c r="J135" i="19" s="1"/>
  <c r="I136" i="19"/>
  <c r="J136" i="19" s="1"/>
  <c r="I137" i="19"/>
  <c r="J137" i="19" s="1"/>
  <c r="I138" i="19"/>
  <c r="I139" i="19"/>
  <c r="I140" i="19"/>
  <c r="J140" i="19" s="1"/>
  <c r="I141" i="19"/>
  <c r="J141" i="19" s="1"/>
  <c r="I142" i="19"/>
  <c r="J142" i="19" s="1"/>
  <c r="I143" i="19"/>
  <c r="J143" i="19" s="1"/>
  <c r="I144" i="19"/>
  <c r="J144" i="19" s="1"/>
  <c r="I145" i="19"/>
  <c r="J145" i="19" s="1"/>
  <c r="I146" i="19"/>
  <c r="J146" i="19" s="1"/>
  <c r="I147" i="19"/>
  <c r="J147" i="19" s="1"/>
  <c r="I148" i="19"/>
  <c r="J148" i="19" s="1"/>
  <c r="I149" i="19"/>
  <c r="J149" i="19" s="1"/>
  <c r="I150" i="19"/>
  <c r="J150" i="19" s="1"/>
  <c r="I151" i="19"/>
  <c r="J151" i="19" s="1"/>
  <c r="I152" i="19"/>
  <c r="J152" i="19" s="1"/>
  <c r="I153" i="19"/>
  <c r="J153" i="19" s="1"/>
  <c r="I154" i="19"/>
  <c r="I155" i="19"/>
  <c r="I156" i="19"/>
  <c r="I157" i="19"/>
  <c r="G108" i="19"/>
  <c r="G127" i="19"/>
  <c r="G140" i="19"/>
  <c r="G156" i="19"/>
  <c r="F69" i="19"/>
  <c r="G69" i="19" s="1"/>
  <c r="F70" i="19"/>
  <c r="G70" i="19" s="1"/>
  <c r="F71" i="19"/>
  <c r="G71" i="19" s="1"/>
  <c r="F72" i="19"/>
  <c r="F73" i="19"/>
  <c r="F74" i="19"/>
  <c r="G74" i="19" s="1"/>
  <c r="F75" i="19"/>
  <c r="G75" i="19" s="1"/>
  <c r="F76" i="19"/>
  <c r="G76" i="19" s="1"/>
  <c r="F77" i="19"/>
  <c r="G77" i="19" s="1"/>
  <c r="F78" i="19"/>
  <c r="G78" i="19" s="1"/>
  <c r="F79" i="19"/>
  <c r="G79" i="19" s="1"/>
  <c r="F80" i="19"/>
  <c r="G80" i="19" s="1"/>
  <c r="F81" i="19"/>
  <c r="G81" i="19" s="1"/>
  <c r="F82" i="19"/>
  <c r="G82" i="19" s="1"/>
  <c r="F83" i="19"/>
  <c r="G83" i="19" s="1"/>
  <c r="F84" i="19"/>
  <c r="G84" i="19" s="1"/>
  <c r="F85" i="19"/>
  <c r="G85" i="19" s="1"/>
  <c r="F86" i="19"/>
  <c r="G86" i="19" s="1"/>
  <c r="F87" i="19"/>
  <c r="G87" i="19" s="1"/>
  <c r="F88" i="19"/>
  <c r="F89" i="19"/>
  <c r="F90" i="19"/>
  <c r="F91" i="19"/>
  <c r="G91" i="19" s="1"/>
  <c r="F92" i="19"/>
  <c r="G92" i="19" s="1"/>
  <c r="F93" i="19"/>
  <c r="G93" i="19" s="1"/>
  <c r="F94" i="19"/>
  <c r="G94" i="19" s="1"/>
  <c r="F95" i="19"/>
  <c r="G95" i="19" s="1"/>
  <c r="F96" i="19"/>
  <c r="G96" i="19" s="1"/>
  <c r="F97" i="19"/>
  <c r="G97" i="19" s="1"/>
  <c r="F98" i="19"/>
  <c r="G98" i="19" s="1"/>
  <c r="F99" i="19"/>
  <c r="G99" i="19" s="1"/>
  <c r="F100" i="19"/>
  <c r="G100" i="19" s="1"/>
  <c r="F101" i="19"/>
  <c r="G101" i="19" s="1"/>
  <c r="F102" i="19"/>
  <c r="G102" i="19" s="1"/>
  <c r="F103" i="19"/>
  <c r="G103" i="19" s="1"/>
  <c r="F104" i="19"/>
  <c r="G104" i="19" s="1"/>
  <c r="F105" i="19"/>
  <c r="G105" i="19" s="1"/>
  <c r="F106" i="19"/>
  <c r="G106" i="19" s="1"/>
  <c r="F107" i="19"/>
  <c r="G107" i="19" s="1"/>
  <c r="F108" i="19"/>
  <c r="F109" i="19"/>
  <c r="G109" i="19" s="1"/>
  <c r="F110" i="19"/>
  <c r="G110" i="19" s="1"/>
  <c r="F111" i="19"/>
  <c r="G111" i="19" s="1"/>
  <c r="F112" i="19"/>
  <c r="G112" i="19" s="1"/>
  <c r="F113" i="19"/>
  <c r="G113" i="19" s="1"/>
  <c r="F114" i="19"/>
  <c r="G114" i="19" s="1"/>
  <c r="F115" i="19"/>
  <c r="G115" i="19" s="1"/>
  <c r="F116" i="19"/>
  <c r="G116" i="19" s="1"/>
  <c r="F117" i="19"/>
  <c r="G117" i="19" s="1"/>
  <c r="F118" i="19"/>
  <c r="G118" i="19" s="1"/>
  <c r="F119" i="19"/>
  <c r="G119" i="19" s="1"/>
  <c r="F120" i="19"/>
  <c r="G120" i="19" s="1"/>
  <c r="F121" i="19"/>
  <c r="G121" i="19" s="1"/>
  <c r="F122" i="19"/>
  <c r="G122" i="19" s="1"/>
  <c r="F123" i="19"/>
  <c r="G123" i="19" s="1"/>
  <c r="F124" i="19"/>
  <c r="G124" i="19" s="1"/>
  <c r="F125" i="19"/>
  <c r="G125" i="19" s="1"/>
  <c r="F126" i="19"/>
  <c r="G126" i="19" s="1"/>
  <c r="F127" i="19"/>
  <c r="F128" i="19"/>
  <c r="G128" i="19" s="1"/>
  <c r="F129" i="19"/>
  <c r="G129" i="19" s="1"/>
  <c r="F130" i="19"/>
  <c r="G130" i="19" s="1"/>
  <c r="F131" i="19"/>
  <c r="G131" i="19" s="1"/>
  <c r="F132" i="19"/>
  <c r="G132" i="19" s="1"/>
  <c r="F133" i="19"/>
  <c r="G133" i="19" s="1"/>
  <c r="F134" i="19"/>
  <c r="G134" i="19" s="1"/>
  <c r="F135" i="19"/>
  <c r="G135" i="19" s="1"/>
  <c r="F136" i="19"/>
  <c r="G136" i="19" s="1"/>
  <c r="F137" i="19"/>
  <c r="G137" i="19" s="1"/>
  <c r="F138" i="19"/>
  <c r="G138" i="19" s="1"/>
  <c r="F139" i="19"/>
  <c r="G139" i="19" s="1"/>
  <c r="F140" i="19"/>
  <c r="F141" i="19"/>
  <c r="G141" i="19" s="1"/>
  <c r="F142" i="19"/>
  <c r="G142" i="19" s="1"/>
  <c r="F143" i="19"/>
  <c r="G143" i="19" s="1"/>
  <c r="F144" i="19"/>
  <c r="G144" i="19" s="1"/>
  <c r="F145" i="19"/>
  <c r="G145" i="19" s="1"/>
  <c r="F146" i="19"/>
  <c r="G146" i="19" s="1"/>
  <c r="F147" i="19"/>
  <c r="G147" i="19" s="1"/>
  <c r="F148" i="19"/>
  <c r="G148" i="19" s="1"/>
  <c r="F149" i="19"/>
  <c r="G149" i="19" s="1"/>
  <c r="F150" i="19"/>
  <c r="G150" i="19" s="1"/>
  <c r="F151" i="19"/>
  <c r="G151" i="19" s="1"/>
  <c r="F152" i="19"/>
  <c r="G152" i="19" s="1"/>
  <c r="F153" i="19"/>
  <c r="G153" i="19" s="1"/>
  <c r="F154" i="19"/>
  <c r="G154" i="19" s="1"/>
  <c r="F155" i="19"/>
  <c r="G155" i="19" s="1"/>
  <c r="F156" i="19"/>
  <c r="F157" i="19"/>
  <c r="G157" i="19" s="1"/>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4" i="20"/>
  <c r="C5" i="20"/>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C158" i="33"/>
  <c r="C5" i="32"/>
  <c r="C5" i="31"/>
  <c r="C5" i="27"/>
  <c r="I28" i="20"/>
  <c r="I7" i="20"/>
  <c r="I7" i="18" s="1"/>
  <c r="J7" i="18" s="1"/>
  <c r="I118" i="20"/>
  <c r="I137" i="20"/>
  <c r="I138" i="20"/>
  <c r="I138" i="18" s="1"/>
  <c r="J138" i="18" s="1"/>
  <c r="I139" i="20"/>
  <c r="I139" i="18" s="1"/>
  <c r="J139" i="18" s="1"/>
  <c r="I140" i="20"/>
  <c r="I141" i="20"/>
  <c r="I142" i="20"/>
  <c r="I143" i="20"/>
  <c r="I144" i="20"/>
  <c r="I145" i="20"/>
  <c r="I146" i="20"/>
  <c r="I147" i="20"/>
  <c r="I148" i="20"/>
  <c r="I149" i="20"/>
  <c r="I150" i="20"/>
  <c r="I151" i="20"/>
  <c r="C150" i="21"/>
  <c r="J201" i="18"/>
  <c r="I98" i="21"/>
  <c r="J98" i="21" s="1"/>
  <c r="I99" i="21"/>
  <c r="J99" i="21" s="1"/>
  <c r="I100" i="21"/>
  <c r="J100" i="21" s="1"/>
  <c r="I101" i="21"/>
  <c r="J101" i="21" s="1"/>
  <c r="I102" i="21"/>
  <c r="J102" i="21" s="1"/>
  <c r="I103" i="21"/>
  <c r="J103" i="21" s="1"/>
  <c r="I104" i="21"/>
  <c r="J104" i="21" s="1"/>
  <c r="I105" i="21"/>
  <c r="J105" i="21" s="1"/>
  <c r="I106" i="21"/>
  <c r="J106" i="21" s="1"/>
  <c r="I107" i="21"/>
  <c r="J107" i="21" s="1"/>
  <c r="I108" i="21"/>
  <c r="J108" i="21" s="1"/>
  <c r="I109" i="21"/>
  <c r="J109" i="21" s="1"/>
  <c r="I110" i="21"/>
  <c r="J110" i="21" s="1"/>
  <c r="I111" i="21"/>
  <c r="J111" i="21" s="1"/>
  <c r="I112" i="21"/>
  <c r="J112" i="21" s="1"/>
  <c r="I113" i="21"/>
  <c r="J113" i="21" s="1"/>
  <c r="I114" i="21"/>
  <c r="J114" i="21" s="1"/>
  <c r="I115" i="21"/>
  <c r="J115" i="21" s="1"/>
  <c r="I116" i="21"/>
  <c r="J116" i="21" s="1"/>
  <c r="I117" i="21"/>
  <c r="J117" i="21" s="1"/>
  <c r="I118" i="21"/>
  <c r="J118" i="21" s="1"/>
  <c r="I119" i="21"/>
  <c r="J119" i="21" s="1"/>
  <c r="I120" i="21"/>
  <c r="J120" i="21" s="1"/>
  <c r="I121" i="21"/>
  <c r="J121" i="21" s="1"/>
  <c r="I122" i="21"/>
  <c r="J122" i="21" s="1"/>
  <c r="I123" i="21"/>
  <c r="J123" i="21" s="1"/>
  <c r="I124" i="21"/>
  <c r="J124" i="21" s="1"/>
  <c r="I125" i="21"/>
  <c r="J125" i="21" s="1"/>
  <c r="I126" i="21"/>
  <c r="J126" i="21" s="1"/>
  <c r="I127" i="21"/>
  <c r="J127" i="21" s="1"/>
  <c r="I128" i="21"/>
  <c r="J128" i="21" s="1"/>
  <c r="I129" i="21"/>
  <c r="J129" i="21" s="1"/>
  <c r="I130" i="21"/>
  <c r="J130" i="21" s="1"/>
  <c r="I131" i="21"/>
  <c r="J131" i="21" s="1"/>
  <c r="I132" i="21"/>
  <c r="J132" i="21" s="1"/>
  <c r="I133" i="21"/>
  <c r="J133" i="21" s="1"/>
  <c r="I134" i="21"/>
  <c r="J134" i="21" s="1"/>
  <c r="I135" i="21"/>
  <c r="J135" i="21" s="1"/>
  <c r="I136" i="21"/>
  <c r="J136" i="21" s="1"/>
  <c r="I137" i="21"/>
  <c r="J137" i="21" s="1"/>
  <c r="I138" i="21"/>
  <c r="J138" i="21" s="1"/>
  <c r="I139" i="21"/>
  <c r="J139" i="21" s="1"/>
  <c r="I140" i="21"/>
  <c r="J140" i="21" s="1"/>
  <c r="I141" i="21"/>
  <c r="J141" i="21" s="1"/>
  <c r="I142" i="21"/>
  <c r="J142" i="21" s="1"/>
  <c r="I143" i="21"/>
  <c r="J143" i="21" s="1"/>
  <c r="I144" i="21"/>
  <c r="J144" i="21" s="1"/>
  <c r="I145" i="21"/>
  <c r="J145" i="21" s="1"/>
  <c r="I146" i="21"/>
  <c r="J146" i="21" s="1"/>
  <c r="I147" i="21"/>
  <c r="J147" i="21" s="1"/>
  <c r="I148" i="21"/>
  <c r="J148" i="21" s="1"/>
  <c r="I149" i="21"/>
  <c r="J149" i="21" s="1"/>
  <c r="I150" i="21"/>
  <c r="J150" i="21" s="1"/>
  <c r="I151" i="21"/>
  <c r="J151" i="21" s="1"/>
  <c r="I152" i="21"/>
  <c r="J152" i="21" s="1"/>
  <c r="I153" i="21"/>
  <c r="J153" i="21" s="1"/>
  <c r="I154" i="21"/>
  <c r="J154" i="21" s="1"/>
  <c r="I155" i="21"/>
  <c r="J155" i="21" s="1"/>
  <c r="I156" i="21"/>
  <c r="J156" i="21" s="1"/>
  <c r="I157" i="21"/>
  <c r="J157" i="21" s="1"/>
  <c r="F96" i="21"/>
  <c r="G96" i="21" s="1"/>
  <c r="F97" i="21"/>
  <c r="G97" i="21" s="1"/>
  <c r="F98" i="21"/>
  <c r="G98" i="21" s="1"/>
  <c r="F99" i="21"/>
  <c r="G99" i="21" s="1"/>
  <c r="F100" i="21"/>
  <c r="G100" i="21" s="1"/>
  <c r="F101" i="21"/>
  <c r="G101" i="21" s="1"/>
  <c r="F102" i="21"/>
  <c r="G102" i="21" s="1"/>
  <c r="F103" i="21"/>
  <c r="G103" i="21" s="1"/>
  <c r="F104" i="21"/>
  <c r="G104" i="21" s="1"/>
  <c r="F105" i="21"/>
  <c r="G105" i="21" s="1"/>
  <c r="F106" i="21"/>
  <c r="G106" i="21" s="1"/>
  <c r="F107" i="21"/>
  <c r="G107" i="21" s="1"/>
  <c r="F108" i="21"/>
  <c r="G108" i="21" s="1"/>
  <c r="F109" i="21"/>
  <c r="G109" i="21" s="1"/>
  <c r="F110" i="21"/>
  <c r="G110" i="21" s="1"/>
  <c r="F111" i="21"/>
  <c r="G111" i="21" s="1"/>
  <c r="F112" i="21"/>
  <c r="G112" i="21" s="1"/>
  <c r="F113" i="21"/>
  <c r="G113" i="21" s="1"/>
  <c r="F114" i="21"/>
  <c r="G114" i="21" s="1"/>
  <c r="F115" i="21"/>
  <c r="G115" i="21" s="1"/>
  <c r="F116" i="21"/>
  <c r="G116" i="21" s="1"/>
  <c r="F117" i="21"/>
  <c r="G117" i="21" s="1"/>
  <c r="F118" i="21"/>
  <c r="G118" i="21" s="1"/>
  <c r="F119" i="21"/>
  <c r="G119" i="21" s="1"/>
  <c r="F120" i="21"/>
  <c r="G120" i="21" s="1"/>
  <c r="F121" i="21"/>
  <c r="G121" i="21" s="1"/>
  <c r="F122" i="21"/>
  <c r="G122" i="21" s="1"/>
  <c r="F123" i="21"/>
  <c r="G123" i="21" s="1"/>
  <c r="F124" i="21"/>
  <c r="G124" i="21" s="1"/>
  <c r="F125" i="21"/>
  <c r="G125" i="21" s="1"/>
  <c r="F126" i="21"/>
  <c r="G126" i="21" s="1"/>
  <c r="F127" i="21"/>
  <c r="G127" i="21" s="1"/>
  <c r="F128" i="21"/>
  <c r="G128" i="21" s="1"/>
  <c r="F129" i="21"/>
  <c r="G129" i="21" s="1"/>
  <c r="F130" i="21"/>
  <c r="G130" i="21" s="1"/>
  <c r="F131" i="21"/>
  <c r="G131" i="21" s="1"/>
  <c r="F132" i="21"/>
  <c r="G132" i="21" s="1"/>
  <c r="F133" i="21"/>
  <c r="G133" i="21" s="1"/>
  <c r="F134" i="21"/>
  <c r="G134" i="21" s="1"/>
  <c r="F135" i="21"/>
  <c r="G135" i="21" s="1"/>
  <c r="F136" i="21"/>
  <c r="G136" i="21" s="1"/>
  <c r="F137" i="21"/>
  <c r="G137" i="21" s="1"/>
  <c r="F138" i="21"/>
  <c r="G138" i="21" s="1"/>
  <c r="F139" i="21"/>
  <c r="G139" i="21" s="1"/>
  <c r="F140" i="21"/>
  <c r="G140" i="21" s="1"/>
  <c r="F141" i="21"/>
  <c r="G141" i="21" s="1"/>
  <c r="F142" i="21"/>
  <c r="G142" i="21" s="1"/>
  <c r="F143" i="21"/>
  <c r="G143" i="21" s="1"/>
  <c r="F144" i="21"/>
  <c r="G144" i="21" s="1"/>
  <c r="F145" i="21"/>
  <c r="G145" i="21" s="1"/>
  <c r="F146" i="21"/>
  <c r="G146" i="21" s="1"/>
  <c r="F147" i="21"/>
  <c r="G147" i="21" s="1"/>
  <c r="F148" i="21"/>
  <c r="G148" i="21" s="1"/>
  <c r="F149" i="21"/>
  <c r="G149" i="21" s="1"/>
  <c r="F150" i="21"/>
  <c r="G150" i="21" s="1"/>
  <c r="F151" i="21"/>
  <c r="G151" i="21" s="1"/>
  <c r="F152" i="21"/>
  <c r="G152" i="21" s="1"/>
  <c r="F153" i="21"/>
  <c r="G153" i="21" s="1"/>
  <c r="F154" i="21"/>
  <c r="G154" i="21" s="1"/>
  <c r="F155" i="21"/>
  <c r="G155" i="21" s="1"/>
  <c r="F156" i="21"/>
  <c r="G156" i="21" s="1"/>
  <c r="F157" i="21"/>
  <c r="G157" i="21" s="1"/>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1" i="21"/>
  <c r="C152" i="21"/>
  <c r="C153" i="21"/>
  <c r="C154" i="21"/>
  <c r="C155" i="21"/>
  <c r="C156" i="21"/>
  <c r="C157" i="21"/>
  <c r="C158" i="21"/>
  <c r="F156" i="30"/>
  <c r="G156" i="30" s="1"/>
  <c r="F157" i="30"/>
  <c r="G157" i="30" s="1"/>
  <c r="F158" i="30"/>
  <c r="G158" i="30" s="1"/>
  <c r="C154" i="30"/>
  <c r="C155" i="30"/>
  <c r="C156" i="30"/>
  <c r="C157" i="30"/>
  <c r="C158" i="30"/>
  <c r="G97" i="4"/>
  <c r="G105" i="4"/>
  <c r="G106" i="4"/>
  <c r="G107" i="4"/>
  <c r="G109" i="4"/>
  <c r="G121" i="4"/>
  <c r="G122" i="4"/>
  <c r="G123" i="4"/>
  <c r="G124" i="4"/>
  <c r="G125" i="4"/>
  <c r="G127" i="4"/>
  <c r="G136" i="4"/>
  <c r="G137" i="4"/>
  <c r="G139" i="4"/>
  <c r="G152" i="4"/>
  <c r="G153" i="4"/>
  <c r="I106" i="4"/>
  <c r="J106" i="4" s="1"/>
  <c r="F101" i="4"/>
  <c r="G101" i="4" s="1"/>
  <c r="F102" i="4"/>
  <c r="G102" i="4" s="1"/>
  <c r="F103" i="4"/>
  <c r="G103" i="4" s="1"/>
  <c r="F104" i="4"/>
  <c r="G104" i="4" s="1"/>
  <c r="F105" i="4"/>
  <c r="F106" i="4"/>
  <c r="F107" i="4"/>
  <c r="F108" i="4"/>
  <c r="G108" i="4" s="1"/>
  <c r="F109" i="4"/>
  <c r="F110" i="4"/>
  <c r="G110" i="4" s="1"/>
  <c r="F111" i="4"/>
  <c r="G111" i="4" s="1"/>
  <c r="F112" i="4"/>
  <c r="G112" i="4" s="1"/>
  <c r="F113" i="4"/>
  <c r="G113" i="4" s="1"/>
  <c r="F114" i="4"/>
  <c r="G114" i="4" s="1"/>
  <c r="F115" i="4"/>
  <c r="G115" i="4" s="1"/>
  <c r="F116" i="4"/>
  <c r="G116" i="4" s="1"/>
  <c r="F117" i="4"/>
  <c r="G117" i="4" s="1"/>
  <c r="F118" i="4"/>
  <c r="G118" i="4" s="1"/>
  <c r="F119" i="4"/>
  <c r="G119" i="4" s="1"/>
  <c r="F120" i="4"/>
  <c r="G120" i="4" s="1"/>
  <c r="F121" i="4"/>
  <c r="F122" i="4"/>
  <c r="F123" i="4"/>
  <c r="F124" i="4"/>
  <c r="F125" i="4"/>
  <c r="F126" i="4"/>
  <c r="G126" i="4" s="1"/>
  <c r="F127" i="4"/>
  <c r="F128" i="4"/>
  <c r="G128" i="4"/>
  <c r="F129" i="4"/>
  <c r="G129" i="4" s="1"/>
  <c r="F130" i="4"/>
  <c r="G130" i="4" s="1"/>
  <c r="F131" i="4"/>
  <c r="G131" i="4" s="1"/>
  <c r="F132" i="4"/>
  <c r="G132" i="4" s="1"/>
  <c r="F133" i="4"/>
  <c r="G133" i="4" s="1"/>
  <c r="F134" i="4"/>
  <c r="G134" i="4" s="1"/>
  <c r="F135" i="4"/>
  <c r="G135" i="4" s="1"/>
  <c r="F136" i="4"/>
  <c r="F137" i="4"/>
  <c r="F138" i="4"/>
  <c r="G138" i="4" s="1"/>
  <c r="F139" i="4"/>
  <c r="F140" i="4"/>
  <c r="G140" i="4" s="1"/>
  <c r="F141" i="4"/>
  <c r="G141" i="4" s="1"/>
  <c r="F142" i="4"/>
  <c r="G142" i="4" s="1"/>
  <c r="F143" i="4"/>
  <c r="G143" i="4" s="1"/>
  <c r="F144" i="4"/>
  <c r="G144" i="4" s="1"/>
  <c r="F145" i="4"/>
  <c r="G145" i="4" s="1"/>
  <c r="F146" i="4"/>
  <c r="G146" i="4" s="1"/>
  <c r="F147" i="4"/>
  <c r="G147" i="4" s="1"/>
  <c r="F148" i="4"/>
  <c r="G148" i="4" s="1"/>
  <c r="F149" i="4"/>
  <c r="G149" i="4" s="1"/>
  <c r="F150" i="4"/>
  <c r="G150" i="4" s="1"/>
  <c r="F151" i="4"/>
  <c r="G151" i="4" s="1"/>
  <c r="F152" i="4"/>
  <c r="F153" i="4"/>
  <c r="F154" i="4"/>
  <c r="G154" i="4" s="1"/>
  <c r="F155" i="4"/>
  <c r="F156" i="4"/>
  <c r="F157" i="4"/>
  <c r="F158" i="4"/>
  <c r="J98" i="4"/>
  <c r="J99" i="4"/>
  <c r="J100" i="4"/>
  <c r="J103" i="4"/>
  <c r="J104" i="4"/>
  <c r="J107" i="4"/>
  <c r="J113" i="4"/>
  <c r="J150" i="4"/>
  <c r="I97" i="4"/>
  <c r="J97" i="4" s="1"/>
  <c r="I98" i="4"/>
  <c r="I99" i="4"/>
  <c r="I100" i="4"/>
  <c r="I101" i="4"/>
  <c r="J101" i="4" s="1"/>
  <c r="I102" i="4"/>
  <c r="J102" i="4" s="1"/>
  <c r="I103" i="4"/>
  <c r="I104" i="4"/>
  <c r="I105" i="4"/>
  <c r="J105" i="4"/>
  <c r="I107" i="4"/>
  <c r="I108" i="4"/>
  <c r="J108" i="4" s="1"/>
  <c r="I109" i="4"/>
  <c r="J109" i="4" s="1"/>
  <c r="I110" i="4"/>
  <c r="J110" i="4" s="1"/>
  <c r="I111" i="4"/>
  <c r="J111" i="4" s="1"/>
  <c r="I112" i="4"/>
  <c r="J112" i="4" s="1"/>
  <c r="I113" i="4"/>
  <c r="I114" i="4"/>
  <c r="J114" i="4" s="1"/>
  <c r="I115" i="4"/>
  <c r="J115" i="4" s="1"/>
  <c r="I116" i="4"/>
  <c r="J116" i="4" s="1"/>
  <c r="I117" i="4"/>
  <c r="J117" i="4" s="1"/>
  <c r="I118" i="4"/>
  <c r="J118" i="4" s="1"/>
  <c r="I119" i="4"/>
  <c r="J119" i="4" s="1"/>
  <c r="I120" i="4"/>
  <c r="J120" i="4" s="1"/>
  <c r="I121" i="4"/>
  <c r="J121" i="4" s="1"/>
  <c r="I122" i="4"/>
  <c r="J122" i="4" s="1"/>
  <c r="I123" i="4"/>
  <c r="J123" i="4" s="1"/>
  <c r="I124" i="4"/>
  <c r="J124" i="4" s="1"/>
  <c r="I125" i="4"/>
  <c r="J125" i="4" s="1"/>
  <c r="I126" i="4"/>
  <c r="J126" i="4" s="1"/>
  <c r="I127" i="4"/>
  <c r="J127" i="4" s="1"/>
  <c r="I128" i="4"/>
  <c r="J128" i="4" s="1"/>
  <c r="I129" i="4"/>
  <c r="J129" i="4" s="1"/>
  <c r="I130" i="4"/>
  <c r="J130" i="4" s="1"/>
  <c r="I131" i="4"/>
  <c r="J131" i="4" s="1"/>
  <c r="I132" i="4"/>
  <c r="J132" i="4" s="1"/>
  <c r="I133" i="4"/>
  <c r="J133" i="4" s="1"/>
  <c r="I134" i="4"/>
  <c r="J134" i="4" s="1"/>
  <c r="I135" i="4"/>
  <c r="J135" i="4" s="1"/>
  <c r="I136" i="4"/>
  <c r="J136" i="4" s="1"/>
  <c r="I137" i="4"/>
  <c r="J137" i="4" s="1"/>
  <c r="I138" i="4"/>
  <c r="J138" i="4" s="1"/>
  <c r="I139" i="4"/>
  <c r="J139" i="4" s="1"/>
  <c r="I140" i="4"/>
  <c r="J140" i="4" s="1"/>
  <c r="I141" i="4"/>
  <c r="J141" i="4" s="1"/>
  <c r="I142" i="4"/>
  <c r="J142" i="4" s="1"/>
  <c r="I143" i="4"/>
  <c r="J143" i="4" s="1"/>
  <c r="I144" i="4"/>
  <c r="J144" i="4" s="1"/>
  <c r="I145" i="4"/>
  <c r="J145" i="4" s="1"/>
  <c r="I146" i="4"/>
  <c r="J146" i="4" s="1"/>
  <c r="I147" i="4"/>
  <c r="J147" i="4" s="1"/>
  <c r="I148" i="4"/>
  <c r="J148" i="4" s="1"/>
  <c r="I149" i="4"/>
  <c r="J149" i="4"/>
  <c r="I150" i="4"/>
  <c r="I151" i="4"/>
  <c r="J151" i="4" s="1"/>
  <c r="I152" i="4"/>
  <c r="I153" i="4"/>
  <c r="I154" i="4"/>
  <c r="I155" i="4"/>
  <c r="I156" i="4"/>
  <c r="I157"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F98" i="4"/>
  <c r="G98" i="4" s="1"/>
  <c r="F99" i="4"/>
  <c r="G99" i="4" s="1"/>
  <c r="F100" i="4"/>
  <c r="G100" i="4" s="1"/>
  <c r="F62" i="4"/>
  <c r="G62" i="4" s="1"/>
  <c r="F63" i="4"/>
  <c r="G63" i="4" s="1"/>
  <c r="J12" i="3"/>
  <c r="J14" i="3"/>
  <c r="J29" i="3"/>
  <c r="J44" i="3"/>
  <c r="J50" i="3"/>
  <c r="J54" i="3"/>
  <c r="J56" i="3"/>
  <c r="J70" i="3"/>
  <c r="J71" i="3"/>
  <c r="J105" i="3"/>
  <c r="J106" i="3"/>
  <c r="J107" i="3"/>
  <c r="J108" i="3"/>
  <c r="J111" i="3"/>
  <c r="J112" i="3"/>
  <c r="J121" i="3"/>
  <c r="J127" i="3"/>
  <c r="J137" i="3"/>
  <c r="J138" i="3"/>
  <c r="J139" i="3"/>
  <c r="J140" i="3"/>
  <c r="J143" i="3"/>
  <c r="J144" i="3"/>
  <c r="J145" i="3"/>
  <c r="C143" i="30"/>
  <c r="C144" i="30"/>
  <c r="C145" i="30"/>
  <c r="C146" i="30"/>
  <c r="C147" i="30"/>
  <c r="C148" i="30"/>
  <c r="C149" i="30"/>
  <c r="C150" i="30"/>
  <c r="C151" i="30"/>
  <c r="C152" i="30"/>
  <c r="C153" i="30"/>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18" i="3"/>
  <c r="C119" i="3"/>
  <c r="C158" i="72"/>
  <c r="C157" i="72"/>
  <c r="C155" i="72"/>
  <c r="C156" i="72"/>
  <c r="C154" i="72"/>
  <c r="C147" i="72"/>
  <c r="C146" i="72"/>
  <c r="C145" i="72"/>
  <c r="C144" i="72"/>
  <c r="C143" i="72"/>
  <c r="C141" i="72"/>
  <c r="C139" i="72"/>
  <c r="C137" i="72"/>
  <c r="C135" i="72"/>
  <c r="C133" i="72"/>
  <c r="C131" i="72"/>
  <c r="C129" i="72"/>
  <c r="C127" i="72"/>
  <c r="C125" i="72"/>
  <c r="C123" i="72"/>
  <c r="C121" i="72"/>
  <c r="C122" i="72"/>
  <c r="I147" i="3"/>
  <c r="J147" i="3" s="1"/>
  <c r="I148" i="3"/>
  <c r="J148" i="3" s="1"/>
  <c r="I149" i="3"/>
  <c r="J149" i="3" s="1"/>
  <c r="I150" i="3"/>
  <c r="J150" i="3" s="1"/>
  <c r="I151" i="3"/>
  <c r="J151" i="3" s="1"/>
  <c r="I152" i="3"/>
  <c r="I153" i="3"/>
  <c r="F148" i="3"/>
  <c r="G148" i="3"/>
  <c r="F149" i="3"/>
  <c r="G149" i="3"/>
  <c r="F150" i="3"/>
  <c r="G150" i="3"/>
  <c r="F151" i="3"/>
  <c r="G151" i="3" s="1"/>
  <c r="F152" i="3"/>
  <c r="F153" i="3"/>
  <c r="I122" i="72"/>
  <c r="J122" i="72" s="1"/>
  <c r="I123" i="72"/>
  <c r="I124" i="72"/>
  <c r="I125" i="72"/>
  <c r="J125" i="72" s="1"/>
  <c r="I126" i="72"/>
  <c r="I127" i="72"/>
  <c r="I128" i="72"/>
  <c r="I129" i="72"/>
  <c r="I130" i="72"/>
  <c r="J130" i="72" s="1"/>
  <c r="I131" i="72"/>
  <c r="J131" i="72" s="1"/>
  <c r="I132" i="72"/>
  <c r="I133" i="72"/>
  <c r="I134" i="72"/>
  <c r="I135" i="72"/>
  <c r="I136" i="72"/>
  <c r="I137" i="72"/>
  <c r="I138" i="72"/>
  <c r="J138" i="72" s="1"/>
  <c r="I139" i="72"/>
  <c r="I140" i="72"/>
  <c r="J140" i="72" s="1"/>
  <c r="I141" i="72"/>
  <c r="J141" i="72" s="1"/>
  <c r="I142" i="72"/>
  <c r="I143" i="72"/>
  <c r="I144" i="72"/>
  <c r="I145" i="72"/>
  <c r="J145" i="72" s="1"/>
  <c r="I146" i="72"/>
  <c r="I147" i="72"/>
  <c r="J147" i="72"/>
  <c r="I148" i="72"/>
  <c r="I149" i="72"/>
  <c r="I150" i="72"/>
  <c r="I151" i="72"/>
  <c r="I152" i="72"/>
  <c r="J152" i="72" s="1"/>
  <c r="I153" i="72"/>
  <c r="F144" i="72"/>
  <c r="G144" i="72" s="1"/>
  <c r="F145" i="72"/>
  <c r="G145" i="72"/>
  <c r="F146" i="72"/>
  <c r="G146" i="72"/>
  <c r="F147" i="72"/>
  <c r="G147" i="72"/>
  <c r="F148" i="72"/>
  <c r="G148" i="72" s="1"/>
  <c r="F149" i="72"/>
  <c r="G149" i="72" s="1"/>
  <c r="F150" i="72"/>
  <c r="G150" i="72" s="1"/>
  <c r="F151" i="72"/>
  <c r="G151" i="72" s="1"/>
  <c r="F152" i="72"/>
  <c r="G152" i="72" s="1"/>
  <c r="F153" i="72"/>
  <c r="C149" i="72"/>
  <c r="C150" i="72"/>
  <c r="C151" i="72"/>
  <c r="C152" i="72"/>
  <c r="C153" i="72"/>
  <c r="C148" i="72"/>
  <c r="I96" i="3"/>
  <c r="J96" i="3" s="1"/>
  <c r="I97" i="3"/>
  <c r="J97" i="3" s="1"/>
  <c r="I98" i="3"/>
  <c r="J98" i="3" s="1"/>
  <c r="I99" i="3"/>
  <c r="J99" i="3" s="1"/>
  <c r="I100" i="3"/>
  <c r="J100" i="3" s="1"/>
  <c r="I101" i="3"/>
  <c r="J101" i="3" s="1"/>
  <c r="I102" i="3"/>
  <c r="J102" i="3" s="1"/>
  <c r="I103" i="3"/>
  <c r="J103" i="3" s="1"/>
  <c r="I104" i="3"/>
  <c r="J104" i="3" s="1"/>
  <c r="I105" i="3"/>
  <c r="I106" i="3"/>
  <c r="I107" i="3"/>
  <c r="I108" i="3"/>
  <c r="I109" i="3"/>
  <c r="J109" i="3" s="1"/>
  <c r="I110" i="3"/>
  <c r="J110" i="3" s="1"/>
  <c r="I111" i="3"/>
  <c r="I112" i="3"/>
  <c r="I113" i="3"/>
  <c r="J113" i="3" s="1"/>
  <c r="I114" i="3"/>
  <c r="J114" i="3" s="1"/>
  <c r="I115" i="3"/>
  <c r="J115" i="3" s="1"/>
  <c r="I116" i="3"/>
  <c r="J116" i="3" s="1"/>
  <c r="I117" i="3"/>
  <c r="J117" i="3" s="1"/>
  <c r="I118" i="3"/>
  <c r="J118" i="3" s="1"/>
  <c r="I119" i="3"/>
  <c r="J119" i="3" s="1"/>
  <c r="I120" i="3"/>
  <c r="J120" i="3" s="1"/>
  <c r="I121" i="3"/>
  <c r="I122" i="3"/>
  <c r="J122" i="3" s="1"/>
  <c r="I123" i="3"/>
  <c r="J123" i="3" s="1"/>
  <c r="I124" i="3"/>
  <c r="J124" i="3" s="1"/>
  <c r="I125" i="3"/>
  <c r="J125" i="3" s="1"/>
  <c r="I126" i="3"/>
  <c r="J126" i="3" s="1"/>
  <c r="I127" i="3"/>
  <c r="I128" i="3"/>
  <c r="J128" i="3" s="1"/>
  <c r="I129" i="3"/>
  <c r="I130" i="3"/>
  <c r="J130" i="3" s="1"/>
  <c r="I131" i="3"/>
  <c r="J131" i="3" s="1"/>
  <c r="I132" i="3"/>
  <c r="J132" i="3" s="1"/>
  <c r="I133" i="3"/>
  <c r="J133" i="3" s="1"/>
  <c r="I134" i="3"/>
  <c r="J134" i="3" s="1"/>
  <c r="I135" i="3"/>
  <c r="J135" i="3" s="1"/>
  <c r="I136" i="3"/>
  <c r="J136" i="3" s="1"/>
  <c r="I137" i="3"/>
  <c r="I138" i="3"/>
  <c r="I139" i="3"/>
  <c r="I140" i="3"/>
  <c r="I141" i="3"/>
  <c r="J141" i="3" s="1"/>
  <c r="I142" i="3"/>
  <c r="J142" i="3" s="1"/>
  <c r="I143" i="3"/>
  <c r="I144" i="3"/>
  <c r="I145" i="3"/>
  <c r="I146" i="3"/>
  <c r="J146" i="3" s="1"/>
  <c r="F146" i="3"/>
  <c r="G146" i="3" s="1"/>
  <c r="F147" i="3"/>
  <c r="G147" i="3"/>
  <c r="F144" i="3"/>
  <c r="G144" i="3"/>
  <c r="F145" i="3"/>
  <c r="G145" i="3" s="1"/>
  <c r="I47" i="72"/>
  <c r="J47" i="72" s="1"/>
  <c r="I48" i="72"/>
  <c r="I49" i="72"/>
  <c r="J49" i="72" s="1"/>
  <c r="I50" i="72"/>
  <c r="J50" i="72" s="1"/>
  <c r="I51" i="72"/>
  <c r="J51" i="72" s="1"/>
  <c r="I52" i="72"/>
  <c r="F47" i="72"/>
  <c r="G47" i="72" s="1"/>
  <c r="F48" i="72"/>
  <c r="G48" i="72" s="1"/>
  <c r="F49" i="72"/>
  <c r="G49" i="72" s="1"/>
  <c r="F50" i="72"/>
  <c r="G50" i="72" s="1"/>
  <c r="F51" i="72"/>
  <c r="G51" i="72" s="1"/>
  <c r="F52" i="72"/>
  <c r="G52" i="72" s="1"/>
  <c r="I96" i="72"/>
  <c r="J96" i="72" s="1"/>
  <c r="I97" i="72"/>
  <c r="J97" i="72"/>
  <c r="I98" i="72"/>
  <c r="I99" i="72"/>
  <c r="I100" i="72"/>
  <c r="J100" i="72"/>
  <c r="I101" i="72"/>
  <c r="J101" i="72"/>
  <c r="I102" i="72"/>
  <c r="I103" i="72"/>
  <c r="I104" i="72"/>
  <c r="I105" i="72"/>
  <c r="J105" i="72" s="1"/>
  <c r="I106" i="72"/>
  <c r="J106" i="72" s="1"/>
  <c r="I107" i="72"/>
  <c r="I108" i="72"/>
  <c r="I109" i="72"/>
  <c r="I110" i="72"/>
  <c r="I111" i="72"/>
  <c r="I112" i="72"/>
  <c r="I113" i="72"/>
  <c r="I114" i="72"/>
  <c r="I115" i="72"/>
  <c r="I116" i="72"/>
  <c r="I117" i="72"/>
  <c r="J117" i="72" s="1"/>
  <c r="I118" i="72"/>
  <c r="J118" i="72"/>
  <c r="I119" i="72"/>
  <c r="I120" i="72"/>
  <c r="I121" i="72"/>
  <c r="F96" i="72"/>
  <c r="F97" i="72"/>
  <c r="F98" i="72"/>
  <c r="G98" i="72" s="1"/>
  <c r="F99" i="72"/>
  <c r="F100" i="72"/>
  <c r="F101" i="72"/>
  <c r="F102" i="72"/>
  <c r="G102" i="72" s="1"/>
  <c r="F103" i="72"/>
  <c r="G103" i="72" s="1"/>
  <c r="F104" i="72"/>
  <c r="G104" i="72" s="1"/>
  <c r="F105" i="72"/>
  <c r="G105" i="72" s="1"/>
  <c r="F106" i="72"/>
  <c r="G106" i="72" s="1"/>
  <c r="F107" i="72"/>
  <c r="G107" i="72" s="1"/>
  <c r="F108" i="72"/>
  <c r="G108" i="72" s="1"/>
  <c r="F109" i="72"/>
  <c r="G109" i="72" s="1"/>
  <c r="F110" i="72"/>
  <c r="G110" i="72" s="1"/>
  <c r="F111" i="72"/>
  <c r="G111" i="72" s="1"/>
  <c r="F112" i="72"/>
  <c r="G112" i="72" s="1"/>
  <c r="F113" i="72"/>
  <c r="G113" i="72" s="1"/>
  <c r="F114" i="72"/>
  <c r="G114" i="72" s="1"/>
  <c r="F115" i="72"/>
  <c r="G115" i="72" s="1"/>
  <c r="F116" i="72"/>
  <c r="G116" i="72" s="1"/>
  <c r="F117" i="72"/>
  <c r="G117" i="72" s="1"/>
  <c r="F118" i="72"/>
  <c r="F119" i="72"/>
  <c r="F120" i="72"/>
  <c r="G120" i="72" s="1"/>
  <c r="F121" i="72"/>
  <c r="F122" i="72"/>
  <c r="G122" i="72" s="1"/>
  <c r="F123" i="72"/>
  <c r="G123" i="72" s="1"/>
  <c r="F124" i="72"/>
  <c r="G124" i="72" s="1"/>
  <c r="F125" i="72"/>
  <c r="G125" i="72" s="1"/>
  <c r="F126" i="72"/>
  <c r="G126" i="72" s="1"/>
  <c r="F127" i="72"/>
  <c r="G127" i="72" s="1"/>
  <c r="F128" i="72"/>
  <c r="G128" i="72" s="1"/>
  <c r="F129" i="72"/>
  <c r="G129" i="72" s="1"/>
  <c r="F130" i="72"/>
  <c r="G130" i="72" s="1"/>
  <c r="F131" i="72"/>
  <c r="G131" i="72" s="1"/>
  <c r="F132" i="72"/>
  <c r="G132" i="72" s="1"/>
  <c r="F133" i="72"/>
  <c r="G133" i="72" s="1"/>
  <c r="F134" i="72"/>
  <c r="G134" i="72" s="1"/>
  <c r="F135" i="72"/>
  <c r="G135" i="72" s="1"/>
  <c r="F136" i="72"/>
  <c r="G136" i="72" s="1"/>
  <c r="F137" i="72"/>
  <c r="G137" i="72" s="1"/>
  <c r="F138" i="72"/>
  <c r="G138" i="72" s="1"/>
  <c r="F139" i="72"/>
  <c r="G139" i="72" s="1"/>
  <c r="F140" i="72"/>
  <c r="G140" i="72" s="1"/>
  <c r="F141" i="72"/>
  <c r="G141" i="72" s="1"/>
  <c r="F142" i="72"/>
  <c r="G142" i="72" s="1"/>
  <c r="F143" i="72"/>
  <c r="G143" i="72" s="1"/>
  <c r="G96" i="72"/>
  <c r="G97" i="72"/>
  <c r="G99" i="72"/>
  <c r="G100" i="72"/>
  <c r="G101" i="72"/>
  <c r="G118" i="72"/>
  <c r="G119" i="72"/>
  <c r="G121" i="72"/>
  <c r="F96" i="3"/>
  <c r="G96" i="3"/>
  <c r="F97" i="3"/>
  <c r="G97" i="3" s="1"/>
  <c r="F98" i="3"/>
  <c r="G98" i="3"/>
  <c r="F99" i="3"/>
  <c r="G99" i="3"/>
  <c r="F100" i="3"/>
  <c r="G100" i="3" s="1"/>
  <c r="F101" i="3"/>
  <c r="G101" i="3" s="1"/>
  <c r="F102" i="3"/>
  <c r="G102" i="3"/>
  <c r="F103" i="3"/>
  <c r="G103" i="3" s="1"/>
  <c r="F104" i="3"/>
  <c r="G104" i="3" s="1"/>
  <c r="F105" i="3"/>
  <c r="G105" i="3"/>
  <c r="F106" i="3"/>
  <c r="G106" i="3"/>
  <c r="F107" i="3"/>
  <c r="G107" i="3"/>
  <c r="F108" i="3"/>
  <c r="G108" i="3" s="1"/>
  <c r="F109" i="3"/>
  <c r="G109" i="3" s="1"/>
  <c r="F110" i="3"/>
  <c r="G110" i="3"/>
  <c r="F111" i="3"/>
  <c r="G111" i="3" s="1"/>
  <c r="F112" i="3"/>
  <c r="G112" i="3"/>
  <c r="F113" i="3"/>
  <c r="G113" i="3"/>
  <c r="F114" i="3"/>
  <c r="G114" i="3"/>
  <c r="F115" i="3"/>
  <c r="G115" i="3"/>
  <c r="F116" i="3"/>
  <c r="G116" i="3" s="1"/>
  <c r="F117" i="3"/>
  <c r="G117" i="3" s="1"/>
  <c r="F118" i="3"/>
  <c r="G118" i="3"/>
  <c r="F119" i="3"/>
  <c r="G119" i="3" s="1"/>
  <c r="F120" i="3"/>
  <c r="G120" i="3"/>
  <c r="F121" i="3"/>
  <c r="G121" i="3"/>
  <c r="F122" i="3"/>
  <c r="G122" i="3"/>
  <c r="F123" i="3"/>
  <c r="G123" i="3" s="1"/>
  <c r="F124" i="3"/>
  <c r="G124" i="3" s="1"/>
  <c r="F125" i="3"/>
  <c r="G125" i="3" s="1"/>
  <c r="F126" i="3"/>
  <c r="G126" i="3"/>
  <c r="F127" i="3"/>
  <c r="G127" i="3" s="1"/>
  <c r="F128" i="3"/>
  <c r="G128" i="3"/>
  <c r="F129" i="3"/>
  <c r="G129" i="3"/>
  <c r="F130" i="3"/>
  <c r="G130" i="3" s="1"/>
  <c r="F131" i="3"/>
  <c r="G131" i="3"/>
  <c r="F132" i="3"/>
  <c r="G132" i="3" s="1"/>
  <c r="F133" i="3"/>
  <c r="G133" i="3" s="1"/>
  <c r="F134" i="3"/>
  <c r="G134" i="3"/>
  <c r="F135" i="3"/>
  <c r="G135" i="3" s="1"/>
  <c r="F136" i="3"/>
  <c r="G136" i="3"/>
  <c r="F137" i="3"/>
  <c r="G137" i="3"/>
  <c r="F138" i="3"/>
  <c r="G138" i="3" s="1"/>
  <c r="F139" i="3"/>
  <c r="G139" i="3"/>
  <c r="F140" i="3"/>
  <c r="G140" i="3" s="1"/>
  <c r="F141" i="3"/>
  <c r="G141" i="3" s="1"/>
  <c r="F142" i="3"/>
  <c r="G142" i="3"/>
  <c r="F143" i="3"/>
  <c r="G143" i="3" s="1"/>
  <c r="C120" i="72"/>
  <c r="C124" i="72"/>
  <c r="C126" i="72"/>
  <c r="C128" i="72"/>
  <c r="C130" i="72"/>
  <c r="C132" i="72"/>
  <c r="C134" i="72"/>
  <c r="C136" i="72"/>
  <c r="C138" i="72"/>
  <c r="C140" i="72"/>
  <c r="C142" i="72"/>
  <c r="C120" i="30"/>
  <c r="C121" i="30"/>
  <c r="C122" i="30"/>
  <c r="C123" i="30"/>
  <c r="C124" i="30"/>
  <c r="C125" i="30"/>
  <c r="C126" i="30"/>
  <c r="C127" i="30"/>
  <c r="C128" i="30"/>
  <c r="C129" i="30"/>
  <c r="C130" i="30"/>
  <c r="C131" i="30"/>
  <c r="C132" i="30"/>
  <c r="C133" i="30"/>
  <c r="C134" i="30"/>
  <c r="C135" i="30"/>
  <c r="C136" i="30"/>
  <c r="C137" i="30"/>
  <c r="C138" i="30"/>
  <c r="C139" i="30"/>
  <c r="C140" i="30"/>
  <c r="C141" i="30"/>
  <c r="C142" i="30"/>
  <c r="I117" i="19"/>
  <c r="I118" i="19"/>
  <c r="J118" i="19" s="1"/>
  <c r="C119" i="30"/>
  <c r="C118" i="30"/>
  <c r="C154" i="1"/>
  <c r="F133" i="33"/>
  <c r="J38" i="33"/>
  <c r="J57" i="33"/>
  <c r="J65" i="33"/>
  <c r="I18" i="33"/>
  <c r="J18" i="33"/>
  <c r="I19" i="33"/>
  <c r="J19" i="33"/>
  <c r="I20" i="33"/>
  <c r="J20" i="33" s="1"/>
  <c r="I21" i="33"/>
  <c r="J21" i="33"/>
  <c r="I22" i="33"/>
  <c r="J22" i="33"/>
  <c r="I23" i="33"/>
  <c r="J23" i="33"/>
  <c r="I24" i="33"/>
  <c r="J24" i="33"/>
  <c r="I25" i="33"/>
  <c r="J25" i="33"/>
  <c r="I26" i="33"/>
  <c r="J26" i="33"/>
  <c r="I27" i="33"/>
  <c r="J27" i="33"/>
  <c r="I28" i="33"/>
  <c r="J28" i="33" s="1"/>
  <c r="I29" i="33"/>
  <c r="J29" i="33"/>
  <c r="I30" i="33"/>
  <c r="J30" i="33"/>
  <c r="I31" i="33"/>
  <c r="J31" i="33"/>
  <c r="I32" i="33"/>
  <c r="I33" i="33"/>
  <c r="J33" i="33"/>
  <c r="I34" i="33"/>
  <c r="J34" i="33"/>
  <c r="I35" i="33"/>
  <c r="J35" i="33" s="1"/>
  <c r="I36" i="33"/>
  <c r="J36" i="33" s="1"/>
  <c r="I37" i="33"/>
  <c r="J37" i="33"/>
  <c r="I38" i="33"/>
  <c r="I39" i="33"/>
  <c r="J39" i="33"/>
  <c r="I40" i="33"/>
  <c r="J40" i="33"/>
  <c r="I41" i="33"/>
  <c r="J41" i="33"/>
  <c r="I42" i="33"/>
  <c r="J42" i="33"/>
  <c r="I43" i="33"/>
  <c r="I44" i="33"/>
  <c r="J44" i="33"/>
  <c r="I45" i="33"/>
  <c r="J45" i="33" s="1"/>
  <c r="I46" i="33"/>
  <c r="J46" i="33"/>
  <c r="I47" i="33"/>
  <c r="J47" i="33"/>
  <c r="I48" i="33"/>
  <c r="J48" i="33" s="1"/>
  <c r="I49" i="33"/>
  <c r="J49" i="33"/>
  <c r="I50" i="33"/>
  <c r="J50" i="33"/>
  <c r="I51" i="33"/>
  <c r="J51" i="33" s="1"/>
  <c r="I52" i="33"/>
  <c r="J52" i="33"/>
  <c r="I53" i="33"/>
  <c r="J53" i="33" s="1"/>
  <c r="I54" i="33"/>
  <c r="J54" i="33"/>
  <c r="I55" i="33"/>
  <c r="J55" i="33"/>
  <c r="I56" i="33"/>
  <c r="J56" i="33" s="1"/>
  <c r="I57" i="33"/>
  <c r="I58" i="33"/>
  <c r="J58" i="33" s="1"/>
  <c r="I59" i="33"/>
  <c r="I60" i="33"/>
  <c r="J60" i="33"/>
  <c r="I61" i="33"/>
  <c r="J61" i="33"/>
  <c r="I62" i="33"/>
  <c r="J62" i="33" s="1"/>
  <c r="I63" i="33"/>
  <c r="J63" i="33"/>
  <c r="I64" i="33"/>
  <c r="J64" i="33"/>
  <c r="I65" i="33"/>
  <c r="I66" i="33"/>
  <c r="J66" i="33"/>
  <c r="I67" i="33"/>
  <c r="J67" i="33" s="1"/>
  <c r="I68" i="33"/>
  <c r="J68" i="33" s="1"/>
  <c r="I69" i="33"/>
  <c r="J69" i="33"/>
  <c r="I70" i="33"/>
  <c r="J70" i="33" s="1"/>
  <c r="I71" i="33"/>
  <c r="J71" i="33"/>
  <c r="I72" i="33"/>
  <c r="J72" i="33"/>
  <c r="I73" i="33"/>
  <c r="J73" i="33" s="1"/>
  <c r="I74" i="33"/>
  <c r="J74" i="33"/>
  <c r="I75" i="33"/>
  <c r="J75" i="33"/>
  <c r="I76" i="33"/>
  <c r="J76" i="33" s="1"/>
  <c r="I77" i="33"/>
  <c r="J77" i="33" s="1"/>
  <c r="I78" i="33"/>
  <c r="J78" i="33" s="1"/>
  <c r="I79" i="33"/>
  <c r="J79" i="33"/>
  <c r="I80" i="33"/>
  <c r="J80" i="33"/>
  <c r="I81" i="33"/>
  <c r="J81" i="33" s="1"/>
  <c r="I82" i="33"/>
  <c r="J82" i="33"/>
  <c r="I83" i="33"/>
  <c r="J83" i="33"/>
  <c r="I84" i="33"/>
  <c r="J84" i="33"/>
  <c r="I85" i="33"/>
  <c r="J85" i="33" s="1"/>
  <c r="I86" i="33"/>
  <c r="J86" i="33" s="1"/>
  <c r="I87" i="33"/>
  <c r="J87" i="33"/>
  <c r="I88" i="33"/>
  <c r="J88" i="33"/>
  <c r="I89" i="33"/>
  <c r="J89" i="33" s="1"/>
  <c r="I90" i="33"/>
  <c r="J90" i="33"/>
  <c r="I91" i="33"/>
  <c r="J91" i="33"/>
  <c r="I92" i="33"/>
  <c r="J92" i="33"/>
  <c r="I93" i="33"/>
  <c r="J93" i="33"/>
  <c r="I94" i="33"/>
  <c r="I95" i="33"/>
  <c r="J95" i="33"/>
  <c r="I96" i="33"/>
  <c r="J96" i="33"/>
  <c r="I97" i="33"/>
  <c r="J97" i="33" s="1"/>
  <c r="I98" i="33"/>
  <c r="J98" i="33"/>
  <c r="I99" i="33"/>
  <c r="J99" i="33"/>
  <c r="I100" i="33"/>
  <c r="J100" i="33"/>
  <c r="I101" i="33"/>
  <c r="J101" i="33"/>
  <c r="I102" i="33"/>
  <c r="J102" i="33" s="1"/>
  <c r="I103" i="33"/>
  <c r="J103" i="33"/>
  <c r="I104" i="33"/>
  <c r="J104" i="33"/>
  <c r="I105" i="33"/>
  <c r="J105" i="33" s="1"/>
  <c r="I106" i="33"/>
  <c r="J106" i="33"/>
  <c r="I107" i="33"/>
  <c r="J107" i="33"/>
  <c r="I108" i="33"/>
  <c r="J108" i="33"/>
  <c r="I109" i="33"/>
  <c r="J109" i="33"/>
  <c r="I110" i="33"/>
  <c r="J110" i="33" s="1"/>
  <c r="I111" i="33"/>
  <c r="J111" i="33"/>
  <c r="I112" i="33"/>
  <c r="J112" i="33"/>
  <c r="I113" i="33"/>
  <c r="J113" i="33" s="1"/>
  <c r="I114" i="33"/>
  <c r="J114" i="33"/>
  <c r="I115" i="33"/>
  <c r="J115" i="33"/>
  <c r="I116" i="33"/>
  <c r="J116" i="33"/>
  <c r="I117" i="33"/>
  <c r="J117" i="33"/>
  <c r="I118" i="33"/>
  <c r="J118" i="33" s="1"/>
  <c r="I119" i="33"/>
  <c r="J119" i="33"/>
  <c r="I120" i="33"/>
  <c r="J120" i="33"/>
  <c r="I121" i="33"/>
  <c r="J121" i="33" s="1"/>
  <c r="I122" i="33"/>
  <c r="J122" i="33"/>
  <c r="I123" i="33"/>
  <c r="J123" i="33" s="1"/>
  <c r="I124" i="33"/>
  <c r="J124" i="33"/>
  <c r="I125" i="33"/>
  <c r="J125" i="33"/>
  <c r="I126" i="33"/>
  <c r="J126" i="33" s="1"/>
  <c r="I127" i="33"/>
  <c r="J127" i="33"/>
  <c r="I128" i="33"/>
  <c r="J128" i="33"/>
  <c r="I129" i="33"/>
  <c r="J129" i="33" s="1"/>
  <c r="I130" i="33"/>
  <c r="J130" i="33"/>
  <c r="I131" i="33"/>
  <c r="J131" i="33"/>
  <c r="I132" i="33"/>
  <c r="J132" i="33" s="1"/>
  <c r="I133" i="33"/>
  <c r="J133" i="33"/>
  <c r="I134" i="33"/>
  <c r="J134" i="33" s="1"/>
  <c r="I135" i="33"/>
  <c r="J135" i="33"/>
  <c r="I136" i="33"/>
  <c r="J136" i="33"/>
  <c r="I137" i="33"/>
  <c r="J137" i="33" s="1"/>
  <c r="I138" i="33"/>
  <c r="J138" i="33"/>
  <c r="I139" i="33"/>
  <c r="J139" i="33"/>
  <c r="I140" i="33"/>
  <c r="J140" i="33"/>
  <c r="I141" i="33"/>
  <c r="I142" i="33"/>
  <c r="J142" i="33" s="1"/>
  <c r="I143" i="33"/>
  <c r="J143" i="33"/>
  <c r="I144" i="33"/>
  <c r="J144" i="33"/>
  <c r="I145" i="33"/>
  <c r="I146" i="33"/>
  <c r="J146" i="33"/>
  <c r="I147" i="33"/>
  <c r="J147" i="33"/>
  <c r="I148" i="33"/>
  <c r="J148" i="33"/>
  <c r="I149" i="33"/>
  <c r="J149" i="33"/>
  <c r="I150" i="33"/>
  <c r="J150" i="33" s="1"/>
  <c r="I151" i="33"/>
  <c r="J151" i="33"/>
  <c r="I152" i="33"/>
  <c r="J152" i="33"/>
  <c r="I153" i="33"/>
  <c r="J153" i="33" s="1"/>
  <c r="I154" i="33"/>
  <c r="J154" i="33"/>
  <c r="I155" i="33"/>
  <c r="J155" i="33"/>
  <c r="I156" i="33"/>
  <c r="J156" i="33"/>
  <c r="I157" i="33"/>
  <c r="J157" i="33"/>
  <c r="I158" i="33"/>
  <c r="J158" i="33" s="1"/>
  <c r="I16" i="33"/>
  <c r="G25" i="33"/>
  <c r="G26" i="33"/>
  <c r="G50" i="33"/>
  <c r="G53" i="33"/>
  <c r="G54" i="33"/>
  <c r="G63" i="33"/>
  <c r="G133" i="33"/>
  <c r="F18" i="33"/>
  <c r="G18" i="33"/>
  <c r="F19" i="33"/>
  <c r="G19" i="33" s="1"/>
  <c r="F20" i="33"/>
  <c r="G20" i="33"/>
  <c r="F21" i="33"/>
  <c r="G21" i="33" s="1"/>
  <c r="F22" i="33"/>
  <c r="G22" i="33" s="1"/>
  <c r="F23" i="33"/>
  <c r="G23" i="33" s="1"/>
  <c r="F24" i="33"/>
  <c r="G24" i="33" s="1"/>
  <c r="F25" i="33"/>
  <c r="F26" i="33"/>
  <c r="F27" i="33"/>
  <c r="G27" i="33"/>
  <c r="F28" i="33"/>
  <c r="G28" i="33"/>
  <c r="F29" i="33"/>
  <c r="G29" i="33"/>
  <c r="F30" i="33"/>
  <c r="G30" i="33" s="1"/>
  <c r="F31" i="33"/>
  <c r="G31" i="33"/>
  <c r="F32" i="33"/>
  <c r="G32" i="33"/>
  <c r="F33" i="33"/>
  <c r="G33" i="33" s="1"/>
  <c r="F34" i="33"/>
  <c r="G34" i="33"/>
  <c r="F35" i="33"/>
  <c r="G35" i="33"/>
  <c r="F36" i="33"/>
  <c r="G36" i="33" s="1"/>
  <c r="F37" i="33"/>
  <c r="G37" i="33"/>
  <c r="F38" i="33"/>
  <c r="G38" i="33"/>
  <c r="F39" i="33"/>
  <c r="G39" i="33" s="1"/>
  <c r="F40" i="33"/>
  <c r="G40" i="33" s="1"/>
  <c r="F41" i="33"/>
  <c r="G41" i="33" s="1"/>
  <c r="F42" i="33"/>
  <c r="G42" i="33"/>
  <c r="F43" i="33"/>
  <c r="G43" i="33"/>
  <c r="F44" i="33"/>
  <c r="G44" i="33" s="1"/>
  <c r="F45" i="33"/>
  <c r="G45" i="33" s="1"/>
  <c r="F46" i="33"/>
  <c r="G46" i="33" s="1"/>
  <c r="F47" i="33"/>
  <c r="G47" i="33"/>
  <c r="F48" i="33"/>
  <c r="G48" i="33"/>
  <c r="F49" i="33"/>
  <c r="G49" i="33" s="1"/>
  <c r="F50" i="33"/>
  <c r="F51" i="33"/>
  <c r="G51" i="33" s="1"/>
  <c r="F52" i="33"/>
  <c r="G52" i="33"/>
  <c r="F53" i="33"/>
  <c r="F54" i="33"/>
  <c r="F55" i="33"/>
  <c r="G55" i="33" s="1"/>
  <c r="F56" i="33"/>
  <c r="G56" i="33"/>
  <c r="F57" i="33"/>
  <c r="G57" i="33" s="1"/>
  <c r="F58" i="33"/>
  <c r="G58" i="33" s="1"/>
  <c r="F59" i="33"/>
  <c r="G59" i="33"/>
  <c r="F60" i="33"/>
  <c r="G60" i="33"/>
  <c r="F61" i="33"/>
  <c r="G61" i="33" s="1"/>
  <c r="F62" i="33"/>
  <c r="G62" i="33"/>
  <c r="F63" i="33"/>
  <c r="F64" i="33"/>
  <c r="G64" i="33"/>
  <c r="F65" i="33"/>
  <c r="G65" i="33"/>
  <c r="F66" i="33"/>
  <c r="G66" i="33"/>
  <c r="F67" i="33"/>
  <c r="G67" i="33"/>
  <c r="F68" i="33"/>
  <c r="G68" i="33"/>
  <c r="F69" i="33"/>
  <c r="G69" i="33" s="1"/>
  <c r="F70" i="33"/>
  <c r="G70" i="33" s="1"/>
  <c r="F71" i="33"/>
  <c r="G71" i="33"/>
  <c r="F72" i="33"/>
  <c r="G72" i="33"/>
  <c r="F73" i="33"/>
  <c r="G73" i="33" s="1"/>
  <c r="F74" i="33"/>
  <c r="G74" i="33" s="1"/>
  <c r="F75" i="33"/>
  <c r="G75" i="33" s="1"/>
  <c r="F76" i="33"/>
  <c r="G76" i="33"/>
  <c r="F77" i="33"/>
  <c r="G77" i="33"/>
  <c r="F78" i="33"/>
  <c r="G78" i="33"/>
  <c r="F79" i="33"/>
  <c r="G79" i="33" s="1"/>
  <c r="F80" i="33"/>
  <c r="G80" i="33"/>
  <c r="F81" i="33"/>
  <c r="G81" i="33"/>
  <c r="F82" i="33"/>
  <c r="G82" i="33"/>
  <c r="F83" i="33"/>
  <c r="G83" i="33"/>
  <c r="F84" i="33"/>
  <c r="G84" i="33"/>
  <c r="F85" i="33"/>
  <c r="G85" i="33"/>
  <c r="F86" i="33"/>
  <c r="G86" i="33"/>
  <c r="F87" i="33"/>
  <c r="G87" i="33" s="1"/>
  <c r="F88" i="33"/>
  <c r="G88" i="33"/>
  <c r="F89" i="33"/>
  <c r="G89" i="33"/>
  <c r="F90" i="33"/>
  <c r="G90" i="33"/>
  <c r="F91" i="33"/>
  <c r="G91" i="33"/>
  <c r="F92" i="33"/>
  <c r="G92" i="33" s="1"/>
  <c r="F93" i="33"/>
  <c r="G93" i="33"/>
  <c r="F94" i="33"/>
  <c r="G94" i="33"/>
  <c r="F95" i="33"/>
  <c r="G95" i="33" s="1"/>
  <c r="F96" i="33"/>
  <c r="G96" i="33"/>
  <c r="F97" i="33"/>
  <c r="G97" i="33"/>
  <c r="F98" i="33"/>
  <c r="G98" i="33"/>
  <c r="F99" i="33"/>
  <c r="G99" i="33" s="1"/>
  <c r="F100" i="33"/>
  <c r="G100" i="33"/>
  <c r="F101" i="33"/>
  <c r="G101" i="33"/>
  <c r="F102" i="33"/>
  <c r="G102" i="33"/>
  <c r="F103" i="33"/>
  <c r="G103" i="33" s="1"/>
  <c r="F104" i="33"/>
  <c r="G104" i="33"/>
  <c r="F105" i="33"/>
  <c r="G105" i="33"/>
  <c r="F106" i="33"/>
  <c r="G106" i="33"/>
  <c r="F107" i="33"/>
  <c r="G107" i="33" s="1"/>
  <c r="F108" i="33"/>
  <c r="G108" i="33"/>
  <c r="F109" i="33"/>
  <c r="G109" i="33" s="1"/>
  <c r="F110" i="33"/>
  <c r="G110" i="33"/>
  <c r="F111" i="33"/>
  <c r="G111" i="33" s="1"/>
  <c r="F112" i="33"/>
  <c r="G112" i="33"/>
  <c r="F113" i="33"/>
  <c r="G113" i="33" s="1"/>
  <c r="F114" i="33"/>
  <c r="G114" i="33" s="1"/>
  <c r="F115" i="33"/>
  <c r="G115" i="33"/>
  <c r="F116" i="33"/>
  <c r="G116" i="33"/>
  <c r="F117" i="33"/>
  <c r="G117" i="33" s="1"/>
  <c r="F118" i="33"/>
  <c r="G118" i="33"/>
  <c r="F119" i="33"/>
  <c r="G119" i="33" s="1"/>
  <c r="F120" i="33"/>
  <c r="G120" i="33"/>
  <c r="F121" i="33"/>
  <c r="G121" i="33" s="1"/>
  <c r="F122" i="33"/>
  <c r="G122" i="33"/>
  <c r="F123" i="33"/>
  <c r="G123" i="33"/>
  <c r="F124" i="33"/>
  <c r="G124" i="33"/>
  <c r="F125" i="33"/>
  <c r="G125" i="33"/>
  <c r="F126" i="33"/>
  <c r="G126" i="33" s="1"/>
  <c r="F127" i="33"/>
  <c r="G127" i="33"/>
  <c r="F128" i="33"/>
  <c r="G128" i="33" s="1"/>
  <c r="F129" i="33"/>
  <c r="G129" i="33"/>
  <c r="F130" i="33"/>
  <c r="G130" i="33"/>
  <c r="F131" i="33"/>
  <c r="G131" i="33" s="1"/>
  <c r="F132" i="33"/>
  <c r="G132" i="33"/>
  <c r="F134" i="33"/>
  <c r="G134" i="33"/>
  <c r="F135" i="33"/>
  <c r="G135" i="33" s="1"/>
  <c r="F136" i="33"/>
  <c r="G136" i="33" s="1"/>
  <c r="F137" i="33"/>
  <c r="G137" i="33" s="1"/>
  <c r="F138" i="33"/>
  <c r="G138" i="33"/>
  <c r="F139" i="33"/>
  <c r="G139" i="33"/>
  <c r="F140" i="33"/>
  <c r="G140" i="33" s="1"/>
  <c r="F141" i="33"/>
  <c r="G141" i="33"/>
  <c r="F142" i="33"/>
  <c r="G142" i="33"/>
  <c r="F143" i="33"/>
  <c r="G143" i="33"/>
  <c r="F144" i="33"/>
  <c r="G144" i="33" s="1"/>
  <c r="F145" i="33"/>
  <c r="G145" i="33" s="1"/>
  <c r="F146" i="33"/>
  <c r="G146" i="33"/>
  <c r="F147" i="33"/>
  <c r="G147" i="33"/>
  <c r="F148" i="33"/>
  <c r="G148" i="33" s="1"/>
  <c r="F149" i="33"/>
  <c r="G149" i="33"/>
  <c r="F150" i="33"/>
  <c r="G150" i="33"/>
  <c r="F151" i="33"/>
  <c r="G151" i="33"/>
  <c r="F152" i="33"/>
  <c r="G152" i="33"/>
  <c r="F153" i="33"/>
  <c r="G153" i="33" s="1"/>
  <c r="F154" i="33"/>
  <c r="G154" i="33"/>
  <c r="F155" i="33"/>
  <c r="G155" i="33"/>
  <c r="F156" i="33"/>
  <c r="G156" i="33" s="1"/>
  <c r="F157" i="33"/>
  <c r="G157" i="33"/>
  <c r="F158" i="33"/>
  <c r="G158" i="33"/>
  <c r="F105" i="32"/>
  <c r="G105" i="32" s="1"/>
  <c r="I18" i="32"/>
  <c r="I18" i="30" s="1"/>
  <c r="J18" i="30" s="1"/>
  <c r="J18" i="32"/>
  <c r="I19" i="32"/>
  <c r="I19" i="30" s="1"/>
  <c r="J19" i="30" s="1"/>
  <c r="I20" i="32"/>
  <c r="I20" i="30" s="1"/>
  <c r="J20" i="30" s="1"/>
  <c r="I21" i="32"/>
  <c r="I21" i="30" s="1"/>
  <c r="J21" i="30" s="1"/>
  <c r="I22" i="32"/>
  <c r="I23" i="32"/>
  <c r="I23" i="30" s="1"/>
  <c r="J23" i="30" s="1"/>
  <c r="I24" i="32"/>
  <c r="I24" i="30" s="1"/>
  <c r="J24" i="30" s="1"/>
  <c r="I25" i="32"/>
  <c r="I25" i="30" s="1"/>
  <c r="J25" i="30" s="1"/>
  <c r="J25" i="32"/>
  <c r="I26" i="32"/>
  <c r="I26" i="30" s="1"/>
  <c r="J26" i="30" s="1"/>
  <c r="I27" i="32"/>
  <c r="I28" i="32"/>
  <c r="I28" i="30" s="1"/>
  <c r="J28" i="30" s="1"/>
  <c r="I29" i="32"/>
  <c r="I29" i="30" s="1"/>
  <c r="J29" i="30" s="1"/>
  <c r="I30" i="32"/>
  <c r="I30" i="30" s="1"/>
  <c r="J30" i="30" s="1"/>
  <c r="I31" i="32"/>
  <c r="I31" i="30" s="1"/>
  <c r="J31" i="30" s="1"/>
  <c r="I32" i="32"/>
  <c r="I32" i="30" s="1"/>
  <c r="J32" i="30" s="1"/>
  <c r="I33" i="32"/>
  <c r="I34" i="32"/>
  <c r="I35" i="32"/>
  <c r="I35" i="30" s="1"/>
  <c r="J35" i="30" s="1"/>
  <c r="I36" i="32"/>
  <c r="I36" i="30" s="1"/>
  <c r="J36" i="30" s="1"/>
  <c r="I37" i="32"/>
  <c r="I38" i="32"/>
  <c r="I38" i="30" s="1"/>
  <c r="J38" i="30" s="1"/>
  <c r="I39" i="32"/>
  <c r="I39" i="30" s="1"/>
  <c r="J39" i="30" s="1"/>
  <c r="I40" i="32"/>
  <c r="I40" i="30" s="1"/>
  <c r="J40" i="30" s="1"/>
  <c r="I41" i="32"/>
  <c r="I42" i="32"/>
  <c r="I43" i="32"/>
  <c r="I44" i="32"/>
  <c r="I45" i="32"/>
  <c r="I45" i="30" s="1"/>
  <c r="J45" i="30" s="1"/>
  <c r="I46" i="32"/>
  <c r="I46" i="30" s="1"/>
  <c r="J46" i="30" s="1"/>
  <c r="I47" i="32"/>
  <c r="I47" i="30" s="1"/>
  <c r="J47" i="30" s="1"/>
  <c r="I48" i="32"/>
  <c r="I48" i="30" s="1"/>
  <c r="J48" i="30" s="1"/>
  <c r="I49" i="32"/>
  <c r="I49" i="30" s="1"/>
  <c r="J49" i="30" s="1"/>
  <c r="I50" i="32"/>
  <c r="I50" i="30" s="1"/>
  <c r="J50" i="30" s="1"/>
  <c r="I51" i="32"/>
  <c r="I51" i="30" s="1"/>
  <c r="J51" i="30" s="1"/>
  <c r="I52" i="32"/>
  <c r="I52" i="30" s="1"/>
  <c r="J52" i="30" s="1"/>
  <c r="I53" i="32"/>
  <c r="I53" i="30" s="1"/>
  <c r="J53" i="30" s="1"/>
  <c r="I54" i="32"/>
  <c r="I54" i="30" s="1"/>
  <c r="J54" i="30" s="1"/>
  <c r="J54" i="32"/>
  <c r="I55" i="32"/>
  <c r="I55" i="30" s="1"/>
  <c r="J55" i="30" s="1"/>
  <c r="I56" i="32"/>
  <c r="I56" i="30" s="1"/>
  <c r="J56" i="30" s="1"/>
  <c r="I57" i="32"/>
  <c r="I57" i="30" s="1"/>
  <c r="J57" i="30" s="1"/>
  <c r="I58" i="32"/>
  <c r="I58" i="30" s="1"/>
  <c r="J58" i="30" s="1"/>
  <c r="I59" i="32"/>
  <c r="I60" i="32"/>
  <c r="I60" i="30" s="1"/>
  <c r="J60" i="30" s="1"/>
  <c r="I61" i="32"/>
  <c r="I61" i="30" s="1"/>
  <c r="J61" i="30" s="1"/>
  <c r="I62" i="32"/>
  <c r="I62" i="30" s="1"/>
  <c r="J62" i="30" s="1"/>
  <c r="I63" i="32"/>
  <c r="I64" i="32"/>
  <c r="I65" i="32"/>
  <c r="I65" i="30" s="1"/>
  <c r="J65" i="30" s="1"/>
  <c r="I66" i="32"/>
  <c r="I66" i="30" s="1"/>
  <c r="J66" i="30" s="1"/>
  <c r="I67" i="32"/>
  <c r="I68" i="32"/>
  <c r="I68" i="30" s="1"/>
  <c r="J68" i="30" s="1"/>
  <c r="J68" i="32"/>
  <c r="I69" i="32"/>
  <c r="I69" i="30" s="1"/>
  <c r="J69" i="30" s="1"/>
  <c r="I70" i="32"/>
  <c r="I70" i="30" s="1"/>
  <c r="J70" i="30" s="1"/>
  <c r="I71" i="32"/>
  <c r="I71" i="30" s="1"/>
  <c r="J71" i="30" s="1"/>
  <c r="I72" i="32"/>
  <c r="I73" i="32"/>
  <c r="I73" i="30" s="1"/>
  <c r="J73" i="30" s="1"/>
  <c r="J73" i="32"/>
  <c r="I74" i="32"/>
  <c r="I74" i="30" s="1"/>
  <c r="J74" i="30" s="1"/>
  <c r="I75" i="32"/>
  <c r="I75" i="30" s="1"/>
  <c r="J75" i="30" s="1"/>
  <c r="J75" i="32"/>
  <c r="I76" i="32"/>
  <c r="I76" i="30" s="1"/>
  <c r="J76" i="30" s="1"/>
  <c r="I77" i="32"/>
  <c r="I77" i="30" s="1"/>
  <c r="J77" i="30" s="1"/>
  <c r="I78" i="32"/>
  <c r="I78" i="30" s="1"/>
  <c r="J78" i="30" s="1"/>
  <c r="I79" i="32"/>
  <c r="I79" i="30" s="1"/>
  <c r="J79" i="30" s="1"/>
  <c r="I80" i="32"/>
  <c r="I80" i="30" s="1"/>
  <c r="J80" i="30" s="1"/>
  <c r="I81" i="32"/>
  <c r="I81" i="30" s="1"/>
  <c r="J81" i="30" s="1"/>
  <c r="I82" i="32"/>
  <c r="I82" i="30" s="1"/>
  <c r="J82" i="30" s="1"/>
  <c r="I83" i="32"/>
  <c r="I83" i="30" s="1"/>
  <c r="J83" i="30" s="1"/>
  <c r="I84" i="32"/>
  <c r="I84" i="30" s="1"/>
  <c r="J84" i="30" s="1"/>
  <c r="J84" i="32"/>
  <c r="I85" i="32"/>
  <c r="I85" i="30" s="1"/>
  <c r="J85" i="30" s="1"/>
  <c r="J85" i="32"/>
  <c r="I86" i="32"/>
  <c r="I87" i="32"/>
  <c r="I87" i="30" s="1"/>
  <c r="J87" i="30" s="1"/>
  <c r="I88" i="32"/>
  <c r="I88" i="30" s="1"/>
  <c r="J88" i="30" s="1"/>
  <c r="J88" i="32"/>
  <c r="I89" i="32"/>
  <c r="I89" i="30" s="1"/>
  <c r="J89" i="30" s="1"/>
  <c r="I90" i="32"/>
  <c r="I90" i="30" s="1"/>
  <c r="J90" i="30" s="1"/>
  <c r="I91" i="32"/>
  <c r="I91" i="30" s="1"/>
  <c r="J91" i="30" s="1"/>
  <c r="J91" i="32"/>
  <c r="I92" i="32"/>
  <c r="I92" i="30" s="1"/>
  <c r="J92" i="30" s="1"/>
  <c r="I93" i="32"/>
  <c r="I93" i="30" s="1"/>
  <c r="J93" i="30" s="1"/>
  <c r="I94" i="32"/>
  <c r="I95" i="32"/>
  <c r="I95" i="30" s="1"/>
  <c r="J95" i="30" s="1"/>
  <c r="I96" i="32"/>
  <c r="I96" i="30" s="1"/>
  <c r="J96" i="30" s="1"/>
  <c r="I97" i="32"/>
  <c r="I97" i="30" s="1"/>
  <c r="J97" i="30" s="1"/>
  <c r="I98" i="32"/>
  <c r="I98" i="30" s="1"/>
  <c r="J98" i="30" s="1"/>
  <c r="I99" i="32"/>
  <c r="I99" i="30" s="1"/>
  <c r="J99" i="30" s="1"/>
  <c r="I100" i="32"/>
  <c r="I100" i="30" s="1"/>
  <c r="J100" i="30" s="1"/>
  <c r="I101" i="32"/>
  <c r="I101" i="30" s="1"/>
  <c r="J101" i="30" s="1"/>
  <c r="J101" i="32"/>
  <c r="I102" i="32"/>
  <c r="I102" i="30" s="1"/>
  <c r="J102" i="30" s="1"/>
  <c r="I103" i="32"/>
  <c r="I103" i="30" s="1"/>
  <c r="J103" i="30" s="1"/>
  <c r="I104" i="32"/>
  <c r="I105" i="32"/>
  <c r="I105" i="30" s="1"/>
  <c r="J105" i="30" s="1"/>
  <c r="I106" i="32"/>
  <c r="I106" i="30" s="1"/>
  <c r="J106" i="30" s="1"/>
  <c r="I107" i="32"/>
  <c r="I107" i="30" s="1"/>
  <c r="J107" i="30" s="1"/>
  <c r="J107" i="32"/>
  <c r="I108" i="32"/>
  <c r="I108" i="30" s="1"/>
  <c r="J108" i="30" s="1"/>
  <c r="I109" i="32"/>
  <c r="I109" i="30" s="1"/>
  <c r="J109" i="30" s="1"/>
  <c r="I110" i="32"/>
  <c r="I111" i="32"/>
  <c r="I111" i="30" s="1"/>
  <c r="J111" i="30" s="1"/>
  <c r="J111" i="32"/>
  <c r="I112" i="32"/>
  <c r="I112" i="30" s="1"/>
  <c r="J112" i="30" s="1"/>
  <c r="I113" i="32"/>
  <c r="I113" i="30" s="1"/>
  <c r="J113" i="30" s="1"/>
  <c r="I114" i="32"/>
  <c r="I114" i="30" s="1"/>
  <c r="J114" i="30" s="1"/>
  <c r="I115" i="32"/>
  <c r="I115" i="30" s="1"/>
  <c r="J115" i="30" s="1"/>
  <c r="I116" i="32"/>
  <c r="I116" i="30" s="1"/>
  <c r="J116" i="30" s="1"/>
  <c r="I117" i="32"/>
  <c r="I117" i="30" s="1"/>
  <c r="J117" i="30" s="1"/>
  <c r="I118" i="32"/>
  <c r="I119" i="32"/>
  <c r="I119" i="30" s="1"/>
  <c r="J119" i="30" s="1"/>
  <c r="I120" i="32"/>
  <c r="I120" i="30" s="1"/>
  <c r="J120" i="30" s="1"/>
  <c r="I121" i="32"/>
  <c r="I121" i="30" s="1"/>
  <c r="J121" i="30" s="1"/>
  <c r="I122" i="32"/>
  <c r="I122" i="30" s="1"/>
  <c r="J122" i="30" s="1"/>
  <c r="I123" i="32"/>
  <c r="I123" i="30" s="1"/>
  <c r="J123" i="30" s="1"/>
  <c r="I124" i="32"/>
  <c r="I124" i="30" s="1"/>
  <c r="J124" i="30" s="1"/>
  <c r="I125" i="32"/>
  <c r="I125" i="30" s="1"/>
  <c r="J125" i="30" s="1"/>
  <c r="J125" i="32"/>
  <c r="I126" i="32"/>
  <c r="I127" i="32"/>
  <c r="I127" i="30" s="1"/>
  <c r="J127" i="30" s="1"/>
  <c r="I128" i="32"/>
  <c r="I128" i="30" s="1"/>
  <c r="J128" i="30" s="1"/>
  <c r="I129" i="32"/>
  <c r="I129" i="30" s="1"/>
  <c r="J129" i="30" s="1"/>
  <c r="I130" i="32"/>
  <c r="I130" i="30" s="1"/>
  <c r="J130" i="30" s="1"/>
  <c r="I131" i="32"/>
  <c r="I131" i="30" s="1"/>
  <c r="J131" i="30" s="1"/>
  <c r="I132" i="32"/>
  <c r="I132" i="30" s="1"/>
  <c r="J132" i="30" s="1"/>
  <c r="I133" i="32"/>
  <c r="I133" i="30" s="1"/>
  <c r="J133" i="30" s="1"/>
  <c r="I134" i="32"/>
  <c r="I135" i="32"/>
  <c r="I135" i="30" s="1"/>
  <c r="J135" i="30" s="1"/>
  <c r="I136" i="32"/>
  <c r="I136" i="30" s="1"/>
  <c r="J136" i="30" s="1"/>
  <c r="I137" i="32"/>
  <c r="I137" i="30" s="1"/>
  <c r="J137" i="30" s="1"/>
  <c r="I138" i="32"/>
  <c r="I138" i="30" s="1"/>
  <c r="J138" i="30" s="1"/>
  <c r="I139" i="32"/>
  <c r="I139" i="30" s="1"/>
  <c r="J139" i="30" s="1"/>
  <c r="I140" i="32"/>
  <c r="I140" i="30" s="1"/>
  <c r="J140" i="30" s="1"/>
  <c r="I141" i="32"/>
  <c r="I141" i="30" s="1"/>
  <c r="J141" i="30" s="1"/>
  <c r="I142" i="32"/>
  <c r="I143" i="32"/>
  <c r="I143" i="30" s="1"/>
  <c r="J143" i="30" s="1"/>
  <c r="I144" i="32"/>
  <c r="I145" i="32"/>
  <c r="I145" i="30" s="1"/>
  <c r="J145" i="30" s="1"/>
  <c r="I146" i="32"/>
  <c r="I146" i="30" s="1"/>
  <c r="J146" i="30" s="1"/>
  <c r="I147" i="32"/>
  <c r="I147" i="30" s="1"/>
  <c r="J147" i="30" s="1"/>
  <c r="I148" i="32"/>
  <c r="I148" i="30" s="1"/>
  <c r="J148" i="30" s="1"/>
  <c r="I149" i="32"/>
  <c r="I149" i="30" s="1"/>
  <c r="J149" i="30" s="1"/>
  <c r="I150" i="32"/>
  <c r="I151" i="32"/>
  <c r="I151" i="30" s="1"/>
  <c r="J151" i="30" s="1"/>
  <c r="I152" i="32"/>
  <c r="I152" i="30" s="1"/>
  <c r="J152" i="30" s="1"/>
  <c r="I153" i="32"/>
  <c r="I153" i="30" s="1"/>
  <c r="J153" i="30" s="1"/>
  <c r="I154" i="32"/>
  <c r="I154" i="30" s="1"/>
  <c r="J154" i="30" s="1"/>
  <c r="I155" i="32"/>
  <c r="I155" i="30" s="1"/>
  <c r="J155" i="30" s="1"/>
  <c r="I156" i="32"/>
  <c r="I156" i="30" s="1"/>
  <c r="J156" i="30" s="1"/>
  <c r="J156" i="32"/>
  <c r="I157" i="32"/>
  <c r="I157" i="30" s="1"/>
  <c r="J157" i="30" s="1"/>
  <c r="I158" i="32"/>
  <c r="F18" i="32"/>
  <c r="G18" i="32" s="1"/>
  <c r="F19" i="32"/>
  <c r="G19" i="32" s="1"/>
  <c r="F20" i="32"/>
  <c r="G20" i="32" s="1"/>
  <c r="F21" i="32"/>
  <c r="G21" i="32" s="1"/>
  <c r="F22" i="32"/>
  <c r="G22" i="32" s="1"/>
  <c r="F23" i="32"/>
  <c r="G23" i="32" s="1"/>
  <c r="F24" i="32"/>
  <c r="G24" i="32" s="1"/>
  <c r="F25" i="32"/>
  <c r="G25" i="32" s="1"/>
  <c r="F26" i="32"/>
  <c r="G26" i="32" s="1"/>
  <c r="F27" i="32"/>
  <c r="G27" i="32" s="1"/>
  <c r="F28" i="32"/>
  <c r="G28" i="32" s="1"/>
  <c r="F29" i="32"/>
  <c r="G29" i="32" s="1"/>
  <c r="F30" i="32"/>
  <c r="G30" i="32" s="1"/>
  <c r="F31" i="32"/>
  <c r="G31" i="32" s="1"/>
  <c r="F32" i="32"/>
  <c r="G32" i="32" s="1"/>
  <c r="F33" i="32"/>
  <c r="G33" i="32" s="1"/>
  <c r="F34" i="32"/>
  <c r="G34" i="32" s="1"/>
  <c r="F35" i="32"/>
  <c r="G35" i="32" s="1"/>
  <c r="F36" i="32"/>
  <c r="G36" i="32" s="1"/>
  <c r="F37" i="32"/>
  <c r="G37" i="32" s="1"/>
  <c r="F38" i="32"/>
  <c r="G38" i="32" s="1"/>
  <c r="F39" i="32"/>
  <c r="G39" i="32" s="1"/>
  <c r="F40" i="32"/>
  <c r="G40" i="32" s="1"/>
  <c r="F41" i="32"/>
  <c r="G41" i="32" s="1"/>
  <c r="F42" i="32"/>
  <c r="G42" i="32" s="1"/>
  <c r="F43" i="32"/>
  <c r="G43" i="32" s="1"/>
  <c r="F44" i="32"/>
  <c r="G44" i="32" s="1"/>
  <c r="F45" i="32"/>
  <c r="G45" i="32" s="1"/>
  <c r="F46" i="32"/>
  <c r="G46" i="32" s="1"/>
  <c r="F47" i="32"/>
  <c r="G47" i="32" s="1"/>
  <c r="F48" i="32"/>
  <c r="G48" i="32" s="1"/>
  <c r="F49" i="32"/>
  <c r="G49" i="32" s="1"/>
  <c r="F50" i="32"/>
  <c r="G50" i="32" s="1"/>
  <c r="F51" i="32"/>
  <c r="G51" i="32" s="1"/>
  <c r="F52" i="32"/>
  <c r="G52" i="32" s="1"/>
  <c r="F53" i="32"/>
  <c r="G53" i="32" s="1"/>
  <c r="F54" i="32"/>
  <c r="G54" i="32" s="1"/>
  <c r="F55" i="32"/>
  <c r="G55" i="32" s="1"/>
  <c r="F56" i="32"/>
  <c r="G56" i="32" s="1"/>
  <c r="F57" i="32"/>
  <c r="G57" i="32" s="1"/>
  <c r="F58" i="32"/>
  <c r="G58" i="32" s="1"/>
  <c r="F59" i="32"/>
  <c r="G59" i="32" s="1"/>
  <c r="F60" i="32"/>
  <c r="G60" i="32" s="1"/>
  <c r="F61" i="32"/>
  <c r="G61" i="32" s="1"/>
  <c r="F62" i="32"/>
  <c r="G62" i="32" s="1"/>
  <c r="F63" i="32"/>
  <c r="G63" i="32" s="1"/>
  <c r="F64" i="32"/>
  <c r="G64" i="32" s="1"/>
  <c r="F65" i="32"/>
  <c r="G65" i="32" s="1"/>
  <c r="F66" i="32"/>
  <c r="G66" i="32" s="1"/>
  <c r="F67" i="32"/>
  <c r="G67" i="32" s="1"/>
  <c r="F68" i="32"/>
  <c r="G68" i="32" s="1"/>
  <c r="F69" i="32"/>
  <c r="G69" i="32" s="1"/>
  <c r="F70" i="32"/>
  <c r="G70" i="32" s="1"/>
  <c r="F71" i="32"/>
  <c r="G71" i="32"/>
  <c r="F72" i="32"/>
  <c r="G72" i="32" s="1"/>
  <c r="F73" i="32"/>
  <c r="G73" i="32" s="1"/>
  <c r="F74" i="32"/>
  <c r="G74" i="32" s="1"/>
  <c r="F75" i="32"/>
  <c r="G75" i="32" s="1"/>
  <c r="F76" i="32"/>
  <c r="G76" i="32" s="1"/>
  <c r="F77" i="32"/>
  <c r="G77" i="32" s="1"/>
  <c r="F78" i="32"/>
  <c r="G78" i="32" s="1"/>
  <c r="F79" i="32"/>
  <c r="G79" i="32" s="1"/>
  <c r="F80" i="32"/>
  <c r="G80" i="32" s="1"/>
  <c r="F81" i="32"/>
  <c r="G81" i="32" s="1"/>
  <c r="F82" i="32"/>
  <c r="G82" i="32" s="1"/>
  <c r="F83" i="32"/>
  <c r="G83" i="32" s="1"/>
  <c r="F84" i="32"/>
  <c r="G84" i="32" s="1"/>
  <c r="F85" i="32"/>
  <c r="G85" i="32" s="1"/>
  <c r="F86" i="32"/>
  <c r="G86" i="32" s="1"/>
  <c r="F87" i="32"/>
  <c r="G87" i="32" s="1"/>
  <c r="F88" i="32"/>
  <c r="G88" i="32" s="1"/>
  <c r="F89" i="32"/>
  <c r="G89" i="32" s="1"/>
  <c r="F90" i="32"/>
  <c r="G90" i="32" s="1"/>
  <c r="F91" i="32"/>
  <c r="G91" i="32" s="1"/>
  <c r="F92" i="32"/>
  <c r="G92" i="32" s="1"/>
  <c r="F93" i="32"/>
  <c r="G93" i="32" s="1"/>
  <c r="F94" i="32"/>
  <c r="G94" i="32"/>
  <c r="F95" i="32"/>
  <c r="G95" i="32" s="1"/>
  <c r="F96" i="32"/>
  <c r="G96" i="32" s="1"/>
  <c r="F97" i="32"/>
  <c r="G97" i="32" s="1"/>
  <c r="F98" i="32"/>
  <c r="G98" i="32" s="1"/>
  <c r="F99" i="32"/>
  <c r="G99" i="32"/>
  <c r="F100" i="32"/>
  <c r="G100" i="32" s="1"/>
  <c r="F101" i="32"/>
  <c r="G101" i="32" s="1"/>
  <c r="F102" i="32"/>
  <c r="G102" i="32" s="1"/>
  <c r="F103" i="32"/>
  <c r="G103" i="32"/>
  <c r="F104" i="32"/>
  <c r="G104" i="32" s="1"/>
  <c r="F106" i="32"/>
  <c r="G106" i="32" s="1"/>
  <c r="F107" i="32"/>
  <c r="G107" i="32" s="1"/>
  <c r="F108" i="32"/>
  <c r="G108" i="32" s="1"/>
  <c r="F109" i="32"/>
  <c r="G109" i="32" s="1"/>
  <c r="F110" i="32"/>
  <c r="G110" i="32" s="1"/>
  <c r="F111" i="32"/>
  <c r="G111" i="32" s="1"/>
  <c r="F112" i="32"/>
  <c r="G112" i="32" s="1"/>
  <c r="F113" i="32"/>
  <c r="G113" i="32" s="1"/>
  <c r="F114" i="32"/>
  <c r="G114" i="32" s="1"/>
  <c r="F115" i="32"/>
  <c r="G115" i="32" s="1"/>
  <c r="F116" i="32"/>
  <c r="G116" i="32" s="1"/>
  <c r="F117" i="32"/>
  <c r="G117" i="32" s="1"/>
  <c r="F118" i="32"/>
  <c r="G118" i="32" s="1"/>
  <c r="F119" i="32"/>
  <c r="G119" i="32"/>
  <c r="F120" i="32"/>
  <c r="G120" i="32" s="1"/>
  <c r="F121" i="32"/>
  <c r="G121" i="32" s="1"/>
  <c r="F122" i="32"/>
  <c r="G122" i="32" s="1"/>
  <c r="F123" i="32"/>
  <c r="G123" i="32" s="1"/>
  <c r="F124" i="32"/>
  <c r="G124" i="32"/>
  <c r="F125" i="32"/>
  <c r="G125" i="32" s="1"/>
  <c r="F126" i="32"/>
  <c r="G126" i="32" s="1"/>
  <c r="F127" i="32"/>
  <c r="G127" i="32" s="1"/>
  <c r="F128" i="32"/>
  <c r="G128" i="32" s="1"/>
  <c r="F129" i="32"/>
  <c r="G129" i="32" s="1"/>
  <c r="F130" i="32"/>
  <c r="G130" i="32" s="1"/>
  <c r="F131" i="32"/>
  <c r="G131" i="32" s="1"/>
  <c r="F132" i="32"/>
  <c r="G132" i="32" s="1"/>
  <c r="F133" i="32"/>
  <c r="G133" i="32" s="1"/>
  <c r="F134" i="32"/>
  <c r="G134" i="32"/>
  <c r="F135" i="32"/>
  <c r="G135" i="32"/>
  <c r="F136" i="32"/>
  <c r="G136" i="32" s="1"/>
  <c r="F137" i="32"/>
  <c r="G137" i="32" s="1"/>
  <c r="F138" i="32"/>
  <c r="G138" i="32" s="1"/>
  <c r="F139" i="32"/>
  <c r="G139" i="32" s="1"/>
  <c r="F140" i="32"/>
  <c r="G140" i="32" s="1"/>
  <c r="F141" i="32"/>
  <c r="G141" i="32" s="1"/>
  <c r="F142" i="32"/>
  <c r="G142" i="32" s="1"/>
  <c r="F143" i="32"/>
  <c r="G143" i="32" s="1"/>
  <c r="F144" i="32"/>
  <c r="G144" i="32" s="1"/>
  <c r="F145" i="32"/>
  <c r="G145" i="32" s="1"/>
  <c r="F146" i="32"/>
  <c r="G146" i="32" s="1"/>
  <c r="F147" i="32"/>
  <c r="G147" i="32"/>
  <c r="F148" i="32"/>
  <c r="G148" i="32" s="1"/>
  <c r="F149" i="32"/>
  <c r="G149" i="32" s="1"/>
  <c r="F150" i="32"/>
  <c r="G150" i="32" s="1"/>
  <c r="F151" i="32"/>
  <c r="G151" i="32" s="1"/>
  <c r="F152" i="32"/>
  <c r="G152" i="32" s="1"/>
  <c r="F153" i="32"/>
  <c r="G153" i="32" s="1"/>
  <c r="F154" i="32"/>
  <c r="G154" i="32" s="1"/>
  <c r="G155" i="32"/>
  <c r="F156" i="32"/>
  <c r="G156" i="32" s="1"/>
  <c r="F157" i="32"/>
  <c r="G157" i="32" s="1"/>
  <c r="F158" i="32"/>
  <c r="G158" i="32" s="1"/>
  <c r="F16" i="32"/>
  <c r="G16" i="32" s="1"/>
  <c r="F131" i="30"/>
  <c r="G131" i="30" s="1"/>
  <c r="F124" i="30"/>
  <c r="G124" i="30" s="1"/>
  <c r="H2" i="26"/>
  <c r="D2" i="26"/>
  <c r="K2" i="26" s="1"/>
  <c r="H2" i="27"/>
  <c r="D2" i="27"/>
  <c r="K2" i="27" s="1"/>
  <c r="H2" i="28"/>
  <c r="D2" i="28"/>
  <c r="K2" i="28" s="1"/>
  <c r="K2" i="31"/>
  <c r="I18" i="31"/>
  <c r="J18" i="31" s="1"/>
  <c r="I19" i="31"/>
  <c r="J19" i="31" s="1"/>
  <c r="I20" i="31"/>
  <c r="I21" i="31"/>
  <c r="J21" i="31" s="1"/>
  <c r="I22" i="31"/>
  <c r="J22" i="31" s="1"/>
  <c r="I23" i="31"/>
  <c r="J23" i="31" s="1"/>
  <c r="I24" i="31"/>
  <c r="I25" i="31"/>
  <c r="J25" i="31" s="1"/>
  <c r="I26" i="31"/>
  <c r="J26" i="31" s="1"/>
  <c r="I27" i="31"/>
  <c r="J27" i="31" s="1"/>
  <c r="I28" i="31"/>
  <c r="J28" i="31" s="1"/>
  <c r="I29" i="31"/>
  <c r="I30" i="31"/>
  <c r="J30" i="31"/>
  <c r="I31" i="31"/>
  <c r="J31" i="31"/>
  <c r="I32" i="31"/>
  <c r="J32" i="31" s="1"/>
  <c r="I33" i="31"/>
  <c r="I34" i="31"/>
  <c r="J34" i="31"/>
  <c r="I35" i="31"/>
  <c r="J35" i="31" s="1"/>
  <c r="I36" i="31"/>
  <c r="I37" i="31"/>
  <c r="J37" i="31" s="1"/>
  <c r="I38" i="31"/>
  <c r="J38" i="31" s="1"/>
  <c r="I39" i="31"/>
  <c r="I40" i="31"/>
  <c r="I41" i="31"/>
  <c r="I42" i="31"/>
  <c r="J42" i="31" s="1"/>
  <c r="I43" i="31"/>
  <c r="J43" i="31" s="1"/>
  <c r="I44" i="31"/>
  <c r="J44" i="31" s="1"/>
  <c r="I45" i="31"/>
  <c r="J45" i="31" s="1"/>
  <c r="I46" i="31"/>
  <c r="J46" i="31" s="1"/>
  <c r="I47" i="31"/>
  <c r="J47" i="31" s="1"/>
  <c r="I48" i="31"/>
  <c r="J48" i="31" s="1"/>
  <c r="I49" i="31"/>
  <c r="I50" i="31"/>
  <c r="J50" i="31" s="1"/>
  <c r="I51" i="31"/>
  <c r="J51" i="31" s="1"/>
  <c r="I52" i="31"/>
  <c r="J52" i="31"/>
  <c r="I53" i="31"/>
  <c r="I54" i="31"/>
  <c r="J54" i="31" s="1"/>
  <c r="I55" i="31"/>
  <c r="J55" i="31" s="1"/>
  <c r="I56" i="31"/>
  <c r="I57" i="31"/>
  <c r="J57" i="31" s="1"/>
  <c r="I58" i="31"/>
  <c r="J58" i="31" s="1"/>
  <c r="I59" i="31"/>
  <c r="J59" i="31" s="1"/>
  <c r="I60" i="31"/>
  <c r="J60" i="31" s="1"/>
  <c r="I61" i="31"/>
  <c r="J61" i="31" s="1"/>
  <c r="I62" i="31"/>
  <c r="J62" i="31" s="1"/>
  <c r="I63" i="31"/>
  <c r="J63" i="31" s="1"/>
  <c r="I64" i="31"/>
  <c r="J64" i="31" s="1"/>
  <c r="I65" i="31"/>
  <c r="I66" i="31"/>
  <c r="J66" i="31" s="1"/>
  <c r="I67" i="31"/>
  <c r="I68" i="31"/>
  <c r="J68" i="31"/>
  <c r="I69" i="31"/>
  <c r="J69" i="31" s="1"/>
  <c r="I70" i="31"/>
  <c r="J70" i="31" s="1"/>
  <c r="I71" i="31"/>
  <c r="J71" i="31" s="1"/>
  <c r="I72" i="31"/>
  <c r="J72" i="31" s="1"/>
  <c r="I73" i="31"/>
  <c r="I74" i="31"/>
  <c r="J74" i="31" s="1"/>
  <c r="I75" i="31"/>
  <c r="J75" i="31" s="1"/>
  <c r="I76" i="31"/>
  <c r="J76" i="31"/>
  <c r="I77" i="31"/>
  <c r="J77" i="31" s="1"/>
  <c r="I78" i="31"/>
  <c r="J78" i="31" s="1"/>
  <c r="I79" i="31"/>
  <c r="J79" i="31" s="1"/>
  <c r="I80" i="31"/>
  <c r="I81" i="31"/>
  <c r="I82" i="31"/>
  <c r="J82" i="31" s="1"/>
  <c r="I83" i="31"/>
  <c r="J83" i="31" s="1"/>
  <c r="I84" i="31"/>
  <c r="J84" i="31" s="1"/>
  <c r="I85" i="31"/>
  <c r="I86" i="31"/>
  <c r="J86" i="31" s="1"/>
  <c r="I87" i="31"/>
  <c r="J87" i="31" s="1"/>
  <c r="I88" i="31"/>
  <c r="J88" i="31" s="1"/>
  <c r="I89" i="31"/>
  <c r="I90" i="31"/>
  <c r="I91" i="31"/>
  <c r="J91" i="31" s="1"/>
  <c r="I92" i="31"/>
  <c r="J92" i="31" s="1"/>
  <c r="I93" i="31"/>
  <c r="J93" i="31" s="1"/>
  <c r="I94" i="31"/>
  <c r="J94" i="31"/>
  <c r="I95" i="31"/>
  <c r="J95" i="31"/>
  <c r="I96" i="31"/>
  <c r="J96" i="31" s="1"/>
  <c r="I97" i="31"/>
  <c r="I98" i="31"/>
  <c r="J98" i="31" s="1"/>
  <c r="I99" i="31"/>
  <c r="J99" i="31" s="1"/>
  <c r="I100" i="31"/>
  <c r="J100" i="31"/>
  <c r="I101" i="31"/>
  <c r="J101" i="31" s="1"/>
  <c r="I102" i="31"/>
  <c r="J102" i="31" s="1"/>
  <c r="I103" i="31"/>
  <c r="J103" i="31" s="1"/>
  <c r="I104" i="31"/>
  <c r="J104" i="31" s="1"/>
  <c r="I105" i="31"/>
  <c r="J105" i="31" s="1"/>
  <c r="I106" i="31"/>
  <c r="I107" i="31"/>
  <c r="J107" i="31" s="1"/>
  <c r="I108" i="31"/>
  <c r="J108" i="31" s="1"/>
  <c r="I109" i="31"/>
  <c r="J109" i="31" s="1"/>
  <c r="I110" i="31"/>
  <c r="I111" i="31"/>
  <c r="J111" i="31" s="1"/>
  <c r="I112" i="31"/>
  <c r="J112" i="31" s="1"/>
  <c r="I113" i="31"/>
  <c r="J113" i="31" s="1"/>
  <c r="I114" i="31"/>
  <c r="J114" i="31"/>
  <c r="I115" i="31"/>
  <c r="J115" i="31" s="1"/>
  <c r="I116" i="31"/>
  <c r="I117" i="31"/>
  <c r="J117" i="31"/>
  <c r="I118" i="31"/>
  <c r="J118" i="31"/>
  <c r="I119" i="31"/>
  <c r="J119" i="31" s="1"/>
  <c r="I120" i="31"/>
  <c r="J120" i="31" s="1"/>
  <c r="I121" i="31"/>
  <c r="J121" i="31" s="1"/>
  <c r="I122" i="31"/>
  <c r="J122" i="31" s="1"/>
  <c r="I123" i="31"/>
  <c r="J123" i="31" s="1"/>
  <c r="I124" i="31"/>
  <c r="J124" i="31" s="1"/>
  <c r="I125" i="31"/>
  <c r="I126" i="31"/>
  <c r="J127" i="31"/>
  <c r="I128" i="31"/>
  <c r="J128" i="31" s="1"/>
  <c r="I129" i="31"/>
  <c r="J129" i="31" s="1"/>
  <c r="I130" i="31"/>
  <c r="J130" i="31" s="1"/>
  <c r="I131" i="31"/>
  <c r="J131" i="31"/>
  <c r="I132" i="31"/>
  <c r="J132" i="31" s="1"/>
  <c r="I133" i="31"/>
  <c r="J133" i="31" s="1"/>
  <c r="I134" i="31"/>
  <c r="I135" i="31"/>
  <c r="J135" i="31" s="1"/>
  <c r="I136" i="31"/>
  <c r="I137" i="31"/>
  <c r="I138" i="31"/>
  <c r="J138" i="31"/>
  <c r="I139" i="31"/>
  <c r="I140" i="31"/>
  <c r="J140" i="31" s="1"/>
  <c r="I141" i="31"/>
  <c r="J141" i="31" s="1"/>
  <c r="I142" i="31"/>
  <c r="I143" i="31"/>
  <c r="J143" i="31"/>
  <c r="I144" i="31"/>
  <c r="I145" i="31"/>
  <c r="J145" i="31" s="1"/>
  <c r="I146" i="31"/>
  <c r="J146" i="31" s="1"/>
  <c r="I147" i="31"/>
  <c r="J147" i="31" s="1"/>
  <c r="I148" i="31"/>
  <c r="J148" i="31" s="1"/>
  <c r="I149" i="31"/>
  <c r="J149" i="31" s="1"/>
  <c r="I150" i="31"/>
  <c r="J150" i="31" s="1"/>
  <c r="I151" i="31"/>
  <c r="J151" i="31" s="1"/>
  <c r="I152" i="31"/>
  <c r="J152" i="31" s="1"/>
  <c r="I153" i="31"/>
  <c r="J153" i="31" s="1"/>
  <c r="I154" i="31"/>
  <c r="J154" i="31" s="1"/>
  <c r="F18" i="31"/>
  <c r="G18" i="31" s="1"/>
  <c r="F19" i="31"/>
  <c r="G19" i="31" s="1"/>
  <c r="F20" i="31"/>
  <c r="G20" i="31" s="1"/>
  <c r="F21" i="31"/>
  <c r="G21" i="31" s="1"/>
  <c r="F22" i="31"/>
  <c r="G22" i="31" s="1"/>
  <c r="F23" i="31"/>
  <c r="G23" i="31"/>
  <c r="F24" i="31"/>
  <c r="G24" i="31" s="1"/>
  <c r="F25" i="31"/>
  <c r="G25" i="31" s="1"/>
  <c r="F26" i="31"/>
  <c r="G26" i="31" s="1"/>
  <c r="F27" i="31"/>
  <c r="G27" i="31" s="1"/>
  <c r="F28" i="31"/>
  <c r="G28" i="31" s="1"/>
  <c r="F29" i="31"/>
  <c r="G29" i="31" s="1"/>
  <c r="F30" i="31"/>
  <c r="G30" i="31" s="1"/>
  <c r="F31" i="31"/>
  <c r="G31" i="31"/>
  <c r="F32" i="31"/>
  <c r="G32" i="31" s="1"/>
  <c r="F33" i="31"/>
  <c r="G33" i="31" s="1"/>
  <c r="F34" i="31"/>
  <c r="G34" i="31" s="1"/>
  <c r="F35" i="31"/>
  <c r="G35" i="31" s="1"/>
  <c r="F36" i="31"/>
  <c r="G36" i="31"/>
  <c r="F37" i="31"/>
  <c r="G37" i="31" s="1"/>
  <c r="F38" i="31"/>
  <c r="G38" i="31" s="1"/>
  <c r="F39" i="31"/>
  <c r="G39" i="31" s="1"/>
  <c r="F40" i="31"/>
  <c r="G40" i="31" s="1"/>
  <c r="F41" i="31"/>
  <c r="G41" i="31" s="1"/>
  <c r="F42" i="31"/>
  <c r="G42" i="31"/>
  <c r="F43" i="31"/>
  <c r="G43" i="31" s="1"/>
  <c r="F44" i="31"/>
  <c r="G44" i="31" s="1"/>
  <c r="F45" i="31"/>
  <c r="G45" i="31" s="1"/>
  <c r="F46" i="31"/>
  <c r="G46" i="31" s="1"/>
  <c r="F47" i="31"/>
  <c r="G47" i="31"/>
  <c r="F48" i="31"/>
  <c r="G48" i="31"/>
  <c r="F49" i="31"/>
  <c r="G49" i="31" s="1"/>
  <c r="F50" i="31"/>
  <c r="G50" i="31" s="1"/>
  <c r="F51" i="31"/>
  <c r="G51" i="31"/>
  <c r="F52" i="31"/>
  <c r="G52" i="31" s="1"/>
  <c r="F53" i="31"/>
  <c r="G53" i="31"/>
  <c r="F54" i="31"/>
  <c r="G54" i="31" s="1"/>
  <c r="F55" i="31"/>
  <c r="G55" i="31" s="1"/>
  <c r="F56" i="31"/>
  <c r="G56" i="31" s="1"/>
  <c r="F57" i="31"/>
  <c r="G57" i="31"/>
  <c r="F58" i="31"/>
  <c r="G58" i="31"/>
  <c r="F59" i="31"/>
  <c r="G59" i="31"/>
  <c r="F60" i="31"/>
  <c r="G60" i="31" s="1"/>
  <c r="F61" i="31"/>
  <c r="G61" i="31" s="1"/>
  <c r="F62" i="31"/>
  <c r="G62" i="31" s="1"/>
  <c r="F63" i="31"/>
  <c r="G63" i="31"/>
  <c r="F64" i="31"/>
  <c r="G64" i="31"/>
  <c r="F65" i="31"/>
  <c r="G65" i="31"/>
  <c r="F66" i="31"/>
  <c r="G66" i="31"/>
  <c r="F67" i="31"/>
  <c r="G67" i="31" s="1"/>
  <c r="F68" i="31"/>
  <c r="G68" i="31" s="1"/>
  <c r="F69" i="31"/>
  <c r="G69" i="31" s="1"/>
  <c r="F70" i="31"/>
  <c r="G70" i="31" s="1"/>
  <c r="F71" i="31"/>
  <c r="G71" i="31" s="1"/>
  <c r="F72" i="31"/>
  <c r="G72" i="31" s="1"/>
  <c r="F73" i="31"/>
  <c r="G73" i="31" s="1"/>
  <c r="F74" i="31"/>
  <c r="G74" i="31" s="1"/>
  <c r="F75" i="31"/>
  <c r="G75" i="31" s="1"/>
  <c r="F76" i="31"/>
  <c r="G76" i="31" s="1"/>
  <c r="F77" i="31"/>
  <c r="G77" i="31"/>
  <c r="F78" i="31"/>
  <c r="G78" i="31" s="1"/>
  <c r="F79" i="31"/>
  <c r="G79" i="31" s="1"/>
  <c r="F80" i="31"/>
  <c r="G80" i="31" s="1"/>
  <c r="F81" i="31"/>
  <c r="G81" i="31" s="1"/>
  <c r="F82" i="31"/>
  <c r="G82" i="31"/>
  <c r="F83" i="31"/>
  <c r="G83" i="31" s="1"/>
  <c r="F84" i="31"/>
  <c r="G84" i="31" s="1"/>
  <c r="F85" i="31"/>
  <c r="G85" i="31" s="1"/>
  <c r="F86" i="31"/>
  <c r="G86" i="31" s="1"/>
  <c r="F87" i="31"/>
  <c r="G87" i="31"/>
  <c r="F88" i="31"/>
  <c r="G88" i="31" s="1"/>
  <c r="F89" i="31"/>
  <c r="G89" i="31" s="1"/>
  <c r="F90" i="31"/>
  <c r="G90" i="31" s="1"/>
  <c r="F91" i="31"/>
  <c r="G91" i="31" s="1"/>
  <c r="F92" i="31"/>
  <c r="G92" i="31" s="1"/>
  <c r="F93" i="31"/>
  <c r="G93" i="31"/>
  <c r="F94" i="31"/>
  <c r="G94" i="31" s="1"/>
  <c r="F95" i="31"/>
  <c r="G95" i="31" s="1"/>
  <c r="F96" i="31"/>
  <c r="G96" i="31" s="1"/>
  <c r="F97" i="31"/>
  <c r="G97" i="31" s="1"/>
  <c r="F98" i="31"/>
  <c r="G98" i="31" s="1"/>
  <c r="F99" i="31"/>
  <c r="G99" i="31" s="1"/>
  <c r="F100" i="31"/>
  <c r="G100" i="31" s="1"/>
  <c r="F101" i="31"/>
  <c r="G101" i="31" s="1"/>
  <c r="F102" i="31"/>
  <c r="G102" i="31" s="1"/>
  <c r="F103" i="31"/>
  <c r="G103" i="31" s="1"/>
  <c r="F104" i="31"/>
  <c r="G104" i="31"/>
  <c r="F105" i="31"/>
  <c r="G105" i="31" s="1"/>
  <c r="F106" i="31"/>
  <c r="G106" i="31" s="1"/>
  <c r="F107" i="31"/>
  <c r="G107" i="31" s="1"/>
  <c r="F108" i="31"/>
  <c r="G108" i="31" s="1"/>
  <c r="F109" i="31"/>
  <c r="G109" i="31" s="1"/>
  <c r="F110" i="31"/>
  <c r="G110" i="31" s="1"/>
  <c r="F111" i="31"/>
  <c r="G111" i="31" s="1"/>
  <c r="F112" i="31"/>
  <c r="G112" i="31" s="1"/>
  <c r="F113" i="31"/>
  <c r="G113" i="31" s="1"/>
  <c r="F114" i="31"/>
  <c r="G114" i="31" s="1"/>
  <c r="F115" i="31"/>
  <c r="G115" i="31" s="1"/>
  <c r="F116" i="31"/>
  <c r="G116" i="31" s="1"/>
  <c r="F117" i="31"/>
  <c r="G117" i="31" s="1"/>
  <c r="F118" i="31"/>
  <c r="G118" i="31" s="1"/>
  <c r="F119" i="31"/>
  <c r="G119" i="31" s="1"/>
  <c r="F120" i="31"/>
  <c r="G120" i="31" s="1"/>
  <c r="F121" i="31"/>
  <c r="G121" i="31" s="1"/>
  <c r="F122" i="31"/>
  <c r="G122" i="31" s="1"/>
  <c r="F123" i="31"/>
  <c r="G123" i="31" s="1"/>
  <c r="F124" i="31"/>
  <c r="G124" i="31" s="1"/>
  <c r="F125" i="31"/>
  <c r="G125" i="31" s="1"/>
  <c r="F126" i="31"/>
  <c r="G126" i="31" s="1"/>
  <c r="F127" i="31"/>
  <c r="G127" i="31" s="1"/>
  <c r="F128" i="31"/>
  <c r="G128" i="31" s="1"/>
  <c r="F129" i="31"/>
  <c r="G129" i="31" s="1"/>
  <c r="F130" i="31"/>
  <c r="G130" i="31" s="1"/>
  <c r="F131" i="31"/>
  <c r="G131" i="31" s="1"/>
  <c r="F132" i="31"/>
  <c r="G132" i="31" s="1"/>
  <c r="F133" i="31"/>
  <c r="G133" i="31"/>
  <c r="F134" i="31"/>
  <c r="G134" i="31" s="1"/>
  <c r="F135" i="31"/>
  <c r="G135" i="31" s="1"/>
  <c r="F136" i="31"/>
  <c r="G136" i="31" s="1"/>
  <c r="F137" i="31"/>
  <c r="G137" i="31" s="1"/>
  <c r="F138" i="31"/>
  <c r="G138" i="31" s="1"/>
  <c r="F139" i="31"/>
  <c r="G139" i="31" s="1"/>
  <c r="F140" i="31"/>
  <c r="G140" i="31" s="1"/>
  <c r="F141" i="31"/>
  <c r="G141" i="31" s="1"/>
  <c r="F142" i="31"/>
  <c r="G142" i="31" s="1"/>
  <c r="F143" i="31"/>
  <c r="G143" i="31"/>
  <c r="F144" i="31"/>
  <c r="G144" i="31" s="1"/>
  <c r="F145" i="31"/>
  <c r="G145" i="31" s="1"/>
  <c r="F146" i="31"/>
  <c r="G146" i="31" s="1"/>
  <c r="F147" i="31"/>
  <c r="G147" i="31" s="1"/>
  <c r="F148" i="31"/>
  <c r="G148" i="31" s="1"/>
  <c r="F149" i="31"/>
  <c r="G149" i="31" s="1"/>
  <c r="F150" i="31"/>
  <c r="G150" i="31" s="1"/>
  <c r="F151" i="31"/>
  <c r="G151" i="31" s="1"/>
  <c r="F152" i="31"/>
  <c r="G152" i="31" s="1"/>
  <c r="F153" i="31"/>
  <c r="G153" i="31" s="1"/>
  <c r="F154" i="31"/>
  <c r="G154" i="31" s="1"/>
  <c r="F155" i="31"/>
  <c r="G155" i="31"/>
  <c r="F156" i="31"/>
  <c r="G156" i="31" s="1"/>
  <c r="F157" i="31"/>
  <c r="G157" i="31"/>
  <c r="F158" i="31"/>
  <c r="G158" i="31" s="1"/>
  <c r="G136" i="28"/>
  <c r="I136" i="28"/>
  <c r="J136" i="28" s="1"/>
  <c r="F60" i="28"/>
  <c r="G60" i="28" s="1"/>
  <c r="I18" i="28"/>
  <c r="J18" i="28" s="1"/>
  <c r="I19" i="28"/>
  <c r="J19" i="28"/>
  <c r="I20" i="28"/>
  <c r="J20" i="28"/>
  <c r="I21" i="28"/>
  <c r="J21" i="28"/>
  <c r="I22" i="28"/>
  <c r="J22" i="28"/>
  <c r="I23" i="28"/>
  <c r="J23" i="28"/>
  <c r="I24" i="28"/>
  <c r="J24" i="28"/>
  <c r="I25" i="28"/>
  <c r="J25" i="28"/>
  <c r="I26" i="28"/>
  <c r="J26" i="28" s="1"/>
  <c r="I27" i="28"/>
  <c r="J27" i="28"/>
  <c r="I28" i="28"/>
  <c r="J28" i="28"/>
  <c r="I29" i="28"/>
  <c r="J29" i="28" s="1"/>
  <c r="I30" i="28"/>
  <c r="J30" i="28"/>
  <c r="I31" i="28"/>
  <c r="J31" i="28"/>
  <c r="I32" i="28"/>
  <c r="J32" i="28"/>
  <c r="I33" i="28"/>
  <c r="J33" i="28"/>
  <c r="I34" i="28"/>
  <c r="J34" i="28" s="1"/>
  <c r="I35" i="28"/>
  <c r="J35" i="28"/>
  <c r="I36" i="28"/>
  <c r="J36" i="28"/>
  <c r="I37" i="28"/>
  <c r="J37" i="28"/>
  <c r="I38" i="28"/>
  <c r="J38" i="28"/>
  <c r="I39" i="28"/>
  <c r="J39" i="28"/>
  <c r="I40" i="28"/>
  <c r="J40" i="28"/>
  <c r="I41" i="28"/>
  <c r="J41" i="28"/>
  <c r="I42" i="28"/>
  <c r="J42" i="28" s="1"/>
  <c r="I43" i="28"/>
  <c r="J43" i="28"/>
  <c r="I44" i="28"/>
  <c r="J44" i="28"/>
  <c r="I45" i="28"/>
  <c r="J45" i="28"/>
  <c r="I46" i="28"/>
  <c r="J46" i="28"/>
  <c r="I47" i="28"/>
  <c r="J47" i="28"/>
  <c r="I48" i="28"/>
  <c r="J48" i="28"/>
  <c r="I49" i="28"/>
  <c r="J49" i="28"/>
  <c r="I50" i="28"/>
  <c r="J50" i="28" s="1"/>
  <c r="I51" i="28"/>
  <c r="J51" i="28"/>
  <c r="I52" i="28"/>
  <c r="J52" i="28"/>
  <c r="I53" i="28"/>
  <c r="J53" i="28"/>
  <c r="I54" i="28"/>
  <c r="J54" i="28"/>
  <c r="I55" i="28"/>
  <c r="J55" i="28"/>
  <c r="I56" i="28"/>
  <c r="J56" i="28"/>
  <c r="I57" i="28"/>
  <c r="J57" i="28"/>
  <c r="I58" i="28"/>
  <c r="J58" i="28" s="1"/>
  <c r="I59" i="28"/>
  <c r="J59" i="28"/>
  <c r="I60" i="28"/>
  <c r="J60" i="28"/>
  <c r="I61" i="28"/>
  <c r="J61" i="28"/>
  <c r="I62" i="28"/>
  <c r="J62" i="28"/>
  <c r="I63" i="28"/>
  <c r="J63" i="28" s="1"/>
  <c r="I64" i="28"/>
  <c r="J64" i="28" s="1"/>
  <c r="I65" i="28"/>
  <c r="J65" i="28"/>
  <c r="I66" i="28"/>
  <c r="J66" i="28" s="1"/>
  <c r="I67" i="28"/>
  <c r="J67" i="28" s="1"/>
  <c r="I68" i="28"/>
  <c r="J68" i="28"/>
  <c r="I69" i="28"/>
  <c r="J69" i="28"/>
  <c r="I70" i="28"/>
  <c r="J70" i="28"/>
  <c r="I71" i="28"/>
  <c r="J71" i="28" s="1"/>
  <c r="I72" i="28"/>
  <c r="J72" i="28" s="1"/>
  <c r="I73" i="28"/>
  <c r="J73" i="28" s="1"/>
  <c r="I74" i="28"/>
  <c r="J74" i="28" s="1"/>
  <c r="I75" i="28"/>
  <c r="J75" i="28" s="1"/>
  <c r="I76" i="28"/>
  <c r="J76" i="28" s="1"/>
  <c r="I77" i="28"/>
  <c r="J77" i="28" s="1"/>
  <c r="I78" i="28"/>
  <c r="J78" i="28" s="1"/>
  <c r="I79" i="28"/>
  <c r="I80" i="28"/>
  <c r="J80" i="28"/>
  <c r="I81" i="28"/>
  <c r="J81" i="28" s="1"/>
  <c r="I82" i="28"/>
  <c r="J82" i="28"/>
  <c r="I83" i="28"/>
  <c r="J83" i="28" s="1"/>
  <c r="I84" i="28"/>
  <c r="J84" i="28" s="1"/>
  <c r="I85" i="28"/>
  <c r="J85" i="28" s="1"/>
  <c r="I86" i="28"/>
  <c r="J86" i="28" s="1"/>
  <c r="I87" i="28"/>
  <c r="J87" i="28"/>
  <c r="I88" i="28"/>
  <c r="J88" i="28" s="1"/>
  <c r="I89" i="28"/>
  <c r="J89" i="28" s="1"/>
  <c r="I90" i="28"/>
  <c r="J90" i="28"/>
  <c r="I91" i="28"/>
  <c r="J91" i="28" s="1"/>
  <c r="I92" i="28"/>
  <c r="J92" i="28" s="1"/>
  <c r="I93" i="28"/>
  <c r="J93" i="28" s="1"/>
  <c r="I94" i="28"/>
  <c r="J94" i="28"/>
  <c r="I95" i="28"/>
  <c r="J95" i="28"/>
  <c r="I96" i="28"/>
  <c r="J96" i="28" s="1"/>
  <c r="I97" i="28"/>
  <c r="J97" i="28" s="1"/>
  <c r="I98" i="28"/>
  <c r="J98" i="28"/>
  <c r="I99" i="28"/>
  <c r="J99" i="28" s="1"/>
  <c r="I100" i="28"/>
  <c r="J100" i="28"/>
  <c r="I101" i="28"/>
  <c r="J101" i="28" s="1"/>
  <c r="I102" i="28"/>
  <c r="J102" i="28" s="1"/>
  <c r="I103" i="28"/>
  <c r="J103" i="28" s="1"/>
  <c r="I104" i="28"/>
  <c r="J104" i="28" s="1"/>
  <c r="I105" i="28"/>
  <c r="J105" i="28"/>
  <c r="I106" i="28"/>
  <c r="J106" i="28"/>
  <c r="I107" i="28"/>
  <c r="J107" i="28" s="1"/>
  <c r="I108" i="28"/>
  <c r="J108" i="28"/>
  <c r="I109" i="28"/>
  <c r="J109" i="28"/>
  <c r="I110" i="28"/>
  <c r="J110" i="28"/>
  <c r="I111" i="28"/>
  <c r="J111" i="28"/>
  <c r="I112" i="28"/>
  <c r="J112" i="28"/>
  <c r="I113" i="28"/>
  <c r="J113" i="28"/>
  <c r="I114" i="28"/>
  <c r="J114" i="28"/>
  <c r="I115" i="28"/>
  <c r="J115" i="28" s="1"/>
  <c r="I116" i="28"/>
  <c r="J116" i="28" s="1"/>
  <c r="I117" i="28"/>
  <c r="J117" i="28"/>
  <c r="I118" i="28"/>
  <c r="J118" i="28"/>
  <c r="I119" i="28"/>
  <c r="J119" i="28"/>
  <c r="I120" i="28"/>
  <c r="J120" i="28"/>
  <c r="I121" i="28"/>
  <c r="J121" i="28"/>
  <c r="I122" i="28"/>
  <c r="J122" i="28"/>
  <c r="I123" i="28"/>
  <c r="J123" i="28" s="1"/>
  <c r="I124" i="28"/>
  <c r="J124" i="28"/>
  <c r="I125" i="28"/>
  <c r="J125" i="28"/>
  <c r="I126" i="28"/>
  <c r="J126" i="28"/>
  <c r="I127" i="28"/>
  <c r="J127" i="28"/>
  <c r="I128" i="28"/>
  <c r="J128" i="28"/>
  <c r="I129" i="28"/>
  <c r="J129" i="28"/>
  <c r="I130" i="28"/>
  <c r="J130" i="28"/>
  <c r="I131" i="28"/>
  <c r="J131" i="28" s="1"/>
  <c r="I132" i="28"/>
  <c r="J132" i="28" s="1"/>
  <c r="J133" i="28"/>
  <c r="I134" i="28"/>
  <c r="J134" i="28"/>
  <c r="I135" i="28"/>
  <c r="J135" i="28"/>
  <c r="I137" i="28"/>
  <c r="J137" i="28" s="1"/>
  <c r="I138" i="28"/>
  <c r="J138" i="28" s="1"/>
  <c r="I139" i="28"/>
  <c r="J139" i="28" s="1"/>
  <c r="I140" i="28"/>
  <c r="J140" i="28" s="1"/>
  <c r="I141" i="28"/>
  <c r="J141" i="28" s="1"/>
  <c r="I142" i="28"/>
  <c r="J142" i="28"/>
  <c r="I143" i="28"/>
  <c r="J143" i="28"/>
  <c r="J144" i="28"/>
  <c r="I145" i="28"/>
  <c r="J145" i="28" s="1"/>
  <c r="I146" i="28"/>
  <c r="J146" i="28"/>
  <c r="I147" i="28"/>
  <c r="J147" i="28" s="1"/>
  <c r="I148" i="28"/>
  <c r="J148" i="28" s="1"/>
  <c r="I149" i="28"/>
  <c r="J149" i="28" s="1"/>
  <c r="I150" i="28"/>
  <c r="J150" i="28"/>
  <c r="I151" i="28"/>
  <c r="J151" i="28" s="1"/>
  <c r="I152" i="28"/>
  <c r="J152" i="28" s="1"/>
  <c r="I153" i="28"/>
  <c r="J153" i="28" s="1"/>
  <c r="I154" i="28"/>
  <c r="J154" i="28"/>
  <c r="I155" i="28"/>
  <c r="J155" i="28"/>
  <c r="I156" i="28"/>
  <c r="J156" i="28" s="1"/>
  <c r="I157" i="28"/>
  <c r="J157" i="28" s="1"/>
  <c r="I158" i="28"/>
  <c r="J158" i="28"/>
  <c r="F18" i="28"/>
  <c r="G18" i="28"/>
  <c r="F19" i="28"/>
  <c r="G19" i="28"/>
  <c r="F20" i="28"/>
  <c r="G20" i="28"/>
  <c r="F21" i="28"/>
  <c r="G21" i="28"/>
  <c r="F22" i="28"/>
  <c r="G22" i="28"/>
  <c r="F23" i="28"/>
  <c r="G23" i="28" s="1"/>
  <c r="F24" i="28"/>
  <c r="G24" i="28"/>
  <c r="F25" i="28"/>
  <c r="G25" i="28"/>
  <c r="F26" i="28"/>
  <c r="G26" i="28"/>
  <c r="F27" i="28"/>
  <c r="G27" i="28"/>
  <c r="F28" i="28"/>
  <c r="G28" i="28"/>
  <c r="F29" i="28"/>
  <c r="G29" i="28"/>
  <c r="F30" i="28"/>
  <c r="G30" i="28"/>
  <c r="F31" i="28"/>
  <c r="G31" i="28" s="1"/>
  <c r="F32" i="28"/>
  <c r="G32" i="28"/>
  <c r="F33" i="28"/>
  <c r="G33" i="28"/>
  <c r="F34" i="28"/>
  <c r="F35" i="28"/>
  <c r="G36" i="28"/>
  <c r="F37" i="28"/>
  <c r="G37" i="28"/>
  <c r="F38" i="28"/>
  <c r="G38" i="28"/>
  <c r="F39" i="28"/>
  <c r="G39" i="28" s="1"/>
  <c r="F40" i="28"/>
  <c r="G40" i="28"/>
  <c r="F41" i="28"/>
  <c r="G41" i="28"/>
  <c r="F42" i="28"/>
  <c r="G42" i="28"/>
  <c r="F43" i="28"/>
  <c r="G43" i="28"/>
  <c r="F44" i="28"/>
  <c r="G44" i="28"/>
  <c r="F45" i="28"/>
  <c r="G45" i="28"/>
  <c r="F46" i="28"/>
  <c r="G46" i="28"/>
  <c r="F47" i="28"/>
  <c r="G47" i="28" s="1"/>
  <c r="F48" i="28"/>
  <c r="G48" i="28"/>
  <c r="F49" i="28"/>
  <c r="G49" i="28"/>
  <c r="F50" i="28"/>
  <c r="F51" i="28"/>
  <c r="G51" i="28"/>
  <c r="F52" i="28"/>
  <c r="G52" i="28"/>
  <c r="F53" i="28"/>
  <c r="G53" i="28"/>
  <c r="F54" i="28"/>
  <c r="G54" i="28"/>
  <c r="F55" i="28"/>
  <c r="G55" i="28" s="1"/>
  <c r="F56" i="28"/>
  <c r="G56" i="28" s="1"/>
  <c r="F57" i="28"/>
  <c r="G57" i="28"/>
  <c r="F58" i="28"/>
  <c r="G58" i="28" s="1"/>
  <c r="F59" i="28"/>
  <c r="G59" i="28" s="1"/>
  <c r="F61" i="28"/>
  <c r="G61" i="28" s="1"/>
  <c r="F62" i="28"/>
  <c r="G62" i="28" s="1"/>
  <c r="F63" i="28"/>
  <c r="G63" i="28"/>
  <c r="F64" i="28"/>
  <c r="G64" i="28" s="1"/>
  <c r="F65" i="28"/>
  <c r="G65" i="28" s="1"/>
  <c r="F66" i="28"/>
  <c r="G66" i="28" s="1"/>
  <c r="F67" i="28"/>
  <c r="G67" i="28" s="1"/>
  <c r="F68" i="28"/>
  <c r="G68" i="28"/>
  <c r="F69" i="28"/>
  <c r="G69" i="28" s="1"/>
  <c r="F70" i="28"/>
  <c r="G70" i="28" s="1"/>
  <c r="F71" i="28"/>
  <c r="G71" i="28" s="1"/>
  <c r="F72" i="28"/>
  <c r="G72" i="28" s="1"/>
  <c r="F73" i="28"/>
  <c r="G73" i="28" s="1"/>
  <c r="F74" i="28"/>
  <c r="G74" i="28" s="1"/>
  <c r="F75" i="28"/>
  <c r="G75" i="28"/>
  <c r="F76" i="28"/>
  <c r="G76" i="28" s="1"/>
  <c r="F77" i="28"/>
  <c r="G77" i="28"/>
  <c r="F78" i="28"/>
  <c r="G78" i="28" s="1"/>
  <c r="F79" i="28"/>
  <c r="G79" i="28" s="1"/>
  <c r="F80" i="28"/>
  <c r="G80" i="28" s="1"/>
  <c r="F81" i="28"/>
  <c r="G81" i="28" s="1"/>
  <c r="F82" i="28"/>
  <c r="G82" i="28" s="1"/>
  <c r="F83" i="28"/>
  <c r="G83" i="28" s="1"/>
  <c r="F84" i="28"/>
  <c r="G84" i="28" s="1"/>
  <c r="F85" i="28"/>
  <c r="G85" i="28" s="1"/>
  <c r="F86" i="28"/>
  <c r="G86" i="28" s="1"/>
  <c r="F87" i="28"/>
  <c r="G87" i="28"/>
  <c r="F88" i="28"/>
  <c r="G88" i="28" s="1"/>
  <c r="F89" i="28"/>
  <c r="G89" i="28" s="1"/>
  <c r="G90" i="28"/>
  <c r="F91" i="28"/>
  <c r="G91" i="28" s="1"/>
  <c r="F92" i="28"/>
  <c r="G92" i="28" s="1"/>
  <c r="F93" i="28"/>
  <c r="G93" i="28"/>
  <c r="F94" i="28"/>
  <c r="G94" i="28"/>
  <c r="F95" i="28"/>
  <c r="G95" i="28"/>
  <c r="F96" i="28"/>
  <c r="G96" i="28"/>
  <c r="F97" i="28"/>
  <c r="G97" i="28" s="1"/>
  <c r="F98" i="28"/>
  <c r="G98" i="28" s="1"/>
  <c r="F99" i="28"/>
  <c r="G99" i="28"/>
  <c r="F100" i="28"/>
  <c r="G100" i="28"/>
  <c r="F101" i="28"/>
  <c r="G101" i="28" s="1"/>
  <c r="F102" i="28"/>
  <c r="G102" i="28"/>
  <c r="F103" i="28"/>
  <c r="G103" i="28" s="1"/>
  <c r="F104" i="28"/>
  <c r="G104" i="28" s="1"/>
  <c r="F105" i="28"/>
  <c r="G105" i="28"/>
  <c r="F106" i="28"/>
  <c r="G106" i="28"/>
  <c r="F107" i="28"/>
  <c r="G107" i="28" s="1"/>
  <c r="F108" i="28"/>
  <c r="G108" i="28"/>
  <c r="F109" i="28"/>
  <c r="G109" i="28"/>
  <c r="F110" i="28"/>
  <c r="G110" i="28"/>
  <c r="F111" i="28"/>
  <c r="G111" i="28"/>
  <c r="F112" i="28"/>
  <c r="G112" i="28" s="1"/>
  <c r="F113" i="28"/>
  <c r="G113" i="28"/>
  <c r="F114" i="28"/>
  <c r="G114" i="28" s="1"/>
  <c r="F115" i="28"/>
  <c r="G115" i="28" s="1"/>
  <c r="F116" i="28"/>
  <c r="G116" i="28" s="1"/>
  <c r="F117" i="28"/>
  <c r="G117" i="28"/>
  <c r="F118" i="28"/>
  <c r="G118" i="28" s="1"/>
  <c r="F119" i="28"/>
  <c r="G119" i="28"/>
  <c r="F120" i="28"/>
  <c r="G120" i="28"/>
  <c r="F121" i="28"/>
  <c r="G121" i="28" s="1"/>
  <c r="F122" i="28"/>
  <c r="G122" i="28"/>
  <c r="F123" i="28"/>
  <c r="G123" i="28"/>
  <c r="F124" i="28"/>
  <c r="G124" i="28"/>
  <c r="F125" i="28"/>
  <c r="G125" i="28"/>
  <c r="F126" i="28"/>
  <c r="G126" i="28"/>
  <c r="F127" i="28"/>
  <c r="G127" i="28"/>
  <c r="F128" i="28"/>
  <c r="G128" i="28"/>
  <c r="F129" i="28"/>
  <c r="G129" i="28"/>
  <c r="F130" i="28"/>
  <c r="G130" i="28"/>
  <c r="F131" i="28"/>
  <c r="G131" i="28"/>
  <c r="G132" i="28"/>
  <c r="G133" i="28"/>
  <c r="F134" i="28"/>
  <c r="G134" i="28" s="1"/>
  <c r="F135" i="28"/>
  <c r="G135" i="28" s="1"/>
  <c r="G137" i="28"/>
  <c r="G138" i="28"/>
  <c r="G139" i="28"/>
  <c r="F140" i="28"/>
  <c r="G140" i="28"/>
  <c r="F141" i="28"/>
  <c r="G141" i="28"/>
  <c r="F142" i="28"/>
  <c r="G142" i="28"/>
  <c r="F143" i="28"/>
  <c r="G143" i="28"/>
  <c r="F144" i="28"/>
  <c r="G144" i="28" s="1"/>
  <c r="F145" i="28"/>
  <c r="G145" i="28" s="1"/>
  <c r="F146" i="28"/>
  <c r="G146" i="28"/>
  <c r="G147" i="28"/>
  <c r="F148" i="28"/>
  <c r="G148" i="28"/>
  <c r="F149" i="28"/>
  <c r="G149" i="28" s="1"/>
  <c r="F150" i="28"/>
  <c r="G150" i="28" s="1"/>
  <c r="F151" i="28"/>
  <c r="G151" i="28" s="1"/>
  <c r="F152" i="28"/>
  <c r="G152" i="28" s="1"/>
  <c r="F153" i="28"/>
  <c r="G153" i="28"/>
  <c r="F154" i="28"/>
  <c r="G154" i="28"/>
  <c r="F155" i="28"/>
  <c r="G155" i="28"/>
  <c r="F156" i="28"/>
  <c r="G156" i="28"/>
  <c r="F157" i="28"/>
  <c r="G157" i="28" s="1"/>
  <c r="F158" i="28"/>
  <c r="G158" i="28" s="1"/>
  <c r="I18" i="27"/>
  <c r="J18" i="27" s="1"/>
  <c r="I19" i="27"/>
  <c r="I19" i="29" s="1"/>
  <c r="I20" i="27"/>
  <c r="I20" i="29" s="1"/>
  <c r="I21" i="27"/>
  <c r="I21" i="29" s="1"/>
  <c r="I22" i="27"/>
  <c r="I22" i="29" s="1"/>
  <c r="I23" i="27"/>
  <c r="J23" i="27" s="1"/>
  <c r="I24" i="27"/>
  <c r="J24" i="27" s="1"/>
  <c r="I25" i="27"/>
  <c r="J25" i="27" s="1"/>
  <c r="I26" i="27"/>
  <c r="J26" i="27" s="1"/>
  <c r="I27" i="27"/>
  <c r="I27" i="29" s="1"/>
  <c r="I28" i="27"/>
  <c r="J28" i="27" s="1"/>
  <c r="I29" i="27"/>
  <c r="I30" i="27"/>
  <c r="I30" i="29" s="1"/>
  <c r="I31" i="27"/>
  <c r="I31" i="29" s="1"/>
  <c r="I32" i="27"/>
  <c r="J32" i="27" s="1"/>
  <c r="I33" i="27"/>
  <c r="J33" i="27" s="1"/>
  <c r="I34" i="27"/>
  <c r="J34" i="27" s="1"/>
  <c r="I35" i="27"/>
  <c r="I35" i="29" s="1"/>
  <c r="I36" i="27"/>
  <c r="I36" i="29" s="1"/>
  <c r="I37" i="27"/>
  <c r="J37" i="27" s="1"/>
  <c r="I38" i="27"/>
  <c r="J38" i="27" s="1"/>
  <c r="I39" i="27"/>
  <c r="I39" i="29" s="1"/>
  <c r="I40" i="27"/>
  <c r="J40" i="27" s="1"/>
  <c r="I41" i="27"/>
  <c r="J41" i="27" s="1"/>
  <c r="I42" i="27"/>
  <c r="J42" i="27" s="1"/>
  <c r="I43" i="27"/>
  <c r="I43" i="29" s="1"/>
  <c r="I44" i="27"/>
  <c r="I44" i="29" s="1"/>
  <c r="I45" i="27"/>
  <c r="I45" i="29" s="1"/>
  <c r="J45" i="29" s="1"/>
  <c r="I46" i="27"/>
  <c r="J46" i="27" s="1"/>
  <c r="I47" i="27"/>
  <c r="J47" i="27" s="1"/>
  <c r="I48" i="27"/>
  <c r="J48" i="27" s="1"/>
  <c r="I49" i="27"/>
  <c r="J49" i="27" s="1"/>
  <c r="I50" i="27"/>
  <c r="J50" i="27" s="1"/>
  <c r="I51" i="27"/>
  <c r="I51" i="29" s="1"/>
  <c r="I52" i="27"/>
  <c r="I52" i="29" s="1"/>
  <c r="I53" i="27"/>
  <c r="I53" i="29" s="1"/>
  <c r="I54" i="27"/>
  <c r="I54" i="29" s="1"/>
  <c r="I55" i="27"/>
  <c r="J55" i="27" s="1"/>
  <c r="I56" i="27"/>
  <c r="J56" i="27" s="1"/>
  <c r="I57" i="27"/>
  <c r="I57" i="29" s="1"/>
  <c r="I58" i="27"/>
  <c r="I58" i="29" s="1"/>
  <c r="I59" i="27"/>
  <c r="I60" i="27"/>
  <c r="I60" i="29" s="1"/>
  <c r="I61" i="27"/>
  <c r="I61" i="29" s="1"/>
  <c r="J61" i="27"/>
  <c r="I62" i="27"/>
  <c r="I63" i="27"/>
  <c r="I63" i="29" s="1"/>
  <c r="I64" i="27"/>
  <c r="J64" i="27"/>
  <c r="I65" i="27"/>
  <c r="J65" i="27" s="1"/>
  <c r="I66" i="27"/>
  <c r="J66" i="27" s="1"/>
  <c r="I67" i="27"/>
  <c r="I67" i="29" s="1"/>
  <c r="I68" i="27"/>
  <c r="I68" i="29" s="1"/>
  <c r="I69" i="27"/>
  <c r="J69" i="27" s="1"/>
  <c r="I70" i="27"/>
  <c r="I71" i="27"/>
  <c r="I72" i="27"/>
  <c r="I72" i="29" s="1"/>
  <c r="J72" i="27"/>
  <c r="I73" i="27"/>
  <c r="J73" i="27" s="1"/>
  <c r="I74" i="27"/>
  <c r="J74" i="27" s="1"/>
  <c r="I75" i="27"/>
  <c r="I75" i="29" s="1"/>
  <c r="I76" i="27"/>
  <c r="I76" i="29" s="1"/>
  <c r="I77" i="27"/>
  <c r="I77" i="29" s="1"/>
  <c r="J77" i="27"/>
  <c r="I78" i="27"/>
  <c r="I79" i="27"/>
  <c r="I80" i="27"/>
  <c r="J80" i="27" s="1"/>
  <c r="I81" i="27"/>
  <c r="I82" i="27"/>
  <c r="I83" i="27"/>
  <c r="J83" i="27" s="1"/>
  <c r="I84" i="27"/>
  <c r="I84" i="29" s="1"/>
  <c r="I85" i="27"/>
  <c r="I85" i="29" s="1"/>
  <c r="I86" i="27"/>
  <c r="I86" i="29" s="1"/>
  <c r="I87" i="27"/>
  <c r="I87" i="29" s="1"/>
  <c r="I88" i="27"/>
  <c r="J88" i="27" s="1"/>
  <c r="I89" i="27"/>
  <c r="J89" i="27" s="1"/>
  <c r="I90" i="27"/>
  <c r="J90" i="27" s="1"/>
  <c r="I91" i="27"/>
  <c r="J91" i="27"/>
  <c r="I92" i="27"/>
  <c r="I92" i="29" s="1"/>
  <c r="J92" i="27"/>
  <c r="I93" i="27"/>
  <c r="J93" i="27" s="1"/>
  <c r="I94" i="27"/>
  <c r="I94" i="29" s="1"/>
  <c r="I95" i="27"/>
  <c r="I95" i="29" s="1"/>
  <c r="I96" i="27"/>
  <c r="I97" i="27"/>
  <c r="I98" i="27"/>
  <c r="J98" i="27" s="1"/>
  <c r="I99" i="27"/>
  <c r="I100" i="27"/>
  <c r="I100" i="29" s="1"/>
  <c r="I101" i="27"/>
  <c r="I102" i="27"/>
  <c r="J102" i="27" s="1"/>
  <c r="I103" i="27"/>
  <c r="J103" i="27" s="1"/>
  <c r="I104" i="27"/>
  <c r="I105" i="27"/>
  <c r="I105" i="29" s="1"/>
  <c r="J105" i="27"/>
  <c r="I106" i="27"/>
  <c r="J106" i="27" s="1"/>
  <c r="I107" i="27"/>
  <c r="J107" i="27" s="1"/>
  <c r="I108" i="27"/>
  <c r="I108" i="29" s="1"/>
  <c r="I109" i="27"/>
  <c r="I109" i="29" s="1"/>
  <c r="I110" i="27"/>
  <c r="I110" i="29" s="1"/>
  <c r="I111" i="27"/>
  <c r="J111" i="27" s="1"/>
  <c r="I112" i="27"/>
  <c r="I112" i="29" s="1"/>
  <c r="I113" i="27"/>
  <c r="J113" i="27" s="1"/>
  <c r="I114" i="27"/>
  <c r="J114" i="27" s="1"/>
  <c r="I115" i="27"/>
  <c r="I116" i="27"/>
  <c r="I116" i="29" s="1"/>
  <c r="I117" i="27"/>
  <c r="J117" i="27" s="1"/>
  <c r="I118" i="27"/>
  <c r="I118" i="29" s="1"/>
  <c r="J118" i="27"/>
  <c r="I119" i="27"/>
  <c r="J119" i="27" s="1"/>
  <c r="I120" i="27"/>
  <c r="I120" i="29" s="1"/>
  <c r="I121" i="27"/>
  <c r="I121" i="29" s="1"/>
  <c r="I122" i="27"/>
  <c r="J122" i="27" s="1"/>
  <c r="I123" i="27"/>
  <c r="I123" i="29" s="1"/>
  <c r="I124" i="27"/>
  <c r="I124" i="29" s="1"/>
  <c r="I125" i="27"/>
  <c r="J125" i="27" s="1"/>
  <c r="I126" i="27"/>
  <c r="J126" i="27" s="1"/>
  <c r="I127" i="27"/>
  <c r="J127" i="27" s="1"/>
  <c r="I128" i="27"/>
  <c r="I128" i="29" s="1"/>
  <c r="I129" i="27"/>
  <c r="I129" i="29" s="1"/>
  <c r="I130" i="27"/>
  <c r="I130" i="29" s="1"/>
  <c r="I130" i="34" s="1"/>
  <c r="I131" i="27"/>
  <c r="J131" i="27" s="1"/>
  <c r="I132" i="27"/>
  <c r="I133" i="27"/>
  <c r="I133" i="29" s="1"/>
  <c r="I134" i="27"/>
  <c r="I134" i="29" s="1"/>
  <c r="I135" i="27"/>
  <c r="I135" i="29" s="1"/>
  <c r="I135" i="34" s="1"/>
  <c r="I136" i="27"/>
  <c r="J136" i="27" s="1"/>
  <c r="I137" i="27"/>
  <c r="J137" i="27"/>
  <c r="I138" i="27"/>
  <c r="I138" i="29" s="1"/>
  <c r="J138" i="27"/>
  <c r="I139" i="27"/>
  <c r="I140" i="27"/>
  <c r="J140" i="27" s="1"/>
  <c r="I141" i="27"/>
  <c r="J141" i="27" s="1"/>
  <c r="I142" i="27"/>
  <c r="I143" i="27"/>
  <c r="I143" i="29" s="1"/>
  <c r="J143" i="27"/>
  <c r="I144" i="27"/>
  <c r="J144" i="27" s="1"/>
  <c r="I145" i="27"/>
  <c r="I146" i="27"/>
  <c r="I146" i="29" s="1"/>
  <c r="I147" i="27"/>
  <c r="I147" i="29" s="1"/>
  <c r="J147" i="27"/>
  <c r="I148" i="27"/>
  <c r="J148" i="27" s="1"/>
  <c r="I149" i="27"/>
  <c r="J149" i="27" s="1"/>
  <c r="I150" i="27"/>
  <c r="J150" i="27" s="1"/>
  <c r="I151" i="27"/>
  <c r="I152" i="27"/>
  <c r="I153" i="27"/>
  <c r="J153" i="27" s="1"/>
  <c r="I154" i="27"/>
  <c r="I154" i="29" s="1"/>
  <c r="J154" i="27"/>
  <c r="I155" i="27"/>
  <c r="J155" i="27" s="1"/>
  <c r="I156" i="27"/>
  <c r="I156" i="29" s="1"/>
  <c r="I157" i="27"/>
  <c r="J157" i="27" s="1"/>
  <c r="F10" i="30"/>
  <c r="G10" i="30" s="1"/>
  <c r="F38" i="30"/>
  <c r="G38" i="30" s="1"/>
  <c r="F70" i="30"/>
  <c r="G70" i="30" s="1"/>
  <c r="F87" i="30"/>
  <c r="G87" i="30" s="1"/>
  <c r="F92" i="30"/>
  <c r="G92" i="30" s="1"/>
  <c r="F93" i="30"/>
  <c r="G93" i="30" s="1"/>
  <c r="F101" i="30"/>
  <c r="G101" i="30" s="1"/>
  <c r="C158" i="18"/>
  <c r="C157" i="18"/>
  <c r="C156" i="18"/>
  <c r="C155" i="18"/>
  <c r="C154" i="18"/>
  <c r="C153" i="18"/>
  <c r="C152" i="18"/>
  <c r="C151" i="18"/>
  <c r="C150" i="18"/>
  <c r="C149" i="18"/>
  <c r="C148" i="18"/>
  <c r="C147" i="18"/>
  <c r="C146" i="18"/>
  <c r="C145" i="18"/>
  <c r="C144" i="18"/>
  <c r="C143" i="18"/>
  <c r="C142" i="18"/>
  <c r="C141" i="18"/>
  <c r="C140" i="18"/>
  <c r="G67" i="26"/>
  <c r="G59" i="26"/>
  <c r="G60" i="26"/>
  <c r="G61" i="26"/>
  <c r="G62" i="26"/>
  <c r="G66" i="26"/>
  <c r="G58" i="26"/>
  <c r="F57" i="26"/>
  <c r="G57" i="26" s="1"/>
  <c r="G117" i="26"/>
  <c r="G93" i="26"/>
  <c r="F4" i="26"/>
  <c r="G4" i="26" s="1"/>
  <c r="F5" i="26"/>
  <c r="G5" i="26" s="1"/>
  <c r="F6" i="26"/>
  <c r="G6" i="26" s="1"/>
  <c r="F7" i="26"/>
  <c r="G7" i="26" s="1"/>
  <c r="F8" i="26"/>
  <c r="G8" i="26" s="1"/>
  <c r="F9" i="26"/>
  <c r="G9" i="26" s="1"/>
  <c r="F10" i="26"/>
  <c r="G10" i="26" s="1"/>
  <c r="F11" i="26"/>
  <c r="G11" i="26" s="1"/>
  <c r="F12" i="26"/>
  <c r="G12" i="26" s="1"/>
  <c r="F13" i="26"/>
  <c r="G13" i="26" s="1"/>
  <c r="F14" i="26"/>
  <c r="G14" i="26" s="1"/>
  <c r="F15" i="26"/>
  <c r="G15" i="26" s="1"/>
  <c r="F16" i="26"/>
  <c r="G16" i="26" s="1"/>
  <c r="F18" i="26"/>
  <c r="G18" i="26" s="1"/>
  <c r="F19" i="26"/>
  <c r="G19" i="26" s="1"/>
  <c r="F20" i="26"/>
  <c r="G20" i="26" s="1"/>
  <c r="F21" i="26"/>
  <c r="G21" i="26" s="1"/>
  <c r="F22" i="26"/>
  <c r="G22" i="26" s="1"/>
  <c r="F23" i="26"/>
  <c r="G23" i="26" s="1"/>
  <c r="F24" i="26"/>
  <c r="G24" i="26" s="1"/>
  <c r="F25" i="26"/>
  <c r="G25" i="26" s="1"/>
  <c r="F26" i="26"/>
  <c r="G26" i="26" s="1"/>
  <c r="F27" i="26"/>
  <c r="G27" i="26" s="1"/>
  <c r="F28" i="26"/>
  <c r="G28" i="26" s="1"/>
  <c r="F29" i="26"/>
  <c r="G29" i="26" s="1"/>
  <c r="F30" i="26"/>
  <c r="G30" i="26" s="1"/>
  <c r="F31" i="26"/>
  <c r="G31" i="26" s="1"/>
  <c r="F32" i="26"/>
  <c r="G32" i="26" s="1"/>
  <c r="F33" i="26"/>
  <c r="G33" i="26" s="1"/>
  <c r="F34" i="26"/>
  <c r="G34" i="26" s="1"/>
  <c r="F35" i="26"/>
  <c r="G35" i="26" s="1"/>
  <c r="F36" i="26"/>
  <c r="G36" i="26" s="1"/>
  <c r="F37" i="26"/>
  <c r="G37" i="26" s="1"/>
  <c r="F38" i="26"/>
  <c r="G38" i="26" s="1"/>
  <c r="F39" i="26"/>
  <c r="G39" i="26" s="1"/>
  <c r="F40" i="26"/>
  <c r="G40" i="26" s="1"/>
  <c r="F41" i="26"/>
  <c r="G41" i="26" s="1"/>
  <c r="F42" i="26"/>
  <c r="G42" i="26" s="1"/>
  <c r="F43" i="26"/>
  <c r="G43" i="26" s="1"/>
  <c r="F44" i="26"/>
  <c r="G44" i="26" s="1"/>
  <c r="F45" i="26"/>
  <c r="G45" i="26" s="1"/>
  <c r="F46" i="26"/>
  <c r="G46" i="26" s="1"/>
  <c r="F47" i="26"/>
  <c r="G47" i="26" s="1"/>
  <c r="F48" i="26"/>
  <c r="G48" i="26" s="1"/>
  <c r="F49" i="26"/>
  <c r="G49" i="26"/>
  <c r="F50" i="26"/>
  <c r="G50" i="26" s="1"/>
  <c r="F51" i="26"/>
  <c r="G51" i="26" s="1"/>
  <c r="F52" i="26"/>
  <c r="G52" i="26"/>
  <c r="F53" i="26"/>
  <c r="G53" i="26" s="1"/>
  <c r="F54" i="26"/>
  <c r="G54" i="26" s="1"/>
  <c r="F55" i="26"/>
  <c r="G55" i="26" s="1"/>
  <c r="F56" i="26"/>
  <c r="G56" i="26" s="1"/>
  <c r="G68" i="26"/>
  <c r="G69" i="26"/>
  <c r="G70" i="26"/>
  <c r="G75" i="26"/>
  <c r="G76" i="26"/>
  <c r="G77" i="26"/>
  <c r="G78" i="26"/>
  <c r="G83" i="26"/>
  <c r="G84" i="26"/>
  <c r="G85" i="26"/>
  <c r="G86" i="26"/>
  <c r="G91" i="26"/>
  <c r="G92" i="26"/>
  <c r="G94" i="26"/>
  <c r="G99" i="26"/>
  <c r="G100" i="26"/>
  <c r="G101" i="26"/>
  <c r="G102" i="26"/>
  <c r="G106" i="26"/>
  <c r="G108" i="26"/>
  <c r="G109" i="26"/>
  <c r="G110" i="26"/>
  <c r="G111" i="26"/>
  <c r="G112" i="26"/>
  <c r="G114" i="26"/>
  <c r="G116" i="26"/>
  <c r="C97" i="30"/>
  <c r="C98" i="30"/>
  <c r="C99" i="30"/>
  <c r="C100" i="30"/>
  <c r="C101" i="30"/>
  <c r="C102" i="30"/>
  <c r="C103" i="30"/>
  <c r="C104" i="30"/>
  <c r="C105" i="30"/>
  <c r="C106" i="30"/>
  <c r="C107" i="30"/>
  <c r="C108" i="30"/>
  <c r="C109" i="30"/>
  <c r="C110" i="30"/>
  <c r="C111" i="30"/>
  <c r="C112" i="30"/>
  <c r="C113" i="30"/>
  <c r="C114" i="30"/>
  <c r="C115" i="30"/>
  <c r="C116" i="30"/>
  <c r="C117" i="30"/>
  <c r="C96" i="30"/>
  <c r="C140" i="1"/>
  <c r="C157" i="1"/>
  <c r="C156" i="1"/>
  <c r="C155" i="1"/>
  <c r="C153" i="1"/>
  <c r="C152" i="1"/>
  <c r="C151" i="1"/>
  <c r="C150" i="1"/>
  <c r="C149" i="1"/>
  <c r="C148" i="1"/>
  <c r="C147" i="1"/>
  <c r="C146" i="1"/>
  <c r="C145" i="1"/>
  <c r="C144" i="1"/>
  <c r="C143" i="1"/>
  <c r="C142" i="1"/>
  <c r="C141" i="1"/>
  <c r="F58" i="19"/>
  <c r="G58" i="19"/>
  <c r="H2" i="19"/>
  <c r="D2" i="19"/>
  <c r="I4" i="19"/>
  <c r="J4" i="19" s="1"/>
  <c r="I5" i="19"/>
  <c r="J5" i="19" s="1"/>
  <c r="I6" i="19"/>
  <c r="J6" i="19" s="1"/>
  <c r="I7" i="19"/>
  <c r="J7" i="19" s="1"/>
  <c r="I8" i="19"/>
  <c r="J8" i="19" s="1"/>
  <c r="I9" i="19"/>
  <c r="J9" i="19" s="1"/>
  <c r="I10" i="19"/>
  <c r="J10" i="19" s="1"/>
  <c r="I11" i="19"/>
  <c r="J11" i="19" s="1"/>
  <c r="I12" i="19"/>
  <c r="J12" i="19" s="1"/>
  <c r="I13" i="19"/>
  <c r="J13" i="19" s="1"/>
  <c r="I14" i="19"/>
  <c r="J14" i="19" s="1"/>
  <c r="I15" i="19"/>
  <c r="J15" i="19" s="1"/>
  <c r="I16" i="19"/>
  <c r="J16" i="19" s="1"/>
  <c r="I17" i="19"/>
  <c r="J17" i="19" s="1"/>
  <c r="I18" i="19"/>
  <c r="J18" i="19" s="1"/>
  <c r="I19" i="19"/>
  <c r="J19" i="19"/>
  <c r="I20" i="19"/>
  <c r="J20" i="19"/>
  <c r="I21" i="19"/>
  <c r="J21" i="19" s="1"/>
  <c r="I22" i="19"/>
  <c r="J22" i="19" s="1"/>
  <c r="I23" i="19"/>
  <c r="J23" i="19" s="1"/>
  <c r="I24" i="19"/>
  <c r="J24" i="19" s="1"/>
  <c r="I25" i="19"/>
  <c r="J25" i="19"/>
  <c r="I26" i="19"/>
  <c r="J26" i="19" s="1"/>
  <c r="I27" i="19"/>
  <c r="J27" i="19" s="1"/>
  <c r="I28" i="19"/>
  <c r="J28" i="19" s="1"/>
  <c r="I29" i="19"/>
  <c r="J29" i="19" s="1"/>
  <c r="I30" i="19"/>
  <c r="J30" i="19" s="1"/>
  <c r="I31" i="19"/>
  <c r="J31" i="19" s="1"/>
  <c r="I32" i="19"/>
  <c r="J32" i="19" s="1"/>
  <c r="I33" i="19"/>
  <c r="J33" i="19" s="1"/>
  <c r="I34" i="19"/>
  <c r="J34" i="19" s="1"/>
  <c r="I35" i="19"/>
  <c r="J35" i="19" s="1"/>
  <c r="I36" i="19"/>
  <c r="J36" i="19" s="1"/>
  <c r="I37" i="19"/>
  <c r="J37" i="19" s="1"/>
  <c r="I38" i="19"/>
  <c r="J38" i="19" s="1"/>
  <c r="I39" i="19"/>
  <c r="J39" i="19" s="1"/>
  <c r="I40" i="19"/>
  <c r="J40" i="19" s="1"/>
  <c r="I41" i="19"/>
  <c r="J41" i="19" s="1"/>
  <c r="I42" i="19"/>
  <c r="J42" i="19" s="1"/>
  <c r="I43" i="19"/>
  <c r="J43" i="19" s="1"/>
  <c r="I44" i="19"/>
  <c r="J44" i="19" s="1"/>
  <c r="I45" i="19"/>
  <c r="J45" i="19" s="1"/>
  <c r="I46" i="19"/>
  <c r="J46" i="19" s="1"/>
  <c r="I47" i="19"/>
  <c r="J47" i="19" s="1"/>
  <c r="I48" i="19"/>
  <c r="I49" i="19"/>
  <c r="J49" i="19" s="1"/>
  <c r="I50" i="19"/>
  <c r="J50" i="19"/>
  <c r="I51" i="19"/>
  <c r="J51" i="19" s="1"/>
  <c r="I52" i="19"/>
  <c r="J52" i="19"/>
  <c r="I53" i="19"/>
  <c r="J53" i="19"/>
  <c r="I54" i="19"/>
  <c r="J54" i="19" s="1"/>
  <c r="I55" i="19"/>
  <c r="J55" i="19"/>
  <c r="I56" i="19"/>
  <c r="J56" i="19" s="1"/>
  <c r="I57" i="19"/>
  <c r="J57" i="19" s="1"/>
  <c r="I58" i="19"/>
  <c r="J58" i="19" s="1"/>
  <c r="I59" i="19"/>
  <c r="J59" i="19" s="1"/>
  <c r="I60" i="19"/>
  <c r="J60" i="19"/>
  <c r="I61" i="19"/>
  <c r="J61" i="19" s="1"/>
  <c r="I62" i="19"/>
  <c r="J62" i="19"/>
  <c r="I63" i="19"/>
  <c r="J63" i="19"/>
  <c r="I64" i="19"/>
  <c r="J64" i="19"/>
  <c r="I65" i="19"/>
  <c r="J65" i="19" s="1"/>
  <c r="I66" i="19"/>
  <c r="J66" i="19"/>
  <c r="I67" i="19"/>
  <c r="J67" i="19" s="1"/>
  <c r="I68" i="19"/>
  <c r="J68" i="19"/>
  <c r="I69" i="19"/>
  <c r="J69" i="19"/>
  <c r="I70" i="19"/>
  <c r="J70" i="19" s="1"/>
  <c r="I71" i="19"/>
  <c r="J71" i="19" s="1"/>
  <c r="I72" i="19"/>
  <c r="J72" i="19"/>
  <c r="I73" i="19"/>
  <c r="J73" i="19" s="1"/>
  <c r="I74" i="19"/>
  <c r="J74" i="19" s="1"/>
  <c r="I75" i="19"/>
  <c r="J75" i="19"/>
  <c r="I76" i="19"/>
  <c r="J76" i="19" s="1"/>
  <c r="I77" i="19"/>
  <c r="J77" i="19" s="1"/>
  <c r="I78" i="19"/>
  <c r="J78" i="19" s="1"/>
  <c r="I79" i="19"/>
  <c r="J79" i="19"/>
  <c r="I80" i="19"/>
  <c r="J80" i="19"/>
  <c r="I81" i="19"/>
  <c r="J81" i="19"/>
  <c r="I82" i="19"/>
  <c r="J82" i="19" s="1"/>
  <c r="I83" i="19"/>
  <c r="J83" i="19"/>
  <c r="I84" i="19"/>
  <c r="J84" i="19" s="1"/>
  <c r="I85" i="19"/>
  <c r="J85" i="19" s="1"/>
  <c r="I86" i="19"/>
  <c r="J86" i="19" s="1"/>
  <c r="I87" i="19"/>
  <c r="J87" i="19"/>
  <c r="I88" i="19"/>
  <c r="J88" i="19" s="1"/>
  <c r="I89" i="19"/>
  <c r="J89" i="19" s="1"/>
  <c r="I90" i="19"/>
  <c r="J90" i="19" s="1"/>
  <c r="I91" i="19"/>
  <c r="J91" i="19"/>
  <c r="I92" i="19"/>
  <c r="J92" i="19" s="1"/>
  <c r="I93" i="19"/>
  <c r="J93" i="19" s="1"/>
  <c r="I94" i="19"/>
  <c r="J94" i="19" s="1"/>
  <c r="I95" i="19"/>
  <c r="J95" i="19" s="1"/>
  <c r="I96" i="19"/>
  <c r="J96" i="19"/>
  <c r="I97" i="19"/>
  <c r="J97" i="19" s="1"/>
  <c r="I98" i="19"/>
  <c r="J98" i="19" s="1"/>
  <c r="I99" i="19"/>
  <c r="J99" i="19" s="1"/>
  <c r="I100" i="19"/>
  <c r="J100" i="19" s="1"/>
  <c r="I101" i="19"/>
  <c r="J101" i="19" s="1"/>
  <c r="I102" i="19"/>
  <c r="J102" i="19" s="1"/>
  <c r="I103" i="19"/>
  <c r="J103" i="19"/>
  <c r="I104" i="19"/>
  <c r="J104" i="19"/>
  <c r="I105" i="19"/>
  <c r="J105" i="19" s="1"/>
  <c r="I106" i="19"/>
  <c r="J106" i="19" s="1"/>
  <c r="I107" i="19"/>
  <c r="J107" i="19" s="1"/>
  <c r="I108" i="19"/>
  <c r="J108" i="19" s="1"/>
  <c r="I109" i="19"/>
  <c r="J109" i="19" s="1"/>
  <c r="I110" i="19"/>
  <c r="I111" i="19"/>
  <c r="J111" i="19" s="1"/>
  <c r="I112" i="19"/>
  <c r="J112" i="19" s="1"/>
  <c r="I113" i="19"/>
  <c r="J113" i="19" s="1"/>
  <c r="I114" i="19"/>
  <c r="J114" i="19" s="1"/>
  <c r="I115" i="19"/>
  <c r="J115" i="19" s="1"/>
  <c r="I116" i="19"/>
  <c r="J116" i="19" s="1"/>
  <c r="G13" i="19"/>
  <c r="F4" i="19"/>
  <c r="G4" i="19" s="1"/>
  <c r="F5" i="19"/>
  <c r="G5" i="19" s="1"/>
  <c r="F6" i="19"/>
  <c r="G6" i="19" s="1"/>
  <c r="F7" i="19"/>
  <c r="G7" i="19" s="1"/>
  <c r="F8" i="19"/>
  <c r="G8" i="19" s="1"/>
  <c r="F9" i="19"/>
  <c r="G9" i="19" s="1"/>
  <c r="F10" i="19"/>
  <c r="G10" i="19" s="1"/>
  <c r="F11" i="19"/>
  <c r="G11" i="19" s="1"/>
  <c r="F12" i="19"/>
  <c r="G12" i="19" s="1"/>
  <c r="F13" i="19"/>
  <c r="F14" i="19"/>
  <c r="G14" i="19" s="1"/>
  <c r="F15" i="19"/>
  <c r="G15" i="19" s="1"/>
  <c r="F16" i="19"/>
  <c r="G16" i="19"/>
  <c r="F17" i="19"/>
  <c r="G17" i="19" s="1"/>
  <c r="F18" i="19"/>
  <c r="G18" i="19" s="1"/>
  <c r="F19" i="19"/>
  <c r="G19" i="19" s="1"/>
  <c r="F20" i="19"/>
  <c r="G20" i="19" s="1"/>
  <c r="F21" i="19"/>
  <c r="G21" i="19" s="1"/>
  <c r="F22" i="19"/>
  <c r="G22" i="19"/>
  <c r="F23" i="19"/>
  <c r="G23" i="19" s="1"/>
  <c r="F24" i="19"/>
  <c r="G24" i="19" s="1"/>
  <c r="F25" i="19"/>
  <c r="G25" i="19" s="1"/>
  <c r="F26" i="19"/>
  <c r="G26" i="19" s="1"/>
  <c r="F27" i="19"/>
  <c r="G27" i="19" s="1"/>
  <c r="F28" i="19"/>
  <c r="G28" i="19" s="1"/>
  <c r="F29" i="19"/>
  <c r="G29" i="19" s="1"/>
  <c r="F30" i="19"/>
  <c r="G30" i="19" s="1"/>
  <c r="F31" i="19"/>
  <c r="G31" i="19" s="1"/>
  <c r="F32" i="19"/>
  <c r="G32" i="19" s="1"/>
  <c r="F33" i="19"/>
  <c r="G33" i="19" s="1"/>
  <c r="F34" i="19"/>
  <c r="G34" i="19" s="1"/>
  <c r="F35" i="19"/>
  <c r="G35" i="19" s="1"/>
  <c r="F36" i="19"/>
  <c r="G36" i="19" s="1"/>
  <c r="F37" i="19"/>
  <c r="G37" i="19" s="1"/>
  <c r="F38" i="19"/>
  <c r="G38" i="19" s="1"/>
  <c r="F39" i="19"/>
  <c r="G39" i="19" s="1"/>
  <c r="F40" i="19"/>
  <c r="G40" i="19" s="1"/>
  <c r="F41" i="19"/>
  <c r="G41" i="19" s="1"/>
  <c r="F42" i="19"/>
  <c r="G42" i="19" s="1"/>
  <c r="F43" i="19"/>
  <c r="G43" i="19" s="1"/>
  <c r="F44" i="19"/>
  <c r="G44" i="19" s="1"/>
  <c r="F45" i="19"/>
  <c r="G45" i="19" s="1"/>
  <c r="F46" i="19"/>
  <c r="G46" i="19" s="1"/>
  <c r="F47" i="19"/>
  <c r="G47" i="19"/>
  <c r="F48" i="19"/>
  <c r="G48" i="19"/>
  <c r="F49" i="19"/>
  <c r="G49" i="19"/>
  <c r="F50" i="19"/>
  <c r="G50" i="19"/>
  <c r="F51" i="19"/>
  <c r="G51" i="19" s="1"/>
  <c r="F52" i="19"/>
  <c r="G52" i="19" s="1"/>
  <c r="F53" i="19"/>
  <c r="G53" i="19"/>
  <c r="F54" i="19"/>
  <c r="G54" i="19" s="1"/>
  <c r="F55" i="19"/>
  <c r="G55" i="19" s="1"/>
  <c r="F56" i="19"/>
  <c r="G56" i="19" s="1"/>
  <c r="F57" i="19"/>
  <c r="G57" i="19" s="1"/>
  <c r="F59" i="19"/>
  <c r="G59" i="19"/>
  <c r="F60" i="19"/>
  <c r="G60" i="19"/>
  <c r="F61" i="19"/>
  <c r="G61" i="19"/>
  <c r="F62" i="19"/>
  <c r="G62" i="19" s="1"/>
  <c r="F63" i="19"/>
  <c r="G63" i="19" s="1"/>
  <c r="F64" i="19"/>
  <c r="G64" i="19" s="1"/>
  <c r="F65" i="19"/>
  <c r="G65" i="19"/>
  <c r="F66" i="19"/>
  <c r="G66" i="19" s="1"/>
  <c r="F67" i="19"/>
  <c r="G67" i="19"/>
  <c r="F68" i="19"/>
  <c r="G68" i="19"/>
  <c r="G72" i="19"/>
  <c r="G73" i="19"/>
  <c r="G88" i="19"/>
  <c r="G89" i="19"/>
  <c r="G90" i="19"/>
  <c r="I4" i="20"/>
  <c r="I5" i="20"/>
  <c r="I6" i="20"/>
  <c r="J7" i="20"/>
  <c r="I8" i="20"/>
  <c r="I9" i="20"/>
  <c r="I10" i="20"/>
  <c r="I11" i="20"/>
  <c r="I12" i="20"/>
  <c r="I13" i="20"/>
  <c r="I14" i="20"/>
  <c r="I15" i="20"/>
  <c r="I16" i="20"/>
  <c r="I17" i="20"/>
  <c r="I17" i="18" s="1"/>
  <c r="J17" i="18" s="1"/>
  <c r="I18" i="20"/>
  <c r="I19" i="20"/>
  <c r="I19" i="18" s="1"/>
  <c r="J19" i="18" s="1"/>
  <c r="I20" i="20"/>
  <c r="I21" i="20"/>
  <c r="I22" i="20"/>
  <c r="I23" i="20"/>
  <c r="I24" i="20"/>
  <c r="I25" i="20"/>
  <c r="I26" i="20"/>
  <c r="I27" i="20"/>
  <c r="I29" i="20"/>
  <c r="I30" i="20"/>
  <c r="I31" i="20"/>
  <c r="I32" i="20"/>
  <c r="I33" i="20"/>
  <c r="I34" i="20"/>
  <c r="I35" i="20"/>
  <c r="I36" i="20"/>
  <c r="I37" i="20"/>
  <c r="I38" i="20"/>
  <c r="I39" i="20"/>
  <c r="I40" i="20"/>
  <c r="I41" i="20"/>
  <c r="I42" i="20"/>
  <c r="I43" i="20"/>
  <c r="I44" i="20"/>
  <c r="I45" i="20"/>
  <c r="I46" i="20"/>
  <c r="I47" i="20"/>
  <c r="I47" i="18" s="1"/>
  <c r="J47" i="18" s="1"/>
  <c r="J47" i="20"/>
  <c r="I48" i="20"/>
  <c r="I48" i="18" s="1"/>
  <c r="J48" i="18" s="1"/>
  <c r="J48" i="20"/>
  <c r="I49" i="20"/>
  <c r="I49" i="18" s="1"/>
  <c r="J49" i="18" s="1"/>
  <c r="J49" i="20"/>
  <c r="I50" i="20"/>
  <c r="I50" i="18" s="1"/>
  <c r="J50" i="18" s="1"/>
  <c r="J50" i="20"/>
  <c r="I51" i="20"/>
  <c r="I52" i="20"/>
  <c r="I53" i="20"/>
  <c r="I53" i="18" s="1"/>
  <c r="J53" i="18" s="1"/>
  <c r="J53" i="20"/>
  <c r="I54" i="20"/>
  <c r="I55" i="20"/>
  <c r="I55" i="18" s="1"/>
  <c r="J55" i="18" s="1"/>
  <c r="J55" i="20"/>
  <c r="I56" i="20"/>
  <c r="I57" i="20"/>
  <c r="I58" i="20"/>
  <c r="I59" i="20"/>
  <c r="I59" i="18" s="1"/>
  <c r="J59" i="18" s="1"/>
  <c r="J59" i="20"/>
  <c r="I60" i="20"/>
  <c r="I61" i="20"/>
  <c r="I62" i="20"/>
  <c r="I63" i="20"/>
  <c r="I64" i="20"/>
  <c r="I65" i="20"/>
  <c r="I66" i="20"/>
  <c r="I66" i="18" s="1"/>
  <c r="J66" i="18" s="1"/>
  <c r="J66" i="20"/>
  <c r="I67" i="20"/>
  <c r="I67" i="18" s="1"/>
  <c r="J67" i="18" s="1"/>
  <c r="J67" i="20"/>
  <c r="I68" i="20"/>
  <c r="I68" i="18" s="1"/>
  <c r="J68" i="18" s="1"/>
  <c r="J68" i="20"/>
  <c r="I69" i="20"/>
  <c r="I69" i="18" s="1"/>
  <c r="J69" i="18" s="1"/>
  <c r="J69" i="20"/>
  <c r="I70" i="20"/>
  <c r="I70" i="18" s="1"/>
  <c r="J70" i="18" s="1"/>
  <c r="J70" i="20"/>
  <c r="I71" i="20"/>
  <c r="I71" i="18" s="1"/>
  <c r="J71" i="18" s="1"/>
  <c r="J71" i="20"/>
  <c r="I72" i="20"/>
  <c r="I73" i="20"/>
  <c r="I73" i="18" s="1"/>
  <c r="J73" i="18" s="1"/>
  <c r="J73" i="20"/>
  <c r="I74" i="20"/>
  <c r="I74" i="18" s="1"/>
  <c r="J74" i="18" s="1"/>
  <c r="I75" i="20"/>
  <c r="I75" i="18" s="1"/>
  <c r="J75" i="18" s="1"/>
  <c r="J75" i="20"/>
  <c r="I76" i="20"/>
  <c r="I76" i="18" s="1"/>
  <c r="J76" i="18" s="1"/>
  <c r="J76" i="20"/>
  <c r="I77" i="20"/>
  <c r="I77" i="18" s="1"/>
  <c r="J77" i="18" s="1"/>
  <c r="J77" i="20"/>
  <c r="I78" i="20"/>
  <c r="I78" i="18" s="1"/>
  <c r="J78" i="18" s="1"/>
  <c r="J78" i="20"/>
  <c r="I79" i="20"/>
  <c r="I79" i="18" s="1"/>
  <c r="J79" i="18" s="1"/>
  <c r="J79" i="20"/>
  <c r="I80" i="20"/>
  <c r="I81" i="20"/>
  <c r="I82" i="20"/>
  <c r="I82" i="18" s="1"/>
  <c r="J82" i="18" s="1"/>
  <c r="J82" i="20"/>
  <c r="I83" i="20"/>
  <c r="I83" i="18" s="1"/>
  <c r="J83" i="18" s="1"/>
  <c r="J83" i="20"/>
  <c r="I84" i="20"/>
  <c r="I84" i="18" s="1"/>
  <c r="J84" i="18" s="1"/>
  <c r="I85" i="20"/>
  <c r="I86" i="20"/>
  <c r="I87" i="20"/>
  <c r="I88" i="20"/>
  <c r="I88" i="18" s="1"/>
  <c r="J88" i="18" s="1"/>
  <c r="J88" i="20"/>
  <c r="I89" i="20"/>
  <c r="I89" i="18" s="1"/>
  <c r="J89" i="18" s="1"/>
  <c r="J89" i="20"/>
  <c r="I90" i="20"/>
  <c r="I91" i="20"/>
  <c r="I92" i="20"/>
  <c r="I92" i="18" s="1"/>
  <c r="J92" i="18" s="1"/>
  <c r="J92" i="20"/>
  <c r="I93" i="20"/>
  <c r="I93" i="18" s="1"/>
  <c r="J93" i="18" s="1"/>
  <c r="J93" i="20"/>
  <c r="I94" i="20"/>
  <c r="I94" i="18" s="1"/>
  <c r="J94" i="18" s="1"/>
  <c r="I95" i="20"/>
  <c r="I95" i="18" s="1"/>
  <c r="J95" i="18" s="1"/>
  <c r="I96" i="20"/>
  <c r="I96" i="18" s="1"/>
  <c r="J96" i="18" s="1"/>
  <c r="I97" i="20"/>
  <c r="I98" i="20"/>
  <c r="I98" i="18" s="1"/>
  <c r="J98" i="18" s="1"/>
  <c r="J98" i="20"/>
  <c r="I99" i="20"/>
  <c r="I99" i="18" s="1"/>
  <c r="J99" i="18" s="1"/>
  <c r="J99" i="20"/>
  <c r="I100" i="20"/>
  <c r="I100" i="18" s="1"/>
  <c r="J100" i="18" s="1"/>
  <c r="J100" i="20"/>
  <c r="I101" i="20"/>
  <c r="I102" i="20"/>
  <c r="I102" i="18" s="1"/>
  <c r="J102" i="18" s="1"/>
  <c r="J102" i="20"/>
  <c r="I103" i="20"/>
  <c r="I103" i="18" s="1"/>
  <c r="J103" i="18" s="1"/>
  <c r="J103" i="20"/>
  <c r="I104" i="20"/>
  <c r="I104" i="18" s="1"/>
  <c r="J104" i="18" s="1"/>
  <c r="J104" i="20"/>
  <c r="I105" i="20"/>
  <c r="I105" i="18" s="1"/>
  <c r="J105" i="18" s="1"/>
  <c r="J105" i="20"/>
  <c r="I106" i="20"/>
  <c r="I106" i="18" s="1"/>
  <c r="J106" i="18" s="1"/>
  <c r="J106" i="20"/>
  <c r="I107" i="20"/>
  <c r="I107" i="18" s="1"/>
  <c r="J107" i="18" s="1"/>
  <c r="J107" i="20"/>
  <c r="I108" i="20"/>
  <c r="I108" i="18" s="1"/>
  <c r="J108" i="18" s="1"/>
  <c r="J108" i="20"/>
  <c r="I109" i="20"/>
  <c r="I110" i="20"/>
  <c r="I110" i="18" s="1"/>
  <c r="J110" i="18" s="1"/>
  <c r="J110" i="20"/>
  <c r="I111" i="20"/>
  <c r="I111" i="18" s="1"/>
  <c r="J111" i="18" s="1"/>
  <c r="J111" i="20"/>
  <c r="I112" i="20"/>
  <c r="I112" i="18" s="1"/>
  <c r="J112" i="18" s="1"/>
  <c r="J112" i="20"/>
  <c r="I113" i="20"/>
  <c r="I113" i="18" s="1"/>
  <c r="J113" i="18" s="1"/>
  <c r="J113" i="20"/>
  <c r="I114" i="20"/>
  <c r="I114" i="18" s="1"/>
  <c r="J114" i="18" s="1"/>
  <c r="J114" i="20"/>
  <c r="I115" i="20"/>
  <c r="I115" i="18" s="1"/>
  <c r="J115" i="18" s="1"/>
  <c r="J115" i="20"/>
  <c r="I116" i="20"/>
  <c r="I116" i="18" s="1"/>
  <c r="J116" i="18" s="1"/>
  <c r="J116" i="20"/>
  <c r="I117" i="20"/>
  <c r="I119" i="20"/>
  <c r="I119" i="18" s="1"/>
  <c r="J119" i="18" s="1"/>
  <c r="J119" i="20"/>
  <c r="I120" i="20"/>
  <c r="I120" i="18" s="1"/>
  <c r="J120" i="18" s="1"/>
  <c r="J120" i="20"/>
  <c r="I121" i="20"/>
  <c r="I121" i="18" s="1"/>
  <c r="J121" i="18" s="1"/>
  <c r="J121" i="20"/>
  <c r="I122" i="20"/>
  <c r="I122" i="18" s="1"/>
  <c r="J122" i="20"/>
  <c r="I123" i="20"/>
  <c r="I124" i="20"/>
  <c r="I124" i="18" s="1"/>
  <c r="J124" i="18" s="1"/>
  <c r="J124" i="20"/>
  <c r="I125" i="20"/>
  <c r="I126" i="20"/>
  <c r="I127" i="20"/>
  <c r="I128" i="20"/>
  <c r="I128" i="18" s="1"/>
  <c r="J128" i="18" s="1"/>
  <c r="J128" i="20"/>
  <c r="I129" i="20"/>
  <c r="I130" i="20"/>
  <c r="I130" i="18" s="1"/>
  <c r="J130" i="20"/>
  <c r="I131" i="20"/>
  <c r="I131" i="18" s="1"/>
  <c r="J131" i="18" s="1"/>
  <c r="J131" i="20"/>
  <c r="I132" i="20"/>
  <c r="I132" i="18" s="1"/>
  <c r="J132" i="18" s="1"/>
  <c r="J132" i="20"/>
  <c r="I133" i="20"/>
  <c r="I133" i="18" s="1"/>
  <c r="J133" i="18" s="1"/>
  <c r="J133" i="20"/>
  <c r="I134" i="20"/>
  <c r="I135" i="20"/>
  <c r="I136" i="20"/>
  <c r="J138" i="20"/>
  <c r="J139" i="20"/>
  <c r="F4" i="20"/>
  <c r="G4" i="20" s="1"/>
  <c r="F5" i="20"/>
  <c r="G5" i="20" s="1"/>
  <c r="F6" i="20"/>
  <c r="G6" i="20" s="1"/>
  <c r="F7" i="20"/>
  <c r="G7" i="20" s="1"/>
  <c r="F8" i="20"/>
  <c r="G8" i="20" s="1"/>
  <c r="F9" i="20"/>
  <c r="G9" i="20" s="1"/>
  <c r="F10" i="20"/>
  <c r="G10" i="20" s="1"/>
  <c r="F11" i="20"/>
  <c r="G11" i="20"/>
  <c r="F12" i="20"/>
  <c r="G12" i="20" s="1"/>
  <c r="F13" i="20"/>
  <c r="G13" i="20" s="1"/>
  <c r="F14" i="20"/>
  <c r="G14" i="20" s="1"/>
  <c r="F15" i="20"/>
  <c r="G15" i="20" s="1"/>
  <c r="F16" i="20"/>
  <c r="G16" i="20" s="1"/>
  <c r="F17" i="20"/>
  <c r="G17" i="20" s="1"/>
  <c r="F18" i="20"/>
  <c r="G18" i="20" s="1"/>
  <c r="F19" i="20"/>
  <c r="G19" i="20" s="1"/>
  <c r="F20" i="20"/>
  <c r="G20" i="20" s="1"/>
  <c r="F21" i="20"/>
  <c r="G21" i="20" s="1"/>
  <c r="F22" i="20"/>
  <c r="G22" i="20" s="1"/>
  <c r="F23" i="20"/>
  <c r="G23" i="20" s="1"/>
  <c r="F24" i="20"/>
  <c r="G24" i="20" s="1"/>
  <c r="F25" i="20"/>
  <c r="G25" i="20" s="1"/>
  <c r="F26" i="20"/>
  <c r="G26" i="20" s="1"/>
  <c r="F27" i="20"/>
  <c r="G27" i="20" s="1"/>
  <c r="F28" i="20"/>
  <c r="G28" i="20" s="1"/>
  <c r="F29" i="20"/>
  <c r="G29" i="20" s="1"/>
  <c r="F30" i="20"/>
  <c r="G30" i="20" s="1"/>
  <c r="F31" i="20"/>
  <c r="G31" i="20" s="1"/>
  <c r="F32" i="20"/>
  <c r="G32" i="20" s="1"/>
  <c r="F33" i="20"/>
  <c r="G33" i="20" s="1"/>
  <c r="F34" i="20"/>
  <c r="G34" i="20" s="1"/>
  <c r="F35" i="20"/>
  <c r="G35" i="20" s="1"/>
  <c r="F36" i="20"/>
  <c r="G36" i="20" s="1"/>
  <c r="F37" i="20"/>
  <c r="G37" i="20" s="1"/>
  <c r="F38" i="20"/>
  <c r="G38" i="20" s="1"/>
  <c r="F39" i="20"/>
  <c r="G39" i="20" s="1"/>
  <c r="F40" i="20"/>
  <c r="G40" i="20" s="1"/>
  <c r="F41" i="20"/>
  <c r="G41" i="20" s="1"/>
  <c r="F42" i="20"/>
  <c r="G42" i="20" s="1"/>
  <c r="F43" i="20"/>
  <c r="G43" i="20" s="1"/>
  <c r="F44" i="20"/>
  <c r="G44" i="20" s="1"/>
  <c r="F45" i="20"/>
  <c r="G45" i="20" s="1"/>
  <c r="F46" i="20"/>
  <c r="G46" i="20" s="1"/>
  <c r="F47" i="20"/>
  <c r="G47" i="20" s="1"/>
  <c r="F48" i="20"/>
  <c r="G48" i="20"/>
  <c r="F49" i="20"/>
  <c r="G49" i="20"/>
  <c r="F50" i="20"/>
  <c r="G50" i="20"/>
  <c r="F51" i="20"/>
  <c r="G51" i="20"/>
  <c r="F52" i="20"/>
  <c r="G52" i="20"/>
  <c r="F53" i="20"/>
  <c r="G53" i="20"/>
  <c r="F54" i="20"/>
  <c r="G54" i="20" s="1"/>
  <c r="F55" i="20"/>
  <c r="G55" i="20" s="1"/>
  <c r="F56" i="20"/>
  <c r="G56" i="20" s="1"/>
  <c r="F57" i="20"/>
  <c r="G57" i="20" s="1"/>
  <c r="F58" i="20"/>
  <c r="G58" i="20"/>
  <c r="F59" i="20"/>
  <c r="G59" i="20" s="1"/>
  <c r="F60" i="20"/>
  <c r="G60" i="20"/>
  <c r="F61" i="20"/>
  <c r="G61" i="20"/>
  <c r="F62" i="20"/>
  <c r="G62" i="20" s="1"/>
  <c r="F63" i="20"/>
  <c r="G63" i="20"/>
  <c r="F64" i="20"/>
  <c r="G64" i="20"/>
  <c r="F65" i="20"/>
  <c r="G65" i="20" s="1"/>
  <c r="F66" i="20"/>
  <c r="G66" i="20"/>
  <c r="F67" i="20"/>
  <c r="G67" i="20" s="1"/>
  <c r="F68" i="20"/>
  <c r="G68" i="20" s="1"/>
  <c r="F69" i="20"/>
  <c r="G69" i="20" s="1"/>
  <c r="F70" i="20"/>
  <c r="G70" i="20"/>
  <c r="F71" i="20"/>
  <c r="G71" i="20"/>
  <c r="F72" i="20"/>
  <c r="G72" i="20"/>
  <c r="F73" i="20"/>
  <c r="G73" i="20"/>
  <c r="F74" i="20"/>
  <c r="G74" i="20" s="1"/>
  <c r="F75" i="20"/>
  <c r="G75" i="20" s="1"/>
  <c r="F76" i="20"/>
  <c r="G76" i="20" s="1"/>
  <c r="F77" i="20"/>
  <c r="G77" i="20" s="1"/>
  <c r="F78" i="20"/>
  <c r="G78" i="20" s="1"/>
  <c r="F79" i="20"/>
  <c r="G79" i="20"/>
  <c r="F80" i="20"/>
  <c r="G80" i="20"/>
  <c r="F81" i="20"/>
  <c r="G81" i="20"/>
  <c r="F82" i="20"/>
  <c r="G82" i="20"/>
  <c r="F83" i="20"/>
  <c r="G83" i="20"/>
  <c r="F84" i="20"/>
  <c r="G84" i="20"/>
  <c r="F85" i="20"/>
  <c r="G85" i="20" s="1"/>
  <c r="F86" i="20"/>
  <c r="G86" i="20" s="1"/>
  <c r="F87" i="20"/>
  <c r="G87" i="20" s="1"/>
  <c r="F88" i="20"/>
  <c r="G88" i="20" s="1"/>
  <c r="F89" i="20"/>
  <c r="G89" i="20" s="1"/>
  <c r="F90" i="20"/>
  <c r="G90" i="20" s="1"/>
  <c r="F91" i="20"/>
  <c r="G91" i="20"/>
  <c r="F92" i="20"/>
  <c r="G92" i="20" s="1"/>
  <c r="F93" i="20"/>
  <c r="G93" i="20"/>
  <c r="F94" i="20"/>
  <c r="G94" i="20" s="1"/>
  <c r="F95" i="20"/>
  <c r="G95" i="20" s="1"/>
  <c r="F96" i="20"/>
  <c r="G96" i="20" s="1"/>
  <c r="F97" i="20"/>
  <c r="G97" i="20" s="1"/>
  <c r="F98" i="20"/>
  <c r="G98" i="20" s="1"/>
  <c r="F99" i="20"/>
  <c r="G99" i="20"/>
  <c r="F100" i="20"/>
  <c r="G100" i="20"/>
  <c r="F101" i="20"/>
  <c r="G101" i="20"/>
  <c r="F102" i="20"/>
  <c r="G102" i="20"/>
  <c r="F103" i="20"/>
  <c r="G103" i="20"/>
  <c r="F104" i="20"/>
  <c r="G104" i="20"/>
  <c r="F105" i="20"/>
  <c r="G105" i="20"/>
  <c r="F106" i="20"/>
  <c r="G106" i="20" s="1"/>
  <c r="F107" i="20"/>
  <c r="G107" i="20"/>
  <c r="F108" i="20"/>
  <c r="G108" i="20"/>
  <c r="F109" i="20"/>
  <c r="G109" i="20"/>
  <c r="F110" i="20"/>
  <c r="G110" i="20"/>
  <c r="G111" i="20"/>
  <c r="G112" i="20"/>
  <c r="G113" i="20"/>
  <c r="G114" i="20"/>
  <c r="G115" i="20"/>
  <c r="G116" i="20"/>
  <c r="G117" i="20"/>
  <c r="G118" i="20"/>
  <c r="G119" i="20"/>
  <c r="G120" i="20"/>
  <c r="G121" i="20"/>
  <c r="G122" i="20"/>
  <c r="G123" i="20"/>
  <c r="G124" i="20"/>
  <c r="G125" i="20"/>
  <c r="G127" i="20"/>
  <c r="G128" i="20"/>
  <c r="G129" i="20"/>
  <c r="G130" i="20"/>
  <c r="G131" i="20"/>
  <c r="G132" i="20"/>
  <c r="G133" i="20"/>
  <c r="G134" i="20"/>
  <c r="G135" i="20"/>
  <c r="G136" i="20"/>
  <c r="G137" i="20"/>
  <c r="G138" i="20"/>
  <c r="G139" i="20"/>
  <c r="G140" i="20"/>
  <c r="G141" i="20"/>
  <c r="G142" i="20"/>
  <c r="G143" i="20"/>
  <c r="H2" i="21"/>
  <c r="E2" i="21"/>
  <c r="H2" i="20"/>
  <c r="E2" i="20"/>
  <c r="D2" i="20"/>
  <c r="K2" i="20" s="1"/>
  <c r="D2" i="21"/>
  <c r="K2" i="21" s="1"/>
  <c r="C98" i="3"/>
  <c r="C99" i="3"/>
  <c r="C100" i="3"/>
  <c r="C101" i="3"/>
  <c r="C102" i="3"/>
  <c r="C103" i="3"/>
  <c r="C104" i="3"/>
  <c r="C105" i="3"/>
  <c r="C106" i="3"/>
  <c r="C107" i="3"/>
  <c r="C108" i="3"/>
  <c r="C109" i="3"/>
  <c r="C110" i="3"/>
  <c r="C111" i="3"/>
  <c r="C112" i="3"/>
  <c r="C113" i="3"/>
  <c r="C114" i="3"/>
  <c r="C115" i="3"/>
  <c r="C116" i="3"/>
  <c r="C117" i="3"/>
  <c r="C98" i="72"/>
  <c r="C99" i="72"/>
  <c r="C100" i="72"/>
  <c r="C101" i="72"/>
  <c r="C102" i="72"/>
  <c r="C103" i="72"/>
  <c r="C104" i="72"/>
  <c r="C105" i="72"/>
  <c r="C106" i="72"/>
  <c r="C107" i="72"/>
  <c r="C108" i="72"/>
  <c r="C109" i="72"/>
  <c r="C110" i="72"/>
  <c r="C111" i="72"/>
  <c r="C112" i="72"/>
  <c r="C113" i="72"/>
  <c r="C114" i="72"/>
  <c r="C115" i="72"/>
  <c r="C116" i="72"/>
  <c r="C117" i="72"/>
  <c r="C118" i="72"/>
  <c r="I4" i="21"/>
  <c r="I5" i="21"/>
  <c r="J5" i="21" s="1"/>
  <c r="I6" i="21"/>
  <c r="J6" i="21" s="1"/>
  <c r="I7" i="21"/>
  <c r="I8" i="21"/>
  <c r="I9" i="21"/>
  <c r="J9" i="21" s="1"/>
  <c r="I10" i="21"/>
  <c r="J10" i="21" s="1"/>
  <c r="I11" i="21"/>
  <c r="J11" i="21" s="1"/>
  <c r="I12" i="21"/>
  <c r="I13" i="21"/>
  <c r="I14" i="21"/>
  <c r="J14" i="21" s="1"/>
  <c r="I15" i="21"/>
  <c r="I16" i="21"/>
  <c r="I17" i="21"/>
  <c r="J17" i="21" s="1"/>
  <c r="I18" i="21"/>
  <c r="I19" i="21"/>
  <c r="J19" i="21" s="1"/>
  <c r="I20" i="21"/>
  <c r="I21" i="21"/>
  <c r="J21" i="21" s="1"/>
  <c r="I22" i="21"/>
  <c r="J22" i="21" s="1"/>
  <c r="I23" i="21"/>
  <c r="I24" i="21"/>
  <c r="J24" i="21" s="1"/>
  <c r="I25" i="21"/>
  <c r="J25" i="21"/>
  <c r="I26" i="21"/>
  <c r="J26" i="21" s="1"/>
  <c r="I27" i="21"/>
  <c r="J27" i="21" s="1"/>
  <c r="I28" i="21"/>
  <c r="J28" i="21" s="1"/>
  <c r="I29" i="21"/>
  <c r="J29" i="21" s="1"/>
  <c r="I30" i="21"/>
  <c r="J30" i="21" s="1"/>
  <c r="I31" i="21"/>
  <c r="I32" i="21"/>
  <c r="J32" i="21" s="1"/>
  <c r="I33" i="21"/>
  <c r="J33" i="21" s="1"/>
  <c r="I34" i="21"/>
  <c r="I35" i="21"/>
  <c r="J35" i="21" s="1"/>
  <c r="I36" i="21"/>
  <c r="J36" i="21" s="1"/>
  <c r="I37" i="21"/>
  <c r="J37" i="21" s="1"/>
  <c r="I38" i="21"/>
  <c r="J38" i="21" s="1"/>
  <c r="I39" i="21"/>
  <c r="I40" i="21"/>
  <c r="I41" i="21"/>
  <c r="J41" i="21" s="1"/>
  <c r="I42" i="21"/>
  <c r="J42" i="21" s="1"/>
  <c r="I43" i="21"/>
  <c r="J43" i="21" s="1"/>
  <c r="I44" i="21"/>
  <c r="J44" i="21" s="1"/>
  <c r="I45" i="21"/>
  <c r="J45" i="21" s="1"/>
  <c r="I46" i="21"/>
  <c r="J46" i="21" s="1"/>
  <c r="I47" i="21"/>
  <c r="I48" i="21"/>
  <c r="J48" i="21" s="1"/>
  <c r="I49" i="21"/>
  <c r="I50" i="21"/>
  <c r="I51" i="21"/>
  <c r="J51" i="21"/>
  <c r="I52" i="21"/>
  <c r="J52" i="21" s="1"/>
  <c r="I53" i="21"/>
  <c r="J53" i="21" s="1"/>
  <c r="I54" i="21"/>
  <c r="J54" i="21" s="1"/>
  <c r="I55" i="21"/>
  <c r="J55" i="21" s="1"/>
  <c r="I56" i="21"/>
  <c r="I57" i="21"/>
  <c r="J57" i="21" s="1"/>
  <c r="I58" i="21"/>
  <c r="J58" i="21" s="1"/>
  <c r="I59" i="21"/>
  <c r="J59" i="21" s="1"/>
  <c r="I60" i="21"/>
  <c r="J60" i="21" s="1"/>
  <c r="I61" i="21"/>
  <c r="J61" i="21" s="1"/>
  <c r="I62" i="21"/>
  <c r="J62" i="21"/>
  <c r="I63" i="21"/>
  <c r="J63" i="21" s="1"/>
  <c r="I64" i="21"/>
  <c r="J64" i="21" s="1"/>
  <c r="I65" i="21"/>
  <c r="J65" i="21" s="1"/>
  <c r="I66" i="21"/>
  <c r="J66" i="21" s="1"/>
  <c r="I67" i="21"/>
  <c r="J67" i="21" s="1"/>
  <c r="I68" i="21"/>
  <c r="I69" i="21"/>
  <c r="J69" i="21" s="1"/>
  <c r="I70" i="21"/>
  <c r="J70" i="21" s="1"/>
  <c r="I71" i="21"/>
  <c r="J71" i="21" s="1"/>
  <c r="I72" i="21"/>
  <c r="J72" i="21" s="1"/>
  <c r="I73" i="21"/>
  <c r="I74" i="21"/>
  <c r="I75" i="21"/>
  <c r="J75" i="21" s="1"/>
  <c r="I76" i="21"/>
  <c r="J76" i="21" s="1"/>
  <c r="I77" i="21"/>
  <c r="I78" i="21"/>
  <c r="J78" i="21" s="1"/>
  <c r="I79" i="21"/>
  <c r="J79" i="21" s="1"/>
  <c r="I80" i="21"/>
  <c r="J80" i="21" s="1"/>
  <c r="I81" i="21"/>
  <c r="J81" i="21" s="1"/>
  <c r="I82" i="21"/>
  <c r="J82" i="21" s="1"/>
  <c r="I83" i="21"/>
  <c r="J83" i="21" s="1"/>
  <c r="I84" i="21"/>
  <c r="J84" i="21" s="1"/>
  <c r="I85" i="21"/>
  <c r="J85" i="21" s="1"/>
  <c r="I86" i="21"/>
  <c r="J86" i="21"/>
  <c r="I87" i="21"/>
  <c r="J87" i="21" s="1"/>
  <c r="I88" i="21"/>
  <c r="J88" i="21" s="1"/>
  <c r="I89" i="21"/>
  <c r="J89" i="21" s="1"/>
  <c r="I90" i="21"/>
  <c r="J90" i="21"/>
  <c r="I91" i="21"/>
  <c r="J91" i="21" s="1"/>
  <c r="I92" i="21"/>
  <c r="J92" i="21" s="1"/>
  <c r="I93" i="21"/>
  <c r="I94" i="21"/>
  <c r="I95" i="21"/>
  <c r="J95" i="21" s="1"/>
  <c r="I96" i="21"/>
  <c r="J96" i="21" s="1"/>
  <c r="I97" i="21"/>
  <c r="J97" i="21" s="1"/>
  <c r="F4" i="21"/>
  <c r="G4" i="21" s="1"/>
  <c r="F5" i="21"/>
  <c r="G5" i="21" s="1"/>
  <c r="F6" i="21"/>
  <c r="G6" i="21" s="1"/>
  <c r="F7" i="21"/>
  <c r="G7" i="21" s="1"/>
  <c r="F8" i="21"/>
  <c r="G8" i="21" s="1"/>
  <c r="F9" i="21"/>
  <c r="G9" i="21" s="1"/>
  <c r="F10" i="21"/>
  <c r="G10" i="21" s="1"/>
  <c r="F11" i="21"/>
  <c r="G11" i="21" s="1"/>
  <c r="F12" i="21"/>
  <c r="G12" i="21" s="1"/>
  <c r="F13" i="21"/>
  <c r="G13" i="21" s="1"/>
  <c r="F14" i="21"/>
  <c r="G14" i="21" s="1"/>
  <c r="F15" i="21"/>
  <c r="G15" i="21" s="1"/>
  <c r="F16" i="21"/>
  <c r="G16" i="21" s="1"/>
  <c r="F17" i="21"/>
  <c r="G17" i="21" s="1"/>
  <c r="F18" i="21"/>
  <c r="G18" i="21" s="1"/>
  <c r="F19" i="21"/>
  <c r="G19" i="21" s="1"/>
  <c r="F20" i="21"/>
  <c r="G20" i="21" s="1"/>
  <c r="F21" i="21"/>
  <c r="G21" i="21" s="1"/>
  <c r="F22" i="21"/>
  <c r="G22" i="21" s="1"/>
  <c r="F23" i="21"/>
  <c r="G23" i="21" s="1"/>
  <c r="F24" i="21"/>
  <c r="G24" i="21" s="1"/>
  <c r="F25" i="21"/>
  <c r="G25" i="21" s="1"/>
  <c r="F26" i="21"/>
  <c r="G26" i="21" s="1"/>
  <c r="F27" i="21"/>
  <c r="G27" i="21" s="1"/>
  <c r="F28" i="21"/>
  <c r="G28" i="21" s="1"/>
  <c r="F29" i="21"/>
  <c r="G29" i="21" s="1"/>
  <c r="F30" i="21"/>
  <c r="G30" i="21" s="1"/>
  <c r="F31" i="21"/>
  <c r="G31" i="21" s="1"/>
  <c r="F32" i="21"/>
  <c r="G32" i="21" s="1"/>
  <c r="F33" i="21"/>
  <c r="G33" i="21" s="1"/>
  <c r="F34" i="21"/>
  <c r="G34" i="21" s="1"/>
  <c r="F35" i="21"/>
  <c r="G35" i="21" s="1"/>
  <c r="F36" i="21"/>
  <c r="G36" i="21" s="1"/>
  <c r="F37" i="21"/>
  <c r="G37" i="21" s="1"/>
  <c r="F38" i="21"/>
  <c r="G38" i="21" s="1"/>
  <c r="F39" i="21"/>
  <c r="G39" i="21" s="1"/>
  <c r="F40" i="21"/>
  <c r="G40" i="21" s="1"/>
  <c r="F41" i="21"/>
  <c r="G41" i="21" s="1"/>
  <c r="F42" i="21"/>
  <c r="G42" i="21" s="1"/>
  <c r="F43" i="21"/>
  <c r="G43" i="21" s="1"/>
  <c r="F44" i="21"/>
  <c r="G44" i="21" s="1"/>
  <c r="F45" i="21"/>
  <c r="G45" i="21" s="1"/>
  <c r="F46" i="21"/>
  <c r="G46" i="21" s="1"/>
  <c r="F47" i="21"/>
  <c r="G47" i="21" s="1"/>
  <c r="F48" i="21"/>
  <c r="G48" i="21" s="1"/>
  <c r="F49" i="21"/>
  <c r="G49" i="21"/>
  <c r="F50" i="21"/>
  <c r="G50" i="21" s="1"/>
  <c r="F51" i="21"/>
  <c r="G51" i="21" s="1"/>
  <c r="F52" i="21"/>
  <c r="G52" i="21" s="1"/>
  <c r="F53" i="21"/>
  <c r="G53" i="21" s="1"/>
  <c r="F54" i="21"/>
  <c r="G54" i="21" s="1"/>
  <c r="F55" i="21"/>
  <c r="G55" i="21" s="1"/>
  <c r="F56" i="21"/>
  <c r="G56" i="21" s="1"/>
  <c r="F57" i="21"/>
  <c r="G57" i="21" s="1"/>
  <c r="F58" i="21"/>
  <c r="G58" i="21" s="1"/>
  <c r="F59" i="21"/>
  <c r="G59" i="21" s="1"/>
  <c r="F60" i="21"/>
  <c r="G60" i="21" s="1"/>
  <c r="F61" i="21"/>
  <c r="G61" i="21" s="1"/>
  <c r="F62" i="21"/>
  <c r="G62" i="21" s="1"/>
  <c r="F63" i="21"/>
  <c r="G63" i="21" s="1"/>
  <c r="F64" i="21"/>
  <c r="G64" i="21" s="1"/>
  <c r="F65" i="21"/>
  <c r="G65" i="21" s="1"/>
  <c r="F66" i="21"/>
  <c r="G66" i="21" s="1"/>
  <c r="F67" i="21"/>
  <c r="G67" i="21" s="1"/>
  <c r="F68" i="21"/>
  <c r="G68" i="21" s="1"/>
  <c r="F69" i="21"/>
  <c r="G69" i="21"/>
  <c r="F70" i="21"/>
  <c r="G70" i="21" s="1"/>
  <c r="F71" i="21"/>
  <c r="G71" i="21" s="1"/>
  <c r="F72" i="21"/>
  <c r="G72" i="21" s="1"/>
  <c r="F73" i="21"/>
  <c r="G73" i="21" s="1"/>
  <c r="F74" i="21"/>
  <c r="G74" i="21"/>
  <c r="F75" i="21"/>
  <c r="G75" i="21" s="1"/>
  <c r="F76" i="21"/>
  <c r="G76" i="21" s="1"/>
  <c r="F77" i="21"/>
  <c r="G77" i="21" s="1"/>
  <c r="F78" i="21"/>
  <c r="G78" i="21" s="1"/>
  <c r="F79" i="21"/>
  <c r="G79" i="21"/>
  <c r="F80" i="21"/>
  <c r="G80" i="21" s="1"/>
  <c r="F81" i="21"/>
  <c r="G81" i="21" s="1"/>
  <c r="F82" i="21"/>
  <c r="G82" i="21" s="1"/>
  <c r="F83" i="21"/>
  <c r="G83" i="21"/>
  <c r="F84" i="21"/>
  <c r="G84" i="21" s="1"/>
  <c r="F85" i="21"/>
  <c r="G85" i="21" s="1"/>
  <c r="F86" i="21"/>
  <c r="G86" i="21"/>
  <c r="F87" i="21"/>
  <c r="G87" i="21" s="1"/>
  <c r="F88" i="21"/>
  <c r="G88" i="21" s="1"/>
  <c r="F89" i="21"/>
  <c r="G89" i="21" s="1"/>
  <c r="F90" i="21"/>
  <c r="G90" i="21"/>
  <c r="F91" i="21"/>
  <c r="G91" i="21" s="1"/>
  <c r="F92" i="21"/>
  <c r="G92" i="21" s="1"/>
  <c r="F93" i="21"/>
  <c r="G93" i="21" s="1"/>
  <c r="F94" i="21"/>
  <c r="G94" i="21" s="1"/>
  <c r="F95" i="21"/>
  <c r="G95" i="21" s="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5" i="28"/>
  <c r="C6" i="28"/>
  <c r="C7" i="28"/>
  <c r="C8" i="28"/>
  <c r="C9" i="28"/>
  <c r="C10" i="28"/>
  <c r="C11" i="28"/>
  <c r="C12" i="28"/>
  <c r="C13" i="28"/>
  <c r="C14" i="28"/>
  <c r="C15" i="28"/>
  <c r="C16" i="28"/>
  <c r="C17" i="28"/>
  <c r="C18" i="28"/>
  <c r="C19" i="28"/>
  <c r="C20" i="28"/>
  <c r="C21" i="28"/>
  <c r="C23" i="28"/>
  <c r="C24" i="28"/>
  <c r="C25" i="28"/>
  <c r="C26" i="28"/>
  <c r="C27" i="28"/>
  <c r="C28" i="28"/>
  <c r="C29" i="28"/>
  <c r="C30" i="28"/>
  <c r="C31" i="28"/>
  <c r="C32" i="28"/>
  <c r="C33" i="28"/>
  <c r="C34" i="28"/>
  <c r="C35" i="28"/>
  <c r="C36" i="28"/>
  <c r="C37" i="28"/>
  <c r="C38" i="28"/>
  <c r="C39" i="28"/>
  <c r="C40" i="28"/>
  <c r="C41" i="28"/>
  <c r="C42" i="28"/>
  <c r="C43" i="28"/>
  <c r="C44" i="28"/>
  <c r="C45" i="28"/>
  <c r="C46" i="28"/>
  <c r="C47" i="28"/>
  <c r="C48" i="28"/>
  <c r="C49" i="28"/>
  <c r="C50" i="28"/>
  <c r="C51" i="28"/>
  <c r="C52" i="28"/>
  <c r="C53" i="28"/>
  <c r="C54" i="28"/>
  <c r="C55" i="28"/>
  <c r="C56" i="28"/>
  <c r="C57" i="28"/>
  <c r="C58" i="28"/>
  <c r="C59" i="28"/>
  <c r="C60" i="28"/>
  <c r="C61" i="28"/>
  <c r="C62" i="28"/>
  <c r="C63" i="28"/>
  <c r="C64" i="28"/>
  <c r="C65" i="28"/>
  <c r="C66" i="28"/>
  <c r="C67" i="28"/>
  <c r="C68" i="28"/>
  <c r="C69" i="28"/>
  <c r="C70" i="28"/>
  <c r="C71" i="28"/>
  <c r="C72" i="28"/>
  <c r="C73" i="28"/>
  <c r="C74" i="28"/>
  <c r="C75" i="28"/>
  <c r="C76" i="28"/>
  <c r="C77" i="28"/>
  <c r="C78" i="28"/>
  <c r="C79" i="28"/>
  <c r="C80" i="28"/>
  <c r="C81" i="28"/>
  <c r="C82" i="28"/>
  <c r="C83" i="28"/>
  <c r="C84" i="28"/>
  <c r="C85" i="28"/>
  <c r="C86" i="28"/>
  <c r="C87" i="28"/>
  <c r="C88" i="28"/>
  <c r="C89" i="28"/>
  <c r="C90" i="28"/>
  <c r="C91" i="28"/>
  <c r="C92" i="28"/>
  <c r="C93" i="28"/>
  <c r="C94" i="28"/>
  <c r="C95" i="28"/>
  <c r="C96" i="28"/>
  <c r="C97" i="28"/>
  <c r="C98" i="28"/>
  <c r="C99" i="28"/>
  <c r="C100" i="28"/>
  <c r="C101" i="28"/>
  <c r="C102" i="28"/>
  <c r="C103" i="28"/>
  <c r="C104" i="28"/>
  <c r="C105" i="28"/>
  <c r="C106" i="28"/>
  <c r="C107" i="28"/>
  <c r="C108" i="28"/>
  <c r="C109" i="28"/>
  <c r="C110" i="28"/>
  <c r="C111" i="28"/>
  <c r="C112" i="28"/>
  <c r="C113" i="28"/>
  <c r="C114" i="28"/>
  <c r="C115" i="28"/>
  <c r="C4" i="72"/>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3" i="72"/>
  <c r="C44" i="72"/>
  <c r="C45" i="72"/>
  <c r="C46" i="72"/>
  <c r="C47" i="72"/>
  <c r="C48" i="72"/>
  <c r="C49" i="72"/>
  <c r="C50" i="72"/>
  <c r="C51" i="72"/>
  <c r="C52" i="72"/>
  <c r="C53" i="72"/>
  <c r="C54" i="72"/>
  <c r="C55" i="72"/>
  <c r="C56" i="72"/>
  <c r="C57" i="72"/>
  <c r="C58" i="72"/>
  <c r="C59" i="72"/>
  <c r="C60" i="72"/>
  <c r="C61" i="72"/>
  <c r="C62" i="72"/>
  <c r="C63" i="72"/>
  <c r="C64" i="72"/>
  <c r="C65" i="72"/>
  <c r="C66" i="72"/>
  <c r="C67" i="72"/>
  <c r="C68" i="72"/>
  <c r="C69" i="72"/>
  <c r="C70" i="72"/>
  <c r="C71" i="72"/>
  <c r="C72" i="72"/>
  <c r="C73" i="72"/>
  <c r="C74" i="72"/>
  <c r="C75" i="72"/>
  <c r="C76" i="72"/>
  <c r="C77" i="72"/>
  <c r="C78" i="72"/>
  <c r="C79" i="72"/>
  <c r="C80" i="72"/>
  <c r="C81" i="72"/>
  <c r="C82" i="72"/>
  <c r="C83" i="72"/>
  <c r="C84" i="72"/>
  <c r="C85" i="72"/>
  <c r="C86" i="72"/>
  <c r="C87" i="72"/>
  <c r="C88" i="72"/>
  <c r="C89" i="72"/>
  <c r="C90" i="72"/>
  <c r="C91" i="72"/>
  <c r="C92" i="72"/>
  <c r="C96" i="72"/>
  <c r="C97" i="72"/>
  <c r="C4" i="27"/>
  <c r="C4" i="28"/>
  <c r="C4" i="31"/>
  <c r="C4" i="32"/>
  <c r="C4" i="33"/>
  <c r="C4" i="30"/>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3" i="30"/>
  <c r="C44" i="30"/>
  <c r="C45" i="30"/>
  <c r="C46" i="30"/>
  <c r="C47" i="30"/>
  <c r="C48" i="30"/>
  <c r="C49" i="30"/>
  <c r="C50" i="30"/>
  <c r="C51" i="30"/>
  <c r="C52" i="30"/>
  <c r="C53" i="30"/>
  <c r="C54" i="30"/>
  <c r="C55" i="30"/>
  <c r="C56" i="30"/>
  <c r="C57" i="30"/>
  <c r="C58" i="30"/>
  <c r="C59" i="30"/>
  <c r="C60" i="30"/>
  <c r="C61" i="30"/>
  <c r="C62" i="30"/>
  <c r="C63" i="30"/>
  <c r="C64" i="30"/>
  <c r="C65" i="30"/>
  <c r="C66" i="30"/>
  <c r="C67" i="30"/>
  <c r="C68" i="30"/>
  <c r="C69" i="30"/>
  <c r="C70" i="30"/>
  <c r="C71" i="30"/>
  <c r="C72" i="30"/>
  <c r="C73" i="30"/>
  <c r="C74" i="30"/>
  <c r="C75" i="30"/>
  <c r="C76" i="30"/>
  <c r="C77" i="30"/>
  <c r="C78" i="30"/>
  <c r="C79" i="30"/>
  <c r="C80" i="30"/>
  <c r="C81" i="30"/>
  <c r="C82" i="30"/>
  <c r="C83" i="30"/>
  <c r="C84" i="30"/>
  <c r="C85" i="30"/>
  <c r="C86" i="30"/>
  <c r="C87" i="30"/>
  <c r="C88" i="30"/>
  <c r="C89" i="30"/>
  <c r="C90" i="30"/>
  <c r="C91" i="30"/>
  <c r="C92" i="30"/>
  <c r="C93" i="30"/>
  <c r="C94" i="30"/>
  <c r="C95" i="30"/>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4" i="1"/>
  <c r="C4" i="34"/>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C43" i="34"/>
  <c r="C44" i="34"/>
  <c r="C45" i="34"/>
  <c r="C46" i="34"/>
  <c r="C47" i="34"/>
  <c r="C48" i="34"/>
  <c r="C49" i="34"/>
  <c r="C50" i="34"/>
  <c r="C51" i="34"/>
  <c r="C52" i="34"/>
  <c r="C53" i="34"/>
  <c r="C54" i="34"/>
  <c r="C55" i="34"/>
  <c r="C56" i="34"/>
  <c r="C57" i="34"/>
  <c r="C58" i="34"/>
  <c r="C59" i="34"/>
  <c r="C60" i="34"/>
  <c r="C61" i="34"/>
  <c r="C62" i="34"/>
  <c r="C63" i="34"/>
  <c r="C64" i="34"/>
  <c r="C65" i="34"/>
  <c r="C66" i="34"/>
  <c r="C67" i="34"/>
  <c r="C68" i="34"/>
  <c r="C69" i="34"/>
  <c r="C70" i="34"/>
  <c r="C71" i="34"/>
  <c r="C72" i="34"/>
  <c r="C73" i="34"/>
  <c r="C74" i="34"/>
  <c r="C75" i="34"/>
  <c r="C76" i="34"/>
  <c r="C77" i="34"/>
  <c r="C78" i="34"/>
  <c r="C79" i="34"/>
  <c r="C80" i="34"/>
  <c r="C81" i="34"/>
  <c r="C82" i="34"/>
  <c r="C83" i="34"/>
  <c r="C84" i="34"/>
  <c r="C85" i="34"/>
  <c r="C86" i="34"/>
  <c r="C87" i="34"/>
  <c r="C88" i="34"/>
  <c r="C89" i="34"/>
  <c r="C90" i="34"/>
  <c r="C91" i="34"/>
  <c r="C92" i="34"/>
  <c r="C93" i="34"/>
  <c r="C94" i="34"/>
  <c r="C95" i="34"/>
  <c r="C96" i="34"/>
  <c r="F96" i="4"/>
  <c r="G96" i="4"/>
  <c r="I96" i="4"/>
  <c r="J96" i="4" s="1"/>
  <c r="F97" i="4"/>
  <c r="H2" i="4"/>
  <c r="E2" i="4"/>
  <c r="D2" i="4"/>
  <c r="F2" i="4" s="1"/>
  <c r="G2" i="4" s="1"/>
  <c r="K2" i="4"/>
  <c r="I4" i="4"/>
  <c r="J4" i="4" s="1"/>
  <c r="I5" i="4"/>
  <c r="J5" i="4" s="1"/>
  <c r="I6" i="4"/>
  <c r="J6" i="4" s="1"/>
  <c r="I7" i="4"/>
  <c r="J7" i="4"/>
  <c r="I8" i="4"/>
  <c r="J8" i="4" s="1"/>
  <c r="I9" i="4"/>
  <c r="J9" i="4"/>
  <c r="I10" i="4"/>
  <c r="J10" i="4"/>
  <c r="I11" i="4"/>
  <c r="J11" i="4"/>
  <c r="I12" i="4"/>
  <c r="J12" i="4"/>
  <c r="I13" i="4"/>
  <c r="J13" i="4" s="1"/>
  <c r="I14" i="4"/>
  <c r="J14" i="4"/>
  <c r="I15" i="4"/>
  <c r="J15" i="4" s="1"/>
  <c r="I16" i="4"/>
  <c r="J16" i="4" s="1"/>
  <c r="I17" i="4"/>
  <c r="J17" i="4"/>
  <c r="I18" i="4"/>
  <c r="J18" i="4"/>
  <c r="I19" i="4"/>
  <c r="J19" i="4" s="1"/>
  <c r="I20" i="4"/>
  <c r="J20" i="4"/>
  <c r="I21" i="4"/>
  <c r="J21" i="4"/>
  <c r="I22" i="4"/>
  <c r="J22" i="4"/>
  <c r="I23" i="4"/>
  <c r="J23" i="4" s="1"/>
  <c r="I24" i="4"/>
  <c r="J24" i="4" s="1"/>
  <c r="I25" i="4"/>
  <c r="J25" i="4" s="1"/>
  <c r="I26" i="4"/>
  <c r="J26" i="4" s="1"/>
  <c r="I27" i="4"/>
  <c r="J27" i="4" s="1"/>
  <c r="I28" i="4"/>
  <c r="J28" i="4"/>
  <c r="I29" i="4"/>
  <c r="J29" i="4"/>
  <c r="I30" i="4"/>
  <c r="J30" i="4"/>
  <c r="I31" i="4"/>
  <c r="J31" i="4"/>
  <c r="I32" i="4"/>
  <c r="J32" i="4" s="1"/>
  <c r="I33" i="4"/>
  <c r="J33" i="4" s="1"/>
  <c r="I34" i="4"/>
  <c r="J34" i="4" s="1"/>
  <c r="I35" i="4"/>
  <c r="J35" i="4" s="1"/>
  <c r="I36" i="4"/>
  <c r="J36" i="4"/>
  <c r="I37" i="4"/>
  <c r="J37" i="4"/>
  <c r="I38" i="4"/>
  <c r="J38" i="4"/>
  <c r="I39" i="4"/>
  <c r="J39" i="4"/>
  <c r="I40" i="4"/>
  <c r="J40" i="4" s="1"/>
  <c r="I41" i="4"/>
  <c r="J41" i="4"/>
  <c r="I42" i="4"/>
  <c r="J42" i="4" s="1"/>
  <c r="I43" i="4"/>
  <c r="J43" i="4" s="1"/>
  <c r="I44" i="4"/>
  <c r="J44" i="4" s="1"/>
  <c r="I45" i="4"/>
  <c r="J45" i="4"/>
  <c r="I46" i="4"/>
  <c r="J46" i="4"/>
  <c r="I47" i="4"/>
  <c r="J47" i="4"/>
  <c r="I48" i="4"/>
  <c r="J48" i="4" s="1"/>
  <c r="I49" i="4"/>
  <c r="J49" i="4"/>
  <c r="I50" i="4"/>
  <c r="J50" i="4"/>
  <c r="I51" i="4"/>
  <c r="J51" i="4" s="1"/>
  <c r="I52" i="4"/>
  <c r="J52" i="4"/>
  <c r="I53" i="4"/>
  <c r="J53" i="4" s="1"/>
  <c r="I54" i="4"/>
  <c r="J54" i="4"/>
  <c r="I55" i="4"/>
  <c r="J55" i="4"/>
  <c r="I56" i="4"/>
  <c r="J56" i="4" s="1"/>
  <c r="I57" i="4"/>
  <c r="J57" i="4"/>
  <c r="I58" i="4"/>
  <c r="J58" i="4"/>
  <c r="I59" i="4"/>
  <c r="J59" i="4" s="1"/>
  <c r="I60" i="4"/>
  <c r="J60" i="4"/>
  <c r="I61" i="4"/>
  <c r="J61" i="4"/>
  <c r="I62" i="4"/>
  <c r="J62" i="4" s="1"/>
  <c r="I63" i="4"/>
  <c r="J63" i="4"/>
  <c r="I64" i="4"/>
  <c r="J64" i="4" s="1"/>
  <c r="I65" i="4"/>
  <c r="J65" i="4"/>
  <c r="I66" i="4"/>
  <c r="J66" i="4"/>
  <c r="I67" i="4"/>
  <c r="J67" i="4" s="1"/>
  <c r="I68" i="4"/>
  <c r="J68" i="4"/>
  <c r="I69" i="4"/>
  <c r="J69" i="4"/>
  <c r="I70" i="4"/>
  <c r="J70" i="4"/>
  <c r="I71" i="4"/>
  <c r="J71" i="4" s="1"/>
  <c r="I72" i="4"/>
  <c r="J72" i="4" s="1"/>
  <c r="I73" i="4"/>
  <c r="J73" i="4" s="1"/>
  <c r="I74" i="4"/>
  <c r="J74" i="4"/>
  <c r="I75" i="4"/>
  <c r="J75" i="4" s="1"/>
  <c r="I76" i="4"/>
  <c r="J76" i="4"/>
  <c r="I77" i="4"/>
  <c r="J77" i="4"/>
  <c r="I78" i="4"/>
  <c r="J78" i="4"/>
  <c r="I79" i="4"/>
  <c r="J79" i="4"/>
  <c r="I80" i="4"/>
  <c r="J80" i="4" s="1"/>
  <c r="I81" i="4"/>
  <c r="J81" i="4"/>
  <c r="I82" i="4"/>
  <c r="J82" i="4" s="1"/>
  <c r="I83" i="4"/>
  <c r="J83" i="4" s="1"/>
  <c r="I84" i="4"/>
  <c r="J84" i="4"/>
  <c r="I85" i="4"/>
  <c r="J85" i="4"/>
  <c r="I86" i="4"/>
  <c r="J86" i="4"/>
  <c r="I87" i="4"/>
  <c r="J87" i="4"/>
  <c r="I88" i="4"/>
  <c r="J88" i="4" s="1"/>
  <c r="I89" i="4"/>
  <c r="J89" i="4" s="1"/>
  <c r="I90" i="4"/>
  <c r="J90" i="4"/>
  <c r="I91" i="4"/>
  <c r="J91" i="4" s="1"/>
  <c r="I92" i="4"/>
  <c r="J92" i="4"/>
  <c r="I93" i="4"/>
  <c r="J93" i="4"/>
  <c r="I94" i="4"/>
  <c r="J94" i="4"/>
  <c r="I95" i="4"/>
  <c r="J95" i="4"/>
  <c r="F4" i="4"/>
  <c r="G4" i="4" s="1"/>
  <c r="F5" i="4"/>
  <c r="G5" i="4" s="1"/>
  <c r="F6" i="4"/>
  <c r="G6" i="4" s="1"/>
  <c r="F7" i="4"/>
  <c r="G7" i="4" s="1"/>
  <c r="F8" i="4"/>
  <c r="G8" i="4"/>
  <c r="F9" i="4"/>
  <c r="G9" i="4"/>
  <c r="F10" i="4"/>
  <c r="G10" i="4"/>
  <c r="F11" i="4"/>
  <c r="G11" i="4"/>
  <c r="F12" i="4"/>
  <c r="G12" i="4" s="1"/>
  <c r="F13" i="4"/>
  <c r="G13" i="4"/>
  <c r="F14" i="4"/>
  <c r="G14" i="4" s="1"/>
  <c r="F15" i="4"/>
  <c r="G15" i="4" s="1"/>
  <c r="F16" i="4"/>
  <c r="G16" i="4" s="1"/>
  <c r="F17" i="4"/>
  <c r="G17" i="4"/>
  <c r="F18" i="4"/>
  <c r="G18" i="4"/>
  <c r="F19" i="4"/>
  <c r="G19" i="4"/>
  <c r="F20" i="4"/>
  <c r="G20" i="4" s="1"/>
  <c r="F21" i="4"/>
  <c r="G21" i="4"/>
  <c r="F22" i="4"/>
  <c r="G22" i="4" s="1"/>
  <c r="F23" i="4"/>
  <c r="G23" i="4" s="1"/>
  <c r="F24" i="4"/>
  <c r="G24" i="4" s="1"/>
  <c r="F25" i="4"/>
  <c r="G25" i="4" s="1"/>
  <c r="F26" i="4"/>
  <c r="G26" i="4"/>
  <c r="F27" i="4"/>
  <c r="G27" i="4" s="1"/>
  <c r="F28" i="4"/>
  <c r="G28" i="4" s="1"/>
  <c r="F29" i="4"/>
  <c r="G29" i="4"/>
  <c r="F30" i="4"/>
  <c r="G30" i="4"/>
  <c r="F31" i="4"/>
  <c r="G31" i="4" s="1"/>
  <c r="F32" i="4"/>
  <c r="G32" i="4"/>
  <c r="F33" i="4"/>
  <c r="G33" i="4" s="1"/>
  <c r="F34" i="4"/>
  <c r="G34" i="4" s="1"/>
  <c r="F35" i="4"/>
  <c r="G35" i="4"/>
  <c r="F36" i="4"/>
  <c r="G36" i="4" s="1"/>
  <c r="F37" i="4"/>
  <c r="G37" i="4"/>
  <c r="F38" i="4"/>
  <c r="G38" i="4"/>
  <c r="F39" i="4"/>
  <c r="G39" i="4" s="1"/>
  <c r="F40" i="4"/>
  <c r="G40" i="4"/>
  <c r="F41" i="4"/>
  <c r="G41" i="4"/>
  <c r="F42" i="4"/>
  <c r="G42" i="4" s="1"/>
  <c r="F43" i="4"/>
  <c r="G43" i="4" s="1"/>
  <c r="F44" i="4"/>
  <c r="G44" i="4" s="1"/>
  <c r="F45" i="4"/>
  <c r="G45" i="4"/>
  <c r="F46" i="4"/>
  <c r="G46" i="4"/>
  <c r="F47" i="4"/>
  <c r="G47" i="4" s="1"/>
  <c r="F48" i="4"/>
  <c r="G48" i="4"/>
  <c r="F49" i="4"/>
  <c r="G49" i="4"/>
  <c r="F50" i="4"/>
  <c r="G50" i="4"/>
  <c r="F51" i="4"/>
  <c r="G51" i="4" s="1"/>
  <c r="F52" i="4"/>
  <c r="G52" i="4" s="1"/>
  <c r="F53" i="4"/>
  <c r="G53" i="4" s="1"/>
  <c r="F54" i="4"/>
  <c r="G54" i="4"/>
  <c r="F55" i="4"/>
  <c r="G55" i="4" s="1"/>
  <c r="F56" i="4"/>
  <c r="G56" i="4"/>
  <c r="F57" i="4"/>
  <c r="G57" i="4"/>
  <c r="F58" i="4"/>
  <c r="G58" i="4"/>
  <c r="F59" i="4"/>
  <c r="G59" i="4"/>
  <c r="F60" i="4"/>
  <c r="G60" i="4" s="1"/>
  <c r="F61" i="4"/>
  <c r="G61" i="4"/>
  <c r="F64" i="4"/>
  <c r="G64" i="4" s="1"/>
  <c r="F65" i="4"/>
  <c r="G65" i="4" s="1"/>
  <c r="F66" i="4"/>
  <c r="G66" i="4" s="1"/>
  <c r="F67" i="4"/>
  <c r="G67" i="4"/>
  <c r="F68" i="4"/>
  <c r="G68" i="4"/>
  <c r="F69" i="4"/>
  <c r="G69" i="4"/>
  <c r="F70" i="4"/>
  <c r="G70" i="4" s="1"/>
  <c r="F71" i="4"/>
  <c r="G71" i="4"/>
  <c r="F72" i="4"/>
  <c r="G72" i="4"/>
  <c r="F73" i="4"/>
  <c r="G73" i="4" s="1"/>
  <c r="F74" i="4"/>
  <c r="G74" i="4"/>
  <c r="F75" i="4"/>
  <c r="G75" i="4" s="1"/>
  <c r="F76" i="4"/>
  <c r="G76" i="4"/>
  <c r="F77" i="4"/>
  <c r="G77" i="4"/>
  <c r="F78" i="4"/>
  <c r="G78" i="4" s="1"/>
  <c r="F79" i="4"/>
  <c r="G79" i="4"/>
  <c r="F80" i="4"/>
  <c r="G80" i="4"/>
  <c r="F81" i="4"/>
  <c r="G81" i="4" s="1"/>
  <c r="F82" i="4"/>
  <c r="G82" i="4" s="1"/>
  <c r="F83" i="4"/>
  <c r="G83" i="4"/>
  <c r="F84" i="4"/>
  <c r="G84" i="4" s="1"/>
  <c r="F85" i="4"/>
  <c r="G85" i="4"/>
  <c r="F86" i="4"/>
  <c r="G86" i="4" s="1"/>
  <c r="F87" i="4"/>
  <c r="G87" i="4"/>
  <c r="F88" i="4"/>
  <c r="G88" i="4"/>
  <c r="F89" i="4"/>
  <c r="G89" i="4" s="1"/>
  <c r="F90" i="4"/>
  <c r="G90" i="4" s="1"/>
  <c r="F91" i="4"/>
  <c r="G91" i="4" s="1"/>
  <c r="F92" i="4"/>
  <c r="G92" i="4"/>
  <c r="F93" i="4"/>
  <c r="G93" i="4" s="1"/>
  <c r="F94" i="4"/>
  <c r="G94" i="4" s="1"/>
  <c r="F95" i="4"/>
  <c r="G95" i="4"/>
  <c r="H2" i="3"/>
  <c r="E2" i="3"/>
  <c r="E2" i="72"/>
  <c r="H2" i="72"/>
  <c r="D2" i="3"/>
  <c r="I2" i="3" s="1"/>
  <c r="J2" i="3" s="1"/>
  <c r="D2" i="72"/>
  <c r="K2" i="72" s="1"/>
  <c r="J68" i="21"/>
  <c r="J125" i="31"/>
  <c r="J40" i="31"/>
  <c r="J73" i="21"/>
  <c r="J49" i="21"/>
  <c r="J116" i="31"/>
  <c r="J50" i="21"/>
  <c r="J56" i="21"/>
  <c r="J40" i="21"/>
  <c r="J16" i="21"/>
  <c r="J8" i="21"/>
  <c r="J24" i="31"/>
  <c r="J34" i="21"/>
  <c r="J18" i="21"/>
  <c r="J94" i="21"/>
  <c r="J79" i="28"/>
  <c r="J93" i="21"/>
  <c r="J13" i="21"/>
  <c r="J74" i="21"/>
  <c r="J80" i="31"/>
  <c r="J137" i="31"/>
  <c r="J73" i="31"/>
  <c r="J41" i="31"/>
  <c r="J33" i="31"/>
  <c r="F69" i="30"/>
  <c r="G69" i="30" s="1"/>
  <c r="F54" i="30"/>
  <c r="G54" i="30" s="1"/>
  <c r="J145" i="27"/>
  <c r="J82" i="27"/>
  <c r="J58" i="27"/>
  <c r="E2" i="19"/>
  <c r="F59" i="3"/>
  <c r="G59" i="3" s="1"/>
  <c r="F19" i="1"/>
  <c r="G19" i="1" s="1"/>
  <c r="F29" i="1"/>
  <c r="G29" i="1" s="1"/>
  <c r="F4" i="3"/>
  <c r="G4" i="3" s="1"/>
  <c r="I4" i="3"/>
  <c r="J4" i="3" s="1"/>
  <c r="F5" i="3"/>
  <c r="G5" i="3" s="1"/>
  <c r="I5" i="3"/>
  <c r="F6" i="3"/>
  <c r="G6" i="3"/>
  <c r="I6" i="3"/>
  <c r="J6" i="3" s="1"/>
  <c r="F7" i="3"/>
  <c r="G7" i="3" s="1"/>
  <c r="I7" i="3"/>
  <c r="J7" i="3" s="1"/>
  <c r="F8" i="3"/>
  <c r="G8" i="3" s="1"/>
  <c r="I8" i="3"/>
  <c r="J8" i="3" s="1"/>
  <c r="F9" i="3"/>
  <c r="G9" i="3" s="1"/>
  <c r="I9" i="3"/>
  <c r="J9" i="3"/>
  <c r="F10" i="3"/>
  <c r="G10" i="3"/>
  <c r="I10" i="3"/>
  <c r="J10" i="3" s="1"/>
  <c r="F11" i="3"/>
  <c r="G11" i="3"/>
  <c r="I11" i="3"/>
  <c r="J11" i="3" s="1"/>
  <c r="F12" i="3"/>
  <c r="G12" i="3"/>
  <c r="I12" i="3"/>
  <c r="F13" i="3"/>
  <c r="G13" i="3"/>
  <c r="I13" i="3"/>
  <c r="J13" i="3" s="1"/>
  <c r="F14" i="3"/>
  <c r="G14" i="3" s="1"/>
  <c r="I14" i="3"/>
  <c r="F15" i="3"/>
  <c r="G15" i="3"/>
  <c r="I15" i="3"/>
  <c r="J15" i="3" s="1"/>
  <c r="F16" i="3"/>
  <c r="G16" i="3"/>
  <c r="I16" i="3"/>
  <c r="J16" i="3" s="1"/>
  <c r="F17" i="3"/>
  <c r="G17" i="3" s="1"/>
  <c r="I17" i="3"/>
  <c r="J17" i="3" s="1"/>
  <c r="F18" i="3"/>
  <c r="G18" i="3" s="1"/>
  <c r="I18" i="3"/>
  <c r="J18" i="3" s="1"/>
  <c r="F19" i="3"/>
  <c r="G19" i="3"/>
  <c r="I19" i="3"/>
  <c r="J19" i="3" s="1"/>
  <c r="F20" i="3"/>
  <c r="G20" i="3"/>
  <c r="I20" i="3"/>
  <c r="J20" i="3" s="1"/>
  <c r="F21" i="3"/>
  <c r="G21" i="3" s="1"/>
  <c r="I21" i="3"/>
  <c r="J21" i="3" s="1"/>
  <c r="F22" i="3"/>
  <c r="G22" i="3" s="1"/>
  <c r="I22" i="3"/>
  <c r="J22" i="3" s="1"/>
  <c r="F23" i="3"/>
  <c r="G23" i="3" s="1"/>
  <c r="I23" i="3"/>
  <c r="J23" i="3" s="1"/>
  <c r="F24" i="3"/>
  <c r="G24" i="3"/>
  <c r="I24" i="3"/>
  <c r="J24" i="3" s="1"/>
  <c r="F25" i="3"/>
  <c r="G25" i="3"/>
  <c r="I25" i="3"/>
  <c r="J25" i="3" s="1"/>
  <c r="F26" i="3"/>
  <c r="G26" i="3"/>
  <c r="I26" i="3"/>
  <c r="J26" i="3" s="1"/>
  <c r="F27" i="3"/>
  <c r="G27" i="3" s="1"/>
  <c r="I27" i="3"/>
  <c r="J27" i="3" s="1"/>
  <c r="F28" i="3"/>
  <c r="G28" i="3" s="1"/>
  <c r="I28" i="3"/>
  <c r="J28" i="3" s="1"/>
  <c r="F29" i="3"/>
  <c r="G29" i="3" s="1"/>
  <c r="I29" i="3"/>
  <c r="F30" i="3"/>
  <c r="G30" i="3"/>
  <c r="I30" i="3"/>
  <c r="J30" i="3" s="1"/>
  <c r="F31" i="3"/>
  <c r="G31" i="3" s="1"/>
  <c r="I31" i="3"/>
  <c r="J31" i="3" s="1"/>
  <c r="F32" i="3"/>
  <c r="G32" i="3"/>
  <c r="I32" i="3"/>
  <c r="J32" i="3" s="1"/>
  <c r="F33" i="3"/>
  <c r="G33" i="3" s="1"/>
  <c r="I33" i="3"/>
  <c r="J33" i="3" s="1"/>
  <c r="F34" i="3"/>
  <c r="G34" i="3" s="1"/>
  <c r="I34" i="3"/>
  <c r="J34" i="3" s="1"/>
  <c r="F35" i="3"/>
  <c r="G35" i="3" s="1"/>
  <c r="I35" i="3"/>
  <c r="J35" i="3"/>
  <c r="F36" i="3"/>
  <c r="G36" i="3"/>
  <c r="I36" i="3"/>
  <c r="J36" i="3" s="1"/>
  <c r="F37" i="3"/>
  <c r="G37" i="3"/>
  <c r="I37" i="3"/>
  <c r="J37" i="3" s="1"/>
  <c r="F38" i="3"/>
  <c r="G38" i="3" s="1"/>
  <c r="I38" i="3"/>
  <c r="J38" i="3" s="1"/>
  <c r="F39" i="3"/>
  <c r="G39" i="3" s="1"/>
  <c r="I39" i="3"/>
  <c r="J39" i="3"/>
  <c r="F40" i="3"/>
  <c r="G40" i="3" s="1"/>
  <c r="I40" i="3"/>
  <c r="J40" i="3" s="1"/>
  <c r="F41" i="3"/>
  <c r="G41" i="3"/>
  <c r="I41" i="3"/>
  <c r="J41" i="3" s="1"/>
  <c r="F42" i="3"/>
  <c r="G42" i="3"/>
  <c r="I42" i="3"/>
  <c r="J42" i="3" s="1"/>
  <c r="F43" i="3"/>
  <c r="G43" i="3" s="1"/>
  <c r="I43" i="3"/>
  <c r="J43" i="3" s="1"/>
  <c r="F44" i="3"/>
  <c r="G44" i="3"/>
  <c r="I44" i="3"/>
  <c r="F45" i="3"/>
  <c r="G45" i="3"/>
  <c r="I45" i="3"/>
  <c r="J45" i="3" s="1"/>
  <c r="F46" i="3"/>
  <c r="G46" i="3"/>
  <c r="I46" i="3"/>
  <c r="J46" i="3" s="1"/>
  <c r="F47" i="3"/>
  <c r="G47" i="3"/>
  <c r="I47" i="3"/>
  <c r="J47" i="3" s="1"/>
  <c r="F48" i="3"/>
  <c r="G48" i="3"/>
  <c r="I48" i="3"/>
  <c r="J48" i="3" s="1"/>
  <c r="F49" i="3"/>
  <c r="G49" i="3" s="1"/>
  <c r="I49" i="3"/>
  <c r="J49" i="3" s="1"/>
  <c r="F50" i="3"/>
  <c r="G50" i="3" s="1"/>
  <c r="I50" i="3"/>
  <c r="F51" i="3"/>
  <c r="G51" i="3" s="1"/>
  <c r="I51" i="3"/>
  <c r="J51" i="3" s="1"/>
  <c r="F52" i="3"/>
  <c r="G52" i="3"/>
  <c r="I52" i="3"/>
  <c r="J52" i="3" s="1"/>
  <c r="F53" i="3"/>
  <c r="G53" i="3"/>
  <c r="I53" i="3"/>
  <c r="J53" i="3" s="1"/>
  <c r="F54" i="3"/>
  <c r="G54" i="3"/>
  <c r="I54" i="3"/>
  <c r="F55" i="3"/>
  <c r="G55" i="3" s="1"/>
  <c r="I55" i="3"/>
  <c r="J55" i="3"/>
  <c r="F56" i="3"/>
  <c r="G56" i="3" s="1"/>
  <c r="I56" i="3"/>
  <c r="F57" i="3"/>
  <c r="G57" i="3"/>
  <c r="I57" i="3"/>
  <c r="J57" i="3" s="1"/>
  <c r="F58" i="3"/>
  <c r="G58" i="3"/>
  <c r="I58" i="3"/>
  <c r="J58" i="3" s="1"/>
  <c r="I59" i="3"/>
  <c r="J59" i="3" s="1"/>
  <c r="F60" i="3"/>
  <c r="G60" i="3" s="1"/>
  <c r="I60" i="3"/>
  <c r="J60" i="3" s="1"/>
  <c r="F61" i="3"/>
  <c r="G61" i="3" s="1"/>
  <c r="I61" i="3"/>
  <c r="J61" i="3" s="1"/>
  <c r="F62" i="3"/>
  <c r="G62" i="3"/>
  <c r="I62" i="3"/>
  <c r="J62" i="3" s="1"/>
  <c r="F63" i="3"/>
  <c r="G63" i="3"/>
  <c r="I63" i="3"/>
  <c r="J63" i="3" s="1"/>
  <c r="F64" i="3"/>
  <c r="G64" i="3" s="1"/>
  <c r="I64" i="3"/>
  <c r="J64" i="3" s="1"/>
  <c r="F65" i="3"/>
  <c r="G65" i="3"/>
  <c r="I65" i="3"/>
  <c r="J65" i="3" s="1"/>
  <c r="F66" i="3"/>
  <c r="G66" i="3" s="1"/>
  <c r="I66" i="3"/>
  <c r="J66" i="3" s="1"/>
  <c r="F67" i="3"/>
  <c r="G67" i="3" s="1"/>
  <c r="I67" i="3"/>
  <c r="J67" i="3" s="1"/>
  <c r="F68" i="3"/>
  <c r="G68" i="3" s="1"/>
  <c r="I68" i="3"/>
  <c r="J68" i="3" s="1"/>
  <c r="F69" i="3"/>
  <c r="G69" i="3"/>
  <c r="I69" i="3"/>
  <c r="J69" i="3" s="1"/>
  <c r="F70" i="3"/>
  <c r="G70" i="3"/>
  <c r="I70" i="3"/>
  <c r="F71" i="3"/>
  <c r="G71" i="3"/>
  <c r="I71" i="3"/>
  <c r="F72" i="3"/>
  <c r="G72" i="3" s="1"/>
  <c r="I72" i="3"/>
  <c r="J72" i="3" s="1"/>
  <c r="F73" i="3"/>
  <c r="G73" i="3"/>
  <c r="I73" i="3"/>
  <c r="J73" i="3" s="1"/>
  <c r="F74" i="3"/>
  <c r="G74" i="3" s="1"/>
  <c r="I74" i="3"/>
  <c r="J74" i="3" s="1"/>
  <c r="F75" i="3"/>
  <c r="G75" i="3"/>
  <c r="I75" i="3"/>
  <c r="J75" i="3" s="1"/>
  <c r="F76" i="3"/>
  <c r="G76" i="3" s="1"/>
  <c r="I76" i="3"/>
  <c r="J76" i="3" s="1"/>
  <c r="F77" i="3"/>
  <c r="G77" i="3"/>
  <c r="I77" i="3"/>
  <c r="J77" i="3" s="1"/>
  <c r="F78" i="3"/>
  <c r="G78" i="3" s="1"/>
  <c r="I78" i="3"/>
  <c r="J78" i="3" s="1"/>
  <c r="F79" i="3"/>
  <c r="G79" i="3"/>
  <c r="I79" i="3"/>
  <c r="J79" i="3" s="1"/>
  <c r="F80" i="3"/>
  <c r="G80" i="3" s="1"/>
  <c r="I80" i="3"/>
  <c r="J80" i="3" s="1"/>
  <c r="F81" i="3"/>
  <c r="G81" i="3"/>
  <c r="I81" i="3"/>
  <c r="J81" i="3" s="1"/>
  <c r="F82" i="3"/>
  <c r="G82" i="3"/>
  <c r="I82" i="3"/>
  <c r="J82" i="3" s="1"/>
  <c r="F83" i="3"/>
  <c r="G83" i="3" s="1"/>
  <c r="I83" i="3"/>
  <c r="J83" i="3" s="1"/>
  <c r="F84" i="3"/>
  <c r="G84" i="3" s="1"/>
  <c r="I84" i="3"/>
  <c r="J84" i="3" s="1"/>
  <c r="F85" i="3"/>
  <c r="G85" i="3" s="1"/>
  <c r="I85" i="3"/>
  <c r="J85" i="3" s="1"/>
  <c r="F86" i="3"/>
  <c r="G86" i="3"/>
  <c r="I86" i="3"/>
  <c r="J86" i="3" s="1"/>
  <c r="F87" i="3"/>
  <c r="G87" i="3"/>
  <c r="I87" i="3"/>
  <c r="J87" i="3" s="1"/>
  <c r="F88" i="3"/>
  <c r="G88" i="3"/>
  <c r="I88" i="3"/>
  <c r="J88" i="3" s="1"/>
  <c r="F89" i="3"/>
  <c r="G89" i="3" s="1"/>
  <c r="I89" i="3"/>
  <c r="J89" i="3" s="1"/>
  <c r="F90" i="3"/>
  <c r="G90" i="3" s="1"/>
  <c r="I90" i="3"/>
  <c r="J90" i="3" s="1"/>
  <c r="F91" i="3"/>
  <c r="G91" i="3"/>
  <c r="I91" i="3"/>
  <c r="J91" i="3" s="1"/>
  <c r="F92" i="3"/>
  <c r="G92" i="3" s="1"/>
  <c r="I92" i="3"/>
  <c r="J92" i="3" s="1"/>
  <c r="F93" i="3"/>
  <c r="G93" i="3"/>
  <c r="I93" i="3"/>
  <c r="J93" i="3" s="1"/>
  <c r="F94" i="3"/>
  <c r="G94" i="3"/>
  <c r="I94" i="3"/>
  <c r="J94" i="3" s="1"/>
  <c r="F95" i="3"/>
  <c r="G95" i="3" s="1"/>
  <c r="I95" i="3"/>
  <c r="J95" i="3" s="1"/>
  <c r="I6" i="72"/>
  <c r="J6" i="72" s="1"/>
  <c r="I7" i="72"/>
  <c r="I8" i="72"/>
  <c r="J8" i="72" s="1"/>
  <c r="I9" i="72"/>
  <c r="J9" i="72" s="1"/>
  <c r="I10" i="72"/>
  <c r="J10" i="72" s="1"/>
  <c r="I11" i="72"/>
  <c r="J11" i="72" s="1"/>
  <c r="I12" i="72"/>
  <c r="J12" i="72" s="1"/>
  <c r="I13" i="72"/>
  <c r="J13" i="72" s="1"/>
  <c r="I14" i="72"/>
  <c r="I15" i="72"/>
  <c r="I16" i="72"/>
  <c r="I17" i="72"/>
  <c r="I18" i="72"/>
  <c r="I19" i="72"/>
  <c r="J19" i="72" s="1"/>
  <c r="I20" i="72"/>
  <c r="I21" i="72"/>
  <c r="I22" i="72"/>
  <c r="I23" i="72"/>
  <c r="I24" i="72"/>
  <c r="J24" i="72" s="1"/>
  <c r="I25" i="72"/>
  <c r="J25" i="72" s="1"/>
  <c r="I26" i="72"/>
  <c r="J26" i="72" s="1"/>
  <c r="I27" i="72"/>
  <c r="J27" i="72" s="1"/>
  <c r="I28" i="72"/>
  <c r="J28" i="72" s="1"/>
  <c r="I29" i="72"/>
  <c r="I30" i="72"/>
  <c r="J30" i="72" s="1"/>
  <c r="I31" i="72"/>
  <c r="I32" i="72"/>
  <c r="J32" i="72" s="1"/>
  <c r="I33" i="72"/>
  <c r="I34" i="72"/>
  <c r="I35" i="72"/>
  <c r="I36" i="72"/>
  <c r="I37" i="72"/>
  <c r="I38" i="72"/>
  <c r="J38" i="72" s="1"/>
  <c r="I39" i="72"/>
  <c r="I40" i="72"/>
  <c r="I41" i="72"/>
  <c r="I42" i="72"/>
  <c r="I43" i="72"/>
  <c r="I44" i="72"/>
  <c r="I45" i="72"/>
  <c r="I46" i="72"/>
  <c r="J46" i="72" s="1"/>
  <c r="I53" i="72"/>
  <c r="I54" i="72"/>
  <c r="I55" i="72"/>
  <c r="I56" i="72"/>
  <c r="J56" i="72" s="1"/>
  <c r="I57" i="72"/>
  <c r="I58" i="72"/>
  <c r="J58" i="72" s="1"/>
  <c r="I59" i="72"/>
  <c r="J59" i="72"/>
  <c r="I60" i="72"/>
  <c r="I61" i="72"/>
  <c r="J61" i="72" s="1"/>
  <c r="I62" i="72"/>
  <c r="I63" i="72"/>
  <c r="I64" i="72"/>
  <c r="J64" i="72"/>
  <c r="I65" i="72"/>
  <c r="J65" i="72"/>
  <c r="I66" i="72"/>
  <c r="I67" i="72"/>
  <c r="I68" i="72"/>
  <c r="I69" i="72"/>
  <c r="J69" i="72" s="1"/>
  <c r="I70" i="72"/>
  <c r="I71" i="72"/>
  <c r="I72" i="72"/>
  <c r="J72" i="72" s="1"/>
  <c r="I73" i="72"/>
  <c r="I74" i="72"/>
  <c r="I75" i="72"/>
  <c r="I76" i="72"/>
  <c r="J76" i="72" s="1"/>
  <c r="I77" i="72"/>
  <c r="J77" i="72" s="1"/>
  <c r="I78" i="72"/>
  <c r="J78" i="72" s="1"/>
  <c r="I79" i="72"/>
  <c r="I80" i="72"/>
  <c r="J80" i="72" s="1"/>
  <c r="I81" i="72"/>
  <c r="I82" i="72"/>
  <c r="I83" i="72"/>
  <c r="I84" i="72"/>
  <c r="I85" i="72"/>
  <c r="I86" i="72"/>
  <c r="J86" i="72" s="1"/>
  <c r="I87" i="72"/>
  <c r="J87" i="72" s="1"/>
  <c r="I88" i="72"/>
  <c r="J88" i="72" s="1"/>
  <c r="I89" i="72"/>
  <c r="J89" i="72" s="1"/>
  <c r="I90" i="72"/>
  <c r="I91" i="72"/>
  <c r="J91" i="72" s="1"/>
  <c r="I92" i="72"/>
  <c r="F5" i="72"/>
  <c r="G5" i="72" s="1"/>
  <c r="F6" i="72"/>
  <c r="G6" i="72" s="1"/>
  <c r="F7" i="72"/>
  <c r="G7" i="72" s="1"/>
  <c r="F8" i="72"/>
  <c r="G8" i="72" s="1"/>
  <c r="F9" i="72"/>
  <c r="G9" i="72" s="1"/>
  <c r="F10" i="72"/>
  <c r="G10" i="72" s="1"/>
  <c r="F11" i="72"/>
  <c r="G11" i="72" s="1"/>
  <c r="F12" i="72"/>
  <c r="G12" i="72" s="1"/>
  <c r="F13" i="72"/>
  <c r="G13" i="72" s="1"/>
  <c r="F14" i="72"/>
  <c r="G14" i="72" s="1"/>
  <c r="F15" i="72"/>
  <c r="G15" i="72" s="1"/>
  <c r="F16" i="72"/>
  <c r="G16" i="72" s="1"/>
  <c r="F17" i="72"/>
  <c r="G17" i="72" s="1"/>
  <c r="F18" i="72"/>
  <c r="G18" i="72" s="1"/>
  <c r="F19" i="72"/>
  <c r="G19" i="72" s="1"/>
  <c r="F20" i="72"/>
  <c r="G20" i="72" s="1"/>
  <c r="F21" i="72"/>
  <c r="G21" i="72" s="1"/>
  <c r="F22" i="72"/>
  <c r="G22" i="72" s="1"/>
  <c r="F23" i="72"/>
  <c r="G23" i="72" s="1"/>
  <c r="F24" i="72"/>
  <c r="G24" i="72" s="1"/>
  <c r="F25" i="72"/>
  <c r="G25" i="72" s="1"/>
  <c r="F26" i="72"/>
  <c r="G26" i="72" s="1"/>
  <c r="F27" i="72"/>
  <c r="G27" i="72" s="1"/>
  <c r="F28" i="72"/>
  <c r="G28" i="72"/>
  <c r="F29" i="72"/>
  <c r="G29" i="72" s="1"/>
  <c r="F30" i="72"/>
  <c r="G30" i="72" s="1"/>
  <c r="F31" i="72"/>
  <c r="G31" i="72" s="1"/>
  <c r="F32" i="72"/>
  <c r="G32" i="72" s="1"/>
  <c r="F33" i="72"/>
  <c r="G33" i="72" s="1"/>
  <c r="F34" i="72"/>
  <c r="G34" i="72" s="1"/>
  <c r="F35" i="72"/>
  <c r="G35" i="72" s="1"/>
  <c r="F36" i="72"/>
  <c r="G36" i="72" s="1"/>
  <c r="F37" i="72"/>
  <c r="G37" i="72" s="1"/>
  <c r="F38" i="72"/>
  <c r="G38" i="72" s="1"/>
  <c r="F39" i="72"/>
  <c r="G39" i="72" s="1"/>
  <c r="F40" i="72"/>
  <c r="G40" i="72" s="1"/>
  <c r="F41" i="72"/>
  <c r="G41" i="72" s="1"/>
  <c r="F42" i="72"/>
  <c r="G42" i="72" s="1"/>
  <c r="F43" i="72"/>
  <c r="G43" i="72"/>
  <c r="F44" i="72"/>
  <c r="G44" i="72" s="1"/>
  <c r="F45" i="72"/>
  <c r="G45" i="72" s="1"/>
  <c r="F46" i="72"/>
  <c r="G46" i="72"/>
  <c r="F53" i="72"/>
  <c r="G53" i="72"/>
  <c r="F54" i="72"/>
  <c r="G54" i="72" s="1"/>
  <c r="F55" i="72"/>
  <c r="G55" i="72" s="1"/>
  <c r="F56" i="72"/>
  <c r="G56" i="72"/>
  <c r="F57" i="72"/>
  <c r="G57" i="72" s="1"/>
  <c r="F58" i="72"/>
  <c r="G58" i="72" s="1"/>
  <c r="F59" i="72"/>
  <c r="G59" i="72" s="1"/>
  <c r="F60" i="72"/>
  <c r="G60" i="72" s="1"/>
  <c r="F61" i="72"/>
  <c r="G61" i="72"/>
  <c r="F62" i="72"/>
  <c r="G62" i="72" s="1"/>
  <c r="F63" i="72"/>
  <c r="G63" i="72" s="1"/>
  <c r="F64" i="72"/>
  <c r="G64" i="72" s="1"/>
  <c r="F65" i="72"/>
  <c r="G65" i="72" s="1"/>
  <c r="F66" i="72"/>
  <c r="G66" i="72" s="1"/>
  <c r="F67" i="72"/>
  <c r="G67" i="72" s="1"/>
  <c r="F68" i="72"/>
  <c r="G68" i="72" s="1"/>
  <c r="F69" i="72"/>
  <c r="G69" i="72"/>
  <c r="F70" i="72"/>
  <c r="G70" i="72" s="1"/>
  <c r="F71" i="72"/>
  <c r="G71" i="72" s="1"/>
  <c r="F72" i="72"/>
  <c r="G72" i="72" s="1"/>
  <c r="F73" i="72"/>
  <c r="G73" i="72" s="1"/>
  <c r="F74" i="72"/>
  <c r="G74" i="72" s="1"/>
  <c r="F75" i="72"/>
  <c r="G75" i="72" s="1"/>
  <c r="F76" i="72"/>
  <c r="G76" i="72" s="1"/>
  <c r="F77" i="72"/>
  <c r="G77" i="72" s="1"/>
  <c r="F78" i="72"/>
  <c r="G78" i="72" s="1"/>
  <c r="F79" i="72"/>
  <c r="G79" i="72" s="1"/>
  <c r="F80" i="72"/>
  <c r="G80" i="72" s="1"/>
  <c r="F81" i="72"/>
  <c r="G81" i="72" s="1"/>
  <c r="F82" i="72"/>
  <c r="G82" i="72" s="1"/>
  <c r="F83" i="72"/>
  <c r="G83" i="72"/>
  <c r="F84" i="72"/>
  <c r="G84" i="72" s="1"/>
  <c r="F85" i="72"/>
  <c r="G85" i="72"/>
  <c r="F86" i="72"/>
  <c r="G86" i="72" s="1"/>
  <c r="F87" i="72"/>
  <c r="G87" i="72" s="1"/>
  <c r="F88" i="72"/>
  <c r="G88" i="72" s="1"/>
  <c r="F89" i="72"/>
  <c r="G89" i="72" s="1"/>
  <c r="F90" i="72"/>
  <c r="G90" i="72" s="1"/>
  <c r="F91" i="72"/>
  <c r="G91" i="72" s="1"/>
  <c r="F92" i="72"/>
  <c r="G92" i="72" s="1"/>
  <c r="F4" i="72"/>
  <c r="G4" i="72" s="1"/>
  <c r="J74" i="72"/>
  <c r="J41" i="72"/>
  <c r="J37" i="72"/>
  <c r="J21" i="72"/>
  <c r="J5" i="72"/>
  <c r="J22" i="72"/>
  <c r="J43" i="72"/>
  <c r="I17" i="33"/>
  <c r="J17" i="33" s="1"/>
  <c r="F17" i="33"/>
  <c r="G17" i="33"/>
  <c r="J16" i="33"/>
  <c r="F16" i="33"/>
  <c r="G16" i="33"/>
  <c r="I17" i="32"/>
  <c r="I17" i="30" s="1"/>
  <c r="J17" i="30" s="1"/>
  <c r="F17" i="32"/>
  <c r="G17" i="32" s="1"/>
  <c r="I16" i="32"/>
  <c r="I16" i="30" s="1"/>
  <c r="J16" i="30" s="1"/>
  <c r="I17" i="31"/>
  <c r="J17" i="31" s="1"/>
  <c r="F17" i="31"/>
  <c r="G17" i="31" s="1"/>
  <c r="I16" i="31"/>
  <c r="J16" i="31" s="1"/>
  <c r="F16" i="31"/>
  <c r="G16" i="31" s="1"/>
  <c r="I17" i="28"/>
  <c r="J17" i="28"/>
  <c r="F17" i="28"/>
  <c r="G17" i="28"/>
  <c r="I16" i="28"/>
  <c r="J16" i="28"/>
  <c r="F16" i="28"/>
  <c r="G16" i="28"/>
  <c r="I17" i="27"/>
  <c r="J17" i="27" s="1"/>
  <c r="I16" i="27"/>
  <c r="J16" i="27" s="1"/>
  <c r="B4" i="33" a="1"/>
  <c r="B4" i="33" s="1"/>
  <c r="A4" i="33" a="1"/>
  <c r="A4" i="33" s="1"/>
  <c r="B4" i="32" a="1"/>
  <c r="B4" i="32" s="1"/>
  <c r="A4" i="32" a="1"/>
  <c r="A4" i="32" s="1"/>
  <c r="B4" i="31" a="1"/>
  <c r="B4" i="31" s="1"/>
  <c r="A4" i="31" a="1"/>
  <c r="A4" i="31" s="1"/>
  <c r="B4" i="27" a="1"/>
  <c r="B4" i="27" s="1"/>
  <c r="A4" i="27" a="1"/>
  <c r="A4" i="27" s="1"/>
  <c r="A1" i="34" a="1"/>
  <c r="A1" i="34" s="1"/>
  <c r="A1" i="30" a="1"/>
  <c r="A1" i="30" s="1"/>
  <c r="A1" i="29" a="1"/>
  <c r="A1" i="29" s="1"/>
  <c r="B4" i="18" a="1"/>
  <c r="B4" i="18" s="1"/>
  <c r="A4" i="18" a="1"/>
  <c r="A4" i="18" s="1"/>
  <c r="A1" i="18" a="1"/>
  <c r="A1" i="18" s="1"/>
  <c r="B4" i="1" a="1"/>
  <c r="B4" i="1" s="1"/>
  <c r="A4" i="1" a="1"/>
  <c r="A4" i="1" s="1"/>
  <c r="A1" i="1" a="1"/>
  <c r="A1" i="1"/>
  <c r="I15" i="33"/>
  <c r="J15" i="33" s="1"/>
  <c r="F15" i="33"/>
  <c r="G15" i="33"/>
  <c r="I14" i="33"/>
  <c r="J14" i="33"/>
  <c r="F14" i="33"/>
  <c r="G14" i="33"/>
  <c r="I13" i="33"/>
  <c r="J13" i="33"/>
  <c r="F13" i="33"/>
  <c r="G13" i="33" s="1"/>
  <c r="I12" i="33"/>
  <c r="J12" i="33" s="1"/>
  <c r="F12" i="33"/>
  <c r="G12" i="33"/>
  <c r="I11" i="33"/>
  <c r="J11" i="33" s="1"/>
  <c r="F11" i="33"/>
  <c r="G11" i="33"/>
  <c r="I10" i="33"/>
  <c r="J10" i="33"/>
  <c r="F10" i="33"/>
  <c r="G10" i="33"/>
  <c r="I9" i="33"/>
  <c r="J9" i="33"/>
  <c r="F9" i="33"/>
  <c r="G9" i="33" s="1"/>
  <c r="I8" i="33"/>
  <c r="J8" i="33" s="1"/>
  <c r="F8" i="33"/>
  <c r="G8" i="33"/>
  <c r="I7" i="33"/>
  <c r="J7" i="33" s="1"/>
  <c r="F7" i="33"/>
  <c r="G7" i="33"/>
  <c r="I6" i="33"/>
  <c r="J6" i="33"/>
  <c r="F6" i="33"/>
  <c r="G6" i="33" s="1"/>
  <c r="I5" i="33"/>
  <c r="J5" i="33"/>
  <c r="F5" i="33"/>
  <c r="G5" i="33" s="1"/>
  <c r="I4" i="33"/>
  <c r="J4" i="33" s="1"/>
  <c r="F4" i="33"/>
  <c r="G4" i="33"/>
  <c r="H2" i="33"/>
  <c r="E2" i="33"/>
  <c r="D2" i="33"/>
  <c r="K2" i="33" s="1"/>
  <c r="A1" i="33" a="1"/>
  <c r="A1" i="33" s="1"/>
  <c r="I15" i="32"/>
  <c r="I15" i="30" s="1"/>
  <c r="J15" i="30" s="1"/>
  <c r="J15" i="32"/>
  <c r="F15" i="32"/>
  <c r="G15" i="32" s="1"/>
  <c r="I14" i="32"/>
  <c r="F14" i="32"/>
  <c r="G14" i="32" s="1"/>
  <c r="I13" i="32"/>
  <c r="I13" i="30" s="1"/>
  <c r="J13" i="30" s="1"/>
  <c r="F13" i="32"/>
  <c r="G13" i="32"/>
  <c r="I12" i="32"/>
  <c r="I12" i="30" s="1"/>
  <c r="J12" i="30" s="1"/>
  <c r="F12" i="32"/>
  <c r="G12" i="32" s="1"/>
  <c r="I11" i="32"/>
  <c r="I11" i="30" s="1"/>
  <c r="J11" i="30" s="1"/>
  <c r="F11" i="32"/>
  <c r="G11" i="32" s="1"/>
  <c r="I10" i="32"/>
  <c r="F10" i="32"/>
  <c r="G10" i="32" s="1"/>
  <c r="I9" i="32"/>
  <c r="I9" i="30" s="1"/>
  <c r="J9" i="30" s="1"/>
  <c r="F9" i="32"/>
  <c r="G9" i="32" s="1"/>
  <c r="I8" i="32"/>
  <c r="I8" i="30" s="1"/>
  <c r="J8" i="30" s="1"/>
  <c r="F8" i="32"/>
  <c r="G8" i="32" s="1"/>
  <c r="I7" i="32"/>
  <c r="I7" i="30" s="1"/>
  <c r="J7" i="30" s="1"/>
  <c r="F7" i="32"/>
  <c r="G7" i="32" s="1"/>
  <c r="I6" i="32"/>
  <c r="F6" i="32"/>
  <c r="G6" i="32" s="1"/>
  <c r="I5" i="32"/>
  <c r="I5" i="30" s="1"/>
  <c r="J5" i="32"/>
  <c r="F5" i="32"/>
  <c r="G5" i="32" s="1"/>
  <c r="I4" i="32"/>
  <c r="I4" i="30" s="1"/>
  <c r="F4" i="32"/>
  <c r="G4" i="32" s="1"/>
  <c r="K2" i="32"/>
  <c r="A1" i="32" a="1"/>
  <c r="A1" i="32" s="1"/>
  <c r="I15" i="31"/>
  <c r="J15" i="31" s="1"/>
  <c r="F15" i="31"/>
  <c r="G15" i="31" s="1"/>
  <c r="I14" i="31"/>
  <c r="J14" i="31" s="1"/>
  <c r="F14" i="31"/>
  <c r="G14" i="31"/>
  <c r="I13" i="31"/>
  <c r="J13" i="31" s="1"/>
  <c r="F13" i="31"/>
  <c r="G13" i="31" s="1"/>
  <c r="I12" i="31"/>
  <c r="J12" i="31"/>
  <c r="F12" i="31"/>
  <c r="G12" i="31" s="1"/>
  <c r="I11" i="31"/>
  <c r="J11" i="31"/>
  <c r="F11" i="31"/>
  <c r="G11" i="31" s="1"/>
  <c r="I10" i="31"/>
  <c r="J10" i="31" s="1"/>
  <c r="F10" i="31"/>
  <c r="G10" i="31" s="1"/>
  <c r="I9" i="31"/>
  <c r="J9" i="31" s="1"/>
  <c r="F9" i="31"/>
  <c r="G9" i="31"/>
  <c r="I8" i="31"/>
  <c r="J8" i="31" s="1"/>
  <c r="F8" i="31"/>
  <c r="G8" i="31"/>
  <c r="I7" i="31"/>
  <c r="J7" i="31" s="1"/>
  <c r="F7" i="31"/>
  <c r="G7" i="31" s="1"/>
  <c r="I6" i="31"/>
  <c r="J6" i="31" s="1"/>
  <c r="F6" i="31"/>
  <c r="G6" i="31"/>
  <c r="I5" i="31"/>
  <c r="J5" i="31" s="1"/>
  <c r="F5" i="31"/>
  <c r="G5" i="31" s="1"/>
  <c r="I4" i="31"/>
  <c r="J4" i="31"/>
  <c r="F4" i="31"/>
  <c r="G4" i="31" s="1"/>
  <c r="A1" i="31" a="1"/>
  <c r="A1" i="31" s="1"/>
  <c r="I15" i="28"/>
  <c r="J15" i="28"/>
  <c r="F15" i="28"/>
  <c r="G15" i="28"/>
  <c r="I14" i="28"/>
  <c r="F14" i="28"/>
  <c r="G14" i="28"/>
  <c r="I13" i="28"/>
  <c r="J13" i="28" s="1"/>
  <c r="F13" i="28"/>
  <c r="G13" i="28"/>
  <c r="I12" i="28"/>
  <c r="J12" i="28"/>
  <c r="F12" i="28"/>
  <c r="G12" i="28"/>
  <c r="I11" i="28"/>
  <c r="J11" i="28"/>
  <c r="F11" i="28"/>
  <c r="G11" i="28"/>
  <c r="I10" i="28"/>
  <c r="J10" i="28"/>
  <c r="F10" i="28"/>
  <c r="G10" i="28"/>
  <c r="I9" i="28"/>
  <c r="J9" i="28" s="1"/>
  <c r="F9" i="28"/>
  <c r="G9" i="28"/>
  <c r="I8" i="28"/>
  <c r="J8" i="28"/>
  <c r="F8" i="28"/>
  <c r="G8" i="28"/>
  <c r="I7" i="28"/>
  <c r="J7" i="28"/>
  <c r="F7" i="28"/>
  <c r="G7" i="28"/>
  <c r="I6" i="28"/>
  <c r="J6" i="28"/>
  <c r="F6" i="28"/>
  <c r="G6" i="28"/>
  <c r="I5" i="28"/>
  <c r="J5" i="28" s="1"/>
  <c r="F5" i="28"/>
  <c r="G5" i="28"/>
  <c r="I4" i="28"/>
  <c r="J4" i="28"/>
  <c r="F4" i="28"/>
  <c r="G4" i="28"/>
  <c r="B4" i="28" a="1"/>
  <c r="B4" i="28" s="1"/>
  <c r="A4" i="28" a="1"/>
  <c r="A4" i="28" s="1"/>
  <c r="A1" i="28" a="1"/>
  <c r="A1" i="28" s="1"/>
  <c r="I15" i="27"/>
  <c r="I15" i="29" s="1"/>
  <c r="I14" i="27"/>
  <c r="I14" i="29" s="1"/>
  <c r="J14" i="27"/>
  <c r="I13" i="27"/>
  <c r="J13" i="27" s="1"/>
  <c r="I12" i="27"/>
  <c r="I12" i="29" s="1"/>
  <c r="I11" i="27"/>
  <c r="I11" i="29" s="1"/>
  <c r="I10" i="27"/>
  <c r="I10" i="29" s="1"/>
  <c r="I9" i="27"/>
  <c r="J9" i="27" s="1"/>
  <c r="I8" i="27"/>
  <c r="J8" i="27" s="1"/>
  <c r="I7" i="27"/>
  <c r="I7" i="29" s="1"/>
  <c r="J7" i="27"/>
  <c r="I6" i="27"/>
  <c r="I6" i="29" s="1"/>
  <c r="I5" i="27"/>
  <c r="J5" i="27" s="1"/>
  <c r="F5" i="27"/>
  <c r="G5" i="27" s="1"/>
  <c r="I4" i="29"/>
  <c r="E2" i="27"/>
  <c r="A1" i="27" a="1"/>
  <c r="A1" i="27" s="1"/>
  <c r="E2" i="26"/>
  <c r="A1" i="26" a="1"/>
  <c r="A1" i="26" s="1"/>
  <c r="A1" i="19" a="1"/>
  <c r="A1" i="19" s="1"/>
  <c r="A1" i="20" a="1"/>
  <c r="A1" i="20"/>
  <c r="A1" i="21" a="1"/>
  <c r="A1" i="21" s="1"/>
  <c r="A1" i="4" a="1"/>
  <c r="A1" i="4" s="1"/>
  <c r="K2" i="3"/>
  <c r="A1" i="3" a="1"/>
  <c r="A1" i="3" s="1"/>
  <c r="A1" i="72" a="1"/>
  <c r="A1" i="72" s="1"/>
  <c r="I2" i="33"/>
  <c r="J2" i="33"/>
  <c r="I39" i="34" l="1"/>
  <c r="I68" i="34"/>
  <c r="J115" i="32"/>
  <c r="J145" i="32"/>
  <c r="J144" i="32"/>
  <c r="I144" i="30"/>
  <c r="J144" i="30" s="1"/>
  <c r="J106" i="32"/>
  <c r="J105" i="32"/>
  <c r="J55" i="32"/>
  <c r="J53" i="32"/>
  <c r="J51" i="32"/>
  <c r="J50" i="32"/>
  <c r="J49" i="32"/>
  <c r="J48" i="32"/>
  <c r="J47" i="32"/>
  <c r="J79" i="32"/>
  <c r="J96" i="32"/>
  <c r="J93" i="32"/>
  <c r="J157" i="32"/>
  <c r="J155" i="32"/>
  <c r="J153" i="32"/>
  <c r="J152" i="32"/>
  <c r="J149" i="32"/>
  <c r="J103" i="32"/>
  <c r="J6" i="32"/>
  <c r="I6" i="30"/>
  <c r="J6" i="30" s="1"/>
  <c r="J90" i="32"/>
  <c r="J89" i="32"/>
  <c r="J113" i="32"/>
  <c r="J112" i="32"/>
  <c r="J67" i="32"/>
  <c r="I67" i="30"/>
  <c r="J67" i="30" s="1"/>
  <c r="J66" i="32"/>
  <c r="J65" i="32"/>
  <c r="J64" i="32"/>
  <c r="I64" i="30"/>
  <c r="J64" i="30" s="1"/>
  <c r="J63" i="32"/>
  <c r="I63" i="30"/>
  <c r="J63" i="30" s="1"/>
  <c r="J83" i="32"/>
  <c r="J82" i="32"/>
  <c r="J77" i="32"/>
  <c r="J76" i="32"/>
  <c r="J97" i="32"/>
  <c r="J61" i="32"/>
  <c r="J87" i="32"/>
  <c r="J86" i="32"/>
  <c r="I86" i="30"/>
  <c r="J86" i="30" s="1"/>
  <c r="J98" i="32"/>
  <c r="J60" i="32"/>
  <c r="J104" i="32"/>
  <c r="I104" i="30"/>
  <c r="J104" i="30" s="1"/>
  <c r="J59" i="32"/>
  <c r="I59" i="30"/>
  <c r="J59" i="30" s="1"/>
  <c r="J72" i="32"/>
  <c r="I72" i="30"/>
  <c r="J72" i="30" s="1"/>
  <c r="J81" i="32"/>
  <c r="J80" i="32"/>
  <c r="J99" i="32"/>
  <c r="J92" i="32"/>
  <c r="J110" i="32"/>
  <c r="I110" i="30"/>
  <c r="J110" i="30" s="1"/>
  <c r="J118" i="32"/>
  <c r="I118" i="30"/>
  <c r="J118" i="30" s="1"/>
  <c r="J71" i="32"/>
  <c r="J70" i="32"/>
  <c r="J116" i="32"/>
  <c r="J158" i="32"/>
  <c r="I158" i="30"/>
  <c r="J158" i="30" s="1"/>
  <c r="J69" i="32"/>
  <c r="J62" i="32"/>
  <c r="J114" i="32"/>
  <c r="J109" i="32"/>
  <c r="J58" i="32"/>
  <c r="J150" i="32"/>
  <c r="I150" i="30"/>
  <c r="J150" i="30" s="1"/>
  <c r="J108" i="32"/>
  <c r="J126" i="32"/>
  <c r="I126" i="30"/>
  <c r="J126" i="30" s="1"/>
  <c r="J124" i="32"/>
  <c r="J123" i="32"/>
  <c r="J122" i="32"/>
  <c r="J46" i="32"/>
  <c r="J147" i="32"/>
  <c r="J154" i="32"/>
  <c r="J57" i="32"/>
  <c r="J95" i="32"/>
  <c r="J94" i="32"/>
  <c r="I94" i="30"/>
  <c r="J94" i="30" s="1"/>
  <c r="J74" i="32"/>
  <c r="J142" i="32"/>
  <c r="I142" i="30"/>
  <c r="J142" i="30" s="1"/>
  <c r="J141" i="32"/>
  <c r="J44" i="32"/>
  <c r="I44" i="30"/>
  <c r="J44" i="30" s="1"/>
  <c r="J43" i="32"/>
  <c r="I43" i="30"/>
  <c r="J43" i="30" s="1"/>
  <c r="J42" i="32"/>
  <c r="I42" i="30"/>
  <c r="J42" i="30" s="1"/>
  <c r="J41" i="32"/>
  <c r="I41" i="30"/>
  <c r="J41" i="30" s="1"/>
  <c r="J40" i="32"/>
  <c r="J140" i="32"/>
  <c r="J39" i="32"/>
  <c r="J38" i="32"/>
  <c r="J138" i="32"/>
  <c r="J37" i="32"/>
  <c r="I37" i="30"/>
  <c r="J37" i="30" s="1"/>
  <c r="J139" i="32"/>
  <c r="J137" i="32"/>
  <c r="J36" i="32"/>
  <c r="J35" i="32"/>
  <c r="J34" i="32"/>
  <c r="I34" i="30"/>
  <c r="J34" i="30" s="1"/>
  <c r="J136" i="32"/>
  <c r="J33" i="32"/>
  <c r="I33" i="30"/>
  <c r="J33" i="30" s="1"/>
  <c r="J32" i="32"/>
  <c r="J135" i="32"/>
  <c r="J30" i="32"/>
  <c r="J29" i="32"/>
  <c r="J28" i="32"/>
  <c r="J56" i="32"/>
  <c r="J26" i="32"/>
  <c r="J24" i="32"/>
  <c r="J23" i="32"/>
  <c r="J22" i="32"/>
  <c r="I22" i="30"/>
  <c r="J22" i="30" s="1"/>
  <c r="J134" i="32"/>
  <c r="I134" i="30"/>
  <c r="J134" i="30" s="1"/>
  <c r="J133" i="32"/>
  <c r="J21" i="32"/>
  <c r="J117" i="32"/>
  <c r="J121" i="32"/>
  <c r="J120" i="32"/>
  <c r="J132" i="32"/>
  <c r="J20" i="32"/>
  <c r="J17" i="32"/>
  <c r="J131" i="32"/>
  <c r="J14" i="32"/>
  <c r="I14" i="30"/>
  <c r="J14" i="30" s="1"/>
  <c r="J13" i="32"/>
  <c r="I12" i="34"/>
  <c r="J12" i="32"/>
  <c r="J130" i="32"/>
  <c r="J129" i="32"/>
  <c r="J11" i="32"/>
  <c r="J128" i="32"/>
  <c r="J127" i="32"/>
  <c r="J10" i="32"/>
  <c r="I10" i="30"/>
  <c r="J10" i="30" s="1"/>
  <c r="J9" i="32"/>
  <c r="J7" i="32"/>
  <c r="I2" i="32"/>
  <c r="J2" i="32" s="1"/>
  <c r="J4" i="32"/>
  <c r="J148" i="32"/>
  <c r="J27" i="32"/>
  <c r="I27" i="30"/>
  <c r="J27" i="30" s="1"/>
  <c r="F2" i="32"/>
  <c r="G2" i="32" s="1"/>
  <c r="J100" i="32"/>
  <c r="J151" i="32"/>
  <c r="J143" i="32"/>
  <c r="J119" i="32"/>
  <c r="J146" i="32"/>
  <c r="F48" i="30"/>
  <c r="G48" i="30" s="1"/>
  <c r="F21" i="30"/>
  <c r="G21" i="30" s="1"/>
  <c r="J67" i="31"/>
  <c r="F55" i="30"/>
  <c r="G55" i="30" s="1"/>
  <c r="D144" i="34"/>
  <c r="D136" i="34"/>
  <c r="J65" i="31"/>
  <c r="J90" i="31"/>
  <c r="J29" i="31"/>
  <c r="F65" i="30"/>
  <c r="G65" i="30" s="1"/>
  <c r="J85" i="31"/>
  <c r="J81" i="31"/>
  <c r="D120" i="34"/>
  <c r="D126" i="34"/>
  <c r="D125" i="34"/>
  <c r="I57" i="34"/>
  <c r="J39" i="31"/>
  <c r="J56" i="31"/>
  <c r="F8" i="30"/>
  <c r="G8" i="30" s="1"/>
  <c r="I109" i="34"/>
  <c r="D127" i="34"/>
  <c r="F73" i="30"/>
  <c r="G73" i="30" s="1"/>
  <c r="F66" i="30"/>
  <c r="G66" i="30" s="1"/>
  <c r="I94" i="34"/>
  <c r="I92" i="34"/>
  <c r="I29" i="34"/>
  <c r="I14" i="34"/>
  <c r="I81" i="34"/>
  <c r="I75" i="34"/>
  <c r="I58" i="34"/>
  <c r="I15" i="34"/>
  <c r="D105" i="34"/>
  <c r="D100" i="34"/>
  <c r="D158" i="34"/>
  <c r="I29" i="29"/>
  <c r="I64" i="29"/>
  <c r="I151" i="29"/>
  <c r="I132" i="29"/>
  <c r="I132" i="34" s="1"/>
  <c r="I79" i="29"/>
  <c r="I137" i="29"/>
  <c r="I137" i="34" s="1"/>
  <c r="I139" i="29"/>
  <c r="I142" i="29"/>
  <c r="I145" i="29"/>
  <c r="D146" i="34"/>
  <c r="I96" i="29"/>
  <c r="I115" i="29"/>
  <c r="I152" i="29"/>
  <c r="J156" i="29"/>
  <c r="D113" i="34"/>
  <c r="I78" i="29"/>
  <c r="I78" i="34" s="1"/>
  <c r="F2" i="28"/>
  <c r="G2" i="28" s="1"/>
  <c r="I82" i="29"/>
  <c r="D107" i="34"/>
  <c r="I97" i="29"/>
  <c r="D111" i="34"/>
  <c r="I104" i="29"/>
  <c r="I59" i="29"/>
  <c r="I81" i="29"/>
  <c r="I101" i="29"/>
  <c r="D99" i="34"/>
  <c r="I99" i="29"/>
  <c r="I71" i="29"/>
  <c r="I70" i="29"/>
  <c r="I91" i="29"/>
  <c r="I62" i="29"/>
  <c r="I2" i="28"/>
  <c r="J2" i="28" s="1"/>
  <c r="F159" i="1"/>
  <c r="G159" i="1" s="1"/>
  <c r="F163" i="1"/>
  <c r="G163" i="1" s="1"/>
  <c r="J164" i="34"/>
  <c r="J160" i="1"/>
  <c r="F160" i="34"/>
  <c r="G160" i="34" s="1"/>
  <c r="J159" i="1"/>
  <c r="I91" i="34"/>
  <c r="D92" i="34"/>
  <c r="D84" i="34"/>
  <c r="D76" i="34"/>
  <c r="D68" i="34"/>
  <c r="D60" i="34"/>
  <c r="D52" i="34"/>
  <c r="D44" i="34"/>
  <c r="D36" i="34"/>
  <c r="D28" i="34"/>
  <c r="D20" i="34"/>
  <c r="D12" i="34"/>
  <c r="E5" i="34"/>
  <c r="E88" i="34"/>
  <c r="E80" i="34"/>
  <c r="E72" i="34"/>
  <c r="E64" i="34"/>
  <c r="E56" i="34"/>
  <c r="E48" i="34"/>
  <c r="E40" i="34"/>
  <c r="E32" i="34"/>
  <c r="E24" i="34"/>
  <c r="E16" i="34"/>
  <c r="E8" i="34"/>
  <c r="H92" i="34"/>
  <c r="H84" i="34"/>
  <c r="H76" i="34"/>
  <c r="H68" i="34"/>
  <c r="H60" i="34"/>
  <c r="H52" i="34"/>
  <c r="H44" i="34"/>
  <c r="H36" i="34"/>
  <c r="H28" i="34"/>
  <c r="H20" i="34"/>
  <c r="H12" i="34"/>
  <c r="F164" i="1"/>
  <c r="G164" i="1" s="1"/>
  <c r="J163" i="1"/>
  <c r="J92" i="1"/>
  <c r="I82" i="34"/>
  <c r="D91" i="34"/>
  <c r="D83" i="34"/>
  <c r="D75" i="34"/>
  <c r="D67" i="34"/>
  <c r="D59" i="34"/>
  <c r="D51" i="34"/>
  <c r="D43" i="34"/>
  <c r="D35" i="34"/>
  <c r="D27" i="34"/>
  <c r="D19" i="34"/>
  <c r="D11" i="34"/>
  <c r="E95" i="34"/>
  <c r="E87" i="34"/>
  <c r="E79" i="34"/>
  <c r="E71" i="34"/>
  <c r="E63" i="34"/>
  <c r="E55" i="34"/>
  <c r="E47" i="34"/>
  <c r="E39" i="34"/>
  <c r="E31" i="34"/>
  <c r="E23" i="34"/>
  <c r="E15" i="34"/>
  <c r="E7" i="34"/>
  <c r="E96" i="34"/>
  <c r="E157" i="34"/>
  <c r="E155" i="34"/>
  <c r="E151" i="34"/>
  <c r="E149" i="34"/>
  <c r="E147" i="34"/>
  <c r="E143" i="34"/>
  <c r="E141" i="34"/>
  <c r="E139" i="34"/>
  <c r="E135" i="34"/>
  <c r="E133" i="34"/>
  <c r="E131" i="34"/>
  <c r="E127" i="34"/>
  <c r="E125" i="34"/>
  <c r="E123" i="34"/>
  <c r="H117" i="34"/>
  <c r="H113" i="34"/>
  <c r="H111" i="34"/>
  <c r="H109" i="34"/>
  <c r="H105" i="34"/>
  <c r="H103" i="34"/>
  <c r="H101" i="34"/>
  <c r="J163" i="34"/>
  <c r="J162" i="1"/>
  <c r="D157" i="34"/>
  <c r="D149" i="34"/>
  <c r="D147" i="34"/>
  <c r="D141" i="34"/>
  <c r="D139" i="34"/>
  <c r="D133" i="34"/>
  <c r="D131" i="34"/>
  <c r="F131" i="34" s="1"/>
  <c r="G131" i="34" s="1"/>
  <c r="D123" i="34"/>
  <c r="E119" i="34"/>
  <c r="E117" i="34"/>
  <c r="F117" i="34" s="1"/>
  <c r="G117" i="34" s="1"/>
  <c r="E115" i="34"/>
  <c r="E111" i="34"/>
  <c r="E109" i="34"/>
  <c r="E107" i="34"/>
  <c r="E103" i="34"/>
  <c r="E101" i="34"/>
  <c r="E99" i="34"/>
  <c r="D89" i="34"/>
  <c r="D81" i="34"/>
  <c r="D73" i="34"/>
  <c r="D65" i="34"/>
  <c r="D57" i="34"/>
  <c r="D49" i="34"/>
  <c r="D41" i="34"/>
  <c r="D33" i="34"/>
  <c r="D25" i="34"/>
  <c r="D17" i="34"/>
  <c r="D9" i="34"/>
  <c r="E93" i="34"/>
  <c r="E85" i="34"/>
  <c r="E77" i="34"/>
  <c r="E69" i="34"/>
  <c r="E61" i="34"/>
  <c r="E53" i="34"/>
  <c r="E45" i="34"/>
  <c r="E37" i="34"/>
  <c r="E29" i="34"/>
  <c r="E21" i="34"/>
  <c r="E13" i="34"/>
  <c r="H4" i="34"/>
  <c r="H89" i="34"/>
  <c r="H81" i="34"/>
  <c r="H73" i="34"/>
  <c r="H65" i="34"/>
  <c r="H57" i="34"/>
  <c r="H49" i="34"/>
  <c r="H41" i="34"/>
  <c r="H33" i="34"/>
  <c r="H25" i="34"/>
  <c r="H17" i="34"/>
  <c r="H9" i="34"/>
  <c r="F161" i="1"/>
  <c r="G161" i="1" s="1"/>
  <c r="I59" i="34"/>
  <c r="I35" i="34"/>
  <c r="H97" i="34"/>
  <c r="H158" i="34"/>
  <c r="H156" i="34"/>
  <c r="H150" i="34"/>
  <c r="H148" i="34"/>
  <c r="H142" i="34"/>
  <c r="H140" i="34"/>
  <c r="H134" i="34"/>
  <c r="H132" i="34"/>
  <c r="H126" i="34"/>
  <c r="H124" i="34"/>
  <c r="H91" i="34"/>
  <c r="H83" i="34"/>
  <c r="H75" i="34"/>
  <c r="H67" i="34"/>
  <c r="H59" i="34"/>
  <c r="H51" i="34"/>
  <c r="H43" i="34"/>
  <c r="H35" i="34"/>
  <c r="H27" i="34"/>
  <c r="H19" i="34"/>
  <c r="H11" i="34"/>
  <c r="D119" i="34"/>
  <c r="D151" i="34"/>
  <c r="D143" i="34"/>
  <c r="D135" i="34"/>
  <c r="E113" i="34"/>
  <c r="E105" i="34"/>
  <c r="I162" i="34"/>
  <c r="J162" i="34" s="1"/>
  <c r="D90" i="34"/>
  <c r="D82" i="34"/>
  <c r="D74" i="34"/>
  <c r="D66" i="34"/>
  <c r="D58" i="34"/>
  <c r="D50" i="34"/>
  <c r="D42" i="34"/>
  <c r="D34" i="34"/>
  <c r="D26" i="34"/>
  <c r="D18" i="34"/>
  <c r="D10" i="34"/>
  <c r="E94" i="34"/>
  <c r="E86" i="34"/>
  <c r="E78" i="34"/>
  <c r="E70" i="34"/>
  <c r="E62" i="34"/>
  <c r="E54" i="34"/>
  <c r="E46" i="34"/>
  <c r="E38" i="34"/>
  <c r="E30" i="34"/>
  <c r="E22" i="34"/>
  <c r="E14" i="34"/>
  <c r="E6" i="34"/>
  <c r="H90" i="34"/>
  <c r="H82" i="34"/>
  <c r="H74" i="34"/>
  <c r="H66" i="34"/>
  <c r="H58" i="34"/>
  <c r="H50" i="34"/>
  <c r="H42" i="34"/>
  <c r="H34" i="34"/>
  <c r="H26" i="34"/>
  <c r="H18" i="34"/>
  <c r="H10" i="34"/>
  <c r="D109" i="34"/>
  <c r="D101" i="34"/>
  <c r="E159" i="34"/>
  <c r="F159" i="34" s="1"/>
  <c r="G159" i="34" s="1"/>
  <c r="J161" i="1"/>
  <c r="H154" i="34"/>
  <c r="H152" i="34"/>
  <c r="H146" i="34"/>
  <c r="H144" i="34"/>
  <c r="H138" i="34"/>
  <c r="H136" i="34"/>
  <c r="H130" i="34"/>
  <c r="H128" i="34"/>
  <c r="H122" i="34"/>
  <c r="H120" i="34"/>
  <c r="F162" i="34"/>
  <c r="G162" i="34" s="1"/>
  <c r="E158" i="34"/>
  <c r="J160" i="34"/>
  <c r="H107" i="34"/>
  <c r="D5" i="34"/>
  <c r="D88" i="34"/>
  <c r="D80" i="34"/>
  <c r="D72" i="34"/>
  <c r="D64" i="34"/>
  <c r="D56" i="34"/>
  <c r="D48" i="34"/>
  <c r="D40" i="34"/>
  <c r="D32" i="34"/>
  <c r="D24" i="34"/>
  <c r="D16" i="34"/>
  <c r="D8" i="34"/>
  <c r="E92" i="34"/>
  <c r="E84" i="34"/>
  <c r="E76" i="34"/>
  <c r="E68" i="34"/>
  <c r="E60" i="34"/>
  <c r="E52" i="34"/>
  <c r="E44" i="34"/>
  <c r="E36" i="34"/>
  <c r="E28" i="34"/>
  <c r="E20" i="34"/>
  <c r="E12" i="34"/>
  <c r="H5" i="34"/>
  <c r="H88" i="34"/>
  <c r="H80" i="34"/>
  <c r="H72" i="34"/>
  <c r="H64" i="34"/>
  <c r="H56" i="34"/>
  <c r="H48" i="34"/>
  <c r="H40" i="34"/>
  <c r="H32" i="34"/>
  <c r="H24" i="34"/>
  <c r="H16" i="34"/>
  <c r="H8" i="34"/>
  <c r="E97" i="34"/>
  <c r="E156" i="34"/>
  <c r="F156" i="34" s="1"/>
  <c r="G156" i="34" s="1"/>
  <c r="E154" i="34"/>
  <c r="E152" i="34"/>
  <c r="E150" i="34"/>
  <c r="E148" i="34"/>
  <c r="F148" i="34" s="1"/>
  <c r="G148" i="34" s="1"/>
  <c r="E146" i="34"/>
  <c r="E144" i="34"/>
  <c r="E142" i="34"/>
  <c r="E140" i="34"/>
  <c r="F140" i="34" s="1"/>
  <c r="G140" i="34" s="1"/>
  <c r="E138" i="34"/>
  <c r="E136" i="34"/>
  <c r="E134" i="34"/>
  <c r="E132" i="34"/>
  <c r="E130" i="34"/>
  <c r="E128" i="34"/>
  <c r="E126" i="34"/>
  <c r="E124" i="34"/>
  <c r="E122" i="34"/>
  <c r="F122" i="34" s="1"/>
  <c r="G122" i="34" s="1"/>
  <c r="E120" i="34"/>
  <c r="H116" i="34"/>
  <c r="H114" i="34"/>
  <c r="H112" i="34"/>
  <c r="H108" i="34"/>
  <c r="H106" i="34"/>
  <c r="H104" i="34"/>
  <c r="H100" i="34"/>
  <c r="H98" i="34"/>
  <c r="J159" i="34"/>
  <c r="D95" i="34"/>
  <c r="D87" i="34"/>
  <c r="D79" i="34"/>
  <c r="D71" i="34"/>
  <c r="D63" i="34"/>
  <c r="D55" i="34"/>
  <c r="D47" i="34"/>
  <c r="D39" i="34"/>
  <c r="D31" i="34"/>
  <c r="D23" i="34"/>
  <c r="D15" i="34"/>
  <c r="D7" i="34"/>
  <c r="E91" i="34"/>
  <c r="E83" i="34"/>
  <c r="E75" i="34"/>
  <c r="E67" i="34"/>
  <c r="E59" i="34"/>
  <c r="E51" i="34"/>
  <c r="E43" i="34"/>
  <c r="E35" i="34"/>
  <c r="E27" i="34"/>
  <c r="E19" i="34"/>
  <c r="E11" i="34"/>
  <c r="H95" i="34"/>
  <c r="H87" i="34"/>
  <c r="H79" i="34"/>
  <c r="H71" i="34"/>
  <c r="H63" i="34"/>
  <c r="H55" i="34"/>
  <c r="H47" i="34"/>
  <c r="H39" i="34"/>
  <c r="H31" i="34"/>
  <c r="H23" i="34"/>
  <c r="H15" i="34"/>
  <c r="H7" i="34"/>
  <c r="D154" i="34"/>
  <c r="D152" i="34"/>
  <c r="D132" i="34"/>
  <c r="D128" i="34"/>
  <c r="E118" i="34"/>
  <c r="E116" i="34"/>
  <c r="E114" i="34"/>
  <c r="E112" i="34"/>
  <c r="E110" i="34"/>
  <c r="E108" i="34"/>
  <c r="E106" i="34"/>
  <c r="E104" i="34"/>
  <c r="E102" i="34"/>
  <c r="E98" i="34"/>
  <c r="F162" i="1"/>
  <c r="G162" i="1" s="1"/>
  <c r="D4" i="34"/>
  <c r="H115" i="34"/>
  <c r="I64" i="34"/>
  <c r="D94" i="34"/>
  <c r="D86" i="34"/>
  <c r="D78" i="34"/>
  <c r="D70" i="34"/>
  <c r="D62" i="34"/>
  <c r="D54" i="34"/>
  <c r="D46" i="34"/>
  <c r="D38" i="34"/>
  <c r="D30" i="34"/>
  <c r="D22" i="34"/>
  <c r="D14" i="34"/>
  <c r="D6" i="34"/>
  <c r="E90" i="34"/>
  <c r="E82" i="34"/>
  <c r="E74" i="34"/>
  <c r="E66" i="34"/>
  <c r="E58" i="34"/>
  <c r="E50" i="34"/>
  <c r="E42" i="34"/>
  <c r="E34" i="34"/>
  <c r="E26" i="34"/>
  <c r="E18" i="34"/>
  <c r="E10" i="34"/>
  <c r="H94" i="34"/>
  <c r="H86" i="34"/>
  <c r="H78" i="34"/>
  <c r="H70" i="34"/>
  <c r="H62" i="34"/>
  <c r="H54" i="34"/>
  <c r="H46" i="34"/>
  <c r="H38" i="34"/>
  <c r="H30" i="34"/>
  <c r="H22" i="34"/>
  <c r="H14" i="34"/>
  <c r="H6" i="34"/>
  <c r="D118" i="34"/>
  <c r="D114" i="34"/>
  <c r="D110" i="34"/>
  <c r="D106" i="34"/>
  <c r="D104" i="34"/>
  <c r="D102" i="34"/>
  <c r="D98" i="34"/>
  <c r="E164" i="34"/>
  <c r="F164" i="34" s="1"/>
  <c r="G164" i="34" s="1"/>
  <c r="E153" i="34"/>
  <c r="E145" i="34"/>
  <c r="E137" i="34"/>
  <c r="E129" i="34"/>
  <c r="E121" i="34"/>
  <c r="F121" i="34" s="1"/>
  <c r="G121" i="34" s="1"/>
  <c r="H99" i="34"/>
  <c r="I7" i="34"/>
  <c r="D93" i="34"/>
  <c r="D85" i="34"/>
  <c r="D77" i="34"/>
  <c r="D69" i="34"/>
  <c r="D61" i="34"/>
  <c r="D53" i="34"/>
  <c r="D45" i="34"/>
  <c r="D37" i="34"/>
  <c r="D29" i="34"/>
  <c r="D21" i="34"/>
  <c r="D13" i="34"/>
  <c r="E4" i="34"/>
  <c r="E89" i="34"/>
  <c r="E81" i="34"/>
  <c r="E73" i="34"/>
  <c r="E65" i="34"/>
  <c r="E57" i="34"/>
  <c r="E49" i="34"/>
  <c r="E41" i="34"/>
  <c r="E33" i="34"/>
  <c r="E25" i="34"/>
  <c r="E17" i="34"/>
  <c r="E9" i="34"/>
  <c r="H93" i="34"/>
  <c r="H85" i="34"/>
  <c r="H77" i="34"/>
  <c r="H69" i="34"/>
  <c r="H61" i="34"/>
  <c r="H53" i="34"/>
  <c r="H45" i="34"/>
  <c r="H37" i="34"/>
  <c r="H29" i="34"/>
  <c r="H21" i="34"/>
  <c r="H13" i="34"/>
  <c r="H96" i="34"/>
  <c r="H155" i="34"/>
  <c r="H153" i="34"/>
  <c r="H151" i="34"/>
  <c r="H149" i="34"/>
  <c r="H147" i="34"/>
  <c r="H145" i="34"/>
  <c r="H143" i="34"/>
  <c r="H141" i="34"/>
  <c r="H139" i="34"/>
  <c r="H137" i="34"/>
  <c r="H135" i="34"/>
  <c r="J135" i="34" s="1"/>
  <c r="H133" i="34"/>
  <c r="H131" i="34"/>
  <c r="H129" i="34"/>
  <c r="H127" i="34"/>
  <c r="H125" i="34"/>
  <c r="H123" i="34"/>
  <c r="H121" i="34"/>
  <c r="H119" i="34"/>
  <c r="E163" i="34"/>
  <c r="F163" i="34" s="1"/>
  <c r="G163" i="34" s="1"/>
  <c r="F160" i="1"/>
  <c r="G160" i="1" s="1"/>
  <c r="H161" i="34"/>
  <c r="J161" i="34" s="1"/>
  <c r="E161" i="34"/>
  <c r="F161" i="34" s="1"/>
  <c r="G161" i="34" s="1"/>
  <c r="H157" i="34"/>
  <c r="J115" i="27"/>
  <c r="J112" i="27"/>
  <c r="J63" i="27"/>
  <c r="J75" i="27"/>
  <c r="J81" i="27"/>
  <c r="I158" i="29"/>
  <c r="J158" i="29" s="1"/>
  <c r="J124" i="27"/>
  <c r="J123" i="27"/>
  <c r="J133" i="27"/>
  <c r="J132" i="27"/>
  <c r="J128" i="27"/>
  <c r="J100" i="27"/>
  <c r="F2" i="27"/>
  <c r="G2" i="27" s="1"/>
  <c r="F120" i="29"/>
  <c r="G120" i="29" s="1"/>
  <c r="F117" i="29"/>
  <c r="G117" i="29" s="1"/>
  <c r="F116" i="29"/>
  <c r="G116" i="29" s="1"/>
  <c r="F115" i="29"/>
  <c r="G115" i="29" s="1"/>
  <c r="F113" i="29"/>
  <c r="G113" i="29" s="1"/>
  <c r="F112" i="29"/>
  <c r="G112" i="29" s="1"/>
  <c r="F107" i="29"/>
  <c r="G107" i="29" s="1"/>
  <c r="J15" i="27"/>
  <c r="J152" i="27"/>
  <c r="J135" i="27"/>
  <c r="J130" i="27"/>
  <c r="J120" i="27"/>
  <c r="J109" i="27"/>
  <c r="J97" i="27"/>
  <c r="J86" i="27"/>
  <c r="J79" i="27"/>
  <c r="J59" i="27"/>
  <c r="D116" i="34"/>
  <c r="J10" i="27"/>
  <c r="J156" i="27"/>
  <c r="J151" i="27"/>
  <c r="J134" i="27"/>
  <c r="J129" i="27"/>
  <c r="J101" i="27"/>
  <c r="J96" i="27"/>
  <c r="J78" i="27"/>
  <c r="J68" i="27"/>
  <c r="F96" i="29"/>
  <c r="G96" i="29" s="1"/>
  <c r="F151" i="29"/>
  <c r="G151" i="29" s="1"/>
  <c r="F143" i="29"/>
  <c r="G143" i="29" s="1"/>
  <c r="F135" i="29"/>
  <c r="G135" i="29" s="1"/>
  <c r="D112" i="34"/>
  <c r="F103" i="29"/>
  <c r="G103" i="29" s="1"/>
  <c r="F101" i="29"/>
  <c r="G101" i="29" s="1"/>
  <c r="J57" i="27"/>
  <c r="I2" i="27"/>
  <c r="J2" i="27" s="1"/>
  <c r="J6" i="27"/>
  <c r="J142" i="27"/>
  <c r="J121" i="27"/>
  <c r="J110" i="27"/>
  <c r="J87" i="27"/>
  <c r="J70" i="27"/>
  <c r="J60" i="27"/>
  <c r="F156" i="29"/>
  <c r="G156" i="29" s="1"/>
  <c r="F104" i="29"/>
  <c r="G104" i="29" s="1"/>
  <c r="J115" i="29"/>
  <c r="J92" i="29"/>
  <c r="I120" i="34"/>
  <c r="J120" i="29"/>
  <c r="J19" i="29"/>
  <c r="I124" i="34"/>
  <c r="J124" i="29"/>
  <c r="J134" i="29"/>
  <c r="I134" i="34"/>
  <c r="I129" i="34"/>
  <c r="J129" i="29"/>
  <c r="J101" i="29"/>
  <c r="I101" i="34"/>
  <c r="I84" i="34"/>
  <c r="J84" i="29"/>
  <c r="I123" i="34"/>
  <c r="J123" i="29"/>
  <c r="J112" i="29"/>
  <c r="J133" i="29"/>
  <c r="I133" i="34"/>
  <c r="I128" i="34"/>
  <c r="J128" i="34" s="1"/>
  <c r="J128" i="29"/>
  <c r="J100" i="29"/>
  <c r="J11" i="29"/>
  <c r="I105" i="34"/>
  <c r="J105" i="29"/>
  <c r="J99" i="29"/>
  <c r="I76" i="34"/>
  <c r="J76" i="29"/>
  <c r="I121" i="34"/>
  <c r="J121" i="29"/>
  <c r="J104" i="29"/>
  <c r="I83" i="29"/>
  <c r="I66" i="29"/>
  <c r="I50" i="29"/>
  <c r="I50" i="34" s="1"/>
  <c r="I42" i="29"/>
  <c r="I34" i="29"/>
  <c r="I26" i="29"/>
  <c r="I18" i="29"/>
  <c r="I150" i="29"/>
  <c r="J54" i="27"/>
  <c r="J45" i="27"/>
  <c r="J36" i="27"/>
  <c r="J31" i="27"/>
  <c r="J27" i="27"/>
  <c r="J22" i="27"/>
  <c r="I90" i="29"/>
  <c r="I90" i="34" s="1"/>
  <c r="I74" i="29"/>
  <c r="I65" i="29"/>
  <c r="I65" i="34" s="1"/>
  <c r="I49" i="29"/>
  <c r="I49" i="34" s="1"/>
  <c r="I41" i="29"/>
  <c r="I33" i="29"/>
  <c r="I25" i="29"/>
  <c r="I17" i="29"/>
  <c r="I9" i="29"/>
  <c r="D103" i="34"/>
  <c r="F97" i="29"/>
  <c r="G97" i="29" s="1"/>
  <c r="I153" i="29"/>
  <c r="F152" i="29"/>
  <c r="G152" i="29" s="1"/>
  <c r="F144" i="29"/>
  <c r="G144" i="29" s="1"/>
  <c r="F136" i="29"/>
  <c r="G136" i="29" s="1"/>
  <c r="F123" i="29"/>
  <c r="G123" i="29" s="1"/>
  <c r="I117" i="29"/>
  <c r="I113" i="29"/>
  <c r="F108" i="29"/>
  <c r="G108" i="29" s="1"/>
  <c r="J12" i="27"/>
  <c r="I89" i="29"/>
  <c r="I73" i="29"/>
  <c r="I73" i="34" s="1"/>
  <c r="I56" i="29"/>
  <c r="I56" i="34" s="1"/>
  <c r="I48" i="29"/>
  <c r="I48" i="34" s="1"/>
  <c r="I40" i="29"/>
  <c r="I32" i="29"/>
  <c r="I24" i="29"/>
  <c r="I16" i="29"/>
  <c r="I8" i="29"/>
  <c r="I148" i="29"/>
  <c r="J148" i="29" s="1"/>
  <c r="I140" i="29"/>
  <c r="I140" i="34" s="1"/>
  <c r="I125" i="29"/>
  <c r="F109" i="29"/>
  <c r="G109" i="29" s="1"/>
  <c r="I106" i="29"/>
  <c r="I102" i="29"/>
  <c r="J53" i="27"/>
  <c r="J44" i="27"/>
  <c r="J39" i="27"/>
  <c r="J35" i="27"/>
  <c r="J30" i="27"/>
  <c r="J21" i="27"/>
  <c r="I5" i="29"/>
  <c r="I5" i="34" s="1"/>
  <c r="I88" i="29"/>
  <c r="I88" i="34" s="1"/>
  <c r="I80" i="29"/>
  <c r="I55" i="29"/>
  <c r="I47" i="29"/>
  <c r="I23" i="29"/>
  <c r="I23" i="34" s="1"/>
  <c r="F158" i="29"/>
  <c r="G158" i="29" s="1"/>
  <c r="F150" i="29"/>
  <c r="G150" i="29" s="1"/>
  <c r="F142" i="29"/>
  <c r="G142" i="29" s="1"/>
  <c r="F134" i="29"/>
  <c r="G134" i="29" s="1"/>
  <c r="F128" i="29"/>
  <c r="G128" i="29" s="1"/>
  <c r="F124" i="29"/>
  <c r="G124" i="29" s="1"/>
  <c r="I114" i="29"/>
  <c r="F105" i="29"/>
  <c r="G105" i="29" s="1"/>
  <c r="J146" i="27"/>
  <c r="J104" i="27"/>
  <c r="J76" i="27"/>
  <c r="J71" i="27"/>
  <c r="J67" i="27"/>
  <c r="J62" i="27"/>
  <c r="I46" i="29"/>
  <c r="I38" i="29"/>
  <c r="I38" i="34" s="1"/>
  <c r="I126" i="29"/>
  <c r="I122" i="29"/>
  <c r="I107" i="29"/>
  <c r="I103" i="29"/>
  <c r="I98" i="29"/>
  <c r="J108" i="27"/>
  <c r="J99" i="27"/>
  <c r="J94" i="27"/>
  <c r="J85" i="27"/>
  <c r="J52" i="27"/>
  <c r="J43" i="27"/>
  <c r="J29" i="27"/>
  <c r="J20" i="27"/>
  <c r="I37" i="29"/>
  <c r="I13" i="29"/>
  <c r="I157" i="29"/>
  <c r="J157" i="29" s="1"/>
  <c r="I149" i="29"/>
  <c r="I149" i="34" s="1"/>
  <c r="F148" i="29"/>
  <c r="G148" i="29" s="1"/>
  <c r="I141" i="29"/>
  <c r="I141" i="34" s="1"/>
  <c r="F121" i="29"/>
  <c r="G121" i="29" s="1"/>
  <c r="I111" i="29"/>
  <c r="I111" i="34" s="1"/>
  <c r="I93" i="29"/>
  <c r="I28" i="29"/>
  <c r="I144" i="29"/>
  <c r="J144" i="29" s="1"/>
  <c r="I136" i="29"/>
  <c r="I136" i="34" s="1"/>
  <c r="I127" i="29"/>
  <c r="I119" i="29"/>
  <c r="J119" i="29" s="1"/>
  <c r="J11" i="27"/>
  <c r="J139" i="27"/>
  <c r="J116" i="27"/>
  <c r="J84" i="27"/>
  <c r="J51" i="27"/>
  <c r="J19" i="27"/>
  <c r="D115" i="34"/>
  <c r="D96" i="34"/>
  <c r="I155" i="29"/>
  <c r="J155" i="29" s="1"/>
  <c r="F154" i="29"/>
  <c r="G154" i="29" s="1"/>
  <c r="F146" i="29"/>
  <c r="G146" i="29" s="1"/>
  <c r="I131" i="29"/>
  <c r="I131" i="34" s="1"/>
  <c r="F126" i="29"/>
  <c r="G126" i="29" s="1"/>
  <c r="F111" i="29"/>
  <c r="G111" i="29" s="1"/>
  <c r="J108" i="29"/>
  <c r="F99" i="29"/>
  <c r="G99" i="29" s="1"/>
  <c r="J67" i="29"/>
  <c r="J59" i="29"/>
  <c r="J51" i="29"/>
  <c r="J43" i="29"/>
  <c r="J35" i="29"/>
  <c r="J27" i="29"/>
  <c r="J96" i="29"/>
  <c r="I151" i="34"/>
  <c r="J151" i="29"/>
  <c r="I143" i="34"/>
  <c r="J143" i="29"/>
  <c r="J91" i="29"/>
  <c r="J83" i="29"/>
  <c r="J75" i="29"/>
  <c r="J58" i="29"/>
  <c r="J50" i="29"/>
  <c r="J10" i="29"/>
  <c r="J154" i="29"/>
  <c r="F153" i="29"/>
  <c r="G153" i="29" s="1"/>
  <c r="D153" i="34"/>
  <c r="I146" i="34"/>
  <c r="J146" i="29"/>
  <c r="F145" i="29"/>
  <c r="G145" i="29" s="1"/>
  <c r="D145" i="34"/>
  <c r="I138" i="34"/>
  <c r="J138" i="29"/>
  <c r="F137" i="29"/>
  <c r="G137" i="29" s="1"/>
  <c r="D137" i="34"/>
  <c r="F100" i="29"/>
  <c r="G100" i="29" s="1"/>
  <c r="E100" i="34"/>
  <c r="I45" i="34"/>
  <c r="E2" i="29"/>
  <c r="J90" i="29"/>
  <c r="J82" i="29"/>
  <c r="J57" i="29"/>
  <c r="J49" i="29"/>
  <c r="J41" i="29"/>
  <c r="J9" i="29"/>
  <c r="D97" i="34"/>
  <c r="F140" i="29"/>
  <c r="G140" i="29" s="1"/>
  <c r="F132" i="29"/>
  <c r="G132" i="29" s="1"/>
  <c r="F129" i="29"/>
  <c r="G129" i="29" s="1"/>
  <c r="D129" i="34"/>
  <c r="F125" i="29"/>
  <c r="G125" i="29" s="1"/>
  <c r="H118" i="34"/>
  <c r="J118" i="29"/>
  <c r="H110" i="34"/>
  <c r="J110" i="29"/>
  <c r="H102" i="34"/>
  <c r="J81" i="29"/>
  <c r="J64" i="29"/>
  <c r="J56" i="29"/>
  <c r="J40" i="29"/>
  <c r="J97" i="29"/>
  <c r="J152" i="29"/>
  <c r="F118" i="29"/>
  <c r="G118" i="29" s="1"/>
  <c r="F110" i="29"/>
  <c r="G110" i="29" s="1"/>
  <c r="F102" i="29"/>
  <c r="G102" i="29" s="1"/>
  <c r="J80" i="29"/>
  <c r="J72" i="29"/>
  <c r="J63" i="29"/>
  <c r="J55" i="29"/>
  <c r="J39" i="29"/>
  <c r="J31" i="29"/>
  <c r="J15" i="29"/>
  <c r="J7" i="29"/>
  <c r="D134" i="34"/>
  <c r="D124" i="34"/>
  <c r="I147" i="34"/>
  <c r="J147" i="29"/>
  <c r="I139" i="34"/>
  <c r="J139" i="29"/>
  <c r="F138" i="29"/>
  <c r="G138" i="29" s="1"/>
  <c r="D138" i="34"/>
  <c r="F130" i="29"/>
  <c r="G130" i="29" s="1"/>
  <c r="D130" i="34"/>
  <c r="J95" i="29"/>
  <c r="J87" i="29"/>
  <c r="J79" i="29"/>
  <c r="J71" i="29"/>
  <c r="J62" i="29"/>
  <c r="J54" i="29"/>
  <c r="J46" i="29"/>
  <c r="J30" i="29"/>
  <c r="J22" i="29"/>
  <c r="J14" i="29"/>
  <c r="J6" i="29"/>
  <c r="F157" i="29"/>
  <c r="G157" i="29" s="1"/>
  <c r="F149" i="29"/>
  <c r="G149" i="29" s="1"/>
  <c r="J142" i="29"/>
  <c r="F141" i="29"/>
  <c r="G141" i="29" s="1"/>
  <c r="F133" i="29"/>
  <c r="G133" i="29" s="1"/>
  <c r="J94" i="29"/>
  <c r="J86" i="29"/>
  <c r="J78" i="29"/>
  <c r="J70" i="29"/>
  <c r="J61" i="29"/>
  <c r="J53" i="29"/>
  <c r="J29" i="29"/>
  <c r="J21" i="29"/>
  <c r="D142" i="34"/>
  <c r="J153" i="29"/>
  <c r="J145" i="29"/>
  <c r="I145" i="34"/>
  <c r="F127" i="29"/>
  <c r="G127" i="29" s="1"/>
  <c r="J85" i="29"/>
  <c r="J77" i="29"/>
  <c r="J68" i="29"/>
  <c r="J60" i="29"/>
  <c r="J52" i="29"/>
  <c r="J44" i="29"/>
  <c r="J36" i="29"/>
  <c r="J20" i="29"/>
  <c r="J12" i="29"/>
  <c r="D150" i="34"/>
  <c r="D108" i="34"/>
  <c r="F155" i="29"/>
  <c r="G155" i="29" s="1"/>
  <c r="F147" i="29"/>
  <c r="G147" i="29" s="1"/>
  <c r="J140" i="29"/>
  <c r="F139" i="29"/>
  <c r="G139" i="29" s="1"/>
  <c r="F131" i="29"/>
  <c r="G131" i="29" s="1"/>
  <c r="J137" i="29"/>
  <c r="J135" i="29"/>
  <c r="J132" i="29"/>
  <c r="J130" i="29"/>
  <c r="J116" i="29"/>
  <c r="F122" i="29"/>
  <c r="G122" i="29" s="1"/>
  <c r="F114" i="29"/>
  <c r="G114" i="29" s="1"/>
  <c r="J109" i="29"/>
  <c r="F106" i="29"/>
  <c r="G106" i="29" s="1"/>
  <c r="F98" i="29"/>
  <c r="G98" i="29" s="1"/>
  <c r="J69" i="26"/>
  <c r="I69" i="29"/>
  <c r="J130" i="34"/>
  <c r="J136" i="20"/>
  <c r="I136" i="18"/>
  <c r="J135" i="20"/>
  <c r="I135" i="18"/>
  <c r="J135" i="18" s="1"/>
  <c r="J134" i="20"/>
  <c r="I134" i="18"/>
  <c r="J130" i="18"/>
  <c r="J129" i="20"/>
  <c r="I129" i="18"/>
  <c r="J129" i="18" s="1"/>
  <c r="J127" i="20"/>
  <c r="I127" i="18"/>
  <c r="J127" i="18" s="1"/>
  <c r="J126" i="20"/>
  <c r="I126" i="18"/>
  <c r="J125" i="20"/>
  <c r="I125" i="18"/>
  <c r="J125" i="18" s="1"/>
  <c r="J123" i="20"/>
  <c r="I123" i="18"/>
  <c r="J123" i="18" s="1"/>
  <c r="J122" i="18"/>
  <c r="J117" i="20"/>
  <c r="I117" i="18"/>
  <c r="J117" i="18" s="1"/>
  <c r="J109" i="20"/>
  <c r="I109" i="18"/>
  <c r="J109" i="18" s="1"/>
  <c r="J101" i="20"/>
  <c r="I101" i="18"/>
  <c r="J101" i="18" s="1"/>
  <c r="J97" i="20"/>
  <c r="I97" i="18"/>
  <c r="J97" i="18" s="1"/>
  <c r="J91" i="20"/>
  <c r="I91" i="18"/>
  <c r="J91" i="18" s="1"/>
  <c r="J90" i="20"/>
  <c r="I90" i="18"/>
  <c r="J90" i="18" s="1"/>
  <c r="J87" i="20"/>
  <c r="I87" i="18"/>
  <c r="J87" i="18" s="1"/>
  <c r="J86" i="20"/>
  <c r="I86" i="18"/>
  <c r="J86" i="18" s="1"/>
  <c r="J85" i="20"/>
  <c r="I85" i="18"/>
  <c r="J85" i="18" s="1"/>
  <c r="J81" i="20"/>
  <c r="I81" i="18"/>
  <c r="J81" i="18" s="1"/>
  <c r="J80" i="20"/>
  <c r="I80" i="18"/>
  <c r="J80" i="18" s="1"/>
  <c r="J72" i="20"/>
  <c r="I72" i="18"/>
  <c r="J72" i="18" s="1"/>
  <c r="J65" i="20"/>
  <c r="I65" i="18"/>
  <c r="J65" i="18" s="1"/>
  <c r="J64" i="20"/>
  <c r="I64" i="18"/>
  <c r="J64" i="18" s="1"/>
  <c r="J63" i="20"/>
  <c r="I63" i="18"/>
  <c r="J63" i="18" s="1"/>
  <c r="J62" i="20"/>
  <c r="I62" i="18"/>
  <c r="J62" i="18" s="1"/>
  <c r="J61" i="20"/>
  <c r="I61" i="18"/>
  <c r="J61" i="18" s="1"/>
  <c r="J60" i="20"/>
  <c r="I60" i="18"/>
  <c r="J60" i="18" s="1"/>
  <c r="J58" i="20"/>
  <c r="I58" i="18"/>
  <c r="J58" i="18" s="1"/>
  <c r="J57" i="20"/>
  <c r="I57" i="18"/>
  <c r="J57" i="18" s="1"/>
  <c r="J56" i="20"/>
  <c r="I56" i="18"/>
  <c r="J56" i="18" s="1"/>
  <c r="J54" i="20"/>
  <c r="I54" i="18"/>
  <c r="J54" i="18" s="1"/>
  <c r="J52" i="20"/>
  <c r="I52" i="18"/>
  <c r="J52" i="18" s="1"/>
  <c r="J51" i="20"/>
  <c r="I51" i="18"/>
  <c r="J51" i="18" s="1"/>
  <c r="J46" i="20"/>
  <c r="I46" i="18"/>
  <c r="J46" i="18" s="1"/>
  <c r="J45" i="20"/>
  <c r="I45" i="18"/>
  <c r="J45" i="18" s="1"/>
  <c r="J44" i="20"/>
  <c r="I44" i="18"/>
  <c r="J44" i="18" s="1"/>
  <c r="J43" i="20"/>
  <c r="I43" i="18"/>
  <c r="J43" i="18" s="1"/>
  <c r="J42" i="20"/>
  <c r="I42" i="18"/>
  <c r="J42" i="18" s="1"/>
  <c r="J41" i="20"/>
  <c r="I41" i="18"/>
  <c r="J41" i="18" s="1"/>
  <c r="J40" i="20"/>
  <c r="I40" i="18"/>
  <c r="J40" i="18" s="1"/>
  <c r="J39" i="20"/>
  <c r="I39" i="18"/>
  <c r="J39" i="18" s="1"/>
  <c r="J38" i="20"/>
  <c r="I38" i="18"/>
  <c r="J38" i="18" s="1"/>
  <c r="J37" i="20"/>
  <c r="I37" i="18"/>
  <c r="J37" i="18" s="1"/>
  <c r="J36" i="20"/>
  <c r="I36" i="18"/>
  <c r="J36" i="18" s="1"/>
  <c r="J35" i="20"/>
  <c r="I35" i="18"/>
  <c r="J35" i="18" s="1"/>
  <c r="J34" i="20"/>
  <c r="I34" i="18"/>
  <c r="J34" i="18" s="1"/>
  <c r="J33" i="20"/>
  <c r="I33" i="18"/>
  <c r="J33" i="18" s="1"/>
  <c r="J32" i="20"/>
  <c r="I32" i="18"/>
  <c r="J32" i="18" s="1"/>
  <c r="J31" i="20"/>
  <c r="I31" i="18"/>
  <c r="J31" i="18" s="1"/>
  <c r="J30" i="20"/>
  <c r="I30" i="18"/>
  <c r="J30" i="18" s="1"/>
  <c r="J29" i="20"/>
  <c r="I29" i="18"/>
  <c r="J29" i="18" s="1"/>
  <c r="J27" i="20"/>
  <c r="I27" i="18"/>
  <c r="J27" i="18" s="1"/>
  <c r="J26" i="20"/>
  <c r="I26" i="18"/>
  <c r="J26" i="18" s="1"/>
  <c r="J25" i="20"/>
  <c r="I25" i="18"/>
  <c r="J25" i="18" s="1"/>
  <c r="J24" i="20"/>
  <c r="I24" i="18"/>
  <c r="J24" i="18" s="1"/>
  <c r="J23" i="20"/>
  <c r="I23" i="18"/>
  <c r="J23" i="18" s="1"/>
  <c r="J22" i="20"/>
  <c r="I22" i="18"/>
  <c r="J22" i="18" s="1"/>
  <c r="J21" i="20"/>
  <c r="I21" i="18"/>
  <c r="J21" i="18" s="1"/>
  <c r="J20" i="20"/>
  <c r="I20" i="18"/>
  <c r="J20" i="18" s="1"/>
  <c r="J18" i="20"/>
  <c r="I18" i="18"/>
  <c r="J18" i="18" s="1"/>
  <c r="J16" i="20"/>
  <c r="I16" i="18"/>
  <c r="J16" i="18" s="1"/>
  <c r="J15" i="20"/>
  <c r="I15" i="18"/>
  <c r="J15" i="18" s="1"/>
  <c r="J14" i="20"/>
  <c r="I14" i="18"/>
  <c r="J14" i="18" s="1"/>
  <c r="J13" i="20"/>
  <c r="I13" i="18"/>
  <c r="J13" i="18" s="1"/>
  <c r="J12" i="20"/>
  <c r="I12" i="18"/>
  <c r="J12" i="18" s="1"/>
  <c r="J11" i="20"/>
  <c r="I11" i="18"/>
  <c r="J11" i="18" s="1"/>
  <c r="J10" i="20"/>
  <c r="I10" i="18"/>
  <c r="J10" i="18" s="1"/>
  <c r="J9" i="20"/>
  <c r="I9" i="18"/>
  <c r="J9" i="18" s="1"/>
  <c r="J8" i="20"/>
  <c r="I8" i="18"/>
  <c r="J8" i="18" s="1"/>
  <c r="J6" i="20"/>
  <c r="I6" i="18"/>
  <c r="J6" i="18" s="1"/>
  <c r="J5" i="20"/>
  <c r="I5" i="18"/>
  <c r="J4" i="20"/>
  <c r="I4" i="18"/>
  <c r="I158" i="18"/>
  <c r="J158" i="18" s="1"/>
  <c r="I157" i="18"/>
  <c r="J157" i="18" s="1"/>
  <c r="I156" i="18"/>
  <c r="J156" i="18" s="1"/>
  <c r="I155" i="18"/>
  <c r="J155" i="18" s="1"/>
  <c r="I154" i="18"/>
  <c r="J154" i="18" s="1"/>
  <c r="I153" i="18"/>
  <c r="J153" i="18" s="1"/>
  <c r="I152" i="18"/>
  <c r="J152" i="18" s="1"/>
  <c r="J151" i="20"/>
  <c r="I151" i="18"/>
  <c r="J151" i="18" s="1"/>
  <c r="J150" i="20"/>
  <c r="I150" i="18"/>
  <c r="J150" i="18" s="1"/>
  <c r="J149" i="20"/>
  <c r="I149" i="18"/>
  <c r="J149" i="18" s="1"/>
  <c r="J148" i="20"/>
  <c r="I148" i="18"/>
  <c r="J148" i="18" s="1"/>
  <c r="J147" i="20"/>
  <c r="I147" i="18"/>
  <c r="J147" i="18" s="1"/>
  <c r="I146" i="18"/>
  <c r="J146" i="18" s="1"/>
  <c r="J146" i="20"/>
  <c r="I145" i="18"/>
  <c r="J145" i="18" s="1"/>
  <c r="J145" i="20"/>
  <c r="I144" i="18"/>
  <c r="J144" i="18" s="1"/>
  <c r="J144" i="20"/>
  <c r="I143" i="18"/>
  <c r="J143" i="18" s="1"/>
  <c r="J143" i="20"/>
  <c r="I142" i="18"/>
  <c r="J142" i="18" s="1"/>
  <c r="J142" i="20"/>
  <c r="I141" i="18"/>
  <c r="J141" i="18" s="1"/>
  <c r="J141" i="20"/>
  <c r="J140" i="20"/>
  <c r="I140" i="18"/>
  <c r="J140" i="18" s="1"/>
  <c r="J137" i="20"/>
  <c r="I137" i="18"/>
  <c r="J137" i="18" s="1"/>
  <c r="J118" i="20"/>
  <c r="I118" i="18"/>
  <c r="J118" i="18" s="1"/>
  <c r="J28" i="20"/>
  <c r="I28" i="18"/>
  <c r="J28" i="18" s="1"/>
  <c r="F95" i="29"/>
  <c r="G95" i="29" s="1"/>
  <c r="F94" i="29"/>
  <c r="G94" i="29" s="1"/>
  <c r="F93" i="29"/>
  <c r="G93" i="29" s="1"/>
  <c r="F92" i="29"/>
  <c r="G92" i="29" s="1"/>
  <c r="F91" i="29"/>
  <c r="G91" i="29" s="1"/>
  <c r="F90" i="29"/>
  <c r="G90" i="29" s="1"/>
  <c r="F89" i="29"/>
  <c r="G89" i="29" s="1"/>
  <c r="F88" i="29"/>
  <c r="G88" i="29" s="1"/>
  <c r="F87" i="29"/>
  <c r="G87" i="29" s="1"/>
  <c r="F86" i="29"/>
  <c r="G86" i="29" s="1"/>
  <c r="F85" i="29"/>
  <c r="G85" i="29" s="1"/>
  <c r="F84" i="29"/>
  <c r="G84" i="29" s="1"/>
  <c r="F83" i="29"/>
  <c r="G83" i="29" s="1"/>
  <c r="F82" i="29"/>
  <c r="G82" i="29" s="1"/>
  <c r="F81" i="29"/>
  <c r="G81" i="29" s="1"/>
  <c r="F80" i="29"/>
  <c r="G80" i="29" s="1"/>
  <c r="F79" i="29"/>
  <c r="G79" i="29" s="1"/>
  <c r="F78" i="29"/>
  <c r="G78" i="29" s="1"/>
  <c r="F77" i="29"/>
  <c r="G77" i="29" s="1"/>
  <c r="F76" i="29"/>
  <c r="G76" i="29" s="1"/>
  <c r="F75" i="29"/>
  <c r="F74" i="29"/>
  <c r="G74" i="29" s="1"/>
  <c r="F73" i="29"/>
  <c r="G73" i="29" s="1"/>
  <c r="F72" i="29"/>
  <c r="G72" i="29" s="1"/>
  <c r="F71" i="29"/>
  <c r="G71" i="29" s="1"/>
  <c r="F70" i="29"/>
  <c r="G70" i="29" s="1"/>
  <c r="F69" i="29"/>
  <c r="G69" i="29" s="1"/>
  <c r="F68" i="29"/>
  <c r="G68" i="29" s="1"/>
  <c r="F67" i="29"/>
  <c r="F66" i="29"/>
  <c r="G66" i="29" s="1"/>
  <c r="F65" i="29"/>
  <c r="G65" i="29" s="1"/>
  <c r="F64" i="29"/>
  <c r="G64" i="29" s="1"/>
  <c r="F63" i="29"/>
  <c r="G63" i="29" s="1"/>
  <c r="F62" i="29"/>
  <c r="G62" i="29" s="1"/>
  <c r="F61" i="29"/>
  <c r="G61" i="29" s="1"/>
  <c r="F60" i="29"/>
  <c r="F59" i="29"/>
  <c r="G59" i="29" s="1"/>
  <c r="F58" i="29"/>
  <c r="G58" i="29" s="1"/>
  <c r="F57" i="29"/>
  <c r="G57" i="29" s="1"/>
  <c r="F56" i="29"/>
  <c r="G56" i="29" s="1"/>
  <c r="F55" i="29"/>
  <c r="G55" i="29" s="1"/>
  <c r="F54" i="29"/>
  <c r="G54" i="29" s="1"/>
  <c r="F53" i="29"/>
  <c r="F52" i="29"/>
  <c r="G52" i="29" s="1"/>
  <c r="F51" i="29"/>
  <c r="F50" i="29"/>
  <c r="G50" i="29" s="1"/>
  <c r="F49" i="29"/>
  <c r="F48" i="29"/>
  <c r="G48" i="29" s="1"/>
  <c r="F47" i="29"/>
  <c r="G47" i="29" s="1"/>
  <c r="F46" i="29"/>
  <c r="G46" i="29" s="1"/>
  <c r="F45" i="29"/>
  <c r="G45" i="29" s="1"/>
  <c r="F44" i="29"/>
  <c r="G44" i="29" s="1"/>
  <c r="F43" i="29"/>
  <c r="G43" i="29" s="1"/>
  <c r="F42" i="29"/>
  <c r="G42" i="29" s="1"/>
  <c r="F41" i="29"/>
  <c r="G41" i="29" s="1"/>
  <c r="F40" i="29"/>
  <c r="G40" i="29" s="1"/>
  <c r="F39" i="29"/>
  <c r="G39" i="29" s="1"/>
  <c r="F38" i="29"/>
  <c r="G38" i="29" s="1"/>
  <c r="F37" i="29"/>
  <c r="F36" i="29"/>
  <c r="G36" i="29" s="1"/>
  <c r="F35" i="29"/>
  <c r="G35" i="29" s="1"/>
  <c r="F34" i="29"/>
  <c r="G34" i="29" s="1"/>
  <c r="F33" i="29"/>
  <c r="F32" i="29"/>
  <c r="G32" i="29" s="1"/>
  <c r="F31" i="29"/>
  <c r="G31" i="29" s="1"/>
  <c r="F30" i="29"/>
  <c r="G30" i="29" s="1"/>
  <c r="F29" i="29"/>
  <c r="G29" i="29" s="1"/>
  <c r="F28" i="29"/>
  <c r="G28" i="29" s="1"/>
  <c r="F27" i="29"/>
  <c r="G27" i="29" s="1"/>
  <c r="F26" i="29"/>
  <c r="G26" i="29" s="1"/>
  <c r="F25" i="29"/>
  <c r="G25" i="29" s="1"/>
  <c r="F24" i="29"/>
  <c r="G24" i="29" s="1"/>
  <c r="F23" i="29"/>
  <c r="G23" i="29" s="1"/>
  <c r="F22" i="29"/>
  <c r="G22" i="29" s="1"/>
  <c r="F21" i="29"/>
  <c r="G21" i="29" s="1"/>
  <c r="F20" i="29"/>
  <c r="F19" i="29"/>
  <c r="F18" i="29"/>
  <c r="G18" i="29" s="1"/>
  <c r="F17" i="29"/>
  <c r="G17" i="29" s="1"/>
  <c r="F16" i="29"/>
  <c r="G16" i="29" s="1"/>
  <c r="F15" i="29"/>
  <c r="G15" i="29" s="1"/>
  <c r="F14" i="29"/>
  <c r="G14" i="29" s="1"/>
  <c r="F13" i="29"/>
  <c r="G13" i="29" s="1"/>
  <c r="F12" i="29"/>
  <c r="G12" i="29" s="1"/>
  <c r="F11" i="29"/>
  <c r="F10" i="29"/>
  <c r="G10" i="29" s="1"/>
  <c r="F9" i="29"/>
  <c r="G9" i="29" s="1"/>
  <c r="F8" i="29"/>
  <c r="G8" i="29" s="1"/>
  <c r="F7" i="29"/>
  <c r="G7" i="29" s="1"/>
  <c r="F6" i="29"/>
  <c r="G6" i="29" s="1"/>
  <c r="F109" i="18"/>
  <c r="G109" i="18" s="1"/>
  <c r="J118" i="1"/>
  <c r="F147" i="30"/>
  <c r="G147" i="30" s="1"/>
  <c r="F49" i="30"/>
  <c r="G49" i="30" s="1"/>
  <c r="F14" i="30"/>
  <c r="G14" i="30" s="1"/>
  <c r="F146" i="30"/>
  <c r="G146" i="30" s="1"/>
  <c r="F128" i="30"/>
  <c r="G128" i="30" s="1"/>
  <c r="F105" i="30"/>
  <c r="G105" i="30" s="1"/>
  <c r="F67" i="30"/>
  <c r="G67" i="30" s="1"/>
  <c r="F82" i="30"/>
  <c r="G82" i="30" s="1"/>
  <c r="F74" i="30"/>
  <c r="G74" i="30" s="1"/>
  <c r="F127" i="30"/>
  <c r="G127" i="30" s="1"/>
  <c r="F107" i="30"/>
  <c r="G107" i="30" s="1"/>
  <c r="F20" i="30"/>
  <c r="G20" i="30" s="1"/>
  <c r="F41" i="30"/>
  <c r="G41" i="30" s="1"/>
  <c r="F85" i="30"/>
  <c r="G85" i="30" s="1"/>
  <c r="F61" i="30"/>
  <c r="G61" i="30" s="1"/>
  <c r="F7" i="30"/>
  <c r="G7" i="30" s="1"/>
  <c r="F155" i="30"/>
  <c r="G155" i="30" s="1"/>
  <c r="F150" i="30"/>
  <c r="G150" i="30" s="1"/>
  <c r="F154" i="30"/>
  <c r="G154" i="30" s="1"/>
  <c r="F108" i="30"/>
  <c r="G108" i="30" s="1"/>
  <c r="F45" i="30"/>
  <c r="G45" i="30" s="1"/>
  <c r="F37" i="30"/>
  <c r="G37" i="30" s="1"/>
  <c r="F143" i="30"/>
  <c r="G143" i="30" s="1"/>
  <c r="F99" i="30"/>
  <c r="G99" i="30" s="1"/>
  <c r="F135" i="30"/>
  <c r="G135" i="30" s="1"/>
  <c r="F72" i="30"/>
  <c r="G72" i="30" s="1"/>
  <c r="F119" i="30"/>
  <c r="G119" i="30" s="1"/>
  <c r="F141" i="30"/>
  <c r="G141" i="30" s="1"/>
  <c r="F134" i="30"/>
  <c r="G134" i="30" s="1"/>
  <c r="F120" i="30"/>
  <c r="G120" i="30" s="1"/>
  <c r="F47" i="30"/>
  <c r="G47" i="30" s="1"/>
  <c r="F139" i="30"/>
  <c r="G139" i="30" s="1"/>
  <c r="G51" i="29"/>
  <c r="G53" i="29"/>
  <c r="F31" i="30"/>
  <c r="G31" i="30" s="1"/>
  <c r="J32" i="33"/>
  <c r="F126" i="30"/>
  <c r="G126" i="30" s="1"/>
  <c r="F106" i="30"/>
  <c r="G106" i="30" s="1"/>
  <c r="F43" i="30"/>
  <c r="G43" i="30" s="1"/>
  <c r="F94" i="30"/>
  <c r="G94" i="30" s="1"/>
  <c r="F79" i="30"/>
  <c r="G79" i="30" s="1"/>
  <c r="F140" i="30"/>
  <c r="G140" i="30" s="1"/>
  <c r="F86" i="30"/>
  <c r="G86" i="30" s="1"/>
  <c r="F111" i="30"/>
  <c r="G111" i="30" s="1"/>
  <c r="F24" i="30"/>
  <c r="G24" i="30" s="1"/>
  <c r="J43" i="33"/>
  <c r="F53" i="30"/>
  <c r="G53" i="30" s="1"/>
  <c r="F30" i="30"/>
  <c r="G30" i="30" s="1"/>
  <c r="F60" i="30"/>
  <c r="G60" i="30" s="1"/>
  <c r="F6" i="30"/>
  <c r="G6" i="30" s="1"/>
  <c r="J141" i="33"/>
  <c r="J59" i="33"/>
  <c r="F118" i="30"/>
  <c r="G118" i="30" s="1"/>
  <c r="F104" i="30"/>
  <c r="G104" i="30" s="1"/>
  <c r="F29" i="30"/>
  <c r="G29" i="30" s="1"/>
  <c r="F133" i="30"/>
  <c r="G133" i="30" s="1"/>
  <c r="F51" i="30"/>
  <c r="G51" i="30" s="1"/>
  <c r="F44" i="30"/>
  <c r="G44" i="30" s="1"/>
  <c r="F28" i="30"/>
  <c r="G28" i="30" s="1"/>
  <c r="J94" i="33"/>
  <c r="F102" i="30"/>
  <c r="G102" i="30" s="1"/>
  <c r="F34" i="30"/>
  <c r="G34" i="30" s="1"/>
  <c r="F13" i="30"/>
  <c r="G13" i="30" s="1"/>
  <c r="J145" i="33"/>
  <c r="F19" i="30"/>
  <c r="G19" i="30" s="1"/>
  <c r="F100" i="30"/>
  <c r="G100" i="30" s="1"/>
  <c r="F33" i="30"/>
  <c r="G33" i="30" s="1"/>
  <c r="F83" i="30"/>
  <c r="G83" i="30" s="1"/>
  <c r="F4" i="30"/>
  <c r="G4" i="30" s="1"/>
  <c r="I30" i="34"/>
  <c r="F116" i="30"/>
  <c r="G116" i="30" s="1"/>
  <c r="F78" i="30"/>
  <c r="G78" i="30" s="1"/>
  <c r="F50" i="30"/>
  <c r="G50" i="30" s="1"/>
  <c r="J5" i="30"/>
  <c r="F142" i="30"/>
  <c r="G142" i="30" s="1"/>
  <c r="F63" i="30"/>
  <c r="G63" i="30" s="1"/>
  <c r="F26" i="30"/>
  <c r="G26" i="30" s="1"/>
  <c r="I96" i="34"/>
  <c r="F2" i="33"/>
  <c r="G2" i="33" s="1"/>
  <c r="F88" i="30"/>
  <c r="G88" i="30" s="1"/>
  <c r="F75" i="30"/>
  <c r="G75" i="30" s="1"/>
  <c r="F25" i="30"/>
  <c r="G25" i="30" s="1"/>
  <c r="F59" i="30"/>
  <c r="G59" i="30" s="1"/>
  <c r="J16" i="32"/>
  <c r="F96" i="30"/>
  <c r="G96" i="30" s="1"/>
  <c r="F109" i="30"/>
  <c r="G109" i="30" s="1"/>
  <c r="J8" i="32"/>
  <c r="F90" i="30"/>
  <c r="G90" i="30" s="1"/>
  <c r="F77" i="30"/>
  <c r="G77" i="30" s="1"/>
  <c r="F12" i="30"/>
  <c r="G12" i="30" s="1"/>
  <c r="J45" i="32"/>
  <c r="F32" i="30"/>
  <c r="G32" i="30" s="1"/>
  <c r="J19" i="32"/>
  <c r="F89" i="30"/>
  <c r="G89" i="30" s="1"/>
  <c r="F130" i="30"/>
  <c r="G130" i="30" s="1"/>
  <c r="F18" i="30"/>
  <c r="G18" i="30" s="1"/>
  <c r="F46" i="30"/>
  <c r="G46" i="30" s="1"/>
  <c r="F39" i="30"/>
  <c r="G39" i="30" s="1"/>
  <c r="F52" i="30"/>
  <c r="G52" i="30" s="1"/>
  <c r="F114" i="30"/>
  <c r="G114" i="30" s="1"/>
  <c r="F76" i="30"/>
  <c r="G76" i="30" s="1"/>
  <c r="J102" i="32"/>
  <c r="J78" i="32"/>
  <c r="F144" i="30"/>
  <c r="G144" i="30" s="1"/>
  <c r="F113" i="30"/>
  <c r="G113" i="30" s="1"/>
  <c r="F125" i="30"/>
  <c r="G125" i="30" s="1"/>
  <c r="F152" i="30"/>
  <c r="G152" i="30" s="1"/>
  <c r="F57" i="30"/>
  <c r="G57" i="30" s="1"/>
  <c r="F23" i="30"/>
  <c r="G23" i="30" s="1"/>
  <c r="F16" i="30"/>
  <c r="G16" i="30" s="1"/>
  <c r="F9" i="30"/>
  <c r="G9" i="30" s="1"/>
  <c r="J31" i="32"/>
  <c r="F132" i="30"/>
  <c r="G132" i="30" s="1"/>
  <c r="F151" i="30"/>
  <c r="G151" i="30" s="1"/>
  <c r="F5" i="30"/>
  <c r="G5" i="30" s="1"/>
  <c r="J52" i="32"/>
  <c r="F129" i="30"/>
  <c r="G129" i="30" s="1"/>
  <c r="F145" i="30"/>
  <c r="G145" i="30" s="1"/>
  <c r="F17" i="30"/>
  <c r="G17" i="30" s="1"/>
  <c r="F56" i="30"/>
  <c r="G56" i="30" s="1"/>
  <c r="F15" i="30"/>
  <c r="G15" i="30" s="1"/>
  <c r="J4" i="30"/>
  <c r="F62" i="30"/>
  <c r="G62" i="30" s="1"/>
  <c r="F42" i="30"/>
  <c r="G42" i="30" s="1"/>
  <c r="F110" i="30"/>
  <c r="G110" i="30" s="1"/>
  <c r="F97" i="30"/>
  <c r="G97" i="30" s="1"/>
  <c r="F58" i="30"/>
  <c r="G58" i="30" s="1"/>
  <c r="F80" i="30"/>
  <c r="G80" i="30" s="1"/>
  <c r="F98" i="30"/>
  <c r="G98" i="30" s="1"/>
  <c r="F68" i="30"/>
  <c r="G68" i="30" s="1"/>
  <c r="J134" i="31"/>
  <c r="F11" i="30"/>
  <c r="G11" i="30" s="1"/>
  <c r="J142" i="31"/>
  <c r="J97" i="31"/>
  <c r="F117" i="30"/>
  <c r="G117" i="30" s="1"/>
  <c r="F112" i="30"/>
  <c r="G112" i="30" s="1"/>
  <c r="F84" i="30"/>
  <c r="G84" i="30" s="1"/>
  <c r="J36" i="31"/>
  <c r="F136" i="30"/>
  <c r="G136" i="30" s="1"/>
  <c r="F95" i="30"/>
  <c r="G95" i="30" s="1"/>
  <c r="J106" i="31"/>
  <c r="J53" i="31"/>
  <c r="F81" i="30"/>
  <c r="G81" i="30" s="1"/>
  <c r="F123" i="30"/>
  <c r="G123" i="30" s="1"/>
  <c r="F148" i="30"/>
  <c r="G148" i="30" s="1"/>
  <c r="F115" i="30"/>
  <c r="G115" i="30" s="1"/>
  <c r="F71" i="30"/>
  <c r="G71" i="30" s="1"/>
  <c r="F36" i="30"/>
  <c r="G36" i="30" s="1"/>
  <c r="J144" i="31"/>
  <c r="F35" i="30"/>
  <c r="G35" i="30" s="1"/>
  <c r="F22" i="30"/>
  <c r="G22" i="30" s="1"/>
  <c r="F103" i="30"/>
  <c r="G103" i="30" s="1"/>
  <c r="F149" i="30"/>
  <c r="G149" i="30" s="1"/>
  <c r="F2" i="31"/>
  <c r="G2" i="31" s="1"/>
  <c r="I2" i="31"/>
  <c r="J2" i="31" s="1"/>
  <c r="F27" i="30"/>
  <c r="G27" i="30" s="1"/>
  <c r="J110" i="31"/>
  <c r="J49" i="31"/>
  <c r="J20" i="31"/>
  <c r="F137" i="30"/>
  <c r="G137" i="30" s="1"/>
  <c r="J89" i="31"/>
  <c r="F91" i="30"/>
  <c r="G91" i="30" s="1"/>
  <c r="F64" i="30"/>
  <c r="G64" i="30" s="1"/>
  <c r="F40" i="30"/>
  <c r="G40" i="30" s="1"/>
  <c r="J136" i="31"/>
  <c r="J139" i="31"/>
  <c r="J126" i="31"/>
  <c r="J95" i="27"/>
  <c r="G60" i="29"/>
  <c r="G11" i="29"/>
  <c r="J121" i="19"/>
  <c r="J130" i="19"/>
  <c r="F87" i="18"/>
  <c r="G87" i="18" s="1"/>
  <c r="F121" i="18"/>
  <c r="G121" i="18" s="1"/>
  <c r="F105" i="18"/>
  <c r="G105" i="18" s="1"/>
  <c r="F120" i="18"/>
  <c r="G120" i="18" s="1"/>
  <c r="J47" i="21"/>
  <c r="F119" i="18"/>
  <c r="G119" i="18" s="1"/>
  <c r="F117" i="18"/>
  <c r="G117" i="18" s="1"/>
  <c r="F85" i="18"/>
  <c r="G85" i="18" s="1"/>
  <c r="J57" i="26"/>
  <c r="F4" i="29"/>
  <c r="G4" i="29" s="1"/>
  <c r="J9" i="26"/>
  <c r="J8" i="26"/>
  <c r="J10" i="26"/>
  <c r="J70" i="26"/>
  <c r="J7" i="26"/>
  <c r="G49" i="29"/>
  <c r="J145" i="26"/>
  <c r="J35" i="26"/>
  <c r="J96" i="26"/>
  <c r="F5" i="29"/>
  <c r="G5" i="29" s="1"/>
  <c r="J129" i="26"/>
  <c r="J109" i="26"/>
  <c r="J108" i="26"/>
  <c r="J144" i="26"/>
  <c r="J71" i="26"/>
  <c r="J25" i="26"/>
  <c r="J142" i="26"/>
  <c r="J122" i="26"/>
  <c r="J22" i="26"/>
  <c r="J27" i="26"/>
  <c r="J23" i="26"/>
  <c r="J100" i="26"/>
  <c r="J148" i="26"/>
  <c r="J147" i="26"/>
  <c r="J146" i="26"/>
  <c r="J66" i="26"/>
  <c r="J50" i="26"/>
  <c r="J65" i="26"/>
  <c r="J49" i="26"/>
  <c r="J33" i="26"/>
  <c r="J17" i="26"/>
  <c r="G37" i="29"/>
  <c r="G20" i="29"/>
  <c r="I2" i="4"/>
  <c r="J2" i="4" s="1"/>
  <c r="F62" i="1"/>
  <c r="G62" i="1" s="1"/>
  <c r="J81" i="1"/>
  <c r="F121" i="1"/>
  <c r="G121" i="1" s="1"/>
  <c r="F105" i="1"/>
  <c r="G105" i="1" s="1"/>
  <c r="J39" i="1"/>
  <c r="F50" i="1"/>
  <c r="G50" i="1" s="1"/>
  <c r="J40" i="1"/>
  <c r="J57" i="1"/>
  <c r="J24" i="1"/>
  <c r="F108" i="1"/>
  <c r="G108" i="1" s="1"/>
  <c r="F44" i="1"/>
  <c r="G44" i="1" s="1"/>
  <c r="F10" i="1"/>
  <c r="G10" i="1" s="1"/>
  <c r="F39" i="1"/>
  <c r="G39" i="1" s="1"/>
  <c r="F2" i="3"/>
  <c r="G2" i="3" s="1"/>
  <c r="J87" i="1"/>
  <c r="J151" i="1"/>
  <c r="J76" i="1"/>
  <c r="J102" i="1"/>
  <c r="J5" i="3"/>
  <c r="F91" i="1"/>
  <c r="G91" i="1" s="1"/>
  <c r="F128" i="1"/>
  <c r="G128" i="1" s="1"/>
  <c r="J100" i="1"/>
  <c r="J143" i="1"/>
  <c r="J90" i="1"/>
  <c r="J145" i="1"/>
  <c r="J99" i="1"/>
  <c r="J157" i="1"/>
  <c r="J62" i="1"/>
  <c r="J38" i="1"/>
  <c r="J53" i="1"/>
  <c r="J37" i="1"/>
  <c r="J111" i="1"/>
  <c r="F107" i="1"/>
  <c r="G107" i="1" s="1"/>
  <c r="F102" i="1"/>
  <c r="G102" i="1" s="1"/>
  <c r="F137" i="1"/>
  <c r="G137" i="1" s="1"/>
  <c r="F126" i="1"/>
  <c r="G126" i="1" s="1"/>
  <c r="J153" i="1"/>
  <c r="J48" i="1"/>
  <c r="F109" i="1"/>
  <c r="G109" i="1" s="1"/>
  <c r="F88" i="1"/>
  <c r="G88" i="1" s="1"/>
  <c r="F24" i="1"/>
  <c r="G24" i="1" s="1"/>
  <c r="F146" i="1"/>
  <c r="G146" i="1" s="1"/>
  <c r="J6" i="1"/>
  <c r="F26" i="1"/>
  <c r="G26" i="1" s="1"/>
  <c r="J36" i="1"/>
  <c r="F133" i="1"/>
  <c r="G133" i="1" s="1"/>
  <c r="F79" i="1"/>
  <c r="G79" i="1" s="1"/>
  <c r="J94" i="72"/>
  <c r="J103" i="1"/>
  <c r="F103" i="1"/>
  <c r="G103" i="1" s="1"/>
  <c r="F84" i="1"/>
  <c r="G84" i="1" s="1"/>
  <c r="J75" i="72"/>
  <c r="J41" i="1"/>
  <c r="F135" i="1"/>
  <c r="G135" i="1" s="1"/>
  <c r="J135" i="1"/>
  <c r="F153" i="1"/>
  <c r="G153" i="1" s="1"/>
  <c r="J111" i="72"/>
  <c r="J98" i="72"/>
  <c r="F7" i="1"/>
  <c r="G7" i="1" s="1"/>
  <c r="J85" i="72"/>
  <c r="F116" i="1"/>
  <c r="G116" i="1" s="1"/>
  <c r="J142" i="72"/>
  <c r="F31" i="1"/>
  <c r="G31" i="1" s="1"/>
  <c r="J102" i="72"/>
  <c r="J127" i="72"/>
  <c r="J135" i="72"/>
  <c r="F104" i="1"/>
  <c r="G104" i="1" s="1"/>
  <c r="J136" i="1"/>
  <c r="J78" i="1"/>
  <c r="J147" i="1"/>
  <c r="F139" i="1"/>
  <c r="G139" i="1" s="1"/>
  <c r="J125" i="1"/>
  <c r="F30" i="1"/>
  <c r="G30" i="1" s="1"/>
  <c r="F35" i="1"/>
  <c r="G35" i="1" s="1"/>
  <c r="F12" i="1"/>
  <c r="G12" i="1" s="1"/>
  <c r="J68" i="1"/>
  <c r="J89" i="1"/>
  <c r="F134" i="1"/>
  <c r="G134" i="1" s="1"/>
  <c r="J107" i="72"/>
  <c r="J132" i="72"/>
  <c r="J66" i="1"/>
  <c r="F117" i="1"/>
  <c r="G117" i="1" s="1"/>
  <c r="F96" i="1"/>
  <c r="G96" i="1" s="1"/>
  <c r="F48" i="1"/>
  <c r="G48" i="1" s="1"/>
  <c r="F122" i="1"/>
  <c r="G122" i="1" s="1"/>
  <c r="F106" i="1"/>
  <c r="G106" i="1" s="1"/>
  <c r="F89" i="1"/>
  <c r="G89" i="1" s="1"/>
  <c r="F63" i="1"/>
  <c r="G63" i="1" s="1"/>
  <c r="J19" i="1"/>
  <c r="J112" i="1"/>
  <c r="J45" i="72"/>
  <c r="J40" i="72"/>
  <c r="F150" i="1"/>
  <c r="G150" i="1" s="1"/>
  <c r="J104" i="1"/>
  <c r="J106" i="1"/>
  <c r="J7" i="72"/>
  <c r="F157" i="1"/>
  <c r="G157" i="1" s="1"/>
  <c r="F142" i="1"/>
  <c r="G142" i="1" s="1"/>
  <c r="F147" i="1"/>
  <c r="G147" i="1" s="1"/>
  <c r="J110" i="72"/>
  <c r="J139" i="72"/>
  <c r="F151" i="1"/>
  <c r="G151" i="1" s="1"/>
  <c r="F149" i="1"/>
  <c r="G149" i="1" s="1"/>
  <c r="J8" i="1"/>
  <c r="J113" i="1"/>
  <c r="J43" i="1"/>
  <c r="J105" i="1"/>
  <c r="J64" i="1"/>
  <c r="J129" i="1"/>
  <c r="F54" i="1"/>
  <c r="G54" i="1" s="1"/>
  <c r="F156" i="1"/>
  <c r="G156" i="1" s="1"/>
  <c r="F141" i="1"/>
  <c r="G141" i="1" s="1"/>
  <c r="J99" i="72"/>
  <c r="J151" i="72"/>
  <c r="J123" i="1"/>
  <c r="J26" i="1"/>
  <c r="J127" i="1"/>
  <c r="F120" i="1"/>
  <c r="G120" i="1" s="1"/>
  <c r="F99" i="1"/>
  <c r="G99" i="1" s="1"/>
  <c r="F45" i="1"/>
  <c r="G45" i="1" s="1"/>
  <c r="F15" i="1"/>
  <c r="G15" i="1" s="1"/>
  <c r="F34" i="1"/>
  <c r="G34" i="1" s="1"/>
  <c r="F143" i="1"/>
  <c r="G143" i="1" s="1"/>
  <c r="J83" i="72"/>
  <c r="F155" i="1"/>
  <c r="G155" i="1" s="1"/>
  <c r="J121" i="72"/>
  <c r="J109" i="72"/>
  <c r="J103" i="72"/>
  <c r="F136" i="1"/>
  <c r="G136" i="1" s="1"/>
  <c r="F115" i="1"/>
  <c r="G115" i="1" s="1"/>
  <c r="F57" i="1"/>
  <c r="G57" i="1" s="1"/>
  <c r="F52" i="1"/>
  <c r="G52" i="1" s="1"/>
  <c r="J129" i="72"/>
  <c r="J149" i="72"/>
  <c r="F18" i="1"/>
  <c r="G18" i="1" s="1"/>
  <c r="F2" i="72"/>
  <c r="G2" i="72" s="1"/>
  <c r="J116" i="72"/>
  <c r="F85" i="1"/>
  <c r="G85" i="1" s="1"/>
  <c r="J121" i="1"/>
  <c r="J143" i="72"/>
  <c r="F16" i="1"/>
  <c r="G16" i="1" s="1"/>
  <c r="J60" i="72"/>
  <c r="J77" i="1"/>
  <c r="J39" i="72"/>
  <c r="J56" i="1"/>
  <c r="F20" i="1"/>
  <c r="G20" i="1" s="1"/>
  <c r="J5" i="1"/>
  <c r="J133" i="1"/>
  <c r="J73" i="72"/>
  <c r="J71" i="72"/>
  <c r="J88" i="1"/>
  <c r="J48" i="72"/>
  <c r="J65" i="1"/>
  <c r="F33" i="1"/>
  <c r="G33" i="1" s="1"/>
  <c r="F53" i="1"/>
  <c r="G53" i="1" s="1"/>
  <c r="F132" i="1"/>
  <c r="G132" i="1" s="1"/>
  <c r="J144" i="72"/>
  <c r="J11" i="1"/>
  <c r="F87" i="1"/>
  <c r="G87" i="1" s="1"/>
  <c r="J117" i="1"/>
  <c r="F11" i="1"/>
  <c r="G11" i="1" s="1"/>
  <c r="F70" i="1"/>
  <c r="G70" i="1" s="1"/>
  <c r="J104" i="72"/>
  <c r="J134" i="72"/>
  <c r="J23" i="72"/>
  <c r="F9" i="1"/>
  <c r="G9" i="1" s="1"/>
  <c r="J63" i="1"/>
  <c r="J130" i="1"/>
  <c r="J74" i="1"/>
  <c r="J57" i="72"/>
  <c r="J119" i="72"/>
  <c r="J124" i="72"/>
  <c r="F123" i="1"/>
  <c r="G123" i="1" s="1"/>
  <c r="F113" i="1"/>
  <c r="G113" i="1" s="1"/>
  <c r="F92" i="1"/>
  <c r="G92" i="1" s="1"/>
  <c r="F138" i="1"/>
  <c r="G138" i="1" s="1"/>
  <c r="J95" i="1"/>
  <c r="J63" i="72"/>
  <c r="F82" i="1"/>
  <c r="G82" i="1" s="1"/>
  <c r="F71" i="1"/>
  <c r="G71" i="1" s="1"/>
  <c r="F152" i="1"/>
  <c r="G152" i="1" s="1"/>
  <c r="F8" i="1"/>
  <c r="G8" i="1" s="1"/>
  <c r="F86" i="1"/>
  <c r="G86" i="1" s="1"/>
  <c r="F76" i="1"/>
  <c r="G76" i="1" s="1"/>
  <c r="J30" i="1"/>
  <c r="F131" i="1"/>
  <c r="G131" i="1" s="1"/>
  <c r="F38" i="1"/>
  <c r="G38" i="1" s="1"/>
  <c r="F27" i="1"/>
  <c r="G27" i="1" s="1"/>
  <c r="F22" i="1"/>
  <c r="G22" i="1" s="1"/>
  <c r="I2" i="72"/>
  <c r="J2" i="72" s="1"/>
  <c r="F73" i="1"/>
  <c r="G73" i="1" s="1"/>
  <c r="J98" i="1"/>
  <c r="J33" i="1"/>
  <c r="F93" i="1"/>
  <c r="G93" i="1" s="1"/>
  <c r="J28" i="1"/>
  <c r="J16" i="1"/>
  <c r="J126" i="1"/>
  <c r="F98" i="1"/>
  <c r="G98" i="1" s="1"/>
  <c r="F83" i="1"/>
  <c r="G83" i="1" s="1"/>
  <c r="F67" i="1"/>
  <c r="G67" i="1" s="1"/>
  <c r="F56" i="1"/>
  <c r="G56" i="1" s="1"/>
  <c r="F46" i="1"/>
  <c r="G46" i="1" s="1"/>
  <c r="F36" i="1"/>
  <c r="G36" i="1" s="1"/>
  <c r="J20" i="1"/>
  <c r="F72" i="1"/>
  <c r="G72" i="1" s="1"/>
  <c r="F61" i="1"/>
  <c r="G61" i="1" s="1"/>
  <c r="F41" i="1"/>
  <c r="G41" i="1" s="1"/>
  <c r="J16" i="72"/>
  <c r="F118" i="1"/>
  <c r="G118" i="1" s="1"/>
  <c r="F77" i="1"/>
  <c r="G77" i="1" s="1"/>
  <c r="J49" i="1"/>
  <c r="F55" i="1"/>
  <c r="G55" i="1" s="1"/>
  <c r="F148" i="1"/>
  <c r="G148" i="1" s="1"/>
  <c r="J9" i="1"/>
  <c r="J52" i="1"/>
  <c r="J35" i="72"/>
  <c r="J14" i="1"/>
  <c r="J97" i="1"/>
  <c r="J67" i="72"/>
  <c r="J84" i="1"/>
  <c r="J34" i="72"/>
  <c r="J51" i="1"/>
  <c r="J35" i="1"/>
  <c r="J18" i="72"/>
  <c r="F112" i="1"/>
  <c r="G112" i="1" s="1"/>
  <c r="J20" i="72"/>
  <c r="J86" i="1"/>
  <c r="J33" i="72"/>
  <c r="J107" i="1"/>
  <c r="J29" i="72"/>
  <c r="J46" i="1"/>
  <c r="F100" i="1"/>
  <c r="G100" i="1" s="1"/>
  <c r="J113" i="72"/>
  <c r="J148" i="72"/>
  <c r="J137" i="72"/>
  <c r="J128" i="72"/>
  <c r="F17" i="1"/>
  <c r="G17" i="1" s="1"/>
  <c r="J71" i="1"/>
  <c r="J54" i="72"/>
  <c r="F127" i="1"/>
  <c r="G127" i="1" s="1"/>
  <c r="J55" i="1"/>
  <c r="J36" i="72"/>
  <c r="J60" i="1"/>
  <c r="J73" i="1"/>
  <c r="F37" i="1"/>
  <c r="G37" i="1" s="1"/>
  <c r="F32" i="1"/>
  <c r="G32" i="1" s="1"/>
  <c r="J50" i="1"/>
  <c r="J10" i="1"/>
  <c r="J131" i="1"/>
  <c r="F47" i="1"/>
  <c r="G47" i="1" s="1"/>
  <c r="F42" i="1"/>
  <c r="G42" i="1" s="1"/>
  <c r="F21" i="1"/>
  <c r="G21" i="1" s="1"/>
  <c r="J52" i="72"/>
  <c r="J69" i="1"/>
  <c r="J66" i="72"/>
  <c r="J83" i="1"/>
  <c r="J34" i="1"/>
  <c r="J17" i="72"/>
  <c r="F101" i="1"/>
  <c r="G101" i="1" s="1"/>
  <c r="F81" i="1"/>
  <c r="G81" i="1" s="1"/>
  <c r="F140" i="1"/>
  <c r="G140" i="1" s="1"/>
  <c r="F145" i="1"/>
  <c r="G145" i="1" s="1"/>
  <c r="F111" i="1"/>
  <c r="G111" i="1" s="1"/>
  <c r="J14" i="72"/>
  <c r="J31" i="1"/>
  <c r="J122" i="1"/>
  <c r="J112" i="72"/>
  <c r="J91" i="1"/>
  <c r="J12" i="1"/>
  <c r="J47" i="1"/>
  <c r="J120" i="72"/>
  <c r="J61" i="1"/>
  <c r="F13" i="1"/>
  <c r="G13" i="1" s="1"/>
  <c r="J7" i="1"/>
  <c r="J80" i="1"/>
  <c r="F110" i="1"/>
  <c r="G110" i="1" s="1"/>
  <c r="F75" i="1"/>
  <c r="G75" i="1" s="1"/>
  <c r="F64" i="1"/>
  <c r="G64" i="1" s="1"/>
  <c r="F40" i="1"/>
  <c r="G40" i="1" s="1"/>
  <c r="F25" i="1"/>
  <c r="G25" i="1" s="1"/>
  <c r="J141" i="1"/>
  <c r="J133" i="72"/>
  <c r="J123" i="72"/>
  <c r="F95" i="1"/>
  <c r="G95" i="1" s="1"/>
  <c r="J54" i="1"/>
  <c r="F130" i="1"/>
  <c r="G130" i="1" s="1"/>
  <c r="J13" i="1"/>
  <c r="J93" i="1"/>
  <c r="J42" i="1"/>
  <c r="F124" i="1"/>
  <c r="G124" i="1" s="1"/>
  <c r="F114" i="1"/>
  <c r="G114" i="1" s="1"/>
  <c r="F58" i="1"/>
  <c r="G58" i="1" s="1"/>
  <c r="F49" i="1"/>
  <c r="G49" i="1" s="1"/>
  <c r="J18" i="1"/>
  <c r="J115" i="72"/>
  <c r="F144" i="1"/>
  <c r="G144" i="1" s="1"/>
  <c r="F90" i="1"/>
  <c r="G90" i="1" s="1"/>
  <c r="F14" i="1"/>
  <c r="G14" i="1" s="1"/>
  <c r="J27" i="1"/>
  <c r="J124" i="1"/>
  <c r="F94" i="1"/>
  <c r="G94" i="1" s="1"/>
  <c r="F74" i="1"/>
  <c r="G74" i="1" s="1"/>
  <c r="J15" i="1"/>
  <c r="F5" i="1"/>
  <c r="G5" i="1" s="1"/>
  <c r="J25" i="1"/>
  <c r="J67" i="1"/>
  <c r="F68" i="1"/>
  <c r="G68" i="1" s="1"/>
  <c r="J150" i="72"/>
  <c r="J128" i="1"/>
  <c r="F6" i="1"/>
  <c r="G6" i="1" s="1"/>
  <c r="F78" i="1"/>
  <c r="G78" i="1" s="1"/>
  <c r="J156" i="1"/>
  <c r="F80" i="1"/>
  <c r="G80" i="1" s="1"/>
  <c r="J45" i="1"/>
  <c r="F154" i="1"/>
  <c r="G154" i="1" s="1"/>
  <c r="J22" i="1"/>
  <c r="J90" i="72"/>
  <c r="J81" i="72"/>
  <c r="J134" i="1"/>
  <c r="J55" i="72"/>
  <c r="J72" i="1"/>
  <c r="F66" i="1"/>
  <c r="G66" i="1" s="1"/>
  <c r="F43" i="1"/>
  <c r="G43" i="1" s="1"/>
  <c r="F28" i="1"/>
  <c r="G28" i="1" s="1"/>
  <c r="F23" i="1"/>
  <c r="G23" i="1" s="1"/>
  <c r="J119" i="1"/>
  <c r="J79" i="72"/>
  <c r="J96" i="1"/>
  <c r="J114" i="72"/>
  <c r="J31" i="72"/>
  <c r="F4" i="1"/>
  <c r="G4" i="1" s="1"/>
  <c r="J62" i="72"/>
  <c r="J79" i="1"/>
  <c r="F59" i="1"/>
  <c r="G59" i="1" s="1"/>
  <c r="J94" i="1"/>
  <c r="J42" i="72"/>
  <c r="J59" i="1"/>
  <c r="J15" i="72"/>
  <c r="J32" i="1"/>
  <c r="F60" i="1"/>
  <c r="G60" i="1" s="1"/>
  <c r="F129" i="1"/>
  <c r="G129" i="1" s="1"/>
  <c r="J17" i="1"/>
  <c r="J108" i="1"/>
  <c r="J29" i="1"/>
  <c r="J44" i="72"/>
  <c r="J44" i="1"/>
  <c r="J58" i="1"/>
  <c r="F69" i="1"/>
  <c r="G69" i="1" s="1"/>
  <c r="J144" i="1"/>
  <c r="J53" i="72"/>
  <c r="J70" i="1"/>
  <c r="F51" i="1"/>
  <c r="G51" i="1" s="1"/>
  <c r="J84" i="72"/>
  <c r="J101" i="1"/>
  <c r="F65" i="1"/>
  <c r="G65" i="1" s="1"/>
  <c r="F125" i="1"/>
  <c r="G125" i="1" s="1"/>
  <c r="J92" i="72"/>
  <c r="J109" i="1"/>
  <c r="J82" i="72"/>
  <c r="J68" i="72"/>
  <c r="J85" i="1"/>
  <c r="F97" i="1"/>
  <c r="G97" i="1" s="1"/>
  <c r="J108" i="72"/>
  <c r="J136" i="72"/>
  <c r="J126" i="72"/>
  <c r="J146" i="72"/>
  <c r="J93" i="26"/>
  <c r="J153" i="26"/>
  <c r="G75" i="29"/>
  <c r="G67" i="29"/>
  <c r="G33" i="29"/>
  <c r="G19" i="29"/>
  <c r="J4" i="29"/>
  <c r="H2" i="29"/>
  <c r="F2" i="26"/>
  <c r="G2" i="26" s="1"/>
  <c r="I2" i="26"/>
  <c r="J2" i="26" s="1"/>
  <c r="D2" i="29"/>
  <c r="J110" i="19"/>
  <c r="F154" i="18"/>
  <c r="G154" i="18" s="1"/>
  <c r="F148" i="18"/>
  <c r="G148" i="18" s="1"/>
  <c r="F123" i="18"/>
  <c r="G123" i="18" s="1"/>
  <c r="F101" i="18"/>
  <c r="G101" i="18" s="1"/>
  <c r="F98" i="18"/>
  <c r="G98" i="18" s="1"/>
  <c r="F97" i="18"/>
  <c r="G97" i="18" s="1"/>
  <c r="J48" i="19"/>
  <c r="J117" i="19"/>
  <c r="F2" i="19"/>
  <c r="G2" i="19" s="1"/>
  <c r="I2" i="19"/>
  <c r="J2" i="19" s="1"/>
  <c r="J84" i="20"/>
  <c r="F114" i="18"/>
  <c r="G114" i="18" s="1"/>
  <c r="J95" i="20"/>
  <c r="F91" i="18"/>
  <c r="G91" i="18" s="1"/>
  <c r="J96" i="20"/>
  <c r="J74" i="20"/>
  <c r="I2" i="20"/>
  <c r="J2" i="20" s="1"/>
  <c r="F2" i="20"/>
  <c r="G2" i="20" s="1"/>
  <c r="J94" i="20"/>
  <c r="J19" i="20"/>
  <c r="J17" i="20"/>
  <c r="F33" i="18"/>
  <c r="G33" i="18" s="1"/>
  <c r="F113" i="18"/>
  <c r="G113" i="18" s="1"/>
  <c r="F57" i="18"/>
  <c r="G57" i="18" s="1"/>
  <c r="J31" i="21"/>
  <c r="F73" i="18"/>
  <c r="G73" i="18" s="1"/>
  <c r="J23" i="21"/>
  <c r="J20" i="21"/>
  <c r="J15" i="21"/>
  <c r="J12" i="21"/>
  <c r="F25" i="18"/>
  <c r="G25" i="18" s="1"/>
  <c r="J4" i="21"/>
  <c r="J4" i="18"/>
  <c r="F81" i="18"/>
  <c r="G81" i="18" s="1"/>
  <c r="J77" i="21"/>
  <c r="F140" i="18"/>
  <c r="G140" i="18" s="1"/>
  <c r="F89" i="18"/>
  <c r="G89" i="18" s="1"/>
  <c r="F79" i="18"/>
  <c r="G79" i="18" s="1"/>
  <c r="F156" i="18"/>
  <c r="G156" i="18" s="1"/>
  <c r="F2" i="21"/>
  <c r="G2" i="21" s="1"/>
  <c r="I2" i="21"/>
  <c r="J2" i="21" s="1"/>
  <c r="F137" i="18"/>
  <c r="G137" i="18" s="1"/>
  <c r="F146" i="18"/>
  <c r="G146" i="18" s="1"/>
  <c r="F14" i="18"/>
  <c r="G14" i="18" s="1"/>
  <c r="F17" i="18"/>
  <c r="G17" i="18" s="1"/>
  <c r="F41" i="18"/>
  <c r="G41" i="18" s="1"/>
  <c r="F72" i="18"/>
  <c r="G72" i="18" s="1"/>
  <c r="F49" i="18"/>
  <c r="G49" i="18" s="1"/>
  <c r="F56" i="18"/>
  <c r="G56" i="18" s="1"/>
  <c r="F143" i="18"/>
  <c r="G143" i="18" s="1"/>
  <c r="F40" i="18"/>
  <c r="G40" i="18" s="1"/>
  <c r="F32" i="18"/>
  <c r="G32" i="18" s="1"/>
  <c r="F65" i="18"/>
  <c r="G65" i="18" s="1"/>
  <c r="F64" i="18"/>
  <c r="G64" i="18" s="1"/>
  <c r="F24" i="18"/>
  <c r="G24" i="18" s="1"/>
  <c r="F141" i="18"/>
  <c r="G141" i="18" s="1"/>
  <c r="F149" i="18"/>
  <c r="G149" i="18" s="1"/>
  <c r="F43" i="18"/>
  <c r="G43" i="18" s="1"/>
  <c r="F157" i="18"/>
  <c r="G157" i="18" s="1"/>
  <c r="F133" i="18"/>
  <c r="G133" i="18" s="1"/>
  <c r="F125" i="18"/>
  <c r="G125" i="18" s="1"/>
  <c r="J39" i="21"/>
  <c r="F144" i="18"/>
  <c r="G144" i="18" s="1"/>
  <c r="F158" i="18"/>
  <c r="G158" i="18" s="1"/>
  <c r="F75" i="18"/>
  <c r="G75" i="18" s="1"/>
  <c r="F155" i="18"/>
  <c r="G155" i="18" s="1"/>
  <c r="F11" i="18"/>
  <c r="G11" i="18" s="1"/>
  <c r="F6" i="18"/>
  <c r="G6" i="18" s="1"/>
  <c r="F8" i="18"/>
  <c r="G8" i="18" s="1"/>
  <c r="F77" i="18"/>
  <c r="G77" i="18" s="1"/>
  <c r="F93" i="18"/>
  <c r="G93" i="18" s="1"/>
  <c r="F36" i="18"/>
  <c r="G36" i="18" s="1"/>
  <c r="F151" i="18"/>
  <c r="G151" i="18" s="1"/>
  <c r="F44" i="18"/>
  <c r="G44" i="18" s="1"/>
  <c r="F10" i="18"/>
  <c r="G10" i="18" s="1"/>
  <c r="F12" i="18"/>
  <c r="G12" i="18" s="1"/>
  <c r="F83" i="18"/>
  <c r="G83" i="18" s="1"/>
  <c r="F76" i="18"/>
  <c r="G76" i="18" s="1"/>
  <c r="F107" i="18"/>
  <c r="G107" i="18" s="1"/>
  <c r="F35" i="18"/>
  <c r="G35" i="18" s="1"/>
  <c r="F92" i="18"/>
  <c r="G92" i="18" s="1"/>
  <c r="F59" i="18"/>
  <c r="G59" i="18" s="1"/>
  <c r="F15" i="18"/>
  <c r="G15" i="18" s="1"/>
  <c r="F142" i="18"/>
  <c r="G142" i="18" s="1"/>
  <c r="F131" i="18"/>
  <c r="G131" i="18" s="1"/>
  <c r="F108" i="18"/>
  <c r="G108" i="18" s="1"/>
  <c r="F51" i="18"/>
  <c r="G51" i="18" s="1"/>
  <c r="F115" i="18"/>
  <c r="G115" i="18" s="1"/>
  <c r="F99" i="18"/>
  <c r="G99" i="18" s="1"/>
  <c r="F27" i="18"/>
  <c r="G27" i="18" s="1"/>
  <c r="F16" i="18"/>
  <c r="G16" i="18" s="1"/>
  <c r="F95" i="18"/>
  <c r="G95" i="18" s="1"/>
  <c r="F135" i="18"/>
  <c r="G135" i="18" s="1"/>
  <c r="F127" i="18"/>
  <c r="G127" i="18" s="1"/>
  <c r="F111" i="18"/>
  <c r="G111" i="18" s="1"/>
  <c r="F145" i="18"/>
  <c r="G145" i="18" s="1"/>
  <c r="F9" i="18"/>
  <c r="G9" i="18" s="1"/>
  <c r="F116" i="18"/>
  <c r="G116" i="18" s="1"/>
  <c r="F84" i="18"/>
  <c r="G84" i="18" s="1"/>
  <c r="F67" i="18"/>
  <c r="G67" i="18" s="1"/>
  <c r="F150" i="18"/>
  <c r="G150" i="18" s="1"/>
  <c r="F19" i="18"/>
  <c r="G19" i="18" s="1"/>
  <c r="F100" i="18"/>
  <c r="G100" i="18" s="1"/>
  <c r="F30" i="18"/>
  <c r="G30" i="18" s="1"/>
  <c r="F70" i="18"/>
  <c r="G70" i="18" s="1"/>
  <c r="F62" i="18"/>
  <c r="G62" i="18" s="1"/>
  <c r="F7" i="18"/>
  <c r="G7" i="18" s="1"/>
  <c r="F152" i="18"/>
  <c r="G152" i="18" s="1"/>
  <c r="F132" i="18"/>
  <c r="G132" i="18" s="1"/>
  <c r="F124" i="18"/>
  <c r="G124" i="18" s="1"/>
  <c r="F37" i="18"/>
  <c r="G37" i="18" s="1"/>
  <c r="F38" i="18"/>
  <c r="G38" i="18" s="1"/>
  <c r="F129" i="18"/>
  <c r="G129" i="18" s="1"/>
  <c r="F122" i="18"/>
  <c r="G122" i="18" s="1"/>
  <c r="F66" i="18"/>
  <c r="G66" i="18" s="1"/>
  <c r="F50" i="18"/>
  <c r="G50" i="18" s="1"/>
  <c r="F42" i="18"/>
  <c r="G42" i="18" s="1"/>
  <c r="F34" i="18"/>
  <c r="G34" i="18" s="1"/>
  <c r="F18" i="18"/>
  <c r="G18" i="18" s="1"/>
  <c r="F5" i="18"/>
  <c r="G5" i="18" s="1"/>
  <c r="F13" i="18"/>
  <c r="G13" i="18" s="1"/>
  <c r="F103" i="18"/>
  <c r="G103" i="18" s="1"/>
  <c r="F136" i="18"/>
  <c r="G136" i="18" s="1"/>
  <c r="F134" i="18"/>
  <c r="G134" i="18" s="1"/>
  <c r="F128" i="18"/>
  <c r="G128" i="18" s="1"/>
  <c r="F126" i="18"/>
  <c r="G126" i="18" s="1"/>
  <c r="F71" i="18"/>
  <c r="G71" i="18" s="1"/>
  <c r="F63" i="18"/>
  <c r="G63" i="18" s="1"/>
  <c r="J7" i="21"/>
  <c r="F130" i="18"/>
  <c r="G130" i="18" s="1"/>
  <c r="F104" i="18"/>
  <c r="G104" i="18" s="1"/>
  <c r="F90" i="18"/>
  <c r="G90" i="18" s="1"/>
  <c r="F58" i="18"/>
  <c r="G58" i="18" s="1"/>
  <c r="F26" i="18"/>
  <c r="G26" i="18" s="1"/>
  <c r="F106" i="18"/>
  <c r="G106" i="18" s="1"/>
  <c r="F4" i="18"/>
  <c r="G4" i="18" s="1"/>
  <c r="F110" i="18"/>
  <c r="G110" i="18" s="1"/>
  <c r="F102" i="18"/>
  <c r="G102" i="18" s="1"/>
  <c r="F94" i="18"/>
  <c r="G94" i="18" s="1"/>
  <c r="F86" i="18"/>
  <c r="G86" i="18" s="1"/>
  <c r="F74" i="18"/>
  <c r="G74" i="18" s="1"/>
  <c r="F28" i="18"/>
  <c r="G28" i="18" s="1"/>
  <c r="F88" i="18"/>
  <c r="G88" i="18" s="1"/>
  <c r="F80" i="18"/>
  <c r="G80" i="18" s="1"/>
  <c r="F20" i="18"/>
  <c r="G20" i="18" s="1"/>
  <c r="F112" i="18"/>
  <c r="G112" i="18" s="1"/>
  <c r="F147" i="18"/>
  <c r="G147" i="18" s="1"/>
  <c r="F139" i="18"/>
  <c r="G139" i="18" s="1"/>
  <c r="F48" i="18"/>
  <c r="G48" i="18" s="1"/>
  <c r="F153" i="18"/>
  <c r="G153" i="18" s="1"/>
  <c r="F138" i="18"/>
  <c r="G138" i="18" s="1"/>
  <c r="F54" i="18"/>
  <c r="G54" i="18" s="1"/>
  <c r="F46" i="18"/>
  <c r="G46" i="18" s="1"/>
  <c r="F55" i="18"/>
  <c r="G55" i="18" s="1"/>
  <c r="F47" i="18"/>
  <c r="G47" i="18" s="1"/>
  <c r="F39" i="18"/>
  <c r="G39" i="18" s="1"/>
  <c r="F31" i="18"/>
  <c r="G31" i="18" s="1"/>
  <c r="F23" i="18"/>
  <c r="G23" i="18" s="1"/>
  <c r="F68" i="18"/>
  <c r="G68" i="18" s="1"/>
  <c r="F60" i="18"/>
  <c r="G60" i="18" s="1"/>
  <c r="F96" i="18"/>
  <c r="G96" i="18" s="1"/>
  <c r="F82" i="18"/>
  <c r="G82" i="18" s="1"/>
  <c r="F52" i="18"/>
  <c r="G52" i="18" s="1"/>
  <c r="F22" i="18"/>
  <c r="G22" i="18" s="1"/>
  <c r="F118" i="18"/>
  <c r="G118" i="18" s="1"/>
  <c r="F78" i="18"/>
  <c r="G78" i="18" s="1"/>
  <c r="F69" i="18"/>
  <c r="G69" i="18" s="1"/>
  <c r="F61" i="18"/>
  <c r="G61" i="18" s="1"/>
  <c r="F53" i="18"/>
  <c r="G53" i="18" s="1"/>
  <c r="F45" i="18"/>
  <c r="G45" i="18" s="1"/>
  <c r="F29" i="18"/>
  <c r="G29" i="18" s="1"/>
  <c r="F21" i="18"/>
  <c r="G21" i="18" s="1"/>
  <c r="F146" i="34" l="1"/>
  <c r="G146" i="34" s="1"/>
  <c r="E2" i="34"/>
  <c r="I63" i="34"/>
  <c r="D2" i="34"/>
  <c r="F115" i="34"/>
  <c r="G115" i="34" s="1"/>
  <c r="F142" i="34"/>
  <c r="G142" i="34" s="1"/>
  <c r="I22" i="34"/>
  <c r="J22" i="34" s="1"/>
  <c r="I118" i="34"/>
  <c r="J118" i="34" s="1"/>
  <c r="H2" i="34"/>
  <c r="I142" i="34"/>
  <c r="J142" i="34" s="1"/>
  <c r="I6" i="34"/>
  <c r="J6" i="34" s="1"/>
  <c r="F119" i="34"/>
  <c r="G119" i="34" s="1"/>
  <c r="F110" i="34"/>
  <c r="G110" i="34" s="1"/>
  <c r="I150" i="34"/>
  <c r="J150" i="34" s="1"/>
  <c r="F147" i="34"/>
  <c r="G147" i="34" s="1"/>
  <c r="J143" i="34"/>
  <c r="J129" i="34"/>
  <c r="J132" i="34"/>
  <c r="J140" i="34"/>
  <c r="F123" i="34"/>
  <c r="G123" i="34" s="1"/>
  <c r="F98" i="34"/>
  <c r="G98" i="34" s="1"/>
  <c r="F145" i="34"/>
  <c r="G145" i="34" s="1"/>
  <c r="F107" i="34"/>
  <c r="G107" i="34" s="1"/>
  <c r="F120" i="34"/>
  <c r="G120" i="34" s="1"/>
  <c r="F136" i="34"/>
  <c r="G136" i="34" s="1"/>
  <c r="F106" i="34"/>
  <c r="G106" i="34" s="1"/>
  <c r="F141" i="34"/>
  <c r="G141" i="34" s="1"/>
  <c r="F154" i="34"/>
  <c r="G154" i="34" s="1"/>
  <c r="F158" i="34"/>
  <c r="G158" i="34" s="1"/>
  <c r="J124" i="34"/>
  <c r="J147" i="34"/>
  <c r="F124" i="34"/>
  <c r="G124" i="34" s="1"/>
  <c r="J137" i="34"/>
  <c r="F126" i="34"/>
  <c r="G126" i="34" s="1"/>
  <c r="F125" i="34"/>
  <c r="G125" i="34" s="1"/>
  <c r="J136" i="34"/>
  <c r="I8" i="34"/>
  <c r="F144" i="34"/>
  <c r="G144" i="34" s="1"/>
  <c r="F111" i="34"/>
  <c r="G111" i="34" s="1"/>
  <c r="F127" i="34"/>
  <c r="G127" i="34" s="1"/>
  <c r="I31" i="34"/>
  <c r="J31" i="34" s="1"/>
  <c r="F157" i="34"/>
  <c r="G157" i="34" s="1"/>
  <c r="J145" i="34"/>
  <c r="I83" i="34"/>
  <c r="J83" i="34" s="1"/>
  <c r="I33" i="34"/>
  <c r="J33" i="34" s="1"/>
  <c r="J133" i="34"/>
  <c r="F152" i="34"/>
  <c r="G152" i="34" s="1"/>
  <c r="J138" i="34"/>
  <c r="I74" i="34"/>
  <c r="I42" i="34"/>
  <c r="I67" i="34"/>
  <c r="J67" i="34" s="1"/>
  <c r="F105" i="34"/>
  <c r="G105" i="34" s="1"/>
  <c r="I103" i="34"/>
  <c r="J103" i="34" s="1"/>
  <c r="I40" i="34"/>
  <c r="J40" i="34" s="1"/>
  <c r="I99" i="34"/>
  <c r="J99" i="34" s="1"/>
  <c r="F99" i="34"/>
  <c r="G99" i="34" s="1"/>
  <c r="I26" i="34"/>
  <c r="I25" i="34"/>
  <c r="J25" i="34" s="1"/>
  <c r="F97" i="34"/>
  <c r="G97" i="34" s="1"/>
  <c r="I17" i="34"/>
  <c r="J17" i="34" s="1"/>
  <c r="J101" i="34"/>
  <c r="I112" i="34"/>
  <c r="J112" i="34" s="1"/>
  <c r="I97" i="34"/>
  <c r="J97" i="34" s="1"/>
  <c r="I27" i="34"/>
  <c r="J27" i="34" s="1"/>
  <c r="I86" i="34"/>
  <c r="I20" i="34"/>
  <c r="J20" i="34" s="1"/>
  <c r="I95" i="34"/>
  <c r="J95" i="34" s="1"/>
  <c r="I54" i="34"/>
  <c r="J54" i="34" s="1"/>
  <c r="I19" i="34"/>
  <c r="J19" i="34" s="1"/>
  <c r="I108" i="34"/>
  <c r="J108" i="34" s="1"/>
  <c r="I11" i="34"/>
  <c r="J11" i="34" s="1"/>
  <c r="I43" i="34"/>
  <c r="J43" i="34" s="1"/>
  <c r="I51" i="34"/>
  <c r="J51" i="34" s="1"/>
  <c r="I79" i="34"/>
  <c r="J79" i="34" s="1"/>
  <c r="I53" i="34"/>
  <c r="J53" i="34" s="1"/>
  <c r="I116" i="34"/>
  <c r="J116" i="34" s="1"/>
  <c r="I110" i="34"/>
  <c r="J110" i="34" s="1"/>
  <c r="I36" i="34"/>
  <c r="J36" i="34" s="1"/>
  <c r="I10" i="34"/>
  <c r="J10" i="34" s="1"/>
  <c r="I87" i="34"/>
  <c r="J87" i="34" s="1"/>
  <c r="I52" i="34"/>
  <c r="I61" i="34"/>
  <c r="J61" i="34" s="1"/>
  <c r="I72" i="34"/>
  <c r="J72" i="34" s="1"/>
  <c r="I85" i="34"/>
  <c r="J85" i="34" s="1"/>
  <c r="I104" i="34"/>
  <c r="J104" i="34" s="1"/>
  <c r="I60" i="34"/>
  <c r="J60" i="34" s="1"/>
  <c r="I21" i="34"/>
  <c r="J21" i="34" s="1"/>
  <c r="I44" i="34"/>
  <c r="J44" i="34" s="1"/>
  <c r="I71" i="34"/>
  <c r="J71" i="34" s="1"/>
  <c r="I115" i="34"/>
  <c r="J115" i="34" s="1"/>
  <c r="I77" i="34"/>
  <c r="J77" i="34" s="1"/>
  <c r="I100" i="34"/>
  <c r="J100" i="34" s="1"/>
  <c r="I28" i="34"/>
  <c r="J28" i="34" s="1"/>
  <c r="I93" i="34"/>
  <c r="J93" i="34" s="1"/>
  <c r="I13" i="34"/>
  <c r="J13" i="34" s="1"/>
  <c r="I37" i="34"/>
  <c r="J37" i="34" s="1"/>
  <c r="I46" i="34"/>
  <c r="I55" i="34"/>
  <c r="J55" i="34" s="1"/>
  <c r="I80" i="34"/>
  <c r="J80" i="34" s="1"/>
  <c r="I102" i="34"/>
  <c r="J102" i="34" s="1"/>
  <c r="I16" i="34"/>
  <c r="J16" i="34" s="1"/>
  <c r="I24" i="34"/>
  <c r="J24" i="34" s="1"/>
  <c r="I32" i="34"/>
  <c r="J32" i="34" s="1"/>
  <c r="I89" i="34"/>
  <c r="J89" i="34" s="1"/>
  <c r="I9" i="34"/>
  <c r="J9" i="34" s="1"/>
  <c r="I41" i="34"/>
  <c r="J41" i="34" s="1"/>
  <c r="I18" i="34"/>
  <c r="J18" i="34" s="1"/>
  <c r="I34" i="34"/>
  <c r="J34" i="34" s="1"/>
  <c r="I66" i="34"/>
  <c r="J66" i="34" s="1"/>
  <c r="F112" i="34"/>
  <c r="G112" i="34" s="1"/>
  <c r="F143" i="34"/>
  <c r="G143" i="34" s="1"/>
  <c r="F149" i="34"/>
  <c r="G149" i="34" s="1"/>
  <c r="I62" i="34"/>
  <c r="I70" i="34"/>
  <c r="J70" i="34" s="1"/>
  <c r="F118" i="34"/>
  <c r="G118" i="34" s="1"/>
  <c r="F133" i="34"/>
  <c r="G133" i="34" s="1"/>
  <c r="F113" i="34"/>
  <c r="G113" i="34" s="1"/>
  <c r="J134" i="34"/>
  <c r="F137" i="34"/>
  <c r="G137" i="34" s="1"/>
  <c r="F138" i="34"/>
  <c r="G138" i="34" s="1"/>
  <c r="F139" i="34"/>
  <c r="G139" i="34" s="1"/>
  <c r="J141" i="29"/>
  <c r="F104" i="34"/>
  <c r="G104" i="34" s="1"/>
  <c r="F103" i="34"/>
  <c r="G103" i="34" s="1"/>
  <c r="F116" i="34"/>
  <c r="G116" i="34" s="1"/>
  <c r="F109" i="34"/>
  <c r="G109" i="34" s="1"/>
  <c r="J66" i="29"/>
  <c r="J65" i="29"/>
  <c r="J102" i="29"/>
  <c r="J149" i="34"/>
  <c r="J121" i="34"/>
  <c r="F114" i="34"/>
  <c r="G114" i="34" s="1"/>
  <c r="F128" i="34"/>
  <c r="G128" i="34" s="1"/>
  <c r="J120" i="34"/>
  <c r="F135" i="34"/>
  <c r="G135" i="34" s="1"/>
  <c r="F151" i="34"/>
  <c r="G151" i="34" s="1"/>
  <c r="F155" i="34"/>
  <c r="G155" i="34" s="1"/>
  <c r="I154" i="34"/>
  <c r="J154" i="34" s="1"/>
  <c r="I158" i="34"/>
  <c r="J158" i="34" s="1"/>
  <c r="I155" i="34"/>
  <c r="J155" i="34" s="1"/>
  <c r="I156" i="34"/>
  <c r="J156" i="34" s="1"/>
  <c r="I153" i="34"/>
  <c r="J153" i="34" s="1"/>
  <c r="I152" i="34"/>
  <c r="J152" i="34" s="1"/>
  <c r="I2" i="1"/>
  <c r="J2" i="1" s="1"/>
  <c r="F102" i="34"/>
  <c r="G102" i="34" s="1"/>
  <c r="J111" i="34"/>
  <c r="F132" i="34"/>
  <c r="G132" i="34" s="1"/>
  <c r="F130" i="34"/>
  <c r="G130" i="34" s="1"/>
  <c r="J105" i="34"/>
  <c r="J151" i="34"/>
  <c r="J123" i="34"/>
  <c r="J139" i="34"/>
  <c r="J146" i="34"/>
  <c r="F101" i="34"/>
  <c r="G101" i="34" s="1"/>
  <c r="F134" i="34"/>
  <c r="G134" i="34" s="1"/>
  <c r="J141" i="34"/>
  <c r="J131" i="34"/>
  <c r="F129" i="34"/>
  <c r="G129" i="34" s="1"/>
  <c r="F153" i="34"/>
  <c r="G153" i="34" s="1"/>
  <c r="F150" i="34"/>
  <c r="G150" i="34" s="1"/>
  <c r="I157" i="34"/>
  <c r="J157" i="34" s="1"/>
  <c r="J103" i="29"/>
  <c r="J89" i="29"/>
  <c r="J88" i="29"/>
  <c r="J73" i="29"/>
  <c r="J150" i="29"/>
  <c r="I144" i="34"/>
  <c r="J144" i="34" s="1"/>
  <c r="J42" i="29"/>
  <c r="J37" i="29"/>
  <c r="J34" i="29"/>
  <c r="J32" i="29"/>
  <c r="J18" i="29"/>
  <c r="J131" i="29"/>
  <c r="J16" i="29"/>
  <c r="J8" i="29"/>
  <c r="I148" i="34"/>
  <c r="J148" i="34" s="1"/>
  <c r="I119" i="34"/>
  <c r="J119" i="34" s="1"/>
  <c r="J149" i="29"/>
  <c r="J111" i="29"/>
  <c r="J13" i="29"/>
  <c r="J25" i="29"/>
  <c r="J28" i="29"/>
  <c r="J26" i="29"/>
  <c r="J23" i="29"/>
  <c r="J24" i="29"/>
  <c r="F100" i="34"/>
  <c r="G100" i="34" s="1"/>
  <c r="F108" i="34"/>
  <c r="G108" i="34" s="1"/>
  <c r="J74" i="29"/>
  <c r="J136" i="29"/>
  <c r="J93" i="29"/>
  <c r="J38" i="29"/>
  <c r="J48" i="29"/>
  <c r="J17" i="29"/>
  <c r="J5" i="29"/>
  <c r="J33" i="29"/>
  <c r="I113" i="34"/>
  <c r="J113" i="34" s="1"/>
  <c r="J113" i="29"/>
  <c r="I125" i="34"/>
  <c r="J125" i="34" s="1"/>
  <c r="J125" i="29"/>
  <c r="J117" i="29"/>
  <c r="I117" i="34"/>
  <c r="J117" i="34" s="1"/>
  <c r="I98" i="34"/>
  <c r="J98" i="34" s="1"/>
  <c r="J98" i="29"/>
  <c r="I114" i="34"/>
  <c r="J114" i="34" s="1"/>
  <c r="J114" i="29"/>
  <c r="J47" i="29"/>
  <c r="I47" i="34"/>
  <c r="J47" i="34" s="1"/>
  <c r="I107" i="34"/>
  <c r="J107" i="34" s="1"/>
  <c r="J107" i="29"/>
  <c r="I127" i="34"/>
  <c r="J127" i="34" s="1"/>
  <c r="J127" i="29"/>
  <c r="I122" i="34"/>
  <c r="J122" i="34" s="1"/>
  <c r="J122" i="29"/>
  <c r="I126" i="34"/>
  <c r="J126" i="34" s="1"/>
  <c r="J126" i="29"/>
  <c r="I106" i="34"/>
  <c r="J106" i="34" s="1"/>
  <c r="J106" i="29"/>
  <c r="I69" i="34"/>
  <c r="J69" i="34" s="1"/>
  <c r="J69" i="29"/>
  <c r="J126" i="18"/>
  <c r="J109" i="34"/>
  <c r="J134" i="18"/>
  <c r="J136" i="18"/>
  <c r="J120" i="1"/>
  <c r="J132" i="1"/>
  <c r="J114" i="1"/>
  <c r="J154" i="1"/>
  <c r="J146" i="1"/>
  <c r="J116" i="1"/>
  <c r="J148" i="1"/>
  <c r="J152" i="1"/>
  <c r="J140" i="1"/>
  <c r="J142" i="1"/>
  <c r="J5" i="34"/>
  <c r="I2" i="30"/>
  <c r="J2" i="30" s="1"/>
  <c r="F2" i="30"/>
  <c r="G2" i="30" s="1"/>
  <c r="J65" i="34"/>
  <c r="J96" i="34"/>
  <c r="J58" i="34"/>
  <c r="J38" i="34"/>
  <c r="J90" i="34"/>
  <c r="F10" i="34"/>
  <c r="G10" i="34" s="1"/>
  <c r="F96" i="34"/>
  <c r="G96" i="34" s="1"/>
  <c r="F61" i="34"/>
  <c r="G61" i="34" s="1"/>
  <c r="F89" i="34"/>
  <c r="G89" i="34" s="1"/>
  <c r="F40" i="34"/>
  <c r="G40" i="34" s="1"/>
  <c r="J81" i="34"/>
  <c r="J155" i="1"/>
  <c r="J74" i="34"/>
  <c r="J138" i="1"/>
  <c r="F65" i="34"/>
  <c r="G65" i="34" s="1"/>
  <c r="F9" i="34"/>
  <c r="G9" i="34" s="1"/>
  <c r="F73" i="34"/>
  <c r="G73" i="34" s="1"/>
  <c r="J64" i="34"/>
  <c r="F24" i="34"/>
  <c r="G24" i="34" s="1"/>
  <c r="J139" i="1"/>
  <c r="J56" i="34"/>
  <c r="J23" i="34"/>
  <c r="J150" i="1"/>
  <c r="J7" i="34"/>
  <c r="J75" i="1"/>
  <c r="J149" i="1"/>
  <c r="J110" i="1"/>
  <c r="F66" i="34"/>
  <c r="G66" i="34" s="1"/>
  <c r="J59" i="34"/>
  <c r="J73" i="34"/>
  <c r="F79" i="34"/>
  <c r="G79" i="34" s="1"/>
  <c r="F77" i="34"/>
  <c r="G77" i="34" s="1"/>
  <c r="F69" i="34"/>
  <c r="G69" i="34" s="1"/>
  <c r="F57" i="34"/>
  <c r="G57" i="34" s="1"/>
  <c r="J82" i="34"/>
  <c r="J82" i="1"/>
  <c r="F59" i="34"/>
  <c r="G59" i="34" s="1"/>
  <c r="F32" i="34"/>
  <c r="G32" i="34" s="1"/>
  <c r="J78" i="34"/>
  <c r="J94" i="34"/>
  <c r="J23" i="1"/>
  <c r="F39" i="34"/>
  <c r="G39" i="34" s="1"/>
  <c r="J57" i="34"/>
  <c r="F26" i="34"/>
  <c r="G26" i="34" s="1"/>
  <c r="J26" i="34"/>
  <c r="F31" i="34"/>
  <c r="G31" i="34" s="1"/>
  <c r="F20" i="34"/>
  <c r="G20" i="34" s="1"/>
  <c r="J49" i="34"/>
  <c r="F85" i="34"/>
  <c r="G85" i="34" s="1"/>
  <c r="J76" i="34"/>
  <c r="F78" i="34"/>
  <c r="G78" i="34" s="1"/>
  <c r="F48" i="34"/>
  <c r="G48" i="34" s="1"/>
  <c r="F44" i="34"/>
  <c r="G44" i="34" s="1"/>
  <c r="J50" i="34"/>
  <c r="F30" i="34"/>
  <c r="G30" i="34" s="1"/>
  <c r="F33" i="34"/>
  <c r="G33" i="34" s="1"/>
  <c r="J115" i="1"/>
  <c r="F71" i="34"/>
  <c r="G71" i="34" s="1"/>
  <c r="F87" i="34"/>
  <c r="G87" i="34" s="1"/>
  <c r="F5" i="34"/>
  <c r="G5" i="34" s="1"/>
  <c r="J29" i="34"/>
  <c r="F28" i="34"/>
  <c r="G28" i="34" s="1"/>
  <c r="F13" i="34"/>
  <c r="G13" i="34" s="1"/>
  <c r="F74" i="34"/>
  <c r="G74" i="34" s="1"/>
  <c r="F8" i="34"/>
  <c r="G8" i="34" s="1"/>
  <c r="F56" i="34"/>
  <c r="G56" i="34" s="1"/>
  <c r="F80" i="34"/>
  <c r="G80" i="34" s="1"/>
  <c r="F72" i="34"/>
  <c r="G72" i="34" s="1"/>
  <c r="J42" i="34"/>
  <c r="F7" i="34"/>
  <c r="G7" i="34" s="1"/>
  <c r="F83" i="34"/>
  <c r="G83" i="34" s="1"/>
  <c r="F21" i="34"/>
  <c r="G21" i="34" s="1"/>
  <c r="F2" i="1"/>
  <c r="G2" i="1" s="1"/>
  <c r="F91" i="34"/>
  <c r="G91" i="34" s="1"/>
  <c r="J8" i="34"/>
  <c r="F63" i="34"/>
  <c r="G63" i="34" s="1"/>
  <c r="F18" i="34"/>
  <c r="G18" i="34" s="1"/>
  <c r="F82" i="34"/>
  <c r="G82" i="34" s="1"/>
  <c r="J35" i="34"/>
  <c r="F47" i="34"/>
  <c r="G47" i="34" s="1"/>
  <c r="F86" i="34"/>
  <c r="G86" i="34" s="1"/>
  <c r="F23" i="34"/>
  <c r="G23" i="34" s="1"/>
  <c r="F64" i="34"/>
  <c r="G64" i="34" s="1"/>
  <c r="F95" i="34"/>
  <c r="G95" i="34" s="1"/>
  <c r="F60" i="34"/>
  <c r="G60" i="34" s="1"/>
  <c r="J137" i="1"/>
  <c r="F76" i="34"/>
  <c r="G76" i="34" s="1"/>
  <c r="J92" i="34"/>
  <c r="F17" i="34"/>
  <c r="G17" i="34" s="1"/>
  <c r="J48" i="34"/>
  <c r="F46" i="34"/>
  <c r="G46" i="34" s="1"/>
  <c r="F55" i="34"/>
  <c r="G55" i="34" s="1"/>
  <c r="F4" i="34"/>
  <c r="G4" i="34" s="1"/>
  <c r="F35" i="34"/>
  <c r="G35" i="34" s="1"/>
  <c r="F19" i="34"/>
  <c r="G19" i="34" s="1"/>
  <c r="F15" i="34"/>
  <c r="G15" i="34" s="1"/>
  <c r="F70" i="34"/>
  <c r="G70" i="34" s="1"/>
  <c r="F52" i="34"/>
  <c r="G52" i="34" s="1"/>
  <c r="F16" i="34"/>
  <c r="G16" i="34" s="1"/>
  <c r="F6" i="34"/>
  <c r="G6" i="34" s="1"/>
  <c r="F43" i="34"/>
  <c r="G43" i="34" s="1"/>
  <c r="F68" i="34"/>
  <c r="G68" i="34" s="1"/>
  <c r="F50" i="34"/>
  <c r="G50" i="34" s="1"/>
  <c r="F42" i="34"/>
  <c r="G42" i="34" s="1"/>
  <c r="F93" i="34"/>
  <c r="G93" i="34" s="1"/>
  <c r="J52" i="34"/>
  <c r="F49" i="34"/>
  <c r="G49" i="34" s="1"/>
  <c r="F45" i="34"/>
  <c r="G45" i="34" s="1"/>
  <c r="F94" i="34"/>
  <c r="G94" i="34" s="1"/>
  <c r="F14" i="34"/>
  <c r="G14" i="34" s="1"/>
  <c r="F54" i="34"/>
  <c r="G54" i="34" s="1"/>
  <c r="F38" i="34"/>
  <c r="G38" i="34" s="1"/>
  <c r="F36" i="34"/>
  <c r="G36" i="34" s="1"/>
  <c r="F29" i="34"/>
  <c r="G29" i="34" s="1"/>
  <c r="J68" i="34"/>
  <c r="F92" i="34"/>
  <c r="G92" i="34" s="1"/>
  <c r="F41" i="34"/>
  <c r="G41" i="34" s="1"/>
  <c r="J14" i="34"/>
  <c r="F75" i="34"/>
  <c r="G75" i="34" s="1"/>
  <c r="F58" i="34"/>
  <c r="G58" i="34" s="1"/>
  <c r="F53" i="34"/>
  <c r="G53" i="34" s="1"/>
  <c r="J62" i="34"/>
  <c r="F25" i="34"/>
  <c r="G25" i="34" s="1"/>
  <c r="F11" i="34"/>
  <c r="G11" i="34" s="1"/>
  <c r="F88" i="34"/>
  <c r="G88" i="34" s="1"/>
  <c r="F81" i="34"/>
  <c r="G81" i="34" s="1"/>
  <c r="F22" i="34"/>
  <c r="G22" i="34" s="1"/>
  <c r="F12" i="34"/>
  <c r="G12" i="34" s="1"/>
  <c r="F27" i="34"/>
  <c r="G27" i="34" s="1"/>
  <c r="F37" i="34"/>
  <c r="G37" i="34" s="1"/>
  <c r="F34" i="34"/>
  <c r="G34" i="34" s="1"/>
  <c r="F84" i="34"/>
  <c r="G84" i="34" s="1"/>
  <c r="F62" i="34"/>
  <c r="G62" i="34" s="1"/>
  <c r="F90" i="34"/>
  <c r="G90" i="34" s="1"/>
  <c r="J88" i="34"/>
  <c r="F67" i="34"/>
  <c r="G67" i="34" s="1"/>
  <c r="J75" i="34"/>
  <c r="J91" i="34"/>
  <c r="F51" i="34"/>
  <c r="G51" i="34" s="1"/>
  <c r="I2" i="29"/>
  <c r="J2" i="29" s="1"/>
  <c r="F2" i="29"/>
  <c r="G2" i="29" s="1"/>
  <c r="J86" i="34"/>
  <c r="J84" i="34"/>
  <c r="J46" i="34"/>
  <c r="J39" i="34"/>
  <c r="J30" i="34"/>
  <c r="J15" i="34"/>
  <c r="J12" i="34"/>
  <c r="J5" i="18"/>
  <c r="J45" i="34"/>
  <c r="J63" i="34"/>
  <c r="F2" i="18"/>
  <c r="G2" i="18" s="1"/>
  <c r="I2" i="18"/>
  <c r="J2" i="18" s="1"/>
  <c r="I2" i="34" l="1"/>
  <c r="J2" i="34" s="1"/>
  <c r="F2" i="34"/>
  <c r="G2" i="34" s="1"/>
  <c r="J21" i="1"/>
  <c r="J4" i="72"/>
  <c r="I4" i="1"/>
  <c r="I4" i="34" s="1"/>
  <c r="J4" i="34" s="1"/>
  <c r="J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tc={FA21CFFC-9B61-47DB-8F62-30500FD79B73}</author>
  </authors>
  <commentList>
    <comment ref="D89" authorId="0" shapeId="0" xr:uid="{FA21CFFC-9B61-47DB-8F62-30500FD79B73}">
      <text>
        <t>[Threaded comment]
Your version of Excel allows you to read this threaded comment; however, any edits to it will get removed if the file is opened in a newer version of Excel. Learn more: https://go.microsoft.com/fwlink/?linkid=870924
Comment:
    Since meter is reporting 0 we have taken total inverter energy as actual energy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tc={47F68363-055F-4184-9CAE-BCB4F8DD31EA}</author>
  </authors>
  <commentList>
    <comment ref="D10" authorId="0" shapeId="0" xr:uid="{47F68363-055F-4184-9CAE-BCB4F8DD31EA}">
      <text>
        <t>[Threaded comment]
Your version of Excel allows you to read this threaded comment; however, any edits to it will get removed if the file is opened in a newer version of Excel. Learn more: https://go.microsoft.com/fwlink/?linkid=870924
Comment:
    Since meter has no communication from 11/07 we have consider total inverter production as site production.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<sst xmlns="http://schemas.openxmlformats.org/spreadsheetml/2006/main" count="4828" uniqueCount="3035">
  <si>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</si>
  <si>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</si>
  <si>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</si>
  <si>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</si>
  <si>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</si>
  <si>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</si>
  <si>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</si>
  <si>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</si>
  <si>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</si>
  <si>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</si>
  <si>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</si>
  <si>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</si>
  <si>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</si>
  <si>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</si>
  <si>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</si>
  <si>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</si>
  <si>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</si>
  <si>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</si>
  <si>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</si>
  <si>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</si>
  <si>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</si>
  <si>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</si>
  <si>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</si>
  <si>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1.Estimated values are low in AE we have also verified the file which was given GC</t>
  </si>
  <si>
    <t>1. 96 optimizers are down for site construction.</t>
  </si>
  <si>
    <t>1.SR093291</t>
  </si>
  <si>
    <t>1. Low generation due to weather/snow.</t>
  </si>
  <si>
    <t xml:space="preserve">1.Weather station is not communicating since 11/22/2024.
</t>
  </si>
  <si>
    <t xml:space="preserve">1.SR093633
</t>
  </si>
  <si>
    <t>1. Weather station is not communicating since 06/30/2024.
2. 26 optimizers are down for roof repair.</t>
  </si>
  <si>
    <t>1.SR086842
2.SR093294</t>
  </si>
  <si>
    <t>SR093294</t>
  </si>
  <si>
    <t>1.Due to shunt trips of the switchgear and overcurrent faults site is offline since 11/20/2024.</t>
  </si>
  <si>
    <t>1.SR093196</t>
  </si>
  <si>
    <t xml:space="preserve">1. Site was taken offline from 12/31/24 due to ConEd shut site off for tranformer  work and later back online on 01/02 at 09:30 </t>
  </si>
  <si>
    <t>1.	SR095201</t>
  </si>
  <si>
    <t xml:space="preserve">1.Inverter 3 offline mulptiple days due to parts RMAD
2.Inverter 4 is offline due to "Isolation Fault" from 01/3   </t>
  </si>
  <si>
    <t xml:space="preserve">1.	SR094206
2. SR096202
</t>
  </si>
  <si>
    <t>SR096202</t>
  </si>
  <si>
    <t xml:space="preserve">1. Inverter 1 right unit is offline due to DC disconnect switches turned to OFF positions since 01/21 at 07:00am and back online on 01/31
</t>
  </si>
  <si>
    <t>1. SR096130</t>
  </si>
  <si>
    <t xml:space="preserve">1. optimizers Module 1.2.4  , Module 2.2.18 , Module 2.3.11 ,  Module 3.1.16 ,    Module 6.1.5 ,  Module 7.1.4 , Module 7.3.17 ,  Module 9.1.16 ,Module 10.3.3 , 8.0.27 are offline
    </t>
  </si>
  <si>
    <t>1.	SR093326</t>
  </si>
  <si>
    <t>1.  Inverter 2 left unit at 10:30 from 01/16 and has been RMA'd.</t>
  </si>
  <si>
    <t>1.	SR095758</t>
  </si>
  <si>
    <t>1. Inverter 5 is derating by 353 kW since 01/03 due to a loose electrical connections. Additionally, one combiner may be open, or the DC contactor in the DU cabinet may not be closed and resumed production on 01/29.
2. Inverter 4/Meter 4 was derating by 640 kW on 01/19 due to a possible DC breaker trip and returned to normal production on 01/20.
3. Inverter 1 was derating by 444 kW from 9:30 to 12:00 on 01/23 and back to normal production on 01/29.</t>
  </si>
  <si>
    <t>1. SR095297, SR092042, SR095706,SR095899
2. SR095707
3. SR095899</t>
  </si>
  <si>
    <t>SR092042</t>
  </si>
  <si>
    <t>SR095706</t>
  </si>
  <si>
    <t>SR095899</t>
  </si>
  <si>
    <t>SR095707</t>
  </si>
  <si>
    <t xml:space="preserve">1. Inverter 23 tripped offline at 9:30 AM on 11/15 due to a blown fuse and back online at 11:05 AM on 01/16.
2. Inverter 24 tripped offline at 12:40 on 01/08 due to blown fuse and back online at 11:05 on 01/16. 
3. Inverter 30 tripped offline at 11:00AM on 01/10 and offline throughout the month due to thermal event. Inverter powerhead and dc combiner box have been RMA'd.
4. Inverter 4 tripped offline due to blown fuse at 12:25 on 01/30  and offline throughout the month. </t>
  </si>
  <si>
    <t>1. SR093285, SR093470
2. SR095395
3. SR095473
4. SR096164</t>
  </si>
  <si>
    <t>SR093470</t>
  </si>
  <si>
    <t>SR095395</t>
  </si>
  <si>
    <t>SR095473</t>
  </si>
  <si>
    <t>SR096164</t>
  </si>
  <si>
    <t>1.Inverter 1 tripped offline from 06:50AM to 12:30 on 01/09 and again tripped offline from 8:40AM to 11:55 AM on 01/11 due to a "failing breaker".</t>
  </si>
  <si>
    <t>1. SR095433</t>
  </si>
  <si>
    <t>1.POA Pyranometer is not communicating from 07:00AM on 11/09 and throughout the month due to a malfunctioning NPort, where the POA and GHI are connected.</t>
  </si>
  <si>
    <t>1. SR093972</t>
  </si>
  <si>
    <t xml:space="preserve">1. Inverter 2 is offline since 01/23 due to a damaged "tbusd" board, which is being RMA'd and inverter 1 was offline on 01/23 from 08:15am to 01:25pm due to DC Contactor fault and the technician powercycled the inverter
2.Inverter 1 tripped offline on 01/25 at 13:15 due to an 'IAC overcurrent' fault and was back online on 01/26. According to the technician, both the fuses and the capacitor bank were in working order and within range. Inverter 1 tripped offline again on 01/29 at 14:40, came back online on 01/30 at 07:00, and tripped offline once more on 01/30 at 09:00. The technician swapped the CCU board between Inverters 1 and 2, and Inverter 1 was back online at 14:40 on 01/30.
3. CB 4 string 4 is offline from 01/01 due to blown fuse a technician replaced  fuse on 01/21 on both string 4and string 11. </t>
  </si>
  <si>
    <t>1. SR095885, SR095919
2. SR095976, 	SR096119
3. SR095645</t>
  </si>
  <si>
    <t>SR095919</t>
  </si>
  <si>
    <t>SR095976</t>
  </si>
  <si>
    <t>SR096119</t>
  </si>
  <si>
    <t>SR095645</t>
  </si>
  <si>
    <t>1. Technician swapped the fiber optic cable, restoring Inverter 2 online at 12:15 on 1/7.</t>
  </si>
  <si>
    <t>1. SR095176</t>
  </si>
  <si>
    <t>1. Inverter 1 was offline on 1/10 due to a Fault DC Contactor. Ingecon remotely restarted it, restoring operation at 4:00 PM on 1/10.</t>
  </si>
  <si>
    <t>1. SR095483</t>
  </si>
  <si>
    <t>1. POA sensor continues to read inaccurately. Tech verified connections by testing both old and new sensors, with irradiance around 1 W/m². The original sensor was last calibrated in May 2024. GPM recommends replacing the run cable to the DAS to improve accuracy.
2. Inverter 2 had delayed startup on 01/09, 01/19, and was offline all day on 01/21 due to an AC Contactor fault. Technician followed Ingeteam's instructions, removed grounding and bonding fuse, switched to a floating system, and swapped the K2 relay with Inverter 1. Inverter back online on 01/23.</t>
  </si>
  <si>
    <t>1. SR093024
2. SR095445</t>
  </si>
  <si>
    <t>SR095445</t>
  </si>
  <si>
    <t>1. Weather station has reported 0 since 8/21. New UP POA and Down POA need replacement. Gen Cap advised holding off dispatch.
2. Combiner box 19 had minimal production since 10/29. Technician found it locked/tagged, removed the lock, tested voltage, fuses, and ground faults—all tested good. Combiner box 19 back in production on 01/29.
3. Inverter 3 tripped offline at 12:10 on 01/26 due to IAC out of range. Technician found thermal damage and blown fuses. Parts have been RMA'd.
4. Inverter 4 tripped offline at 12:00 on 01/27 due to IAC out of range. Technician replaced a blown fuse on the middle phase, cap bank tested good. Inverter back online at 1:20 on 01/29.
5. Combiner boxe 3 offline due to thermal damage and fuse blown and combiner boxes 21-37,26,30 and 33 required new CT's from 01/29.</t>
  </si>
  <si>
    <t>1. SR094278
2. SR095604
3. SR095991
4. SR096045
5. SR095991</t>
  </si>
  <si>
    <t>SR095604</t>
  </si>
  <si>
    <t>SR095991</t>
  </si>
  <si>
    <t>SR096045</t>
  </si>
  <si>
    <t>1. Site tripped offline at 16:00 on 01/29 due to utility outage and back online at 20:55 on 01/29.</t>
  </si>
  <si>
    <t>1. SR096126</t>
  </si>
  <si>
    <t>1. Weather station Reporting 0 value from 05/31. POA sensors need to be replaced. Quote provided to Gen Cap for approval.
2. Trackers A01, A05, A06, A07, A10, B17, D20, F19, F21, F22, F32, F33, and G14 are stuck since different dates, totaling 13. Gen Cap advised holding off dispatch.</t>
  </si>
  <si>
    <t>1. SR092964
2. SR095253</t>
  </si>
  <si>
    <t>SR095253</t>
  </si>
  <si>
    <t>1.Low generation due to weather/snow.</t>
  </si>
  <si>
    <t>1.Inverters 2,3,4 are offline at 11:30 on 01/06 while technician on site to troubleshoot combiner boxes. In addition Combiner Boxes 35-46 are offline from 01/02 and back online on 01/14.</t>
  </si>
  <si>
    <t>1.SR095252</t>
  </si>
  <si>
    <t>1. Inverter 23 was offline since 11/29 reporting Grid Phase Voltage Out of Range. Gen Cap advised holding off dispatch.</t>
  </si>
  <si>
    <t>1. SR093436</t>
  </si>
  <si>
    <t>1. Inverter 1 started late for the production due to Isolation resistance value of limits and later self resolved at 11:25 on 01/29.</t>
  </si>
  <si>
    <t>1. SR096100</t>
  </si>
  <si>
    <t>1. Site tripped offline at 13:50PM on 01/07/25 and  came back online after a brief outage at 20:00 on same day.
2. Inverter 4 has been offline since 11/13/24 and reporting Fault elect. supply. On 01/29/25, the technician installed stacks, partially checked ground faults, and found the connecting plates were missing. Re-energizing occurred, as thermal events were observed during this step and inverter still offline.</t>
  </si>
  <si>
    <t>1. SR095376
2. SR093375</t>
  </si>
  <si>
    <t>SR093375</t>
  </si>
  <si>
    <t>1.Inverter 2 tripped offline at 9:40 AM on 01/14/25 due to an SE INTERNAL TEMP UNBALANCED (253) fault and came back online at 2:50 PM the same day. On 01/15/25, the technician performed a fan test. After restarting, Inverter 2 showed a Phase S blower message. Fans S &amp; R were swapped, but the fault followed the fan. Ingeteam issued an RMA to ship a new fan. On 01/20/25, the inverter again tripped offline at 12:05 PM and remained offline. On 01/27/25, the technician replaced the RMA fan "S," and it was brought back online at 12:45 PM.</t>
  </si>
  <si>
    <t>1. SR095549</t>
  </si>
  <si>
    <t>1. Inverters 1 and 2 tripped offline at 13:40 on 01/07/25 and came back online on 01/08. Inverter 1 tripped again at 12:20 on 01/11 due to an Iac out-of-range fault. Inverter 2 experienced multiple trips due to an isolation resistance value out-of-limits fault. On 01/12/25, the technician brought both inverters back online at 13:40 after replacing the connection with a new wire (same labeling) and a new fuse from stock.
2. Inverter 3 tripped offline at 10:40 AM on 01/22/25 due to an AC Protection fault. Inverter 4 experienced multiple trips due to a hardware error. On 01/23/25, the technician brought Inverter 3 back online at 15:05 after closing the Q4 breaker, finding the D134 LED illuminated but no other errors. Further instructions from Ingeteam are needed for part replacement. On 01/24/25, the technician tested the capacitor banks of Inverters 3 and 4 as per Ingeteam's instructions. Inverter 3's capacitor bank was RMA'd.
3. Inverter 2 tripped offline at 12:05 and back online at 13:00 on 01/28/25 due to an Insulation fault.</t>
  </si>
  <si>
    <t>1. SR095496
2. SR095852
3. SR096056</t>
  </si>
  <si>
    <t>SR095852</t>
  </si>
  <si>
    <t>SR096056</t>
  </si>
  <si>
    <t>1.Inverter 1 tripped offline at 14:15 on 01/16/25 due to a ground fault. On 01/17/25, the technician identified the fault on CB 13, turned it off, and restarted the inverter. On 01/18/25, condensation was found on CB 19 and voltage issues on string 9, so CB 19 was left offline. The GFDI fault returned after restarting. On 01/21/25, the technician found a hard positive ground fault on the negative busbar, but could not replicate the fault after checking all CBs. Inverter 1 has been RMA'd.</t>
  </si>
  <si>
    <t>1. SR095635</t>
  </si>
  <si>
    <t>1. Site was tripped offline on 01/07/25 at 13:15 due to utility outage and power was restored at 14:25 on same day.
2. Site was tripped offline on 01/22/25 at 11:30AM due to utility outage and power was restored at 17:25 on same day.
3. Site was tripped offline on 01/29/25 at 11:45AM due to utility outage and power was restored at 13:00 on same day.</t>
  </si>
  <si>
    <t>1. SR095374
2. SR095374
3. SR096112</t>
  </si>
  <si>
    <t>SR095374</t>
  </si>
  <si>
    <t>SR096112</t>
  </si>
  <si>
    <t>1. Site was tripped offline on 01/07/25 at 13:15 due to utility outage and power was restored at 14:25 on same day.
2. Site was tripped offline on 01/22/25 at 12:20 AM. On 01/23/25, the technician found the cradlepoint was not working and the SIM card was RMA'd. On 01/27/25 the technician pushed new firmware, power-cycled the cradlepoint site back online at 05:00 on 01/27
3. Site was tripped offline on 01/29/25 at 11:50AM due to utility outage and power was restored at 13:00 on same day.</t>
  </si>
  <si>
    <t>1. SR095375
2. SR095375
3. SR096113</t>
  </si>
  <si>
    <t>SR095375</t>
  </si>
  <si>
    <t>SR096113</t>
  </si>
  <si>
    <t>1. Inverter module 2.2 has been underproducing by 1000 kW since 01/22/25 compared to its peers due to a faulty PG board. On 01/24/25, the technician replaced the board and inverter resumed back to normal production.
2. Inverter 1 unit 2  is producing as expected after the technician replaced the PG board on 01/07/25.</t>
  </si>
  <si>
    <t>1. SR095917
2. SR094891</t>
  </si>
  <si>
    <t>SR094891</t>
  </si>
  <si>
    <t xml:space="preserve">1.Site tripped offline at 11:45 on 01/21 due to main breaker tripped open and back online at 10:15 on 01/22 after technician re-energised the site.
2. From 01/05, Inverter 1 trackers and multiple trackers(2.021, 2.027, 2.052, 2.059, 2.066, 2.114, 2.120, &amp; 2.124) on Inverter 2 were stuck. Inverter 2 Trackers 2.011, 2.020, 2.027, 2.030, 2.032, 2.036, 2.039, 2.043, 2.050, 2.051, 2.052, 2.054, 2.056, 2.059, 2.060, 2.061, 2.064, 2.066, 2.068, 2.088, 2.095, 2.114, 2.119, 2.120, &amp; 2.124 were stuck on 01/10. Technician restored Inverter 1 trackers on 01/13 and initiated the RMA process for 9 tracker control units. Modules are covered in ice/snow, and a low battery charging panel was dismounted and it will be reinstalled in better weather.
</t>
  </si>
  <si>
    <t>1.SR095812
2.SR095109</t>
  </si>
  <si>
    <t>SR095109</t>
  </si>
  <si>
    <t>1. Site tripped offline from 13:15PM to 14:45PM on 01/07 due to brief utility outage, again site tripped offline from 10:35 to 17:15 on 01/22 due to utility outage.</t>
  </si>
  <si>
    <t>1.SR095371</t>
  </si>
  <si>
    <t xml:space="preserve">1.Site tripped offline from 13:15PM to 14:45PM on 01/07 due to brief utility outage, again site tripped offline from 10:35 to 17:15 on 01/22 due to utility outage.
2.Inverter 1 was offline on 01/31 and technician was unable to access the site due to heavy snowbank at the access road.
</t>
  </si>
  <si>
    <t>1.SR095373
2.SR096177</t>
  </si>
  <si>
    <t>SR096177</t>
  </si>
  <si>
    <t>1. Inverter is  barely producing since 01/15 and from 01/20 the inverter is offline due to bad PA1 board(PA1 board is being RMA'd) 
2. Site was tripped offline on 01/12 at 18:00 due to utility outage and later power was restored at 19:55 on 01/12</t>
  </si>
  <si>
    <t>1. SR096106, SR095599
2. SR095506</t>
  </si>
  <si>
    <t>SR095599</t>
  </si>
  <si>
    <t>SR095506</t>
  </si>
  <si>
    <t>1. Site was tripped offline on 01/12 at 17:50 due to utility outage and power was restored at 20:00 on 01/12</t>
  </si>
  <si>
    <t>1. SR095508</t>
  </si>
  <si>
    <t>1. Site was tripped offline on 01/12 at 18:00 due to utility outage and later power was restored at 19:55 on 01/12</t>
  </si>
  <si>
    <t>1. 	SR095507</t>
  </si>
  <si>
    <t>1. Site was tripped offline on 01/01 at 11:00am due to utility outage and later power was restored at 17:45 on 01/01
2.Site was tripped offline at 17:30 on 01/22 due to relay open and back online on 01/23 at 09:00am after technician closed in the relay.</t>
  </si>
  <si>
    <t>1. SR095211
2. SR095865</t>
  </si>
  <si>
    <t>SR095865</t>
  </si>
  <si>
    <t>1. Combiner box 1.05 is offline on 01/30 and later self resolved on 01/31.</t>
  </si>
  <si>
    <t>1. SR096147</t>
  </si>
  <si>
    <t>1.  Tracker control 33 - 90, 129 - 136, 148 are not communicating  &amp; tracker 156 is stuck and production dropped (approxmately ) 25 KW down.</t>
  </si>
  <si>
    <t>1. SR095073</t>
  </si>
  <si>
    <t>1.Site tripped offline from 11:40 to 14:10 on 01/23 due to technician checked in along with Sungrow representatives to collect data.
2.Site was offline at 16:30 on 01/23 and back online at 15:30 on 01/28 due to snowfall.</t>
  </si>
  <si>
    <t>1.SR095678
2.SR096054</t>
  </si>
  <si>
    <t>SR096054</t>
  </si>
  <si>
    <t>1.Trackers 138, 141, &amp; 147 are stuck. GenC says to hold on dispatch</t>
  </si>
  <si>
    <t>1.	SR095821</t>
  </si>
  <si>
    <t>1.Inverter went offline from 15:46 to 15:55 briefly with AC Separating Point failure later attempted remote clear error and inverter back online</t>
  </si>
  <si>
    <t>1.SR095558</t>
  </si>
  <si>
    <t>1. Inverter 2 tripped offline at 10:00 on 01/02  and reporting "AC Breaker Switch Open and technician was re-energized inverter at 14:30 on 01/02.
2. Inverter 2 is underperforming its peer by approx 50% from 01/20. Possibly weather related, area is reporting 4 inches snow accumulation and inverter producing as expected from 01/26</t>
  </si>
  <si>
    <t>1.SR095213
2.SR095794</t>
  </si>
  <si>
    <t>SR095794</t>
  </si>
  <si>
    <t>1.Inverter 2 offline due to insulation measurement event on 01/01 and the insulation fault eventually cleared inverter back online on 01/02
2. POA sensor is reporting 0 W/m2 from 11/25/24. Will investigate next time onsite</t>
  </si>
  <si>
    <t>1.	SR094986
2.	SR095304</t>
  </si>
  <si>
    <t>SR095304</t>
  </si>
  <si>
    <t>1.Inverter tripped offline at 13:40 due to 9023 DC overcurrent fault with sporadic Amperage measurements and back online at 15:20 on 01/09 again tripped offline at 11:45 due to technician at site and back online at 16:00 on 01/28.</t>
  </si>
  <si>
    <t>1.SR095185</t>
  </si>
  <si>
    <t>1. Trackers 1, 4, 29, 35, 49, 56, 67, 68, 72, &amp; 89 were stucked from 12/08</t>
  </si>
  <si>
    <t>1.SR094262</t>
  </si>
  <si>
    <t>1.NCU 1 tracker 25 was stuck at -59.67 on 01/16 and 28kw production was lost.
2.NCU 2 Tracker 1 was stuck at 60.48 from 11/18/24 and has a production loss of 9.5kw.</t>
  </si>
  <si>
    <t>1.SR095624
2.SR093637</t>
  </si>
  <si>
    <t>SR093637</t>
  </si>
  <si>
    <t>1.POA1 is  not accurately reporting - technician need to visit for further troubleshooting</t>
  </si>
  <si>
    <t>1.	SR096042</t>
  </si>
  <si>
    <t>1.  CBs 1.12 &amp; 1.13 are underperforming from 01/27.</t>
  </si>
  <si>
    <t>1.SR096006</t>
  </si>
  <si>
    <t>1.Site was offline  on 01/29 due to AC breaker open. Technician was able to close the AC breaker site back online at 13:00 on 01/30</t>
  </si>
  <si>
    <t>1.SR096107</t>
  </si>
  <si>
    <t>1. Inverter started late for production at 09:05am with fauli 24:HVDC on 01/03. Fault was cleared through powerSupervisor.</t>
  </si>
  <si>
    <t>1.SR095269</t>
  </si>
  <si>
    <t>1. 12 trackeers are stuck in different dates due to Several actuators adjusted from 01/06, need to contact slater to reset. Sent Slater an Email, 6 more trackers need TS</t>
  </si>
  <si>
    <t>1.SR094820</t>
  </si>
  <si>
    <t>1. 29 trackers are stuck on different dates from 01/06 due to actuators need replacement and the technician  Requested update from Slater. Tech adjusted actuators, but Spc 2410 still needs troubleshooting from Nextracker</t>
  </si>
  <si>
    <t>1.	SR095759</t>
  </si>
  <si>
    <t>1.Trackers 253 &amp; 329, 230, 338 are currently stuck from 06/24/24</t>
  </si>
  <si>
    <t>1.SR093842</t>
  </si>
  <si>
    <t>1. Site tripped offline due to utility outage at 09:30 on 01/15 and site back online at 16:45 on 01/16</t>
  </si>
  <si>
    <t>1.SR095582</t>
  </si>
  <si>
    <t>1.Site was tripped offline due to relay open at 03:22am Technician closed the relay,site back online at 12:10 on 01/23
2.Site was tripped offline due to relay open at 10:00am Technician closed the realy, site back online at14:30 on 01/26 
3.Site was tripped offline due to relay open on 01/30 and technician closed the realy site  back online on 01/31</t>
  </si>
  <si>
    <t>1.SR095886
2.SR095986
3.SR096141</t>
  </si>
  <si>
    <t>SR095986</t>
  </si>
  <si>
    <t>SR096141</t>
  </si>
  <si>
    <t>SOL-11085</t>
  </si>
  <si>
    <t>1. Many optimizers on SE are offline, EPC to complete.</t>
  </si>
  <si>
    <t>1. SR095945</t>
  </si>
  <si>
    <t>1. Optimizers on SE are offline, EPC to complete.</t>
  </si>
  <si>
    <t>1. SR095946</t>
  </si>
  <si>
    <t>1.  Optimizers are offline, EPC to complete.</t>
  </si>
  <si>
    <t>1. SR095948</t>
  </si>
  <si>
    <t>1. Optimizers are offline, EPC to troubleshoot.</t>
  </si>
  <si>
    <t>1. SR095950</t>
  </si>
  <si>
    <t>1. Multiple optimizers are offline.</t>
  </si>
  <si>
    <t>1. SR095962</t>
  </si>
  <si>
    <t>1. SR095960</t>
  </si>
  <si>
    <t>1. SR095956</t>
  </si>
  <si>
    <t>1. Appears no optimizers are connected.</t>
  </si>
  <si>
    <t>1. SR095955</t>
  </si>
  <si>
    <t>1. Many optimizers are offline on the SE portal, working with EPC to complete.</t>
  </si>
  <si>
    <t>1. SR095937</t>
  </si>
  <si>
    <t>1. SR095938</t>
  </si>
  <si>
    <t>1. SR095939</t>
  </si>
  <si>
    <t>1. A few strings are offline. EPC to complete.
2. Inverter 2 tripped offline at 06:30 AM on 01/17.</t>
  </si>
  <si>
    <t>1. SR095941
2. SR095940</t>
  </si>
  <si>
    <t>SR095940</t>
  </si>
  <si>
    <t>1. Optimizers are offline, EPC to complete.</t>
  </si>
  <si>
    <t>1. SR095942</t>
  </si>
  <si>
    <t>1. SR095961</t>
  </si>
  <si>
    <t xml:space="preserve">1.Inverter 2 tripped offline at 12:45PM on 01/02 and reporting "Overall work state as STOP" and later self resolved on 01/03.
</t>
  </si>
  <si>
    <t xml:space="preserve">1.SR095242
</t>
  </si>
  <si>
    <t>1.Site tripped offline at 09:50AM on 01/12 due to relay opened later technician closed the relay on 01/13 at 08:45AM.
2.Site tripped offline at 15:45 on 01/31 due to relay opened.</t>
  </si>
  <si>
    <t>1.SR095500
2.SR096195</t>
  </si>
  <si>
    <t>SR096195</t>
  </si>
  <si>
    <t>1.TCU tracker 56 position stuck at 7.29 Degrees,TCU 10 is stuck at -16 degrees, TCU 15 is also stuck at 0.34 degrees and setpoint stuck at 7.9 degrees from 08:00AM on 01/08.
2.Inverter 9 was offline on 01/21 and later self resolved on 01/22.</t>
  </si>
  <si>
    <t>1.SR095099
2.SR095797</t>
  </si>
  <si>
    <t>SR095797</t>
  </si>
  <si>
    <t>1.Trackers T01.A.29, 31, 33, 35, &amp; 37 Tracker T02.E.11 are stuck from 01/17. This is EPC item per GenC during call
2.Site tripped offline on 01/29 at 17:25due recloser was open with a B and C phase fault, later technician closed the relay on 01/31 at 14:55</t>
  </si>
  <si>
    <t>1.SR095644
2.SR096127</t>
  </si>
  <si>
    <t>SR096127</t>
  </si>
  <si>
    <t>1.Tracker T01 B27 stuck at -54 degrees from 1/2/25.
2.Inverter 1 tripped offline at 12:35 on 01/26 and reporting "Over all work state as STOP" later technician cleared a ground fault on Inverter 1
3.Combiner box 21 is was kept offline by EV solar on 01/15
4.Site tripped offline on 01/29 at 17:25 due recloser was open with a B and C phase fault, later technician closed the relay on 01/31 at 14:55</t>
  </si>
  <si>
    <t>1.SR095284
2.SR095992
3.SR095328
4.SR096127</t>
  </si>
  <si>
    <t>SR095992</t>
  </si>
  <si>
    <t>SR095328</t>
  </si>
  <si>
    <t>1. The inverter was offline from 01/01 as it was being RMA'd. After the inverter was replaced, it came back online on 01/16 at 11:00 AM.</t>
  </si>
  <si>
    <t>1.SR095581</t>
  </si>
  <si>
    <t>February Actual v. Expected</t>
  </si>
  <si>
    <t>February Actual v. Forecasted</t>
  </si>
  <si>
    <t>1.The inverters experienced multiple tripping events on 02/14,17,18,19,20 due to intermittent voltage on phase B. The site tripped offline at 08:52 AM on 02/21. The technician arrived and stated that the cause was a blown phase C fuse and thermal damage to the AC disconnect. The site will remain offline until the parts are replaced.</t>
  </si>
  <si>
    <t>1.SR097569</t>
  </si>
  <si>
    <t>1. 96 optimizers are down for site construction.
2. Low generation due to weather/snow.</t>
  </si>
  <si>
    <t>1.SR093633</t>
  </si>
  <si>
    <t>1.Due to shunt trips of the switchgear and overcurrent faults, the site has been offline since 11/20/2024. It came back online at 10:25 AM on 02/12 and again tripped offline at 05:25 PM on 02/13 till date.</t>
  </si>
  <si>
    <t xml:space="preserve">1.The site went offline at 09:45 on 02/14 due to the AC breaker tripping. The technician reset the breaker, and the site came back online at 11:00 on 02/18.
2.The site was offline from 13:15 on 02/21 due to the main breaker tripping. The technician reset the breaker, and the site came back online at 08:45 on 02/24.
</t>
  </si>
  <si>
    <t>1.	SR097083
2.	SR097636</t>
  </si>
  <si>
    <t>SR097636</t>
  </si>
  <si>
    <t>1. Inverter 1 right unit offline from 02/03 due to comms card being RMAD and came back online on 02/28</t>
  </si>
  <si>
    <t>1.	SR096249</t>
  </si>
  <si>
    <t xml:space="preserve">1. optimizers Module 1.2.4  , Module 2.2.18 , Module 2.3.11 ,  Module 3.1.16 ,    Module 6.1.5 ,  Module 7.1.4 , Module 7.3.17 ,  Module 9.1.16 ,Module 10.3.3 , 8.0.27 are offline
   </t>
  </si>
  <si>
    <t>1.SR093326</t>
  </si>
  <si>
    <t>1.Inverter 2 central unit  offline and reporting "DC Isolation on 02/04 and again resolved on 02/05</t>
  </si>
  <si>
    <t>1.SR096294</t>
  </si>
  <si>
    <t>1.Inverter 2 left unit technician was swapped and is back online on 02/03</t>
  </si>
  <si>
    <t>1.SR095758</t>
  </si>
  <si>
    <t>1.Inverter 1 tripped offline at 07:35 AM on 02/05/25 due to an SE INTERCOOLER SYS (104) fault and came back online at 11:50 AM the same day.</t>
  </si>
  <si>
    <t>1. SR096330</t>
  </si>
  <si>
    <t>1.Inverter 30 came back online at 15:35 on 02/19/25 after the technician replaced the fuses and  re-energized
2. Inverter 4 came back online at 10:00AM on 02/04/25 after the technician replaced the blown fuses.</t>
  </si>
  <si>
    <t>1. SR095473
2. SR096164</t>
  </si>
  <si>
    <t>1. Site was offline from 09:05 to 13:35 on 02/13/25 due to an brife utility outage.</t>
  </si>
  <si>
    <t>1.SR096701</t>
  </si>
  <si>
    <t>1.Inverter 1 started late at 13:30 on 02/12/25 due to an AC contactor fault and went offline again on 02/21/25. On 02/22/25, the technician swapped the CCU between Inverters 1 and 2 as per Ingeteam's instructions, but the issue persisted. The fiber cables are fine, and further investigation is needed to get Inverter 1 online. On 02/24/25, the technician shut down the site, swapped the CPU boards between Inverters 1 and 2, and both inverters resumed production with no alarms. However, both showed a "LVRT board fail" warning. Ingeteam confirmed that this warning can be ignored as the LVRT boards are disabled on all inverters. Inverters 1 and 2 are now back online at 15:30 the same day.</t>
  </si>
  <si>
    <t>1. SR096750</t>
  </si>
  <si>
    <t>1.POA Pyranometer is not communicating from 07:00AM on 11/09/24 and throughout the month due to a malfunctioning NPort, where the POA and GHI are connected.</t>
  </si>
  <si>
    <t>1. Inverter 2 back online at 13:40 on 02/03/25, after technician Installed missing termination connector.
2. Inverter 1 tripped offline at 08:35 on 02/12/25 due to a DC contactor fault. The technician checked the DC contactor and power-cycled the inverter, bringing it back online at 12:55 the same day.
3. Inverter 2 Combiner Box 8 has been offline since 02/13/25. On 02/18/25, the technician found open fuses in CB 8 and closed them. While on-site, Inverter 1 tripped offline at 08:40AM due to a DC contactor fault. After troubleshooting, the technician reset the inverter, restoring production. Both the combiner and inverter are producing as expected from 10:30AM the same day.
4. Inverter 1 tripped offline at 11:15 AM on 02/22/25 due to a DC contactor fault and came back online at 13:10 the same day after Ingeteam reset it. On 02/24/25, the technician shut down the inverter at 08:15 AM, opened the cabinets, found no loose connections or heat damage, disengaged the e-stop, and the inverter resumed production at 10:05 AM the same day.</t>
  </si>
  <si>
    <t>1. SR095919
2. SR096726
3. SR096907, SR097233
4. SR097643</t>
  </si>
  <si>
    <t>SR096726</t>
  </si>
  <si>
    <t>SR096907</t>
  </si>
  <si>
    <t>SR097233</t>
  </si>
  <si>
    <t>SR097643</t>
  </si>
  <si>
    <t>1. Inverter 1 was offline on 02/02/25 due to an AC contactor fault. On 02/03/25, the technician found the panel door blown off with bent hinges, reattached it, and temporarily supported it. New hinges are needed. After power cycling and resetting, an AC contactor alarm cleared, but a Fan 2 warning remains. It was back online at 12:55pm the same day.
2. Site tripped offline at 15:45 on 02/28/25 and came back online after a brief communication outage at 21:15 on the same day</t>
  </si>
  <si>
    <t>1. SR095483
2. SR097935</t>
  </si>
  <si>
    <t>SR097935</t>
  </si>
  <si>
    <t>1. POA sensor continues to read inaccurately. Tech verified connections by testing both old and new sensors, with irradiance around 1 W/m². The original sensor was last calibrated in May 2024. GPM recommends replacing the run cable to the DAS to improve accuracy.
2.Inverter 2 was offline all day on 02/02/25 due to an AC contactor fault. On 02/03/25, it came back online at 14:30 after the technician closed the breaker, tested voltages, and verified the D134 LED was on. It was offline again all day on 02/20/25. On 02/21/25, the technician found damaged wiring on J15 with a broken wire jacket. Voltage for Q4 tested around 490VAC, and the breakers were power cycled. It was back online at 10:45 AM on 02/22/25.</t>
  </si>
  <si>
    <t>1. SR093024
2. SR095445, SR097568</t>
  </si>
  <si>
    <t>SR097568</t>
  </si>
  <si>
    <t>1. Meter has been capturing full production since 02/25/25, after the technician adjusted the blade and confirmed that all three phases are reporting production.
2. Site was taken offline from 13:25 to 15:40 on 02/03/25. The technician changed the tap from E/5 to C/3 on the transformer.
3. Inverter 1 tripped offline at 14:15 on 02/02/25 due to an AC contactor fault. On 02/03/25, the technician swapped the CCu boards between Inverters 1 and 2, bringing it back online at 15:40 the same day. It tripped offline again at 08:10 AM on 02/08/25 due to a DC contactor fault and was back online at 15:25 the same day. It tripped offline once more at 07:55 on 02/14/25, and after Ingeteam remotely reset it, it was brought back online at 07:40 on 02/15/25.
4. Inverter 2 tripped offline at 15:15 on 02/14/25 due to Iac out of range and Inst. Iac overcurrent faults. The technician replaced all 3 AC fuses with new 350A fuses from inventory, power cycled the system, and brought it back online at 12:50 on 02/15/25.</t>
  </si>
  <si>
    <t>1. SR096121
2. SR096150
3. SR096230, SR096525 &amp; SR097011
4. SR097121</t>
  </si>
  <si>
    <t>SR096150</t>
  </si>
  <si>
    <t>SR096230</t>
  </si>
  <si>
    <t>SR096525</t>
  </si>
  <si>
    <t>SR097011</t>
  </si>
  <si>
    <t>SR097121</t>
  </si>
  <si>
    <t>1. Weather station has reported 0 since 8/21. New UP POA and Down POA need replacement. Gen Cap advised holding off dispatch.
2. Inverter 3 had been offline since 01/26 due to an IAC out-of-range issue. On 02/27 AC cap bank was replaced with new RMA parts (cap bank, wires, and fuses). Verified with Sahith/Ingeteam that 350A fuses (the new standard) are suitable replacements for the 250A fuses. Inverter 3 is back online at 12:50. 
3. Inverter 4 tripped offline intermittently throughout the month due to 'IAC out of range,' but self-resolved each time.</t>
  </si>
  <si>
    <t>1. SR094278
2. SR095991
3. SR096215</t>
  </si>
  <si>
    <t>SR096215</t>
  </si>
  <si>
    <t>1. The site tripped offline at 10:02 AM and came back online at 11:50 AM on 02/14. The utility had two circuits in a parallel configuration.</t>
  </si>
  <si>
    <t xml:space="preserve">1. SR097025
</t>
  </si>
  <si>
    <t>1. Weather station Reporting 0 value from 05/31. POA sensors need to be replaced. Quote provided to Gen Cap for approval.
2. Inverter 2 did not start production, and Inverter 1 tripped offline at 12:50 on 02/16. Both inverters self-resolved and came back online on 02/17.
3. Trackers A01, A05, A06, A07, A10, B17, D20, F19, F21, F22, F32, F33, and G14 have been stuck since various dates, totaling 13 trackers. Gen Cap advised holding off on dispatch</t>
  </si>
  <si>
    <t>1. SR092964
2. SR097169
3. SR095253</t>
  </si>
  <si>
    <t>SR097169</t>
  </si>
  <si>
    <t>1. Inverter 1 tripped offline at 13:25 due to an 'Insulation fault' and later self-resolved, came back online at 2:20 PM on 02/19.</t>
  </si>
  <si>
    <t>1. SR097524</t>
  </si>
  <si>
    <t>1. Inverter 1 started late for production at 12:05 on 02/14 due to Hardware error.
2. Site tripped offline at 11:20AM and later self resolved , came back online at 4:2PM on 02/16.
3. Inverter 1 was offline since the morning of 02/21 due to a hardware error. The technician swapped NTC boards between Inverters 1 and 2, then re-energized both units. Inverters 1 and 2 are now online and producing.
4. The site tripped offline at 8:15 AM due to utility work and came back online at 10:20 AM on 02/24. Again site tripped offline at 13:05 and back online at 05:10PM on 02/26.</t>
  </si>
  <si>
    <t>1. SR097010
2. SR097162
3. SR097599
4. SR097684, SR097701</t>
  </si>
  <si>
    <t>SR097162</t>
  </si>
  <si>
    <t>SR097599</t>
  </si>
  <si>
    <t>SR097684</t>
  </si>
  <si>
    <t>SR097701</t>
  </si>
  <si>
    <t>1. Inverter 5 tripped offline on 02/28 at 13:45 due to Grid Line Voltage Out of Range.
2. Inverter 23 was offline since 11/29 reporting Grid Phase Voltage Out of Range. Gen Cap advised holding off dispatch.</t>
  </si>
  <si>
    <t>1. SR097930
2. SR093436</t>
  </si>
  <si>
    <t>SR093436</t>
  </si>
  <si>
    <t>1. Inverter 1 started production late at 11:40 AM and went offline again from 12:05 PM to 12:50 PM while the technician was onsite for the head tracker replacement.
2. Inverter 1 didn't started for production on 02/16 and self resolved started for production on 02/17.
3. Inverter 1 didn't started for production due to Isolation fault on 02/27 and self resolved started for production on 02/28.</t>
  </si>
  <si>
    <t>1. SR096416
2. SR097158
3. SR097883</t>
  </si>
  <si>
    <t>SR097158</t>
  </si>
  <si>
    <t>SR097883</t>
  </si>
  <si>
    <t>1. Inverter 4 has been offline since 11/13/24 and reporting Fault elect. supply. On 02/03 tech Installed missing hardware stacks, inverter 4 was back online at 2:55 PM on same day. Later technician replaced  few fuses for combiner boxes 30 &amp; 35  on 02/04</t>
  </si>
  <si>
    <t>1. SR093375</t>
  </si>
  <si>
    <t>1. Inverter 1 experienced multiple tripping events between 02/11 t0 02/19. On 02/19 technician was onsite and replaced a fan, inverter 1 back online at 2:05PM on 02/19.</t>
  </si>
  <si>
    <t>1. SR096675</t>
  </si>
  <si>
    <t>1. On 02/09, Inverter 1 tripped offline at 13:10, and Inverter 2 tripped offline at 09:25 due to SE IAC FILTER RMS UNBALANCED HIGH. Ingeteam remotely reset the inverters, and both were back online at 16:15 on 02/09
On 02/18, Inverter 1 tripped offline again at 07:45 due to an IAC Overcurrent fault and started late for production because of a DC Contactor fault. The technician found and replaced one AC fuse with thermal damage, and the inverters were back online at 11:35
2. Inverter 3 tripped offline at 11:20AM and back online at 12:20PM on 02/04. Technician was onsite replaced harmonics filter/capacitor bank.
3. On 02/19, Inverter 2 did not start production due to an AC Contactor fault. Ingeteam reset the inverter, bringing it online at 2:05 PM. On 02/18–02/21, Inverters 1 and 2 had multiple tripping events that self-resolved by day’s end. On 02/25, tech checked all inverters online. Inverter 2 has been stable since 02/21. No AC contactor issues, but minor water on the bus bar (wiped dry) and thermal damage on an AC fuse wire. Parts received and dispatch has been Assigned for march.</t>
  </si>
  <si>
    <t>1. SR096552
2. SR095852
3. SR097526</t>
  </si>
  <si>
    <t>SR097526</t>
  </si>
  <si>
    <t>1. Inverter 1 has been offline since 01/16 reporting  Overall work status as "STOP". On 02/26 technician installed fuse and repaired affected Combiner boxes. Inverter 1 back online at 1:00PM on 02/26.</t>
  </si>
  <si>
    <t>1. The site tripped offline at 8:10 AM on 02/24 due to a utility outage. Utility power was restored on 02/26, and the site came back online at 3:25 PM.</t>
  </si>
  <si>
    <t>1. SR097667</t>
  </si>
  <si>
    <t>1. The site tripped offline at 3:45AM on 02/24 due to a utility outage. Utility power was restored on 02/26, and the site came back online at 6:05PM.</t>
  </si>
  <si>
    <t>1. SR097668</t>
  </si>
  <si>
    <t>1.Low generation due to weather/snow..</t>
  </si>
  <si>
    <t>1. Currently, the following trackers are stuck
Group 1: 11–12, 23, 37–38, 57 &amp; 59, 75 &amp; 76, 106 &amp; 119
Group 2: 10, 24, 27, 32, 36, 38–39, 43, 52, 54, 59, 61 &amp; 66, 86 &amp; 97, 114 &amp; 124
A total of 9 tracker control units have been RMA'd.</t>
  </si>
  <si>
    <t>1. SR095109</t>
  </si>
  <si>
    <t xml:space="preserve">1. The site tripped offline between 8:05AM to 3.25PM on 02/26 due to utility outage. </t>
  </si>
  <si>
    <t>1. SR097685</t>
  </si>
  <si>
    <t>1. The site tripped offline between 8:05AM to 3.25PM on 02/26 due to utility outage. 
2. Inverter 1 was offline on 01/31 and technician was unable to access the site due to heavy snowbank at the access road, inverter self resolved and back online on 02/01.</t>
  </si>
  <si>
    <t>1. SR097686
2. SR096177</t>
  </si>
  <si>
    <t>1. The site tripped offline at 11:20AM on 01/29. Two 2PA1 boards need to be replaced. One board has been received and replaced, and are waiting for the other board. Further troubleshooting with Sungrow is required.</t>
  </si>
  <si>
    <t>1. SR096106, SR095599</t>
  </si>
  <si>
    <t>1. Inverter is producing low due to CB's 1,2,3,4 are showing negative production values and CB's 5,6,7,8,9 are producing barely from 02/14. Further troubleshooting with Sungrow is required.</t>
  </si>
  <si>
    <t>1. SR097829</t>
  </si>
  <si>
    <t>1. Inverter 2 experienced intermittent tripping events throughout the month. On 02/28 technician was onsite and replaced the CB PV wire and connectors. CB 21 is back online, and Inverter 2 is showing no faults.
2. The site tripped offline at 10:50AM and later back online at 11:40AM on 02/12.</t>
  </si>
  <si>
    <t>1.SR094307
2. SR096751</t>
  </si>
  <si>
    <t>SR096751</t>
  </si>
  <si>
    <t>1. Currently total of 40 trackers are being struck due to snowfall in the area. Will need to be investigated.</t>
  </si>
  <si>
    <t>1. SR097457</t>
  </si>
  <si>
    <t>1.Tracker control 33 - 90, 129 - 136, 148  , 20-32, 123-128, 172-183 are not communicating  &amp; tracker 156 , 121 is stuck and production dropped (approxmately ) 25 KW down.</t>
  </si>
  <si>
    <t>1.SR095073</t>
  </si>
  <si>
    <t>1. Trackers 25 &amp; 59 are currently stuck from 02/14.Tech cleared alarms and recalibrated snow sensor. Will need to return to calibrate snow sensor again once snow has melted
2. 12 trackers are currently stuck: 13, 20, 25, 52, 54, 56, 59, 70, 72, 76, 85, &amp; 88 due to  residual snow onsite.  As per  Per GenC, hold on dispatch</t>
  </si>
  <si>
    <t>1.	SR097015 , SR097436
2.SR097751</t>
  </si>
  <si>
    <t>SR097436</t>
  </si>
  <si>
    <t>SR097751</t>
  </si>
  <si>
    <t>1.Trackers 138, 141, &amp; 147 are stuck. GenC says to hold on dispatch
2. Inverter 2 tripped offline at 9:25AM on 02/16 and selfresolved on 02/17
3. Inverter 1 tripped offline at 1:55PM on  02/22 and selfresolved on  02/23</t>
  </si>
  <si>
    <t>1.	SR095821
2.	SR097157
3.SR097647</t>
  </si>
  <si>
    <t>SR097157</t>
  </si>
  <si>
    <t>SR097647</t>
  </si>
  <si>
    <t>1. Inverter 2 is currently offline and reporting “AC Breaker switch open from 02/20</t>
  </si>
  <si>
    <t>1.	SR097565</t>
  </si>
  <si>
    <t>1. NCU 1 tracker 10 is currently stuck and has a production loss of 9.5kw.
2.NCU 2 tracker 1 stuck again, tracker 35 remains stuck  and has a production loss of 19kw.</t>
  </si>
  <si>
    <t>1.	SR097725
2.	SR095624</t>
  </si>
  <si>
    <t>SR095624</t>
  </si>
  <si>
    <t xml:space="preserve">1.POA1 is  not accurately reporting - technician need to visit for further troubleshooting
2.currently 9 additional stuck trackers.  Tech found stuck trackers - possibly snow related. Will need to wait for snow to melt </t>
  </si>
  <si>
    <t>1.	SR096042
2.SR096682</t>
  </si>
  <si>
    <t>SR096682</t>
  </si>
  <si>
    <t>1. CBs 1.12 &amp; 1.13 are underperforming from 01/27.</t>
  </si>
  <si>
    <t>1.Modules 3 and 4 offline from 02/05.  After troubleshooting the inverter modules back online on 02/21</t>
  </si>
  <si>
    <t>1.SR096934</t>
  </si>
  <si>
    <t xml:space="preserve">1.NCU 2 tracker 151 is stuck on 02/19 </t>
  </si>
  <si>
    <t>1.SR097471</t>
  </si>
  <si>
    <t>1.12 trackers are stuck in different dates due to Several actuators adjusted from 01/06, need to contact slater to reset. Sent Slater an Email, 6 more trackers need TS</t>
  </si>
  <si>
    <t>1. 29 trackers are stuck on different dates from 01/06 due to actuators need replacement and the technician requested update from Slater. Tech adjusted actuators, but Spc 2410 still needs troubleshooting from Nextracker</t>
  </si>
  <si>
    <t>1.SR095759</t>
  </si>
  <si>
    <t>1.Trackers 253 &amp; 329, 230, 338 are currently stuck from 06/24/24
2. The majority of trackers on-site are currently stuck. This event coincides with recent snowfall in the area and as a result, site production is minimal</t>
  </si>
  <si>
    <t>1.	SR096669
2.SR097454</t>
  </si>
  <si>
    <t>SR097454</t>
  </si>
  <si>
    <t>1.Inverter 1 tripped offline at 14:25 and reporting " AC Breaker switch open on 02/04  selfresolved on 02/05.</t>
  </si>
  <si>
    <t>1.	SR096303</t>
  </si>
  <si>
    <t>1.Site offline from 09:35 to 15:42 on 02/13 due to relay tripped later technician  closed in the relay to reenergize the site .
2.site was offline at 20:04 on 2/16 due to the recloser tripping. Later, the technician closed the SEL to reenergize the site, bringing it back online at 12:14 on 02/18
3.Site offline from 10:00 to 12:53 on 02/28 due to SEL relay was open. Later, the technician closed the SEL to reenergize the site, bringing it back online</t>
  </si>
  <si>
    <t>1.SR096906
2.	SR097179
3.SR097913</t>
  </si>
  <si>
    <t>SR097179</t>
  </si>
  <si>
    <t>SR097913</t>
  </si>
  <si>
    <t>1.Site offline due to relay open  from 06:30 to 11:00 on 02/14 later  SEL auto reclosed. Site back online.
2.Site was offline from 05:15 to 15:00 on 02/17. Later self resolved</t>
  </si>
  <si>
    <t>1.SR097024
2.SR097188</t>
  </si>
  <si>
    <t>SR097188</t>
  </si>
  <si>
    <t>1. Many optimizers on SE are offline, EPC to complete.
2. Inverter 2 offline at 13:00 on 02/21 and back online at 11:45AM on 02/25.</t>
  </si>
  <si>
    <t>1. SR095945
2. SR097637</t>
  </si>
  <si>
    <t>SR097637</t>
  </si>
  <si>
    <t>1. SR095954</t>
  </si>
  <si>
    <t>1. Multiple optimizers are offline.
2. Inverter 2 tripped offline at 09:15 on 02/07.</t>
  </si>
  <si>
    <t>1. SR095956
2. SR096424</t>
  </si>
  <si>
    <t>SR096424</t>
  </si>
  <si>
    <t>1. Many optimizers are offline on the SE portal, working with EPC to complete.
2. Weather station stopped communication at 17:00 on 02/22.</t>
  </si>
  <si>
    <t>1. A few strings are offline. EPC to complete.
2. Inverter 2 tripped offline at 06:30 AM on 01/17 and back online at 11:00AM on 02/26.
3. Inverter 1 is underperforming by 20 kW from 02/04.</t>
  </si>
  <si>
    <t>1. SR095941
2. SR095940
3. SR095940</t>
  </si>
  <si>
    <t>1. Multiple optimizers are offline.
2. Inverter 1 is underperforming by 21 kW from 02/19, possibly due to one unit tripping offline.</t>
  </si>
  <si>
    <t>1. SR095961
2. SR097620</t>
  </si>
  <si>
    <t>SR097620</t>
  </si>
  <si>
    <t>1. Site tripped offline at 8:30 and later self resolved at 12:30 on 02/13.</t>
  </si>
  <si>
    <t>1. SR096931</t>
  </si>
  <si>
    <t>1. The site went offline at 1:30 PM on 02/27 due to a utility outage and came back online at 3:30 PM on the same day.
2. Tracker TCU 81 was stuck at 12.993 degrees with a set point of 14.276 degrees on 02/21. Later, all trackers became stuck at 0 degrees on 02/21.</t>
  </si>
  <si>
    <t>1.SR097882
2.SR097602</t>
  </si>
  <si>
    <t>SR097602</t>
  </si>
  <si>
    <t>1. Inverter 2 isunderperforming compared to its peers and is reporting generic and device 
communication faults.
2. Low generation due to weather/snow.</t>
  </si>
  <si>
    <t>1.SR096257</t>
  </si>
  <si>
    <t>1.Site was taken offline by CES on 02/12 at 14:55 and later back online at 11:10AM on 0/13</t>
  </si>
  <si>
    <t>1.SR095492</t>
  </si>
  <si>
    <t>1.Site was back online at 10:30AM on 02/01 after technician re-enerzing the site.
2.Site tripped offline at12:30PM on 02/16 due to relay opened later technician closed the relay at 11:55AM on 02/17</t>
  </si>
  <si>
    <t>1.SR096195
2.SR097168</t>
  </si>
  <si>
    <t>SR097168</t>
  </si>
  <si>
    <t>1.Inverter 9 was offline on 02/14 and self resolved on 02/15 and again offline on 02/17 and later self resolved on 02/18 at 14:15</t>
  </si>
  <si>
    <t>1.SR095797</t>
  </si>
  <si>
    <t xml:space="preserve">1.Tracker T01 B27 stuck at -54 degrees are back to normal position from 02/19
</t>
  </si>
  <si>
    <t xml:space="preserve">1.SR095284
</t>
  </si>
  <si>
    <t>March Actual v. Expected</t>
  </si>
  <si>
    <t>March Actual v. Forecasted</t>
  </si>
  <si>
    <t>1. Site production was low on 03/05, 03/15 to 03/17 due to bad weather.</t>
  </si>
  <si>
    <t>1.Inverter 1 right unit has been derating since 02/23 due to a fan fault. The technician replaced the external fan on 03/26, and all units are producing in line.</t>
  </si>
  <si>
    <t>1.SR098810</t>
  </si>
  <si>
    <t xml:space="preserve">1.SIte was offline from 02/21 due to Phase C fuse was blown and parts were needed.
</t>
  </si>
  <si>
    <t>1.96 optimizers are down for site construction. Need to investigate</t>
  </si>
  <si>
    <t>1.Wether station stopped communicating since 11/22/24.</t>
  </si>
  <si>
    <t>1. Site production was low on 03/05, 03/15 to 03/17 and 03/30 due to bad weather.</t>
  </si>
  <si>
    <t>1.Weather station stopped communicating since 06/15/24.
2.26 optimizers are down for roof repair.
3.Inverter 2 left unit was offline on 03/24 due to DC Isolation fault and back online on 03/26.</t>
  </si>
  <si>
    <t>1.SR086842
2.SR093294
3.SR098958</t>
  </si>
  <si>
    <t>SR098958</t>
  </si>
  <si>
    <t>1.Site was offline from 11:30AM to 12:15PM on 03/21 due to technician checked-in. 
2.Inverter 2 tripped offline and DC voltages dropped from 850V to 522V at 16:15 and back online at 17:30 on 03/31.</t>
  </si>
  <si>
    <t>1.SR098114, PM7943 
2.SR099228</t>
  </si>
  <si>
    <t>SR099228</t>
  </si>
  <si>
    <t>1. Site production was low on 03/05, 03/15 to 03/17 and 03/24 due to bad weather.</t>
  </si>
  <si>
    <t xml:space="preserve">1. Inverter 2's left unit on SolarEdge is offline and reporting a possible three-phase arc detection.
2. Inverter 1 was underperforming by 13 kW on 03/29, but after remotely resetting the inverter, it was back online on 03/31.
</t>
  </si>
  <si>
    <t>1. SR099136
2. SR099136</t>
  </si>
  <si>
    <t>SR099136</t>
  </si>
  <si>
    <t xml:space="preserve">1.The site is offline at 12:30 PM on 03/17 due to the AC breaker tripping. The technician reset the breaker, and the site came back online at 08:45 AM on 02/20.
2. The site is offline at 16:00 on 03/25 due to the main breaker tripping. The site will remain offline until the new main breaker is replaced.
</t>
  </si>
  <si>
    <t>1. SR098734
2. SR098981</t>
  </si>
  <si>
    <t>SR098981</t>
  </si>
  <si>
    <t>1.Inverter 4 tripped offline at 07:00 AM on 03/16 due to an isolation fault and was back online at 07:00 AM on 03/17. 
2. Inverter 2 is derating by 8 kW compared to its peers. On 03/18, a technician was onsite to investigate the underperformance of Inverter 2. After swapping strings between Inverter 1 and Inverter 2, Inverter 1 started producing, but Inverter 2 remained offline. It came back online at 10:30 AM on 03/20. The powerhead of the inverters has been RMA'd.</t>
  </si>
  <si>
    <t>1. SR096202
2. SR098365</t>
  </si>
  <si>
    <t>SR098365</t>
  </si>
  <si>
    <t>1.Inverter 3 right unit has tripped offline between 11AM to 13:15 on 03/19, 03/22, 03/23 and 03/29 due to AC Voltage Too High (Line 3) fault.
Inverter 3 middlie unit tripped offline between 13:15 to 14:00 on 03/01, 03/22 and 03/23 due to AC Voltage Too High (Line 3) fault.
2.Inverter 5 left unit tripped offline between 11Am to 16:00 on 03/01,03/08, 03/09 03/19,03/21, 03/22, 03/23, 03/25, 03/26, 03/28 and 03/29.
3.Inverter 1 left unit tripped offline at 15:00 on 03/23 and back online on 03/24.</t>
  </si>
  <si>
    <t>1.SR098781
2.SR098781
3.SR098905</t>
  </si>
  <si>
    <t>SR098781</t>
  </si>
  <si>
    <t>SR098905</t>
  </si>
  <si>
    <t>1.Inverter 1's right unit was offline on 03/07 due to low voltage. On 03/11, a technician was on-site and paired the strings individually to the unit's production at 11:15 AM. However, the unit went offline again on 03/13 and remained offline throughout the month.</t>
  </si>
  <si>
    <t>1. SR098312, SR099139</t>
  </si>
  <si>
    <t>SR099139</t>
  </si>
  <si>
    <t xml:space="preserve">1. optimizers Module 1.2.4  , Module 2.2.18 , Module 2.3.11 ,  Module 3.1.16 ,    Module 6.1.5 ,  Module 7.1.4 , Module 7.3.17 ,  Module 9.1.16 ,Module 10.3.3 , 8.0.27 are offline.
</t>
  </si>
  <si>
    <t>1. SR093326</t>
  </si>
  <si>
    <t>1.Inverters were offline on 03/27 due to Grid voltage unbalance and were back online at 12:30 on 03/28</t>
  </si>
  <si>
    <t>1.SR099036</t>
  </si>
  <si>
    <t>1.Right unit of inverter 3 is reporting low voltage from 02/28/25 due to Fuse blown in inverter, will replace with spares once received.</t>
  </si>
  <si>
    <t>1.SR098313</t>
  </si>
  <si>
    <t>1. Inverter 3 tripped offline at 9:00 AM on 03/26. On 03/28, a technician investigated and found a broken module causing the GFI to trip. He removed and bypassed it, restoring power at 12:45 PM the same day.</t>
  </si>
  <si>
    <t>1. SR099002</t>
  </si>
  <si>
    <t>1. Inverter 4 stopped communicating at 9:00 AM on 03/05 and was offline according to meter data. It came back online at 9:15 AM on 03/09 after PE reset the faults.
2. Inverter 1 tripped offline on 03/26, 03/27, and 03/28, self-resolving by the end of each day. However, on 03/28, it tripped again after resolving and remained offline for the rest of the month. Hunt MV Crew investigation is required.</t>
  </si>
  <si>
    <t>1. SR098155
2. SR098987</t>
  </si>
  <si>
    <t>SR098987</t>
  </si>
  <si>
    <t>1. Inverters 1 and 2 are started late for the production at 2:55PM on 03/29.
2. Meter stopped communicating from 2:05PM on 03/17.</t>
  </si>
  <si>
    <t>1. SR099130
2. SR098641</t>
  </si>
  <si>
    <t>SR098641</t>
  </si>
  <si>
    <t>1. Inverter 20 tripped offline at 2:20PM on 03/07. On 03/26 technician replaced fues and prodction back at 10:25AM.
2. Inverter 28 tripped offline at 10:45AM and back online at 1:10PM after technician replaced blown fuse on 03/18.
3. Site tripped offline at 8:00AM due to utility outgae and back online at 9:35AM on 03/21.
4. Inverters 7,10 tripped offline at 15:00 on 03/22. On 03/25 technician replaced fuses for both inverters and production was back at 03:25PM.
5.The meter stopped communicating at 14:05 on 03/16. On 03/26, the technician investigated the issue, checked the fuses, tested the watch battery on the board, and will process the meter board RMA on the next visit.</t>
  </si>
  <si>
    <t>1. SR098279
2. SR098699
3. SR098853
4. SR098892</t>
  </si>
  <si>
    <t>SR098699</t>
  </si>
  <si>
    <t>SR098853</t>
  </si>
  <si>
    <t>SR098892</t>
  </si>
  <si>
    <t>1. Inverter 2 tripped offline at 9:45 AM on 03/30 due to "FAULT PHASE 3" and "VBUS DERIVATE FAULT." On 03/31, a technician swapped the CCU, but the fault persisted, requiring a stack replacement. Inverter 2 remains offline until the stack is received.</t>
  </si>
  <si>
    <t>1. SR099149</t>
  </si>
  <si>
    <t>1.POA Pyranometer is not communicating from 07:00AM on 11/09/24 due to a malfunctioning NPort, where the POA and GHI are connected. 
2. Inverters 1 to 5 tripped offline at 10:05 AM on 03/18 and came back online at 16:30 on 03/19 after resetting the switchgear. However, they tripped again on 03/20 and came back online at the end of the day on 03/21. On 03/22, the inverters tripped again and were back online on 03/27 after troubleshooting. On 03/31, the inverters tripped offline again, and technician found a malfunctioning breaker that needs to be replaced and inverters remains offline.
3. The site was taken offline on 03/21 from 2:15 PM to 3:40 PM and on 03/27 from 11:10 AM to 2:50 PM and from 4:10 PM to 5:10 PM due to a technician being onsite on both days to investigate inverters 1 to 5.</t>
  </si>
  <si>
    <t>1. SR093972
2. SR098708
3. SR098708</t>
  </si>
  <si>
    <t>SR098708</t>
  </si>
  <si>
    <t>1. On 03/20, technician was onsite for a PM inspection, and the site was de-energized from 12:25 PM to 1:00 PM. Additionally, the technician replaced a string fuse for Combiner Box 7.
2. Expected energy values are reporting very low. Created a case #66639 with GPM</t>
  </si>
  <si>
    <t>1. PM7628, SR098869
2.SR099403</t>
  </si>
  <si>
    <t>SR099403</t>
  </si>
  <si>
    <t>1. On 03/27 technician was onsite for PM inspection and site was taken offline from 11:45AM to 12:45PM.</t>
  </si>
  <si>
    <t>1. PM7642</t>
  </si>
  <si>
    <t>1. POA sensor continues to read inaccurately. Tech verified connections by testing both old and new sensors, with irradiance around 1 W/m². The original sensor was last calibrated in May 2024. GPM recommends replacing the run cable to the DAS to improve accuracy.
2. The site was offline from 10:00AM to 3:45PM due to medium voltage work.</t>
  </si>
  <si>
    <t>1. SR093024
2. SR098551</t>
  </si>
  <si>
    <t>SR098551</t>
  </si>
  <si>
    <t>1. Inverters 1 and 2 experienced multiple tripping events from 10:45 to 14:30 on 03/18 due to technician was onsite for PM work.</t>
  </si>
  <si>
    <t>1.  PM7676</t>
  </si>
  <si>
    <t>1.On 03/04, inverters 1 and 2 experienced tripping events from 9:30 to 15:20, and on 03/05, inverter 2 experienced tripping from 8:05 AM to 10:35 AM due to technicians being onsite for Ingeteam field-based training.
2.  Weather station has reported 0 since 8/21. New UP POA and Down POA need replacement.
3. Inverters 1 and 4 experienced derating of approximately 260 kW on 03/11. On 03/21, technician replaced the power stack unit for phase S of inverter 4. The output was compared to sister inverter 3, and both were producing the same. Both inverters have returned to normal production.
4. On 03/14, inverter 4 was offline from 12:05 PM to 1:05 PM. On 03/18, inverter 4 went offline at 9:05 AM, and inverter 3 went offline at 10:20 AM; both came back online at 1:50 PM on the same day. However, on 03/21, inverter 3 was offline from 11:20 AM to 2:00 PM. These offline events occurred because technician was onsite working on the Inverter 1 and 4 derating issue.
5. The site tripped offline at 9:45 AM on 03/26 due to a utility outage and came back online at 11:35 AM. However, it tripped offline again at 9:55 AM on 03/27 due to utility work at the substation and has remained offline throughout the month. No ETA has been provided.</t>
  </si>
  <si>
    <t>1. SR096004, SR098071
2. SR094278
3. SR098510
4. SR098510
5. SR098998</t>
  </si>
  <si>
    <t>SR098071</t>
  </si>
  <si>
    <t>SR094278</t>
  </si>
  <si>
    <t>SR098510</t>
  </si>
  <si>
    <t>SR098998</t>
  </si>
  <si>
    <t>1. Site tripped offline at 9:20 AM on 03/13 due to utility work and came back online at 9:30 AM on 03/14 after utility power was restored.</t>
  </si>
  <si>
    <t>1. SR098500</t>
  </si>
  <si>
    <t>1. Weather station Reporting 0 value from 05/31/24. POA sensors need to be replaced.
2. All trackers have been struck from various dates. Followed up with Soltec and they are working on it.
3. Site tripped offline at 4:35PM on 03/13 due to utility work and came back online at 11:50AM on 03/26 after utility power was restored.
4. Site tripped offline at 1:30 PM due to utility work and came back online at 2:20pm on 03/27 after utility power was restored.</t>
  </si>
  <si>
    <t>1. SR092964
2. SR097603, SR095253
3. SR098558
4. SR099047, SR099053</t>
  </si>
  <si>
    <t>SR097603</t>
  </si>
  <si>
    <t>SR098558</t>
  </si>
  <si>
    <t>SR099047</t>
  </si>
  <si>
    <t>SR099053</t>
  </si>
  <si>
    <t>1. All trackers lost communication on 02/27. On 03/17, the technician reset a UPS fault and restored tracking, but T01.A.19, D.15, and T02.D.31 remain stuck. Further investigation is needed next visit.
2. On 03/21 inverter 3 was offline from 2:40PM to 3:40PM due to technician was onsite for a PM inspection
3. Site tripped offline at 8:30AM on 03/26 due to utility outage and back online at 1:00PM on the same day after utility power restored.</t>
  </si>
  <si>
    <t>1. SR096238, SR097926
2. PM7743
3. SR098992</t>
  </si>
  <si>
    <t>SR097926</t>
  </si>
  <si>
    <t>SR098992</t>
  </si>
  <si>
    <t>1. Inverter 5 has been offline since 02/28 due to a "Grid Line Voltage Out of Range" error. On 03/06, the technician turned on the breaker, restoring inverter production at 9:30 AM.
2. Inverter 9 tripped offline at 9:30AM on 03/03 due to "Grid Line Voltage Out of Range". On 03/06 breaker was reset and inverter back online at 9:30AM.
3. Inverter 23 has been offline since 11/19 due to a "Grid Line Voltage Out of Range" error. On 03/06, breaker was reset and inverter back online at 9:30AM.
4. Inverter 4 didn't started on 03/08. On 03/25 technician replaced powerhead and inverter back online at 11:30AM.
5. Inverter 18 tripped offline at 14:00 on 03/10 due to Bus Imbalance fault. On 03/25 technician replaced powerhead and inverter back online at 11:30AM.
6. Inverter 28 tripped offline at 14:00 on 03/11 due to " Grid Phase Voltage Out of Range". On 03/12 breaker was reset and inverter back online at 9:15AM on 03/12.
7. Inverter 24 was derating by 50kW since 03/10. On o3/25 technician replaced fan and inverter back to normal production.
8. Inverter 30 tripped offline at 14:30 on 03/14. On 03/17 breaker was reset and inverter back online at 15:15.
9. Inverter 32 tripped offline at 14:35 on 03/19. On 03/25 breaker was reset and inverter back online at 9:45AM.
10. inverter 05 tripped offline at 14:35 on 03/23. On 03/25 breaker was reset and inverter back online at 11:15AM.</t>
  </si>
  <si>
    <t>1. SR097930
2. SR098005
3. SR093436
4. SR098295
5. SR098354
6. SR098414
7. SR098415
8. SR098594
9. SR098779
10.SR098902</t>
  </si>
  <si>
    <t>SR098005</t>
  </si>
  <si>
    <t>SR098295</t>
  </si>
  <si>
    <t>SR098354</t>
  </si>
  <si>
    <t>SR098414</t>
  </si>
  <si>
    <t>SR098415</t>
  </si>
  <si>
    <t>SR098594</t>
  </si>
  <si>
    <t>SR098779</t>
  </si>
  <si>
    <t>SR098902</t>
  </si>
  <si>
    <t>1. Inverter 1 tripped offline at 9:15AM on 03/05 due to Isolation fault and self resolved resumed production on 03/06.
2. Inverter 1 tripped offline at 4:40PM on 03/16 due to Low voltage fault and self resolved resumed production on 03/17.
3. Inverter 1 tripped offline at 3:20PM on 03/22 due to Insulation fault and later it was back online at 4:55PM after remotely reset by Ingeteam.
4. Site had a brief utility outage between 1:30PM to 2:20PM on 03/27.
5. Inverter 1 did not start on 03/29. On 03/30, the technician cleared the ground fault, but the inverter experienced tripping events throughout the day. It came back online at 9:45 AM on 03/31.</t>
  </si>
  <si>
    <t>1. SR097883
2. SR098644
3. SR098891
4. SR099054
5. SR099129</t>
  </si>
  <si>
    <t>SR098644</t>
  </si>
  <si>
    <t>SR098891</t>
  </si>
  <si>
    <t>SR099054</t>
  </si>
  <si>
    <t>SR099129</t>
  </si>
  <si>
    <t>1. Inverter 4 tripped offline at 9:11AM and self resolved at 9:20AM on 03/14.</t>
  </si>
  <si>
    <t>1. SR098570</t>
  </si>
  <si>
    <t>1. Inverter 1 tripped offline at 7:40AM on 03/03 and inverter 2 didn't started for production. On 03/03 technician installed fuses and parts and both inverters production was back at 3:30 PM.
2. Inverters 1 and 2 did not start production on 03/10 due to an insulation fault. On 03/11, inverter 1 self-resolved but went offline again at 11:55 AM, then self-resolved at 5:00 PM, while inverter 2 remained offline. On 03/12, inverter 1 went offline again. On 03/13, the technician replaced fuses for both inverters, restoring them at 2:15 PM.</t>
  </si>
  <si>
    <t>1. SR097526
2. SR098462</t>
  </si>
  <si>
    <t>SR098462</t>
  </si>
  <si>
    <t>1. Site tripped offline from 08:40AM on 03/26 due to utility outage and back online at 1:00PM after utility restores power.
2. Site tripped offline at 03:15pm due to utility outage on 03/16 and back online at 04:25am on 03/17 after utility power restored.</t>
  </si>
  <si>
    <t>1. SR098994
2. SR098630</t>
  </si>
  <si>
    <t>SR098630</t>
  </si>
  <si>
    <t>1. Site lost communication at 1:40PM on 03/06 and regained at 12:00AM on 03/07.
2. Site tripped offline at 03:15pm due to utility outage on 03/16 and back online at 04:25am on 03/17 after utility power restored.
3. Site tripped offline from 08:40AM on 03/26 due to utility outage and back online at 1:00PM after utility restores power.</t>
  </si>
  <si>
    <t>1. SR098222
2. SR098632
3. SR098995</t>
  </si>
  <si>
    <t>SR098632</t>
  </si>
  <si>
    <t>SR098995</t>
  </si>
  <si>
    <t>1. Inverter 2 was offline between 12:30PM to 1:05PM due to technician was onsite for PM inspection.
2. Site had a brief utility outage between 5:40PM to 6:45PM on 03/18.</t>
  </si>
  <si>
    <t>1. PM6987
2. SR098731</t>
  </si>
  <si>
    <t>1. 13 trackers are stuck, with 1 tracker having no communication. 11 trackers are disabled due to no movement, likely caused by snow, and 1 is in e-stop. Investigation needed.
2. Meter and relay voltages stopped communicating at 2:00 AM, and inverter voltages dropped to zero at 12:10 AM on 03/11, reporting a "SMOKE DETECTOR FAULT." On 03/12, the technician found the recloser in the open position and closed it. The site came back online at 4:40 PM</t>
  </si>
  <si>
    <t>1. SR095109
2. SR098366</t>
  </si>
  <si>
    <t>SR098366</t>
  </si>
  <si>
    <t>1. Site lost communication at 3:05PM possibly offline on 03/16. The site back online at 10:30AM on 03/17.
2. Site lost communication at 8:30AM possibly offline on 03/26. The site back online at 1:05PM after utility restores power.</t>
  </si>
  <si>
    <t>1. SR098629
2. SR098996</t>
  </si>
  <si>
    <t>SR098996</t>
  </si>
  <si>
    <t>1. Site tripped offline at 3:15PM on 03/16 due to utility outage and back online at 10:25AM after utility restores power.
2. Site tripped offline at 8:30AM due to utility outage and back online at 1:05PM on 03/26.</t>
  </si>
  <si>
    <t>1. SR098631
2. SR098997</t>
  </si>
  <si>
    <t>SR098997</t>
  </si>
  <si>
    <t>1. Site was offline since 01/29, on 03/06 technician installed new PT board and site back online at 4:05PM.
2. Site was offline on 03/07, and back online at 6:25PM on 03/11 after technician troubleshooted.
3. Site tripped offline at 3:50AM and restored at 5:05PM on 03/16. On 03/17 technician found site was online an producing but no communication. After a powercycle communications were restored at 6:25AM.</t>
  </si>
  <si>
    <t>1. SR097854
2. SR098349
3. SR098635</t>
  </si>
  <si>
    <t>SR098349</t>
  </si>
  <si>
    <t>SR098635</t>
  </si>
  <si>
    <t xml:space="preserve">1. Site tripped offline at 3:50PM and restored at 5:05PM on 03/16. On 03/17 technician found site was online an producing but no communication. After a powercycle communications were restored at 6:25AM.
</t>
  </si>
  <si>
    <t>1. SR098636</t>
  </si>
  <si>
    <t>1. On 03/03, the site was offline from 11:10 AM to 3:40 PM as the technician was onsite replacing PL and PD boards for the inverter.
2. Site tripped offline at 3:50PM and restored at 5:05PM on 03/16. On 03/17 technician found site was online an producing but no communication. After a powercycle communications were restored at 6:25AM.</t>
  </si>
  <si>
    <t>1. SR097829
2. SR098637</t>
  </si>
  <si>
    <t>SR098637</t>
  </si>
  <si>
    <t>1. Site was tripped offline at 17:55 on 03/16 due to MV switchgear door open and the latch bent the technician corrected the bent latch and closed the site back in at 09:40am on 03/19. 
2. The site was taken offline on 03/21 at 01:45 AM. Later, a technician found that the MV switch had tripped open. The technician closed the switch, and the site was re-energized at 16:31 on 03/21.</t>
  </si>
  <si>
    <t>1. SR098643
2. SR098841</t>
  </si>
  <si>
    <t>SR098841</t>
  </si>
  <si>
    <t>1. Site was tripped offline at 11:15 on 03/24 , Upon tech arrival on same day stated that recloser was open and was able to close the recloser by target reset and brought back online at 18:00 on 03/24</t>
  </si>
  <si>
    <t>1.SR098930</t>
  </si>
  <si>
    <t>1.12 trackers are stuck: 13, 20, 25, 52, 54, 56, 59, 70, 72, 76, 85, and 88. EV Solar troubleshot the trackers and confirmed they are operating as expected since 03/24</t>
  </si>
  <si>
    <t>1.SR097436 , 	SR097751</t>
  </si>
  <si>
    <t>1. Trackers 141 and 147 have resolved, but 138 still struck. GenC says to hold on dispatch
2.Inverter 2 tripped offline at 12:50 on 03/12 with no alarm codes. Technician troubleshot Inverter 2, and it came back online at 12:35 on 03/13.</t>
  </si>
  <si>
    <t>1.SR095821
2.SR098459</t>
  </si>
  <si>
    <t>SR098459</t>
  </si>
  <si>
    <t>1. All trackers are stuck and are reporting an encoder feedback error. On 03/27 technician installing the down drive shafts and calibrating the motors, all trackers are tracking from 03/27
2.Site was taken offline from 08:25 to 09:16 on 03/14 by USNE due to transformer work.</t>
  </si>
  <si>
    <t>1.SR098259
2.	SR098259</t>
  </si>
  <si>
    <t>SR098259</t>
  </si>
  <si>
    <t xml:space="preserve">1.Inverter offline on 03/15 from 07:00 to 11:00.  Inverter is back online by remote reset.
Inverter tripped offline on 03/16 at 13:30. After remote reset inverter back online on 03/17.
Inverter tripped offline at 15:15 on 03/18 and reporting "STOP".After remote reset inverter back online at 18:15 on same day.
Inverter tripped offline at 17:00 on 03/20 and reporting "Stop'.Inverter back online on 03/21
Inverter tripped offline from 13:00 to 14:15 on 03/22 and reporting "STOP". After remote reset inverter back online on same day
 Inverter tripped offline at 17:30 and reporting "STOP" on 03/23. After remote reset inverter back online on 03/24
Inverter offline from 14:15 to 15:00 on 03/25. After remote reset inverter back online same day
Inverter tripped offline from 10:45 to 11:45 03/26. After remote reset back online on same day
</t>
  </si>
  <si>
    <t>1.	SR098612</t>
  </si>
  <si>
    <t>1.Inverter 2 back online from 03/12 after replacing the fuse.
2.Site went offline at 16:00 on 03/22. On 03/23,  technician was able to close the recloser, and the site came back online at 10:25 AM.
3.Inverter 1 tripped offline at 13:10 on 03/23 due to the AC breaker switch being in the open state and reporting a 'Ground Fault.' On 03/24,  technician closed the breaker, and the inverter came back online at 14:00
4.CB 19 offline from 02/15 and CB 6 are offline from 03/07. Isolated and removed damaged materials. Stored hardware in storage container. Flexrack to RMA or quote replacement parts.</t>
  </si>
  <si>
    <t>1.	SR097565
2.SR098893
3.SR098901
4.SR098959</t>
  </si>
  <si>
    <t>SR098893</t>
  </si>
  <si>
    <t>SR098901</t>
  </si>
  <si>
    <t>SR098959</t>
  </si>
  <si>
    <t>1.Inverter 2 offline due to insulation failure from 07:10 to 08:15 on 03/06.  Able to reset remotely, inverter in operation.
2.Inverters tripped offline from 12:30 to 14:45 on 03/07. Inverters are back online remote reset on same day
3.Inverter 1 tripped offline at 14:15 PM on 03/13, reporting 'AC breaker switch open.' On 03/14, after a remote reset, the inverter started production again. However, it tripped offline multiple times on 03/14 and came back online at 16:25 on 03/17. Inverter 1 again offline on 03/20,03/23 back online on 03/24. Again iverter tripped offline from 10:30 to 15:55 on 03/28 technician  troubleshooting it was determined the canbus cable is what needed to be replaced and further troubleshooting is needed. The inveter 1 is currently back online on sam eday.
3. Inverter 2 tripped offline at 11:35 AM and reporting "Isolation error" and AC breaker switch is in open state. After remote reset inverter back online at 15:30 on 03/17. Again inverter 2 offline at 09:55 from 03/25</t>
  </si>
  <si>
    <t>1.SR098196
2.SR098275 , SR098655
3.SR098626</t>
  </si>
  <si>
    <t>SR098275</t>
  </si>
  <si>
    <t>SR098655</t>
  </si>
  <si>
    <t>SR098626</t>
  </si>
  <si>
    <t>1. Site production was low on 03/05, 03/16, 03/17, 03/29 and 03/30 due to bad weather.</t>
  </si>
  <si>
    <t>1. NCU 2 tracker 1 stuck since 11/19  and tracker 35 stuck at 11:45 since 01/31 
2. NCU 1 tracker 10 stuck at 09:15 since 02/23.</t>
  </si>
  <si>
    <t>1.	SR095624
2.SR097725</t>
  </si>
  <si>
    <t>SR097725</t>
  </si>
  <si>
    <t>1. Site production was low on 03/05, 03/16, 03/17 and 03/30 due to bad weather.</t>
  </si>
  <si>
    <t>1.POA 1 is not accurately reporting - technician need to visit for further troubleshooting.
2. Inverter 2 tripped offline at 07:40 AM on 03/04 and was reporting an insulation error. The technician found that the inverter's auxiliary switch had tripped, and after resetting the switch, the inverter was back online at 10:40 AM on 03/06.
3.All trackers were stopped between -56.93 degrees and -60.7 degrees on 03/20 due to very high winds on-site. After the technician was on-site, it was reported that they were in 'stow mode' due to the heavy wind, which caused all trackers to lock in snow mode. The trackers will resume tracking once the wind ends.
POA 1 is  not accurately reporting - technician need to visit for further troubleshooting
4. currently 7 additional stuck trackers. the techs found a motor that may be binding, and it requires a motor testing tool.</t>
  </si>
  <si>
    <t>1. SR096042
2. SR098021
3.  SR098809
4.  SR096682</t>
  </si>
  <si>
    <t>SR098021</t>
  </si>
  <si>
    <t>SR098809</t>
  </si>
  <si>
    <t>1.Combiner boxes 1.12 and 1.13 have been underperforming since 01/27, with an approximate loss of 79 kW. Will investigate during the next onsite visit.</t>
  </si>
  <si>
    <t>1. SR096006</t>
  </si>
  <si>
    <t>1. Trackers- NCU 1 SPC 103 through 115 were stucked from 03/18. ON 03/19, technician checked in and found that TCU breaker tripped and also found broken panel which is need to be replaced. Created a ticket and Further Trouble Shooting required.</t>
  </si>
  <si>
    <t>1.SR098692</t>
  </si>
  <si>
    <t>1.SIte tripped offline at 14:20 on 03/16 and back online at 12PM on 03/17 after technician closed relay and re-energize the site.
2.12 trackers were stuck due to actuator issues on different days from 01/06; NCU 1 self-resolved on 03/04, and on 03/07, the technician power cycled NCU 2, cleared the fault light, and notified Slater, but 12 rows still need troubleshooting. On 03/19, technician was unable to perform troubleshooting the trackers due to not getting access to connect with NCU and created a case with the manufacturer and further troubleshooting is required with NEXTracker.</t>
  </si>
  <si>
    <t>1.SR098627
2.SR094820</t>
  </si>
  <si>
    <t>SR094820</t>
  </si>
  <si>
    <t>1.Site was offline from 14:20 to 16:20 on 03/16.
2.Inverter 1 tripped offline at 11:10AM on 03/22 due to AC breaker switch open and back online at 14:40 on 03/23 after technician closed the breaker. Again tripped offline at 13:00 on 03/24 due to "GFDI Tripped" and back online at 11:10AM on 03/25 after technician isolated ground fault and reset breaker.
3.Combiner box 1.6(1.6 as per GPM plus 2.6 as per GPM portal) has tripped offline from 03/25 till date.
4. Around 50-60% of the site was not tracking since 01/06. On 03/07 technician checked in and power cycled NCU 1, restoring most rows. NCU 1’s door was found broken nearby. Zip ties were used as a temporary fix, but a proper repair is needed to prevent water damage.</t>
  </si>
  <si>
    <t>1.SR098628
2.SR098888, SR098955
3.SR099024
4.SR095759</t>
  </si>
  <si>
    <t>SR098888</t>
  </si>
  <si>
    <t>SR098955</t>
  </si>
  <si>
    <t>SR099024</t>
  </si>
  <si>
    <t>SR095759</t>
  </si>
  <si>
    <t>1.All NCU 2 trackers have lost communication, while NCU 1 trackers 115-127 remain stuck from 03/27. Previous stuck trackers included 18 on 03/24 and specific units on 03/17.</t>
  </si>
  <si>
    <t>1.SR097454, SR099118</t>
  </si>
  <si>
    <t>SR099118</t>
  </si>
  <si>
    <t>1.Site tripped offline at 12:54PM on 03/16 due to utility outage and back online after technician closed relay at 08:52AM on 03/17.</t>
  </si>
  <si>
    <t>1.SR098624</t>
  </si>
  <si>
    <t>1.Inverter 2.21 is derating by 17KW down from 01/27 by comparing to its peers and awaiting for the response.</t>
  </si>
  <si>
    <t>1. SR098733</t>
  </si>
  <si>
    <t>1. Site production was low on 03/05, 03/16, 03/17, 03/24 and 03/30 due to bad weather.</t>
  </si>
  <si>
    <t>1. Many optimizers on SE are offline, EPC to complete.
2. Inverter 2 tripped offline at 13:15 on 03/10 and dispatch has been holded due to EPC  to complete.
3. The site went offline at 13:15 on 03/18 and remained down throughout the month,   awaiting for EPC to address.</t>
  </si>
  <si>
    <t>1.SR095945
2.SR097637
3.SR098724</t>
  </si>
  <si>
    <t>SR098724</t>
  </si>
  <si>
    <t>1. Optimizers on SE are offline, EPC to complete.
2.Inverter 1 right unit was offline from 02/10/25.</t>
  </si>
  <si>
    <t>1.SR095946
2.SR098988</t>
  </si>
  <si>
    <t>SR098988</t>
  </si>
  <si>
    <t xml:space="preserve">1.SR095948
</t>
  </si>
  <si>
    <t>1.SR095950</t>
  </si>
  <si>
    <t>1.SR095962</t>
  </si>
  <si>
    <t>1. Multiple optimizers are offline.
2. Actual energy value was taken from solaredge as site not configured in Also Energy.</t>
  </si>
  <si>
    <t>1.SR095954</t>
  </si>
  <si>
    <t>1.Modules 7.2,1-7.2.8, 7.2.13-7.2.16, 2.4.11, and 3.1.15 are offline (64 modules) .
2. Site tripped offline at 08:30AM  and back online at 09:00AM on 03/13.</t>
  </si>
  <si>
    <t>1.SR095951</t>
  </si>
  <si>
    <t>1.SR095960</t>
  </si>
  <si>
    <t>1.Inverter 1 has tripped offline at 13:30 on 03/06 and reporting "Fault" and continued throught the month.
2. Inverter 3 has tripped offline at 12:15 on 03/07 and reporting a "Generic Fault" and continued throught the month.
3.Multiple optimizers are offline.</t>
  </si>
  <si>
    <t>1.SR098235
2.SR098264
3.SR095956</t>
  </si>
  <si>
    <t>SR098264</t>
  </si>
  <si>
    <t>SR095956</t>
  </si>
  <si>
    <t>1.SR095955</t>
  </si>
  <si>
    <t>1.SR095937</t>
  </si>
  <si>
    <t>1.SR095938</t>
  </si>
  <si>
    <t>1.SR095939</t>
  </si>
  <si>
    <t>1. Inverters 1 and 2 underperformed 16 kW down on 03/23, Possibly one of the unit tripped offline. Site visibility not available in SolarEdge.and later self resolved on 02/24.</t>
  </si>
  <si>
    <t>1.SR098903</t>
  </si>
  <si>
    <t>1. A few strings are offline. EPC to complete.
2.Inverter 1 is are underperforming by 20 kW from 02/04.
3.Inverter 2 was tripped offline at 10:45 on 03/01 and back online at 09:00 on 03/03
4.Inverter 3 tripped offline at 14:45 on 03/12 and continued throughout the month.
5.Inverter 1 middle unit has tripped offline at 16:00 on 03/19 and reporting  "Ground Current RCD" andcontinued throughout the month and adressing this issue under EPC.</t>
  </si>
  <si>
    <t>1.SR095941
2.SR095940
3.SR095940
4.SR098413,SR098490
5.SR099138</t>
  </si>
  <si>
    <t>SR098413</t>
  </si>
  <si>
    <t>SR098490</t>
  </si>
  <si>
    <t>SR099138</t>
  </si>
  <si>
    <t>1.SR095942</t>
  </si>
  <si>
    <t xml:space="preserve">1. Multiple optimizers are offline.
2. Inverter 1 is underperforming by 17 kW from 02/19, possibly due to one unit tripping offline and later resolved on 03/25.
</t>
  </si>
  <si>
    <t xml:space="preserve">1.SR095961
2.SR097620
</t>
  </si>
  <si>
    <t>1.Tracker A1 S 65 is stuck at -1 degrees. Setpoint is at 0 degrees on 03/03. On 03/04 Tracker A1 S 65  tracking.
2.Inverters 9,10,12,13,14 tripped offline at 13:00 to 13:24 on 03/05 and reporting "Grid Phase Voltage Out of Range. Self resolved on same day.</t>
  </si>
  <si>
    <t>1.SR098003
2.SR098172</t>
  </si>
  <si>
    <t>SR098172</t>
  </si>
  <si>
    <t>1.Tracker A1 S 43 and A1 S 70 are stuck from 03/06
2.Site tripped offline at 09:15Am from 03/17. It remains offline as major repairs are ongoing with the EPC.</t>
  </si>
  <si>
    <t>1.SR098251
2.SR098665</t>
  </si>
  <si>
    <t>SR098665</t>
  </si>
  <si>
    <t>1.All trackers are stuck no error code reported since 02/21 and all trackers are tracking from 03/28
2.Inverter 4 offline at 12:45 from 03/14 and self resolved came back online at 11:45 on 03/31</t>
  </si>
  <si>
    <t>1.SR098315
2.SR098593</t>
  </si>
  <si>
    <t>SR098593</t>
  </si>
  <si>
    <t>1.Inverter 2 still underperforming compared to its peers and reporting a device communication fault.since 01/22.
2. Inverter 1 is underperforming by 13kW compared to its peers since 03/26</t>
  </si>
  <si>
    <t>1.SR096257
2.SR099018</t>
  </si>
  <si>
    <t>SR099018</t>
  </si>
  <si>
    <t>1.Site tripped offline from 8:00 AM to 09:30AM. Recloser voltages dropped, and later auto - reclosed at 9:15 AM on 03/09/25.
2.Site tripped offline due to utility outage from 06:30 AM to 08:20AM on 03/23</t>
  </si>
  <si>
    <t>1.SR098319
2.SR098898</t>
  </si>
  <si>
    <t>SR098898</t>
  </si>
  <si>
    <t xml:space="preserve">1. Trackers 3, 13, 16, 76, 82, 83, 142, 166, &amp; 183 are  stuck since 02/26. 
</t>
  </si>
  <si>
    <t>1.	SR097816</t>
  </si>
  <si>
    <t>1.Site tripped offline at 22:45 on 03/01 and relay Y-Phase voltages are dropped to zero. On 03/02 technician closed in the recloser site came back online at 13:10 on 03/02.
2.Site tripped offline at 06:20AM and utility voltages are also dropped to zero. On 03/24 technician closed the recloser and the site was re-energized at 08:45AM.
3.All trackers are currently not tracking and stuck at 0degrees from 03/14 at 11:45AM. Remote reset did not work. On site visit needed</t>
  </si>
  <si>
    <t>1.	SR097951
2.SR098899
3.SR097600</t>
  </si>
  <si>
    <t>SR098899</t>
  </si>
  <si>
    <t>SR097600</t>
  </si>
  <si>
    <t>1.Site tripped offline at 08:05 AM on 03/04 due to the utility recloser opening. On 03/06, the technician closed the recloser, and the site came back online at 15:25. The site tripped offline again at 11:20 on 03/07. The utility was contacted again to close the recloser, but the closure was not successful. Further troubleshooting is needed.</t>
  </si>
  <si>
    <t>1.SR098029, SR098028 , SR098278</t>
  </si>
  <si>
    <t>SR098028</t>
  </si>
  <si>
    <t>SR098278</t>
  </si>
  <si>
    <t>1.Site tripped offline at 08:05 AM on 03/04 due to the utility recloser opening. On 03/06, Site 2 was not accepting remote commands from the utility, and they needed to dispatch a technician to investigate. On 03/27, the technician closed the recloser, and the site came back online at 02:30 PM.</t>
  </si>
  <si>
    <t>1.	SR098029</t>
  </si>
  <si>
    <t>1.TCU 55, 62, 64 are back online from 03/06</t>
  </si>
  <si>
    <t>1.SR098066</t>
  </si>
  <si>
    <t xml:space="preserve">1. Inverter 1 tripped offline at 08:55am on 03/06 and reporting "ISLAND PROTECTION" fault and selfresolve don 033/07 at 09:00AM
2.Site tripped offline at 22:20 on 03/16, and the meter voltages dropped to zero. However, the recloser voltages remained available. The site self resolved and came back online on 03/21 at 17:45. It tripped offline again at 17:05 on 03/23, with meter voltages dropping to zero, and the site was back online on 03/24. </t>
  </si>
  <si>
    <t>1.SR098233
2.SR098646</t>
  </si>
  <si>
    <t>SR098646</t>
  </si>
  <si>
    <t>1.Site offline at 03:15PM on 03/16 and back online at 15:35 on 03/21
2.Trackers  101-114 are  stuck since the site went live on 02/01</t>
  </si>
  <si>
    <t>1.SR098634
2.	SR099014</t>
  </si>
  <si>
    <t>SR099014</t>
  </si>
  <si>
    <t xml:space="preserve">1. Site tripped offline multiple times at 08:15 on 03/12 due Y-Phase voltages dropped to zero and Auto-reclosed at 15:45 on 03/12.
</t>
  </si>
  <si>
    <t xml:space="preserve">1.	SR098433
</t>
  </si>
  <si>
    <t>1.Site offline at 03:15PM on 03/16 and self resolved &amp; back online on 03/17 at 11:20AM</t>
  </si>
  <si>
    <t>1.	SR098638</t>
  </si>
  <si>
    <t>1.Site stopped communication at 23:45 on 03/27 and continued throught the month.</t>
  </si>
  <si>
    <t>1. The site went offline at 12:15 AM on 03/09 after the technician restarted it, and the site was back online at 11:00 AM on 03/10.
2. Inverter 2 tripped offline at 15:15 on 03/17 due to a fault current and was back online at 07:30 AM on 03/18. It then tripped offline again at 15:15 on 03/28 due to a fault current and issue occurs through out the month.
3. The site was offline from 02:45 AM to 08:30 AM on 03/30 and then tripped offline again at 19:45 on 03/30, coming back online at 09:30 AM on 03/31.</t>
  </si>
  <si>
    <t>1. SR098317
2. SR095581
3. SR099162</t>
  </si>
  <si>
    <t>April Actual v. Expected</t>
  </si>
  <si>
    <t>April Actual v. Forecasted</t>
  </si>
  <si>
    <t>1. Site production was low on 04/07 , 04/11 , 04/12 due to rain</t>
  </si>
  <si>
    <t>1.Site was offline from 02/21 due to Phase C fuse was blown and parts were needed.</t>
  </si>
  <si>
    <t>1.96 optimizers were down for site construction.</t>
  </si>
  <si>
    <t xml:space="preserve">1.Weather station stopped communicating since 11/22/24
</t>
  </si>
  <si>
    <t>1.Weather station stopped communicating since 06/14/24
2.26 optimizers are down for roof repair
3.Inverter-2 left unit was offline from 04/12 reporting "DC Isolation" fault and was back online at 15:15 on 04/16,again was offline on 04/26 and back online at 07:00 on 04/28</t>
  </si>
  <si>
    <t>1.Inverter-2 tripped offline at 13:45 on 04/15 and was back online at 15:30 on 04/15</t>
  </si>
  <si>
    <t>1.SR099824</t>
  </si>
  <si>
    <t>1.Site  production was low on  04/07 , 04/11 , 04/12  due to rain</t>
  </si>
  <si>
    <t>1All inverters stopped communicating at 05:52 AM on 02/14. After the technician checked in and re-energized the switchgear, the inverters came back online at 11:51 AM on 04/18.
2. Inverters 2 and 5 (right units) were offline starting from 04/18, reporting a "DC Voltage Low" fault. They came back online at 10:00 AM on 04/23 after a technician checked in and isolated string 8 of Inverter 2 and string 9 of Inverter 5, which were causing the inverters to stop producing.
Inverter 11 (left unit) was also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t>
  </si>
  <si>
    <t>1.SR099648,SR093196
2.SR100035</t>
  </si>
  <si>
    <t>SR093196</t>
  </si>
  <si>
    <t>SR100035</t>
  </si>
  <si>
    <t>1. Inverter 2 middle unit was tripped offline at 15:15 on 04/27 due to a "3 Phase Possible Arc Detection" fault. It came back online at 09:45 on 04/30 after the technician updated the firmware.</t>
  </si>
  <si>
    <t>1.SR100481</t>
  </si>
  <si>
    <t>1.Inverter modules 1.0.19 and 1.0.46 are offline, reporting no communication with power optimizer. GenC asks to address during PM</t>
  </si>
  <si>
    <t>1.	SR093306</t>
  </si>
  <si>
    <t>N/A</t>
  </si>
  <si>
    <t>1.Site production was low on 04/07 , 04/11 , 04/12 due to rain</t>
  </si>
  <si>
    <t>1.Inverter 1 tripped offline at 15:15 on 04/08 due to 3 Phase Possible Arc Detection fault and back online at 12:30PM on 04/10 after technician did firmware update.
2.Inverter 1 left unit has tripped offline at 12:45 on 04/13 due to 3 Phase Possible Arc Detection fault and back online at 10:00AM on 04/16.
3. Inverter 2 left and right units tripped offline at 15:00 on 04/13 due to 3 Phase Possible Arc Detection fault and back online at 10:00AM on 04/16 after technician reset fault and updated firmware.
4.Inverter 1 left,middle units and inverter 2 all units tripped offline between 11:30 AM and 15:30 on 04/27 due to 3 Phase Possible Arc Detection. Inverter 1 left and middle units back online at 07:15AM on 04/28.</t>
  </si>
  <si>
    <t>1.SR099539
2.SR099754
3.SR099858
4.SR100476</t>
  </si>
  <si>
    <t>SR099754</t>
  </si>
  <si>
    <t>SR099858</t>
  </si>
  <si>
    <t>SR100476</t>
  </si>
  <si>
    <t>1.Module 1.0.90 (21772020-D8) No communication. 1.0.29 - 217E44D3-B6 - offline</t>
  </si>
  <si>
    <t>1.SR093236</t>
  </si>
  <si>
    <t>1.Site stopped communicating from 03/25. On 03/27 Technician stated that main breaker tripped and malfunctioning. Site was remained offline till date.</t>
  </si>
  <si>
    <t>1.SR098981</t>
  </si>
  <si>
    <t>1.Inverter 2 was derating by 8 kW compared to its peers. On 03/18, the technician identified the inverter as faulty and RMA'd its power head. On 04/22, the technician replaced the RMA unit with a new one, and the inverter is now producing in line with its peers.
2.Inverter 2 is underperforming. String 2.0 is overproducing (14.6 kW) and not tracking irradiance, while strings 2.2 and 2.3 are underproducing (max 1.5 kW and 1 kW, respectively), indicating potential string-level issues.
3.Inverter 5 was offline at 19:45 on 04/27 and back online at 18:30 on 04/28.</t>
  </si>
  <si>
    <t>1.SR098365
2.SR100362
3.SR100496</t>
  </si>
  <si>
    <t>SR100362</t>
  </si>
  <si>
    <t>SR100496</t>
  </si>
  <si>
    <t>1. 8 optimizers are offline.  GenC confirms that Amrc will handle, to be combined with PM.
2.Site production was low 04/07, 04/11, 04/12 due to bad weather</t>
  </si>
  <si>
    <t>1.	SR088813</t>
  </si>
  <si>
    <t>1. 4 Inverter modules are offline. Will investigate next time on site  Module 1.0.64
Module 4.0.39 , 3.0.20 ,1.0.64</t>
  </si>
  <si>
    <t>1.SR093324</t>
  </si>
  <si>
    <t>1. Inverter 5 (left unit) experienced multiple tripping events during the middle of the day throughout the month; however, the issue later resolved itself.
2. Inverter 3 (right unit) experienced multiple tripping events during the middle of the day on 04/18 and 04/19, reporting a "Ground Current - RCD" fault. However, the issue later resolved itself.
3.Inverter 1 left unit has tripped offline at 12:45PM on 04/30.</t>
  </si>
  <si>
    <t>1.SR099970
2.SR099971
3.SR100732</t>
  </si>
  <si>
    <t>SR099971</t>
  </si>
  <si>
    <t>SR100732</t>
  </si>
  <si>
    <t>1.Inverter 1 (right unit) came back online at 9:00AM after the technician power-cycled the inverter on 04/07.
2Inverter 1 (right unit) went offline on 04/15, reporting a Ground Current RCD error on SolarEdge. The technician reset the inverter on 04/21, and it came back online at 07:00.</t>
  </si>
  <si>
    <t>1.	SR099139
2.SR099856</t>
  </si>
  <si>
    <t>SR099856</t>
  </si>
  <si>
    <t>1. Optimizers Module 1.2.4  , Module 2.2.18 , Module 2.3.11 ,  Module 3.1.16 ,    Module 6.1.5 ,  Module 7.1.4 , Module 7.3.17 ,  Module 9.1.16 ,Module 10.3.3 , 8.0.27 are offline. Pending troubleshooting.</t>
  </si>
  <si>
    <t>1.Site production was low on 04/07 , 04/11 , 04/12 due to bad weather</t>
  </si>
  <si>
    <t>1.Optimizer 1.0.124 is offline. Will investigate combinely with other modules.
2. Site production was low on 04/05 , 04/07 , 04/11 , 04/12 due to rain</t>
  </si>
  <si>
    <t>1.SR095662</t>
  </si>
  <si>
    <t>1. Inverter 2 left unit tripped offline at 14:00 from 04/25 with AC line voltage too high fault and remains offline throughout the month.</t>
  </si>
  <si>
    <t>1.	SR100434</t>
  </si>
  <si>
    <t xml:space="preserve">1.Right unit of inverter 3 is reporting low voltage from 02/28/25 due to Fuse blown in inverter. On 04/01, technician de-energized the inverter, verified and replaced the defective fuse with a stock unit and inverter started for production. </t>
  </si>
  <si>
    <t xml:space="preserve">                                              </t>
  </si>
  <si>
    <t>1.Inverter 3 tripped offline at 14:50 CDT on 04/01, reporting "Emergency stop button has been pushed", later PE was able to remotely reset the inverter on 04/08 at 12:00CDT
2.Inverter 1 is derating by 130 kW from 4/21/25 on high irradiance days</t>
  </si>
  <si>
    <t>1.SR099293
2.SR100141</t>
  </si>
  <si>
    <t>SR100141</t>
  </si>
  <si>
    <t>1.While Hunt Electric was onsite the site was taken offline from 10:00 AM to 10:30 AM on 04/01 and replaced the fuse on Phase B of the utility pole and also Inverter A is back online at 04/01 at 10:30am.</t>
  </si>
  <si>
    <t>1.SR098987</t>
  </si>
  <si>
    <t>1. Meter stopped communicating from 2:05PM on 03/16 till date.</t>
  </si>
  <si>
    <t>1.SR098641</t>
  </si>
  <si>
    <t>1.The meter stopped communicating at 14:05 on 03/16. On 03/26, the technician investigated the issue, checked the fuses, tested the watch battery on the board, Meter is being RMA'd.
2.Multiple inverters are experiencing frequent tripping's and reporting "Grid Voltage imbalance" on 04/04 and resolved on 04/05. The site was taken offline from 09:55 AM to 11:40AM on 04/08 to inspected the power supply from the transformer to DAS cabinet to find the route cause of the inverters frequent tripping.Issue again occurred on 04/18 &amp; 04/19 even after utility has lowered their voltages
3.Numerous inverters are experiencing multiple tripping's on 04/26 and resolved on 04/27 again occurred on 04/29
4.Inverter 30 (6.30) is derating at 41.8KW compared to its peers from 15:15 to 16:50 on 04/28 and again from 14:05 to 16:15 on 04/29.</t>
  </si>
  <si>
    <t>1.SR098640
2.SR099427
3.SR100447
4.SR100604</t>
  </si>
  <si>
    <t>SR099427</t>
  </si>
  <si>
    <t>SR100447</t>
  </si>
  <si>
    <t>SR100604</t>
  </si>
  <si>
    <t>1. Inverter 2 tripped offline at 9:45 AM on 03/30 due to "FAULT PHASE 3" and "VBUS DERIVATE FAULT." to replace the stack for inverter 2 and also to replace string cards technician have taken the site offline from 12:30 to 17:10 on 04/17.  later the technician has bypassed and re-energized inverter 2 and inverter was back online at 15:40 on 04/18
2.Inverter 1 didn't start for production and reported "SE AC CONTACTOR (94)" fault on 04/09, later Ingeteam remotely reset the inverter and it is back online at 12:30 on 04/09. Inverter 1 is again offline and reported “SE AC CONTACTOR (94)” on 04/14 later technician has power cycled the inverter and inverter 1 is back online at 16:55 on 04/15
3.Site has a brief outage from 11:55 to 13:10 on 04/24
4.Based on meter data, one of the inverters is offline from 04/26, as inverters lost communication to DAS, the technician found that Inverter 2 was offline due to a Phase 3 fault and a DC hardware fault. The technician contacted Ingecon for remote assistance and determined that additional troubleshooting is required to re-energize Inverter 2.</t>
  </si>
  <si>
    <t>1.SR099149
2.SR099576
3.SR100361
4.SR100623</t>
  </si>
  <si>
    <t>SR099576</t>
  </si>
  <si>
    <t>SR100361</t>
  </si>
  <si>
    <t>SR100623</t>
  </si>
  <si>
    <t>1.POA Pyranometer is not communicating from 07:00AM on 11/09/24 due to a malfunctioning NPort, where the POA and GHI are connected. 
2. Inverters 1-5 has tripped offline on 03/31 at 10:15 as the malfunctioning breaker needs to be replaced, technician has replaced and re-energized the inverters on 04/16 at 13:00 while onsite the site was taken offline from 10:25 to 13:00 to work on inverters.
3. Site was tripped offline from 08:40 to 14:00 on 04/21 due to utility outage.</t>
  </si>
  <si>
    <t>1.SR093972
2.SR098708
3.SR100079</t>
  </si>
  <si>
    <t>SR100079</t>
  </si>
  <si>
    <t>1.Expected energy values are reporting very low. Created a case #66639 with GPM, As per GPM the BOM has been frozen from 02/27</t>
  </si>
  <si>
    <t>1.SR099403</t>
  </si>
  <si>
    <t>1.Inverter 1 tripped offline at 06:50am on 04/29 and is reporting an "Inductor Blower" fault. On 04/30  Technician swapped the inductor fan of inverter 1 with inverter 2. Inverter 1 has been re-energized at 12:50pm , but inverter 2 is derating at 382kW. Inductor fan is being RMA'd by ingeteam until inverter 2 has tripped offline at 13:05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</si>
  <si>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1.SR100629
2.SR093024</t>
  </si>
  <si>
    <t>SR093024</t>
  </si>
  <si>
    <t>1.Combiner box 7, string 1 is underperforming.  Needs further investigation</t>
  </si>
  <si>
    <t>1.SR098866</t>
  </si>
  <si>
    <t>1. Site tripped offline at 9:55 AM on 03/27 due to utility work at the substation and has remained offline throughout the month.</t>
  </si>
  <si>
    <t>1.SR098998</t>
  </si>
  <si>
    <t>1. Site had a brief utility outage between 20:00 to 20:50 on 04/16.</t>
  </si>
  <si>
    <t>1.SR099911</t>
  </si>
  <si>
    <t>1. Weather station Reporting 0 value from 05/31/24. POA sensors need to be replaced.
2. All trackers have been struck from various dates. Followed up with Soltec and they are working on it.Soltec will be conducting a site visit
3. Site had a brief utility outage between 08:50am to 10:00am on 04/03.
4.Inverters are offline from 08:25am to 09:55am on 04/29 while technician onsite for Preventive maintenance</t>
  </si>
  <si>
    <t>1.SR092964
2.SR097603,SR098877
3.SR099353
4.PM7740</t>
  </si>
  <si>
    <t>SR098877</t>
  </si>
  <si>
    <t>SR099353</t>
  </si>
  <si>
    <t>1.Inverters 3 &amp; 4 are experiencing multiple tripping’s and reporting “SE VAC3 RMS H1" on 04/01 and inverter 3 is tripped offline on 04/01 at 16:15 later technician has reenergized the inverter on 04/02 at 14:10. Again Inverters 3 &amp; 4 are experiencing multiple tripping’s on 04/03, on 04/07 technician contacted Ingeteam and they recommended testing the transformer DGA samples, as they observed an increase in reactive power injection. On 04/29 technician has estopped both the inverters and inverter 3 &amp; 4 are back online at 17:25 on 04/29
2.USNE has taken the site offline for transformer testing from 11:50 am to 16:00 on 04/28.
3. Inverter 1 tripped offline from 14:00 to 15:10 on 04/25 due to "SE INSULATION FAULT"
4.All trackers and gateways stuck in wind stow and not accepting commands on 04/01 at 10:50am, some of the trackers has back to tracking but some trackers are still stuck</t>
  </si>
  <si>
    <t>1.SR099272, SR099864
2.SR099864
3.SR100426
4.SR099490</t>
  </si>
  <si>
    <t>SR099864</t>
  </si>
  <si>
    <t>SR100426</t>
  </si>
  <si>
    <t>SR099490</t>
  </si>
  <si>
    <t>1.Site tripped offline at 14:20 on 04/15 due to utility outage later technician has closed the switch gear at 10:00 on 04/17
2. Inverter 1 was offline on 04/25 due to fatal alaram, later on 04/28 technician has Inverters 1 and 2 were de-energized, and the relay from Inverter 2 was swapped with that of Inverter 1. Both inverters were re-energized. However, Inverter 1 faulted again with a “DC Contactor Fault.” and inverter 1 will reamin offline as it required further troubleshooting.
3.Inverter 3 &amp; 4 experiencing multiple tripping's drastically on 04/30</t>
  </si>
  <si>
    <t>1.SR099828
2.SR100395
3.SR100721</t>
  </si>
  <si>
    <t>SR100395</t>
  </si>
  <si>
    <t>SR100721</t>
  </si>
  <si>
    <t>1. Inverters 5 and 30 tripped offline at 12:15 AM on 04/04and reporting "Grid Line Voltage Out of Range" and later technician has reset the breaker at 08:15 on 04/08
2.Inverter 4 is derating its peers by approx 50% and reporting "Temperature Sensor Fault - Warn0050", inverter being RMA'd
3. Inverter 18 is producing but with a temperature sensor abnomaly alarm from 03/25 later technician installed a new Powerhead on 04/14.
4.Inverter 9 tripped offline at 13:15 on 04/20 and reporting "Grid Line Voltage Out of Range" and back online at 08:15 on 04/22. Again inverter 9 tripped offline at 16:00 on 04/22 and back online at 12:00 on 04/25 by resetting the breakers.
5.Inverter 30 tripped offline at 13:15 on 04/20 and reporting "Grid Line Voltage Out of Range" and back online at 08:15 on 04/22 by resetting the breakers
6.Inverter 30 tripped offline at 11:00 AM on 04/23 and reporting "Grid Phase Voltage Out of Range" &amp;  Inverter 5 tripped offline at 14:15 and reporting "Grid Phase Voltage Out of Range" and back online at 12:00 on 04/25 by resetting the breakers
7.Inverter 28 tripped offline at 14:45 on 04/28 and reporting "Grid Phase Voltage Out of Range". Inverter 9 tripped offline at 11:05AM and inverter 30 tripped offline at 12:50PM on 04/28 reporting "Grid Phase Voltage Out of Range" and technician has reset the breakers at 09:45am on 04/30. Again Inverters 9 &amp; 30 tripped have tripped offline and reporting "Grid Phase Voltage Out of Range" at 14:00 on 04/30
8.Inverters 1 to 20 have tripped offline at 17:45 on 04/29 and reporting a "Loss of Main - GridV.OutLim", technician has reset the inverters 1 to 20, 28 at 09:45am on 04/30. Additionally, technician replaced the fuse on string 12</t>
  </si>
  <si>
    <t>1.SR099418
2.SR100197
3.SR098354
4.SR100037,SR100198
5.SR100038
6.SR100212
7.SR100544
8.SR100674</t>
  </si>
  <si>
    <t>SR100197</t>
  </si>
  <si>
    <t>SR100037</t>
  </si>
  <si>
    <t>SR100198</t>
  </si>
  <si>
    <t>SR100038</t>
  </si>
  <si>
    <t>SR100212</t>
  </si>
  <si>
    <t>SR100544</t>
  </si>
  <si>
    <t>SR100674</t>
  </si>
  <si>
    <t>1. Inverter 1 tripped offline at 08:55 AM on 04/05, reporting an "Isolation Alarm." It came back online at 11:40 AM the same day. On 04/11, the inverter started late in the morning and tripped offline again at 11:10 AM with the same "Isolation Alarm," but was back online by 12:10 PM. Later that day, it tripped offline at 17:50 and self-resolved at 14:35 on 04/12. The inverter then started late again at 08:35 on 04/13.
2.Site had a brief utility outage between 08:50AM to 10:00AM on 04/03.
3.Inverter 1 tripped offline due to Isolation resistance fault from 08:10AM to 10:55AM on 04/19 .</t>
  </si>
  <si>
    <t>1.SR099129
2.SR099351
3.SR100013</t>
  </si>
  <si>
    <t>SR099351</t>
  </si>
  <si>
    <t>SR100013</t>
  </si>
  <si>
    <t>1. Site tripped offline at 04:10am on 04/03 technician found that there surge damage to SEL, due to failed CT in the grounding transformer and remained offline through out the month.</t>
  </si>
  <si>
    <t>1.SR099347</t>
  </si>
  <si>
    <t>1. The site tripped offline at 13:15 on 04/15 due to a utility outage caused by pole damage. The outage was later cleared, and site is back online at 16:15 on 04/15.</t>
  </si>
  <si>
    <t>1. SR099823</t>
  </si>
  <si>
    <t>1. Site had a brief utility outage between 13:10 to 15:45 on 04/22.</t>
  </si>
  <si>
    <t>1. SR100152</t>
  </si>
  <si>
    <t>1. The site went offline at 13:35 on 03/31 and  back online at 02:00 AM on 04/01. The issue later self-resolved.
2. Site had a brief utility outage between 13:10 to 15:45 on 04/22.</t>
  </si>
  <si>
    <t>1. SR098995
2. SR100154</t>
  </si>
  <si>
    <t>SR100154</t>
  </si>
  <si>
    <t>1. Currently, the following trackers are stuck
Group 1: 57 &amp; 119
Group 2:  24, 27, 32, 36, 39, 43, 54, 59, 61, 97, 114, &amp; 124.
A total of 14 tracker control units are struck. later 43 tracker is back online.
2. Inverter 1 tripped offline at 16:00 on 04/01 due to a 'Ground Fault'. A technician was on site to perform a preventive maintenance (PM) inspection and found that the inverter was offline. The technician cleared the ground fault, replaced the ground fault fuse, reset the AC breaker, and power-cycled the inverter. The inverter is back online at 11:25 on 04/03.</t>
  </si>
  <si>
    <t>1. SR095109
2. SR099284
(PM7482)</t>
  </si>
  <si>
    <t>SR099284</t>
  </si>
  <si>
    <t>1. Site had a brief utility outage between 12:45 to 15:45 on 04/22.</t>
  </si>
  <si>
    <t>1. SR100161</t>
  </si>
  <si>
    <t>1. Site had a brief utility outage between 13:00 to 15:45 on 04/22.</t>
  </si>
  <si>
    <t>1. SR100162</t>
  </si>
  <si>
    <t>1. The site tripped offline at 09:00 AM on 04/11. A technician found that the SEL relay had tripped. After resetting the relay and closed, the site is back online at 13:10 on 04/12..</t>
  </si>
  <si>
    <t>1. SR099690</t>
  </si>
  <si>
    <t xml:space="preserve">1. Inverter 2 tripped offline at 07:25 AM on 04/11, possibly due to EPC activity on site. It later self-resolved and back online at 11:00 AM on 04/11. However, Inverter 2 tripped offline again at 11:55 AM on 04/12, reporting an overall work state of 'STOP'. A technician inspected the issue, removed the old modules, and replaced them with new ones. Then inverter back online at 13:10 on 04/14.
2. Currently , the following trackers 2,29,124 stuck at 1.17 Degrees at 11:55 on 04/19 . </t>
  </si>
  <si>
    <t>1. SR099687
2. SR100044</t>
  </si>
  <si>
    <t>SR100044</t>
  </si>
  <si>
    <t xml:space="preserve">1. The site stopped communicating on 03/29. A technician replaced the cutout fuse on the Control Power Transformer, and communications were restored on 04/07.
2.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
3. The site lost communication at 15:30 on 04/23, and production could not be verified. On 04/24, the technician checked in and identified that the DAS was offline due to a defective main breaker. The breaker was replaced, and a filler plate was added to the panel. The site is now back online.
</t>
  </si>
  <si>
    <t>1. SR099146
2. SR099726
3.SR100241</t>
  </si>
  <si>
    <t>SR099726</t>
  </si>
  <si>
    <t>SR100241</t>
  </si>
  <si>
    <t>1.1.Tracker control 33 - 90, 129 - 136, 148  , 20-32, 123-128, 172-183 are not communicating  &amp; tracker 156 , 121 is stuck and production dropped (approxmately ) 25 KW down.</t>
  </si>
  <si>
    <t>1. Inverter tripped offline at 14:30 on 04/10. On 04/11 Technicain replaced broken module and inv is back online at 12:10.
2. Tracker 53 stuck at -20Degress on 04/16 at 12:10 and additionally stopped communicating from 04/17 from 06:30AM.  Will investigate next time onsite.
3.The site tripped offline at 10:20 on 04/25 due to a utility outage. On 04/28, the technician programmed the PT board, and the site was re-energized. The site was back online at 15:40.</t>
  </si>
  <si>
    <t>1.SR099656
2. 	SR100042
3.SR100303 , SR100429</t>
  </si>
  <si>
    <t>SR100042</t>
  </si>
  <si>
    <t>SR100303</t>
  </si>
  <si>
    <t>SR100429</t>
  </si>
  <si>
    <t>1. trackers 169 and 170 are not tracking from 04/02. 170 resolved, 138 stuck again, 169 stuck, these 3 are intermittent, sometimes working, sometimes stuck all day.
2.Tracker 81 currently stuck at 55.58deg &amp;  Tracker 81 and 170 stuck at 55 deg from 04/25.
3. The site tripped offline at 08:40 on 04/21 due to work on the substation at the GOAB. On 04/24, NYSEG closed in their circuit, and the site automatically reclosed and began producing at 14:05.
4.6 trackers  tracking incorrectly based on the time of day. Trackers 1, 39, 49, 96, 115, &amp; 139 are all reporting a positive tracking angle when the others are reporting a negative angle. Additionally, tracker 170 is stuck at 55 degrees  from 04/25</t>
  </si>
  <si>
    <t>1.	SR095821
2. 	SR099986
3.	SR100055
4.	SR100400</t>
  </si>
  <si>
    <t>SR099986</t>
  </si>
  <si>
    <t>SR100055</t>
  </si>
  <si>
    <t>SR100400</t>
  </si>
  <si>
    <t xml:space="preserve"> 1.The site tripped offline at 09:40 AM on 04/02. On 04/03, the technician closed the relay to re-energize the site at 08:35.</t>
  </si>
  <si>
    <t>1.	SR099313</t>
  </si>
  <si>
    <t>1.Inverter offline from 06:00 to 09:45 on 04/20 later Inverter was back online by remote reset.</t>
  </si>
  <si>
    <t>1.	SR100032</t>
  </si>
  <si>
    <t>1.CB 19 offline from 02/15 and CB 6 are offline from 03/07. Isolated and removed damaged materials. Stored hardware in storage container. Flexrack to RMA or quote replacement parts.
2. The site tripped offline at 14:30 on 04/03. On 04/04, the technician closed the recloser. The site was back online and producing by 18:25
3.All inverters tripped offline at 17:20 on 04/17, reporting 'Supply Voltage Failed.' On 04/18, the technician closed in the recloser, and the site was re-energized at 12:25.
4. site tripped offline from 04/21 at 08:50 due to recloser is opened due to the circuit being out of normal configuration. This will be offline until circuit is returned to normal on 5/16.</t>
  </si>
  <si>
    <t>1.SR098959
2.	SR099387
3.	SR099967
4.	SR100101</t>
  </si>
  <si>
    <t>SR099387</t>
  </si>
  <si>
    <t>SR099967</t>
  </si>
  <si>
    <t>SR100101</t>
  </si>
  <si>
    <t xml:space="preserve">1.Inverter 2 offline at 09:55 from 03/25. On 04/15, after completing network repairs, the technician was able to remotely access the inverter and reset it. The inverter was online and producing from 14:15
2. Inverter 1 is tripped offline at 11:00 from 04/03 showing an error, and thermal events were found on the contactors. Additional troubleshooting is required with SMA, and the inverter will remain offline. On 04/15, after a manual reset and parameter change by the technician, Inverter 1 began producing, and the firewall communication issue was also resolved.
3.Inverter was offline from 06:00 to 13:50 due an error from the pilot on 04/20 later back online by remote reset.
4.Inverter 1 tripped offline from 06:00 to 09:05 on 04/21 and again offline from 09:55 to 14:50 on 04/22. After remote reset inverter back online.
5.Inverter 2 tripped offline at 06:00 on 04/26. After remotely reset back online at 10:20. Inverter 2 tripped offline again at 17:30. Remote reset 18:00 and it is back online.
6. Inverter tripped offline from 06:00 to 09:15 on 04/27 and reporting AC Breaker Switch "OPEN", later back online by remote reset. </t>
  </si>
  <si>
    <t>1.	SR098626
2.SR098559
3.SR100034
4.	SR100067
5.SR100448
6.SR100460</t>
  </si>
  <si>
    <t>SR098559</t>
  </si>
  <si>
    <t>SR100034</t>
  </si>
  <si>
    <t>SR100067</t>
  </si>
  <si>
    <t>SR100448</t>
  </si>
  <si>
    <t>SR100460</t>
  </si>
  <si>
    <t>1. 	SR095624
2.SR097725</t>
  </si>
  <si>
    <t>1. Inverter is tripped offline at 16:40 on 04/03. On 04/04  Inverter is back online by remote reset at 08:35.
2.Site offline  at 20:20 PM on 04/12. On 04/13 Site regained its communication at 13:05 and inverter was back online by remote reset at 14:30.
3. Inverter is tripped offline at 16:20 on 04/27 and reporting an "STOP: PARAMETER INVOPMOD" fault. 04/28 Inverter back online by remotely reset at 07:30 and again offline from 08:50 to 09:35.</t>
  </si>
  <si>
    <t>1.SR099393
2.SR099740
3.SR100471</t>
  </si>
  <si>
    <t>SR099740</t>
  </si>
  <si>
    <t>SR100471</t>
  </si>
  <si>
    <t xml:space="preserve">1.POA 1 is not accurately reporting - technician need to visit for further troubleshooting.
2. All trackers were stopped between -56.93 degrees and -60.7 degrees on 03/20 due to very high winds on-site. on 04/28 technician NCU's connected to snow sensor power cycled, all trackers are now operating.
3. NCU 4 device 1035 stuck at -23.66 degrees from 11:35AM from 04/29.
</t>
  </si>
  <si>
    <t>1.	SR096042
2.	SR099324 ,  SR096042
3.SR100652</t>
  </si>
  <si>
    <t>SR099324</t>
  </si>
  <si>
    <t>SR096042</t>
  </si>
  <si>
    <t>SR100652</t>
  </si>
  <si>
    <t>1.Site tripped offline at 12:12AM on 04/17, Z and Y phase voltages dropped to zero.  After utility outage is restored Site back online by remote reset at 12:06 on 04/17.</t>
  </si>
  <si>
    <t>1.SR099916</t>
  </si>
  <si>
    <t>1.	SR098692</t>
  </si>
  <si>
    <t>1.12 additional trackers stuck. On 03/19, technician was unable to perform troubleshooting the trackers due to not getting access to connect with NCU and created a case with the manufacturer and further troubleshooting is required with NEXTracker. On 04/08 technician after replacing two HVPS. Currently multiple trackers are still struck and requires additional troubleshooting along with NEXTracker's assistance.
2.14 trackers are currently stuck from 01/06 NCU 1 SPC 111, 112, 118, 205, 305, 307, 310, &amp; 311 &amp; NCU 2 SPC 125, 126, 136, 242, 338, &amp; 341. On 04/15 Technician worked on the trackers, multiple trackers are still not reporting and require further troubleshooting with NexTracker. 
3.Site tripped offline at 15:20 on 04/03 and relay Z and Y phase voltages are dropped to 0V due to utility outage. Site back online at 17:00 on same day after the utility outage was cleared and utility voltages are back online.</t>
  </si>
  <si>
    <t>1.SR094820
2.SR099686
3.SR099386</t>
  </si>
  <si>
    <t>SR099686</t>
  </si>
  <si>
    <t>SR099386</t>
  </si>
  <si>
    <t>1.Site tripped offline at 15:20 on 04/03 and relay Z and Y phase voltages are dropped to 0V due to utility outage. Site back online at 17:00 on same day after the utility outage was cleared and utility voltages are back online.
2.15 trackers are currently stuck from 03/21 NCU 1 SPC 101, 206, 218, &amp; 314
    NCU 2 SPC 118, 128, 230, 234, 321, 323, 333, 334, 336, 337, &amp; 343</t>
  </si>
  <si>
    <t>1.	SR099385
2.	SR098860</t>
  </si>
  <si>
    <t>SR098860</t>
  </si>
  <si>
    <t>1.All NCU 2 trackers have lost communication, while NCU 1 trackers 115-127 remain stuck from 03/27. Previous stuck trackers included 18 on 03/24 and specific units on 03/17.
2.Site tripped offline at 08:40 on 04/07. On 04/11 Ameresco was able to remotely confirm proper utility voltages were present onsite and closed the site in. It is online and producing at 15:30.</t>
  </si>
  <si>
    <t>1.	SR099118 , SR097454 
2.	SR099466</t>
  </si>
  <si>
    <t>SR099466</t>
  </si>
  <si>
    <t>1.The site went offline at 20:46 on 04/02. On 04/03, the technician closed the relay, and the site was back online and producing as expected by 08:59am.
2. Site offline at 22:41 on 04/23. 04/24 the technician closed the relay, and the site was back online and producing as expected by 13:41</t>
  </si>
  <si>
    <t>1.SR099345
2.	SR100252</t>
  </si>
  <si>
    <t>SR100252</t>
  </si>
  <si>
    <t>1. The site tripped offline at 07:15 AM on 04/18 and later self-resolved and back online at 09:30 AM on 04/18.</t>
  </si>
  <si>
    <t>1. SR099977</t>
  </si>
  <si>
    <r>
      <t xml:space="preserve">1. </t>
    </r>
    <r>
      <rPr>
        <sz val="11"/>
        <color rgb="FF000000"/>
        <rFont val="Calibri"/>
        <family val="2"/>
        <scheme val="minor"/>
      </rPr>
      <t>The site went offline at 13:15 on 03/18 and later self-resolved and back online on 08:00 AM on 04/15 and again tripped offline at 12:00 PM on 04/17 and offline throughout the month, awaiting for EPC to address.
2. Inverter 2 tripped offline at 13:15 on 03/10 and later self-resolved and back online on 08:00 AM on 04/15.
3.  Many optimizers on SE are offline and later back online on 04/15. Additionally 1 optimizer on SE is offline , EPC to complete.</t>
    </r>
  </si>
  <si>
    <t>1. SR098724
2. SR097637, SR098293
3. SR095945</t>
  </si>
  <si>
    <t>SR098293</t>
  </si>
  <si>
    <t>SR095945</t>
  </si>
  <si>
    <t>1. Multiple optimizers are offline and later back online on 04/02.</t>
  </si>
  <si>
    <t>1. Inverter 3 tripped offline at 08:05 AM on 04/17. After the technician checked into the site, he found that the breaker was faulty and its connection to the busbar had overheated. The breaker is currently being replaced, and the inverter is offline throughout the month.</t>
  </si>
  <si>
    <t>1. SR099930</t>
  </si>
  <si>
    <t>1. Inverter 1 tripped offline at 13:30 on 03/06, reporting a "Fault" and later self-resolved and back online at 13:30 on 04/10. It again tripped offline at 15:00 on 04/13 and reporting '3 Phase Possible Arc Detection'. After remotely unlocking the inverter, it is back online at 07:00 AM on 04/14. and again Inverter 1 tripped offline  at 14:45 on 04/17 and reporting '3 Phase Possible Arc Detection, and the continued throughout the month. This is currently being addressed under EPC.
2. Inverter 3 has tripped offline at 12:15 on 03/07 and reporting a "Generic Fault" and  later self resolved and back online at 13:30 on 04/10.
3.Multiple optimizers are offline and pending EPC.
4. Inverter 1 right unit is tripped offline at 15:00 on 04/14, reporting a '3 Phase Possible Arc Detection' fault. Additionally, the middle unit tripped offline at 15:00 on 04/15 and continued throughout the month and adressing this issue under EPC.
5.  Inverter 2 middle unit is tripped offline at 12:00 on 04/13, reporting a '3 Phase Possible Arc Detection' fault and continued throughout the month and adressing this issue under EPC.
6. Inverter 3 middle unit tripped offline at 13:00 on 04/13 and reporting "3 Phase Possible Arc Detection" fault, Additionally left unit has tripped offline at 16:00 on 04/15 and continued throughout the month and adressing this issue under EPC.</t>
  </si>
  <si>
    <t>1. SR098235, 	SR099791
2. SR098264
3. SR095956
4. SR099791
5. SR099792
6. SR099793</t>
  </si>
  <si>
    <t>SR099791</t>
  </si>
  <si>
    <t>SR099792</t>
  </si>
  <si>
    <t>SR099793</t>
  </si>
  <si>
    <t>1. Weather station stopped communication at 17:00 on 02/22 and adressing this issue under EPC.</t>
  </si>
  <si>
    <t>1. SR100524</t>
  </si>
  <si>
    <t>1. Inverter 2 middle unit tripped offline at 12:00 PM, reporting grid voltage. It experienced frequent and intermittent trips over several days during the month but later self-resolved on 04/20.</t>
  </si>
  <si>
    <t>1. SR100036</t>
  </si>
  <si>
    <t>1. A few strings are offline. EPC to complete.
2. Inverter 3 tripped offline at 14:45 on 03/12 and reporting generic fault and later back online at 11:00 AM on 04/08 .
3. Inverter 1 middle unit has tripped offline at 16:00 on 03/19 and reporting  "Ground Current RCD" and adressing this issue under EPC later self resolved at 10:00 AM on 04/08. additionally Inverter 1 left unit tripped offline at 12:00 PM on 04/17 and continued throughout the month and adressing this issue under EPC.
4. Inverter 3 middle unit offline on 04/14 and continued throughout the month and adressing this issue under EPC.
5. Inverter 2 middle unit tripped offline at 15:15 on 04/28 through out the month.</t>
  </si>
  <si>
    <t>1. SR095941
2. SR098413,SR098490
3. SR099138
4. SR099857
5. SR100587</t>
  </si>
  <si>
    <t>SR099857</t>
  </si>
  <si>
    <t>SR100587</t>
  </si>
  <si>
    <t>1.Inverter 1 is underperforming from 02/19, possibly one unit tripped offline. EPC to address the issue.</t>
  </si>
  <si>
    <t>1.SR097620</t>
  </si>
  <si>
    <t>1.Site tripped offline at 15:45 on 03/14 due to a big windstorm. On 03/15 technician stated that multiple utility poles down and recloser opened. Site was back online at 17:00 on 04/18. Site was again tripped offline between 08:45 to 16:15 on 04/21 and between 07:30 to 14:00 on 04/22.
2.Inverter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</si>
  <si>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1.SR098602
2.SR100220</t>
  </si>
  <si>
    <t>SR100220</t>
  </si>
  <si>
    <t>1.Site tripped offline at 9:15AM on 03/17 due to windstorm and no utility and back online at 14:45 on 04/23. Again tripped offline between 7:30 to 16:30 on 04/24, between 08:30 to 16:30 on 04/25 and between 07:45 to 16:30 on 04/28. Again tripped offline between 17:30 to 17:45 on 04/30.</t>
  </si>
  <si>
    <t>1.SR098665, SR099161</t>
  </si>
  <si>
    <t>SR099161</t>
  </si>
  <si>
    <t xml:space="preserve">1.All trackers are intermittently getting stuck. </t>
  </si>
  <si>
    <t>1.SR098315</t>
  </si>
  <si>
    <t>1.Inverter 1 was underperforming by 13kW compared to its peers since 03/26. 
2.Inverter 2 underperforming compared to its peers and reporting a device communication fault since 01/22.</t>
  </si>
  <si>
    <t>1.SR099018, SR099951
2.SR096257</t>
  </si>
  <si>
    <t>SR099951</t>
  </si>
  <si>
    <t>SR096257</t>
  </si>
  <si>
    <t>1.The site tripped offline at 4:00 on 04/09 due to an open relay and was brought back online at 8:00 on 04/10 after the technician closed the recloser.</t>
  </si>
  <si>
    <t>1.SR099547</t>
  </si>
  <si>
    <t>1.Site tripped offline at 19:00 on 04/08 due to a utility recloser pole fire. On 04/15 at 9:05, the technician found the GOAB locked open, closed and locked it, and the site was re-energized and back online.
2.Both the inverters were offline on 04/25 due to Over all work state as stop and Grid voltage unbalance faults and back online at 10:50 on 04/27. On 04/27 technician found a fuse blown which is leading to a phase imbalance causing the inverters not to run. Additional troubleshooting and repairs will need to be scheduled and completed.
3.Several trackers (3, 13, 16, 76, 82, 83, 142, 183) were intermittently stuck since 02/26/25. By 04/25/25, all except trackers 76 and 142 had resolved or were reset during site visits. On 04/15, a technician confirmed that the trackers had been offline but resumed tracking after being powered on. Most alarms cleared, except for addresses 76 and 142. Despite following the TS guide to power cycle TCUs and clear faults, communication issues persist with these two. Due to bad weather, troubleshooting will continue later.</t>
  </si>
  <si>
    <t>1.SR099543
2.SR100403
3.SR097816</t>
  </si>
  <si>
    <t>SR100403</t>
  </si>
  <si>
    <t>SR097816</t>
  </si>
  <si>
    <t>1.Site tripped offline between 12:30AM to 10:40AM on 04/13 due to SEL Relay open later technician had reset the relay.
2.All trackers have been stuck at 0 degrees since 03/14 at 11:45 AM, and remote reset did not resolve the issue. The trackers resumed tracking on 04/09 after the issue with the Digi devices was fixed by GC on-site personnel, and the devices are now communicating properly.
3.Trackers 5, 11, 73, &amp; 84 were stuck from 04/27. Tracker 11 resumed tracking on 04/30.</t>
  </si>
  <si>
    <t>1.SR099736
2.SR097600
3.SR100609</t>
  </si>
  <si>
    <t>SR100609</t>
  </si>
  <si>
    <t>1.Site was offline from 03/07. The utility was contacted again to close the recloser, but the closure was not successful. Further troubleshooting is needed.</t>
  </si>
  <si>
    <t xml:space="preserve">1.SR098278, SR098670 </t>
  </si>
  <si>
    <t>SR098670</t>
  </si>
  <si>
    <t>1.Site was taken offlline between 13:00 to 15:15 on 04/04 due to EV solar checked in to work on site communication issue. 
2.All trackers are stuck in stow mode at 55 degrees from 04/10 and resumed production on 04/25 after technician found a ground wire had pulled out of a cable's fusible link inside Main DAS Cabinet 1 and installed a new crimp on the terminal.</t>
  </si>
  <si>
    <t>1.SR099416
2.SR099684, SR100485</t>
  </si>
  <si>
    <t>SR099684</t>
  </si>
  <si>
    <t>SR100485</t>
  </si>
  <si>
    <t>1. TCU 3, 33 through 66 are stuck from 4/24/25 at 13:00CDT.
2.Inverter 2 was derating by anywhere from 5 kW to ~20 kW in the afternoons from 03/28.</t>
  </si>
  <si>
    <t>1.SR098066
2.SR099545</t>
  </si>
  <si>
    <t>SR099545</t>
  </si>
  <si>
    <t>1.Site tripped offline at 15:45 on 04/11. On 04/12 technician found the GOAB locked open with 2 locks(one was opened by NYSEG). Site back online at 14:00 on 04/14. Again site trippped offline at 18:40 on 04/14 due to utility work and back online at 9:00 on 04/17 after EVS repaired GOAB.
2.CB 14 was offline on multiple days of the month.
3.Tracker W-050, Trackers W-159 &amp; W-166 are stuck at 45 deg &amp; 0deg. Additionally, trackers E- 82, E-83, E-167, E-168, E-169 are deviating during 12:00PM to 17:00PM multiple days of the month.</t>
  </si>
  <si>
    <t>1.SR099715, SR099788
2.SR099974
3.SR099473</t>
  </si>
  <si>
    <t>SR099788</t>
  </si>
  <si>
    <t>SR099974</t>
  </si>
  <si>
    <t>SR099473</t>
  </si>
  <si>
    <t>1.Trackers 101-114 were not tracking and the large group of trackers was the last and may be misconfigured. GC looking for tracker plans of the site.</t>
  </si>
  <si>
    <t>1.SR099014</t>
  </si>
  <si>
    <t>1.Site was offline from 10:50 to 11:20 on 04/16.
2.Combiner box 15 was offline from 08:35 to 15:40 on 04/17.
3.Trackers 55 and 013 are stuck, while 063, 062, 110, and 111 consistently get stuck around 2–3 PM. On 04/24 EV Solar checked in and the CT has been replaced on inverter 1 Phase B, and the site has been taken offline from 09:10 AM to 11:00 AM during process.
4.Inverter 1 is underproducing 200kW due to module 1-2 is tripped offline at 14:40 on 04/29.</t>
  </si>
  <si>
    <t>1.SR099881
2.SR099943
3.SR098693
4.SR100729</t>
  </si>
  <si>
    <t>SR099943</t>
  </si>
  <si>
    <t>SR098693</t>
  </si>
  <si>
    <t>SR100729</t>
  </si>
  <si>
    <t>1.Site was taken offline by EPC from 10:40 to 14:30 on 04/14 for repairs.
2. From 04/09 Tracker 46 stuck at -49.9 degrees and CB09 production is impacting end of the day. Tracker resumed tracking from 04/17. 
3.All combiner boxes are tripping on and off on 04/17 due to EV solar performed IV Curve testing.
4.On 04/27, All trackers were stuck at 49.8° from 12:50 PM, impacting production. They resumed normal operation by 3:30 PM on same day. 
5.Inverter tripped offline at 13:30 on 04/29 due to Over all work as STOP fault and back online at 17:50 on 04/30.</t>
  </si>
  <si>
    <t>1.SR099770
2.SR099595
3.SR099946
4.SR100462
5.SR100662</t>
  </si>
  <si>
    <t>SR099595</t>
  </si>
  <si>
    <t>SR099946</t>
  </si>
  <si>
    <t>SR100462</t>
  </si>
  <si>
    <t>SR100662</t>
  </si>
  <si>
    <t>May Actual v. Expected</t>
  </si>
  <si>
    <t>May Actual v. Forecasted</t>
  </si>
  <si>
    <t>1. Low production/generation due to rain on 05/05, 05/09 &amp; 05/14.</t>
  </si>
  <si>
    <t>1.Inverter module 1.0.71 is offline, reporting "No communication with Power Optimizer</t>
  </si>
  <si>
    <t>1.SR093289</t>
  </si>
  <si>
    <t>1.Estimated values are low in AE we have also verified the file which was given by GC</t>
  </si>
  <si>
    <t>1.26 optimizers are down for roof repair.
2.Inverter 2 unit 2.2 ( left unit) is offline since 05/04/25 due to  "DC Isolation" and back online on 05/10 at 16:30 and again offline on 05/14 and back online on 05/18 on 08:15 again offline from 05/22 and self resolved on 05/25 at 13:00
3.Weather station stopped communicating since 06/14/24.</t>
  </si>
  <si>
    <t>1.SR093294
2.SR098958
3.SR086842</t>
  </si>
  <si>
    <t>SR086842</t>
  </si>
  <si>
    <t>1. Low production/generation due to rain on 05/05, 05/09, 05/14 &amp; 05/22.</t>
  </si>
  <si>
    <t>1. Site was offline from 11:02 to 11:21 on 05/30 due to technician was onsite for preventive maintenace work.
2. Low production/generation due to rain on 05/05, 05/09, 05/14 &amp; 05/22.</t>
  </si>
  <si>
    <t>1. PM8144</t>
  </si>
  <si>
    <t xml:space="preserve">1.Inverter 11 (left unit) was offline since 04/18, reporting a "DC Isolation Fault." During troubleshooting, it was discovered that following a firmware update, the inverter no longer displayed fault codes and continued to fail to produce power. SolarEdge technical support was contacted, and a callback was received. Case number 5713468 was created. </t>
  </si>
  <si>
    <t>1.SR101786</t>
  </si>
  <si>
    <t>1.Inverter 2 unit 2.3(middle unit) is didn't started for the production on 05/18, later technician has found defective optimizer causing inverter to fault. Replaced optimizer, inverter middle unit is back online on 05/22 at 12:00</t>
  </si>
  <si>
    <t>1.SR101646</t>
  </si>
  <si>
    <t>1. Site was offline from 10:46 to 11:06 and 11:54 to 12:08 on 05/22 due to technician was onsite for preventive maintenace work.
2. Low production/generation due to rain on 05/05, 05/14 &amp; 05/22.</t>
  </si>
  <si>
    <t>1. PM8074</t>
  </si>
  <si>
    <t>1.Inverter 3 left unit is having multiple tripping from 05/10. On 05/23 technician has troubleshot with Solaredge and if inverter 3 left unit continues to trip a relay board will be shipped.</t>
  </si>
  <si>
    <t>1.SR101363</t>
  </si>
  <si>
    <t>1. Low production/generation due to rain on 05/05, 05/14 &amp; 05/22.</t>
  </si>
  <si>
    <t>1. Inverter 2 is back online on 05/01
2.Inverter 1 (right, middle units) and Inverter 2 (left, middle units) has tripped offline due to "3 Phase Possible Arc Detection" on 05/10 at 12:45, later technician has toggled and disconnected the DC switches and turned to OFF positions and has covers removed and units are back online at 09:00 on 05/15.</t>
  </si>
  <si>
    <t>1.SR100476
2.SR101267</t>
  </si>
  <si>
    <t>SR101267</t>
  </si>
  <si>
    <t>1. Site production was low on 05/05, 05/06, 05/09 due to rain.</t>
  </si>
  <si>
    <t xml:space="preserve">1.Site stopped communicating from 03/25. On 03/27 Technician stated that main breaker tripped and malfunctioning. Site was remained offline till date. Will need to replace 400amp breaker and lugs for 500 KC MIL wire. </t>
  </si>
  <si>
    <t>1.	SR098981</t>
  </si>
  <si>
    <t>1. Site was offline from 09:07 to 10:07 on 05/14 due to technician was onsite for preventive maintenance work.
2. Site was offline from 10:56 TO 11:17 on 05/19 due to technician was onsite for preventive maintenance work.</t>
  </si>
  <si>
    <t>1. PM2173
2. PM8123</t>
  </si>
  <si>
    <t>1. 8 optimizers are offline.  GenC confirms that Amrc will handle, to be combined with PM.</t>
  </si>
  <si>
    <t>1. 4 Inverter modules are offline. Will investigate next time on site. Module 1.0.64
Module 4.0.39 , 3.0.20 ,1.0.64</t>
  </si>
  <si>
    <t>1.	SR093324</t>
  </si>
  <si>
    <t>1. Inverter 5 left unit tripped offline at 12:30 ON 05/25 and reporting "Grid Voltage" self resolved and back online on 05/27
2.Inverter 3 middle unit and inverter 5 left unit has tripped offline on 05/11  and reporting "AC Voltage Too High". On 05/12 middle unit and left units are back online.</t>
  </si>
  <si>
    <t>1.SR099970
2.	SR101290</t>
  </si>
  <si>
    <t>SR101290</t>
  </si>
  <si>
    <t>1.On 04/29 at 16:00, inverter 1 Right Unit tripped offline.
On 05/01 at 07:45 AM, Inverter 1 tripped offline again and reported error code 03x9B in the SolarEdge monitoring system.
On 05/02, both Inverter 1 Right and Left Units went offline , middle unit online.
On 05/06, a technician tested the optimizers and replaced Inverter 1.
2. Inverter 3 middle unit offline. Reporting fault in AE and production issue detected in SE. On 05/16 technician found bad optimizer and replaced in the string 5. Middle unit is reenergized and all 3 units in inverter 3 are online. Inverter is now producing. Defective optimizer has been RMA'd.</t>
  </si>
  <si>
    <t>1.	SR100803
2.	SR101356</t>
  </si>
  <si>
    <t>SR101356</t>
  </si>
  <si>
    <t>NA</t>
  </si>
  <si>
    <t>1. On 02/05, the technician onsite found a faulty optimizer while troubleshooting the central unit of Inverter 2. Technician noted that the optimizer would need to be replaced and initiated an RMA on the same day. The optimizer still needs to be replaced during the next onsite visit.</t>
  </si>
  <si>
    <t>1. SR096294</t>
  </si>
  <si>
    <t>1. Optimizer 1.0.124 is offline. Will investigate combinely with other modules.</t>
  </si>
  <si>
    <t>1. Site production was low on 05/03 to 05/05, 05/07, 05/09, 05/13, 05/14, 05/22 due to rain.</t>
  </si>
  <si>
    <t>1. Site was offline from 8:15 to 9:45 on 05/08 due to technician was onsite for preventive maintenance work.</t>
  </si>
  <si>
    <t>1. PM8103</t>
  </si>
  <si>
    <t>1. Site was offline from 8:15 to 9:15 on 05/12 due to technician was onsite for preventive maintenance work.</t>
  </si>
  <si>
    <t>1. PM8003</t>
  </si>
  <si>
    <t>1. Site was offline from 9:11 to 9:31 on 05/05 due to technician was onsite for preventive maintenance work.</t>
  </si>
  <si>
    <t>1. PM2150</t>
  </si>
  <si>
    <t xml:space="preserve">1.Inverter 4 was offline on 05/24 reporting "Modules emergency fault" and was back online at 09:45CDT on 05/25,it was again tripped off at 17:45CDT on 05/25. Technician checked in and stated that it has a bad AC capacitor on Module 3 which is not safe to run so it was disabled but 1 and 2 are producing in that inverter and inverter is back online at 10:45 CDT on 05/27.
2. Inverter A was offline at 15:15 CDT on 05/12,on 05/14 technician checked in found an ground fault on detector after resetting the alarms and powercycled inverter it was back online at 13:15CDT on 05/22.It was again tripped offline on 05/23 and was back online on 05/27.
3.Inverter A was derating by 130 kW from 4/21/25. After technician checked in on 05/05 he discovered in the first cabinet the 3 main breakers were not closing and he performed reset after which inverter started producing normally.
</t>
  </si>
  <si>
    <t>1.SR101910
2.SR101354
3.SR100141</t>
  </si>
  <si>
    <t>SR101354</t>
  </si>
  <si>
    <t>1. Inverter 1 didn't start for production on 05/17 and reporting "SE VBUS NEG DERIVATIVE FAULT ". On 05/19 echnician found that three strings were damaged and required additional troubleshooting.
2.  Meter stopped communicating from 14:05 on 03/16 till date.</t>
  </si>
  <si>
    <t>1.SR101620
2. SR098641</t>
  </si>
  <si>
    <t xml:space="preserve">1. Inverter 26 was derated by 39kW down on 05/08 and from 05/13 to 05/19.
2. Numerous inverters are experiencing multiple trippings from 05/01 to 05/12.
3. Site was de-energised by technician on 05/07 from 08:35am to 10:35am to troubleshoot meter. Meter is not communicating from 03/16. Technician removed meter and shorted CTs. Meter was tested by Measulogic and no issues found. IP address may be the issue. </t>
  </si>
  <si>
    <t>1. SR101641
2. SR100447
3. SR098640</t>
  </si>
  <si>
    <t>SR098640</t>
  </si>
  <si>
    <t>1. Site production was low 05/02 to 05/07, 05/09, 05/17, 05/22 to 05/24 due to rain.</t>
  </si>
  <si>
    <t>1. Inverter 2 was offline for whole month and inverter being RMA'd.</t>
  </si>
  <si>
    <t>1. 	SR100623, SR099149, SR101482</t>
  </si>
  <si>
    <t>SR099149</t>
  </si>
  <si>
    <t>SR101482</t>
  </si>
  <si>
    <t>1. Technician took inverter 7 offline on 05/08 from 11:10am to 12:05pm.</t>
  </si>
  <si>
    <t>1. PM7532</t>
  </si>
  <si>
    <t>1.Expected energy values are reporting very low. Created a case #66639 with GPM, As per GPM the BOM has been frozen from 02/27.</t>
  </si>
  <si>
    <t>1. SR099403</t>
  </si>
  <si>
    <t>1. Site production was low on 05/04, 05/05, 05/09, 05/10, 05/22 and 05/31 due to rain.</t>
  </si>
  <si>
    <t>1. Site production was low on 05/03, 05/07, 05/08, 05/21 to 05/24, 05/28 due to rain.</t>
  </si>
  <si>
    <t>1. Inverter 2 was tripped offline on 04/30 due to bad inductor fan and Inverter was back online on 05/07 at 09:45 am after technician replaced  inductor.
2. Combiner Box #7 requires additional troubleshooting.
3.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</si>
  <si>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SR100629
2. SR100190
3. SR093024</t>
  </si>
  <si>
    <t>SR100190</t>
  </si>
  <si>
    <t>1. The site was offline from 11:35 AM on 05/15 to 3:35 PM on 05/16 while technicians were onsite working on the combiner boxes. CB 4 will remain offline until the DC switch is replaced in Inverter 1. On 05/28, a technician was onsite and took the site offline to work on the inverters. They replaced the DC switch on Inverter 2, but after troubleshooting, both inverters were left offline and require further investigation.</t>
  </si>
  <si>
    <t>1. SR100200, SR098198</t>
  </si>
  <si>
    <t>SR098198</t>
  </si>
  <si>
    <t>1.Combiner box 7,string 1 is underperforming since 03/21.Needs further investigation.</t>
  </si>
  <si>
    <t>1.Site was offline since 09:55 on 03/27 due to utility work at substation. NYSEG is replacing Circuit Switcher with A Vacuum Circuit Breaker estimated time is six weeks. On 05/12 an update was given stating Substation Seneca Falls will be returned to service possibly on 6/15.</t>
  </si>
  <si>
    <t>1.Site tripped offline and meter voltages were dropped to zero at 23:15. On 05/25 site came back online at 00:55 on 05/26.</t>
  </si>
  <si>
    <t>1.SR101929</t>
  </si>
  <si>
    <t>1.Weather station Reporting 0 value from 05/31/24. POA sensors need to be replaced.
2. All trackers have been struck from various dates. Followed up with Soltec and they are working on it. Soltec will be conducting a site visit.</t>
  </si>
  <si>
    <t>1.SR092964
2.SR098877,SR095253</t>
  </si>
  <si>
    <t>1.Site tripped offline at 15:20 on 05/17 and meter voltages were also dropped to zero. Technician checked into site on 05/19 and and closed MV Disconnect switch, site was back online 05/19.
2.Inverters 1 and 2 tripped offline on 05/05. Inverter 1 showed no fault code, while Inverter 2 reported 'Vac out of range. On 05/06, a technician checked in and stated that both inverters would remain offline until Transformer 1 was tested and repaired. After the transformer was repaired, both inverters were brought back online at 12:40.
On 05/15, Inverter 3 tripped offline at 12:40 due to being in stop mode. It was brought back online at 13:15 on 05/16 after the technician changed its operating mode and restarted it.</t>
  </si>
  <si>
    <t>1.SR101625
2.SR101020</t>
  </si>
  <si>
    <t>SR101020</t>
  </si>
  <si>
    <t>1. Inverters 3 and 4 tripped offline at 20:05 on 04/30. On 05/01, the technician confirmed the inverters were producing power but had no communication. A faulty NPort-3 was found, and as instructed by GPM tech support, an RMA was initiated. On 05/19, the technician replaced the RMA’d part with a new one, restoring inverter and meter communication at 15:45.
2. Inverter 1 was offline since 04/28. On 05/05 technician replaced exterior and interior filters brought inverter back online at 14:00.</t>
  </si>
  <si>
    <t>1. SR100387, SR100721 &amp; PM7743
2. SR100387</t>
  </si>
  <si>
    <t>SR100387</t>
  </si>
  <si>
    <t xml:space="preserve">1. Inverter 9 came back online at 10:30 on 05/02 after the breakers were reset. It tripped offline again at 13:00 on 05/10 and was brought back online at 09:00 on 05/13 by resetting the breakers. It tripped again at 14:15 the same day due to "Inverter/Irradiance Check" and "Grid Line Voltage Out of Range," and came back online at 11:45 on 05/21 after the technician reset the breaker. It tripped once more at 10:30 on 05/27 and was brought back online at 08:15 on 05/30 after the technician closed the AC breaker.
2. Inverter 30 tripped offline at 12:25 on 05/10, reporting "Grid Line Voltage Out of Range," and came back online at 09:15 on 05/13 after resetting the breaker. It tripped again at 13:15 on 05/16 and was back online at 11:15 on 05/21 after resetting the breaker. It tripped once more at 12:15 on 05/26 and came back online at 08:15 on 05/30 after the technician closed the AC breaker.
3. Inverter 28 tripped offline at 12:55 on 05/10, reporting "Grid Line Voltage Out of Range," and was back online at 09:15 on 05/13 after resetting the breakers. It tripped again at 13:45 on 05/16 and came back online at 11:15 on 05/21 by resetting the breaker. It tripped once more at 14:00 on 05/26 and was brought back online at 08:15 on 05/30 after the technician closed the AC breaker.
4. Inverter 5 tripped offline at 15:45 on 05/11, reporting "Grid Line Voltage Out of Range," and came back online at 09:00 on 05/13 by resetting the breaker. It tripped again at 13:00 on 05/27 and was brought back online at 08:15 on 05/30 after the technician closed the AC breaker.
5. Inverter 6 tripped offline at 13:45 on 05/24, displaying the alarm "Bus Imbalance - Protect0070." On 05/30, the technician inspected the unit, initiated an RMA, and the inverter remained offline for the rest of the month.
6. Inverter 32 tripped offline at 12:45 on 05/27 and was brought back online at 08:15 on 05/30 after the technician closed the AC breaker.
</t>
  </si>
  <si>
    <t>1. SR100811, SR101403 &amp; SR101938
2. SR101263, SR101594 &amp; SR101938
3. SR101263, SR101594 &amp; SR101938
4. SR101263 &amp; SR101938
5. SR101912
6. SR101938</t>
  </si>
  <si>
    <t>SR101403</t>
  </si>
  <si>
    <t>SR101938</t>
  </si>
  <si>
    <t>SR101263</t>
  </si>
  <si>
    <t>SR101594</t>
  </si>
  <si>
    <t>SR101912</t>
  </si>
  <si>
    <t>1. Site production was low on 05/03, 05/04, 05/21 to 05/23 due to rain.</t>
  </si>
  <si>
    <t>1. Site was offline since 04/03. On 05/14 USNE replaced the SEL relay and CAT5 cable brought site back online at 12:55. It went offline again on 05/22. On 05/23, the technician re-energized the site, but it was shut down after Transformer 2 showed signs of internal arcing. Further MV troubleshooting is required, and the site will remain offline for safety.</t>
  </si>
  <si>
    <t>1. SR099347, SR101820</t>
  </si>
  <si>
    <t>SR101820</t>
  </si>
  <si>
    <t>1. Site was offline from 14:00 on 05/08 and back online at 15:20 on 05/12 after utility power restored.
2. Site tripped offline at 16:25 on 05/13. On 05/16/25, the technician found the utility recloser in the open state. After inspecting the site, the technician contacted NYSEG. According to NYSEG, a crew was working on the utility line. Power was restored, and the site came back online at 16:25 the same day and site was again offline from 14:00 on 05/19, back online at 8:30 on 05/20/25 after technician power cycled the DAS.</t>
  </si>
  <si>
    <t>1. SR101160
2. SR101416</t>
  </si>
  <si>
    <t>SR101416</t>
  </si>
  <si>
    <t>1.Inverter 2 tripped offlline at 15:30 on 05/04 with an "AL_CODE3_AC_CONTACTOR" fault. On 05/09, the technician swapped its AC contactor and reset both inverters from 50Hz to 60Hz. After replacing the K2 relay, inverter 2 restarted at 16:00; inverter 1 remains off due to a faulty breaker.
2. Inverter 1 tripped at 10:25 on 05/07 with an "SE PERSISTENT ERROR" and returned online at 15:30 the same day as the issue self-resolved. It stayed offline after swapping the K2 relay with inverter 2 on 05/09. On 05/16, the technician replaced the K2 relay with a new RMA part, and inverter 1 was back online at 11:15.</t>
  </si>
  <si>
    <t>1. SR100997
2. SR100997, SR101109</t>
  </si>
  <si>
    <t>SR100997</t>
  </si>
  <si>
    <t>SR101109</t>
  </si>
  <si>
    <t>1. Site was offline from 15:25 to 19:05 on 05/06 due to a brife outage.
2. Site was offline from 14:10 on 05/19/25 and restored at 14:35 on 05/21 after the technician power cycled the DAS. It went offline again on 05/22 due to utility line damage and came back online at 14:25 after utility power was restored.</t>
  </si>
  <si>
    <t>1. SR101078
2. SR101078, SR101652</t>
  </si>
  <si>
    <t>SR101078</t>
  </si>
  <si>
    <t>SR101652</t>
  </si>
  <si>
    <t xml:space="preserve">1. Site was offline from 15:25 to 19:20 on 05/06 due to a brife outage.
2. Site was offline from  15:10 on 05/22 due to an line damage at utility end  and came back online at 14:25 on 05/28 after utility power restores.
</t>
  </si>
  <si>
    <t>1. SR101079
2. SR101079</t>
  </si>
  <si>
    <t>SR101079</t>
  </si>
  <si>
    <t>1. Site production was low on 05/03, 05/04, 05.13, 05/21 to 05/23 due to rain.</t>
  </si>
  <si>
    <t>1. Site production was low on 05/03, 05/04, 05/13,  05/21 to 05/23 due to rain.</t>
  </si>
  <si>
    <t>1. Site production was low on 05/03, 05/04, 05/09, 05/21 to 05/23, 05/28 due to rain.</t>
  </si>
  <si>
    <t>1. Currently, the following trackers are stuck
Group 1: 57 &amp; 119
Group 2:  24, 27, 32, 36, 39, 43, 54, 59, 61, 97, 114, &amp; 124.
A total of 14 tracker control units are struck.</t>
  </si>
  <si>
    <t>1. Site production was low on 05/03, 05/13, 05/21 to 05/24, 05/28 due to rain.</t>
  </si>
  <si>
    <t>1. Site was offline from 05:05 to 16:05 on 05/18 due to a brief outage.
2. Site was taken offline from 11:00 to 12:40 on 05/20 to work on Preventative maintenance.</t>
  </si>
  <si>
    <t>1. SR101632
2. PM7738</t>
  </si>
  <si>
    <t>1. Site was offline from 05:05 to 16:05 on 05/18 due to a brief outage.
2. Site was taken offline from 12:40 to 14:15 on 05/20 to work on Preventative maintenance.</t>
  </si>
  <si>
    <t>1. SR101091
2. PM8086</t>
  </si>
  <si>
    <t xml:space="preserve">1. Site was offline from 05:05 to 16:05 on 05/18 due to a brief outage.
</t>
  </si>
  <si>
    <t>1. SR101633</t>
  </si>
  <si>
    <t>1. Site production was low on 05/03, 05/05, 05/09, 05/21 to 05/24, 05/28 due to rain.</t>
  </si>
  <si>
    <t>1. Site was taken offline from 12:20 to 14:15 on 05/06, the technician replaced  the PT board in the inverter.
2. Inverter is exceeding its curtailment at 2338kW from 5/10/25.</t>
  </si>
  <si>
    <t>1. SR099360
2. SR101282</t>
  </si>
  <si>
    <t>SR101282</t>
  </si>
  <si>
    <t>1. All trakers are operating normal from 05/13/25.
2. Site was offline from 08:50 to 12:00 on 05/12 due to EV solar was onsite to replace inverter PT boards.</t>
  </si>
  <si>
    <t>1. SR100044
2. SR099140</t>
  </si>
  <si>
    <t>SR099140</t>
  </si>
  <si>
    <t>1. The site lost communication at 9:15 AM on 04/12; however, meter production data remained available. On 04/24, the technician found that Pad 1 DAS had a blown 4A fuse. They removed a fuse from Pad 2, but it failed upon re-energization. The technician will need to return with additional fuses.</t>
  </si>
  <si>
    <t>1.SR099726</t>
  </si>
  <si>
    <t>1. Tracker control 33 - 90, 129 - 136, 148  , 20-32, 123-128, 172-183 are not communicating  &amp; tracker 156 , 121 is stuck and production dropped (approxmately ) 25 KW down.</t>
  </si>
  <si>
    <t>1. Tracker 53 was stuck at -20° on 04/16 at 12:10 and stopped communicating from 04/17 at 06:30. Additionally, trackers 49, 90, and 96 were stuck from 04/28. All trackers returned to normal on 05/30 after being reset by a technician.</t>
  </si>
  <si>
    <t>1. SR100042</t>
  </si>
  <si>
    <t>1. Trackers 1 and 170 returned to normal on 05/01 at 16:35. Tracker 1 got stuck again at 54° from 05/03/25. Additionally, Tracker 170 got stuck again at 18:30 on 05/15 and returned to normal on 05/19. From 05/20, Trackers 98 and 10 were stuck at around 14°. Trackers 1, 170, 98, and 10 returned to normal on 05/21 at 16:45. Tracker 1 got stuck again at 54° on 05/26.</t>
  </si>
  <si>
    <t>1. SR101152</t>
  </si>
  <si>
    <t xml:space="preserve">1.Low production /generation on 05/09,05/14 and 05/22 due to rain </t>
  </si>
  <si>
    <t xml:space="preserve">1.Low production /generation on 05/04,05/05 and 05/09 due to rain </t>
  </si>
  <si>
    <t>1.Inverter 1 tripped offline at 13:45 on 05/04 and was online at 17:00 after a remote reset.
2.Inverter 1 tripped offline at 12:00 on 05/12 due to an insulation failure and came back online at 16:45 on 05/22 after technicians cleared the ground fault .Technicians  isolated two strings on Channel 2, CB 12and mentioned it requires  additional troubleshooting.On 05/30 ,technician replaced 8 fuses on combiner box CB12 and all the strings of CB 12 are online since then.</t>
  </si>
  <si>
    <t>1.SR100032
2.SR101327, SR101956</t>
  </si>
  <si>
    <t>SR101327</t>
  </si>
  <si>
    <t>SR101956</t>
  </si>
  <si>
    <t>1.Site remained offline throughout the month.The recloser is opened due to the circuit being out of normal configuration.Dispacth was scheduled in the month of june</t>
  </si>
  <si>
    <t>1.SR100101</t>
  </si>
  <si>
    <t>1.Low production /generation on 05/05, 05/09 and 05/22 due to rain.</t>
  </si>
  <si>
    <t>1. The site was offline from 07:05 to 09:40 on 05/01 due to a technician being on-site to work on the solar system.
2.  Inverter 2 tripped offline at 14:50 on 05/04, reporting that the AC contactor was in the 'OPEN' state. After a remote reset, the inverter came back online at 11:20 on 05/05 but tripped offline again at 12:00 on the same day, reporting an 'Insulation Resistance Failure.' A remote reset was initiated but was unsuccessful, as the inverter continued to fault with the same error even after resetting. Since then, the inverter has been intermittently tripping on and off multiple times throughout the month.
3. Inverter 1 tripped offline at 06:25 on 05/09, reporting an undervoltage fault. A technician inspected the site on 05/12, performed a hard reset, and closed the operator switch on the inverter. The inverter came back online at 13:15 on 05/12. However, it tripped offline again at 07:05 on 05/13, reporting a 'Grid Undervoltage Fast' fault. After a remote reset, the inverter came back online at 09:55 on 05/13.Since then, the inverter has been intermittently tripping on and off multiple times throughout the month.
4. The site went offline at 16:10 on 05/09. A technician visited the site on 05/10, closed the relay, and the site came back online at 11:25 on 05/10.</t>
  </si>
  <si>
    <t>1. SR100509
2. SR100448, SR101460, SR101476,SR101572,
SR101848
3. SR101225,SR102056
4. SR101237</t>
  </si>
  <si>
    <t>SR101460</t>
  </si>
  <si>
    <t>SR101476</t>
  </si>
  <si>
    <t>SR101572</t>
  </si>
  <si>
    <t>SR101848</t>
  </si>
  <si>
    <t>SR101225</t>
  </si>
  <si>
    <t>1. The inverter tripped offline at 19:10 on 05/24. After arriving on site, the technician identified a ground fault that will require two technicians for further troubleshooting. It was also noted that contacting SMA will be necessary for additional support.</t>
  </si>
  <si>
    <t>1. SR101915</t>
  </si>
  <si>
    <t>1. Site production was low on 05/03,05/07, 05/11, 05/13, 05/14, 05/21 to 05/24 due to rain.</t>
  </si>
  <si>
    <t>1. NCU 2 tracker 1 stuck since 11/19  and tracker 35 stuck at 11:45 since 01/31
2. NCU 1 tracker 10 stuck at 09:15 since 02/23. Additionally NCU 1 tracker 38 stuck at 21:00 since 05/09.</t>
  </si>
  <si>
    <t>1. SR095624
2. SR097725</t>
  </si>
  <si>
    <t>1. Inverter 1 tripped offline at 14:20 on 05/05, with the AC breaker in the open state and reporting 'STOP: PARAMETER INVOPMOD.' After a successful remote reset, the inverter came back online at 15:40 on 05/05. Additionally, Inverter 1 tripped offline again at 13:15 on 05/08 with the same AC breaker status and error message. It was successfully reset remotely and came back online at 13:40 on 05/08. and again tripped offline at 13:15 on 05/12, and after another successful remote reset, it returned online at 16:05 on 05/12. Inverter is tripping on and off through out the month.</t>
  </si>
  <si>
    <t>1. SR101028, SR101305,
SR101878</t>
  </si>
  <si>
    <t>SR101305</t>
  </si>
  <si>
    <t>SR101878</t>
  </si>
  <si>
    <t>1.All trackers are stuck between -56.48 degrees and -60.81 degrees. On 05/08  technician , reset the trackers and then all the trackers started tracking
2.All trackers  stuck in snow stow from 05/12. On 05/13  Technician changed the system to auto and the trackers resumed. He also followed up with Nextracker but did not receive a response.
Currently, NCU 4 device 1035 is stuck again due to a weak motor and is pending further troubleshooting with the motor rotation tool
3. Inverter 2 tripped offline at 13:10 on 05/18 and displayed an "Insulation Alarm." The AC breaker switch was in the open position. On 05/20, a technician troubleshot the issue, and the inverter came back online at 17:05. However, Inverter 2 tripped offline again at 11:30 on 05/23, reporting "AC breaker switch open." On the same day, a technician performed troubleshooting, and Inverter 2 is now back online. However, five combiner boxes (CB 2-1, CB 2-2, CB 2-6, CB 2-8, and CB 2-10) are currently offline.
4. Inverter 1 tripped offline at 16:40 at 05/26 and is in AC breaker switch in open state. On 05/28 technician found a water intrusion and condensation inside inverter 1 and the DC compartment. No internal damage was found at the inverter. 4 combiner boxes also had intrusions and have been isolated. For safety reasons, the inverter remains offline and further troubleshooting is needed
5. Weather station (POA2,GHI,rPOA ) stopped communicating at 18:10 on 05/27. Will investigate next time onsite</t>
  </si>
  <si>
    <t>1. SR101011
2.SR101314
3.SR101647
4. SR101947
5.SR102015</t>
  </si>
  <si>
    <t>SR101314</t>
  </si>
  <si>
    <t>SR101647</t>
  </si>
  <si>
    <t>SR101947</t>
  </si>
  <si>
    <t>SR102015</t>
  </si>
  <si>
    <t>1.Inverter tripped offline from 12:00 to 15:30 on 05/05
2.Site offline on 05/06  due to utility outage . On 05/07 site back online at 15:24
3. Inverter is offline on 05/18  Freporting F27: modules start fault. F32: Error Mod Self-diagnosis. 9 Logic Status Fault. On 05/19 inverters back online at 17:30
4.Inverter 1.4 module tripped offline on 05/20. On 05/21 technician has reseated the connections between the fans and control board and module 4 began producing normally.
5.Inverters tripped offline from 05/22 due to AC breaker open. On 05/23 technician reenergized the inverters and came back online at 13:00</t>
  </si>
  <si>
    <t>1.SR101022 , SR101023
2. SR101048
3. SR101642
4. SR101845
5.SR101845</t>
  </si>
  <si>
    <t>SR101023</t>
  </si>
  <si>
    <t>SR101048</t>
  </si>
  <si>
    <t>SR101642</t>
  </si>
  <si>
    <t>SR101845</t>
  </si>
  <si>
    <t>SR101942</t>
  </si>
  <si>
    <t>SR101997</t>
  </si>
  <si>
    <t>SR092209</t>
  </si>
  <si>
    <t>SR101998</t>
  </si>
  <si>
    <t>SR092751</t>
  </si>
  <si>
    <t>SR092255</t>
  </si>
  <si>
    <t>SR092095</t>
  </si>
  <si>
    <t>1. Trackers – NCU 1 SPC 103 through 115 were stuck starting from 03/18. On 03/19, a technician checked the site and found that the TCU breaker had tripped. A broken panel was also found and needs replacement. A ticket was created, and further troubleshooting is required. On 05/07, the technician repaired the wire and conduit. Additional time is needed on-site to replace more damaged wires and an SPC box that contained a mouse nest.</t>
  </si>
  <si>
    <t>1. .14 trackers are currently stuck from 01/06 NCU 1 SPC 111, 112, 118, 205, 305, 307, 310, &amp; 311 &amp; NCU 2 SPC 125, 126, 136, 242, 338, &amp; 341. On 04/15 Technician worked on the trackers, multiple trackers are still not reporting and require further troubleshooting with NexTracker.
2.Technician after replacing two HVPS on 04/28. Currently multiple trackers are still struck and requires additional troubleshooting along with NEXTracker's assistance
3. Inverter 1 tripped offline at 10:45 to 20.:10 on 05/24 and AC Breaker reporting "Open State"
4. Inverter 1 offline from 05/26 due to AC contractor in open position. On 05/28 technician reached out of to SMA for additional troubleshooting. Inverter 1 will remain offline.</t>
  </si>
  <si>
    <t>1. SR099686
2. SR094820
3. SR101909
4. SR101931</t>
  </si>
  <si>
    <t>SR101909</t>
  </si>
  <si>
    <t>SR101931</t>
  </si>
  <si>
    <t>1. 15 trackers are currently stuck from 03/21 NCU 1 SPC 101, 206, 218, &amp; 314
    NCU 2 SPC 118, 128, 230, 234, 321, 323, 333, 334, 336, 337, &amp; 343</t>
  </si>
  <si>
    <t>1. SR098860</t>
  </si>
  <si>
    <t>1.All NCU 2 trackers have lost communication, while NCU 1 trackers 115-127 remain stuck from 03/27. Previous stuck trackers included 18 on 03/24 and specific units on 03/17 and alos NCU 2 SPC 220, 253, 329, &amp; 338 are  stuck from from 05/12</t>
  </si>
  <si>
    <t>1. SR09745 ,SR099118</t>
  </si>
  <si>
    <t>1. Site production was low on 05/04, 05/05, 05/09, 05/13, 05/14, 05/22, 05/28 due to rain.</t>
  </si>
  <si>
    <t>1. The site went offline at 12:30 on 05/05 because the customer recloser was open. On 05/06, a technician closed the relay, and the site came back online at 08:50 on 05/06
2.Site tripped offline from 09:35 to 11:39 on 05/08 due to utility outage
3.The site went offline at 12:48 on 05/17. On 05/21, a technician re-energized the site, and it came back online at 14:16.
4.Site was offline from 05/31 due to utility outage</t>
  </si>
  <si>
    <t>1.SR101005
2.SR101164
3. SR101616
4. SR102212</t>
  </si>
  <si>
    <t>SR101164</t>
  </si>
  <si>
    <t>SR101616</t>
  </si>
  <si>
    <t>SR102212</t>
  </si>
  <si>
    <t>1.The site tripped offline from 10:40 to 10:45 on05/30  and SEL opened, meter and relay voltages available.</t>
  </si>
  <si>
    <t>1. SR102178</t>
  </si>
  <si>
    <t>1. Site production was low on 05/04, 05/05, 05/09, 05/22, 05/23, 05/24 due to rain.</t>
  </si>
  <si>
    <t>1. Site production was low on 05/04, 05/09, 05/21 to 05/23 due to rain.</t>
  </si>
  <si>
    <t>1. The site went offline at 13:15 on 03/18 and later self-resolved and back online on 08:00 AM on 04/15 and again tripped offline at 12:00 PM on 04/17 and offline throughout the month, awaiting for EPC to address. On 05/27  Site was back online at 08:45 on 05/27
2.  Many optimizers on SE are offline and later back online on 04/15. Additionally 1 optimizer on SE is offline , EPC to complete.</t>
  </si>
  <si>
    <t>1. SR098724
2.SR095945</t>
  </si>
  <si>
    <t>1.Currently, the following optimizers are offline or severely underproducing</t>
  </si>
  <si>
    <t>SR102056</t>
  </si>
  <si>
    <t>SR101237</t>
  </si>
  <si>
    <t>1. Inverter 3 tripped offline at 08:05 on 04/17. After the technician checked into the site, he found that the breaker was faulty and its connection to the busbar had overheated. The breaker is currently being replaced, and the inverter is offline throughout the month.</t>
  </si>
  <si>
    <t>1. Inverter 1 left unit tripped offline on 05/10 at 10:15 and reporting "03x9B". On 05/16 Technician found a failed optimizer, troubleshoot the optimizer. Inverter is back online</t>
  </si>
  <si>
    <t>1.SR101266</t>
  </si>
  <si>
    <t xml:space="preserve">1. Site was offline at 12:45 from 05/31. </t>
  </si>
  <si>
    <t>1. SR102229</t>
  </si>
  <si>
    <t>1. Multiple optimizers are offline and pending EPC.
2. Inverter 1 tripped offline at 14:45 on 04/17, reporting '3 Phase Possible Arc Detection,' and came back online at 08:00 on 05/21. The inverter tripped offline again at 14:45 on 05/26.
3. Inverter 1 right unit tripped offline at 15:00 on 04/14, reporting a "3 Phase Possible Arc Detection" fault. Additionally, the middle unit tripped offline at 15:00 on 04/15, and the issue is being addressed under EPC. All units were brought back online at 09:00 on 05/21.Additionally, Inverter 1's right unit tripped offline at 11:00 on 05/24.
4. Inverter 2 middle unit tripped offline at 12:00 on 04/13, reporting a "3 Phase Possible Arc Detection" fault. The issue is being addressed under EPC. It was later brought back online at 09:00 on 05/21. However, Inverter 2 left unit tripped offline again at 15:00 on 05/25.
5. Inverter 3 middle unit tripped offline at 13:00 on 04/13 and reporting "3 Phase Possible Arc Detection" fault, Additionally left unit has tripped offline at 16:00 on 04/15 and adressing this issue under EPC.It was later brought back online at 09:00 on 05/21. However, Inverter 3 middle unit tripped offline again at 16:00 on 05/24.</t>
  </si>
  <si>
    <t>1. SR095956
2. SR099791
3. SR099791
4. SR099792
5. SR099793</t>
  </si>
  <si>
    <t>1. Weather station stopped communication at 17:00 on 02/22 and adressing this issue under EPC and back online at 09:15 on 05/01.</t>
  </si>
  <si>
    <t>1. Inverter 1 right unit and Inverter 2 middle unit tripped offline at 12:00 on 05/11, reporting 'AC Voltage Too High.' Both units came back online at 17:30 on the same day. Additionally, Inverter 1 experienced frequent and intermittent trips over several days during the month.
2. Inverter 2 middle unit tripped offline at 09:45 on 05/25, reporting 'Grid Voltage Unbalance.' Inverter 3 middle unit also tripped offline at 07:00 on 05/25, reporting 'Error On,' and later self-resolved and back online at 18:00 on the same day.
3.  Inverter 1 right unit tripped offline, reporting 'Grid Voltage Irregularity,' and later self-resolved but tripped offline again around midday. The inverter finally came back online at 17:00 on 05/26.</t>
  </si>
  <si>
    <t>1. SR100036
2. SR101922
3. SR101940</t>
  </si>
  <si>
    <t>SR101922</t>
  </si>
  <si>
    <t>SR101940</t>
  </si>
  <si>
    <t>1. A few strings are offline. EPC to complete.
2. Inverter 3 has tripped offline at 13:45 on 05/26 and reporting "Fault".
3. Inverter 1 left unit tripped offline at 12:00 PM on 04/17. Additionally, the right unit of Inverter 1 tripped offline at 06:00 AM on 05/12. The issue is being addressed under EPC, and both units self-resolved at 08:00 AM on 05/20.
4. Inverter 3 middle unit offline at 07:00 on 04/14 and adressing this issue under EPC. later self resolved and back online at 11:00 on 05/07.
5. Inverter 2 middle unit tripped offline at 15:15 on 04/28 and later self resolved and back online at 13:00 on 05/23.. Multiple inverter units experienced intermittent tripping throughout the month.</t>
  </si>
  <si>
    <t>1. SR095941
2. SR098490
3. SR099138
4. SR099857
5. SR100587</t>
  </si>
  <si>
    <t>1. Site production was low on 05/04, 05/05, 05/09, 05/13, 05/22, 05/28 due to rain.</t>
  </si>
  <si>
    <t>1. 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t>
  </si>
  <si>
    <t>1. SR100220</t>
  </si>
  <si>
    <t>1. Site was offline at 10:15 on 05/27 and remained offline throughout the month.</t>
  </si>
  <si>
    <t>1. SR102012</t>
  </si>
  <si>
    <t>1. All trackers were stuck at 0 degrees as of 10:15 on 05/16. A technician visited the site on 05/20 and power-cycled all the trackers. then all trackers came back online and resumed tracking.
2. The site was taken offline at 10:15 on 05/21/25 due to a planned utility outage for work on the 34 kV line. It was brought back online at 13:15 on 05/22.</t>
  </si>
  <si>
    <t>1. SR098315
2. SR101778, SR101328</t>
  </si>
  <si>
    <t>SR101778</t>
  </si>
  <si>
    <t>SR101328</t>
  </si>
  <si>
    <t>1. Inverter 2 underperforming compared to its peers and reporting a device communication fault since 01/22.
2. Inverter 1 had been underperforming by 13 kW compared to its peers since 03/26. A technician visited the site on 05/24, checked with SE, and found that the center and right units were offline, displaying Error 3x9B (RSd fault). The technician replaced the covers, toggled the switches, and turned the DC disconnect switches to the ON position. The pairing process was initiated and completed successfully. The inverter came back online on 05/24.</t>
  </si>
  <si>
    <t>1. SR096257
2. SR099018, SR099951</t>
  </si>
  <si>
    <t>1. The site went offline from 12:18 to 12:26 on 05/16 due to a relay opening. A brief outage occurred later, which self-resolved and relay closed.</t>
  </si>
  <si>
    <t>1. SR101588</t>
  </si>
  <si>
    <t>1.  Trackers 76 and 142 have been stuck since 04/25. Additionally, 13 trackers - 3, 13, 16, 54, 67, 76, 82, 83, 99, 109, 142, 148, and 183 have been stuck since 05/05.
2. Inverter 1 has been offline since 04/16. A technician visited the site on 05/22 and identified an issue with the SCADA system. Inverter 1 remained offline throughout the month.
3. The site tripped offline at 11:15 on 05/18. USNE inspected the site and, after examining the transformer, determined that additional troubleshooting is required.</t>
  </si>
  <si>
    <t>1. SR101645
2. SR097816
3. SR099947</t>
  </si>
  <si>
    <t>SR099947</t>
  </si>
  <si>
    <t>1. The site tripped offline at 21:20 on 05/08 due to a utility outage caused by a fallen tree. A technician checked in at the site and found the recloser in the open position. The technician then closed the relay. The crew is currently working on repairs, and the site was back online at 09:40 on 05/10.
2. Trackers 11, 73, and 84 were stuck starting from 04/27, and Tracker 5 stopped tracking on 05/05. Additionally, all trackers were stuck on 05/06 but later self-resolved, and most trackers were back online by 05/07, except for Trackers 5, 73, and 84. Tracker 5 resumed tracking on 05/13, and Tracker 84 resumed on 05/27.</t>
  </si>
  <si>
    <t>1. SR101206
2. SR100609</t>
  </si>
  <si>
    <t>1. Inverters 9, 10, 11, 12, 13, 14, 15, and 16 tripped at 13:15, followed by Inverter 8 at 13:30 on 05/19, due to EPC work being carried out on-site. All inverters were back online at 17:00 on 05/19.
2. All trackers have been stuck at 0.99 degrees since 05/07.</t>
  </si>
  <si>
    <t>1. SR101685
2. SR101228</t>
  </si>
  <si>
    <t>SR101228</t>
  </si>
  <si>
    <t>1. Inverter 1 tripped offline at 16:50 to 18:30 on 05/21 and reporting the overall work status as 'STOP'. It later self-resolved.
2. CB2 had been tripping on and off since 05/12. EV Solar checked on-site on 05/22, and after completing their work, CB2 was brought back online.</t>
  </si>
  <si>
    <t>1. SR101801
2. SR101819</t>
  </si>
  <si>
    <t>SR101819</t>
  </si>
  <si>
    <t>1. TCU 3, 33 through 66 are stuck from 4/24/25 at 13:00CDT.
2. Inverter 2 has been derating by approximately 5 kW to 20 kW in the afternoons since 03/28. The issue is currently under EPC.</t>
  </si>
  <si>
    <t>1. The site was offline from 07:05 to 09:55 on 05/01 due to EV Solar being on-site to replace the CT on Pad 1.
2. The site tripped offline at 07:00 on 05/28 due to a utility outage. Repairs were carried out, and the site was back online by 10:30.
3. Tracker W-050 and trackers W-159 and W-166 were stuck at 45° and 0°, respectively. Additionally, trackers E-82, E-83, E-167, E-168, and E-169 have been deviating between 12:00 PM and 5:00 PM since 04/07. All stuck trackers were back online as of 05/21; however, 4–5 trackers have continued to show deviations this month.</t>
  </si>
  <si>
    <t>1. SR100701
2. SR102028
3. SR099473</t>
  </si>
  <si>
    <t>SR102028</t>
  </si>
  <si>
    <t>1.Trackers 101–114 were not tracking. This large group of trackers was the last to come online and may have been misconfigured. The GC is looking for the tracker layout plans for the site. After EV solar checked in and a new Cradlepoint was installed, these trackers came back online.</t>
  </si>
  <si>
    <t>1.SR099014,SR100026</t>
  </si>
  <si>
    <t>SR100026</t>
  </si>
  <si>
    <t>1. All the trackers have been stuck mode since 05/14.
2. Inverter 1 is underproducing 1200kW due to module 1-2 is tripped offline at 14:40 on 04/29.</t>
  </si>
  <si>
    <t>1. SR098693
2. SR100729</t>
  </si>
  <si>
    <t>1. The inverter has been experiencing a recurring trip event daily between 16:00 - 18:00 since 04/28. The issue later self-resolved, and the tripping appears to have stopped on 05/15.
2. The site was offline from 09:40 to 11:45 on 05/19 and later self-resolved.
3. Tracker 39 is stuck since 05/20.</t>
  </si>
  <si>
    <t>1. SR100662
2. SR101669
3. SR101745</t>
  </si>
  <si>
    <t>SR101669</t>
  </si>
  <si>
    <t>SR101745</t>
  </si>
  <si>
    <t>1. Site production was low on 05/04, 05/09, 05/13, 05/14, 05/21, 05/22,  05/27, 05/28 due to rain.</t>
  </si>
  <si>
    <t>1. Meter voltages dropped to zero on 05/06 at 19:45 due to wiring issues. After onsite troubleshooting, meter voltages returned to normal on 05/07. Meter voltages dropped to zero again at 11:30 on 05/27, but production was confirmed at the inverters and voltages returned to normal at 18:30 on 05/28.
2. Inverter 2 has been offline since 03/28, reporting a fault current.
3. The site tripped offline at 23:00 on 05/01 and was back online at 08:15 on 05/02. It tripped again at 07:45 on 05/03 and was back online at 11:00 the same day. The site tripped again at 20:00 on 05/05 and was back online at 11:45 on 05/06. Another trip occurred at 15:30 on 05/10 and it was back online at 17:30. The final trip happened at 11:30 on 05/27 and the site was back online at 18:30 on the same day — this instance was self-resolved.</t>
  </si>
  <si>
    <t>1.SR100771
2.SR100622,SR095581
3.SR099162</t>
  </si>
  <si>
    <t>June Actual v. Expected</t>
  </si>
  <si>
    <t>June Actual v. Forecasted</t>
  </si>
  <si>
    <t xml:space="preserve">1. Inverter 1 went offline at 12:00 from 06/24.Will need to be investigated.
2. All inverters tripped offline at 14:15 on 06/25, reporting a 'Grid Voltage Fault,' and later self-resolved at 18:50 on 06/25.
3. Inverter 2 middle unit is tripping on and offline since 05/30 and issue self-resolved from 06/12.  </t>
  </si>
  <si>
    <t>1. SR103460
2. SR103558
3. SR102435</t>
  </si>
  <si>
    <t>SR103558</t>
  </si>
  <si>
    <t>SR102435</t>
  </si>
  <si>
    <t>1. Inverter module 1.0.71 went offline since 11/15/24, reporting 'No communication with Power Optimizer.' After replacing the optimizer, the module came back online on 06/01.
2.Inverters are tripping on and offline on 06/13 due to a technician being on-site for preventive maintenance.</t>
  </si>
  <si>
    <t xml:space="preserve">1. SR093289
2.PM8345
</t>
  </si>
  <si>
    <t>1. Inverter 1 middle unit dropped production 13 kW down at 12:00 on 06/04. Inverter fan is under replacement. 
2.Estimated values are low in AE we have also verified the file which was given by GC</t>
  </si>
  <si>
    <t>1. SR102473</t>
  </si>
  <si>
    <t>1. SR097569</t>
  </si>
  <si>
    <t>1. SR093291</t>
  </si>
  <si>
    <t xml:space="preserve">1. Optimizers Modules 2.0.160, 2.0211,3.0.17 and 3.0.33 are offline  from 06/04. </t>
  </si>
  <si>
    <t>1. SR095666</t>
  </si>
  <si>
    <t>1.  Inverter 1 tripped offline at 13:00 on 06/12 and remained offline through out the month.
2.  Inverter module 1.0.153 12D31EC2-C5 is offline since 11/15/25 will troubleshoting the issue during PM visit.
3. Weather station stopped communicating at 07:00 on 11/22/24 .</t>
  </si>
  <si>
    <t>1. SR102970
2. SR093292
3. SR093633</t>
  </si>
  <si>
    <t>SR093292</t>
  </si>
  <si>
    <t>SR093633</t>
  </si>
  <si>
    <t>1.Inverters producing as expected and expected  value and forecasted energy values diffrence.</t>
  </si>
  <si>
    <t xml:space="preserve">1. 26 optimizers are down for roof repair.
2. Weather station stopped communicating since 06/14/24.
</t>
  </si>
  <si>
    <t xml:space="preserve">1. SR093294
</t>
  </si>
  <si>
    <t>1. Low production/generation due to  low irradiance on 06/09,06/14 ,06/15 ,06/16 &amp; 06/17</t>
  </si>
  <si>
    <t>1. Both inverters tripped offline at 12:15 on 06/25 and reporting "3phase Sunspec" fault. later self resolved and back online at 18:00 on 06/26.</t>
  </si>
  <si>
    <t>1. SR103533</t>
  </si>
  <si>
    <t>1. Inverter 3 is underproducing due to unit(7E9C82CA) underproducing from 13:30 on 06/20 and reporting "external fan" fault.</t>
  </si>
  <si>
    <t>1. SR103259</t>
  </si>
  <si>
    <t>1.	SR101786</t>
  </si>
  <si>
    <t>1. Inverter 3 left unit is having multiple trippings since 06/08 on high irradiance day.</t>
  </si>
  <si>
    <t>1. 	SR102672</t>
  </si>
  <si>
    <t>1.Site stopped communicating from 03/25. On 03/27 Technician stated that main breaker tripped and malfunctioning. Site was remained offline till date. As per GenC, EPC has been responsive on the warranty claim. They are sourcing the breaker and should perform repairs in June.</t>
  </si>
  <si>
    <t>1.	SR102532</t>
  </si>
  <si>
    <t>1.Inverters 1,2 are offline from 08:30 to 15:45 on 06/23</t>
  </si>
  <si>
    <t>1.	SR103286</t>
  </si>
  <si>
    <t>1.Inverter 4 started late for production at 15:00 on 06/18</t>
  </si>
  <si>
    <t>1.	SR103116</t>
  </si>
  <si>
    <t>Based on the site’s weather station data, the plant is performing as expected. The forecasted (theoretical) values appear lower because they are derived from long-term average weather data, typically spanning 10–15 years. In contrast, actual versus expected generation reflects real-time weather conditions during the period, providing a more accurate measure of current performance. There may be a data glitch affecting the expected values.</t>
  </si>
  <si>
    <t xml:space="preserve"> 1.Inverter 1, unit 1.1 tripped offline on 06/24 at 15:00 reporting "Residual Current Device". Self resolved on 06/25</t>
  </si>
  <si>
    <t>1.SR103569</t>
  </si>
  <si>
    <t>1.SR088813</t>
  </si>
  <si>
    <t>1. 4 Inverter modules are offline. Will investigate next time on site. Module 1.0.64 Module 4.0.39 , 3.0.20 ,1.0.64</t>
  </si>
  <si>
    <t>1.Inverter 01 discovered offline.Opened AC combiner panel and found breaker tripped  at 13:15 on 06/04 in both AE and SE. Inveter 1 came back online on 06/09</t>
  </si>
  <si>
    <t>1.SR102499</t>
  </si>
  <si>
    <t>1.Inverter 4 middle unit tripped offline at 09:00 on 06/12. On 06/17 technician tested and replaced the failed optimizers for inverter 4 came back online and producing as expected</t>
  </si>
  <si>
    <t>1.SR102920</t>
  </si>
  <si>
    <t>1. Optimizers Module 1.2.4  , Module 2.2.18 , Module 2.3.11 , Module 3.1.16 ,  Module 6.1.5 ,  Module 7.1.4 , Module 7.3.17 ,  Module 9.1.16 ,Module 10.3.3 , 8.0.27 are offline. Pending troubleshooting.</t>
  </si>
  <si>
    <t>1. On 02/05, the technician onsite found a faulty optimizer while  troubleshooting the central unit of Inverter 2. Technician noted that the optimizer would need to be replaced and initiated an RMA on the same day. The optimizer still needs to be replaced during the next onsite visit.</t>
  </si>
  <si>
    <t>1.	SR096294</t>
  </si>
  <si>
    <t>1.- Inverter 1 (Unit 1.2) is offline on 06/25</t>
  </si>
  <si>
    <t>1.SR103568</t>
  </si>
  <si>
    <t>1. Inverter 1 right unit is tripping on and offline since 06/01. Self resolved on 06/12</t>
  </si>
  <si>
    <t>1.SR102436</t>
  </si>
  <si>
    <t>1.- Inverter 1 right unit is tripping on and offline since 05/30</t>
  </si>
  <si>
    <t>1.SR102437</t>
  </si>
  <si>
    <t>1.As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</si>
  <si>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1 tripped offline at 07:00 on 06/07 due to the main AC circuit breaker being open and came back online at 09:45 on 06/09. Additionally, Inverter 1 has been derating by 200 kW since 06/10 due to a faulty control board and IGBTs in Module 1 that need replacement. On 06/18, the inverter was taken offline from 07:00 to 10:30 for troubleshooting.
2.  Inverter 5 tripped offline at 07:15 on 06/08, reporting 'Inverter Fault at 50s.' After a remote reset, the inverter came back online at 08:30 on 06/09 and again inverter 5 offline on 06/29 and came back online at 10:15 on 06/30</t>
  </si>
  <si>
    <t>1. SR101354
2. SR102217</t>
  </si>
  <si>
    <t>SR102217</t>
  </si>
  <si>
    <t>1. Inverter 3 derated at about 860kW on 06/04 later self resolved.</t>
  </si>
  <si>
    <t>1. SR102507</t>
  </si>
  <si>
    <t xml:space="preserve">-   </t>
  </si>
  <si>
    <t>1. Meter stopped communicating from 14:05 on 03/16 till date.
2. Inverter 1 did not start production on 05/17 and reported 'SE VBUS NEG DERIVATIVE FAULT.' As a result, three strings were damaged and required additional troubleshooting. On 06/16, the three strings were replaced, but the inverter still required further troubleshooting.
3. The site was taken offline at 06:55 on 06/16 and brought back online at 11:15 on 06/18 for Inverter 1 troubleshooting.</t>
  </si>
  <si>
    <t>1. SR098641
2. SR101620, SR103015, SR103150
3. SR101620</t>
  </si>
  <si>
    <t>SR101620</t>
  </si>
  <si>
    <t>SR103015</t>
  </si>
  <si>
    <t>SR103150</t>
  </si>
  <si>
    <t>1. The site was taken offline from 08:20 to 12:20 on 06/03 due to NYSEG being on-site for transformer testing.
2. Inverters 26 and 27 are derating by 20kW down each compared to its peers since 06/04 later inverter 27 resolved on 06/06.
3. Inverters 18 through 22 tripped offline at 11:15 on 06/11 and were brought back online at 09:30 on 06/12 after a breaker reset. They tripped offline again at 10:45 on 06/12 and were restored at 09:20 on 06/13 after resetting the breaker. The inverters tripped offline once more at 10:40 on 06/19 and were brought back online at 12:25 on 06/23 after resetting  breaker.
4. The site was taken offline from 08:25 to 12:40 on 06/23 due to a technician being on-site performing inverter troubleshooting. Later, Inverters 28 to 33 went offline due to a damaged breaker.</t>
  </si>
  <si>
    <t>1. SR102364
2. SR102506
3. SR102821, SR102951, SR103185
4. SR103185</t>
  </si>
  <si>
    <t>SR102506</t>
  </si>
  <si>
    <t>SR102821</t>
  </si>
  <si>
    <t>SR102951</t>
  </si>
  <si>
    <t>SR103185</t>
  </si>
  <si>
    <t>1. The site was taken offline at 12:30 on 06/04 and brought back online at 12:10 on 06/12 due to a planned outage.</t>
  </si>
  <si>
    <t>1. SR102460</t>
  </si>
  <si>
    <t>1. Inverter 2 was offline since 03/30 and being RMA'd and later back online at 15:35 0n 06/10.
2. Inverter 1 went offline at 07:00 on 05/31, reporting 'SE GRID POWER CONSUMPTION (60).' After replacing the TFAM board, the inverter is back online at 13:10 on 06/02. It tripped offline again at 09:00 on 06/09 and back online at 13:40 on the same day after replacing the strings. The inverter tripped offline once more from 15:00 to 15:35 on 06/10.</t>
  </si>
  <si>
    <t>1. 	SR100623, SR099149, SR101482
2. SR102219</t>
  </si>
  <si>
    <t>SR102219</t>
  </si>
  <si>
    <t>1.	SR099403</t>
  </si>
  <si>
    <t>1. Inverter 2 is tripped offline at 05:50 on 06/08 and reporting "SE PHASE R BLOWER FAIL (98)" and back online at 14:35 on 06/08.</t>
  </si>
  <si>
    <t>1. SR102665</t>
  </si>
  <si>
    <t>1. Combiner Box 4 is offline due to a broken DC switch inside Inverter 1. A new DC switch needs to be installed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</si>
  <si>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SR102427
2.SR093024</t>
  </si>
  <si>
    <t>1.The site remained offline from 06/01 to 14:30 on 06/06, as technicians had left the inverters offline for further troubleshooting.</t>
  </si>
  <si>
    <t>1.SR098198,SR100200</t>
  </si>
  <si>
    <t>SR100200</t>
  </si>
  <si>
    <t>1.Site was offline from 12:40 to 16:10 on 06/09 as USNE techicians were onsite.
2.Combiner box 7,string 1 is underperforming since 03/21.Needs further investigation.</t>
  </si>
  <si>
    <t>1.SR100625
2.SR098866</t>
  </si>
  <si>
    <t>SR098866</t>
  </si>
  <si>
    <t>1.Site was offline throughout the month  due to utility work at substation</t>
  </si>
  <si>
    <t>1.Site was offline from 10:55 to 14:50 on 06/04 to work on transformer issue
2. Inverter 4 inductor fan was being RMA'd from 06/27.</t>
  </si>
  <si>
    <t>1.SR100373
2.SR103651</t>
  </si>
  <si>
    <t>SR103651</t>
  </si>
  <si>
    <t>1.Weather station Reporting 0 value from 05/31/24. POA sensors need to be replaced.
2.Stuck trackers: A01, A05 through A07, A10, F19, F21 through 22, F27, F33, G14.Further troubleshoting is required.</t>
  </si>
  <si>
    <t>1.SR092964
2.SR095253,SR098877</t>
  </si>
  <si>
    <t>1.Site was offline from 08:50 on 06/08 to 02:05 on 06/09.</t>
  </si>
  <si>
    <t>1.SR102662</t>
  </si>
  <si>
    <t>1.Inverter 6 was being RMA'd from 05/30 and it was replaced and producing as expected from 06/17
2.Inverter 9 was offline on multiple days of the month.
3.Inverters 28 was frequently trippping on and off.Inverter 28 was completly offline from 06/20 to rest of the month.
4. InverterS from 1 to 20 tripped offline at 07:30 on 06/15 and AC voltages dropped to 0V. Possibly Pad 1 breaker trip.Inverters were online at 10:45 on 06/17.
5. Inverter 20 tripped offline at 12:15 on 06/21 and remained offline throughout the month due to  "Grid voltage out of range" and "Power Module Protection - Protect0120" respectively.
6.Inverter 30 was offline on multiple days of the month.
7.Site was offline from 03:00 on 06/22 to 15:00 on 06/27.
8. Inverter 28 again tripped offline at 15:00 from 06/28 "Grid Phase Voltage Out of Range - GridV.OutL".
9.Inverter 14 offline from 06/28 and reporting "Power Module Protection".
10. Inverters 14 , 5, 29 and 32 have also tripped offline at 13:40 from 06/30 producing fault "" Grid voltage out of range".</t>
  </si>
  <si>
    <t>1.SR101912
2.SR102335,SR102682
3.SR102682,SR103181
4.SR102996
5.SR103257
6.SR103260
7.SR103266
8.SR103181
9.SR103257
10.SR103260</t>
  </si>
  <si>
    <t>SR102335</t>
  </si>
  <si>
    <t>SR102682</t>
  </si>
  <si>
    <t>SR103181</t>
  </si>
  <si>
    <t>SR102996</t>
  </si>
  <si>
    <t>SR103257</t>
  </si>
  <si>
    <t>SR103260</t>
  </si>
  <si>
    <t>SR103266</t>
  </si>
  <si>
    <t xml:space="preserve">1.Inverter 2 was offline from 10:50 on 06/02 to 13:00 on 06/05 due to  "SE AUXILIARY SUPPLY FAIL (135)". </t>
  </si>
  <si>
    <t>1.SR102298</t>
  </si>
  <si>
    <t>1.Site was offline from 07:50 on 06/21 to 02:00 on 06/22 due to utility outage
2.Inverter 3 tripped offline at 11:25  from 06/23 and reporting "OVERTEMP PHASE 1". inverter came back online on 06/26.
3.Inverter 2 was offline from 06/27 and came back online at 15:10 on 06/30.
4.Inverters 1 tripped offline at 13:30 on 06/26 and came back online on 06/27. Inverter once again tripped offline at 14:25 from 06/30</t>
  </si>
  <si>
    <t>1.SR103256
2.SR103314
3.SR103671
4.SR103671</t>
  </si>
  <si>
    <t>SR103314</t>
  </si>
  <si>
    <t>SR103671</t>
  </si>
  <si>
    <t>1. The site was offline since 04/03. On 05/14, USNE replaced the SEL relay and CAT5 cable, bringing the site back online at 12:55. It went offline again on 05/22. On 05/23, the site was re-energized but was subsequently shut down after Transformer 2 showed signs of internal arcing. Further medium-voltage (MV) troubleshooting is required, and the site will remain offline for safety.</t>
  </si>
  <si>
    <t>1. SR101820, SR099347</t>
  </si>
  <si>
    <t>SR099347</t>
  </si>
  <si>
    <t>1. CB 25 String 1 has been offline since 06/03 due to a possible ground fault.
2. The site tripped offline from 10:05 to 14:00 on 06/13</t>
  </si>
  <si>
    <t>1. SR102360
2. SR102937</t>
  </si>
  <si>
    <t>SR102937</t>
  </si>
  <si>
    <t>1. Inverter 2 did not start producing on 06/07 but later began production at 11:40 on the same day. It tripped offline again at 17:55 on 06/19 due to a 'Fatal Error' and 'AC Contactor Fault,' and came back online at 11:05 on 06/22.</t>
  </si>
  <si>
    <t>1. SR102637</t>
  </si>
  <si>
    <t>1.Inverter 2 started production late at 11:35 on 06/07. It went offline again on 06/20, reporting 'Fatal Error' and 'AC Contactor Fault.' Inverter 2 came back online at 11:00 on 06/22</t>
  </si>
  <si>
    <t>1. SR103167</t>
  </si>
  <si>
    <t>1.Currently, the following trackers are stuck
Group 1: 57 &amp; 119
Group 2:  24, 27, 32, 36, 39, 43, 54, 59, 61, 97, 114, &amp; 124.
A total of 14 tracker control units are struck from 06/11</t>
  </si>
  <si>
    <t>1.SR095109</t>
  </si>
  <si>
    <t>1.Site tripped offline at 09:20 on 06/03 due to switching operation and was back online at 17:40 at 06/05.
2.Inverter tripped offline at 15:25 on 06/15, reporting a 'Sampling Fault.' After power cycling, it came back online at 08:55 on 06/16.
3.Inverter tripped offline at 14:15 on 06/17 reporting " Sampling fault".Inverter was back online at 10:50 on 06/18 after power cycled by Sungrow.Inverter again tripped offline at 08:20 on 06/20 reporting "sampling fault",Inverter was back online at 16:35 on 06/24 after restoring the power by Sungrow.</t>
  </si>
  <si>
    <t>1.SR102378
2.SR102995
3.SR103080</t>
  </si>
  <si>
    <t>SR102995</t>
  </si>
  <si>
    <t>SR103080</t>
  </si>
  <si>
    <t>1.Site tripped offline at 09:10 on 06/03 due to switching operation and was back online at 17:40 on 06/05.
2.Meter power &amp; voltages reporting zero from 18:05 on 06/16 and production can be confirmed at inverter level. Self resolved on 06/20</t>
  </si>
  <si>
    <t>1.SR102379</t>
  </si>
  <si>
    <t xml:space="preserve">1.Site tripped offline at 09:20 on 06/03 due to switching operation at site and was back online at 17:40 on 06/05
</t>
  </si>
  <si>
    <t>1.SR102380</t>
  </si>
  <si>
    <t>1.Site tripped offline at 01:35 on 06/15,meter voltages were dropped to 0 and  09:35pm relay closed and voltages were available. Closed MV switch using SEL relay and set relay to remote mode after which site was back online at 16:45 on 06/16.</t>
  </si>
  <si>
    <t>SR102984</t>
  </si>
  <si>
    <t>1.The inverter is exceeding its curtailment at 2338KW since 8am on 05/10 .</t>
  </si>
  <si>
    <t>1.SR101282</t>
  </si>
  <si>
    <t>1. The site lost communication at 9:15 on 04/12; however, meter production data remained available. On 04/24, the technician found that Pad 1 DAS had a blown 4A fuse. They removed a fuse from Pad 2, but it failed upon re-energization. The technician will need to return with additional fuses.
2.Weather station lost communication from 03/29</t>
  </si>
  <si>
    <t>1. SR099726</t>
  </si>
  <si>
    <t>1. Tracker control 33 - 90, 129 - 136, 148  , 20-32, 123-128, 172-183 are not communicating  &amp; tracker 156 , 121 is stuck and production dropped (approxmately ) 25 kW down.
2. Site was offline from 14:44 to 15:40 on 06/10  to perform Preventive Maintenance Inspection.
3. Inverter 1 offline from 13:15 to 13:58 on 06/23 to perform Preventive Maintenance Inspection.</t>
  </si>
  <si>
    <t>1. SR095073, PM7888
2. PM7888, SR103366
3. PM7888, SR103366</t>
  </si>
  <si>
    <t>SR103366</t>
  </si>
  <si>
    <t>1.Tracker 170 stuck at 54.93 deg on 06/18</t>
  </si>
  <si>
    <t>1.SR101152</t>
  </si>
  <si>
    <t>1.Site tripped offline at 09:45 from 06/30</t>
  </si>
  <si>
    <t>1.SR103760</t>
  </si>
  <si>
    <t>1.Site tripped offline from 10:59 to 16:05 on 06/19. Site came back online by remote reset and started producing at 16:05.
2.Inverter 1 is currently offline on 06/23 and reporting "AC Switch breaker open". Inverter 1 came back online at 14:24 on 06/24
3. Inverter 1 offline on 06/25 and reporting" AC Breaker Switch Open". Inverter voltages are available. inverter 1 came back online on 06/26
4. Site tripped offline at 00:33 on 06/26. Site came back online at 07:00 on 06/27</t>
  </si>
  <si>
    <t>1.SR103174
2.	SR103321
3.	SR103538
4.	SR103570</t>
  </si>
  <si>
    <t>SR103321</t>
  </si>
  <si>
    <t>SR103538</t>
  </si>
  <si>
    <t>SR103570</t>
  </si>
  <si>
    <t>1. The inverter tripped offline at 09:00 on 06/06 and later came back online at 11:30 on the same day via remote reset.
2. The inverter tripped offline at 12:45 on 06/12 and came back online at 13:30 on the same day via remote reset. It tripped offline again at 17:15 on 06/12 and was brought back online at 17:45 via remote reset.</t>
  </si>
  <si>
    <t>1. SR102601
2. SR102895</t>
  </si>
  <si>
    <t>SR102895</t>
  </si>
  <si>
    <t>1. The site was offline from 04/21 and came back online at 15:40 on 06/02.
2. Trackers 23, 24, 33, 37, and 72 through 151 have been stuck since 06/02.
3. The site tripped offline at 09:05 on 06/12 due to a utility outage and later came back online at 11:10 on 06/16.</t>
  </si>
  <si>
    <t>1. SR100101
2. SR102328
3. SR102889</t>
  </si>
  <si>
    <t>SR102328</t>
  </si>
  <si>
    <t>SR102889</t>
  </si>
  <si>
    <t>1. Inverter 2 tripped offline at 14:45 on 05/31 due to the AC breaker switch being open. It was found that the AC breaker needs to be replaced. Inverter 2 will remain offline until the new AC breaker is installed.</t>
  </si>
  <si>
    <t>1. SR101082, SR101848, SR103374</t>
  </si>
  <si>
    <t>SR103374</t>
  </si>
  <si>
    <t>1. The inverter tripped offline at 19:10 on 05/24 and later came back online at 15:10 on 06/25 after the DC shunt was replaced.</t>
  </si>
  <si>
    <t>1. NCU 2 Tracker 1 has been stuck since 11/19, and Tracker 35 was stuck at 11:45 on 01/31 but later resumed tracking at 11:00 on 06/26 after the trackers were power cycled.
2. NCU 1 Tracker 10 has been stuck at 09:15 since 02/23. Additionally, NCU 1 Tracker 38 was stuck at 21:00 since 05/09 and later resumed tracking at 11:00 on 06/26 after the trackers were power cycled.</t>
  </si>
  <si>
    <t>1. The site went offline at 16:00 on 06/06 due to a utility outage and came back online at 10:35 on 06/07 via remote reset.</t>
  </si>
  <si>
    <t>1. SR102628</t>
  </si>
  <si>
    <t>1. All trackers were stuck in snow stow mode from 05/12 and later resumed tracking after the snow sensor was disabled on 06/11.
2. Inverter 1 tripped offline at 16:40 on 05/26 and is currently in an open AC breaker switch state. Water intrusion and condensation were found inside Inverter 1 and its DC compartment, but no internal damage was observed. Additionally, four combiner boxes also had water intrusion and have been isolated. For safety reasons, the inverter remains offline, and further troubleshooting is required. 
3. The weather station (POA2, GHI, rPOA) has stopped communicating since 18:10 on 05/27.</t>
  </si>
  <si>
    <t>1. SR101314
2. SR101947
3. SR102015</t>
  </si>
  <si>
    <t>1. The inverter went offline on 06/28 because the AC breaker switch was in the "Open" state and has remained offline since then.</t>
  </si>
  <si>
    <t>1. SR103685</t>
  </si>
  <si>
    <t>1. The site tripped offline at 09:00 on 06/08 due to a utility outage and came back online at 08:51 on 06/10.
2. The site tripped offline at 08:12 on 06/16 due to a utility outage and came back online at 13:54 on the same day. Additional troubleshooting is needed as the strobe was temporarily removed.
3. The weather station has been reporting 0 since 13:14 on 06/21.
4. The site tripped offline at 10:01 on 06/27 due to a utility outage and came back online at 07:53 on 06/30.</t>
  </si>
  <si>
    <t>1. SR102664
2. SR103019
3. SR103279
4. SR103668</t>
  </si>
  <si>
    <t>SR103019</t>
  </si>
  <si>
    <t>SR103279</t>
  </si>
  <si>
    <t>SR103668</t>
  </si>
  <si>
    <t>1. Trackers – NCU 1 SPC 103 through 115 were stuck starting from 03/18 due to a tripped TCU breaker and a broken panel that requires replacement. Additional time is needed on-site to replace damaged wires and an SPC box that contained a mouse nest.
2. The site tripped offline at 17:25 on 06/06 and later came back online at 10:45 on 06/07 via remote reclose.</t>
  </si>
  <si>
    <t xml:space="preserve">1. SR098692
2. SR102638
</t>
  </si>
  <si>
    <t>SR102638</t>
  </si>
  <si>
    <t>1. 14 trackers are currently stuck from 01/06 NCU 1 SPC 111, 112, 118, 205, 305, 307, 310, &amp; 311 &amp; NCU 2 SPC 125, 126, 136, 242, 338, &amp; 341. On 04/15 Technician worked on the trackers, multiple trackers are still not reporting and require further troubleshooting with NexTracker. 
2.Technician after replacing two HVPS on 04/28. Currently multiple trackers are still struck and requires additional troubleshooting along with NEXTracker's assistance
3. Inverter 1 was offline from 10:45 on 05/24 due to the AC contactor being in the open position and came back online at 16:00 on 06/09.
4. Inverter 1 CB1 has had an active ground fault on STR 14 since 05/24.</t>
  </si>
  <si>
    <t>1. SR099686
2. SR094820
3. SR101931
4. SR102747</t>
  </si>
  <si>
    <t>SR102747</t>
  </si>
  <si>
    <t>1. 15 trackers are currently stuck from 03/21 NCU 1 SPC 101, 206, 218, &amp; 314 NCU 2 SPC 118, 128, 230, 234, 321, 323, 333, 334, 336, 337, &amp; 343</t>
  </si>
  <si>
    <t>1. SR097454, SR099118</t>
  </si>
  <si>
    <t>1. The site tripped offline at 07:10 on 06/24 and has been offline since then.</t>
  </si>
  <si>
    <t>1. SR103367</t>
  </si>
  <si>
    <t>1. The site was offline on 05/31 due to a utility outage and came back online at 08:17 on 06/01.
2. The site was offline from 10:20 on 06/07 and came back online at 11:12 on 06/08.
3. The site was offline from 07:27 on 06/26 to 12:09 on 06/27 due to a planned outage by the utility and later came back online at 11:39 on 06/29.</t>
  </si>
  <si>
    <t>1. SR102212
2. SR102640
3. SR103552</t>
  </si>
  <si>
    <t>SR102640</t>
  </si>
  <si>
    <t>SR103552</t>
  </si>
  <si>
    <t xml:space="preserve">1.As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
 </t>
  </si>
  <si>
    <t>1. The site was offline from 21:30 on 06/24 due to a utility outage and came back online at 13:45 on 06/28.</t>
  </si>
  <si>
    <t>1. SR103476</t>
  </si>
  <si>
    <t>1. The site was offline from 21:30 on 06/24 due to a utility outage and came back online at 13:30 on 06/28.</t>
  </si>
  <si>
    <t>1. SR103477</t>
  </si>
  <si>
    <t>1. Many optimizers on SE are offline and later back online on 04/15. Additionally 1 optimizer on SE is offline , EPC to complete.
2. Inverter 1 has been offline since 12:00 on 06/24.</t>
  </si>
  <si>
    <t>1. SR095945
2. SR103457</t>
  </si>
  <si>
    <t>SR103457</t>
  </si>
  <si>
    <t>1. Currently, the following optimizers are offline or severely underproducing
Panel 1.0.7		124BD3FC-2C
Panel 1.0.65		124CF1D2-21
Panel 1.0.84		124BDFF4-30
Panel 3.0.28		124A7869-3D
Panel 3.0.31		124CF59F-F2</t>
  </si>
  <si>
    <t>1. The inverters have been offline since 12:00 on 06/24.</t>
  </si>
  <si>
    <t>1. SR103482</t>
  </si>
  <si>
    <t>1. The site was offline from 12:00 to 13:30 on 06/04 due to EPC being onsite.</t>
  </si>
  <si>
    <t>1. Inverter 2 (as per SE Inverter 1) — Units 1.1 and 1.2 tripped offline at 12:00, and Unit 1.3 tripped offline at 16:15 on 06/18. The inverter has remained offline since then.</t>
  </si>
  <si>
    <t>1. SR103141</t>
  </si>
  <si>
    <t>1. Inverter 1 tripped offline at 14:45 on 05/26 and came back online at 08:15 on 06/13. It tripped offline again at 14:15 on 06/18 and came back online at 10:30 on 06/20. It tripped once more at 13:45 on 06/20 and came back online at 10:15 on 06/26.
2. Inverter 2, Unit 2.2 tripped offline at 14:30 on 05/25 and came back online at 09:45 on 06/20. It tripped offline again at 12:30 on 06/20 and came back online at 10:15 on 06/21. It tripped once more at 15:45 on 06/21, came back online at 10:15 on 06/26, and again tripped offline at 15:30 on 06/29 due to '3 Phase Possible Arc Detection'.
3.Inverter 3, Unit 3.3 tripped offline at 16:00 on 05/24 and came back online at 09:45 on 06/20. It tripped offline again at 14:00 on 06/20 and later came back online at 10:15 on 06/26. Unit 3.1 tripped offline at 13:00 on 05/30 and came back online at 09:45 on 06/20.
4. Inverter 1 tripped offline at 14:15 on 06/30.</t>
  </si>
  <si>
    <t>1. SR099791
2. SR099792, SR103096
3. SR099793
4. SR103710</t>
  </si>
  <si>
    <t>SR103096</t>
  </si>
  <si>
    <t>SR103710</t>
  </si>
  <si>
    <t>1. The inverters are experiencing minor shading.</t>
  </si>
  <si>
    <t>1. SR103361</t>
  </si>
  <si>
    <t>1. Inverter 1, Unit 1.1 tripped offline at 09:00 on 06/01 and came back online at 19:00 on the same day.</t>
  </si>
  <si>
    <t>1. SR101940</t>
  </si>
  <si>
    <t>1. Inverter 2, Unit 2.2 tripped offline at 10:30 on 06/08 and came back online at 11:45 on 06/16. Unit 2.1 tripped offline at 13:00 on 06/02, came back online at 11:45 on 06/16, tripped offline again at 17:00 on 06/16, and came back online at 11:45 on 06/23.
2. Inverter 1, Unit 1.2 was offline from 06/12 and came back online at 12:45 on 06/16. It went offline again at 17:15 on 06/19, came back online at 12:00 on 06/23, then went offline again at 05:15 on 06/25 and came back online at 13:45 on 06/27.
3. Inverter 3, Unit 3.1 tripped offline at 08:15 on 06/24 and came back online at 14:00 on 06/27. It tripped offline again at 13:45 on 06/29 and has been offline since then.
4. Inverter 2, Unit 2.1 did not start production on 06/30.</t>
  </si>
  <si>
    <t>1. SR100587, SR103188
2. SR102888
3. SR103641
4. SR103805</t>
  </si>
  <si>
    <t>SR103188</t>
  </si>
  <si>
    <t>SR102888</t>
  </si>
  <si>
    <t>SR103641</t>
  </si>
  <si>
    <t>SR103805</t>
  </si>
  <si>
    <t>1. Inverter 2, Unit 2.1 tripped offline at 11:45 on 06/19 and has been offline since then. The unit is being RMA’d.</t>
  </si>
  <si>
    <t>1. SR103246</t>
  </si>
  <si>
    <t>1. Inverter 4 went offline at 13:00 on 06/25 and came back online at 09:15 on 06/27, and again went offline at 13:30 on 06/29.</t>
  </si>
  <si>
    <t>1. SR103557</t>
  </si>
  <si>
    <t>1. The site was offline from 10:15 on 05/27 and came back online at 12:15 on 06/05.</t>
  </si>
  <si>
    <t>1. The site tripped offline at 13:15 on 06/17 due to fluctuations in recloser voltages and came back online at 13:30 on 06/18.</t>
  </si>
  <si>
    <t>1. SR103076</t>
  </si>
  <si>
    <t>1.  Trackers 76 and 142 have been stuck since 04/25. Additionally, 13 trackers - 3, 13, 16, 54, 67, 76, 82, 83, 99, 109, 142, 148, and 183 have been stuck since 05/05.
2. The site tripped offline at 11:15 on 05/18. USNE inspected the site and, after examining the transformer, determined that additional troubleshooting was required. The transformer was later re-energized on 06/03, and the site came back online at 10:55 on 06/03.</t>
  </si>
  <si>
    <t>1. SR097816
2. SR101645</t>
  </si>
  <si>
    <t>SR101645</t>
  </si>
  <si>
    <t>1. Trackers 11 and 73 were stuck from 04/27 and resumed tracking on 06/11. Tracker 86 was stuck from 06/13, and Tracker 84 was stuck from 06/16, both resumed tracking on 06/24. Tracker 108 was stuck from 06/24 and resumed tracking on 06/25. Tracker 103 has been stuck from 06/25 and resumed tracking on 06/27.
2. The site tripped offline at 16:00 on 06/06 and came back online at 11:35 on 06/07.
3. The site was offline from 13:25 to 15:00 on 06/20 as EV Solar was onsite to work on the TCU and inspect the inverter.</t>
  </si>
  <si>
    <t>1. SR100609
2. SR102630
3. SR103214</t>
  </si>
  <si>
    <t>SR102630</t>
  </si>
  <si>
    <t>SR103214</t>
  </si>
  <si>
    <t>1. All trackers have been stuck at 0.99 degrees since 05/07.</t>
  </si>
  <si>
    <t>1. SR101228</t>
  </si>
  <si>
    <t>1. The site has been offline since 03/07. The site will likely remain de-energized until late this year.</t>
  </si>
  <si>
    <t>1. SR098278, SR098670</t>
  </si>
  <si>
    <t>1. Tracker T02.D.37 was stuck at 0 degrees on 06/09. Further troubleshooting is required.
2. The site tripped offline at 14:25 on 06/25 due to a utility outage and came back online at 11:50 on 06/26.
3.Combiner Box 13 tripped offline at 19:10 on 06/25 and came back online at 14:45 on 06/26.</t>
  </si>
  <si>
    <t>1. SR102684
2. SR103541
3. SR103547</t>
  </si>
  <si>
    <t>SR103541</t>
  </si>
  <si>
    <t>SR103547</t>
  </si>
  <si>
    <t>1. TCU 3, 33 through 66 are stuck from 4/24/25 at 13:00CDT.
2. Inverter 2 has been derating by approximately 5 kW to 20 kW in the afternoons since 03/28. The issue is currently under EPC.
3. The site tripped offline at 23:45 on 06/26 and came back online at 15:15 on 06/27.</t>
  </si>
  <si>
    <t>1. SR098066
2. SR099545
3. SR103643</t>
  </si>
  <si>
    <t>SR103643</t>
  </si>
  <si>
    <t>1. Tracker W-050 and trackers W-159 and W-166 were stuck at 45° and 0°, respectively. Additionally, trackers E-82, E-83, E-167, E-168, and E-169 have been deviating between 12:00 PM and 5:00 PM since 04/07. However, 4–5 trackers continue to show deviations. Trackers W-050 and W-160 have been stuck since 06/04, and tracker W-166 has been tracking incorrectly since 06/16.
2. The site was de-energized from 09:00 to 13:45 on 06/11 as Spartan Alternative Energy was onsite for transformer work.
3. The site was offline from 07:40 to 09:20 on 06/20 as EV Solar was onsite to work on the meter CT of Inverter 1.
4. The site tripped offline at 11:10 on 06/22 and came back online at 09:15 on 06/23.
5. Inverter 2 tripped offline at 14:45 on 06/28 and came back online at 06:45 on 06/30.</t>
  </si>
  <si>
    <t>1. SR099473
2. SR102805
3. SR103193
4. SR103271
5. SR103687</t>
  </si>
  <si>
    <t>SR102805</t>
  </si>
  <si>
    <t>SR103193</t>
  </si>
  <si>
    <t>SR103271</t>
  </si>
  <si>
    <t>SR103687</t>
  </si>
  <si>
    <t>1. Site production was low on 06/25 due to technician was on site for preventive maintenance work.
2. The site went offline at 15:45 on 06/28 due to the circuit breaker being in the open position and later came back online at 09:45 on 06/30.</t>
  </si>
  <si>
    <t>1. PM13634
2. SR103689</t>
  </si>
  <si>
    <t>1. All the trackers have been stuck mode since 05/14.
2. Combiner boxes 10, 14, 17, and 23 were taken offline on 06/23 as EV Solar was onsite for module replacement. They were re-energized after the work was completed.
3. Inverter 2 tripped offline at 18:40 on 06/23 due to "Overall Work State Stop" and came back online at 05:20 on 06/24.
4. The site tripped offline at 17:40 on 06/25 and came back online at 05:30 on 06/26.
5. Site production was low on 06/11 due to technician was on site for preventive maintenance work.
6. Site was taken offline by EV Solar on 06/10 from 14:20 to 15:25 to pictures of the CT's in the transformer.</t>
  </si>
  <si>
    <t>1. SR098693
2. SR103313
3. SR103353
4. SR103559
5. PM13738
6. SR102779</t>
  </si>
  <si>
    <t>SR103313</t>
  </si>
  <si>
    <t>SR103353</t>
  </si>
  <si>
    <t>SR103559</t>
  </si>
  <si>
    <t>SR102779</t>
  </si>
  <si>
    <t>1. The site was offline from 09:25 to 11:15 on 06/30 as EV Solar was on site to work on CT#2.</t>
  </si>
  <si>
    <t>1. SR103737</t>
  </si>
  <si>
    <t>1.Inverter 2 has been offline since 03/28, reporting a fault current.
2. Meter power  dropped to zero at 09:30 on 06/14 due to wiring issues but production was confirmed at meter level and were back to normal at 11:00 ,again tripped off at 10:00  on 06/17 and were back online at 19:30  on 06/19,tripped off at 09:45  on 06/20 and back online at 12:00 on 06/22,again tripped off at 11:30 and were back online at 19:00  on 06/26.</t>
  </si>
  <si>
    <t>1.SR100622,SR095581
2.SR100771</t>
  </si>
  <si>
    <t>July Actual v. Expected</t>
  </si>
  <si>
    <t>July Actual v. Forecasted</t>
  </si>
  <si>
    <t>1. Inverter 1 is missing communications and offline as per the meter production and came back online on 07/11</t>
  </si>
  <si>
    <t>1.SR103460</t>
  </si>
  <si>
    <t>1.Low production/generation due to low irradiance on  07/14 ,07/14</t>
  </si>
  <si>
    <t>1. Inverter 1 middle unit dropped production 13 kW down at 12:00 on 06/04. Inverter fan is under replacement. 
2.Inverter 3 middle unit(unit 3.2) is derating by 14kW since 06/11 and reporting "External fan fault" since 6/4
3.Estimated values are low in AE we have also verified the file which was given by GC</t>
  </si>
  <si>
    <t>1.	SR102473
2.SR103360</t>
  </si>
  <si>
    <t>SR103360</t>
  </si>
  <si>
    <t>1.	SR097569 ,SR102535</t>
  </si>
  <si>
    <t>SR102535</t>
  </si>
  <si>
    <t>1. 96 optimizers are down for site construction.
2.Inverter 1 tripped offline on 07/22 from 07:23 to 13:00 and producing "irradiance check " fault and again offline from 09:07 to 10:00 on 07/23</t>
  </si>
  <si>
    <t>1.SR093291
2.SR104754</t>
  </si>
  <si>
    <t>SR104754</t>
  </si>
  <si>
    <t>1.Inverter 1 tripped offline at 13:00 on 06/12 and came back online on 07/10
2. Inverter module 1.0.153 12D31EC2-C5 is offline, reporting no comms with power optimizer.
3.Weather station stopped communicating on 11/22 at 07:00.</t>
  </si>
  <si>
    <t>1.SR102970
2.	SR093292
3.SR093633</t>
  </si>
  <si>
    <t>1. 26 optimizers are down for roof repair.
2. Weather station stopped communicating since 06/14/24.
3. Inverter 2 middle unit (unit 2.1) was offline on multiple days and reporting low voltage</t>
  </si>
  <si>
    <t>1.	SR093294
2.SR104856</t>
  </si>
  <si>
    <t>SR104856</t>
  </si>
  <si>
    <t xml:space="preserve">1.Inverter 2 tripped offline at 12:00 and back online at 17:30 on 07/22, reporting a low irradiance check </t>
  </si>
  <si>
    <t>1.Both inverters tripped offline on 07/05 at 08:00 and reporting "Grid Voltage" and came back online on 07/06
2. The estimated values in AlsoEnergy appeared lower, and there was a discrepancy between the values shown in the Configuration and Analysis sections.</t>
  </si>
  <si>
    <t>1.SR104039</t>
  </si>
  <si>
    <t>1.SR103259</t>
  </si>
  <si>
    <t>1.	SR102672</t>
  </si>
  <si>
    <t>1. Low production/generation due to  low irradiance on 07/14 &amp; 07/31</t>
  </si>
  <si>
    <t>1.Low production/generation due to low irradiance on  07/31</t>
  </si>
  <si>
    <t xml:space="preserve">1.Site stopped communicating from 03/25. On 03/27 Technician stated that main breaker tripped and malfunctioning. Site was remained offline till date. As per GenC, EPC has been responsive on the warranty claim. </t>
  </si>
  <si>
    <t>1.SR102532 ,	SR102533</t>
  </si>
  <si>
    <t>SR102533</t>
  </si>
  <si>
    <t>1.Some optimizers with production issues 1264FFBB-30 - Half production  ,12639DA9-BB - Half production</t>
  </si>
  <si>
    <t>1.	SR088282</t>
  </si>
  <si>
    <t>1.Inverter 2 is underperforming 8kW compared to its peers since 07/06. Failed negative string connector repaired, inv 2 is producing normally on 07/16</t>
  </si>
  <si>
    <t>1.SR104430</t>
  </si>
  <si>
    <t>1. Inverter 1, unit 1.1 tripped offline on 06/24 at 15:00 reporting "Residual Current Device" . Replaced DC relay board and re-energized the inverter. Issue resolved on 07/24</t>
  </si>
  <si>
    <t>1.	SR103569</t>
  </si>
  <si>
    <t>1. Inverter 1, Unit 1.1 tripped offline at 12:30 on 07/11.   Replaced defective optimizer from stock, inverter is producing normally on 07/14</t>
  </si>
  <si>
    <t>1.	SR104342</t>
  </si>
  <si>
    <t>1.4 Inverter modules are offline. Will investigate next time on site. Module 1.0.64 Module 4.0.39 , 3.0.20 ,1.0.64</t>
  </si>
  <si>
    <t>1.Low production/generation due to low irradiance 07/31</t>
  </si>
  <si>
    <t>1. Inverter 3 right unit tripped offline at 12:00 on 07/01 and reporting "Fault" in AE. Inverter faulted RSD, inspected array and inverter. Power cycled unit, inverter 3 producing as expected from 07/11</t>
  </si>
  <si>
    <t>1.	SR103857</t>
  </si>
  <si>
    <t>1.Inverter modules 3.0.144 and 5.0.100 are offline</t>
  </si>
  <si>
    <t>1.	SR093327</t>
  </si>
  <si>
    <t>1.Inverter 2 offline from 12:20 to 12:41 on 07/24 due to technician was on site</t>
  </si>
  <si>
    <t>1.Inverter 1 right unit is back online on 07/02 at 13:15
2. Inverter 1 right unit tripped offline at 07:00 on 07/18 and reporting "AC Freq Too High (Line 3)"</t>
  </si>
  <si>
    <t>1.SR103568
2.SR105209</t>
  </si>
  <si>
    <t>SR105209</t>
  </si>
  <si>
    <t>1. Inverter 1 unit 1.2 is derating by 30kW since 07/15.</t>
  </si>
  <si>
    <t>1.SR104744</t>
  </si>
  <si>
    <t>1. Inverter 4 tripped offline at 12:45 on 07/01 and back online at 08:45 on 07/07, while tech on site inverter 5 is offline from 09:00 to 12:30.
2. Inverter 1 tripped offline at 10:45 on 07/08 and back online at 15:00 on 07/09 but inverter 1 is producing at its half production through out the month
3. Inverter 3 was offline from 08:00 to 10:30 on 07/11 while technician on site
4.Inverter 5 tripped offline at 10:30 and later PE was able to reset at 17:30 on 07/16
5. Inverter 2 tripped offline at 12:15 on 07/23 and back online at 08:00 on 07/24</t>
  </si>
  <si>
    <t>1.SR101910
2.SR101354
3.PM7993
4.SR104543
5.SR104886</t>
  </si>
  <si>
    <t>SR104543</t>
  </si>
  <si>
    <t>SR104886</t>
  </si>
  <si>
    <t>1.Inverter 5 tripped offline at 11:00 on 07/14 and back online at 09:15 on 07/17</t>
  </si>
  <si>
    <t>1.SR104398</t>
  </si>
  <si>
    <t>1. Meter stopped communicating from 14:05 on 03/16 till date.
2. Inverter 1 is back online at 07:15 on 07/11
3. Site lost communication on 07/07 at 23:40 and later back online at 07:10 on 07/11 but inverter 2 is offline and back online at 09:55 on 07/17</t>
  </si>
  <si>
    <t>1.SR098641
2.SR103150
3.SR104128</t>
  </si>
  <si>
    <t>SR104128</t>
  </si>
  <si>
    <t>1. Inverters 26 are derating by 20kW down each compared to its peers since 06/04.
2. Inverters 28 to 33 are tripped offline at 13:25 on 06/23 due to damaged breaker. After install the new breaker inverters are back online at 09:40 on 07/09.
3. inverters 18 to 22 tripped offline from  08:55 to 11:35 on 07/07. due tech onsite and replceing the CB's.
4. Site was taken offline from 07:25 to 09:40 on 07/09 due to technision was on site and  install the new breaker.
5. Inverter 10 went offline at 06:30 on 07/27, reporting 'standby mode'. It later self-resolved and came back online at 06:30 on 07/28.</t>
  </si>
  <si>
    <t>1. SR102506
2. SR103185
3. SR102919
4. SR103185
5. SR105115</t>
  </si>
  <si>
    <t>SR102919</t>
  </si>
  <si>
    <t>SR105115</t>
  </si>
  <si>
    <t>1. Inverter 8 tripped offline at 13:05 on 07/20  due to B-phase has blown fuse.
2. Inverters 1 to 16 and 20 to 33 tripped offline at 16:05 on 07/24 and came back online at 06:00 on 07/25. They tripped offline again at 18:00 on 07/28.</t>
  </si>
  <si>
    <t>1. SR104724
2. SR105002</t>
  </si>
  <si>
    <t>SR105002</t>
  </si>
  <si>
    <t>1. Inverter 1 tripped offline at 16:45 on 07/03 reporting "Isolation resistance values out of limits". later seif resolved and back online at 06:00 on 07/04</t>
  </si>
  <si>
    <t>1. SR104001</t>
  </si>
  <si>
    <t>1. Inverter 2 tripped offline at 06:00 on 07/22, reporting a 'PH. R blower' fault, and came back online at 09:55 on 07/23.</t>
  </si>
  <si>
    <t>1. Inverter 1 experienced multiple trip events starting from 07/17. A technician later cleared a ground fault, and the inverter returned to normal operation on 07/23.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</si>
  <si>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SR104609
2. SR093024</t>
  </si>
  <si>
    <t>1. Combiner box 7,string 1 is underperforming since 03/21.Needs further investigation.</t>
  </si>
  <si>
    <t>1. SR098866</t>
  </si>
  <si>
    <t>1.The site went offline at 09:55 on 03/27 due to utility work at the substation. On 07/16, a technician re-energized the inverters, and the site came back online at 09:35 on 07/16.
2. Site was offline at 04:30 on 07/21 and later tecnician Power cycled the DAS and site is back online at 02:05 on 07/22.</t>
  </si>
  <si>
    <t>1. SR098998
2. SR104684</t>
  </si>
  <si>
    <t>SR104684</t>
  </si>
  <si>
    <t>1. Inverter 4 tripped offline at 13:15 on 06/27. The inductor fan was sent for RMA  on 06/27. Later, a technician replaced the inductor fan, and the inverter was back online at 14:10 on 07/07.
2. The site tripped offline at 18:55 on 07/13 and back online at 03:25 on 07/14. It tripped offline again at 11:50 on 07/20 due to technician working on site, and was  back online at 13:40 on 07/21</t>
  </si>
  <si>
    <t>1. SR103651
2. SR104374</t>
  </si>
  <si>
    <t>SR104374</t>
  </si>
  <si>
    <t>1. The site was taken offline from 08:15 to 11:30 and again from 14:55 to 16:05 on 07/29, as the utility performed emergent work at the site.</t>
  </si>
  <si>
    <t>1. SR105211</t>
  </si>
  <si>
    <t>1. Inverters 14 , 5, 29 and 32 have also tripped offline at 13:40 from 06/30 producing fault "" Grid voltage out of range".and except inveretr 14 is RMA'd remaining inverters back online at 14:30 on 07/07.
2.Inverter 9 was offline on multiple days of the month.
3.Inverters 28 was frequently trippping on and off.Inverter 28 was completly offline from 06/20 and later  back online at 14:45 on 07/07. and again tripped offline at 12:30 on 07/10 and inveretr is under  RMA'd 
4. Inverter 20 tripped offline at 12:15 on 06/21 and remained offline throughout the month due to  "Grid voltage out of range" and "Power Module Protection - Protect0120" respectively.
5. Inverter 30 was offline on multiple days of the month.
6. Inverter 23 tripped offline at 15:00 on 07/13 and reporting "Grid Phase Voltage Out of Range - GridV.OutLim". and later back online at 08:30 on 07/16.
7. Inverter 1 is derating by 25kW at 12:30 on 07/13 compared to peers and reporting "External Fan Err - ExtFanerr". after replacening the fan inverters is back to normal operation on 07/16.
8. Pad 1(1-20) inverters tripped offline at 19:20 on 07/17 and back online at 10:45 on 07/18.
9. Inverter 5 tripped offline at 14:00 on 07/21 and reporting Grid Line Voltage Out of Range - GridV.OutLim.
10 . Inverter 32 tripped offline at 12:00 on 07/23 and reporting "Grid Phase Voltage Out of Range - GridV.OutLim" and later closeing bracker inverter is back online at 09:00 on 07/28.
11.  Inverter 33 tripped offline and reporting "Grid Phase Voltage Out of Range - GridV.OutLim" and later closeing bracker inverter is back online at 09:00 on 07/28.
12. Inverters 3,9,28 &amp; 30 have tripped offline at 11:45 on 07/28 and reporting Grid Line Voltage Out of Range - GridV.OutLim and offline throughout the month.</t>
  </si>
  <si>
    <t>1. SR103260, SR103257
2. SR102335, SR102682, SR104557
3. SR102682,SR103181 SR104208
4. SR103257
5. SR103260, SR104208
6. SR104370
7. SR104371
8. SR104594
9. SR104741
10. SR104887
11. SR104998
12. SR105204</t>
  </si>
  <si>
    <t>SR104557</t>
  </si>
  <si>
    <t>SR104208</t>
  </si>
  <si>
    <t>SR104370</t>
  </si>
  <si>
    <t>SR104371</t>
  </si>
  <si>
    <t>SR104594</t>
  </si>
  <si>
    <t>SR104741</t>
  </si>
  <si>
    <t>SR104887</t>
  </si>
  <si>
    <t>SR104998</t>
  </si>
  <si>
    <t>SR105204</t>
  </si>
  <si>
    <t>1. Inverters 1 tripped offline at 14:25 on 06/30 after replaceing the DC motor, Inverter is back online at 14:15 on 07/03.
2. Site was taken offline from 09:20 to 10:20 on 07/15 due to technician was on site  and Cleaned transformer.</t>
  </si>
  <si>
    <t>1. SR103671
2. SR103452, PM7683</t>
  </si>
  <si>
    <t>SR103452</t>
  </si>
  <si>
    <t>1. The site was offline since 04/03. On 05/14, USNE replaced the SEL relay and CAT5 cable, bringing the site back online at 12:55. It went offline again on 05/22. On 05/23, the site was re-energized but was subsequently shut down after Transformer 2 showed signs of internal arcing. Further medium-voltage (MV) troubleshooting is required. On 07/02  technician was after pulling event files from the SEL for analysis. The site remains offline.</t>
  </si>
  <si>
    <t>1. SR101820, SR099347, 	SR103655</t>
  </si>
  <si>
    <t>SR103655</t>
  </si>
  <si>
    <t>1.Site offline at 14:35 on 07/03 and site came back online at 07:50 on 07/07 due to utility outage</t>
  </si>
  <si>
    <t>1.	SR103990</t>
  </si>
  <si>
    <t>1. Combiner box 33 is being isolated from 07/18 due to hotspot found during the PM to prevent any further thermal damage. On 07/29  technician has re-energized the combiner box 33. Additional Troubleshooting is required to re-energize the combiner 11 and filter replacement
2.Inverters tripping on and offline from 10:55 to 14:10 due to technician was on site to perform preventive maintanance</t>
  </si>
  <si>
    <t>1.SR104624
2.PM1903</t>
  </si>
  <si>
    <t>1.Site tripped offline from 07:30 to 20:15 on 07/25 due to utility outage
2.Site tripped offline at 15:35 on 07/26 and came back online at 12:45 on 07/27</t>
  </si>
  <si>
    <t>1.	SR105048
2.SR105120</t>
  </si>
  <si>
    <t>SR105120</t>
  </si>
  <si>
    <t>1.Site tripped offline due to utility outage at 07:35 on 07/25 and came back online at 06:15 on 07/26
2.Weather station stopped communicating from 07/04 and regained on 07/20</t>
  </si>
  <si>
    <t>1.	SR105049</t>
  </si>
  <si>
    <t>1.Site tripped offline from 08:15 to 10:30 and 14:55 to 16:05 on 07/209 due to utility outage</t>
  </si>
  <si>
    <t>1.SR105225</t>
  </si>
  <si>
    <t>1.Site tripped offline from 08:!5 to 09:25 and 14:55 to 16:05 on 07/29 due to utility outage</t>
  </si>
  <si>
    <t>1.SR105226</t>
  </si>
  <si>
    <t xml:space="preserve">1.Site tripped offline from 16:15 to 17:10 on 07/20 </t>
  </si>
  <si>
    <t>1.SR104664</t>
  </si>
  <si>
    <t>1.	SR095109</t>
  </si>
  <si>
    <t>1.Site tripped offline from 14:55 to 16:05 on 07/29</t>
  </si>
  <si>
    <t>1.SR105216</t>
  </si>
  <si>
    <t xml:space="preserve">1.Site tripped offline from 08:20 to 11:35 and 15:00 to 16:05 on 07/29 </t>
  </si>
  <si>
    <t>1.	SR105218</t>
  </si>
  <si>
    <t>1.Site was offline from 07/14. On 07/25 Technician has replaced the CTs on the inverter 2 but inverter remained offline. Upon further troubleshooting technician found LVRT board and communication board need replaced on the inverters. Technician has followed up with Sungrow for the replacement. Currently, both inverters will remain offline until parts being replace</t>
  </si>
  <si>
    <t>1.SR104383</t>
  </si>
  <si>
    <t>1.The inverter is exceeding its curtailment at 2338KW since 8am on 05/10 .
2.Site tripped offline at 08:50 to 14:45 on 07/26
3. Trackers 1 through 49 are currently stuck.</t>
  </si>
  <si>
    <t>1.SR101282
2.SR105110
3.	SR105180</t>
  </si>
  <si>
    <t>SR105110</t>
  </si>
  <si>
    <t>SR105180</t>
  </si>
  <si>
    <t xml:space="preserve">1.Site was offline from 11:00 - 15:15 on 07/08
2. Inverter 2 tripped offline from 7:55 to 08:35 on 07/20 due to Overall Work state as "STOP". </t>
  </si>
  <si>
    <t>1.SR104142
2.SR104657</t>
  </si>
  <si>
    <t>SR104657</t>
  </si>
  <si>
    <t xml:space="preserve">1.Inverter 1 tripped offline again soon after the previous site visit on 7/11, reporting "Error error". On 07/16  Inverter 1 has been re-energized came back online at 10:00
2.Weather station lost communication from 03/29. </t>
  </si>
  <si>
    <t>1.	SR104455</t>
  </si>
  <si>
    <t xml:space="preserve">1.Tracker control 33 - 90, 129 - 136, 148  , 20-32, 123-128, 172-183 are not communicating  &amp; tracker 156 , 121 is stuck and production dropped (approxmately ) 25 kW down. On 07/24 after re-energized the tracker motor, all trackers are currently tracking
</t>
  </si>
  <si>
    <t>1.Tracker 169 is stuck from 07/17</t>
  </si>
  <si>
    <t>1.	SR101152</t>
  </si>
  <si>
    <t>1.Site tripped offline at 09:45 from 06/30 and it came back online at 09:30 on 07/01</t>
  </si>
  <si>
    <t>1.Inverter 1 went offline on 07/01 and came back online at 15:47 on 07/02. It tripped offline again on 07/07 and returned online on 07/10. Once more, Inverter 1 went offline on 07/15 and came back online at 10:48 on 07/25.
2.Site was offline from 07/09 and it came back online on 07/10</t>
  </si>
  <si>
    <t>1.SR103538
2.SR103538
3.SR104184</t>
  </si>
  <si>
    <t>SR104184</t>
  </si>
  <si>
    <t>1.Inverter started for production at 13:45 on 07/04
2.Inverter tripped offline from 10:00 to 15:15 on 07/07 and again inverter tripped offline from 10:15 to 12:45 on 07/09
3.Inverter tripped offline 10:10 to 12:00 and 13:36 to 14:40 on 07/18 due to SMA technician was on site.
4.Inverter tripped offline from 06:00 to 09:25 on 07/21 and again inverter tripped offline from 10:09 to 10:36 and 14:00 to 14:42 on 07/29</t>
  </si>
  <si>
    <t>1.SR104018
2.SR104092
3.SR104283
4.SR104691
5.	SR104691</t>
  </si>
  <si>
    <t>SR104092</t>
  </si>
  <si>
    <t>SR104283</t>
  </si>
  <si>
    <t>SR104691</t>
  </si>
  <si>
    <t>1.Trackers 23, 24, 33, 37, and 72 through 151 have been stuck since 06/02</t>
  </si>
  <si>
    <t>1.	SR102328</t>
  </si>
  <si>
    <t>1. Inverter 2 tripped offline at 14:45 on 05/31 due to the AC breaker switch being open.After replacing AC breaker inverter 2 came back online at 17:55 on 07/07 
2.Inverter 2 tripped offline at 11:45 on 07/08. It came back online at 12:45 on 07/12 and again inverter 2 tripped offline at 08:05 it came back online on 07/14 again inverter tripped offline 2 from 12:00 to 15:50 
3.Site tripped offline from 09:40 to 12:55 on 07/15
4.Inverter 2 tripped offline from 08:50 to 13:35 on 07/20
5.Site tripped offline at 11:!5 on 07/21 and came back online at 15:05 on 07/22 and also inverter 2 offline on 07/23  and again site tripped offline at 17:00 on 07/24 it came back online at 09:45 on 07/25
6.Inverter 2 tripped offline from 08:55 to 14:15 on 07/26 and again inverter 2tripped offline at 11:55 07/27 and came back online on 07/28 at 08:45 and again offline from 12:!5 to 15:25 on same day
7.Inverter 2 tripped offline from 10:05 to 14:10 on 07/29</t>
  </si>
  <si>
    <t>1.SR104727
2.SR104138
3.SR104422
4.SR104601
5.	SR104708
6.SR105105
7.SR105276</t>
  </si>
  <si>
    <t>SR104138</t>
  </si>
  <si>
    <t>SR104422</t>
  </si>
  <si>
    <t>SR104601</t>
  </si>
  <si>
    <t>SR104708</t>
  </si>
  <si>
    <t>SR105105</t>
  </si>
  <si>
    <t>SR105276</t>
  </si>
  <si>
    <t>1.Site tripped offline from 08:30 to 11:15 on 07/26</t>
  </si>
  <si>
    <t>1.SR105107</t>
  </si>
  <si>
    <t>1.NCU 1 tracker 10 which is RMAd. Tracker 9,38 and 35 are tracking at site but not communicating properly in AE as per technician.</t>
  </si>
  <si>
    <t>1.	SR104075</t>
  </si>
  <si>
    <t>1. Inverter 1 has tripped offline at 18:20 and AC Breaker is in Open State and reporting "STOP: PARAMETER INVOPMOD". After remote reset inverter came back online at 07:40. Inverterr again tripped offline from 06:00 to 12:50 on 07/04 and again inverter tripped offline at 06:00 to 09:35 on 07/08 and again inverter tripped offline from 06:00 to 09:10 on 07/11 and again inverter trippped offline 10:45 to 14:20 on 07/14
2.Inverter tripped offline from 11:25 to 11:50 on 07/28</t>
  </si>
  <si>
    <t>1.SR103943
2.	SR105161</t>
  </si>
  <si>
    <t>SR105161</t>
  </si>
  <si>
    <t>1.Inverter 1 tripped offline at 16:40 on 05/26 and is currently in an open AC breaker switch state. Water intrusion and condensation were found inside Inverter 1 and its DC compartment, but no internal damage was observed. Additionally, four combiner boxes also had water intrusion and have been isolated. For safety reasons, the inverter remains offline, and further troubleshooting is required. 
2.The weather station (POA2, GHI, rPOA) has stopped communicating since 18:10 on 05/27.
3.Site tripped offline from 07:20 to 11:45 on 07/26</t>
  </si>
  <si>
    <t>1.	SR101947
2.SR102015
3.	SR105108</t>
  </si>
  <si>
    <t>SR105108</t>
  </si>
  <si>
    <t>1.	SR103685</t>
  </si>
  <si>
    <t>1. Inverter tripped offline at 18:20 on 07/07 and reporting "F6:LOW VAC" and it came back online at 15:05 on 07/08</t>
  </si>
  <si>
    <t>1.SR104120</t>
  </si>
  <si>
    <t>1.Site tripped offline at 17:45 on 07/04 and site ccame back online at 19:30 on 07/05
2.Site offline at 19:00 on 07/09 and came back online at 09:30 on 07/10
3.Inverters tripped offline from 20:50 on 07/10 and it came back online at 08:30 on 07/11 
4. Inverter tripped offline at 18:10 on 07/11 and it came back online at 07:20 on 07/12
5.Inverter offline from 12:50 to 14:05 on 07/17 due to technician was on site.
6. Site tripped offline from 19:00 to 20:00  on 07/25</t>
  </si>
  <si>
    <t>1.SR104019
2.SR104175
3.	SR104235
4.SR104341
5.	SR104445
6.SR104920</t>
  </si>
  <si>
    <t>SR104175</t>
  </si>
  <si>
    <t>SR104235</t>
  </si>
  <si>
    <t>SR104341</t>
  </si>
  <si>
    <t>SR104445</t>
  </si>
  <si>
    <t>SR104920</t>
  </si>
  <si>
    <t>1.Inverter 1 tripped offline at 14:45 and came back online at 09:30 on 07/14
2.Site tripped offline from 13:30 to 14:20 on 07/16</t>
  </si>
  <si>
    <t>1.	SR104335
2.	SR104540</t>
  </si>
  <si>
    <t>SR104540</t>
  </si>
  <si>
    <t>1. 15 trackers are currently stuck from 03/21 NCU 1 SPC 101, 206, 218, &amp; 314 NCU 2 SPC 118, 128, 230, 234, 321, 323, 333, 334, 336, 337, &amp; 343
2.Site tripped offline from 13:30 to 14:25 on 07/16 due to fluctuations in utility voltages</t>
  </si>
  <si>
    <t>1.SR098860
2.	SR104541</t>
  </si>
  <si>
    <t>SR104541</t>
  </si>
  <si>
    <t>1.Inverter 1 offline from 07/01  is reporting the AC breaker state as OPEN. Inverter 1 to be RMA'ed and remain offline through out the month.</t>
  </si>
  <si>
    <t>1.	SR103824</t>
  </si>
  <si>
    <t>1. Site tripped offline at 7:10  at 07:10 since 06/24 and  Site re-energized on 07/04 at 11:30
2. Site tripped offline at 17:35 from 07/18</t>
  </si>
  <si>
    <t>1.	SR103367
2.	SR104633</t>
  </si>
  <si>
    <t>SR104633</t>
  </si>
  <si>
    <t>1.Inverter 1 tripped offline at 14:25 on 07/01 and reporting "AC breaker Switch Open".After  Closed in SEL.  Site came back online on 07/02 at 08:15
2.Inverter tripped offline at 06:00 on 07/08 and came back online on 07/09  at 14:13
3. Inverter tripped offline at 07:00 on 07/13 and reporting "AC Breaker State Open and came back online on 07/14 at 08:25
4.Inverter offline from 06:00 to 11:24 on 07/18
5.Inverter offline from 06:00 to 11:!0 on 07/23</t>
  </si>
  <si>
    <t>1.SR103852
2.SR104141
3.	SR104367
4.	SR104600
5.	SR104850</t>
  </si>
  <si>
    <t>SR104141</t>
  </si>
  <si>
    <t>SR104367</t>
  </si>
  <si>
    <t>SR104600</t>
  </si>
  <si>
    <t>SR104850</t>
  </si>
  <si>
    <t>1. Inverter 1 has been offline since 12:00 on 06/24.Inverter came back online on 07/21</t>
  </si>
  <si>
    <t>1.SR103457</t>
  </si>
  <si>
    <t>1. The inverters have been offline since 12:00 on 06/24. On 07/02 inverters cam eback online at 11:45</t>
  </si>
  <si>
    <t>1.	SR103482</t>
  </si>
  <si>
    <t>1. Inverter 2 unit 2.3 offline from 07/26</t>
  </si>
  <si>
    <t>1.	SR105122</t>
  </si>
  <si>
    <t>1. Inverter 2 (as per SE Inverter 1) — Units 1.1 and 1.2 tripped offline at 12:00, and Unit 1.3 tripped offline at 16:15 on 06/18. The inverter has remained offline  and SolarEdge has rmad the center unit.</t>
  </si>
  <si>
    <t>1.	SR103141</t>
  </si>
  <si>
    <t>1.Inverter 2 left unit tripped offline at 15:30 on 06/29 due to '3 Phase Possible Arc Detection'. On 7/10 technician Inspected array, no issues found. Reset inverter, online and producing.
2. Inverter 1 tripped offline at 14:15 from 06/30. parts being RMAD
3.Inverter 3 left unit tripped offline at 15:00 on 06/30. On 07/11  technician investigated inverters 1, 2 and 3. Inverter 1 has been RMA'd. Inverters 2 and 3 were restored to full capacity after performing system checks.
4. Inverter center unit many intermittent tripping events</t>
  </si>
  <si>
    <t>1.	SR103096
2.	SR103710
3.SR103871
4.	SR104959</t>
  </si>
  <si>
    <t>SR103871</t>
  </si>
  <si>
    <t>SR104959</t>
  </si>
  <si>
    <t>1.	SR103361</t>
  </si>
  <si>
    <t xml:space="preserve">1. Inverter 3 and   unit 3.1 tripped offline  at 13:45 on 06/29 and has been offline since then.
2.Inverter 2, Unit 2.1 offline from 06/30. 07/15 technician 2 optimizers replaced, inverter is operating normally. 
</t>
  </si>
  <si>
    <t>1. 	SR103641
2.	SR103805</t>
  </si>
  <si>
    <t>1.SR103246</t>
  </si>
  <si>
    <t>1. 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
2. The site tripped offline at 07:00 on 07/19 and later came back online at 16:00 on 07/21.</t>
  </si>
  <si>
    <t>1. SR100220
2. SR104636</t>
  </si>
  <si>
    <t>SR104636</t>
  </si>
  <si>
    <t>1. Inverter 1 was offline from 05:45 on 07/14 due to an 'Isolation fault' and came back online at 15:15 on 07/14. The inverter started production late on 07/15 and 07/16. It went offline again at 14:45 on 07/17 and later came back online at 11:15 on 07/18.
2. The site tripped offline at 06:00 on 07/19 and came back online at 07:30 on the same day.</t>
  </si>
  <si>
    <t>1. SR104413
2. SR104637</t>
  </si>
  <si>
    <t>SR104637</t>
  </si>
  <si>
    <t>1. The site was offline from 05:15 to 12:00 on 07/10 due to a planned outage by the utility.
2. The site tripped offline at 12:15 on 07/16 and later came back online at 15:15 on the same day. The site tripped offline again at 10:30 on 07/19 and came back online at 14:00 on the same day.</t>
  </si>
  <si>
    <t>1. SR104168
2. SR104538</t>
  </si>
  <si>
    <t>SR104538</t>
  </si>
  <si>
    <t>1. Inverter 1 has been underperforming by 13 kW due to a 'Fault' since 07/11.</t>
  </si>
  <si>
    <t>1. SR104292</t>
  </si>
  <si>
    <t>1. The site went offline at 17:15 on 07/03 due to a utility outage and later came back online at 07:30 on 07/05.</t>
  </si>
  <si>
    <t>1. SR104007</t>
  </si>
  <si>
    <t>1. Trackers 76 and 142 have been stuck since 04/25. Additionally, 13 trackers (3, 13, 16, 54, 67, 76, 82, 83, 99, 109, 142, 148, and 183) have been stuck since 05/05, and tracker 190 has been stuck since 07/10.</t>
  </si>
  <si>
    <t>1. SR97816</t>
  </si>
  <si>
    <t>1. The inverter tripped offline at 05:55 on 07/02 and later came back online at 10:15 on 07/02.
2. The site tripped offline at 15:10 on 07/03 due to a utility outage and later came back online at 12:15 on 07/05.
2. The site tripped offline at 11:40 on 07/26 due to a utility outage and later came back online at 10:25 on 07/27.</t>
  </si>
  <si>
    <t>1. SR103880
2. SR104002
3. SR105114</t>
  </si>
  <si>
    <t>SR104002</t>
  </si>
  <si>
    <t>SR105114</t>
  </si>
  <si>
    <t>1. Tracker T02.E.37 has been stuck since 06/30 and T01.A.03 has been stuck since 07/14. Both trackers later resumed regular operation on 07/28.
2. The site tripped offline at 14:20 on 07/04 due to a utility outage and later came back online at 10:40 on 07/07.</t>
  </si>
  <si>
    <t>1. SR102684
2. SR104020</t>
  </si>
  <si>
    <t>SR104020</t>
  </si>
  <si>
    <t>1.Inverter 2 has been derating by approximately 5 kW to 20 kW in the afternoons since 03/28. The issue is currently under EPC.
2.Site tripped offline from 05:15 to 09:55 on 07/30</t>
  </si>
  <si>
    <t>1.SR099545
2.SR105330</t>
  </si>
  <si>
    <t>SR105330</t>
  </si>
  <si>
    <t>1. The site tripped offline at 15:05 on 07/03 due to a utility outage and later came back online at 13:30 on 07/07.
2. The site tripped offline at 15:45 on 07/10 and later came back online at 09:25 on 07/11. It tripped offline again at 16:50 on 07/12 and came back online on 07/14.</t>
  </si>
  <si>
    <t>1. SR103988
2. SR104286</t>
  </si>
  <si>
    <t>SR104286</t>
  </si>
  <si>
    <t>1. All the trackers have been stuck mode since 05/14.
2. The site tripped offline at 17:40 on 07/03 due to the recloser being opened and later came back online at 08:20 on 07/05 after the recloser was closed.</t>
  </si>
  <si>
    <t>1. SR098693
2. SR104015</t>
  </si>
  <si>
    <t>SR104015</t>
  </si>
  <si>
    <t>1. Tracker 27 has been stuck since 07/17, tracker 45 was deviating from 07/17 and was resolved on 07/23, and tracker 41 has been stuck since 07/23.</t>
  </si>
  <si>
    <t>1. SR104558</t>
  </si>
  <si>
    <t>1.Low production/generation due to low irradiance 07/10 , 07/31</t>
  </si>
  <si>
    <t>1.Inverter 2 has been offline since 03/28, reporting a fault current.
2.The meter power dropped to zero and also lost communication multiple times throughout the month.</t>
  </si>
  <si>
    <t>1. SR100622
2.SR100117</t>
  </si>
  <si>
    <t>August Actual v. Expected</t>
  </si>
  <si>
    <t>August Actual v. Forecasted</t>
  </si>
  <si>
    <t xml:space="preserve"> </t>
  </si>
  <si>
    <t>1.Meter B phase currents dropped to Zero whole month. Need to replace CT</t>
  </si>
  <si>
    <t>1.SR102152</t>
  </si>
  <si>
    <t>1. Inverter 3 middle unit(unit 3.2) is producing as expected from 08/01
2.Estimated values are low in AE we have also verified the file which was given by GC</t>
  </si>
  <si>
    <t>1.	SR103360</t>
  </si>
  <si>
    <t>1.Site was offline from 02/21 due to Phase C fuse was blown and parts were needed</t>
  </si>
  <si>
    <t>1. 96 optimizers are down for site construction. GenC says EPC is remapping, completion estimated by next week</t>
  </si>
  <si>
    <t>1. Weather station stopped communicating on 11/22 at 07:00.
2. Inverter module 1.0.153 12D31EC2-C5 is offline, reporting no comms with power optimizer.</t>
  </si>
  <si>
    <t>1.SR093633
2.	SR093292</t>
  </si>
  <si>
    <t>1. 26 optimizers are down for roof repair.
2. Weather station stopped communicating since 06/14/24.
3. Inverter 2 middle unit (unit 2.1) was offline on multiple days and reporting low voltage
4. Meter was reading inaccurate Valuses for whole month likely bad CT.</t>
  </si>
  <si>
    <t>1. SR093294
2. SR086842
3. SR104856
4. SR103245</t>
  </si>
  <si>
    <t>SR103245</t>
  </si>
  <si>
    <t>1. Actual vs expected delta is showing 16% due to expected energy recording low possibly due to data glitch (similar event observe last years).</t>
  </si>
  <si>
    <t>1. The estimated values in AlsoEnergy appeared lower, and there was a discrepancy between the values shown in the Configuration and Analysis sections.</t>
  </si>
  <si>
    <t>1. Inverter 3 is underproducing due to unit(7E9C82CA) underproducing from 13:30 on 06/20 and reporting "external fan" fault.
2. Actual vs expected delta is showing 72% due to expected energy recording low possibly due to data glitch (similar event observe last 2 years).</t>
  </si>
  <si>
    <t>1.SR101786 , SR102902</t>
  </si>
  <si>
    <t>SR102902</t>
  </si>
  <si>
    <t>1.  Actual vs expected delta is showing 29% due to expected energy recording low possibly due to data glitch (similar event observe last 2 years).</t>
  </si>
  <si>
    <t>1.Module 1.0.90 (21772020-D8) No communication. 1.0.29 - 217E44D3-B6 - offline
2.  Actual vs expected delta is showing 36% due to expected energy recording low possibly due to data glitch (similar event observe last years).</t>
  </si>
  <si>
    <t>1.	SR093236</t>
  </si>
  <si>
    <t>1.Site stopped communicating from 03/25. On 03/27 Technician stated that main breaker tripped and malfunctioning. Site was back online on 08/28 at 16:00</t>
  </si>
  <si>
    <t>1.SR102532 , 	SR102532</t>
  </si>
  <si>
    <t>SR102532</t>
  </si>
  <si>
    <t>1. Actual vs Forcasted delta is showing 103% due to Forcasted energy recording low possibly due to data glitch (similar event observe last 2 years).</t>
  </si>
  <si>
    <t>1.Inverter 1 started late for production since 08/01. On 08/11  Technician with SolarEdge support troubleshot inverter 1 but it remained offline. Inverter is now being RMA'd</t>
  </si>
  <si>
    <t>1.SR105502</t>
  </si>
  <si>
    <t xml:space="preserve"> 1.Inverter 2, Unit 2.2 tripped offline on 08/01 at 15:30 EDT reporting low voltage and error status in SE. On 08/20 technician after swapping and pairing optimizer inverter 2 is producing as expected. Solaredge has also rmad an optimizer. And again Inverter 2 unit 2.2 is being offline during morning hours and started producing at mid-day from 08/25</t>
  </si>
  <si>
    <t>1.SR105544</t>
  </si>
  <si>
    <t>1. The meter has been capturing only 222 kW at peak, which suggests that two inverters may be offline. As there is no communication with the inverters, we are currently unable to confirm which specific units are affected.</t>
  </si>
  <si>
    <t>1. SR107329</t>
  </si>
  <si>
    <t xml:space="preserve"> 1.Inverter 1 left unit tripped offline at 14:00 on 08/12. It came back online on 08/18
2.Meter screen is blinking on and off and only showing the Elkor main screen. Meter is recording and reporting correctly from 08/13 . No action to be taken
3.  Actual vs expected delta is showing 26% due to expected energy recording low possibly due to data glitch (similar event observe last 2 years).</t>
  </si>
  <si>
    <t>1.SR106170
2.SR106173</t>
  </si>
  <si>
    <t>SR106173</t>
  </si>
  <si>
    <t xml:space="preserve">1. Optimizer 1.0.124 is offline. Will investigate combinely with other modules.
</t>
  </si>
  <si>
    <t>1.	SR095662</t>
  </si>
  <si>
    <t>1. Weather Station is showing erroneous (0 w/m^2) values at mid day from 07/20 at 09:30.</t>
  </si>
  <si>
    <t>1.SR105932</t>
  </si>
  <si>
    <t>1. Inverter 1 unit 1.2 is derating by 30kW since 07/15. On 08/08 Technicain  has replaced the faulty external fan in inverter unit 1.2 and it producing normally</t>
  </si>
  <si>
    <t>1. Inverter 1 right unit (Unit 1.7) is still experiencing multiple tripping events. Entire inverter 1 offline from 08/27 at 2:00</t>
  </si>
  <si>
    <t>1.SR105933</t>
  </si>
  <si>
    <t>1. Inverter 2 unit 2 tripped offline at 14:45 on 08/01 and reporting grid voltage. It producing normally from 08/11
2.Inverter 3 unit 3.3 tripped offline at 14:45 on 08/21 and reporting "Ground Current - RCD".  It came back online at 11:15 on 08/22 and also  Unit 3.3 is experiencing late starts every day since  08/27 . Followed up with SE</t>
  </si>
  <si>
    <t>1.SR105525
2.SR106721</t>
  </si>
  <si>
    <t>SR106721</t>
  </si>
  <si>
    <t xml:space="preserve">1.Inverter 1 is producing at its half production through out the month. 1 IGBT needs replacement to get inverter fully functional.
2.Inverter 5 tripped offline from 08/27 at 12:15 and it came back online at 14:00 on 08/29 </t>
  </si>
  <si>
    <t>1.SR104403
2.SR107039</t>
  </si>
  <si>
    <t>SR107039</t>
  </si>
  <si>
    <t>1.Inverter 2 is derating by 100kW during the peak hours, Possibly due to increase in Heatsink T temperature. On 08/14 inverters Fans verified operating normally
2. Meter was not communicated for whole month.</t>
  </si>
  <si>
    <t>1.SR105772
2. 	SR098641</t>
  </si>
  <si>
    <t>1. Site lost communication from 08/22 to end of the month.
2.Meter stopped communicating from 14:05 on 03/16 till date.</t>
  </si>
  <si>
    <t>1.	SR106726
2.SR098641</t>
  </si>
  <si>
    <t xml:space="preserve">1. Inverter 8 was back online at 10:40 on 08/11
2.Inverter 28 tripped offline at 13:55 on 08/16 and was back online at 08/21.
3.All inverters were experiencing multiple trippings due to fluctuatins in voltages since 07/29 and was resolved </t>
  </si>
  <si>
    <t>1.SR104724
2.SR106386
3.SR105002</t>
  </si>
  <si>
    <t>SR106386</t>
  </si>
  <si>
    <t>1. Meter was not communicated from 20:40 on 8/21 to end of the month.
2.Weather station lost communication from 07/15</t>
  </si>
  <si>
    <t>1. SR106732
2.SR106732</t>
  </si>
  <si>
    <t>SR106732</t>
  </si>
  <si>
    <t>1.Site tripped offline at 13:10 and was back online at 13:40 on 08/05.</t>
  </si>
  <si>
    <t>1.SR105660</t>
  </si>
  <si>
    <t>1.Inverters 2 tripped offline at 06:15 on 08/01 and is reporting "Ph. T Blower Fault"and was back online at 10:25 on 04/08,again tripped offline at 06:15 on 08/05 and was back online at 10:35 on 08/06.</t>
  </si>
  <si>
    <t>1.SR105475</t>
  </si>
  <si>
    <t>1.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</si>
  <si>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1.SR093024</t>
  </si>
  <si>
    <t>1.Inverter 2 was offline at 06:25 on 08/22 and was back online at 11:30 on 08/22
2.2.Inverter 1 was derating by 60kw during peak hours throughout the month.</t>
  </si>
  <si>
    <t>1.SR106735
2.SR105776</t>
  </si>
  <si>
    <t>SR105776</t>
  </si>
  <si>
    <t xml:space="preserve">1.Inverter 1 was underperforming by 100kw  , inverter 2 by 60kw and inverter 3 by 50kw during peak hours through out the month
</t>
  </si>
  <si>
    <t xml:space="preserve">1.SR105777
</t>
  </si>
  <si>
    <t>1. Trackers A01,5-7,10: B17-23,D19-23,29: F19-23,27,33:G13-14 were stuck. Further troubleshooting is required</t>
  </si>
  <si>
    <t>1.SR095253,SR098877</t>
  </si>
  <si>
    <t>1.Inverter 1 was underperforming by 100kw, inverter 2 by 50kw, inverter 3 by 120kw and was back to normal on 08/21.
2.Trackers 6,14 15 were struck throughout the month.</t>
  </si>
  <si>
    <t>1.SR105778
2.SR106622</t>
  </si>
  <si>
    <t>SR106622</t>
  </si>
  <si>
    <t>1.Site tripped offline at 03:15 on 08/31 and meter voltages were dropped to 0
2.Inverters 3 &amp;4 were experiencing multiple trippings from 11:00 on 08/27 and were back to normal on 08/28.
3.44 trackers were currently struck . Further troubleshooting required.
4.Inverter 1 was derating by 70kw and inverter 3 is derating by 120kw due to inverter internal temperature throughout the month.</t>
  </si>
  <si>
    <t>1.SR107254
2.SR107042
3.SR106503
4.SR1057754</t>
  </si>
  <si>
    <t>SR107042</t>
  </si>
  <si>
    <t>SR106503</t>
  </si>
  <si>
    <t>SR105775</t>
  </si>
  <si>
    <t>1.Inverter 32 was tripped offline at 14:15 on 08/09 and back at 08:45 on 08/13, again tripped offline at 14:15 on 08/18 and was back at 11:00 on 08/20 ,again tripped offline at 12:45pm on 08/31 reporting "Grid voltage out of range" .
2.Inverter 36 tripped offline at 13:30 on 08/28 and reporting "Bus Imbalance - Protect0070".
3. Inverter 9 was offline on multiple days of the month and reporting "Grid Line Voltage Out of Range - GridV.OutLim".
4. Inverter 29 tripped offline at 14:15 on 08/15 and was back online at 11:00 on 08/20 ,again tripped offline at 01:50pm on 08/22.  reporting "Grid Phase Voltage Out of Range - GridV.OutLim" .
5.Inverters 28 was frequently trippping on and off and was completely tripped offline at 01:30pm  on 08/21 reporting"Grid Phase Voltage Out of Range - GridV.OutL"
6.Inverter 23 tripped offline at 14:45 on 08/11 and reporting Grid Line Voltage Out of Range - GridV.OutLim and was back online at 08:45 on 08/13
7. Inverter 5 tripped offline at 14:00 on 08/08 and reporting "Grid Line Voltage Out of Range - GridV.OutLim"and was back online at 13:15 on 08/13
8.Inverter 30 was tripped offline at 14:15 on 08/01 was back online at 08:45 on 08/13, again tripped offline at 11:45 on 08/15 and was back online at 11:00 on 08/20.
9.Inverter 3 powerhead was swapped and issue was resolved on 08/13.From then on,inverter was back online and producing.</t>
  </si>
  <si>
    <t>1.SR107253,SR105960,SR106340
2.SR107147
3.SR106786,SR105526,SR106340
4.SR106755,SR106340
5.SR106662,SR106271
6.SR106031
7.SR105923
8.SR106340
9.SR105423</t>
  </si>
  <si>
    <t>SR105960</t>
  </si>
  <si>
    <t>SR106340</t>
  </si>
  <si>
    <t>SR107147</t>
  </si>
  <si>
    <t>SR106786</t>
  </si>
  <si>
    <t>SR105526</t>
  </si>
  <si>
    <t>SR106755</t>
  </si>
  <si>
    <t>SR106662</t>
  </si>
  <si>
    <t>SR106271</t>
  </si>
  <si>
    <t>SR106031</t>
  </si>
  <si>
    <t>SR105923</t>
  </si>
  <si>
    <t>SR105423</t>
  </si>
  <si>
    <t>1. Inverter 2 was offline from 08:45 to 11:30 on 08/21.</t>
  </si>
  <si>
    <t>1. SR105799</t>
  </si>
  <si>
    <t>1. The site tripped offline at 15:50 on 08/13 and came back online at 09:30 on 08/14.</t>
  </si>
  <si>
    <t>1. SR106209</t>
  </si>
  <si>
    <t>1. SR099347, SR101820, SR103655</t>
  </si>
  <si>
    <t xml:space="preserve">1. The site went offline at 02:00 on 08/08 and came back online at 10:25 on 08/10.
2. The site went offline at 02:00 on 08/12 and came back online at 09:50 on 08/13.
3. The site went offline at 02:00 on 08/26 and came back online at 08:50 on 08/27. It went offline again at 16:50 on 08/28 and has remained offline since then.
</t>
  </si>
  <si>
    <t>1. SR105915
2. SR106037
3. SR106926</t>
  </si>
  <si>
    <t>SR106037</t>
  </si>
  <si>
    <t>SR106926</t>
  </si>
  <si>
    <t>1. Inverter 1 is derating by 140 kW and Inverter 4 by 70 kW during peak hours throughout the month.
2. Inverters 1 and 2 were taken offline from 09:45 to 12:45 on 08/01 while a technician was on site working on CB11. Both the positive and negative feeder 11 wires were relocated to the spare terminal on the DC switch due to damage at the original terminal.</t>
  </si>
  <si>
    <t>1. SR105775
2. SR104674</t>
  </si>
  <si>
    <t>SR104674</t>
  </si>
  <si>
    <t>1. The site tripped offline at 18:00 on 08/03 and came back online at 16:20 on 08/05.</t>
  </si>
  <si>
    <t>1. SR105048</t>
  </si>
  <si>
    <t>1. The site tripped offline at 18:00 on 08/03 and came back online at 16:20 on 08/05.
2. The meter is reporting erroneous values for both power and current.
3.The POA Pyranometer Up has been reporting 0 W/m² since 08/18</t>
  </si>
  <si>
    <t>1. SR105049
2. SR106574
3.SR105649</t>
  </si>
  <si>
    <t>SR106574</t>
  </si>
  <si>
    <t>SR105649</t>
  </si>
  <si>
    <t>1. The site was offline from 11:05 to 13:30 on 08/13.
2. The site was offline from 07:20 to 10:50 and from 16:15 to 17:55 on 08/26.
3.  Inverter 1 has been derating at 1343 kW since 08/17.</t>
  </si>
  <si>
    <t>1. SR106194
2. SR106923
3. SR107234</t>
  </si>
  <si>
    <t>SR106923</t>
  </si>
  <si>
    <t>SR107234</t>
  </si>
  <si>
    <t>1. The site was offline from 07:20 to 10:50 and from 16:15 to 17:55 on 08/26.
2. Inverter 1 has been derating at 1343 kW since 08/17.
3. The site was offline from 11:05 to 13:30 on 08/13.</t>
  </si>
  <si>
    <t>1. SR106924
2. SR107236
3. SR106195</t>
  </si>
  <si>
    <t>SR107236</t>
  </si>
  <si>
    <t>SR106195</t>
  </si>
  <si>
    <t>1. The site was offline from 11:05 to 13:30 on 08/13.
2. The inverter was offline on 08/25 and came back online at 15:05 on the same day, but strings 4 and 5 remain offline, and 2 Y-connectors along with repair wires need to be replaced.</t>
  </si>
  <si>
    <t>1. SR106192
2. SR106797, SR107188</t>
  </si>
  <si>
    <t>SR106797</t>
  </si>
  <si>
    <t>SR107188</t>
  </si>
  <si>
    <t>1. The site was offline from 11:05 to 13:30 on 08/13.
2. The site was offline from 07:20 to 17:55 on 08/26.</t>
  </si>
  <si>
    <t>1. SR106193
2. SR106920</t>
  </si>
  <si>
    <t>SR106920</t>
  </si>
  <si>
    <t>1. The site tripped offline at 18:35 on 08/05 and came back online on 08/06.</t>
  </si>
  <si>
    <t>1. SR105728</t>
  </si>
  <si>
    <t>1. Inverters 1 and 2 were offline from 07/14. Inverter 2 came back online at 14:40 on 08/08, and Inverter 1 came back online at 11:30 on 08/12.
2. The site went offline at 15:40 on 08/06 and came back online at 14:10 on 08/08.
3. The site tripped offline at 09:55 on 08/21 and came back online at 10:00 on 08/22.
4. Inverter 1 has been offline since 08/25.
5. The site tripped offline at 10:45 on 08/26 and came back online at 14:55 on the same day.</t>
  </si>
  <si>
    <t>1. SR104383
2. SR105857
3. SR106643
4. SR106843
5. SR106934</t>
  </si>
  <si>
    <t>SR105857</t>
  </si>
  <si>
    <t>SR106643</t>
  </si>
  <si>
    <t>SR106843</t>
  </si>
  <si>
    <t>SR106934</t>
  </si>
  <si>
    <t>1. Trackers 1 through 49 have been stuck since 07/28.</t>
  </si>
  <si>
    <t>1. SR105180</t>
  </si>
  <si>
    <t>1. Inverter 2 started production late on 08/01, 08/02, 08/04, 08/05, 08/06, and 08/07 due to a ground fault.
2. Inverter 2 was offline from 14:50 on 08/25 and came back online at 09:35 on 08/27.
3. Inverter 1 tripped offline at 15:00 on 08/28 due to "Overall Work STOP" and came back online at 17:30 on 08/29.</t>
  </si>
  <si>
    <t>1. SR105779
2. SR106925, SR107064
3. SR107142</t>
  </si>
  <si>
    <t>SR106925</t>
  </si>
  <si>
    <t>SR107064</t>
  </si>
  <si>
    <t>SR107142</t>
  </si>
  <si>
    <t>1. Trackers 156, 158, 159, and 161 have been stuck since 08/09, and tracker 16 has been stuck since 08/18.</t>
  </si>
  <si>
    <t>1. SR105938</t>
  </si>
  <si>
    <t>1. Tracker 169 is stuck from 07/17</t>
  </si>
  <si>
    <t>1. The site tripped offline at 14:10 on 07/31 due to the SEL relay being in an open state. The relay was closed at 16:10 on 07/31, but the site remained offline and later came back online at 12:05 on 08/01.
2. The site went offline at 09:30 on 08/18 and later came back online at 15:00 on 08/27.</t>
  </si>
  <si>
    <t>1. SR105450
2. SR106428, SR106658</t>
  </si>
  <si>
    <t>SR106428</t>
  </si>
  <si>
    <t>SR106658</t>
  </si>
  <si>
    <t>1. Inverter tripped offline at 14:10 on 08/03 due to "STOP" and came back online at 17:10 on the same day after a remote reset.</t>
  </si>
  <si>
    <t>1. SR104691</t>
  </si>
  <si>
    <t>1. Trackers 23, 24, 33, 37, and 72 through 151 have been stuck since 06/02</t>
  </si>
  <si>
    <t>1. SR102328</t>
  </si>
  <si>
    <t>1. Inverter 2 tripped offline at 09:40 on 08/01 due to a ground fault and came back online at 12:35 by remote reset; tripped offline again at 10:45 on 08/02 due to a ground fault and came back online at 16:30 by remote reset; tripped offline at 08:25 on 08/03 and came back online at 10:40 by remote reset; tripped offline at 12:45 on 08/03 due to the AC breaker being in the open state and came back online at 15:35; tripped offline at 09:40 on 08/06 due to the AC breaker being in the open state and came back online at 12:40 by remote reset; and tripped offline again at 09:20 on 08/07 due to the AC breaker being in the open state and came back online at 15:15 by remote reset.
2. Inverter 1 tripped offline at 16:20 on 08/22 due to the AC breaker being in the open state and later came back online at 18:30 by remote reset.</t>
  </si>
  <si>
    <t>1. SR105474
2. SR106767</t>
  </si>
  <si>
    <t>SR106767</t>
  </si>
  <si>
    <t>1. The site tripped offline at 18:30 on 08/23 due to the SEL relay being open and later came back online at 13:05 on 08/29.</t>
  </si>
  <si>
    <t>1. SR106794</t>
  </si>
  <si>
    <t xml:space="preserve">1. NCU1 tracker 10 was stuck from 07/07 and resumed tracking from 08/18. </t>
  </si>
  <si>
    <t>1. SR104075</t>
  </si>
  <si>
    <t>1. Inverter 1 was offline from 16:40 on 05/26 due to the AC breaker being in an "Open" state and came back online at 13:00 on 08/27 after the inverter was re-energized.
2. tracker NCU3 1041 was stuck on 08/12 and later resumed tracking from 08/21 and tracker NCU4 1056 was stuck from 08/15.</t>
  </si>
  <si>
    <t>1. SR105283
2. SR106058</t>
  </si>
  <si>
    <t>SR106058</t>
  </si>
  <si>
    <t>1. The inverter was offline from 06/28 because the AC breaker switch was in the "Open" state and later came back online at 15:10 on 08/06.</t>
  </si>
  <si>
    <t>1. The site has been offline since 06:20 on 08/10 due to a transformer failure.</t>
  </si>
  <si>
    <t>1. SR105964, SR106921</t>
  </si>
  <si>
    <t>SR106921</t>
  </si>
  <si>
    <t xml:space="preserve">1. The site went offline at 19:03 on 08/04 and was brought back online at 08:12 on 08/05 via a remote reset. It experienced further outages from 18:44 on 08/07 to 09:45 on 08/08, then again from 19:00 on 08/08 to 11:45 on 08/09, and once more from 19:00 on 08/09 to 07:00 on 08/10. Another outage occurred from 19:30 on 08/17 to 12:30 on 08/18, followed by one from 10:25 on 08/18 to 02:10 on 08/19. The site was also offline from 11:30 to 15:00 on 08/25, and again from 10:30 to 16:20 on 08/26.
2. Inverter 1, module 4 went offline at 11:50 on 08/11 and later came back online at 12:25 on 08/13. Again module 4 was offline from 09:30 on 08/21 to 16:15 on 08/26.
3. Inverter 1, module 2 went offline at 15:40 on 08/12 and later came back online at 12:25 on 08/13.
</t>
  </si>
  <si>
    <t>1. SR105637, 	SR106985, SR105305
2. SR106002
3. SR106164</t>
  </si>
  <si>
    <t>SR106985</t>
  </si>
  <si>
    <t>SR105305</t>
  </si>
  <si>
    <t>SR106002</t>
  </si>
  <si>
    <t>SR106164</t>
  </si>
  <si>
    <t>1. Fourteen trackers have been stuck since 04/11: NCU1 SPC 111, 112, 118, 205, 305, 307, 310, 311, and NCU2 SPC 125, 126, 136, 242, 338, 341. Actuator replacement is required.</t>
  </si>
  <si>
    <t>1. SR099686</t>
  </si>
  <si>
    <t>1. Fifteen trackers have been stuck since 03/21: NCU1 SPC 101, 206, 218, 314, and NCU2 SPC 118, 128, 230, 234, 321, 323, 333, 334, 336, 337, 343.</t>
  </si>
  <si>
    <t>1. Nineteen trackers have been stuck throughout the month: NCU1 SPC 115–127 and NCU2 SPC 216, 220, 230, 240, 253, 329, and 338. Additional troubleshooting is required as the terminal blocks need to be replaced.
2. Inverter 1 offline from 07/01  is reporting the AC breaker state as OPEN. Inverter 1 to be RMA'ed and remain offline through out the month.</t>
  </si>
  <si>
    <t>1. SR097454
2. SR106501, SR103824</t>
  </si>
  <si>
    <t>SR106501</t>
  </si>
  <si>
    <t>SR103824</t>
  </si>
  <si>
    <t>1. Site was offline at 17:35 on 07/18. Site came back online at 11:35 on 08/28</t>
  </si>
  <si>
    <t>1.SR104633</t>
  </si>
  <si>
    <t>1.Inverter tripped offline at 17:06 on 08/02 and it came back online at 08:30 on 08/04 
2.Site tripped offline from 13:35 to 15:00 on 08/13. And again tripped offline from 08/14 at 19:00 and came back online at 15:53 on 08/14
3.Site tripped offline from 06:27 to 10:09 on 08/18
4. Site was taken offline from 09:30 to 14:26 on 08/19 due to utility to perform some emergency repair works.
5.Inverter tripped offline from 09:30 to 13:29 on 08/27</t>
  </si>
  <si>
    <t>1.SR105543
2.SR106211
3.SR106418
4.SR106495
5.	SR107013</t>
  </si>
  <si>
    <t>SR106211</t>
  </si>
  <si>
    <t>SR106418</t>
  </si>
  <si>
    <t>SR106495</t>
  </si>
  <si>
    <t>SR107013</t>
  </si>
  <si>
    <t>1.Inverter 1 tripped offline on 08/22 at 17:00 and reporting "Error" and it came back online at 10:00 on 08/23, and also CB 8 offline from ground fault from 08/23 and it came back online at 11:30 on 08/27</t>
  </si>
  <si>
    <t>1.SR106766</t>
  </si>
  <si>
    <t>1.Site offline from 08:30 on 08/10 and it came back online at 17:30 on 08/12</t>
  </si>
  <si>
    <t>1.SR105304</t>
  </si>
  <si>
    <t>1.	SR105307</t>
  </si>
  <si>
    <t xml:space="preserve">1.- Inverter 2 unit 1 (7E9B4E78) tripped offline at 14:15 on 08/06 and reporting "Grid voltage". On 08/11 Inveretr AC fuse replaced, inverter is producing normally.
</t>
  </si>
  <si>
    <t>1.SR105865</t>
  </si>
  <si>
    <t>1. Inverter 1 On 06/30 at 14:15, Inverter 1 tripped offline. Parts are being RMAd, including Inverter 1 Unit 1.4. On 08/14 at 13:15, Inverter 1 Unit 1.4 tripped offline again. On 08/21, the inverter was producing normally. On 08/26 at 14:30, Inverter 1 tripped offline once more, reporting "3 Phase Possible Arc Detection". On 08/27, the inverter was reset, and all powerheads resumed normal production.
2.Inverter 3 center unit 3.1 tripped offline at 14:00 on 08/09. On 08/11 terminated DC homeruns and inverter is producing normally. Inverter 3 center 3.1 unit tripped offline at 13:00 on 08/24 and reporting "3 Phase Possible Arc Detection"</t>
  </si>
  <si>
    <t>1.	SR103710
2.SR103871</t>
  </si>
  <si>
    <t>1.SR103361</t>
  </si>
  <si>
    <t>1.Inverter 2, Unit 2.1 did not start for production on 08/19.</t>
  </si>
  <si>
    <t>1.SR106530</t>
  </si>
  <si>
    <t>1.Inverter 3 and   unit 3.1 tripped offline  at 13:45 on 06/29 and has been offline since then.
2.Inverter 1 unit 1.1 tripped offline at 16:30 on 08/06.  Inverter 1 unit 1.2 tripped offline at 12:45 on 08/09. On 08/22  inveretr 1 center and left unit.  Units were reenergized and have been operating normally.
3.Inveretr 2 center is offline from 08/14. On 08/22 Inveretr 2 left unit swapped optimizer and isolated string 2 to reenergize.  Center unit reenergized.
4. Inverter 2 tripped offline at 13:15 and reporting "Fault". On 08/22  technician swapped optimizers and reenergized inverter 1 left and center units, inverter 2 left and center units, and inverter 3 center unit. Strings were isolated in inverter 2 left unit and inverter 3 left unit.</t>
  </si>
  <si>
    <t>1.SR103641
2.SR105731
3.	SR105732
4.	SR106387</t>
  </si>
  <si>
    <t>SR105731</t>
  </si>
  <si>
    <t>SR105732</t>
  </si>
  <si>
    <t>SR106387</t>
  </si>
  <si>
    <t>1.	SR103246</t>
  </si>
  <si>
    <t>1.Inverter 1 underperforming by 100 kW
   Inverter 2 underperforming by 5 kW
   Inverter 7 underperforming by 15 kW
   Inverter 8 underperforming by 37 kW
Trackers have not communicated since 04/23 due to storm damage; EPC is working on partial energization, with trackers in stow and inverters expected to be derated.
2.Site tripped offline on 08/19 at 10:45 due to  Casey Electric is onsite doing work on the Mian Transformer.  Site came back online at 8:15 on 08/20</t>
  </si>
  <si>
    <t>1.SR100220
2.	SR106493</t>
  </si>
  <si>
    <t>SR106493</t>
  </si>
  <si>
    <t>1.Inverters 7, 12 &amp; 14 has stopped communicating from 08/27, production cannot be verified at meter level.</t>
  </si>
  <si>
    <t>1.	SR107059</t>
  </si>
  <si>
    <t>1.Trackers 1 and 55 are stuck at 15degrees from 19:00CDT on 08/05.
2.Inverter 11 offline from 08/19 and it being RMAD
3. Inverter 6 tripped offline at 14:45 on 08/26. Inverter came back online at 13:15 on 08/27</t>
  </si>
  <si>
    <t>1.	SR105922
2.SR106486
3.	SR106986</t>
  </si>
  <si>
    <t>SR106486</t>
  </si>
  <si>
    <t>SR106986</t>
  </si>
  <si>
    <t>1. Inverter 1 has been underperforming by 13 kW due to a 'Fault' since 07/11.
2.Inverters were offline from 09:00 to 09:45 on 08/27. Inverter 3 came back online at 11:00.</t>
  </si>
  <si>
    <t>1.SR104292
2.SR107019</t>
  </si>
  <si>
    <t>SR107019</t>
  </si>
  <si>
    <t>1.Site offline from 08:50 on 08/21 and it came back online on 08/22 at 11:00</t>
  </si>
  <si>
    <t>1.SR106630</t>
  </si>
  <si>
    <t>1.Meter 2 was not capturing the actual production of Inverter 2, resulting in a deviation of approximately 700 to 900 kW in the overall meter production. Throughout the month of July, voltage drops were observed on Phases 2-3 and 3-1, while Phase 3 currents increased. Meter 2 resumed accurately capturing production data as of 08/12</t>
  </si>
  <si>
    <t>1.SR105531</t>
  </si>
  <si>
    <t>1.All trackers have been stuck at 0.99 degrees since 05/07.
2.Casey Electric checked in for punch list items.  They will deenergize equipment from 19:41 to 19:51 on 08/19 to work with the transformer. The checked out.
3.Site taken offline from 09:15 to 15:15 due to EPC is replacing a board in DAS cabinet.</t>
  </si>
  <si>
    <t>1.	SR101228
2.SR106480
3.SR106626</t>
  </si>
  <si>
    <t>SR106480</t>
  </si>
  <si>
    <t>SR106626</t>
  </si>
  <si>
    <t>1. Tracker T02.E.57 ,  Tracker B05 &amp; 17 are offline.
2.- Site tripped offline at 10:30 from 07/31 and it came back online at 10:00 on 08/01
3.Inverter 2 offline from 08/02 and it came back online at 14:25 on 08/04</t>
  </si>
  <si>
    <t>1.SR105354
2.SR105433
3.	SR105530</t>
  </si>
  <si>
    <t>SR105433</t>
  </si>
  <si>
    <t>SR105530</t>
  </si>
  <si>
    <t>1.Site tripped offline from 18:15 to 19:15 on 08/18 and reporting " Fault Grid Phase Voltage Out of Range - GridV.OutLim"</t>
  </si>
  <si>
    <t>1.SR106471</t>
  </si>
  <si>
    <t>1. Trackers 8, 9, 11, 42, 43, 109 &amp; 110 are deviating. Will investigate next time from 08/06</t>
  </si>
  <si>
    <t>1.SR105284</t>
  </si>
  <si>
    <t>1.Site offline from 08/21 at 08:45 due to planned outage and it came back online at 13:35 on 08/22</t>
  </si>
  <si>
    <t>1.	SR106448</t>
  </si>
  <si>
    <t>1. Inverter tripped offline at 16:05 on 08/06 and it came back online at 11:45 on 08/08
2.Site tripped offline at 17:45 on 08/22 and it came back online at 12:20 on 08/25</t>
  </si>
  <si>
    <t>1.SR105769
2.	SR106769</t>
  </si>
  <si>
    <t>SR106769</t>
  </si>
  <si>
    <t>1.Site expired in AE on 08/31</t>
  </si>
  <si>
    <t>1. Meter voltages dropped to zero at 03:30 on 08/30.
2. Inverter 2 tripped offline 15:30 on 08/31.</t>
  </si>
  <si>
    <t>1. SR100771
2. SR107263</t>
  </si>
  <si>
    <t>SR107263</t>
  </si>
  <si>
    <t>1. The site tripped offline at 11:30 on 08/22 and back online at 12:45 on 08/24.
2. The site tripped offline at 05:45 on 08/25 and came back online at 08:15 on 08/27.
3. The site tripped offline at 05:15 on 08/30 and came back online at 07:45 on 08/30.</t>
  </si>
  <si>
    <t>1. SR106749
2. SR106773
3. SR107225</t>
  </si>
  <si>
    <t>SR106773</t>
  </si>
  <si>
    <t>SR107225</t>
  </si>
  <si>
    <t>1. The site has been offline since 08:30 on 08/31.</t>
  </si>
  <si>
    <t>1. SR107245</t>
  </si>
  <si>
    <t>September Actual v. Expected</t>
  </si>
  <si>
    <t>September Actual v. Forecasted</t>
  </si>
  <si>
    <t>1. Meter B phase currents dropped to Zero whole month. Need to replace CT</t>
  </si>
  <si>
    <t>1. SR107464</t>
  </si>
  <si>
    <t>1. Inverter 3 has been underproducing by 12 kW since 12:45 on 09/11, as unit 3.1 (right unit) is underproducing.
2.Estimated values are low in AE we have also verified the file which was given by GC</t>
  </si>
  <si>
    <t>1. SR108295</t>
  </si>
  <si>
    <t>1. 96 optimizers are down for site construction. GenC says EPC is remapping, appears complete on 09/17</t>
  </si>
  <si>
    <t xml:space="preserve">1.3 optimizers are offline: 2.0.160, 3.0.17, 3.0.33 </t>
  </si>
  <si>
    <t>1.SR095666</t>
  </si>
  <si>
    <t>1. SR093633
2. SR093292</t>
  </si>
  <si>
    <t xml:space="preserve">	23,678.5</t>
  </si>
  <si>
    <t>1. Inverter 2, unit 2.2, was offline for multiple days and came back online at 09:30 on 09/18.
2. 26 optimizers are down for roof repair.
3. Weather station stopped communicating since 06/14/24.
4. Meter was reading inaccurate Valuses for whole month likely bad CT.</t>
  </si>
  <si>
    <t>1. SR104856
2. SR093924
3. SR086842
4. SR103245</t>
  </si>
  <si>
    <t>SR093924</t>
  </si>
  <si>
    <t>1. Inverter 7, unit 7.1, was offline from 11:15 on 08/27 and came back online at 10:15 on 09/19.
2. Inverter 8, unit 8.3, was offline from 12:45 on 08/30 and came back online at 11:15 on 09/05.
3. Inverter 11 (left unit) was offline since 04/18 and came back online at 09:45 on 09/19.</t>
  </si>
  <si>
    <t>1. SR108228
2. SR107240
3. SR101786 SR102902</t>
  </si>
  <si>
    <t>SR107240</t>
  </si>
  <si>
    <t>SR101786</t>
  </si>
  <si>
    <t>1. SR102672</t>
  </si>
  <si>
    <t>1.Module 1.0.90 (21772020-D8) No communication. 1.0.29 - 217E44D3-B6 - offline
2.Actual vs expected delta is showing 36% due to expected energy recording low possibly due to data glitch (similar event observe last years).</t>
  </si>
  <si>
    <t>1.Inverter unit 1.2 has been underperforming by approx 20kW since the site was re-energized on 8/27.</t>
  </si>
  <si>
    <t>1.SR107361</t>
  </si>
  <si>
    <t xml:space="preserve">1. Home run Solar shut off the site at 08:30am on 09/22 to perform roof repairs. </t>
  </si>
  <si>
    <t>1.SR102529</t>
  </si>
  <si>
    <t>1.SR088282</t>
  </si>
  <si>
    <t>1. Inverter 1 is back online at 10:45am on 09/11</t>
  </si>
  <si>
    <t>1.Inverter 2 unit 2.3 was offline from 10:15 on 09/29 to end of the month</t>
  </si>
  <si>
    <t>1.SR108939</t>
  </si>
  <si>
    <t>1. Inverter 2 unit 2.2 is being offline during morning hours and started producing at mid-day from 08/25 and mostly offline for whole day and self resolving for the next couple of days.</t>
  </si>
  <si>
    <t>1.Inverter 3 unit 3.3 tripped offline at 12:00PM on 08/30.
2.4 Inverter modules are offline. Will investigate next time on site. Module 1.0.64 Module 4.0.39 , 3.0.20 ,1.0.64</t>
  </si>
  <si>
    <t>1.SR107242
2.SR093324</t>
  </si>
  <si>
    <t>SR093324</t>
  </si>
  <si>
    <t>1.The meter has been capturing only 222 kW at peak since 14:15 on 08/13, later inverter 2 is back online at 11:15 on 09/12</t>
  </si>
  <si>
    <t>1.SR107329</t>
  </si>
  <si>
    <t>1.Actual vs expected delta is showing 26% due to expected energy recording low possibly due to data glitch (similar event observe last 2 years)</t>
  </si>
  <si>
    <t>1. Optimizers Module 1.2.4  , Module 2.2.18 , Module 2.3.11 , Module 3.1.16 ,  Module 6.1.5 ,  Module 7.1.4 , Module 7.3.17 ,  Module 9.1.16 ,Module 10.3.3 , 8.0.27 are offline. Pending troubleshooting.
2.Inverter 10 was underproducing by approximately 10kW on 08/28 as string 10.1 was offline.On 09/10 inverter 10 is being RMA'd</t>
  </si>
  <si>
    <t>1.SR093326
2.SR107164</t>
  </si>
  <si>
    <t>SR107164</t>
  </si>
  <si>
    <t>1.Inverter modules 3.0.144 and 5.0.100 are offline 4.0.66 - 30513B3F-FB - half production because split between 4 modules</t>
  </si>
  <si>
    <t>1.SR093327</t>
  </si>
  <si>
    <t>1.Inverter 1 having morning shading issue</t>
  </si>
  <si>
    <t>1.During peak hours, the Plane of Array (POA) and GHI values we’re receiving from the site are unusually low, while the other parameters are within expected ranges from 07/20 at 09:30. This suggests there may be an issue with the Pyranometer sensor at the site, as the settings on the PowerTrack appear to be configured correctly. I recommend sending a technician to the site to investigate and resolve this issue.
2. 6 modules are offline: Module 1.2.1 Module 1.2.13 Module 1.2.14 Module 1.11.5 Module 2.1.12 Module 2.1.16
3.Weather Station is showing erroneous (0 w/m^2) values at mid day from 07/20 at 09:30.</t>
  </si>
  <si>
    <t>1.SR105932
2.SR098241
3.	SR105932</t>
  </si>
  <si>
    <t>SR098241</t>
  </si>
  <si>
    <t>SR105932</t>
  </si>
  <si>
    <t>1.Inverter 1 unit 1.3 having morning shading issue and inverter 2 having evening shading issues</t>
  </si>
  <si>
    <t>1. Inverter 1, unit 1.7(Right unit) tripped offline at 10:00 on 09/13.
2. Inverter 1 tripped offline at 12:00 on 08/27, later back online at 13:30 on 09/11</t>
  </si>
  <si>
    <t>1.SR107934
2.SR105933</t>
  </si>
  <si>
    <t>SR105933</t>
  </si>
  <si>
    <t>1.Inverter 3 Unit 3.3 is experiencing late starts every day, later Inverter has not experienced any issues since 9/13</t>
  </si>
  <si>
    <t>1.SR106721</t>
  </si>
  <si>
    <t>1.Inverter 5 tripped offline at 13:45 on 09/15, later technician troubleshooted the inverter and it was back online at 14:45 but modules 2 &amp; 3 are kept offline.
2.Inverter 1 is producing at its half production through out the month. 1 IGBT needs replacement to get inverter fully functional.</t>
  </si>
  <si>
    <t>1.SR108007, SR108411
2.SR104403</t>
  </si>
  <si>
    <t>SR108411</t>
  </si>
  <si>
    <t>SR104403</t>
  </si>
  <si>
    <t>1. Meter was not communicated for whole month.</t>
  </si>
  <si>
    <t>1. Site lost communication from 08/22, technician confirmed that the site is online onsite. GPM is shipping the equipment.</t>
  </si>
  <si>
    <t>1.SR106726</t>
  </si>
  <si>
    <t>1. The meter is showing a phase voltage imbalance of ~130V. Phases A &amp; B are reading 270V and phase 3 is ~140V but is occasionally in-line with the other phases. Inverter voltage normal from 09/09.</t>
  </si>
  <si>
    <t>1.SR107702</t>
  </si>
  <si>
    <t>1.Weather station lost communication from 07/15
2. Inverters filters has been replaced on 09/03.</t>
  </si>
  <si>
    <t>1.SR107603
2.SR107011</t>
  </si>
  <si>
    <t>SR107011</t>
  </si>
  <si>
    <t>1.Inverter 2 did not start for production on 09/23, later back online at 11:10 on 09/24
2.Expected energy values are reporting very low. Created a case #66639 with GPM, As per GPM the BOM has been frozen from 02/27.</t>
  </si>
  <si>
    <t>1.SR108390
2.SR099403</t>
  </si>
  <si>
    <t>1.Inverter 2 having shading issue</t>
  </si>
  <si>
    <t>1. Site was offline from 08:40 to 10:55 on 09/10 due to planned outage.</t>
  </si>
  <si>
    <t>1.SR107750</t>
  </si>
  <si>
    <t>1. Site was offline from 08:40 to 10:55 on 09/10 due to planned outage.
2.The energy meter at Washington 3 is showing an issue with C-phase PT where the voltage measurement is drifting from 07/24, later site remain offline from 12:15 on 09/23 due to inverter to XFMR busbars had thermal damage and need to be replaced
3. Site was offline from 05:20am to 15:30 on 09/05
4.POA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</si>
  <si>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1.SR107751
2.SR105816
3.SR107490
4.SR093024</t>
  </si>
  <si>
    <t>SR105816</t>
  </si>
  <si>
    <t>SR107490</t>
  </si>
  <si>
    <t>1. Site was offline from 08:40 to 10:55 on 09/10 due to planned outage.
2. Site was offline from 05:20am to 15:30 on 09/05
3.Site lost communication at 12:15 on 09/24, possibly offline.</t>
  </si>
  <si>
    <t>1.SR107758
2.SR107491
3.SR108045</t>
  </si>
  <si>
    <t>SR107491</t>
  </si>
  <si>
    <t>SR108045</t>
  </si>
  <si>
    <t>1. Site tripped offline at14:05 on 09/10, later back online at 08:00 on 09/11</t>
  </si>
  <si>
    <t>1.SR107780</t>
  </si>
  <si>
    <t>1. Inverter 4 has been experiencing multiple trip events on 09/19 and back to normal production on 09/20.</t>
  </si>
  <si>
    <t>1.SR108277</t>
  </si>
  <si>
    <t>1.site tripped offline at 10:05am on 09/24 and back online at 14:30 on 09/24
2.All trackers are stuck from 1PM on 09/04</t>
  </si>
  <si>
    <t>1.SR108456
2.SR107506</t>
  </si>
  <si>
    <t>SR107506</t>
  </si>
  <si>
    <t>1.site tripped offline at 2:30PM on 09/24
2. 7-8 trackers were struck throughout the month.</t>
  </si>
  <si>
    <t>1.SR108486
2.SR106622</t>
  </si>
  <si>
    <t>1. Site is back online at 11:00 on 09/01.
2.Site tripped offline from 8:20AM to 18:30 on 09/17 due to utility outage.
3.44 trackers were struck through out the month. Further troubleshooting required.
4.Inverter 1 was derating by 70kw and inverter 3 is derating by 120kw due to inverter internal temperature throughout the month.</t>
  </si>
  <si>
    <t>1.SR107254
2.SR108118
3.SR106503
4.SR105774</t>
  </si>
  <si>
    <t>SR108118</t>
  </si>
  <si>
    <t>SR105774</t>
  </si>
  <si>
    <t xml:space="preserve">1. Inverter 30 tripped offline at 15:00 on 09/01 and back online at 09:45 on 09/03
2.Inverter 33 tripped offline at 11:45 on 09/20 and later back online at 11:00 on 09/21
3. Inverter 23 tripped offline at 14:00 on 09/02 and later back online at 09:13 on 09/03
4.Inverter 19 has been RMA'd from 09/15
5. Inverter 28 is back online at 08:00 and again tripped offline at 13:00 on 09/03
6.Inverter 29 is back online at 08:00 and again tripped offline at 15:00 on 09/03 and back online at 09:00 on 09/08
7. Inverter 29 tripped offline at 14:00 on 09/09 and back online at 10:00 on 09/21
8. Inverter 28 &amp; 30 have tripped offline on 09/08 and back online on 09/21
9.inverter 9 has derated to 100kW from 08/31
10. Inverter 9 is back online at 09:00 on 09/03
11.Inverter 9 tripped offline at 10:45 on 09/15 </t>
  </si>
  <si>
    <t>1.SR107267
2.SR108310
3.SR107323
4.SR108010
5.SR106662
6.SR106755
7.SR107706
8.SR107651
9.SR107331
10.SR106786
11.SR108010</t>
  </si>
  <si>
    <t>SR108310</t>
  </si>
  <si>
    <t>SR107323</t>
  </si>
  <si>
    <t>SR108010</t>
  </si>
  <si>
    <t>SR107706</t>
  </si>
  <si>
    <t>SR107651</t>
  </si>
  <si>
    <t>SR107331</t>
  </si>
  <si>
    <t>1.10 trackers are stuck from 09/22
2.Meter have stopped communicating from 13:00 on 09/04 and reporting 0 values, production can be verified at inverter level.
3.Site tripped offline from 09:55am to 14:25 on 09/24</t>
  </si>
  <si>
    <t>1.SR108338
2.SR107449
3.SR108470</t>
  </si>
  <si>
    <t>SR107449</t>
  </si>
  <si>
    <t>SR108470</t>
  </si>
  <si>
    <t>1.All inverter experiencing multiple trip events due to Phase 2 voltage fluctuations at meter. Inverters 3 and 4 are offline on 09/17 and later back online at 16:30 on 09/17</t>
  </si>
  <si>
    <t>1.SR108139</t>
  </si>
  <si>
    <t>1.SR101820</t>
  </si>
  <si>
    <t>1.Site started communication on 09/02 the data of august was bacfilled to september due to that actual was high</t>
  </si>
  <si>
    <t>1. Inverter 1 is derating by 140 kW and Inverter 4 by 70 kW during peak hours throughout the month.</t>
  </si>
  <si>
    <t>1.SR105775</t>
  </si>
  <si>
    <t>1.POA Pyranometer UP irradiance reporting 0W/m2 since 08/18. Due to this expected energy values in monthly reports has been affected</t>
  </si>
  <si>
    <t>1.SR105649</t>
  </si>
  <si>
    <t>1.  Inverter 1 has been derating at 1343 kW since 08/17, later back to normal production at 13:40 on 09/02
2.Site tripped offline from 08:25 AM to 11:55 AM and again 13:45 to 18:45 on 09/17.</t>
  </si>
  <si>
    <t>1.SR107234
2.SR108143</t>
  </si>
  <si>
    <t>SR108143</t>
  </si>
  <si>
    <t>1.Site tripped offline from 08:25 AM to 11:55 AM and again 13:45 to 18:45 on 09/17.
2.Inverter 1 has been derating at 1343 kW since 08/17, later back to normal production at 13:40 on 09/02
3. Site lost communication from 08:30am on 09/18 and later regained at 02:05am on 09/19 energy has not backfilled, possibly offline.</t>
  </si>
  <si>
    <t>1.SR108145
2.SR107236
3.SR105659, SR108266</t>
  </si>
  <si>
    <t>SR105659</t>
  </si>
  <si>
    <t>SR108266</t>
  </si>
  <si>
    <t>1. Pad 1 trackers 1, 63 ,109 are stuck at 0 deg and trackers 57, 119 are stuck at 255 deg. Additionally, Pad 2 trackers 43 , 114 are stuck at 0 deg and trackers 86, 124 are stuck at 255 deg from 09/07. Charging panel and node is being RMA'd</t>
  </si>
  <si>
    <t>1.SR107585</t>
  </si>
  <si>
    <t>1.The inverter was offline on 08/25 and came back online at 15:05 on the same day, but strings 4 and 5 remain offline, and 2 Y-connectors later the strings has been replaced on 09/12
2. Site is not communicating from 09/16 to DAS but producing onsite.</t>
  </si>
  <si>
    <t>1.SR106797
2.SR108023</t>
  </si>
  <si>
    <t>SR108023</t>
  </si>
  <si>
    <t>1.Site tripped offline from 08:25 AM to 11:55 AM and again 13:45 to 18:45 on 09/17.</t>
  </si>
  <si>
    <t>1.SR108111</t>
  </si>
  <si>
    <t>1.Site tripped offline at 08:00 on 09/09 and meter voltage dropped to 0V and remained offline throughout the month.</t>
  </si>
  <si>
    <t>1.SR107665</t>
  </si>
  <si>
    <t>1.Meter is reporting 0 values since 09/04 and even stopped capturing data throughout the month.
2.Site stopped communicating from 09/09</t>
  </si>
  <si>
    <t>1.SR107450
2.SR107667</t>
  </si>
  <si>
    <t>SR107667</t>
  </si>
  <si>
    <t>1.SR107666</t>
  </si>
  <si>
    <t>1.Inverter 1 has been offline since 08/25 and was back online at 09:00 on 09/09</t>
  </si>
  <si>
    <t>1.SR106843</t>
  </si>
  <si>
    <t>1.SR105180</t>
  </si>
  <si>
    <t>1.Inverter 1 is facing multiple trippings and each time it trips its reporting "Overall Work STOP" since 09/04 and issue was resolved on 09/12.</t>
  </si>
  <si>
    <t>1.SR107142</t>
  </si>
  <si>
    <t>1.Site tripped offline at 15:35 on 09/15 and it came back online at 09:35 on 09/16 and again site tripped offline form 09:40 on 09/22 and it came back online at 12:25 on 09/23</t>
  </si>
  <si>
    <t>1.SR107955</t>
  </si>
  <si>
    <t>1.Site tripped offline at 15:03 on 09/04 and was back online 09/05
2.Site tripped offline at 07:25 on 09/05 and SEL voltage dropped to 1V and back at 12:07 on 09/08 but inverter 1 left offline since then. Site again tripped offline at 09:32 on 09/10 and was back online at 10:53 on 09/24.</t>
  </si>
  <si>
    <t>1.SR107478
2.SR107493,SR107781</t>
  </si>
  <si>
    <t>SR107493</t>
  </si>
  <si>
    <t>SR107781</t>
  </si>
  <si>
    <t>1.Inverter tripped offline at 16:00 on 09/06  and reporting "AC breaker switch open" and was back online on 09/07.Inverter again tripped offline at 16:30 on 09/09 reporting AC contactor is in "Open" state and was back at 18:00 on the same day.Inverter again tripped offlinr at 11:00 on 09/22 and was back at 13:15 on 09/22.</t>
  </si>
  <si>
    <t>1.SR107090</t>
  </si>
  <si>
    <t>1.SR102328</t>
  </si>
  <si>
    <t>1. Tracker NCU4 1056 was stuck from 08/15 and later self-resolved. Tracker NCU2 1005 got stuck on 09/08 and resumed tracking on 09/11.
2. Inverter 1 was offline from 13:00 on 09/09 and came back online at 07:00 on 09/10. The inverter went offline again on 09/16.
3. The meter is missing phase A throughout the month, resulting in incomplete production data for both inverters.</t>
  </si>
  <si>
    <t>1. SR106058
2. SR106176
3. SR108248</t>
  </si>
  <si>
    <t>SR106176</t>
  </si>
  <si>
    <t>SR108248</t>
  </si>
  <si>
    <t>1. Module 4 was offline from 09/01 and came back online at 09:40 on 09/03.
2. The site was offline on 09/15 and came back online at 07:05 on 09/16.
3. The site was offline on 09/18 and came back online at 12:25 on 09/19.
4. The site was offline from 07:20 to 11:20 on 09/21.
5. The site was offline from 07:15 to 09:15 on 09/23.
6. Module 4 was offline from 07:30 on 09/21 and came back online at 11:50 on 09/23.</t>
  </si>
  <si>
    <t>1. SR107313
2. SR107939
3. SR108225
4. SR108330
5. SR108395
6. SR108400</t>
  </si>
  <si>
    <t>SR107939</t>
  </si>
  <si>
    <t>SR108225</t>
  </si>
  <si>
    <t>SR108330</t>
  </si>
  <si>
    <t>SR108395</t>
  </si>
  <si>
    <t>SR108400</t>
  </si>
  <si>
    <t>1. The site tripped offline at 10:30 on 09/03 and came back online at 11:05 on 09/05.
2. Inverter 1 tripped offline at 09:25 on 09/14 and came back online at 12:15 on 09/15.
3. The site was offline from 12:55 to 14:30 on 09/23 while the technician was onsite for preventive maintenance.</t>
  </si>
  <si>
    <t>1. SR107376
2. SR107937
3. PM9480</t>
  </si>
  <si>
    <t>SR107937</t>
  </si>
  <si>
    <t>1. Inverter 1 offline from 07/01  is reporting the AC breaker state as OPEN. Inverter 1 to be RMA'd and remain offline through out the month.
2. Nineteen trackers have been stuck throughout the month: NCU1 SPC 115–127 and NCU2 SPC 216, 220, 230, 240, 253, 329, and 338. Additional troubleshooting is required as the terminal blocks need to be replaced.</t>
  </si>
  <si>
    <t>1. SR106501
2. SR097454</t>
  </si>
  <si>
    <t>1. The site tripped offline at 02:20 on 09/06 and came back online at 17:32 on the same day.
2. The site tripped offline at 07:15 on 09/12 and came back online at 14:15 on the same day.
3. The site tripped offline at 07:45 on 09/22 and came back online at 09:35 on the same day.</t>
  </si>
  <si>
    <t>1. SR107556
2. SR107893
3. SR108334</t>
  </si>
  <si>
    <t>SR107893</t>
  </si>
  <si>
    <t>SR108334</t>
  </si>
  <si>
    <t>1.Inverter 2 having heavy shading isuue from afternoon to evening hours</t>
  </si>
  <si>
    <t>1. Inverter 2 experiencing minor shading issue</t>
  </si>
  <si>
    <t>1. Inverter 2 (as per SE Inverter 1) — Units 1.1 and 1.2 tripped offline at 12:00, and Unit 1.3 tripped offline at 16:15 on 06/18. The inverter has remained offline  and SolarEdge has rmad the center unit and Left unit being RMA'd.</t>
  </si>
  <si>
    <t>1.SR103141</t>
  </si>
  <si>
    <t>1.Inverter 3 left unit tripped offline at 13:00 on 09/04 and was back online at 11:00 on 09/13.
2.Inverter 1 tripped offline at 13:30 on 09/04 displaying "generic fault in AE" and no fault in SE and was back online at 12:30 on 09/10.</t>
  </si>
  <si>
    <t>1.SR103871
2.SR103710</t>
  </si>
  <si>
    <t>1.Inverter 2 , unit 2.1 started prodduction on 09/15</t>
  </si>
  <si>
    <t>1.Inverter 1 unit 1.1 tripped offline at 1:45pm on 09/02 and was back online at 8:45am on 09/04.
2.Inverter 2 unit 2.1 tripped offline since 02:15pm on 08/23 flagging "03*9B" error and was back online at 08:30 am on 09/04.
3.Inverter 3 unit 3.2 was offline from 09/12 and remained throughout the month.</t>
  </si>
  <si>
    <t>1.SR107411
2.SR106387
3.SR107805,SR103641</t>
  </si>
  <si>
    <t>SR107805</t>
  </si>
  <si>
    <t>1. Inverter 2, Unit 2.1 tripped offline at 11:45 on 06/19 and was back online at 09:30am on 09/16.</t>
  </si>
  <si>
    <t>1.Inverter 1 unit 1.2 was offline since 09/16 and remained offline throughout the same.</t>
  </si>
  <si>
    <t>1.SR108093</t>
  </si>
  <si>
    <t xml:space="preserve">1.Inveter was offline from 07:30cdt to 08:45cdt on 09/05.
2.Inverter 1 underperforming by 100 kW, inverter 2 underperforming by 5 kW, inverter 7 underperforming by 15 kW, inverter 8 underperforming by 37 kW, inverter 10 dropped 15kW since 8/28/25,inverter 9 dropped 7 kW since 9/4/25.
</t>
  </si>
  <si>
    <t>1.SR107495
2.SR100220</t>
  </si>
  <si>
    <t>1.Inverter 8 has stopped communicating at 07:15cdt on 09/23,no production at meter level and was back at 12:30cdt on 09/23.
2.Inverter 6 has stop communicating since 5:30cdt on 09/22,no production at meter level
3.Inverter 10 stop communicating at 07:00cdt on 09/02, no production at meter level and was back at 17:00cdt on 09/04.
4.Inverter 11 has stopped communicating since 08/27 ,no production at meter level.Inverters 7, 12 &amp; 14 has stopped communicating since 08/27, production cannot be verified at meter level.Inverter 12 was back at 17:00cdt on 09/04.</t>
  </si>
  <si>
    <t>1.SR108427
2.SR108396
3.SR107295
4.SR107059</t>
  </si>
  <si>
    <t>SR108396</t>
  </si>
  <si>
    <t>SR107295</t>
  </si>
  <si>
    <t>SR107059</t>
  </si>
  <si>
    <t>1.Trackers 1 and 55 are stuck at 15degrees from 19:00CDT on 08/05.
2.Inverter 11 offline from 08/19 and was back online at 10:00CDT on 09/11.</t>
  </si>
  <si>
    <t>1.SR105922
2.SR106486</t>
  </si>
  <si>
    <t>1.Site tripped offline at 09:35 on 09/03 and was back online at 03:20 on 09/04 .Site again tripped offline at 09:20 on 09/15,meter voltages dropped to 0V. Additionally both Z-phase and Y- phase voltages are also dropped to 0V and site was back online at 08:30 on 09/17.</t>
  </si>
  <si>
    <t>1.SR107368,SR107988</t>
  </si>
  <si>
    <t>SR107988</t>
  </si>
  <si>
    <t>1.All trackers are currently operating.</t>
  </si>
  <si>
    <t>1.SR105354,SR106824</t>
  </si>
  <si>
    <t>SR106824</t>
  </si>
  <si>
    <t>1.Currently trackers  TCU 33 through 66 are currently stuck and 3,19,50,54,62,64 are stuck. Waiting for permission to dispatch
2.Inverter 2 is derating by anywhere from 5 kW to ~20 kW in the afternoons. Issue looks to have started on 03/28. Doesn't look like shading should be an issue here, and we do not have data from this time last year. No alerts present.</t>
  </si>
  <si>
    <t>1.	SR098066
2.	SR099545</t>
  </si>
  <si>
    <t>1. Inverter 1 has been underproducing by 300 kW and Inverter 2 by 2,000 kW since 09/08, as all trackers except 92–119 and 169–175 (out of 175 trackers) were stuck at 49°. The issue was later resolved at 12:20 on 09/11.</t>
  </si>
  <si>
    <t>1. SR107641</t>
  </si>
  <si>
    <t>1. Trackers 8, 9, 11, 42, 43, 109, and 110 were deviating. Trackers 11, 42, 43, 109, and 110 resumed tracking on 09/11, and currently, trackers 8 and 9 are still deviating.</t>
  </si>
  <si>
    <t>1. SR105284</t>
  </si>
  <si>
    <t>1. The site went offline at 12:45 on 09/05 and came back online at 15:25 on 09/08.
2. The site went offline at 09:35 on 09/11 and came back online at 19:40 on the same day.</t>
  </si>
  <si>
    <t>1. SR107529
2. SR107809, SR107813</t>
  </si>
  <si>
    <t>SR107809</t>
  </si>
  <si>
    <t>SR107813</t>
  </si>
  <si>
    <t>1. The site is performing as expected, but the expected and forecasted values are high. A similar event was observed over the past two years.</t>
  </si>
  <si>
    <t>1. Inverter 2 was offline from 09/01 and came back online on 09/23.
2. Meter voltages dropped to zero at 12:45 on 09/07 and were restored at 12:45 on 09/11.</t>
  </si>
  <si>
    <t>1. SR107263
2. SR100771</t>
  </si>
  <si>
    <t>SR100771</t>
  </si>
  <si>
    <t>1. Pad 2 has been offline since 11:45 on 09/23.</t>
  </si>
  <si>
    <t>1. SR108424</t>
  </si>
  <si>
    <t>1. The site tripped offline at 08:30 on 08/31 and came back online at 10:00 on 09/03.
2. The weather station stopped communicating at 08:00 on 09/22.</t>
  </si>
  <si>
    <t>1. SR107245
2. SR108392</t>
  </si>
  <si>
    <t>SR108392</t>
  </si>
  <si>
    <t>October Actual v. Expected</t>
  </si>
  <si>
    <t>October Actual v. Forecasted</t>
  </si>
  <si>
    <t>Status</t>
  </si>
  <si>
    <t>1. Meter B phase currents dropped to Zero whole month. Need to replace CT's</t>
  </si>
  <si>
    <t>1. Pending</t>
  </si>
  <si>
    <t>1. Inverter 2 has afternoon shading.</t>
  </si>
  <si>
    <t>1. Inverter 3 has been underproducing by 12 kW  and reporting "External Fan Fault" since 12:45 on 09/11, as unit 3.1 (right unit) is underproducing.
2.Estimated values are low in AE we have also verified the file which was given by GC</t>
  </si>
  <si>
    <t>1. Completed</t>
  </si>
  <si>
    <t>1.Closed</t>
  </si>
  <si>
    <t>1.Site production was low due to low irradiance on 10/30</t>
  </si>
  <si>
    <t>1. Weather station stopped communicating on 11/22 at 07:00. pending replacement POA.
2. Inverter module 1.0.153 (12D31EC2-C5) went offline on 11/15/24, reporting “no communication with power optimizer,” and came back online at 12:00 on 10/09.</t>
  </si>
  <si>
    <t xml:space="preserve">1. Pending
2. Pending
</t>
  </si>
  <si>
    <t>1. Inverter 2, unit 2.2, was offline for multiple days and After the RMA’d board was replaced, the inverter came back online at 09:30 on 10/10.
2. 26 optimizers are down for roof repair.
3. Weather station stopped communicating since 06/14/24.
4. Meter was reading inaccurate Valuses form 06/20/25. After the technician replaced the CTs on 10/22, the meter is reading correctly.</t>
  </si>
  <si>
    <t>1. Closed
2. Closed
3. Closed
4. Work in Progress</t>
  </si>
  <si>
    <t>1. Inverter 2 tripped offline at 14:46 to 15:45 on 10/07 later self resolved.</t>
  </si>
  <si>
    <t>1. SR109161</t>
  </si>
  <si>
    <t>1. Closed</t>
  </si>
  <si>
    <t>1. Inverter 1 has minor shading issue.</t>
  </si>
  <si>
    <t>1. Inverter 1, Unit 12, was offline from 10/01 to 10/16, and two strings were isolated from Unit 1.2 from 10/16.</t>
  </si>
  <si>
    <t>1. PM8307, 	SR109623</t>
  </si>
  <si>
    <t>1. Completed, Pending</t>
  </si>
  <si>
    <t>1. Inverter 12 tripped offline at 17:00 on 10/20.</t>
  </si>
  <si>
    <t>1. SR110132</t>
  </si>
  <si>
    <t>1. pending</t>
  </si>
  <si>
    <t>1. Inverter 3 left unit is having multiple trippings since 06/08 on high irradiance day. After the technician replaced the DC relay board on 10/03, the inverter came back online and has been producing as expected.</t>
  </si>
  <si>
    <t>1. Inverter 3 has heavy morning shading.</t>
  </si>
  <si>
    <t>1.Pending</t>
  </si>
  <si>
    <t>1.Inverter unit 1.2 has been underperforming by approx 20kW since the site was re-energized on 8/27 and fans were replaced on 10/06.</t>
  </si>
  <si>
    <t>1.SR107741</t>
  </si>
  <si>
    <t>1. Actual vs Forcasted delta is showing 78% due to Forcasted energy recording low possibly due to data glitch (similar event observe last 2 years).</t>
  </si>
  <si>
    <t>1. Inverter 1 left unit offline from 10/29</t>
  </si>
  <si>
    <t>1.	SR110250</t>
  </si>
  <si>
    <t>1.Inverter 2 expericing afternoon shading issue</t>
  </si>
  <si>
    <t>1. Inverter 2 unit 2.3 was being RMA'd</t>
  </si>
  <si>
    <t>1. Inverter 1  producing as expected from 10/03</t>
  </si>
  <si>
    <t>1.	SR089666</t>
  </si>
  <si>
    <t>1.Inverter 2 unit 2.2 resolved from 10/15</t>
  </si>
  <si>
    <t>1.	SR105544</t>
  </si>
  <si>
    <t>1.Inverter 3 unit 3.3 tripped offline at 12:00PM on 08/30.
2.4 Inverter modules are offline Module 1.0.64 Module 4.0.39 3.0.20 1.0.64</t>
  </si>
  <si>
    <t>1.Completed
2.Pending</t>
  </si>
  <si>
    <t>1. Weather station has morning shading due to that expected values are low.</t>
  </si>
  <si>
    <t>1.Actual vs expected delta is showing 14% due to expected energy recording low possibly due to data glitch (similar event observe last 2 years)</t>
  </si>
  <si>
    <t>1. Optimizers Module 1.2.4  , Module 2.2.18 , Module 2.3.11 , Module 3.1.16 ,  Module 6.1.5 ,  Module 7.1.4 , Module 7.3.17 ,  Module 9.1.16 ,Module 10.3.3 , 8.0.27 are offline. Pending troubleshooting.
2.Inverter 10 was underproducing by approximately 10kW on 08/28 as string 10.1 was offline and later back online on 10/15 as the power head was swapped.</t>
  </si>
  <si>
    <t>1.Pending
2.Completed</t>
  </si>
  <si>
    <t>1.SR109950</t>
  </si>
  <si>
    <t>1. Inverter 1 unit 1.1 was offline for whole month and unit 1.2 was offline from 10/19.</t>
  </si>
  <si>
    <t>1. SR110586</t>
  </si>
  <si>
    <t>1. New</t>
  </si>
  <si>
    <t>1.Pending
2.Pending
3.Pending</t>
  </si>
  <si>
    <t>1. Inverter 3 right unit tripped offline at 07:00 on 10/12 and back online at 13:00 on 10/12.</t>
  </si>
  <si>
    <t>1. Inverter 1 is producing at its half production through out the month. 1 IGBT needs replacement to get inverter fully functional.</t>
  </si>
  <si>
    <t>1. SR104403</t>
  </si>
  <si>
    <t>1. Inverters 1 and 2 tripped offline at 08:50 on 10/16. Inverter 2 back online at 13:45 on 10/17, and Inverter 1 back online at 11:10 on 10/21.
2. Meter was not communicated for whole month.</t>
  </si>
  <si>
    <t>1. SR109570
2. SR098641</t>
  </si>
  <si>
    <t>1. Closed 
2. Pending</t>
  </si>
  <si>
    <t>1. Site lost communication to DAS from 08/22, technician confirmed that the site is online onsite. Site regained it's communication at 10:20 on 10/16. Additionally, Inverters 21 to 27 and 30 to 33 have been offline since 10/17, and Inverter 13 has been offline since 10/18.</t>
  </si>
  <si>
    <t>1. The meter is showing a phase voltage imbalance of ~130V. Phases A &amp; B are reading 270V and phase 3 is ~140V but is occasionally in-line with the other phases. meter voltage normal from 10/14.
2. Inverter 19 (4.3) tripped offline 14:40 on 9/28 and is reporting "Grid line voltage over limit" and back online at 09:40 on 10/14.</t>
  </si>
  <si>
    <t>1. SR107702
2. SR108697</t>
  </si>
  <si>
    <t>1. Closed 
2. Closed</t>
  </si>
  <si>
    <t>SR108697</t>
  </si>
  <si>
    <t>1. Weather station lost communication from 07/15.
2. IInverter 2 went offline at 07:00 on 10/01, reporting a “SE PHASE R BLOWER FAIL (98)” fault, and came back online at 11:05 on 10/02. It went offline again at 07:00 on 10/05 and was restored at 16:05 on 10/07. Once more, it went offline at 07:00 on 10/09; after a remote fan test and reset, the inverter came back online at 12:15 on the same day. The inverter went offline again at 07:00 on 10/17, reporting a “PHASE S BLOWER FAULT.” After the fan was replaced, the inverter was back online at 14:30 on 10/17.</t>
  </si>
  <si>
    <t xml:space="preserve">1.SR107603
2. SR108823, SR109086, SR109267, SR109625
</t>
  </si>
  <si>
    <t>1. Pending
2. Closed</t>
  </si>
  <si>
    <t>SR108823</t>
  </si>
  <si>
    <t>SR109086</t>
  </si>
  <si>
    <t>SR109267</t>
  </si>
  <si>
    <t>SR109625</t>
  </si>
  <si>
    <t>1. Expected energy values are reporting very low. Created a case #66639 with GPM, As per GPM the BOM has been frozen from 02/27.</t>
  </si>
  <si>
    <t>1. The energy meter at Washington 3 is showing an issue with C-phase PT where the voltage measurement is drifting from 07/24, later site remain offline from 12:15 on 09/23 due to inverter to XFMR busbars had thermal damage and need to be replaced
2. POA sensor continues to read inaccurately from 10/2 at 11:25am. Tech verified connections by testing both old and new sensors, with irradiance around 1 W/m². The original sensor was last calibrated in May 2024. GPM recommends replacing the run cable to the DAS to improve accuracy.</t>
  </si>
  <si>
    <t>1. SR105816
2.SR093024</t>
  </si>
  <si>
    <t>1. Inverter 2 tripped offline from 12:55 to 17:20 on 10/06. It tripped offline again at 09:40 on 10/08 after the technician replaced the SIM card. The inverter came back online at 13:05 on 10/08.
2. Inverter 2 went offline at 07:00 on 10/10, and Inverter 1 went offline at 11:50 on 10/10. After the technician reset both inverters, Inverter 2 back online at 11:10 on 10/14, and Inverter 1 back online at 13:40 on 10/14.
3. Inverter 2 tripped offline again at 07:00 on 10/15, reporting an "AC Contactor Fault." After the technician power-cycled the inverter, it came back online at 15:30 on 10/17. and tripping on and off throughout the month.
4. Inverter 1 tripped offline at 08:35 on 10/25, reporting an "AC Contactor Fault." After the technician replaced the AC filter fuse, it came back online at 10:20 on 10/28.</t>
  </si>
  <si>
    <t>1. SR108045
2. SR109320, SR109505
3. SR109505
4. SR109987</t>
  </si>
  <si>
    <t>1. Closed
2. Closed
3. Closed
4. pending</t>
  </si>
  <si>
    <t>SR109320</t>
  </si>
  <si>
    <t>SR109505</t>
  </si>
  <si>
    <t>SR109987</t>
  </si>
  <si>
    <t>1. Site lost communication to DAS at 02:00 from 10/19, technician confirmed that
the site is online onsite. Site regained it's communication at 13:30 on 10/21.but data was not backfilled.</t>
  </si>
  <si>
    <t>1. SR109668</t>
  </si>
  <si>
    <t xml:space="preserve">1. Completed </t>
  </si>
  <si>
    <t>1. The site went offline at 08:10 on 10/03 due to USNE work at the site and came back online at 18:50 on 10/03.
2. The site went offline at 12:05 on 10/07 due to USNE performing meter testing and back online at 16:50 on 10/07.</t>
  </si>
  <si>
    <t>1. SR108636
2. SR107181</t>
  </si>
  <si>
    <t>1. Closed
2. Pending</t>
  </si>
  <si>
    <t>SR107181</t>
  </si>
  <si>
    <t>1. Site lost communication to DAS at 08:55 from 10/22, technician confirmed that
the site is online onsite. Site regained it's communication at 02:05 on 10/23.but data was not backfilled.
2. All trackers were stuck from 13:00 on 09/04. After the technician replaced the RevPi, all racking began tracking as expected.</t>
  </si>
  <si>
    <t>1. SR109840
2. SR107506</t>
  </si>
  <si>
    <t>1. Closed
2. Closed</t>
  </si>
  <si>
    <t>1. 44 trackers were stuck since 08/29. After the technician installed a new motor, all trackers began tracking as expected.
2. Inverter 1 was derating by 70kw and inverter 3 is derating by 120kw due to inverter internal temperature throughout the month.
3.  The site went offline at 07:45 on 10/08 due to a planned outage and back online at 14:25 on 10/08. and again tripped offline at 08:10 on 10/14 and back online at 12:20 on 10/14.
4. The site tripped offline at 13:50 on 10/15 and back online at 16:15 on 10/15 .</t>
  </si>
  <si>
    <t>1. SR106503
2. SR105774
3. SR109185
4. SR109523</t>
  </si>
  <si>
    <t>1. Completed
2. pending
3. Closed 
4. Closed</t>
  </si>
  <si>
    <t>SR109185</t>
  </si>
  <si>
    <t>SR109523</t>
  </si>
  <si>
    <t>1. Inverter 19 was RMA'd on 09/15. After the technician replaced the power head, the inverter came back online at 13:30 on 10/22.
2. inverter 9 has derated to 100kW from 08/31
3. IInverter 29 tripped offline at 12:15 on 10/01. After the technician reset the main breaker, inverters back online at 13:30 on 10/22. The inverter tripped offline again at 12:30 on 10/27.
4. Inverter 32 tripped offline at 14:15 on 10/02. After the technician reset the main breaker, inverter back online at 13:30 on 10/22.
5. inverter 12 tripped offline at 14:00 on 10/15 and inverter is under RMA'd since 10/22.
6. Inverters 1 to 11, 13 to 18, and 20 tripped offline at 07:45 on 10/19, reporting "Grid Line Voltage Out of Range." After the technician reset the main breaker, all these inverters came back online at 11:30 on 10/22.
7. Inverter 23 tripped offline at 12:45 on 10/21, reporting "Grid Line Voltage Out of Range." After the technician reset the main breaker, the inverter back online at 13:30 on 10/22.</t>
  </si>
  <si>
    <t>1. SR108010
2. SR107331
3. SR108847, SR110116
4. SR108922
5. SR109568
6. SR109669
7. SR109669</t>
  </si>
  <si>
    <t>SR109669</t>
  </si>
  <si>
    <t>SR108847</t>
  </si>
  <si>
    <t>SR110116</t>
  </si>
  <si>
    <t>SR108922</t>
  </si>
  <si>
    <t>SR109568</t>
  </si>
  <si>
    <t>1. 10 trackers were stuck from 09/22. On 10/08, 8 trackers resumed tracking, while 2 remained stuck. On 10/17, an additional tracker resumed tracking. TCU 255 is currently under RMA.
2. Meter have stopped communicating from 13:00 on 09/04 and resumed communication at 17:10 on 10/08.</t>
  </si>
  <si>
    <t xml:space="preserve">1.SR108338
2.SR107449
</t>
  </si>
  <si>
    <t>1. pending
2. Closed</t>
  </si>
  <si>
    <t>1. SR101820</t>
  </si>
  <si>
    <t>1. Inverter 2 tripped offline at 09:25 on 09/30. After the technician replaced the DC contactor, inverter back online at 09:50 on 10/02.
2. Site went offline at 14:50 to 21:45 on 10/19.</t>
  </si>
  <si>
    <t>1. SR105775
2. SR109680</t>
  </si>
  <si>
    <t>SR109680</t>
  </si>
  <si>
    <t>1. The site went offline from 07:50 to 10:05 and again from 12:55 to 15:05 on 10/08. It tripped offline again at 08:20 on 10/14 and back online at 16:05 on 10/15.
2. The Site tripped offline at 14:00 on 10/20 and back online at 08:15 on 10/21.
3. The Site tripped offline from 10:10 to 12:10 and again from 13:15 to 16:50 on 10/24.</t>
  </si>
  <si>
    <t>1. SR109223
2. SR109728
3. SR109937</t>
  </si>
  <si>
    <t>1. Closed
2. Closed
3. Closed</t>
  </si>
  <si>
    <t>SR109728</t>
  </si>
  <si>
    <t>SR109937</t>
  </si>
  <si>
    <t>1. The site went offline from 07:50 to 10:05 and again from 12:55 to 15:05 on 10/08. It tripped offline again at 08:20 on 10/14 and back online at 16:05 on 10/15.
2. Site was offline from 08:20 on 10/18 and back online at 02:05 on 10/19.
3. The Site tripped offline at 14:00 on 10/20 and back online at 08:15 on 10/21.
4. The Site tripped offline from 10:10 to 12:10 and again from 13:15 to 16:50 on 10/24.</t>
  </si>
  <si>
    <t>1. SR109224, SR109343
2. SR109343
3. SR109729
4. SR109938</t>
  </si>
  <si>
    <t>1. Closed
2. Closed
3. Closed
4. Closed</t>
  </si>
  <si>
    <t>SR109343</t>
  </si>
  <si>
    <t>SR109729</t>
  </si>
  <si>
    <t>SR109938</t>
  </si>
  <si>
    <t>1. Pad 1 trackers 1, 63 ,109 are stuck at 0 deg and trackers 57, 119 are stuck at 255 deg. Additionally, Pad 2 trackers 43 , 114 are stuck at 0 deg and trackers 86, 124 are stuck at 255 deg from 09/07. After the technician installed the charger panel and node, the trackers have been tracking as expected since 10/27.</t>
  </si>
  <si>
    <t>1. SR107585</t>
  </si>
  <si>
    <t>1. Site lost communication to DAS from 09/16, technician confirmed that
the site is online onsite. Site regained it's communication at 15:20 on 10/21.but data was not backfilled.
2. Site tripped offline at 10:10 to 12:10 on 10/24.</t>
  </si>
  <si>
    <t>1. SR108023, SR109726
2. SR109939</t>
  </si>
  <si>
    <t>1. Completed
2. Closed</t>
  </si>
  <si>
    <t>SR109726</t>
  </si>
  <si>
    <t>SR109939</t>
  </si>
  <si>
    <t>1. SR109225
2. SR109727
3. SR109940</t>
  </si>
  <si>
    <t>SR109727</t>
  </si>
  <si>
    <t>SR109940</t>
  </si>
  <si>
    <t>1.Site is offline since 08:00 on 09/09 and back online at 15:25 on 10/03</t>
  </si>
  <si>
    <t>1.Completed</t>
  </si>
  <si>
    <t>1. Meter is intermittently lossing communication since 09/04, production can be verified at inverter level.
2.Site is offline since 08:00 on 09/09 and back online at 15:25 on 10/03</t>
  </si>
  <si>
    <t>1.Weather station is not communicating for whole month.
2. Site tripped offline at 02:30 on 10/20 and back online at 09:35 on 10/22</t>
  </si>
  <si>
    <t>1.SR106739
2.SR109707</t>
  </si>
  <si>
    <t>SR109707</t>
  </si>
  <si>
    <t>1.SR109604</t>
  </si>
  <si>
    <t>1.Meter lost communication at 10:05 on 10/23 and later site tripped offline at 13:50 on 10/25 and was back online at 08:10 on 10/27</t>
  </si>
  <si>
    <t>1.SR109988</t>
  </si>
  <si>
    <t>1.Inverter 1 is offline from 09/10 and  back online at 12:10 on 10/23
2. Tracker motor 1 has stuck  from starting of the month has resolved at 11:10 on 10/28</t>
  </si>
  <si>
    <t>1.SR107781
2.SR108776</t>
  </si>
  <si>
    <t>1.Completed
2.Work in progress</t>
  </si>
  <si>
    <t>SR108776</t>
  </si>
  <si>
    <t>1. Trackers 23, 24, 33, 37, and 72 through 151 have been stuck since 06/02. Further troubleshooting is needed to program the gateways associated with NCU 2</t>
  </si>
  <si>
    <t>1.Site tripped offline at 11:00 on 10/03 and back online at 11:55 on 10/04
2.Both inverters tripped offline from 12:00 to 13:30 on 10/14</t>
  </si>
  <si>
    <t>1.SR108983
2.SR109461</t>
  </si>
  <si>
    <t>1.Closed
2.Closed</t>
  </si>
  <si>
    <t>SR109461</t>
  </si>
  <si>
    <t>1.Inverter tripped offline at 09:00 on 10/01 and remained offline through out the month</t>
  </si>
  <si>
    <t>1.SR108827</t>
  </si>
  <si>
    <t>1.Site tripped offline at 08:30 on 10/11 and back online at 11:15 on 10/12</t>
  </si>
  <si>
    <t>1.SR109390</t>
  </si>
  <si>
    <t>1.Inverter started late at 10:15 and again tripped at 13:20 and back online at 15:50 by remote reset.
2.Inverter was offline from 10:40 to 13:30 on 10/07 as tech was onsite to replace the IGBTs in DPS 2. When he was working he found that the backplane between port 1 and 2 was faulty as well. The DPS will not function with the faulty backplane. SMA to order more parts and return to replace them.
3.Inverter was offline from 08:15 to 13:40 on 10/14 
4.Inverter started late for production at 08:55 on 10/17 and again tripped offline at 10:00 and back online at 13:15</t>
  </si>
  <si>
    <t>1.SR108808
2.SR106270
3.SR109462
4.SR109620</t>
  </si>
  <si>
    <t>1.Closed
2.Pending
3.Closed
4.Closed</t>
  </si>
  <si>
    <t>SR106270</t>
  </si>
  <si>
    <t>SR109462</t>
  </si>
  <si>
    <t>SR109620</t>
  </si>
  <si>
    <t>1.The meter is missing phase A throughout the month, resulting in incomplete production data for both inverters. GC will review in 2026
2.Inverter 1 is back online at 15:05 on 10/21
3.Combiner box 02-09 is offline from 10:40 to 14:55 on 10/21 due to damaged module
4.NCU 1 is missing communications and tracker angles cannot be confirmed, NCU 4 SPC 1015 is stuck.</t>
  </si>
  <si>
    <t>1.SR108248
2.SR106176
3.SR109493
4.SR108120</t>
  </si>
  <si>
    <t>1.Completed
2.Completed
3.Closed
4.Pending</t>
  </si>
  <si>
    <t>SR109493</t>
  </si>
  <si>
    <t>SR108120</t>
  </si>
  <si>
    <t>1.SR106921</t>
  </si>
  <si>
    <t>1.Inverter module 1.4 has started for the production late at 12:00 on 10/17 and again offline whole day on 10/20 and again back online at 15:40 on 10/21</t>
  </si>
  <si>
    <t>1.SR109619</t>
  </si>
  <si>
    <t>1.Work in progress</t>
  </si>
  <si>
    <t>1.Site tripped offline at 09:35 on 10/19 and back online at 09:25 on 10/20</t>
  </si>
  <si>
    <t>1.SR109675</t>
  </si>
  <si>
    <t>1.Site tripped offline at 09:35 on 10/19 and back online at 09:25 on 10/20
2.15 trackers are stuck: NCU 1 SPC 101, 206, 218, &amp; 314 NCU 2 SPC 118, 128, 230, 234, 321, 323, 333, 334, 336, 337, &amp; 343</t>
  </si>
  <si>
    <t>1.SR109676
2.SR098860</t>
  </si>
  <si>
    <t>1. Closed
2.Pending</t>
  </si>
  <si>
    <t xml:space="preserve">1.Inverter is back online at 12:55 on 10/22
2. 7 trackers 119,216,220,329, 338, 143, and 240 have seized slew drives. 
</t>
  </si>
  <si>
    <t>1.SR106501
2.SR109998</t>
  </si>
  <si>
    <t>1.Closed
2.Pending</t>
  </si>
  <si>
    <t>SR109998</t>
  </si>
  <si>
    <t>1. Inverter tripped offline at 17:45 on 10/05 and remained offline for rest of the month
2.Weather station is not communicating through out the month.</t>
  </si>
  <si>
    <t>1.SR109080
2.SR109079</t>
  </si>
  <si>
    <t xml:space="preserve">1.Pending
2.Pending
</t>
  </si>
  <si>
    <t>SR109079</t>
  </si>
  <si>
    <t>1. Site tripped offline at 04:28 and back online at 11:20 on 10/08
2. Site started for the production late at 11:45 on 10/17
3. Site tripped offline from 07:40 to 11:00 on 10/27</t>
  </si>
  <si>
    <t>1.SR109187
2.SR109632
3.SR110017</t>
  </si>
  <si>
    <t>SR109632</t>
  </si>
  <si>
    <t>SR110017</t>
  </si>
  <si>
    <t>1. Site tripped offline from 00:14 and back online at 00:24 on 10/26.</t>
  </si>
  <si>
    <t>1.SR109990</t>
  </si>
  <si>
    <t xml:space="preserve">1. Closed
</t>
  </si>
  <si>
    <t>1. Site tripped offline at 12:45 om 10/21 and later back online at 14:00 on 10/22</t>
  </si>
  <si>
    <t>1.SR109794</t>
  </si>
  <si>
    <t>1. Panel 1.0.7 124BD3FC-2C Panel 1.0.65 124CF1D2-21 Panel 1.0.84 124BDFF4-30 Panel 3.0.28 124A7869-3D Panel 3.0.31 124CF59F-F2 are offline later technician has replaced 4 optimizers on 10/01</t>
  </si>
  <si>
    <t>1.SR095946</t>
  </si>
  <si>
    <t>1. Inverters 3 and 4 had heavy shading in morning.</t>
  </si>
  <si>
    <t>1. Inverter 1 unit 1.5 was offline from 10/10 to end of the month.
2. Inverter 3 unit 3.1 was offline from 10/10 to end of the month.</t>
  </si>
  <si>
    <t>1. SR110156
2. SR110155</t>
  </si>
  <si>
    <t>SR110155</t>
  </si>
  <si>
    <t>1. Inverter 1 unit 1.2 has heavy shading in the afternoon.</t>
  </si>
  <si>
    <t>1. Inverter 3 has heavy shading in morning and evening.</t>
  </si>
  <si>
    <t>1. Inverter 3 has afternoon shading.</t>
  </si>
  <si>
    <t>1. Inverter 3 middle unit was back online at 14:00 on 10/20 and again tripped offline at 16:00 on 10/21, inverter 1 right unit is under underperforming by 10kW later from 10/20 inverter is producing as expected.</t>
  </si>
  <si>
    <t>1.SR107411</t>
  </si>
  <si>
    <t>1. Site was producing as expected</t>
  </si>
  <si>
    <t>1. Inverter 1 unit 1.2 was offline since 09/16 and later technician has replaced the blown fuses on 10/22</t>
  </si>
  <si>
    <t>1.SR109644</t>
  </si>
  <si>
    <t>1.Inverters 1 and 9 have had late starts each morning since 9/19 due to isolation faults. They self-resolve and come back online by 8 or 9 am each day.
2. Trackers A1 S 4, A1 S 16, A1 S 28, A1 S 41, A1 S 49, A1 S 68 are stuck since 10/10
3. Inverters 1, 7, 8 are offline from 11:00 to 17:30 on 10/22</t>
  </si>
  <si>
    <t>1.SR108394
2.SR109330
3.SR109858</t>
  </si>
  <si>
    <t>1.Pending
2.Pending
3.Closed</t>
  </si>
  <si>
    <t>SR109330</t>
  </si>
  <si>
    <t>SR109858</t>
  </si>
  <si>
    <t>1. Inverter 11 derating at 75kW from 10/01 and resolved on 10/17
2. Inverter 6 has regained its communication at 11:45 on 10/17 but energy has not backfilled.
3.Inverter 16 tripped offline on 10/2/25 at 16:37 and back online at 15:15 on 10/16
4.Inverter 7 is back online at 09:30 on 10/01, Inverter 14 is back online at 09:00 on 10/02</t>
  </si>
  <si>
    <t>1.SR108936
2.SR108396
3.SR108982
4.SR107059</t>
  </si>
  <si>
    <t>1.Closed
2.Closed
3.Closed
4.Closed</t>
  </si>
  <si>
    <t>SR108982</t>
  </si>
  <si>
    <t>1. The site tripped offline at 14:15 on 10/14 and back online at 16:45 on 10/14.
2.  Tracker TCU 1, 2, 7, 30, 34, 55, 62, 70 and 85 are  stuck since 10/14.</t>
  </si>
  <si>
    <t xml:space="preserve">1. SR108972
2. SR105922
</t>
  </si>
  <si>
    <t xml:space="preserve">1. Closed
2. Pending
</t>
  </si>
  <si>
    <t>SR105922</t>
  </si>
  <si>
    <t xml:space="preserve">1. The site tripped offline at 11:45 on 10/20 and later auto-reclosed, back online at 12:00 on 10/20.
</t>
  </si>
  <si>
    <t>1. SR109734</t>
  </si>
  <si>
    <t>1. Trackers 93 through 190 have been stuck since 10/20 and later resumed tracking from 10/22.</t>
  </si>
  <si>
    <t>1. SR109715</t>
  </si>
  <si>
    <t xml:space="preserve">1. Pending
</t>
  </si>
  <si>
    <t>1. The site tripped offline at 10:00 on 10/06 and later auto-reclosed, back online at 16:45 on 10/06.
1. The site tripped offline at 09:45 on 10/07 and back online at 09:45 on 10/08.</t>
  </si>
  <si>
    <t>1. SR109096
2. SR109144</t>
  </si>
  <si>
    <t>SR109144</t>
  </si>
  <si>
    <t>1. Trackers 50 and 61 have been stuck since 10/14.
2. Inverter 7 underperforming by 14kW from 9/24 (2 strings). Inverter 10 underperforming by 14kW from 8/28.</t>
  </si>
  <si>
    <t>1. SR109450
2. SR109452</t>
  </si>
  <si>
    <t xml:space="preserve">1. Pending
2. Pending
</t>
  </si>
  <si>
    <t>SR109452</t>
  </si>
  <si>
    <t>1. All trackers were stuck between 53° and 55° on 10/27 and later self-resolved,  back online at 13:30 on 10/27.</t>
  </si>
  <si>
    <t>1. SR110025</t>
  </si>
  <si>
    <t>1. Currently, tracker TCUs 3, 19, 39, 50, 60, 62, and 64 have been stuck since 10/14. After a remote reset, TCUs 3, 62, and 64 resumed tracking, while the remaining TCUs are still stuck.
2.Inverter 2 is derating by anywhere from 5 kW to ~20 kW in the afternoons. Issue looks to have started on 03/28. Doesn't look like shading should be an issue here, and we do not have data from this time last year. No alerts present.</t>
  </si>
  <si>
    <t>1. Pending
2. Pending</t>
  </si>
  <si>
    <t>1. The site tripped offline at 10:00 on 10/06 and back online at 13:45 on 10/06.
2. Trackers E-098, 168, &amp; 169 are stuced since 10/10 and later resumed tracking from 10/16.
3. The site was offline at 10:15 on 10/19 and back online at 19:20 on 10/21.</t>
  </si>
  <si>
    <t>1. SR109097
2. SR109353
3. SR109692</t>
  </si>
  <si>
    <t>SR109353</t>
  </si>
  <si>
    <t>SR109692</t>
  </si>
  <si>
    <t>1. Trackers 8 and 9 had been deviating since 07/29 and resumed normal tracking on 10/01.
2. Tracker 33 getting stucked since 10/16.</t>
  </si>
  <si>
    <t>1. SR105284
2. SR109592</t>
  </si>
  <si>
    <t>SR109592</t>
  </si>
  <si>
    <t>1. The site tripped offline at 09:30 on 10/10 and back online at 15:45 on 10/13.</t>
  </si>
  <si>
    <t>1. SR109335</t>
  </si>
  <si>
    <t>1. The site was taken offline from 10:55 to 11:25 on 10/03 as EV Solar was on-site to replace a UPS device.
2. The site was taken offline from 07:00 to 11:25 on 10/07 due to a planned outage.
3. The site was taken offline from 12:35 to 13:25 on 10/08 as EV Solar was on-site to install a UPS device.
4. he site was taken offline from 10:00 to 16:05 on 10/10 due to utility works at the site</t>
  </si>
  <si>
    <t>1. SR108961
2. SR109101
3. SR109195
4. SR109326</t>
  </si>
  <si>
    <t xml:space="preserve">1. Closed
2. Closed
3. Closed
4. Closed
</t>
  </si>
  <si>
    <t>SR109101</t>
  </si>
  <si>
    <t>SR109195</t>
  </si>
  <si>
    <t>SR109326</t>
  </si>
  <si>
    <t>1. Inverter 2 was offline at 07:00 on 10/11.
2. The meter has been communicating intermittently throughout the month.</t>
  </si>
  <si>
    <t>1. SR109524
2. SR100771</t>
  </si>
  <si>
    <t>1. The site tripped offline at 10:00 on 10/11 due to the SEL relay being in an open state. After the EPC reset the SEL relay, the site came back online at 16:00 on 10/11.
2. All trackers are strucked since 09/27 after remote reset all trackers are back online at 10/06.
3. Tracker TCU 11 had been intermittently getting stuck since 10/07. The EPC found a loose fuse and tightened it, after which the tracker returned to normal operation.
4. The site went offline at 07:00 on 10/18 and back online at 14:20 on 10/18.
5. Inverter 15 went offline at 07:00 on 10/18 and later self-resolved, back online at 17:00 on 10/18.
6. The site tripped offline at 07:15 on 10/19 due to the SEL relay being in an open state. After the EPC remotely closed the relay, the site came back online at 11:45 on 10/20.
7.  All trackers have been intermittently getting stuck since 10/21/25 and reporting snow alarms. After the technician cleared the snow, all trackers resumed normal operation.
8. The site tripped offline at 10:30 on 10/26. After a remote reset, the site came back online at 16:45 on 10/26.</t>
  </si>
  <si>
    <t>1. SR108678
2. SR108984
3. SR109158
4. SR109664
5. SR109665
6. SR109681
7. SR109851
8. SR109995</t>
  </si>
  <si>
    <t>SR109995</t>
  </si>
  <si>
    <t>SR108984</t>
  </si>
  <si>
    <t>SR109158</t>
  </si>
  <si>
    <t>SR109664</t>
  </si>
  <si>
    <t>SR109665</t>
  </si>
  <si>
    <t>SR109681</t>
  </si>
  <si>
    <t>SR109851</t>
  </si>
  <si>
    <t>1. Pad 2 inverters (2.01 through 2.20) tripped offline at 09:15 on 09/26. Pad 1 inverters (1.01 through 1.20) tripped offline at 07:45 on 09/27, reporting the fault “Grid Phase Voltage Out of Range – GridV.OutLim.” Additionally, the site went offline on 09/30 due to an infestation in the main breaker and was brought back online at 09:30 on 10/08.</t>
  </si>
  <si>
    <t>1. SR108599</t>
  </si>
  <si>
    <t>1. The weather station stopped communicating at 08:00 on 09/22.
2. The site tripped offline at 09:30 on 10/22 due to SEL relay open and also All inverters reporting fault grid phase voltage out of range - GridV.OutLim and later site is back online at 18:20 on 10/22.</t>
  </si>
  <si>
    <t>1. SR108392
2. SR109809</t>
  </si>
  <si>
    <t>SR109809</t>
  </si>
  <si>
    <t>1. Site was offline from 02:15 on 10/23 to 13:00 on 10/29.</t>
  </si>
  <si>
    <t>1. SR110198</t>
  </si>
  <si>
    <t>1. Site tripped offline at 09:05 to 11:30 on 10/07 due to planned outage.
2. Site tripped offline at 09:10 to 16:05 on 10/10 due to repairs at the site.
3. Site tripped offline at 09:10 to 16:25 on 10/13 and later self reolved.</t>
  </si>
  <si>
    <t>1. SR109102, SR109103
2. SR109325
3. SR109403</t>
  </si>
  <si>
    <t>SR109103</t>
  </si>
  <si>
    <t>SR109325</t>
  </si>
  <si>
    <t>SR109403</t>
  </si>
  <si>
    <t>1. Trackers TCU 41 Strucked on 10/07.</t>
  </si>
  <si>
    <t>1. SR109160</t>
  </si>
  <si>
    <t>1. inverter 4 is underperforming by 10 kW from 10/07.</t>
  </si>
  <si>
    <t>1. SR109156</t>
  </si>
  <si>
    <t>1. Trackers TCU 39 Strucked on 10/07 and TCU 33 and 66 strucked on 10/14.</t>
  </si>
  <si>
    <t>1. SR109157</t>
  </si>
  <si>
    <t>1. The site tripped offline from 10:30 to 15:15 on 10/16 due to car on pole.</t>
  </si>
  <si>
    <t>1. SR109198, SR109525
SR109585</t>
  </si>
  <si>
    <t>SR109525</t>
  </si>
  <si>
    <t>SR109585</t>
  </si>
  <si>
    <t>November Actual v. Expected</t>
  </si>
  <si>
    <t>November Actual v. Forecasted</t>
  </si>
  <si>
    <t>1. Estimated values are low in AE we have also verified the file which was given by GC</t>
  </si>
  <si>
    <t>1. Inverter 1 middle unit was offline on 11/25</t>
  </si>
  <si>
    <t>1.SR111795</t>
  </si>
  <si>
    <t>1.New</t>
  </si>
  <si>
    <t>1. Weather station stopped communicating on 11/22 at 07:00. replacement POA.</t>
  </si>
  <si>
    <t xml:space="preserve">1. SR093633
</t>
  </si>
  <si>
    <t xml:space="preserve">1. Pending </t>
  </si>
  <si>
    <t>1. 26 optimizers are down for roof repair.
2. Weather station stopped communicating since 06/14/24.</t>
  </si>
  <si>
    <t xml:space="preserve">1.SR093924
2. SR086842
</t>
  </si>
  <si>
    <t>1. Pending 
2. Closed</t>
  </si>
  <si>
    <t>1. Inverter 3 is underproducing due to unit(7E9C82CA) underproducing from 13:30 on 06/20 and reporting "external fan" fault.
2. Actual vs expected delta is showing 34% due to expected energy recording low possibly due to data glitch (similar event observe last 2 years).</t>
  </si>
  <si>
    <t>1. Inverter 1, Unit 12, was offline from 10/01 to 10/16. Two strings were isolated from Unit 1.2 on 10/16. The technician re-landed the strings and paired the inverter, and the inverters units have been producing as expected since 11/15.</t>
  </si>
  <si>
    <t>1. PM8307, SR109623</t>
  </si>
  <si>
    <t>1. Inverter 12 tripped offline at 17:00 on 10/20. After the technician power-cycled the inverter, it came back online at 08:00 on 11/20.</t>
  </si>
  <si>
    <t>1.Site was offline from 15:15 on 11/12 and back online at 12:15 on 11/14</t>
  </si>
  <si>
    <t>1.SR111002</t>
  </si>
  <si>
    <t>1.  Actual vs forcasted delta is showing 15% due to expected energy recording low possibly due to data glitch (similar event observe last 2 years).</t>
  </si>
  <si>
    <t>1. Inverter 2 has morning shading.</t>
  </si>
  <si>
    <t>1. SR093236</t>
  </si>
  <si>
    <t>1. Actual vs Forcasted delta is showing 47% due to Forcasted energy recording low possibly due to data glitch (similar event observe last 2 years).</t>
  </si>
  <si>
    <t>1. SR102529</t>
  </si>
  <si>
    <t>1. Inverter 1’s left unit went offline on 10/29 and remained offline for the rest of the month.</t>
  </si>
  <si>
    <t>1. SR110250</t>
  </si>
  <si>
    <t>1. Some optimizers with production issues 1264FFBB-30 - Half production  12639DA9-BB - Half production</t>
  </si>
  <si>
    <t>1. SR088282</t>
  </si>
  <si>
    <t>1. Inverter 2 expericing afternoon shading issue</t>
  </si>
  <si>
    <t>1. Inverter 2, unit 2.3, was being RMA’d, and Inverter 2 went offline at 13:00 on 11/06.
2. Inverter 3 middle unit tripped offline at 12:15 on 11/17.</t>
  </si>
  <si>
    <t>1. SR108939, SR110231
2. SR112049</t>
  </si>
  <si>
    <t>1. Closed
2. New</t>
  </si>
  <si>
    <t>SR110231</t>
  </si>
  <si>
    <t>SR112049</t>
  </si>
  <si>
    <t>1. SR088813</t>
  </si>
  <si>
    <t>1.Inverter 1 has shading issue.</t>
  </si>
  <si>
    <t>1. 4 Inverter modules are offline Module 1.0.64 Module 4.0.39 3.0.20 1.0.64</t>
  </si>
  <si>
    <t>1. SR093324</t>
  </si>
  <si>
    <t>1. Inverter 1’s right unit went offline at 08:00 on 10/31 and remained offline throughout the month.</t>
  </si>
  <si>
    <t>1. SR111880</t>
  </si>
  <si>
    <t xml:space="preserve">1. SR093326, SR110229
</t>
  </si>
  <si>
    <t>SR110229</t>
  </si>
  <si>
    <t>1.Inverter modules 3.0.144 and 5.0.100 are offline 4.0.66 - 30513B3F-FB - half 
production because split between 4 modules</t>
  </si>
  <si>
    <t>1. SR093327</t>
  </si>
  <si>
    <t>1.Inverter 2 having heavy shading isuue in mid day hours</t>
  </si>
  <si>
    <t>1. SR109950</t>
  </si>
  <si>
    <t>1. Inverter 1 unit 1.1 went offline at 09:30 on 09/27, and unit 1.2 went offline at 17:00 on 10/19. After the technician replaced the blown fuses in the inverter powerhead, the inverter began producing as expected.</t>
  </si>
  <si>
    <t>1. Inverter 1 having morning shading issue.</t>
  </si>
  <si>
    <t xml:space="preserve">1.Inverter 1 unit 1.2 having evening shading issue </t>
  </si>
  <si>
    <t>1. SR105932
2. SR098241
3. SR105932</t>
  </si>
  <si>
    <t>1. Inverter 2 derating by 150kW from 10/17/25.
2. The site went offline at 14:00 on 11/04 and came back online at 08:00 on 11/05 while the technician was onsite performing PM inspections.</t>
  </si>
  <si>
    <t>1. SR109775
2. PM1971</t>
  </si>
  <si>
    <t>1. The meter lost communication at 14:05 on 03/16. After the technician re-installed and re-rigged the meter, it was back online at 16:50 on 11/19.</t>
  </si>
  <si>
    <t>1. SR098641</t>
  </si>
  <si>
    <t>1. Inverters 21 to 27 and 30 to 33 have been offline since 10/17, and Inverter 13 has been offline since 10/18. After the technician replaced the fuses, all these inverters were back online at 11:20 on 11/20.</t>
  </si>
  <si>
    <t xml:space="preserve">1. SR106726, SR110996 </t>
  </si>
  <si>
    <t>SR110996</t>
  </si>
  <si>
    <t>1. The Production was low on 11/12, 11/17, 11/18, 11/29, and 11/30 due to low irradiance.</t>
  </si>
  <si>
    <t>1. Weather station lost communication from 07/15.</t>
  </si>
  <si>
    <t xml:space="preserve">1.SR107603
</t>
  </si>
  <si>
    <t>1. Denied</t>
  </si>
  <si>
    <t>1. The Production was low on 11/13, 11/17, 11/18, 11/29, and 11/30 due to low irradiance.</t>
  </si>
  <si>
    <t>1. The Production was low on 11/05, 11/09, 11/10 and 11/16 due to low irradiance.</t>
  </si>
  <si>
    <t>1. Inverter 2 tripped offline at 07:00 on 11/01, reporting an "AC Contactor Fault." After the technician Power cycling, it came back online at 11:40 on 11/03. and again tripped offline at 07:00 on 11/10 and back online at 14:55 on 11/14.
2. The site was taken offline from 12:05 to 13:25 on 11/04 while the technician was onsite troubleshooting Inverter 2.</t>
  </si>
  <si>
    <t>1. SR110488, SR111045
2. SR111045</t>
  </si>
  <si>
    <t>SR111045</t>
  </si>
  <si>
    <t>1. The site tripped offline at 22:15 on 11/15 and later self-resolved,  back online at 11:45 on 11/16.</t>
  </si>
  <si>
    <t>1. SR111167</t>
  </si>
  <si>
    <t>1. Site stopped communication to DAS at 02:00 on 11/20.</t>
  </si>
  <si>
    <t>1. SR111378</t>
  </si>
  <si>
    <t>1. The site tripped offline at 14:00 on 11/05 and back online at 07:00 on 11/06.
2. The site was taken offline from 09:45 to 14:50 on 11/21 while the technician was onsite. Inverters 3 and 4 were taken offline and remained offline throughout the month. The site was taken offline again from 09:50 to 12:20 on 11/26 while the technician was onsite cleaning out a rodent infestation in Inverters 3 and 4.</t>
  </si>
  <si>
    <t xml:space="preserve">1. SR110681
2. SR105508 </t>
  </si>
  <si>
    <t>SR105508</t>
  </si>
  <si>
    <t>1. rackers A7, A10, F27, F33, G13, and G14 have been out of service since 10/23. These trackers need to be replaced and are pending replacement.
2. Site lost communication to DAS at 11:35 from 11/29, Site regained it's communication at 02:05 on 11/30.but data was not backfilled.</t>
  </si>
  <si>
    <t>1. SR109834</t>
  </si>
  <si>
    <t>1.  Gateway 5 missing 3 trackers 6, 14 and 15 were strucked since 08/20.</t>
  </si>
  <si>
    <t>1. SR106622,SR110008</t>
  </si>
  <si>
    <t>SR110008</t>
  </si>
  <si>
    <t>1. The site tripped offline at 20:05 on 11/16. After the technician replaced the switchgear and SEL, the site came back online at 10:05 on 11/19.
2. The site tripped offline at 09:30 on 11/23. After the technician reset the and SEL, the site came back online at 10:00 on 11/25.
3. The site tripped offline at 18:55 on 11/28 and later self-resolved. The site came back online at 16:35 on 11/29.</t>
  </si>
  <si>
    <t>1. SR111199
2. SR111498
3. SR111826</t>
  </si>
  <si>
    <t>SR111498</t>
  </si>
  <si>
    <t>SR111826</t>
  </si>
  <si>
    <t>1. Inverter 12 tripped offline at 14:00 on 10/15. After the technician replaced the parts, the inverter came back online at 11:15 on 11/05.
2. Inverter 29 tripped offline at 12:30 on 10/27 and reported ‘Grid Phase Voltage Out of Range.’ After the technician reset the breaker, the inverter came back online at 12:15 on 11/05.</t>
  </si>
  <si>
    <t xml:space="preserve">1. SR109568
2. SR108847, SR110116
</t>
  </si>
  <si>
    <t xml:space="preserve">1. Closed
2. Closed
</t>
  </si>
  <si>
    <t>1. 6 trackers were stuck from 10/17, an additional tracker resumed tracking. TCU 255 is currently under RMA.
2. Site lost communication to DAS at 11:40 on 11/20, Site regained it's communication at 22:05 on 11/20.
3.Weather station regained its communication at 14:45 on 11/30</t>
  </si>
  <si>
    <t>1. SR108338
2. SR111393</t>
  </si>
  <si>
    <t>1. Denied
2. Closed</t>
  </si>
  <si>
    <t>SR111393</t>
  </si>
  <si>
    <t>1. POA Pyranometer UP stopped communicating from 11/16 and POA Pyranometer DOWN stopped communicating since past years</t>
  </si>
  <si>
    <t>1.SR112202</t>
  </si>
  <si>
    <t>1. Inverter 1 has been experiencing multiple trip events since 11:25 on 11/18. Additionally, the inverter tripped offline at 09:30 on 11/19.
2. The site went offline at 12:30 on 11/20 due to an MV issue and remained offline throughout the month.</t>
  </si>
  <si>
    <t>1. SR111271
2. SR111271</t>
  </si>
  <si>
    <t>SR111271</t>
  </si>
  <si>
    <t>1.Deined</t>
  </si>
  <si>
    <t>1.Site tripped offline at 13:40 on 10/31 back online at 08:20 on 11/02 
2.site tripped offline at 08:05 back online at 13:00 on 11/12</t>
  </si>
  <si>
    <t>1.SR110436
2.	SR110913</t>
  </si>
  <si>
    <t>SR110913</t>
  </si>
  <si>
    <t>1.site tripped offline at 08:05 back online at 13:00 on 11/12</t>
  </si>
  <si>
    <t>1.	SR110914</t>
  </si>
  <si>
    <t>1.Inverters were taken offline from 09:55 to 11:55 on 11/04 while technician was onsite to update firware.</t>
  </si>
  <si>
    <t xml:space="preserve">1.SR109797 </t>
  </si>
  <si>
    <t>1. 15 trackers are currently stuck on 11/11
     Tracker 01 devices 11, 38, 44, 75, 92, 106, 119
     Tracker 02 devices 21, 27, 36, 43, 52, 66, 88, 124</t>
  </si>
  <si>
    <t>1.	SR111019</t>
  </si>
  <si>
    <t>1.Site was offline at 13:40 on 10/31 and back online at 08:20 on 11/02 
2.Site offline at 08:00 back online at 13:00 on 11/12</t>
  </si>
  <si>
    <t>1.SR110434
2.	SR110915</t>
  </si>
  <si>
    <t>SR110915</t>
  </si>
  <si>
    <t>1.Site was offline at 13:45 on 10/31 back online at 08:20 on 11/02
2.Site offline at 08:00 back online at 13:00 on 11/12</t>
  </si>
  <si>
    <t>1.SR110435
2.	SR110918</t>
  </si>
  <si>
    <t>SR110918</t>
  </si>
  <si>
    <t>1.Inverter module 1-1 was offline whole day on 11/09.
2.Inverter module 1-2 was offline whole day on 11/10.
3.Modules startting late for the production most of the days during the month</t>
  </si>
  <si>
    <t>1.Inverter module 1-1 was offline whole day on 11/09.
2.Inverter module 1-2 was offline whole day on 11/10.
3.Modules startting late for the production most of the days during the month
4.Meter is intermittently lossing communication since 09/04, production can be verified at inverter level.</t>
  </si>
  <si>
    <t>1.SR107667</t>
  </si>
  <si>
    <t>1.Site is back online at 09:00 on 11/03
2.Site tripped offline at 00:00 on 11/04 and later tech closed the recloser at 11:00 on 11/04</t>
  </si>
  <si>
    <t>1.SR110474
2.SR110575</t>
  </si>
  <si>
    <t>SR110575</t>
  </si>
  <si>
    <t>1.Inverter 1 &amp; 2 module 2 has started late for the production at 12:00 on 11/09. 2.Modules started late for the production most of the days.</t>
  </si>
  <si>
    <t>1.Site production was low on 11/07 &amp; 11/10 due to rain or snow</t>
  </si>
  <si>
    <t>1.Site tripped offline at 12:20pm on 11/27 and back online at 11:30 on 11/29
2.Tracker 30 has stuck at -44deg at 08:35 on 11/04 and later back to track at 14:30 on 11/17</t>
  </si>
  <si>
    <t>1.SR111801</t>
  </si>
  <si>
    <t>1.Site tripped offline at 3:45PM on 11/16 and later back online at 08:10 on 11/07
2. Site was offline from 12:05pm on 11/26 and remained offline throughout the month.</t>
  </si>
  <si>
    <t>1.SR111175
2.SR111776, SR111964</t>
  </si>
  <si>
    <t>1.Closed
2. Pending</t>
  </si>
  <si>
    <t>SR111776</t>
  </si>
  <si>
    <t>SR111964</t>
  </si>
  <si>
    <t>1. Inverter is offline from 11/01 and back online at 11:35 on 11/05</t>
  </si>
  <si>
    <t>1.SR110487</t>
  </si>
  <si>
    <t>1.MTR 1 - 4 tracker has stuck at -3.31 deg from 12:30 on 10/31. Impacting production during morning and evening hours</t>
  </si>
  <si>
    <t>1.SR112194</t>
  </si>
  <si>
    <t>1.The inverter tripped offline around 7:05am later ROC reset the inverter at 8:50am est on 11/15. 
2.Inverter tripped offline at 15:45 on 11/29. ROC reset the inverter at 9:30am on 11/30</t>
  </si>
  <si>
    <t>1.SR111157
2.SR111837</t>
  </si>
  <si>
    <t>SR111837</t>
  </si>
  <si>
    <t>1.Site tripped offline at 04:25 on 11/01 and back online at 10:20 on 10/15. Again site tripped offline at 10:50 on 11/16 later back online at 11:50 on 11/17 again tripped offline at 13:45 on 11/18 and back online at 14:25 on 11/24
2.Site tripped offline at 12:30 to 14:35 on 11/26
3.All Inverter tripped offline at 14:25 on 11/28 and back online at 12:30 on 11/29 and again tripped offline at 11:55 on 11/30</t>
  </si>
  <si>
    <t>1.SR110430
2.SR111779
3.SR111825</t>
  </si>
  <si>
    <t>1.Completed
2.Completed
3.Pending</t>
  </si>
  <si>
    <t>SR111779</t>
  </si>
  <si>
    <t>SR111825</t>
  </si>
  <si>
    <t>1.Site was offline at 01:20 on 11/03 back online at 13:20 on 11/05</t>
  </si>
  <si>
    <t>1.SR110563</t>
  </si>
  <si>
    <t>1.closed</t>
  </si>
  <si>
    <t>1.Inverter tripped offline at 11:45 and back online at 13:20 on 11/12</t>
  </si>
  <si>
    <t>1.	SR108827</t>
  </si>
  <si>
    <t>1.Site production was low on 11/09 &amp; 11/10 , 11/11 due to rain or snow</t>
  </si>
  <si>
    <t>1.Site production was low on 11/14 due to rain or snow</t>
  </si>
  <si>
    <t>1.Inverter offline at 09:05 on 11/06 and came back online at 10:55 on 11/07 and again inverter offline at 06:00 came back online at 12:25 on 11/08
2.Site was offline at 08:20 came back online at 13:25 on 11/18</t>
  </si>
  <si>
    <t>1.SR110716
2.SR111256</t>
  </si>
  <si>
    <t>SR111256</t>
  </si>
  <si>
    <t>1.The meter is missing phase A throughout the month, resulting in incomplete production data for both inverters. GC will review in 2026
2.NCU 1 is missing communications and tracker angles cannot be confirmed, NCU 4 SPC 1015 is stuck.</t>
  </si>
  <si>
    <t>1.SR108248
2.SR108120</t>
  </si>
  <si>
    <t>1.Site is back online at 15:30 on 11/01</t>
  </si>
  <si>
    <t>1.SR110483</t>
  </si>
  <si>
    <t>1.	SR106921</t>
  </si>
  <si>
    <t xml:space="preserve">1.Site was offline on 11/01 and back online at 10:35 on 11/02 </t>
  </si>
  <si>
    <t>1.SR110473</t>
  </si>
  <si>
    <t>1.25 trackers are currently stuck:
          NCU 1 SPC 101, 106, 111, 112, 116, 118, 201, 204, 301, 302, 305, 307, 309, 310
          NCU 2 SPC 125, 126, 136, 141, 223, 234, 242, 324, 327, 338, 341</t>
  </si>
  <si>
    <t>1.	SR110135</t>
  </si>
  <si>
    <t>1.15 trackers are stuck: NCU 1 SPC 101, 206, 218, &amp; 314 NCU 2 SPC 118, 128, 230, 234, 321, 323, 333, 334, 336, 337, &amp; 343
2.POA pyranometer stopped communicating from 14:05 on 11/07. Additionally, rPOA pyranometer is not communicating since past years</t>
  </si>
  <si>
    <t>1.SR098860
2.SR112216</t>
  </si>
  <si>
    <t>1.Pending
2.New</t>
  </si>
  <si>
    <t>SR112216</t>
  </si>
  <si>
    <t xml:space="preserve"> 1.7 trackers 119,216,220,329, 338, 143, and 240 have seized slew drives. 
2.Site was offline on 10/30 and back online at 11:35 on 11/05
3.Site tripped offline at 09:25 back online at 14:05 on 11/09
4.Site tripped offline at 19:50 on 11/16 back online at 09:05 on 11/18</t>
  </si>
  <si>
    <t>1.SR109998
2.	SR110355
3.	SR110838
4.	SR111220</t>
  </si>
  <si>
    <t>1.Pending
2.Closed
3.Closed
4.Closed</t>
  </si>
  <si>
    <t>SR110355</t>
  </si>
  <si>
    <t>SR110838</t>
  </si>
  <si>
    <t>SR111220</t>
  </si>
  <si>
    <t>1.Weather station is not communicating through out the month.
2.Inverter tripped offline at 17:45 on 10/05 and back online at 11:55 on 11/21</t>
  </si>
  <si>
    <t>1.SR109079
2.SR109080</t>
  </si>
  <si>
    <t>1.Deined
2.Closed</t>
  </si>
  <si>
    <t>SR109080</t>
  </si>
  <si>
    <t>1.Site was offline on 11/01 and came back online on 11/02
2.Site was offline at 06:30 and back online at 09:03 on 11/05
3.Site tripped offline at 08:40 on 11/10 and came back online at 10:31 on 11/12
4.Site tripped offline at 06:47 came back online at 11:37 on 11/15
5.Site offline at 06:00 it came back online at 11:06 on 11/17
6.Site tripped offline at 07:25 it came back online at 14:23 on 11/30</t>
  </si>
  <si>
    <t>1.SR110477
2.SR110660
3.SR110852
4.	SR111161
5.	SR111183
6.	SR111841</t>
  </si>
  <si>
    <t>1.Closed
2.Closed
3.Closed
4.Closed
5.Closed
6.Closed</t>
  </si>
  <si>
    <t>SR110660</t>
  </si>
  <si>
    <t>SR110852</t>
  </si>
  <si>
    <t>SR111161</t>
  </si>
  <si>
    <t>SR111183</t>
  </si>
  <si>
    <t>SR111841</t>
  </si>
  <si>
    <t>Actual vs Forcasted delta is showing 13% due to Forcasted energy recording low possibly due to data glitch (similar event observe last 2 years).</t>
  </si>
  <si>
    <t>Actual vs Forcasted delta is showing 25% due to Forcasted energy recording low possibly due to data glitch (similar event observe last 2 years).</t>
  </si>
  <si>
    <t>1.Site was tripped offline from 03:30 and back online 05:15 on 11/04 
2. Inverters 2.01 to 2.24 are offline on 11/12 and came back online at 09:00 on 11/13</t>
  </si>
  <si>
    <t>1.SR110576
2.SR110935</t>
  </si>
  <si>
    <t>1.Closed
2.Completed</t>
  </si>
  <si>
    <t>SR110935</t>
  </si>
  <si>
    <t>1.Site was offline at 11:00 on 11/04 and it came back online at 09:45 on 11/05</t>
  </si>
  <si>
    <t>1.SR110655</t>
  </si>
  <si>
    <t>1.Inverters 1,2 are having morning shading issue</t>
  </si>
  <si>
    <t>1.Site production was low due to low irradiance or snow on 11/10 , 11/12 , 11/26 , 11/30</t>
  </si>
  <si>
    <t>1. Actual vs Forcasted delta is showing 19% due to Forcasted energy recording low possibly due to data glitch (similar event observe last 2 years).</t>
  </si>
  <si>
    <t>1.Site production was low due to low irradiance or snow on 11/09 , 11/10 , 11/26 , 11/30</t>
  </si>
  <si>
    <t>1. Inverter 1 unit 1.5 was offline from 10/10 and it came back online on 11/10
2. Inverter 3 unit 3.1 was offline from 10/10 and it came back online on 11/10</t>
  </si>
  <si>
    <t>1.	SR110156
2.	SR110155</t>
  </si>
  <si>
    <t>1. Inverter 2, unit 2.1 offline on 11/28</t>
  </si>
  <si>
    <t>1.SR111819</t>
  </si>
  <si>
    <t>1. Actual vs Forcasted delta is showing 24% due to Forcasted energy recording low possibly due to data glitch (similar event observe last 2 years).</t>
  </si>
  <si>
    <t>1.Site was offline from 08:15 to 14:45 on 11/04</t>
  </si>
  <si>
    <t>1.SR110598</t>
  </si>
  <si>
    <t xml:space="preserve">1.Multiple trackers are stuck
2.Site was offline on 11/04  at 11:30 to 15:30 </t>
  </si>
  <si>
    <t>1.SR109332
2.	SR110652</t>
  </si>
  <si>
    <t>1.Pending
2.Closed</t>
  </si>
  <si>
    <t>SR110652</t>
  </si>
  <si>
    <t>1.Inverter 3 having heavy shading issue in morning hours
2. Actual vs Forcasted delta is showing 18% due to Forcasted energy recording low possibly due to data glitch (similar event observe last 2 years).</t>
  </si>
  <si>
    <t>1.Site was offline on 10/31 at 11:00 and it came back online on 11/04
2.Site was offline on 11/11 and it came back online at 10:15 on 11/18</t>
  </si>
  <si>
    <t>1.SR110484
2.SR110884</t>
  </si>
  <si>
    <t>SR110884</t>
  </si>
  <si>
    <t>1.Site came back online at 10:30 on 11/01
2.Site was offline on 11/06 and it came back online at 10:40 on 11/07 
3.Site was offline at 10:00 on 11/20 at 10:10 on 11/21</t>
  </si>
  <si>
    <t>1.SR110407
2.	SR110728
3.SR111391</t>
  </si>
  <si>
    <t>1.Closed
2.Closed
3.Closed</t>
  </si>
  <si>
    <t>SR110728</t>
  </si>
  <si>
    <t>SR111391</t>
  </si>
  <si>
    <t>1.Site was tripped offline at 08:00 on 11/04 and it came back online on 11/06</t>
  </si>
  <si>
    <t>1.	SR110246</t>
  </si>
  <si>
    <t>1.Site was offline at 19:50 on 10/31 and it came back online at 10:40 on 11/02
2.Inverter 1 offline on 11/08 and it came back online at 12:50 on 11/09
3. All trackers are stuck between 51 and 55 DEG on 11/12. on 11/17  Technician was reset trackers, tracking properly tracking.</t>
  </si>
  <si>
    <t>1.SR110476
2.	SR110703
3.	SR110938</t>
  </si>
  <si>
    <t>SR110703</t>
  </si>
  <si>
    <t>SR110938</t>
  </si>
  <si>
    <t>1.Site tripped offline from 13:30 to 16:00 on 11/21</t>
  </si>
  <si>
    <t>1.SR111476</t>
  </si>
  <si>
    <t>1.Site was offline due to utility at 08:00 on 11/05 came back online at 16:20 on same day</t>
  </si>
  <si>
    <t>1.	SR110669</t>
  </si>
  <si>
    <t>1.Site tripped offline at 16:10 on 11/26 and it came back online at 10:40 on 11/28</t>
  </si>
  <si>
    <t>1.SR111796</t>
  </si>
  <si>
    <t>1.Site was offline from 12:45 to 13:00 on 11/08
2.The meter is missing comms but the inverters are communicating on 11/30</t>
  </si>
  <si>
    <t>1.	SR110776
2.	SR111863</t>
  </si>
  <si>
    <t>1.Closed
2.pendig</t>
  </si>
  <si>
    <t>SR111863</t>
  </si>
  <si>
    <t xml:space="preserve">1.Site tripped offline at 08:20 on 11/06 and it came back online at 12:10 on 11/07
2.Site took offline for some maintenance on the circuit from 07:00 until 18:00 on  11/12/25.	</t>
  </si>
  <si>
    <t>1.	SR110704
2.SR110882</t>
  </si>
  <si>
    <t>SR110882</t>
  </si>
  <si>
    <t>1. Inverter 2 was offline at 07:00 on 10/11. denied by customer
2. The meter has been communicating intermittently throughout the month.</t>
  </si>
  <si>
    <t xml:space="preserve">1.Closed
2.Pending
</t>
  </si>
  <si>
    <t xml:space="preserve">1.Site tripped offline from 11:00 to 12:30 on 11/01 and again site tripped offline at 23:45 on 11/03 and it came back online at 09:45 on 11/06 
2. All trackers are stuck from 10:25 am CST on 11/6. NCU is reporting a snow alarm.
3.Site was offline at 05:45 on 11/18 </t>
  </si>
  <si>
    <t>1.	SR110361
2.	SR110787
3.SR110863</t>
  </si>
  <si>
    <t>1.Closed
2.Pending
3.Pending</t>
  </si>
  <si>
    <t>SR110787</t>
  </si>
  <si>
    <t>SR110863</t>
  </si>
  <si>
    <t>1.Site was tripped offline at 12:30 on 11/05 and it came back online on 01:15 on 11/06
2.Site tripped offline from 06:15 to 07:15 on 11/07
3. Inverter 2 is constantly derating at 50kW from 08:30 on 11/10 and reporting "Temperature Sensor Fault - Warn0050".
4. Weather station stopped communicating on 9/22.</t>
  </si>
  <si>
    <t>1.SR110691
2.	SR110755
3.SR110867
4.SR108392</t>
  </si>
  <si>
    <t>1.Closed
2.Closed
3.Pending
4.Pending</t>
  </si>
  <si>
    <t>SR110755</t>
  </si>
  <si>
    <t>SR110867</t>
  </si>
  <si>
    <t>1. Inverter 2 tripped offline at 09:45 on 11/03 and It came back online on 11/06
2. site tripped offline 08:31 on 11/13 it came back online on same day
3. Inverter 2 tripped offline at 11:00 on 11/15 it came back online on 11/16</t>
  </si>
  <si>
    <t>1.SR110574
2.	SR111001
3.	SR111163</t>
  </si>
  <si>
    <t>1.Closed
2.Closed
3.Pending</t>
  </si>
  <si>
    <t>SR111001</t>
  </si>
  <si>
    <t>SR111163</t>
  </si>
  <si>
    <t xml:space="preserve">1. Site was  taken off for utility maintenance on 11/12 from 07:00 to 18:00
</t>
  </si>
  <si>
    <t>1.SR110883</t>
  </si>
  <si>
    <t>1. Trackers TCU 41 Strucked on 10/07.Hold until 2026 per client</t>
  </si>
  <si>
    <t>1.SR109160</t>
  </si>
  <si>
    <t>1.Denied</t>
  </si>
  <si>
    <t>1. Inverter 4 is underperforming by 10 kW from 10/07. Hold until 2026 per client</t>
  </si>
  <si>
    <t>1.SR109156</t>
  </si>
  <si>
    <t>1. Trackers TCU 39 Strucked on 10/07 and TCU 33 and 66 strucked on 10/14.Hold until 2026 per client</t>
  </si>
  <si>
    <t>1.	SR109157</t>
  </si>
  <si>
    <t>1. Inverters 1.10, 2.05, and 2.11 have been intermittently derating to 50 kW during high-irradiance days since 11/10.</t>
  </si>
  <si>
    <t>1. SR112383</t>
  </si>
  <si>
    <t>December Actual v. Expected</t>
  </si>
  <si>
    <t>December Actual v. Forecasted</t>
  </si>
  <si>
    <t>Portfolio:</t>
  </si>
  <si>
    <t>Generate Capital</t>
  </si>
  <si>
    <t>Site DAS Name</t>
  </si>
  <si>
    <t>Update</t>
  </si>
  <si>
    <t>DAS</t>
  </si>
  <si>
    <t>K026</t>
  </si>
  <si>
    <t>NY</t>
  </si>
  <si>
    <t>PowerTrack</t>
  </si>
  <si>
    <t>SOL-10356</t>
  </si>
  <si>
    <t>K041</t>
  </si>
  <si>
    <t>SOL-10357</t>
  </si>
  <si>
    <t>K043 Brooklyn</t>
  </si>
  <si>
    <t>K043</t>
  </si>
  <si>
    <t>SOL-10358</t>
  </si>
  <si>
    <t>K058</t>
  </si>
  <si>
    <t>SOL-10360</t>
  </si>
  <si>
    <t>K115</t>
  </si>
  <si>
    <t>SOL-10361</t>
  </si>
  <si>
    <t>K152</t>
  </si>
  <si>
    <t>SOL-10362</t>
  </si>
  <si>
    <t>K166</t>
  </si>
  <si>
    <t>SOL-10363</t>
  </si>
  <si>
    <t>K206</t>
  </si>
  <si>
    <t>SOL-10927</t>
  </si>
  <si>
    <t>K251</t>
  </si>
  <si>
    <t>SOL-10365</t>
  </si>
  <si>
    <t>K269</t>
  </si>
  <si>
    <t>SOL-10366</t>
  </si>
  <si>
    <t>K273</t>
  </si>
  <si>
    <t>SOL-10367</t>
  </si>
  <si>
    <t>K287</t>
  </si>
  <si>
    <t>SOL-10919</t>
  </si>
  <si>
    <t>K298</t>
  </si>
  <si>
    <t>SOL-10368</t>
  </si>
  <si>
    <t>K335</t>
  </si>
  <si>
    <t>SOL-10370</t>
  </si>
  <si>
    <t>K345</t>
  </si>
  <si>
    <t>SOL-10920</t>
  </si>
  <si>
    <t>K445</t>
  </si>
  <si>
    <t>SOL-10373</t>
  </si>
  <si>
    <t>K495</t>
  </si>
  <si>
    <t>SOL-10374</t>
  </si>
  <si>
    <t>M020</t>
  </si>
  <si>
    <t>SOL-10380</t>
  </si>
  <si>
    <t>M092</t>
  </si>
  <si>
    <t>SOL-10383</t>
  </si>
  <si>
    <t>M143</t>
  </si>
  <si>
    <t>SOL-10384</t>
  </si>
  <si>
    <t>M144</t>
  </si>
  <si>
    <t>SOL-10385</t>
  </si>
  <si>
    <t>M167</t>
  </si>
  <si>
    <t>SOL-10386</t>
  </si>
  <si>
    <t>M188</t>
  </si>
  <si>
    <t>SOL-10387</t>
  </si>
  <si>
    <t>Elmhurst Hospital</t>
  </si>
  <si>
    <t>EMHC</t>
  </si>
  <si>
    <t>SOL-10351</t>
  </si>
  <si>
    <t>Q008</t>
  </si>
  <si>
    <t>SOL-10397</t>
  </si>
  <si>
    <t>Q018</t>
  </si>
  <si>
    <t>SOL-10398</t>
  </si>
  <si>
    <t>Q021</t>
  </si>
  <si>
    <t>SOL-10399</t>
  </si>
  <si>
    <t>Q025</t>
  </si>
  <si>
    <t>SOL-10400</t>
  </si>
  <si>
    <t>Q074</t>
  </si>
  <si>
    <t>SOL-10402</t>
  </si>
  <si>
    <t>Q115</t>
  </si>
  <si>
    <t>SOL-10872</t>
  </si>
  <si>
    <t>Q139</t>
  </si>
  <si>
    <t>SOL-10403</t>
  </si>
  <si>
    <t>Q157</t>
  </si>
  <si>
    <t>SOL-10404</t>
  </si>
  <si>
    <t>Q192</t>
  </si>
  <si>
    <t>SOL-10406</t>
  </si>
  <si>
    <t>Q210</t>
  </si>
  <si>
    <t>SOL-10407</t>
  </si>
  <si>
    <t>Q229</t>
  </si>
  <si>
    <t>SOL-10408</t>
  </si>
  <si>
    <t>Q231</t>
  </si>
  <si>
    <t>SOL-10870</t>
  </si>
  <si>
    <t>Q405</t>
  </si>
  <si>
    <t>SOL-10409</t>
  </si>
  <si>
    <t>Q435</t>
  </si>
  <si>
    <t>SOL-10923</t>
  </si>
  <si>
    <t>Q485</t>
  </si>
  <si>
    <t>SOL-10869</t>
  </si>
  <si>
    <t>Q490</t>
  </si>
  <si>
    <t>SOL-10411</t>
  </si>
  <si>
    <t>Q620</t>
  </si>
  <si>
    <t>SOL-10867</t>
  </si>
  <si>
    <t>Queens Museum of Art</t>
  </si>
  <si>
    <t>QMOA</t>
  </si>
  <si>
    <t>SOL-10415</t>
  </si>
  <si>
    <t>X024</t>
  </si>
  <si>
    <t>SOL-10419</t>
  </si>
  <si>
    <t>X026</t>
  </si>
  <si>
    <t>SOL-10420</t>
  </si>
  <si>
    <t>X090</t>
  </si>
  <si>
    <t>SOL-10925</t>
  </si>
  <si>
    <t>X117</t>
  </si>
  <si>
    <t>SOL-10422</t>
  </si>
  <si>
    <t>X125</t>
  </si>
  <si>
    <t>SOL-10423</t>
  </si>
  <si>
    <t>X134</t>
  </si>
  <si>
    <t>SOL-10424</t>
  </si>
  <si>
    <t>X135</t>
  </si>
  <si>
    <t>SOL-10425</t>
  </si>
  <si>
    <t>X-139  JHS 222</t>
  </si>
  <si>
    <t>X139 JHS 222</t>
  </si>
  <si>
    <t>SOL-10426</t>
  </si>
  <si>
    <t>X140</t>
  </si>
  <si>
    <t>SOL-10926</t>
  </si>
  <si>
    <t>X166</t>
  </si>
  <si>
    <t>SOL-10427</t>
  </si>
  <si>
    <t>Murphy (WaveSun)</t>
  </si>
  <si>
    <t>Murphy</t>
  </si>
  <si>
    <t>MN</t>
  </si>
  <si>
    <t>SOL-10094</t>
  </si>
  <si>
    <t>Terning (MontSun)</t>
  </si>
  <si>
    <t>Terning</t>
  </si>
  <si>
    <t>SOL-10093</t>
  </si>
  <si>
    <t>Boas Road 04</t>
  </si>
  <si>
    <t>FA</t>
  </si>
  <si>
    <t>Green Power Monitor</t>
  </si>
  <si>
    <t>SOL-10908</t>
  </si>
  <si>
    <t>Kelly Bridge Farm</t>
  </si>
  <si>
    <t>SOL-10911</t>
  </si>
  <si>
    <t>Pool Brook Farm</t>
  </si>
  <si>
    <t>Pool Brook Road</t>
  </si>
  <si>
    <t>SOL-10909</t>
  </si>
  <si>
    <t>Sackett Lake Farm 1</t>
  </si>
  <si>
    <t>Sackett Lake</t>
  </si>
  <si>
    <t>SOL-10910</t>
  </si>
  <si>
    <t>Burritt Road</t>
  </si>
  <si>
    <t>SOL-10913</t>
  </si>
  <si>
    <t>Villa Roma 1</t>
  </si>
  <si>
    <t>SOL-10914</t>
  </si>
  <si>
    <t>Villa Roma 2</t>
  </si>
  <si>
    <t>SOL-10915</t>
  </si>
  <si>
    <t>Washington 1</t>
  </si>
  <si>
    <t>SOL-10912</t>
  </si>
  <si>
    <t>Washington 3</t>
  </si>
  <si>
    <t>SOL-10828</t>
  </si>
  <si>
    <t>Washington 4</t>
  </si>
  <si>
    <t>SOL-10829</t>
  </si>
  <si>
    <t>Big Tree</t>
  </si>
  <si>
    <t>SOL-10966</t>
  </si>
  <si>
    <t>Canoga</t>
  </si>
  <si>
    <t>A</t>
  </si>
  <si>
    <t>SOL-10965</t>
  </si>
  <si>
    <t>County Route 84</t>
  </si>
  <si>
    <t>SOL-10967</t>
  </si>
  <si>
    <t>Donati</t>
  </si>
  <si>
    <t>SOL-10968</t>
  </si>
  <si>
    <t>Henrietta</t>
  </si>
  <si>
    <t>SOL-10972</t>
  </si>
  <si>
    <t>NY 70</t>
  </si>
  <si>
    <t>SOL-10970</t>
  </si>
  <si>
    <t>Reid (FFP)</t>
  </si>
  <si>
    <t>Reid</t>
  </si>
  <si>
    <t>SOL-10991</t>
  </si>
  <si>
    <t>Sangolqui</t>
  </si>
  <si>
    <t>SOL-10975</t>
  </si>
  <si>
    <t>State Highway 17B</t>
  </si>
  <si>
    <t>SOL-10988</t>
  </si>
  <si>
    <t>State Route 14A</t>
  </si>
  <si>
    <t>SOL-10997</t>
  </si>
  <si>
    <t>West Creek</t>
  </si>
  <si>
    <t>SOL-10995</t>
  </si>
  <si>
    <t>Wildflower</t>
  </si>
  <si>
    <t>SOL-10982</t>
  </si>
  <si>
    <t>Glen Mary 1</t>
  </si>
  <si>
    <t>SOL-10993</t>
  </si>
  <si>
    <t>Glen Mary 2</t>
  </si>
  <si>
    <t>SOL-10994</t>
  </si>
  <si>
    <t>Telegraph 1</t>
  </si>
  <si>
    <t>SOL-11003</t>
  </si>
  <si>
    <t>Telegraph 2</t>
  </si>
  <si>
    <t>SOL-11004</t>
  </si>
  <si>
    <t>Cafferty Hill</t>
  </si>
  <si>
    <t>SOL-10996</t>
  </si>
  <si>
    <t>Dunkleman</t>
  </si>
  <si>
    <t>SOL-11008</t>
  </si>
  <si>
    <t>Route 19 #1</t>
  </si>
  <si>
    <t>Route 19 1</t>
  </si>
  <si>
    <t>SOL-11001</t>
  </si>
  <si>
    <t>Route 19 #2</t>
  </si>
  <si>
    <t>Route 19 2</t>
  </si>
  <si>
    <t>SOL-11002</t>
  </si>
  <si>
    <t>Yellow Mills 1</t>
  </si>
  <si>
    <t>SOL-11006</t>
  </si>
  <si>
    <t>Yellow Mills 2</t>
  </si>
  <si>
    <t>SOL-11005</t>
  </si>
  <si>
    <t>Yellow Mills 3</t>
  </si>
  <si>
    <t>SOL-11007</t>
  </si>
  <si>
    <t>Catskill</t>
  </si>
  <si>
    <t>SOL-11021</t>
  </si>
  <si>
    <t>Eddy Ridge</t>
  </si>
  <si>
    <t>SOL-11054</t>
  </si>
  <si>
    <t>Ridgeway #1</t>
  </si>
  <si>
    <t>SOL-11018</t>
  </si>
  <si>
    <t>Rivard 1</t>
  </si>
  <si>
    <t>SOL-11011</t>
  </si>
  <si>
    <t>Rivard 2</t>
  </si>
  <si>
    <t>SOL-11012</t>
  </si>
  <si>
    <t>Ridgeway #2</t>
  </si>
  <si>
    <t>SOL-11027</t>
  </si>
  <si>
    <t>Spencer</t>
  </si>
  <si>
    <t>SOL-11017</t>
  </si>
  <si>
    <r>
      <rPr>
        <sz val="10"/>
        <rFont val="Arial"/>
        <family val="2"/>
      </rPr>
      <t>Reisender</t>
    </r>
  </si>
  <si>
    <t xml:space="preserve">Green Power Monitor  </t>
  </si>
  <si>
    <t>SOL-10886</t>
  </si>
  <si>
    <r>
      <rPr>
        <sz val="10"/>
        <rFont val="Arial"/>
        <family val="2"/>
      </rPr>
      <t>Finney</t>
    </r>
  </si>
  <si>
    <t xml:space="preserve">Green Power Monitor </t>
  </si>
  <si>
    <t>SOL-10999</t>
  </si>
  <si>
    <r>
      <rPr>
        <sz val="10"/>
        <rFont val="Arial"/>
        <family val="2"/>
      </rPr>
      <t>Davis Solar</t>
    </r>
  </si>
  <si>
    <t>Also Energy API</t>
  </si>
  <si>
    <t>SOL-10958</t>
  </si>
  <si>
    <r>
      <rPr>
        <sz val="10"/>
        <rFont val="Arial"/>
        <family val="2"/>
      </rPr>
      <t>Genesee</t>
    </r>
  </si>
  <si>
    <t>SOL-10951</t>
  </si>
  <si>
    <r>
      <rPr>
        <sz val="10"/>
        <rFont val="Arial"/>
        <family val="2"/>
      </rPr>
      <t>Landau I</t>
    </r>
  </si>
  <si>
    <t>SOL-10891</t>
  </si>
  <si>
    <r>
      <rPr>
        <sz val="10"/>
        <rFont val="Arial"/>
        <family val="2"/>
      </rPr>
      <t>Landau II</t>
    </r>
  </si>
  <si>
    <t>SOL-10895</t>
  </si>
  <si>
    <r>
      <rPr>
        <sz val="10"/>
        <rFont val="Arial"/>
        <family val="2"/>
      </rPr>
      <t>New Beginnings</t>
    </r>
  </si>
  <si>
    <t>SOL-10890</t>
  </si>
  <si>
    <t>Guilin Farm Solar</t>
  </si>
  <si>
    <t>Bullitt Farm Solar, LLC</t>
  </si>
  <si>
    <t>SOL-10998</t>
  </si>
  <si>
    <t>Brodhead Solar</t>
  </si>
  <si>
    <t>Brodhead Solar, LLC</t>
  </si>
  <si>
    <t>SOL-10899</t>
  </si>
  <si>
    <r>
      <rPr>
        <sz val="10"/>
        <rFont val="Arial"/>
        <family val="2"/>
      </rPr>
      <t>Svenski</t>
    </r>
  </si>
  <si>
    <t>SOL-10894</t>
  </si>
  <si>
    <r>
      <rPr>
        <sz val="10"/>
        <rFont val="Arial"/>
        <family val="2"/>
      </rPr>
      <t>Bantam</t>
    </r>
  </si>
  <si>
    <t>SOL-10986</t>
  </si>
  <si>
    <r>
      <rPr>
        <sz val="10"/>
        <rFont val="Arial"/>
        <family val="2"/>
      </rPr>
      <t>Bogart</t>
    </r>
  </si>
  <si>
    <t>SOL-10887</t>
  </si>
  <si>
    <r>
      <rPr>
        <sz val="10"/>
        <rFont val="Arial"/>
        <family val="2"/>
      </rPr>
      <t>Dubois</t>
    </r>
  </si>
  <si>
    <t>F</t>
  </si>
  <si>
    <t>SOL-10892</t>
  </si>
  <si>
    <r>
      <rPr>
        <sz val="10"/>
        <rFont val="Arial"/>
        <family val="2"/>
      </rPr>
      <t>Salt Point</t>
    </r>
  </si>
  <si>
    <t>SOL-10888</t>
  </si>
  <si>
    <r>
      <rPr>
        <sz val="10"/>
        <rFont val="Arial"/>
        <family val="2"/>
      </rPr>
      <t>Wheatland 2A</t>
    </r>
  </si>
  <si>
    <t>SOL-10971</t>
  </si>
  <si>
    <r>
      <rPr>
        <sz val="10"/>
        <rFont val="Arial"/>
        <family val="2"/>
      </rPr>
      <t>Wheatland 2B</t>
    </r>
  </si>
  <si>
    <t>SOL-10961</t>
  </si>
  <si>
    <r>
      <rPr>
        <sz val="10"/>
        <rFont val="Arial"/>
        <family val="2"/>
      </rPr>
      <t>Brickchurch</t>
    </r>
  </si>
  <si>
    <t>SOL-10889</t>
  </si>
  <si>
    <r>
      <rPr>
        <sz val="10"/>
        <rFont val="Arial"/>
        <family val="2"/>
      </rPr>
      <t>McCarthy Solar</t>
    </r>
  </si>
  <si>
    <t>SOL-10992</t>
  </si>
  <si>
    <r>
      <rPr>
        <sz val="10"/>
        <rFont val="Arial"/>
        <family val="2"/>
      </rPr>
      <t>Costanza</t>
    </r>
  </si>
  <si>
    <t>SOL-10907</t>
  </si>
  <si>
    <r>
      <rPr>
        <sz val="10"/>
        <rFont val="Arial"/>
        <family val="2"/>
      </rPr>
      <t>Lockenhurst Pond</t>
    </r>
  </si>
  <si>
    <t>SOL-11000</t>
  </si>
  <si>
    <r>
      <rPr>
        <sz val="10"/>
        <rFont val="Arial"/>
        <family val="2"/>
      </rPr>
      <t>Drinkwater</t>
    </r>
  </si>
  <si>
    <t>SOL-10896</t>
  </si>
  <si>
    <t>Altamont</t>
  </si>
  <si>
    <t>Krumkill North</t>
  </si>
  <si>
    <t>SOL-11086</t>
  </si>
  <si>
    <t>Krumkill South</t>
  </si>
  <si>
    <t>SOL-11087</t>
  </si>
  <si>
    <t>X092</t>
  </si>
  <si>
    <t>SOL-11189</t>
  </si>
  <si>
    <t>X093</t>
  </si>
  <si>
    <t>SOL-10932</t>
  </si>
  <si>
    <t>X095</t>
  </si>
  <si>
    <t>SOL-10929</t>
  </si>
  <si>
    <t>X181</t>
  </si>
  <si>
    <t>SOL-10428</t>
  </si>
  <si>
    <t>X415</t>
  </si>
  <si>
    <t>SOL-10429</t>
  </si>
  <si>
    <t>K198</t>
  </si>
  <si>
    <t>SOL-10930</t>
  </si>
  <si>
    <t>K203</t>
  </si>
  <si>
    <t>SOL-11190</t>
  </si>
  <si>
    <t>K213</t>
  </si>
  <si>
    <t>SOL-11191</t>
  </si>
  <si>
    <t>K217</t>
  </si>
  <si>
    <t>SOL-10933</t>
  </si>
  <si>
    <t>K307</t>
  </si>
  <si>
    <t>SOL-10876</t>
  </si>
  <si>
    <t>K610</t>
  </si>
  <si>
    <t>SOL-11158</t>
  </si>
  <si>
    <t>M025</t>
  </si>
  <si>
    <t>SOL-10392</t>
  </si>
  <si>
    <t>M028</t>
  </si>
  <si>
    <t>SOL-10381</t>
  </si>
  <si>
    <t>Q030</t>
  </si>
  <si>
    <t>SOL-10878</t>
  </si>
  <si>
    <t>Q130</t>
  </si>
  <si>
    <t>SOL-10877</t>
  </si>
  <si>
    <t>Q196</t>
  </si>
  <si>
    <t>SOL-10879</t>
  </si>
  <si>
    <t>Q220</t>
  </si>
  <si>
    <t>SOL-10873</t>
  </si>
  <si>
    <t>Q205</t>
  </si>
  <si>
    <t>SOL-10922</t>
  </si>
  <si>
    <t>Q400</t>
  </si>
  <si>
    <t>SOL-10871</t>
  </si>
  <si>
    <t>R003</t>
  </si>
  <si>
    <t>SOL-10416</t>
  </si>
  <si>
    <t>R007</t>
  </si>
  <si>
    <t>SOL-10417</t>
  </si>
  <si>
    <t>BK16</t>
  </si>
  <si>
    <t>SOL-11093</t>
  </si>
  <si>
    <t>Trenton East</t>
  </si>
  <si>
    <t>Trenton - Trenton East</t>
  </si>
  <si>
    <t>IL</t>
  </si>
  <si>
    <t>SOL-11060</t>
  </si>
  <si>
    <t>Trenton West</t>
  </si>
  <si>
    <t>Trenton - Trenton West</t>
  </si>
  <si>
    <t>SOL-11061</t>
  </si>
  <si>
    <t>6274 N Dakota Rd - Stephenson</t>
  </si>
  <si>
    <t>Dakota - Dakota Solar 1</t>
  </si>
  <si>
    <t>SOL-11113</t>
  </si>
  <si>
    <t>X018</t>
  </si>
  <si>
    <t>SOL-10418</t>
  </si>
  <si>
    <t>Janiak Solar</t>
  </si>
  <si>
    <t>SOL-10898</t>
  </si>
  <si>
    <t>County Route 11B</t>
  </si>
  <si>
    <t>SOL-10983</t>
  </si>
  <si>
    <t>Barone</t>
  </si>
  <si>
    <t>SOL-11034</t>
  </si>
  <si>
    <t>Cedarville</t>
  </si>
  <si>
    <t>SOL-11069</t>
  </si>
  <si>
    <t xml:space="preserve"> O'Brien Hill #1</t>
  </si>
  <si>
    <t>SOL-11098</t>
  </si>
  <si>
    <t xml:space="preserve"> O'Brien Hill #2</t>
  </si>
  <si>
    <t>SOL-11099</t>
  </si>
  <si>
    <t>Trinity Freeport</t>
  </si>
  <si>
    <t>Trinity - Freeport</t>
  </si>
  <si>
    <t>SOL-11057</t>
  </si>
  <si>
    <t>Binghamton - Ransom</t>
  </si>
  <si>
    <t>Ransom</t>
  </si>
  <si>
    <t>SOL-11157</t>
  </si>
  <si>
    <t>Wedge</t>
  </si>
  <si>
    <t>Horseheads - Wedge</t>
  </si>
  <si>
    <t>SOL-11160</t>
  </si>
  <si>
    <t>hoddy Hollow</t>
  </si>
  <si>
    <t>Otisville - Shoddy Hollow</t>
  </si>
  <si>
    <t>SOL-11185</t>
  </si>
  <si>
    <t>Chenunda Creek</t>
  </si>
  <si>
    <t>Wellsville - Chenunda Creek</t>
  </si>
  <si>
    <t>SOL-11187</t>
  </si>
  <si>
    <t>The Essex - DC</t>
  </si>
  <si>
    <t>DC: Washington - Essex Condominium</t>
  </si>
  <si>
    <t>DC</t>
  </si>
  <si>
    <t>SOL-10036</t>
  </si>
  <si>
    <t>Leoku</t>
  </si>
  <si>
    <t>HI: Waipahu - 94-246 Leoku St - E.F.G.</t>
  </si>
  <si>
    <t>HI</t>
  </si>
  <si>
    <t>SOL-10071</t>
  </si>
  <si>
    <t>Waipahu</t>
  </si>
  <si>
    <t>HI: Waipahu - 94-099 Waipahu St - PV</t>
  </si>
  <si>
    <t>SOL-10068</t>
  </si>
  <si>
    <t>Yager Road Whiteside Solar 1, LLC</t>
  </si>
  <si>
    <t>IL: Prophetstown - 5170 Yager Road (PW)</t>
  </si>
  <si>
    <t>SOL-11149</t>
  </si>
  <si>
    <t xml:space="preserve">Goldenrod Solar Project, LLC  </t>
  </si>
  <si>
    <t>IL: Viola - Goldenrod - (PW)</t>
  </si>
  <si>
    <t>SOL-11132</t>
  </si>
  <si>
    <t xml:space="preserve">Grant Highway Solar 1, LLC </t>
  </si>
  <si>
    <t>IL: Marengo - Grant - (PW)</t>
  </si>
  <si>
    <t>SOL-11147</t>
  </si>
  <si>
    <t>Cambridge - Cambridge (PW)</t>
  </si>
  <si>
    <t>NY: Cambridge - Cambridge (PW)</t>
  </si>
  <si>
    <t>SOL-11126</t>
  </si>
  <si>
    <t xml:space="preserve"> Whitesville - Independence North</t>
  </si>
  <si>
    <t>NY: Whitesville - Independence North</t>
  </si>
  <si>
    <t>SOL-11186</t>
  </si>
  <si>
    <t>S Cottage Grove Ave - North</t>
  </si>
  <si>
    <t>IL: Beecher - Cottage Grove North (PW)</t>
  </si>
  <si>
    <t>SOL-11114</t>
  </si>
  <si>
    <t>S Cottage Grove Ave - South</t>
  </si>
  <si>
    <t>IL: Beecher - Cottage Grove South (PW)</t>
  </si>
  <si>
    <t>SOL-11115</t>
  </si>
  <si>
    <t>9521 US 14 - McHenry</t>
  </si>
  <si>
    <t>IL: Harvard - 9618 US HWY 14 (PW)</t>
  </si>
  <si>
    <t>SOL-11110</t>
  </si>
  <si>
    <t>Goodenow West</t>
  </si>
  <si>
    <t>IL: Beecher - 701 E Goodenow Rd (PW)</t>
  </si>
  <si>
    <t>SOL-11112</t>
  </si>
  <si>
    <t>NY: Stormville - Green Haven - (IRA)</t>
  </si>
  <si>
    <t>SOL-11151</t>
  </si>
  <si>
    <t>Anacott Solar, LLC</t>
  </si>
  <si>
    <t>IL: Hillsboro - Anacott (PW)</t>
  </si>
  <si>
    <t>SOL-11134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</si>
</sst>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3">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12"/>
      <name val="Calibri"/>
      <family val="2"/>
    </font>
    <font>
      <sz val="8"/>
      <name val="Arial"/>
      <family val="2"/>
    </font>
    <font>
      <sz val="11"/>
      <color rgb="FF000000"/>
      <name val="Calibri"/>
      <family val="2"/>
      <scheme val="minor"/>
    </font>
    <font>
      <sz val="12"/>
      <color theme="1"/>
      <name val="Calibri"/>
      <family val="2"/>
      <scheme val="minor"/>
    </font>
    <font>
      <sz val="12"/>
      <color rgb="FF000000"/>
      <name val="Calibri"/>
      <family val="2"/>
      <scheme val="minor"/>
    </font>
    <font>
      <sz val="10"/>
      <name val="Calibri"/>
      <family val="2"/>
      <scheme val="minor"/>
    </font>
    <font>
      <sz val="11"/>
      <color rgb="FF000000"/>
      <name val="Aptos Narrow"/>
      <family val="2"/>
    </font>
    <font>
      <u/>
      <sz val="10"/>
      <color theme="10"/>
      <name val="Arial"/>
      <family val="2"/>
    </font>
    <font>
      <sz val="10"/>
      <color rgb="FF000000"/>
      <name val="Calibri"/>
      <family val="2"/>
      <scheme val="minor"/>
    </font>
    <font>
      <sz val="10"/>
      <color rgb="FF000000"/>
      <name val="Arial"/>
      <family val="2"/>
    </font>
    <font>
      <sz val="11"/>
      <color rgb="FF000000"/>
      <name val="Calibri"/>
      <scheme val="minor"/>
    </font>
    <font>
      <sz val="11"/>
      <name val="Calibri"/>
      <scheme val="minor"/>
    </font>
    <font>
      <sz val="11"/>
      <color rgb="FF000000"/>
      <name val="Calibri"/>
      <charset val="1"/>
    </font>
    <font>
      <sz val="10"/>
      <color theme="1"/>
      <name val="Arial"/>
    </font>
  </fonts>
  <fills count="52">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FFFFFF"/>
        <bgColor indexed="64"/>
      </patternFill>
    </fill>
    <fill>
      <patternFill patternType="solid">
        <fgColor rgb="FFFFFF00"/>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rgb="FF8EA9DB"/>
      </right>
      <top style="thin">
        <color rgb="FF8EA9DB"/>
      </top>
      <bottom style="thin">
        <color rgb="FF8EA9DB"/>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4" fillId="0" borderId="0"/>
    <xf numFmtId="0" fontId="46" fillId="0" borderId="0" applyNumberFormat="0" applyFill="0" applyBorder="0" applyAlignment="0" applyProtection="0"/>
  </cellStyleXfs>
  <cellXfs count="190">
    <xf numFmtId="0" fontId="0" fillId="0" borderId="0" xfId="0"/>
    <xf numFmtId="9" fontId="5" fillId="0" borderId="0" xfId="2" applyFont="1" applyAlignment="1">
      <alignment horizontal="center"/>
    </xf>
    <xf numFmtId="0" fontId="0" fillId="0" borderId="0" xfId="0" applyAlignment="1">
      <alignment horizontal="center"/>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23" fillId="0" borderId="0" xfId="43" applyFont="1" applyAlignment="1">
      <alignment horizontal="left"/>
    </xf>
    <xf numFmtId="0" fontId="0" fillId="0" borderId="0" xfId="0" applyAlignment="1">
      <alignment horizontal="left"/>
    </xf>
    <xf numFmtId="0" fontId="3" fillId="0" borderId="0" xfId="0" applyFont="1"/>
    <xf numFmtId="3" fontId="31" fillId="46" borderId="0" xfId="0" applyNumberFormat="1" applyFont="1" applyFill="1" applyAlignment="1">
      <alignment horizontal="right" vertical="center"/>
    </xf>
    <xf numFmtId="0" fontId="36" fillId="0" borderId="0" xfId="0" applyFont="1" applyAlignment="1">
      <alignment horizontal="left" vertical="top"/>
    </xf>
    <xf numFmtId="0" fontId="37" fillId="0" borderId="0" xfId="0" applyFont="1" applyAlignment="1">
      <alignment horizontal="left" vertical="top"/>
    </xf>
    <xf numFmtId="0" fontId="36" fillId="45" borderId="1" xfId="0" applyFont="1" applyFill="1" applyBorder="1" applyAlignment="1">
      <alignment horizontal="left" vertical="top"/>
    </xf>
    <xf numFmtId="49" fontId="38" fillId="38" borderId="0" xfId="2" applyNumberFormat="1" applyFont="1" applyFill="1" applyBorder="1" applyAlignment="1">
      <alignment horizontal="left" vertical="top" wrapText="1"/>
    </xf>
    <xf numFmtId="0" fontId="38" fillId="0" borderId="0" xfId="0" applyFont="1" applyAlignment="1">
      <alignment horizontal="left" vertical="top"/>
    </xf>
    <xf numFmtId="49" fontId="38" fillId="38" borderId="0" xfId="2" applyNumberFormat="1" applyFont="1" applyFill="1" applyBorder="1" applyAlignment="1">
      <alignment vertical="top" wrapText="1"/>
    </xf>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49" fontId="28" fillId="0" borderId="0" xfId="0" applyNumberFormat="1" applyFont="1" applyAlignment="1">
      <alignment horizontal="left" vertical="top" wrapText="1"/>
    </xf>
    <xf numFmtId="49" fontId="31"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9" fontId="31" fillId="3" borderId="0" xfId="2" applyFont="1" applyFill="1" applyAlignment="1">
      <alignment horizontal="center" vertical="center"/>
    </xf>
    <xf numFmtId="49" fontId="31" fillId="38" borderId="0" xfId="2" applyNumberFormat="1" applyFont="1" applyFill="1" applyAlignment="1">
      <alignment vertical="top" wrapText="1"/>
    </xf>
    <xf numFmtId="0" fontId="25" fillId="39" borderId="1" xfId="0" applyFont="1" applyFill="1" applyBorder="1" applyAlignment="1">
      <alignment horizontal="center" vertical="center"/>
    </xf>
    <xf numFmtId="0" fontId="31" fillId="47" borderId="0" xfId="0" applyFont="1" applyFill="1" applyAlignment="1">
      <alignment vertical="top" wrapText="1"/>
    </xf>
    <xf numFmtId="0" fontId="24" fillId="0" borderId="0" xfId="0" applyFont="1" applyAlignment="1">
      <alignment vertical="center" wrapText="1"/>
    </xf>
    <xf numFmtId="0" fontId="35" fillId="0" borderId="0" xfId="0" applyFont="1" applyAlignment="1">
      <alignment vertical="center" wrapText="1"/>
    </xf>
    <xf numFmtId="0" fontId="24" fillId="0" borderId="0" xfId="0" applyFont="1" applyAlignment="1">
      <alignment horizontal="left" vertical="top" wrapText="1"/>
    </xf>
    <xf numFmtId="0" fontId="39" fillId="47" borderId="0" xfId="0" applyFont="1" applyFill="1" applyAlignment="1">
      <alignment vertical="top" wrapText="1"/>
    </xf>
    <xf numFmtId="0" fontId="24" fillId="0" borderId="0" xfId="0" applyFont="1" applyAlignment="1">
      <alignment vertical="center"/>
    </xf>
    <xf numFmtId="9" fontId="31" fillId="37" borderId="0" xfId="2" applyFont="1" applyFill="1" applyAlignment="1">
      <alignment horizontal="center" vertical="center"/>
    </xf>
    <xf numFmtId="0" fontId="0" fillId="0" borderId="0" xfId="0" applyAlignment="1">
      <alignment horizontal="left" vertical="top" wrapText="1"/>
    </xf>
    <xf numFmtId="164" fontId="29" fillId="0" borderId="0" xfId="1" applyNumberFormat="1" applyFont="1" applyAlignment="1">
      <alignment horizontal="center" vertical="center"/>
    </xf>
    <xf numFmtId="3" fontId="31" fillId="4" borderId="0" xfId="1" applyNumberFormat="1" applyFont="1" applyFill="1" applyAlignment="1">
      <alignment vertical="center"/>
    </xf>
    <xf numFmtId="9" fontId="31" fillId="0" borderId="0" xfId="2" applyFont="1" applyAlignment="1">
      <alignment horizontal="center" vertical="center"/>
    </xf>
    <xf numFmtId="3" fontId="31" fillId="0" borderId="0" xfId="1" applyNumberFormat="1" applyFont="1" applyAlignment="1">
      <alignment vertical="center"/>
    </xf>
    <xf numFmtId="0" fontId="24" fillId="0" borderId="0" xfId="0" applyFont="1" applyAlignment="1">
      <alignment wrapText="1"/>
    </xf>
    <xf numFmtId="4" fontId="24" fillId="0" borderId="0" xfId="0" applyNumberFormat="1" applyFont="1"/>
    <xf numFmtId="3" fontId="24" fillId="0" borderId="0" xfId="0" applyNumberFormat="1" applyFont="1"/>
    <xf numFmtId="49" fontId="31" fillId="38" borderId="0" xfId="2" applyNumberFormat="1" applyFont="1" applyFill="1" applyAlignment="1">
      <alignment horizontal="left" vertical="top" wrapText="1"/>
    </xf>
    <xf numFmtId="0" fontId="33" fillId="0" borderId="0" xfId="0" applyFont="1" applyAlignment="1">
      <alignment horizontal="left" vertical="top"/>
    </xf>
    <xf numFmtId="0" fontId="31" fillId="0" borderId="0" xfId="0" applyFont="1" applyAlignment="1">
      <alignment horizontal="left" vertical="top"/>
    </xf>
    <xf numFmtId="49" fontId="29" fillId="0" borderId="0" xfId="0" applyNumberFormat="1" applyFont="1" applyAlignment="1">
      <alignment horizontal="left" wrapText="1"/>
    </xf>
    <xf numFmtId="3" fontId="24" fillId="48" borderId="0" xfId="0" applyNumberFormat="1" applyFont="1" applyFill="1"/>
    <xf numFmtId="3" fontId="31" fillId="49" borderId="0" xfId="0" applyNumberFormat="1" applyFont="1" applyFill="1"/>
    <xf numFmtId="3" fontId="31" fillId="0" borderId="0" xfId="0" applyNumberFormat="1" applyFont="1"/>
    <xf numFmtId="49" fontId="29" fillId="0" borderId="0" xfId="0" applyNumberFormat="1" applyFont="1" applyAlignment="1">
      <alignment horizontal="left" vertical="center" wrapText="1"/>
    </xf>
    <xf numFmtId="0" fontId="31" fillId="0" borderId="0" xfId="0" applyFont="1" applyAlignment="1">
      <alignment wrapText="1"/>
    </xf>
    <xf numFmtId="0" fontId="31" fillId="0" borderId="0" xfId="0" applyFont="1" applyAlignment="1">
      <alignment horizontal="left" vertical="top" wrapText="1"/>
    </xf>
    <xf numFmtId="0" fontId="31" fillId="0" borderId="0" xfId="0" applyFont="1" applyAlignment="1">
      <alignment vertical="top" wrapText="1"/>
    </xf>
    <xf numFmtId="49" fontId="24" fillId="0" borderId="0" xfId="0" applyNumberFormat="1" applyFont="1" applyAlignment="1">
      <alignment vertical="center" wrapText="1"/>
    </xf>
    <xf numFmtId="49" fontId="24" fillId="0" borderId="0" xfId="0" applyNumberFormat="1" applyFont="1" applyAlignment="1">
      <alignment vertical="top" wrapText="1"/>
    </xf>
    <xf numFmtId="49" fontId="42" fillId="0" borderId="0" xfId="0" applyNumberFormat="1" applyFont="1" applyAlignment="1">
      <alignment horizontal="left" vertical="top" wrapText="1"/>
    </xf>
    <xf numFmtId="49" fontId="43" fillId="0" borderId="0" xfId="0" applyNumberFormat="1" applyFont="1" applyAlignment="1">
      <alignment horizontal="left" vertical="top" wrapText="1"/>
    </xf>
    <xf numFmtId="49" fontId="41" fillId="0" borderId="0" xfId="0" applyNumberFormat="1" applyFont="1" applyAlignment="1">
      <alignment horizontal="left" vertical="top" wrapText="1"/>
    </xf>
    <xf numFmtId="0" fontId="44" fillId="0" borderId="0" xfId="0" applyFont="1" applyAlignment="1">
      <alignment horizontal="left" vertical="top"/>
    </xf>
    <xf numFmtId="0" fontId="41" fillId="0" borderId="0" xfId="0" applyFont="1" applyAlignment="1">
      <alignment horizontal="left" vertical="top" wrapText="1"/>
    </xf>
    <xf numFmtId="0" fontId="45" fillId="0" borderId="0" xfId="0" applyFont="1"/>
    <xf numFmtId="49" fontId="41" fillId="0" borderId="0" xfId="0" applyNumberFormat="1" applyFont="1" applyAlignment="1">
      <alignment vertical="top" wrapText="1"/>
    </xf>
    <xf numFmtId="49" fontId="42" fillId="0" borderId="0" xfId="0" applyNumberFormat="1" applyFont="1" applyAlignment="1">
      <alignment vertical="top" wrapText="1"/>
    </xf>
    <xf numFmtId="49" fontId="43" fillId="0" borderId="0" xfId="0" applyNumberFormat="1" applyFont="1" applyAlignment="1">
      <alignment vertical="top" wrapText="1"/>
    </xf>
    <xf numFmtId="0" fontId="44" fillId="0" borderId="0" xfId="0" applyFont="1" applyAlignment="1">
      <alignment vertical="top"/>
    </xf>
    <xf numFmtId="0" fontId="41" fillId="0" borderId="0" xfId="0" applyFont="1" applyAlignment="1">
      <alignment vertical="top" wrapText="1"/>
    </xf>
    <xf numFmtId="49" fontId="24" fillId="0" borderId="0" xfId="0" applyNumberFormat="1" applyFont="1" applyAlignment="1">
      <alignment horizontal="left" vertical="top" wrapText="1"/>
    </xf>
    <xf numFmtId="49" fontId="29" fillId="0" borderId="0" xfId="0" applyNumberFormat="1" applyFont="1" applyAlignment="1">
      <alignment vertical="top"/>
    </xf>
    <xf numFmtId="49" fontId="46" fillId="38" borderId="0" xfId="46" applyNumberFormat="1" applyFill="1" applyBorder="1" applyAlignment="1">
      <alignment horizontal="left" vertical="top" wrapText="1"/>
    </xf>
    <xf numFmtId="49" fontId="46" fillId="0" borderId="0" xfId="46" applyNumberFormat="1" applyAlignment="1">
      <alignment horizontal="left" vertical="top" wrapText="1"/>
    </xf>
    <xf numFmtId="49" fontId="46" fillId="38" borderId="0" xfId="46" applyNumberFormat="1" applyFill="1" applyAlignment="1">
      <alignment horizontal="left" vertical="top" wrapText="1"/>
    </xf>
    <xf numFmtId="0" fontId="46" fillId="0" borderId="0" xfId="46" applyAlignment="1">
      <alignment horizontal="left" vertical="top" wrapText="1"/>
    </xf>
    <xf numFmtId="0" fontId="46" fillId="0" borderId="0" xfId="46" applyAlignment="1">
      <alignment horizontal="left" vertical="top"/>
    </xf>
    <xf numFmtId="0" fontId="0" fillId="0" borderId="0" xfId="0" applyAlignment="1">
      <alignment horizontal="left" vertical="top"/>
    </xf>
    <xf numFmtId="0" fontId="33" fillId="0" borderId="0" xfId="0" applyFont="1" applyAlignment="1">
      <alignment wrapText="1"/>
    </xf>
    <xf numFmtId="0" fontId="24" fillId="50" borderId="0" xfId="0" applyFont="1" applyFill="1" applyAlignment="1">
      <alignment wrapText="1"/>
    </xf>
    <xf numFmtId="0" fontId="24" fillId="0" borderId="0" xfId="0" applyFont="1"/>
    <xf numFmtId="49" fontId="38" fillId="38" borderId="0" xfId="2" applyNumberFormat="1" applyFont="1" applyFill="1" applyAlignment="1">
      <alignment horizontal="left" vertical="top" wrapText="1"/>
    </xf>
    <xf numFmtId="49" fontId="38" fillId="38" borderId="0" xfId="2" applyNumberFormat="1" applyFont="1" applyFill="1" applyAlignment="1">
      <alignment vertical="top" wrapText="1"/>
    </xf>
    <xf numFmtId="49" fontId="46" fillId="38" borderId="0" xfId="46" applyNumberFormat="1" applyFill="1" applyBorder="1" applyAlignment="1">
      <alignment vertical="top" wrapText="1"/>
    </xf>
    <xf numFmtId="49" fontId="46" fillId="0" borderId="0" xfId="46" applyNumberFormat="1" applyAlignment="1">
      <alignment vertical="top" wrapText="1"/>
    </xf>
    <xf numFmtId="0" fontId="46" fillId="0" borderId="0" xfId="46"/>
    <xf numFmtId="49" fontId="46" fillId="0" borderId="0" xfId="46" applyNumberFormat="1" applyAlignment="1">
      <alignment vertical="center" wrapText="1"/>
    </xf>
    <xf numFmtId="49" fontId="46" fillId="0" borderId="0" xfId="46" applyNumberFormat="1" applyAlignment="1">
      <alignment vertical="top"/>
    </xf>
    <xf numFmtId="0" fontId="46" fillId="0" borderId="0" xfId="46" applyAlignment="1">
      <alignment vertical="top"/>
    </xf>
    <xf numFmtId="0" fontId="46" fillId="0" borderId="0" xfId="46" applyAlignment="1">
      <alignment wrapText="1"/>
    </xf>
    <xf numFmtId="49" fontId="46" fillId="38" borderId="0" xfId="46" applyNumberFormat="1" applyFill="1" applyAlignment="1">
      <alignment vertical="top" wrapText="1"/>
    </xf>
    <xf numFmtId="0" fontId="0" fillId="46" borderId="0" xfId="0" applyFill="1" applyAlignment="1">
      <alignment horizontal="left" vertical="top"/>
    </xf>
    <xf numFmtId="0" fontId="26" fillId="0" borderId="0" xfId="0" applyFont="1" applyAlignment="1">
      <alignment horizontal="left" vertical="top"/>
    </xf>
    <xf numFmtId="0" fontId="31" fillId="0" borderId="0" xfId="0" applyFont="1" applyAlignment="1">
      <alignment horizontal="center"/>
    </xf>
    <xf numFmtId="164" fontId="29" fillId="44" borderId="0" xfId="1" applyNumberFormat="1" applyFont="1" applyFill="1" applyAlignment="1">
      <alignment horizontal="center" vertical="center" wrapText="1"/>
    </xf>
    <xf numFmtId="4" fontId="24" fillId="0" borderId="0" xfId="0" applyNumberFormat="1" applyFont="1" applyAlignment="1">
      <alignment vertical="center"/>
    </xf>
    <xf numFmtId="0" fontId="46" fillId="0" borderId="0" xfId="46" applyAlignment="1">
      <alignment vertical="top" wrapText="1"/>
    </xf>
    <xf numFmtId="0" fontId="47" fillId="0" borderId="0" xfId="0" applyFont="1" applyAlignment="1">
      <alignment wrapText="1"/>
    </xf>
    <xf numFmtId="3" fontId="31" fillId="4" borderId="0" xfId="1" applyNumberFormat="1" applyFont="1" applyFill="1" applyAlignment="1">
      <alignment horizontal="center" vertical="center"/>
    </xf>
    <xf numFmtId="3" fontId="31" fillId="0" borderId="0" xfId="1" applyNumberFormat="1" applyFont="1" applyAlignment="1">
      <alignment horizontal="center" vertical="center"/>
    </xf>
    <xf numFmtId="3" fontId="31" fillId="0" borderId="0" xfId="1" applyNumberFormat="1" applyFont="1" applyAlignment="1">
      <alignment horizontal="right" vertical="center"/>
    </xf>
    <xf numFmtId="3" fontId="31" fillId="4" borderId="0" xfId="1" applyNumberFormat="1" applyFont="1" applyFill="1" applyAlignment="1">
      <alignment horizontal="right"/>
    </xf>
    <xf numFmtId="0" fontId="46" fillId="0" borderId="0" xfId="46" applyAlignment="1">
      <alignment vertical="center" wrapText="1"/>
    </xf>
    <xf numFmtId="0" fontId="46" fillId="47" borderId="0" xfId="46" applyFill="1" applyAlignment="1">
      <alignment vertical="top" wrapText="1"/>
    </xf>
    <xf numFmtId="0" fontId="24" fillId="0" borderId="0" xfId="0" applyFont="1" applyAlignment="1">
      <alignment horizontal="left" vertical="top"/>
    </xf>
    <xf numFmtId="0" fontId="38" fillId="0" borderId="0" xfId="0" applyFont="1" applyAlignment="1">
      <alignment vertical="top" wrapText="1"/>
    </xf>
    <xf numFmtId="0" fontId="24" fillId="50" borderId="0" xfId="0" applyFont="1" applyFill="1" applyAlignment="1">
      <alignment vertical="top" wrapText="1"/>
    </xf>
    <xf numFmtId="3" fontId="31" fillId="4" borderId="0" xfId="1" applyNumberFormat="1" applyFont="1" applyFill="1" applyBorder="1" applyAlignment="1">
      <alignment horizontal="right" vertical="center"/>
    </xf>
    <xf numFmtId="3" fontId="31" fillId="0" borderId="0" xfId="1" applyNumberFormat="1" applyFont="1" applyFill="1" applyBorder="1" applyAlignment="1">
      <alignment horizontal="right" vertical="center"/>
    </xf>
    <xf numFmtId="49" fontId="46" fillId="38" borderId="0" xfId="46" applyNumberFormat="1" applyFill="1" applyBorder="1" applyAlignment="1">
      <alignment horizontal="left" vertical="center" wrapText="1"/>
    </xf>
    <xf numFmtId="0" fontId="31" fillId="47" borderId="0" xfId="0" applyFont="1" applyFill="1" applyAlignment="1">
      <alignment wrapText="1"/>
    </xf>
    <xf numFmtId="0" fontId="46" fillId="47" borderId="0" xfId="46" applyFill="1" applyBorder="1" applyAlignment="1">
      <alignment wrapText="1"/>
    </xf>
    <xf numFmtId="0" fontId="46" fillId="0" borderId="0" xfId="46" applyBorder="1" applyAlignment="1">
      <alignment wrapText="1"/>
    </xf>
    <xf numFmtId="0" fontId="46" fillId="0" borderId="0" xfId="46" applyBorder="1" applyAlignment="1"/>
    <xf numFmtId="0" fontId="48" fillId="0" borderId="12" xfId="0" applyFont="1" applyBorder="1"/>
    <xf numFmtId="3" fontId="24" fillId="0" borderId="0" xfId="0" applyNumberFormat="1" applyFont="1" applyAlignment="1">
      <alignment horizontal="center"/>
    </xf>
    <xf numFmtId="3" fontId="31" fillId="49" borderId="0" xfId="0" applyNumberFormat="1" applyFont="1" applyFill="1" applyAlignment="1">
      <alignment horizontal="right" vertical="center"/>
    </xf>
    <xf numFmtId="3" fontId="24" fillId="48" borderId="0" xfId="0" applyNumberFormat="1" applyFont="1" applyFill="1" applyAlignment="1">
      <alignment horizontal="right" vertical="center"/>
    </xf>
    <xf numFmtId="3" fontId="24" fillId="0" borderId="0" xfId="0" applyNumberFormat="1" applyFont="1" applyAlignment="1">
      <alignment horizontal="right" vertical="center"/>
    </xf>
    <xf numFmtId="3" fontId="24" fillId="0" borderId="0" xfId="0" applyNumberFormat="1" applyFont="1" applyAlignment="1">
      <alignment horizontal="center" vertical="center"/>
    </xf>
    <xf numFmtId="3" fontId="31" fillId="49" borderId="0" xfId="0" applyNumberFormat="1" applyFont="1" applyFill="1" applyAlignment="1">
      <alignment horizontal="right"/>
    </xf>
    <xf numFmtId="3" fontId="31" fillId="4" borderId="0" xfId="1" applyNumberFormat="1" applyFont="1" applyFill="1" applyAlignment="1">
      <alignment horizontal="right" vertical="center"/>
    </xf>
    <xf numFmtId="9" fontId="31" fillId="46" borderId="0" xfId="2" applyFont="1" applyFill="1" applyBorder="1" applyAlignment="1">
      <alignment horizontal="center" vertical="center"/>
    </xf>
    <xf numFmtId="0" fontId="0" fillId="46" borderId="0" xfId="0" applyFill="1"/>
    <xf numFmtId="0" fontId="28" fillId="46" borderId="0" xfId="0" applyFont="1" applyFill="1" applyAlignment="1">
      <alignment horizontal="center" vertical="center"/>
    </xf>
    <xf numFmtId="0" fontId="29" fillId="46" borderId="0" xfId="0" applyFont="1" applyFill="1" applyAlignment="1">
      <alignment horizontal="center" vertical="center"/>
    </xf>
    <xf numFmtId="3" fontId="24" fillId="46" borderId="0" xfId="0" applyNumberFormat="1" applyFont="1" applyFill="1" applyAlignment="1">
      <alignment horizontal="center"/>
    </xf>
    <xf numFmtId="49" fontId="29" fillId="46" borderId="0" xfId="0" applyNumberFormat="1" applyFont="1" applyFill="1" applyAlignment="1">
      <alignment horizontal="left" vertical="top" wrapText="1"/>
    </xf>
    <xf numFmtId="3" fontId="24" fillId="0" borderId="0" xfId="0" applyNumberFormat="1" applyFont="1" applyAlignment="1">
      <alignment horizontal="right"/>
    </xf>
    <xf numFmtId="3" fontId="24" fillId="48" borderId="0" xfId="0" applyNumberFormat="1" applyFont="1" applyFill="1" applyAlignment="1">
      <alignment horizontal="right"/>
    </xf>
    <xf numFmtId="3" fontId="24" fillId="46" borderId="0" xfId="0" applyNumberFormat="1" applyFont="1" applyFill="1" applyAlignment="1">
      <alignment horizontal="right" vertical="center"/>
    </xf>
    <xf numFmtId="3" fontId="31" fillId="46" borderId="0" xfId="1" applyNumberFormat="1" applyFont="1" applyFill="1" applyAlignment="1">
      <alignment horizontal="right" vertical="center"/>
    </xf>
    <xf numFmtId="3" fontId="31" fillId="46" borderId="0" xfId="1" applyNumberFormat="1" applyFont="1" applyFill="1" applyBorder="1" applyAlignment="1">
      <alignment horizontal="right" vertical="center"/>
    </xf>
    <xf numFmtId="9" fontId="26" fillId="36" borderId="1" xfId="0" applyNumberFormat="1" applyFont="1" applyFill="1" applyBorder="1" applyAlignment="1">
      <alignment vertical="center"/>
    </xf>
    <xf numFmtId="9" fontId="25" fillId="41" borderId="1" xfId="2" applyFont="1" applyFill="1" applyBorder="1" applyAlignment="1">
      <alignment vertical="center" wrapText="1"/>
    </xf>
    <xf numFmtId="9" fontId="32" fillId="0" borderId="0" xfId="2" applyFont="1" applyAlignment="1">
      <alignment vertical="center"/>
    </xf>
    <xf numFmtId="9" fontId="5" fillId="0" borderId="0" xfId="2" applyFont="1" applyAlignment="1">
      <alignment vertical="center"/>
    </xf>
    <xf numFmtId="0" fontId="46" fillId="47" borderId="0" xfId="46" applyFill="1" applyAlignment="1">
      <alignment wrapText="1"/>
    </xf>
    <xf numFmtId="0" fontId="28" fillId="0" borderId="0" xfId="0" applyFont="1" applyAlignment="1">
      <alignment horizontal="left" vertical="top"/>
    </xf>
    <xf numFmtId="0" fontId="0" fillId="51" borderId="0" xfId="0" applyFill="1"/>
    <xf numFmtId="164" fontId="29" fillId="44" borderId="0" xfId="1" applyNumberFormat="1" applyFont="1" applyFill="1" applyAlignment="1">
      <alignment horizontal="right" vertical="center"/>
    </xf>
    <xf numFmtId="3" fontId="31" fillId="0" borderId="0" xfId="1" applyNumberFormat="1" applyFont="1" applyAlignment="1">
      <alignment horizontal="right"/>
    </xf>
    <xf numFmtId="3" fontId="31" fillId="4" borderId="0" xfId="1" applyNumberFormat="1" applyFont="1" applyFill="1" applyBorder="1" applyAlignment="1">
      <alignment horizontal="right"/>
    </xf>
    <xf numFmtId="0" fontId="6" fillId="0" borderId="0" xfId="0" applyFont="1" applyAlignment="1">
      <alignment horizontal="left" vertical="top"/>
    </xf>
    <xf numFmtId="0" fontId="34" fillId="0" borderId="0" xfId="0" applyFont="1" applyAlignment="1">
      <alignment horizontal="left" vertical="top"/>
    </xf>
    <xf numFmtId="0" fontId="6" fillId="45" borderId="1" xfId="0" applyFont="1" applyFill="1" applyBorder="1" applyAlignment="1">
      <alignment horizontal="left" vertical="top"/>
    </xf>
    <xf numFmtId="0" fontId="49" fillId="0" borderId="0" xfId="0" applyFont="1" applyAlignment="1">
      <alignment horizontal="left" vertical="top" wrapText="1"/>
    </xf>
    <xf numFmtId="0" fontId="50" fillId="0" borderId="0" xfId="0" applyFont="1" applyAlignment="1">
      <alignment horizontal="left" vertical="top" wrapText="1"/>
    </xf>
    <xf numFmtId="0" fontId="49" fillId="0" borderId="0" xfId="0" applyFont="1" applyAlignment="1">
      <alignment horizontal="left" wrapText="1"/>
    </xf>
    <xf numFmtId="3" fontId="31" fillId="0" borderId="0" xfId="1" applyNumberFormat="1" applyFont="1" applyFill="1" applyBorder="1" applyAlignment="1">
      <alignment horizontal="right"/>
    </xf>
    <xf numFmtId="0" fontId="44" fillId="0" borderId="0" xfId="0" applyFont="1" applyAlignment="1">
      <alignment vertical="top" wrapText="1"/>
    </xf>
    <xf numFmtId="0" fontId="0" fillId="0" borderId="0" xfId="0" applyAlignment="1">
      <alignment wrapText="1"/>
    </xf>
    <xf numFmtId="49" fontId="1" fillId="0" borderId="0" xfId="0" applyNumberFormat="1" applyFont="1" applyAlignment="1">
      <alignment vertical="top" wrapText="1"/>
    </xf>
    <xf numFmtId="0" fontId="51" fillId="0" borderId="0" xfId="0" applyFont="1" applyAlignment="1">
      <alignment wrapText="1"/>
    </xf>
    <xf numFmtId="49" fontId="1" fillId="0" borderId="0" xfId="0" applyNumberFormat="1" applyFont="1" applyAlignment="1">
      <alignment vertical="center" wrapText="1"/>
    </xf>
    <xf numFmtId="49" fontId="1" fillId="0" borderId="0" xfId="0" applyNumberFormat="1" applyFont="1" applyAlignment="1">
      <alignment horizontal="left" vertical="top" wrapText="1"/>
    </xf>
    <xf numFmtId="49" fontId="1" fillId="46" borderId="0" xfId="0" applyNumberFormat="1" applyFont="1" applyFill="1" applyAlignment="1">
      <alignment vertical="top" wrapText="1"/>
    </xf>
    <xf numFmtId="0" fontId="52" fillId="40" borderId="13" xfId="0" applyFont="1" applyFill="1" applyBorder="1"/>
    <xf numFmtId="0" fontId="52" fillId="40" borderId="14" xfId="0" applyFont="1" applyFill="1" applyBorder="1"/>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styles" Target="style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connections" Target="connections.xml"/><Relationship Id="rId41" Type="http://schemas.openxmlformats.org/officeDocument/2006/relationships/customXml" Target="../customXml/item15.xml"/></Relationships>
</file>

<file path=xl/persons/person.xml><?xml version="1.0" encoding="utf-8"?>
<personList xmlns="http://schemas.microsoft.com/office/spreadsheetml/2018/threadedcomments" xmlns:x="http://schemas.openxmlformats.org/spreadsheetml/2006/main">
  <person displayName="Kusuma Potlada [AGS]" id="{AF97A668-C846-42C6-9CD9-D5A754369886}" userId="S::kusumapotlada@amgsol.com::a4794fd0-fb2a-418d-b379-bb3c7e6c0e3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172" totalsRowShown="0">
  <autoFilter ref="A3:F172" xr:uid="{C9C95D9E-67ED-41E0-9F41-9C3DA4ACF4CD}"/>
  <sortState xmlns:xlrd2="http://schemas.microsoft.com/office/spreadsheetml/2017/richdata2" ref="A3:D4">
    <sortCondition ref="C3"/>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89" dT="2025-12-03T06:55:49.21" personId="{AF97A668-C846-42C6-9CD9-D5A754369886}" id="{FA21CFFC-9B61-47DB-8F62-30500FD79B73}">
    <text>Since meter is reporting 0 we have taken total inverter energy as actual energy</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5-01-03T03:32:44.96" personId="{AF97A668-C846-42C6-9CD9-D5A754369886}" id="{47F68363-055F-4184-9CAE-BCB4F8DD31EA}">
    <text>Since meter has no communication from 11/07 we have consider total inverter production as site production.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6" Type="http://schemas.openxmlformats.org/officeDocument/2006/relationships/hyperlink" Target="https://us3.assetplanner.com/service_request?ID=095919" TargetMode="External"/><Relationship Id="rId117" Type="http://schemas.openxmlformats.org/officeDocument/2006/relationships/hyperlink" Target="https://us3.assetplanner.com/service_request?ID=096127" TargetMode="External"/><Relationship Id="rId21" Type="http://schemas.openxmlformats.org/officeDocument/2006/relationships/hyperlink" Target="https://us3.assetplanner.com/service_request?ID=095473" TargetMode="External"/><Relationship Id="rId42" Type="http://schemas.openxmlformats.org/officeDocument/2006/relationships/hyperlink" Target="https://us3.assetplanner.com/service_request?ID=095252" TargetMode="External"/><Relationship Id="rId47" Type="http://schemas.openxmlformats.org/officeDocument/2006/relationships/hyperlink" Target="https://us3.assetplanner.com/service_request?ID=095549" TargetMode="External"/><Relationship Id="rId63" Type="http://schemas.openxmlformats.org/officeDocument/2006/relationships/hyperlink" Target="https://us3.assetplanner.com/service_request?ID=095373" TargetMode="External"/><Relationship Id="rId68" Type="http://schemas.openxmlformats.org/officeDocument/2006/relationships/hyperlink" Target="https://us3.assetplanner.com/service_request?ID=095508" TargetMode="External"/><Relationship Id="rId84" Type="http://schemas.openxmlformats.org/officeDocument/2006/relationships/hyperlink" Target="https://us3.assetplanner.com/service_request?ID=093637" TargetMode="External"/><Relationship Id="rId89" Type="http://schemas.openxmlformats.org/officeDocument/2006/relationships/hyperlink" Target="https://us3.assetplanner.com/service_request?ID=094820" TargetMode="External"/><Relationship Id="rId112" Type="http://schemas.openxmlformats.org/officeDocument/2006/relationships/hyperlink" Target="https://us3.assetplanner.com/service_request?ID=095500" TargetMode="External"/><Relationship Id="rId16" Type="http://schemas.openxmlformats.org/officeDocument/2006/relationships/hyperlink" Target="https://us3.assetplanner.com/service_request?ID=095707" TargetMode="External"/><Relationship Id="rId107" Type="http://schemas.openxmlformats.org/officeDocument/2006/relationships/hyperlink" Target="https://us3.assetplanner.com/service_request?ID=095941" TargetMode="External"/><Relationship Id="rId11" Type="http://schemas.openxmlformats.org/officeDocument/2006/relationships/hyperlink" Target="https://us3.assetplanner.com/service_request?ID=095758" TargetMode="External"/><Relationship Id="rId32" Type="http://schemas.openxmlformats.org/officeDocument/2006/relationships/hyperlink" Target="https://us3.assetplanner.com/service_request?ID=093024" TargetMode="External"/><Relationship Id="rId37" Type="http://schemas.openxmlformats.org/officeDocument/2006/relationships/hyperlink" Target="https://us3.assetplanner.com/service_request?ID=096045" TargetMode="External"/><Relationship Id="rId53" Type="http://schemas.openxmlformats.org/officeDocument/2006/relationships/hyperlink" Target="https://us3.assetplanner.com/service_request?ID=095374" TargetMode="External"/><Relationship Id="rId58" Type="http://schemas.openxmlformats.org/officeDocument/2006/relationships/hyperlink" Target="https://us3.assetplanner.com/service_request?ID=095917" TargetMode="External"/><Relationship Id="rId74" Type="http://schemas.openxmlformats.org/officeDocument/2006/relationships/hyperlink" Target="https://us3.assetplanner.com/service_request?ID=096054" TargetMode="External"/><Relationship Id="rId79" Type="http://schemas.openxmlformats.org/officeDocument/2006/relationships/hyperlink" Target="https://us3.assetplanner.com/service_request?ID=094986" TargetMode="External"/><Relationship Id="rId102" Type="http://schemas.openxmlformats.org/officeDocument/2006/relationships/hyperlink" Target="https://us3.assetplanner.com/service_request?ID=095956" TargetMode="External"/><Relationship Id="rId123" Type="http://schemas.openxmlformats.org/officeDocument/2006/relationships/printerSettings" Target="../printerSettings/printerSettings3.bin"/><Relationship Id="rId5" Type="http://schemas.openxmlformats.org/officeDocument/2006/relationships/hyperlink" Target="https://us3.assetplanner.com/service_request?ID=093196" TargetMode="External"/><Relationship Id="rId90" Type="http://schemas.openxmlformats.org/officeDocument/2006/relationships/hyperlink" Target="https://us3.assetplanner.com/service_request?ID=095759" TargetMode="External"/><Relationship Id="rId95" Type="http://schemas.openxmlformats.org/officeDocument/2006/relationships/hyperlink" Target="https://us3.assetplanner.com/service_request?ID=096141" TargetMode="External"/><Relationship Id="rId22" Type="http://schemas.openxmlformats.org/officeDocument/2006/relationships/hyperlink" Target="https://us3.assetplanner.com/service_request?ID=096164" TargetMode="External"/><Relationship Id="rId27" Type="http://schemas.openxmlformats.org/officeDocument/2006/relationships/hyperlink" Target="https://us3.assetplanner.com/service_request?ID=095976" TargetMode="External"/><Relationship Id="rId43" Type="http://schemas.openxmlformats.org/officeDocument/2006/relationships/hyperlink" Target="https://us3.assetplanner.com/service_request?ID=093436" TargetMode="External"/><Relationship Id="rId48" Type="http://schemas.openxmlformats.org/officeDocument/2006/relationships/hyperlink" Target="https://us3.assetplanner.com/service_request?ID=095496" TargetMode="External"/><Relationship Id="rId64" Type="http://schemas.openxmlformats.org/officeDocument/2006/relationships/hyperlink" Target="https://us3.assetplanner.com/service_request?ID=096177" TargetMode="External"/><Relationship Id="rId69" Type="http://schemas.openxmlformats.org/officeDocument/2006/relationships/hyperlink" Target="https://us3.assetplanner.com/service_request?ID=095507" TargetMode="External"/><Relationship Id="rId113" Type="http://schemas.openxmlformats.org/officeDocument/2006/relationships/hyperlink" Target="https://us3.assetplanner.com/service_request?ID=096195" TargetMode="External"/><Relationship Id="rId118" Type="http://schemas.openxmlformats.org/officeDocument/2006/relationships/hyperlink" Target="https://us3.assetplanner.com/service_request?ID=095284" TargetMode="External"/><Relationship Id="rId80" Type="http://schemas.openxmlformats.org/officeDocument/2006/relationships/hyperlink" Target="https://us3.assetplanner.com/service_request?ID=095304" TargetMode="External"/><Relationship Id="rId85" Type="http://schemas.openxmlformats.org/officeDocument/2006/relationships/hyperlink" Target="https://us3.assetplanner.com/service_request?ID=096042" TargetMode="External"/><Relationship Id="rId12" Type="http://schemas.openxmlformats.org/officeDocument/2006/relationships/hyperlink" Target="https://us3.assetplanner.com/service_request?ID=095297" TargetMode="External"/><Relationship Id="rId17" Type="http://schemas.openxmlformats.org/officeDocument/2006/relationships/hyperlink" Target="https://us3.assetplanner.com/service_request?ID=095899" TargetMode="External"/><Relationship Id="rId33" Type="http://schemas.openxmlformats.org/officeDocument/2006/relationships/hyperlink" Target="https://us3.assetplanner.com/service_request?ID=095445" TargetMode="External"/><Relationship Id="rId38" Type="http://schemas.openxmlformats.org/officeDocument/2006/relationships/hyperlink" Target="https://us3.assetplanner.com/service_request?ID=095991" TargetMode="External"/><Relationship Id="rId59" Type="http://schemas.openxmlformats.org/officeDocument/2006/relationships/hyperlink" Target="https://us3.assetplanner.com/service_request?ID=094891" TargetMode="External"/><Relationship Id="rId103" Type="http://schemas.openxmlformats.org/officeDocument/2006/relationships/hyperlink" Target="https://us3.assetplanner.com/service_request?ID=095955" TargetMode="External"/><Relationship Id="rId108" Type="http://schemas.openxmlformats.org/officeDocument/2006/relationships/hyperlink" Target="https://us3.assetplanner.com/service_request?ID=095942" TargetMode="External"/><Relationship Id="rId54" Type="http://schemas.openxmlformats.org/officeDocument/2006/relationships/hyperlink" Target="https://us3.assetplanner.com/service_request?ID=096112" TargetMode="External"/><Relationship Id="rId70" Type="http://schemas.openxmlformats.org/officeDocument/2006/relationships/hyperlink" Target="https://us3.assetplanner.com/service_request?ID=095211" TargetMode="External"/><Relationship Id="rId75" Type="http://schemas.openxmlformats.org/officeDocument/2006/relationships/hyperlink" Target="https://us3.assetplanner.com/service_request?ID=095821" TargetMode="External"/><Relationship Id="rId91" Type="http://schemas.openxmlformats.org/officeDocument/2006/relationships/hyperlink" Target="https://us3.assetplanner.com/service_request?ID=093842" TargetMode="External"/><Relationship Id="rId96" Type="http://schemas.openxmlformats.org/officeDocument/2006/relationships/hyperlink" Target="https://us3.assetplanner.com/service_request?ID=095945" TargetMode="External"/><Relationship Id="rId1" Type="http://schemas.openxmlformats.org/officeDocument/2006/relationships/hyperlink" Target="https://us3.assetplanner.com/service_request?ID=093291" TargetMode="External"/><Relationship Id="rId6" Type="http://schemas.openxmlformats.org/officeDocument/2006/relationships/hyperlink" Target="https://us3.assetplanner.com/service_request?ID=095201" TargetMode="External"/><Relationship Id="rId23" Type="http://schemas.openxmlformats.org/officeDocument/2006/relationships/hyperlink" Target="https://us3.assetplanner.com/service_request?ID=095433" TargetMode="External"/><Relationship Id="rId28" Type="http://schemas.openxmlformats.org/officeDocument/2006/relationships/hyperlink" Target="https://us3.assetplanner.com/service_request?ID=096119" TargetMode="External"/><Relationship Id="rId49" Type="http://schemas.openxmlformats.org/officeDocument/2006/relationships/hyperlink" Target="https://us3.assetplanner.com/service_request?ID=095852" TargetMode="External"/><Relationship Id="rId114" Type="http://schemas.openxmlformats.org/officeDocument/2006/relationships/hyperlink" Target="https://us3.assetplanner.com/service_request?ID=095099" TargetMode="External"/><Relationship Id="rId119" Type="http://schemas.openxmlformats.org/officeDocument/2006/relationships/hyperlink" Target="https://us3.assetplanner.com/service_request?ID=095992" TargetMode="External"/><Relationship Id="rId44" Type="http://schemas.openxmlformats.org/officeDocument/2006/relationships/hyperlink" Target="https://us3.assetplanner.com/service_request?ID=096100" TargetMode="External"/><Relationship Id="rId60" Type="http://schemas.openxmlformats.org/officeDocument/2006/relationships/hyperlink" Target="https://us3.assetplanner.com/service_request?ID=095812" TargetMode="External"/><Relationship Id="rId65" Type="http://schemas.openxmlformats.org/officeDocument/2006/relationships/hyperlink" Target="https://us3.assetplanner.com/service_request?ID=096106" TargetMode="External"/><Relationship Id="rId81" Type="http://schemas.openxmlformats.org/officeDocument/2006/relationships/hyperlink" Target="https://us3.assetplanner.com/service_request?ID=095185" TargetMode="External"/><Relationship Id="rId86" Type="http://schemas.openxmlformats.org/officeDocument/2006/relationships/hyperlink" Target="https://us3.assetplanner.com/service_request?ID=096006" TargetMode="External"/><Relationship Id="rId4" Type="http://schemas.openxmlformats.org/officeDocument/2006/relationships/hyperlink" Target="https://us3.assetplanner.com/service_request?ID=093294" TargetMode="External"/><Relationship Id="rId9" Type="http://schemas.openxmlformats.org/officeDocument/2006/relationships/hyperlink" Target="https://us3.assetplanner.com/service_request?ID=096130" TargetMode="External"/><Relationship Id="rId13" Type="http://schemas.openxmlformats.org/officeDocument/2006/relationships/hyperlink" Target="https://us3.assetplanner.com/service_request?ID=092042" TargetMode="External"/><Relationship Id="rId18" Type="http://schemas.openxmlformats.org/officeDocument/2006/relationships/hyperlink" Target="https://us3.assetplanner.com/service_request?ID=093285" TargetMode="External"/><Relationship Id="rId39" Type="http://schemas.openxmlformats.org/officeDocument/2006/relationships/hyperlink" Target="https://us3.assetplanner.com/service_request?ID=096126" TargetMode="External"/><Relationship Id="rId109" Type="http://schemas.openxmlformats.org/officeDocument/2006/relationships/hyperlink" Target="https://us3.assetplanner.com/service_request?ID=095961" TargetMode="External"/><Relationship Id="rId34" Type="http://schemas.openxmlformats.org/officeDocument/2006/relationships/hyperlink" Target="https://us3.assetplanner.com/service_request?ID=094278" TargetMode="External"/><Relationship Id="rId50" Type="http://schemas.openxmlformats.org/officeDocument/2006/relationships/hyperlink" Target="https://us3.assetplanner.com/service_request?ID=096056" TargetMode="External"/><Relationship Id="rId55" Type="http://schemas.openxmlformats.org/officeDocument/2006/relationships/hyperlink" Target="https://us3.assetplanner.com/service_request?ID=095375" TargetMode="External"/><Relationship Id="rId76" Type="http://schemas.openxmlformats.org/officeDocument/2006/relationships/hyperlink" Target="https://us3.assetplanner.com/service_request?ID=095558" TargetMode="External"/><Relationship Id="rId97" Type="http://schemas.openxmlformats.org/officeDocument/2006/relationships/hyperlink" Target="https://us3.assetplanner.com/service_request?ID=095946" TargetMode="External"/><Relationship Id="rId104" Type="http://schemas.openxmlformats.org/officeDocument/2006/relationships/hyperlink" Target="https://us3.assetplanner.com/service_request?ID=095937" TargetMode="External"/><Relationship Id="rId120" Type="http://schemas.openxmlformats.org/officeDocument/2006/relationships/hyperlink" Target="https://us3.assetplanner.com/service_request?ID=095328" TargetMode="External"/><Relationship Id="rId7" Type="http://schemas.openxmlformats.org/officeDocument/2006/relationships/hyperlink" Target="https://us3.assetplanner.com/service_request?ID=094206" TargetMode="External"/><Relationship Id="rId71" Type="http://schemas.openxmlformats.org/officeDocument/2006/relationships/hyperlink" Target="https://us3.assetplanner.com/service_request?ID=095865" TargetMode="External"/><Relationship Id="rId92" Type="http://schemas.openxmlformats.org/officeDocument/2006/relationships/hyperlink" Target="https://us3.assetplanner.com/service_request?ID=095582" TargetMode="External"/><Relationship Id="rId2" Type="http://schemas.openxmlformats.org/officeDocument/2006/relationships/hyperlink" Target="https://us3.assetplanner.com/service_request?ID=093633" TargetMode="External"/><Relationship Id="rId29" Type="http://schemas.openxmlformats.org/officeDocument/2006/relationships/hyperlink" Target="https://us3.assetplanner.com/service_request?ID=095645" TargetMode="External"/><Relationship Id="rId24" Type="http://schemas.openxmlformats.org/officeDocument/2006/relationships/hyperlink" Target="https://us3.assetplanner.com/service_request?ID=093972" TargetMode="External"/><Relationship Id="rId40" Type="http://schemas.openxmlformats.org/officeDocument/2006/relationships/hyperlink" Target="https://us3.assetplanner.com/service_request?ID=092964" TargetMode="External"/><Relationship Id="rId45" Type="http://schemas.openxmlformats.org/officeDocument/2006/relationships/hyperlink" Target="https://us3.assetplanner.com/service_request?ID=095376" TargetMode="External"/><Relationship Id="rId66" Type="http://schemas.openxmlformats.org/officeDocument/2006/relationships/hyperlink" Target="https://us3.assetplanner.com/service_request?ID=095599" TargetMode="External"/><Relationship Id="rId87" Type="http://schemas.openxmlformats.org/officeDocument/2006/relationships/hyperlink" Target="https://us3.assetplanner.com/service_request?ID=096107" TargetMode="External"/><Relationship Id="rId110" Type="http://schemas.openxmlformats.org/officeDocument/2006/relationships/hyperlink" Target="https://us3.assetplanner.com/service_request?ID=095940" TargetMode="External"/><Relationship Id="rId115" Type="http://schemas.openxmlformats.org/officeDocument/2006/relationships/hyperlink" Target="https://us3.assetplanner.com/service_request?ID=095797" TargetMode="External"/><Relationship Id="rId61" Type="http://schemas.openxmlformats.org/officeDocument/2006/relationships/hyperlink" Target="https://us3.assetplanner.com/service_request?ID=095109" TargetMode="External"/><Relationship Id="rId82" Type="http://schemas.openxmlformats.org/officeDocument/2006/relationships/hyperlink" Target="https://us3.assetplanner.com/service_request?ID=094262" TargetMode="External"/><Relationship Id="rId19" Type="http://schemas.openxmlformats.org/officeDocument/2006/relationships/hyperlink" Target="https://us3.assetplanner.com/service_request?ID=093470" TargetMode="External"/><Relationship Id="rId14" Type="http://schemas.openxmlformats.org/officeDocument/2006/relationships/hyperlink" Target="https://us3.assetplanner.com/service_request?ID=095706" TargetMode="External"/><Relationship Id="rId30" Type="http://schemas.openxmlformats.org/officeDocument/2006/relationships/hyperlink" Target="https://us3.assetplanner.com/service_request?ID=095176" TargetMode="External"/><Relationship Id="rId35" Type="http://schemas.openxmlformats.org/officeDocument/2006/relationships/hyperlink" Target="https://us3.assetplanner.com/service_request?ID=095604" TargetMode="External"/><Relationship Id="rId56" Type="http://schemas.openxmlformats.org/officeDocument/2006/relationships/hyperlink" Target="https://us3.assetplanner.com/service_request?ID=095375" TargetMode="External"/><Relationship Id="rId77" Type="http://schemas.openxmlformats.org/officeDocument/2006/relationships/hyperlink" Target="https://us3.assetplanner.com/service_request?ID=095213" TargetMode="External"/><Relationship Id="rId100" Type="http://schemas.openxmlformats.org/officeDocument/2006/relationships/hyperlink" Target="https://us3.assetplanner.com/service_request?ID=095962" TargetMode="External"/><Relationship Id="rId105" Type="http://schemas.openxmlformats.org/officeDocument/2006/relationships/hyperlink" Target="https://us3.assetplanner.com/service_request?ID=095938" TargetMode="External"/><Relationship Id="rId8" Type="http://schemas.openxmlformats.org/officeDocument/2006/relationships/hyperlink" Target="https://us3.assetplanner.com/service_request?ID=096202" TargetMode="External"/><Relationship Id="rId51" Type="http://schemas.openxmlformats.org/officeDocument/2006/relationships/hyperlink" Target="https://us3.assetplanner.com/service_request?ID=095635" TargetMode="External"/><Relationship Id="rId72" Type="http://schemas.openxmlformats.org/officeDocument/2006/relationships/hyperlink" Target="https://us3.assetplanner.com/service_request?ID=096147" TargetMode="External"/><Relationship Id="rId93" Type="http://schemas.openxmlformats.org/officeDocument/2006/relationships/hyperlink" Target="https://us3.assetplanner.com/service_request?ID=095886" TargetMode="External"/><Relationship Id="rId98" Type="http://schemas.openxmlformats.org/officeDocument/2006/relationships/hyperlink" Target="https://us3.assetplanner.com/service_request?ID=095948" TargetMode="External"/><Relationship Id="rId121" Type="http://schemas.openxmlformats.org/officeDocument/2006/relationships/hyperlink" Target="https://us3.assetplanner.com/service_request?ID=096127" TargetMode="External"/><Relationship Id="rId3" Type="http://schemas.openxmlformats.org/officeDocument/2006/relationships/hyperlink" Target="https://us3.assetplanner.com/service_request?ID=086842" TargetMode="External"/><Relationship Id="rId25" Type="http://schemas.openxmlformats.org/officeDocument/2006/relationships/hyperlink" Target="https://us3.assetplanner.com/service_request?ID=095885" TargetMode="External"/><Relationship Id="rId46" Type="http://schemas.openxmlformats.org/officeDocument/2006/relationships/hyperlink" Target="https://us3.assetplanner.com/service_request?ID=093375" TargetMode="External"/><Relationship Id="rId67" Type="http://schemas.openxmlformats.org/officeDocument/2006/relationships/hyperlink" Target="https://us3.assetplanner.com/service_request?ID=095506" TargetMode="External"/><Relationship Id="rId116" Type="http://schemas.openxmlformats.org/officeDocument/2006/relationships/hyperlink" Target="https://us3.assetplanner.com/service_request?ID=095644" TargetMode="External"/><Relationship Id="rId20" Type="http://schemas.openxmlformats.org/officeDocument/2006/relationships/hyperlink" Target="https://us3.assetplanner.com/service_request?ID=095395" TargetMode="External"/><Relationship Id="rId41" Type="http://schemas.openxmlformats.org/officeDocument/2006/relationships/hyperlink" Target="https://us3.assetplanner.com/service_request?ID=095253" TargetMode="External"/><Relationship Id="rId62" Type="http://schemas.openxmlformats.org/officeDocument/2006/relationships/hyperlink" Target="https://us3.assetplanner.com/service_request?ID=095371" TargetMode="External"/><Relationship Id="rId83" Type="http://schemas.openxmlformats.org/officeDocument/2006/relationships/hyperlink" Target="https://us3.assetplanner.com/service_request?ID=095624" TargetMode="External"/><Relationship Id="rId88" Type="http://schemas.openxmlformats.org/officeDocument/2006/relationships/hyperlink" Target="https://us3.assetplanner.com/service_request?ID=095269" TargetMode="External"/><Relationship Id="rId111" Type="http://schemas.openxmlformats.org/officeDocument/2006/relationships/hyperlink" Target="https://us3.assetplanner.com/service_request?ID=095242" TargetMode="External"/><Relationship Id="rId15" Type="http://schemas.openxmlformats.org/officeDocument/2006/relationships/hyperlink" Target="https://us3.assetplanner.com/service_request?ID=095899" TargetMode="External"/><Relationship Id="rId36" Type="http://schemas.openxmlformats.org/officeDocument/2006/relationships/hyperlink" Target="https://us3.assetplanner.com/service_request?ID=095991" TargetMode="External"/><Relationship Id="rId57" Type="http://schemas.openxmlformats.org/officeDocument/2006/relationships/hyperlink" Target="https://us3.assetplanner.com/service_request?ID=096113" TargetMode="External"/><Relationship Id="rId106" Type="http://schemas.openxmlformats.org/officeDocument/2006/relationships/hyperlink" Target="https://us3.assetplanner.com/service_request?ID=095939" TargetMode="External"/><Relationship Id="rId10" Type="http://schemas.openxmlformats.org/officeDocument/2006/relationships/hyperlink" Target="https://us3.assetplanner.com/service_request?ID=093326" TargetMode="External"/><Relationship Id="rId31" Type="http://schemas.openxmlformats.org/officeDocument/2006/relationships/hyperlink" Target="https://us3.assetplanner.com/service_request?ID=095483" TargetMode="External"/><Relationship Id="rId52" Type="http://schemas.openxmlformats.org/officeDocument/2006/relationships/hyperlink" Target="https://us3.assetplanner.com/service_request?ID=095374" TargetMode="External"/><Relationship Id="rId73" Type="http://schemas.openxmlformats.org/officeDocument/2006/relationships/hyperlink" Target="https://us3.assetplanner.com/service_request?ID=095678" TargetMode="External"/><Relationship Id="rId78" Type="http://schemas.openxmlformats.org/officeDocument/2006/relationships/hyperlink" Target="https://us3.assetplanner.com/service_request?ID=095794" TargetMode="External"/><Relationship Id="rId94" Type="http://schemas.openxmlformats.org/officeDocument/2006/relationships/hyperlink" Target="https://us3.assetplanner.com/service_request?ID=095986" TargetMode="External"/><Relationship Id="rId99" Type="http://schemas.openxmlformats.org/officeDocument/2006/relationships/hyperlink" Target="https://us3.assetplanner.com/service_request?ID=095950" TargetMode="External"/><Relationship Id="rId101" Type="http://schemas.openxmlformats.org/officeDocument/2006/relationships/hyperlink" Target="https://us3.assetplanner.com/service_request?ID=095960" TargetMode="External"/><Relationship Id="rId122" Type="http://schemas.openxmlformats.org/officeDocument/2006/relationships/hyperlink" Target="https://us3.assetplanner.com/service_request?ID=095073"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3024" TargetMode="External"/><Relationship Id="rId117" Type="http://schemas.openxmlformats.org/officeDocument/2006/relationships/hyperlink" Target="https://us3.assetplanner.com/service_request?ID=097882" TargetMode="External"/><Relationship Id="rId21" Type="http://schemas.openxmlformats.org/officeDocument/2006/relationships/hyperlink" Target="https://us3.assetplanner.com/service_request?ID=096907" TargetMode="External"/><Relationship Id="rId42" Type="http://schemas.openxmlformats.org/officeDocument/2006/relationships/hyperlink" Target="https://us3.assetplanner.com/service_request?ID=097524" TargetMode="External"/><Relationship Id="rId47" Type="http://schemas.openxmlformats.org/officeDocument/2006/relationships/hyperlink" Target="https://us3.assetplanner.com/service_request?ID=097701" TargetMode="External"/><Relationship Id="rId63" Type="http://schemas.openxmlformats.org/officeDocument/2006/relationships/hyperlink" Target="https://us3.assetplanner.com/service_request?ID=097686" TargetMode="External"/><Relationship Id="rId68" Type="http://schemas.openxmlformats.org/officeDocument/2006/relationships/hyperlink" Target="https://us3.assetplanner.com/service_request?ID=094307" TargetMode="External"/><Relationship Id="rId84" Type="http://schemas.openxmlformats.org/officeDocument/2006/relationships/hyperlink" Target="https://us3.assetplanner.com/service_request?ID=096934" TargetMode="External"/><Relationship Id="rId89" Type="http://schemas.openxmlformats.org/officeDocument/2006/relationships/hyperlink" Target="https://us3.assetplanner.com/service_request?ID=097454" TargetMode="External"/><Relationship Id="rId112" Type="http://schemas.openxmlformats.org/officeDocument/2006/relationships/hyperlink" Target="https://us3.assetplanner.com/service_request?ID=095940" TargetMode="External"/><Relationship Id="rId16" Type="http://schemas.openxmlformats.org/officeDocument/2006/relationships/hyperlink" Target="https://us3.assetplanner.com/service_request?ID=096701" TargetMode="External"/><Relationship Id="rId107" Type="http://schemas.openxmlformats.org/officeDocument/2006/relationships/hyperlink" Target="https://us3.assetplanner.com/service_request?ID=095937" TargetMode="External"/><Relationship Id="rId11" Type="http://schemas.openxmlformats.org/officeDocument/2006/relationships/hyperlink" Target="https://us3.assetplanner.com/service_request?ID=096294" TargetMode="External"/><Relationship Id="rId32" Type="http://schemas.openxmlformats.org/officeDocument/2006/relationships/hyperlink" Target="https://us3.assetplanner.com/service_request?ID=096525" TargetMode="External"/><Relationship Id="rId37" Type="http://schemas.openxmlformats.org/officeDocument/2006/relationships/hyperlink" Target="https://us3.assetplanner.com/service_request?ID=096215" TargetMode="External"/><Relationship Id="rId53" Type="http://schemas.openxmlformats.org/officeDocument/2006/relationships/hyperlink" Target="https://us3.assetplanner.com/service_request?ID=093375" TargetMode="External"/><Relationship Id="rId58" Type="http://schemas.openxmlformats.org/officeDocument/2006/relationships/hyperlink" Target="https://us3.assetplanner.com/service_request?ID=095635" TargetMode="External"/><Relationship Id="rId74" Type="http://schemas.openxmlformats.org/officeDocument/2006/relationships/hyperlink" Target="https://us3.assetplanner.com/service_request?ID=097751" TargetMode="External"/><Relationship Id="rId79" Type="http://schemas.openxmlformats.org/officeDocument/2006/relationships/hyperlink" Target="https://us3.assetplanner.com/service_request?ID=097725" TargetMode="External"/><Relationship Id="rId102" Type="http://schemas.openxmlformats.org/officeDocument/2006/relationships/hyperlink" Target="https://us3.assetplanner.com/service_request?ID=095954" TargetMode="External"/><Relationship Id="rId123" Type="http://schemas.openxmlformats.org/officeDocument/2006/relationships/hyperlink" Target="https://us3.assetplanner.com/service_request?ID=095797" TargetMode="External"/><Relationship Id="rId5" Type="http://schemas.openxmlformats.org/officeDocument/2006/relationships/hyperlink" Target="https://us3.assetplanner.com/service_request?ID=093294" TargetMode="External"/><Relationship Id="rId90" Type="http://schemas.openxmlformats.org/officeDocument/2006/relationships/hyperlink" Target="https://us3.assetplanner.com/service_request?ID=096303" TargetMode="External"/><Relationship Id="rId95" Type="http://schemas.openxmlformats.org/officeDocument/2006/relationships/hyperlink" Target="https://us3.assetplanner.com/service_request?ID=097188" TargetMode="External"/><Relationship Id="rId22" Type="http://schemas.openxmlformats.org/officeDocument/2006/relationships/hyperlink" Target="https://us3.assetplanner.com/service_request?ID=097233" TargetMode="External"/><Relationship Id="rId27" Type="http://schemas.openxmlformats.org/officeDocument/2006/relationships/hyperlink" Target="https://us3.assetplanner.com/service_request?ID=095445" TargetMode="External"/><Relationship Id="rId43" Type="http://schemas.openxmlformats.org/officeDocument/2006/relationships/hyperlink" Target="https://us3.assetplanner.com/service_request?ID=097010" TargetMode="External"/><Relationship Id="rId48" Type="http://schemas.openxmlformats.org/officeDocument/2006/relationships/hyperlink" Target="https://us3.assetplanner.com/service_request?ID=097930" TargetMode="External"/><Relationship Id="rId64" Type="http://schemas.openxmlformats.org/officeDocument/2006/relationships/hyperlink" Target="https://us3.assetplanner.com/service_request?ID=096177" TargetMode="External"/><Relationship Id="rId69" Type="http://schemas.openxmlformats.org/officeDocument/2006/relationships/hyperlink" Target="https://us3.assetplanner.com/service_request?ID=096751" TargetMode="External"/><Relationship Id="rId113" Type="http://schemas.openxmlformats.org/officeDocument/2006/relationships/hyperlink" Target="https://us3.assetplanner.com/service_request?ID=095942" TargetMode="External"/><Relationship Id="rId118" Type="http://schemas.openxmlformats.org/officeDocument/2006/relationships/hyperlink" Target="https://us3.assetplanner.com/service_request?ID=097602" TargetMode="External"/><Relationship Id="rId80" Type="http://schemas.openxmlformats.org/officeDocument/2006/relationships/hyperlink" Target="https://us3.assetplanner.com/service_request?ID=095624" TargetMode="External"/><Relationship Id="rId85" Type="http://schemas.openxmlformats.org/officeDocument/2006/relationships/hyperlink" Target="https://us3.assetplanner.com/service_request?ID=097471" TargetMode="External"/><Relationship Id="rId12" Type="http://schemas.openxmlformats.org/officeDocument/2006/relationships/hyperlink" Target="https://us3.assetplanner.com/service_request?ID=095758" TargetMode="External"/><Relationship Id="rId17" Type="http://schemas.openxmlformats.org/officeDocument/2006/relationships/hyperlink" Target="https://us3.assetplanner.com/service_request?ID=096750" TargetMode="External"/><Relationship Id="rId33" Type="http://schemas.openxmlformats.org/officeDocument/2006/relationships/hyperlink" Target="https://us3.assetplanner.com/service_request?ID=097011" TargetMode="External"/><Relationship Id="rId38" Type="http://schemas.openxmlformats.org/officeDocument/2006/relationships/hyperlink" Target="https://us3.assetplanner.com/service_request?ID=097025" TargetMode="External"/><Relationship Id="rId59" Type="http://schemas.openxmlformats.org/officeDocument/2006/relationships/hyperlink" Target="https://us3.assetplanner.com/service_request?ID=097667" TargetMode="External"/><Relationship Id="rId103" Type="http://schemas.openxmlformats.org/officeDocument/2006/relationships/hyperlink" Target="https://us3.assetplanner.com/service_request?ID=095960" TargetMode="External"/><Relationship Id="rId108" Type="http://schemas.openxmlformats.org/officeDocument/2006/relationships/hyperlink" Target="https://us3.assetplanner.com/service_request?ID=095938" TargetMode="External"/><Relationship Id="rId124" Type="http://schemas.openxmlformats.org/officeDocument/2006/relationships/hyperlink" Target="https://us3.assetplanner.com/service_request?ID=095284" TargetMode="External"/><Relationship Id="rId54" Type="http://schemas.openxmlformats.org/officeDocument/2006/relationships/hyperlink" Target="https://us3.assetplanner.com/service_request?ID=096675" TargetMode="External"/><Relationship Id="rId70" Type="http://schemas.openxmlformats.org/officeDocument/2006/relationships/hyperlink" Target="https://us3.assetplanner.com/service_request?ID=097457" TargetMode="External"/><Relationship Id="rId75" Type="http://schemas.openxmlformats.org/officeDocument/2006/relationships/hyperlink" Target="https://us3.assetplanner.com/service_request?ID=095821" TargetMode="External"/><Relationship Id="rId91" Type="http://schemas.openxmlformats.org/officeDocument/2006/relationships/hyperlink" Target="https://us3.assetplanner.com/service_request?ID=096906" TargetMode="External"/><Relationship Id="rId96" Type="http://schemas.openxmlformats.org/officeDocument/2006/relationships/hyperlink" Target="https://us3.assetplanner.com/service_request?ID=095945" TargetMode="External"/><Relationship Id="rId1" Type="http://schemas.openxmlformats.org/officeDocument/2006/relationships/hyperlink" Target="https://us3.assetplanner.com/service_request?ID=097569" TargetMode="External"/><Relationship Id="rId6" Type="http://schemas.openxmlformats.org/officeDocument/2006/relationships/hyperlink" Target="https://us3.assetplanner.com/service_request?ID=093196" TargetMode="External"/><Relationship Id="rId23" Type="http://schemas.openxmlformats.org/officeDocument/2006/relationships/hyperlink" Target="https://us3.assetplanner.com/service_request?ID=097643" TargetMode="External"/><Relationship Id="rId28" Type="http://schemas.openxmlformats.org/officeDocument/2006/relationships/hyperlink" Target="https://us3.assetplanner.com/service_request?ID=097568" TargetMode="External"/><Relationship Id="rId49" Type="http://schemas.openxmlformats.org/officeDocument/2006/relationships/hyperlink" Target="https://us3.assetplanner.com/service_request?ID=093436" TargetMode="External"/><Relationship Id="rId114" Type="http://schemas.openxmlformats.org/officeDocument/2006/relationships/hyperlink" Target="https://us3.assetplanner.com/service_request?ID=095961" TargetMode="External"/><Relationship Id="rId119" Type="http://schemas.openxmlformats.org/officeDocument/2006/relationships/hyperlink" Target="https://us3.assetplanner.com/service_request?ID=096257" TargetMode="External"/><Relationship Id="rId44" Type="http://schemas.openxmlformats.org/officeDocument/2006/relationships/hyperlink" Target="https://us3.assetplanner.com/service_request?ID=097162" TargetMode="External"/><Relationship Id="rId60" Type="http://schemas.openxmlformats.org/officeDocument/2006/relationships/hyperlink" Target="https://us3.assetplanner.com/service_request?ID=097668" TargetMode="External"/><Relationship Id="rId65" Type="http://schemas.openxmlformats.org/officeDocument/2006/relationships/hyperlink" Target="https://us3.assetplanner.com/service_request?ID=096106" TargetMode="External"/><Relationship Id="rId81" Type="http://schemas.openxmlformats.org/officeDocument/2006/relationships/hyperlink" Target="https://us3.assetplanner.com/service_request?ID=096042" TargetMode="External"/><Relationship Id="rId86" Type="http://schemas.openxmlformats.org/officeDocument/2006/relationships/hyperlink" Target="https://us3.assetplanner.com/service_request?ID=094820" TargetMode="External"/><Relationship Id="rId4" Type="http://schemas.openxmlformats.org/officeDocument/2006/relationships/hyperlink" Target="https://us3.assetplanner.com/service_request?ID=086842" TargetMode="External"/><Relationship Id="rId9" Type="http://schemas.openxmlformats.org/officeDocument/2006/relationships/hyperlink" Target="https://us3.assetplanner.com/service_request?ID=096249" TargetMode="External"/><Relationship Id="rId13" Type="http://schemas.openxmlformats.org/officeDocument/2006/relationships/hyperlink" Target="https://us3.assetplanner.com/service_request?ID=096330" TargetMode="External"/><Relationship Id="rId18" Type="http://schemas.openxmlformats.org/officeDocument/2006/relationships/hyperlink" Target="https://us3.assetplanner.com/service_request?ID=093972" TargetMode="External"/><Relationship Id="rId39" Type="http://schemas.openxmlformats.org/officeDocument/2006/relationships/hyperlink" Target="https://us3.assetplanner.com/service_request?ID=092964" TargetMode="External"/><Relationship Id="rId109" Type="http://schemas.openxmlformats.org/officeDocument/2006/relationships/hyperlink" Target="https://us3.assetplanner.com/service_request?ID=095939" TargetMode="External"/><Relationship Id="rId34" Type="http://schemas.openxmlformats.org/officeDocument/2006/relationships/hyperlink" Target="https://us3.assetplanner.com/service_request?ID=097121" TargetMode="External"/><Relationship Id="rId50" Type="http://schemas.openxmlformats.org/officeDocument/2006/relationships/hyperlink" Target="https://us3.assetplanner.com/service_request?ID=096416" TargetMode="External"/><Relationship Id="rId55" Type="http://schemas.openxmlformats.org/officeDocument/2006/relationships/hyperlink" Target="https://us3.assetplanner.com/service_request?ID=096552" TargetMode="External"/><Relationship Id="rId76" Type="http://schemas.openxmlformats.org/officeDocument/2006/relationships/hyperlink" Target="https://us3.assetplanner.com/service_request?ID=097157" TargetMode="External"/><Relationship Id="rId97" Type="http://schemas.openxmlformats.org/officeDocument/2006/relationships/hyperlink" Target="https://us3.assetplanner.com/service_request?ID=097637" TargetMode="External"/><Relationship Id="rId104" Type="http://schemas.openxmlformats.org/officeDocument/2006/relationships/hyperlink" Target="https://us3.assetplanner.com/service_request?ID=095956" TargetMode="External"/><Relationship Id="rId120" Type="http://schemas.openxmlformats.org/officeDocument/2006/relationships/hyperlink" Target="https://us3.assetplanner.com/service_request?ID=095492" TargetMode="External"/><Relationship Id="rId7" Type="http://schemas.openxmlformats.org/officeDocument/2006/relationships/hyperlink" Target="https://us3.assetplanner.com/service_request?ID=097083" TargetMode="External"/><Relationship Id="rId71" Type="http://schemas.openxmlformats.org/officeDocument/2006/relationships/hyperlink" Target="https://us3.assetplanner.com/service_request?ID=095073" TargetMode="External"/><Relationship Id="rId92" Type="http://schemas.openxmlformats.org/officeDocument/2006/relationships/hyperlink" Target="https://us3.assetplanner.com/service_request?ID=097179" TargetMode="External"/><Relationship Id="rId2" Type="http://schemas.openxmlformats.org/officeDocument/2006/relationships/hyperlink" Target="https://us3.assetplanner.com/service_request?ID=093291" TargetMode="External"/><Relationship Id="rId29" Type="http://schemas.openxmlformats.org/officeDocument/2006/relationships/hyperlink" Target="https://us3.assetplanner.com/service_request?ID=096121" TargetMode="External"/><Relationship Id="rId24" Type="http://schemas.openxmlformats.org/officeDocument/2006/relationships/hyperlink" Target="https://us3.assetplanner.com/service_request?ID=095483" TargetMode="External"/><Relationship Id="rId40" Type="http://schemas.openxmlformats.org/officeDocument/2006/relationships/hyperlink" Target="https://us3.assetplanner.com/service_request?ID=097169" TargetMode="External"/><Relationship Id="rId45" Type="http://schemas.openxmlformats.org/officeDocument/2006/relationships/hyperlink" Target="https://us3.assetplanner.com/service_request?ID=097599" TargetMode="External"/><Relationship Id="rId66" Type="http://schemas.openxmlformats.org/officeDocument/2006/relationships/hyperlink" Target="https://us3.assetplanner.com/service_request?ID=095599" TargetMode="External"/><Relationship Id="rId87" Type="http://schemas.openxmlformats.org/officeDocument/2006/relationships/hyperlink" Target="https://us3.assetplanner.com/service_request?ID=095759" TargetMode="External"/><Relationship Id="rId110" Type="http://schemas.openxmlformats.org/officeDocument/2006/relationships/hyperlink" Target="https://us3.assetplanner.com/service_request?ID=095941" TargetMode="External"/><Relationship Id="rId115" Type="http://schemas.openxmlformats.org/officeDocument/2006/relationships/hyperlink" Target="https://us3.assetplanner.com/service_request?ID=097620" TargetMode="External"/><Relationship Id="rId61" Type="http://schemas.openxmlformats.org/officeDocument/2006/relationships/hyperlink" Target="https://us3.assetplanner.com/service_request?ID=095109" TargetMode="External"/><Relationship Id="rId82" Type="http://schemas.openxmlformats.org/officeDocument/2006/relationships/hyperlink" Target="https://us3.assetplanner.com/service_request?ID=096682" TargetMode="External"/><Relationship Id="rId19" Type="http://schemas.openxmlformats.org/officeDocument/2006/relationships/hyperlink" Target="https://us3.assetplanner.com/service_request?ID=095919" TargetMode="External"/><Relationship Id="rId14" Type="http://schemas.openxmlformats.org/officeDocument/2006/relationships/hyperlink" Target="https://us3.assetplanner.com/service_request?ID=095473" TargetMode="External"/><Relationship Id="rId30" Type="http://schemas.openxmlformats.org/officeDocument/2006/relationships/hyperlink" Target="https://us3.assetplanner.com/service_request?ID=096150" TargetMode="External"/><Relationship Id="rId35" Type="http://schemas.openxmlformats.org/officeDocument/2006/relationships/hyperlink" Target="https://us3.assetplanner.com/service_request?ID=094278" TargetMode="External"/><Relationship Id="rId56" Type="http://schemas.openxmlformats.org/officeDocument/2006/relationships/hyperlink" Target="https://us3.assetplanner.com/service_request?ID=095852" TargetMode="External"/><Relationship Id="rId77" Type="http://schemas.openxmlformats.org/officeDocument/2006/relationships/hyperlink" Target="https://us3.assetplanner.com/service_request?ID=097647" TargetMode="External"/><Relationship Id="rId100" Type="http://schemas.openxmlformats.org/officeDocument/2006/relationships/hyperlink" Target="https://us3.assetplanner.com/service_request?ID=095950" TargetMode="External"/><Relationship Id="rId105" Type="http://schemas.openxmlformats.org/officeDocument/2006/relationships/hyperlink" Target="https://us3.assetplanner.com/service_request?ID=096424" TargetMode="External"/><Relationship Id="rId8" Type="http://schemas.openxmlformats.org/officeDocument/2006/relationships/hyperlink" Target="https://us3.assetplanner.com/service_request?ID=097636" TargetMode="External"/><Relationship Id="rId51" Type="http://schemas.openxmlformats.org/officeDocument/2006/relationships/hyperlink" Target="https://us3.assetplanner.com/service_request?ID=097158" TargetMode="External"/><Relationship Id="rId72" Type="http://schemas.openxmlformats.org/officeDocument/2006/relationships/hyperlink" Target="https://us3.assetplanner.com/service_request?ID=097015" TargetMode="External"/><Relationship Id="rId93" Type="http://schemas.openxmlformats.org/officeDocument/2006/relationships/hyperlink" Target="https://us3.assetplanner.com/service_request?ID=097913" TargetMode="External"/><Relationship Id="rId98" Type="http://schemas.openxmlformats.org/officeDocument/2006/relationships/hyperlink" Target="https://us3.assetplanner.com/service_request?ID=095946" TargetMode="External"/><Relationship Id="rId121" Type="http://schemas.openxmlformats.org/officeDocument/2006/relationships/hyperlink" Target="https://us3.assetplanner.com/service_request?ID=096195" TargetMode="External"/><Relationship Id="rId3" Type="http://schemas.openxmlformats.org/officeDocument/2006/relationships/hyperlink" Target="https://us3.assetplanner.com/service_request?ID=093633" TargetMode="External"/><Relationship Id="rId25" Type="http://schemas.openxmlformats.org/officeDocument/2006/relationships/hyperlink" Target="https://us3.assetplanner.com/service_request?ID=097935" TargetMode="External"/><Relationship Id="rId46" Type="http://schemas.openxmlformats.org/officeDocument/2006/relationships/hyperlink" Target="https://us3.assetplanner.com/service_request?ID=097684" TargetMode="External"/><Relationship Id="rId67" Type="http://schemas.openxmlformats.org/officeDocument/2006/relationships/hyperlink" Target="https://us3.assetplanner.com/service_request?ID=097829" TargetMode="External"/><Relationship Id="rId116" Type="http://schemas.openxmlformats.org/officeDocument/2006/relationships/hyperlink" Target="https://us3.assetplanner.com/service_request?ID=096931" TargetMode="External"/><Relationship Id="rId20" Type="http://schemas.openxmlformats.org/officeDocument/2006/relationships/hyperlink" Target="https://us3.assetplanner.com/service_request?ID=096726" TargetMode="External"/><Relationship Id="rId41" Type="http://schemas.openxmlformats.org/officeDocument/2006/relationships/hyperlink" Target="https://us3.assetplanner.com/service_request?ID=095253" TargetMode="External"/><Relationship Id="rId62" Type="http://schemas.openxmlformats.org/officeDocument/2006/relationships/hyperlink" Target="https://us3.assetplanner.com/service_request?ID=097685" TargetMode="External"/><Relationship Id="rId83" Type="http://schemas.openxmlformats.org/officeDocument/2006/relationships/hyperlink" Target="https://us3.assetplanner.com/service_request?ID=096006" TargetMode="External"/><Relationship Id="rId88" Type="http://schemas.openxmlformats.org/officeDocument/2006/relationships/hyperlink" Target="https://us3.assetplanner.com/service_request?ID=096669" TargetMode="External"/><Relationship Id="rId111" Type="http://schemas.openxmlformats.org/officeDocument/2006/relationships/hyperlink" Target="https://us3.assetplanner.com/service_request?ID=095940" TargetMode="External"/><Relationship Id="rId15" Type="http://schemas.openxmlformats.org/officeDocument/2006/relationships/hyperlink" Target="https://us3.assetplanner.com/service_request?ID=096164" TargetMode="External"/><Relationship Id="rId36" Type="http://schemas.openxmlformats.org/officeDocument/2006/relationships/hyperlink" Target="https://us3.assetplanner.com/service_request?ID=095991" TargetMode="External"/><Relationship Id="rId57" Type="http://schemas.openxmlformats.org/officeDocument/2006/relationships/hyperlink" Target="https://us3.assetplanner.com/service_request?ID=097526" TargetMode="External"/><Relationship Id="rId106" Type="http://schemas.openxmlformats.org/officeDocument/2006/relationships/hyperlink" Target="https://us3.assetplanner.com/service_request?ID=095955" TargetMode="External"/><Relationship Id="rId10" Type="http://schemas.openxmlformats.org/officeDocument/2006/relationships/hyperlink" Target="https://us3.assetplanner.com/service_request?ID=093326" TargetMode="External"/><Relationship Id="rId31" Type="http://schemas.openxmlformats.org/officeDocument/2006/relationships/hyperlink" Target="https://us3.assetplanner.com/service_request?ID=096230" TargetMode="External"/><Relationship Id="rId52" Type="http://schemas.openxmlformats.org/officeDocument/2006/relationships/hyperlink" Target="https://us3.assetplanner.com/service_request?ID=097883" TargetMode="External"/><Relationship Id="rId73" Type="http://schemas.openxmlformats.org/officeDocument/2006/relationships/hyperlink" Target="https://us3.assetplanner.com/service_request?ID=097436" TargetMode="External"/><Relationship Id="rId78" Type="http://schemas.openxmlformats.org/officeDocument/2006/relationships/hyperlink" Target="https://us3.assetplanner.com/service_request?ID=097565" TargetMode="External"/><Relationship Id="rId94" Type="http://schemas.openxmlformats.org/officeDocument/2006/relationships/hyperlink" Target="https://us3.assetplanner.com/service_request?ID=097024" TargetMode="External"/><Relationship Id="rId99" Type="http://schemas.openxmlformats.org/officeDocument/2006/relationships/hyperlink" Target="https://us3.assetplanner.com/service_request?ID=095948" TargetMode="External"/><Relationship Id="rId101" Type="http://schemas.openxmlformats.org/officeDocument/2006/relationships/hyperlink" Target="https://us3.assetplanner.com/service_request?ID=095962" TargetMode="External"/><Relationship Id="rId122" Type="http://schemas.openxmlformats.org/officeDocument/2006/relationships/hyperlink" Target="https://us3.assetplanner.com/service_request?ID=097168"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us3.assetplanner.com/service_request?ID=096682" TargetMode="External"/><Relationship Id="rId21" Type="http://schemas.openxmlformats.org/officeDocument/2006/relationships/hyperlink" Target="https://us3.assetplanner.com/service_request?ID=099139" TargetMode="External"/><Relationship Id="rId42" Type="http://schemas.openxmlformats.org/officeDocument/2006/relationships/hyperlink" Target="https://us3.assetplanner.com/service_request?ID=098071" TargetMode="External"/><Relationship Id="rId63" Type="http://schemas.openxmlformats.org/officeDocument/2006/relationships/hyperlink" Target="https://us3.assetplanner.com/service_request?ID=098415" TargetMode="External"/><Relationship Id="rId84" Type="http://schemas.openxmlformats.org/officeDocument/2006/relationships/hyperlink" Target="https://us3.assetplanner.com/service_request?ID=098996" TargetMode="External"/><Relationship Id="rId138" Type="http://schemas.openxmlformats.org/officeDocument/2006/relationships/hyperlink" Target="https://us3.assetplanner.com/service_request?ID=095962" TargetMode="External"/><Relationship Id="rId159" Type="http://schemas.openxmlformats.org/officeDocument/2006/relationships/hyperlink" Target="https://us3.assetplanner.com/service_request?ID=098003" TargetMode="External"/><Relationship Id="rId170" Type="http://schemas.openxmlformats.org/officeDocument/2006/relationships/hyperlink" Target="https://us3.assetplanner.com/service_request?ID=097951" TargetMode="External"/><Relationship Id="rId107" Type="http://schemas.openxmlformats.org/officeDocument/2006/relationships/hyperlink" Target="https://us3.assetplanner.com/service_request?ID=098959" TargetMode="External"/><Relationship Id="rId11" Type="http://schemas.openxmlformats.org/officeDocument/2006/relationships/hyperlink" Target="https://us3.assetplanner.com/service_request?ID=099136" TargetMode="External"/><Relationship Id="rId32" Type="http://schemas.openxmlformats.org/officeDocument/2006/relationships/hyperlink" Target="https://us3.assetplanner.com/service_request?ID=098853" TargetMode="External"/><Relationship Id="rId53" Type="http://schemas.openxmlformats.org/officeDocument/2006/relationships/hyperlink" Target="https://us3.assetplanner.com/service_request?ID=099053" TargetMode="External"/><Relationship Id="rId74" Type="http://schemas.openxmlformats.org/officeDocument/2006/relationships/hyperlink" Target="https://us3.assetplanner.com/service_request?ID=098462" TargetMode="External"/><Relationship Id="rId128" Type="http://schemas.openxmlformats.org/officeDocument/2006/relationships/hyperlink" Target="https://us3.assetplanner.com/service_request?ID=099118" TargetMode="External"/><Relationship Id="rId149" Type="http://schemas.openxmlformats.org/officeDocument/2006/relationships/hyperlink" Target="https://us3.assetplanner.com/service_request?ID=098903" TargetMode="External"/><Relationship Id="rId5" Type="http://schemas.openxmlformats.org/officeDocument/2006/relationships/hyperlink" Target="https://us3.assetplanner.com/service_request?ID=086842" TargetMode="External"/><Relationship Id="rId95" Type="http://schemas.openxmlformats.org/officeDocument/2006/relationships/hyperlink" Target="https://us3.assetplanner.com/service_request?ID=098930" TargetMode="External"/><Relationship Id="rId160" Type="http://schemas.openxmlformats.org/officeDocument/2006/relationships/hyperlink" Target="https://us3.assetplanner.com/service_request?ID=098172" TargetMode="External"/><Relationship Id="rId181" Type="http://schemas.openxmlformats.org/officeDocument/2006/relationships/hyperlink" Target="https://us3.assetplanner.com/service_request?ID=099014" TargetMode="External"/><Relationship Id="rId22" Type="http://schemas.openxmlformats.org/officeDocument/2006/relationships/hyperlink" Target="https://us3.assetplanner.com/service_request?ID=093326" TargetMode="External"/><Relationship Id="rId43" Type="http://schemas.openxmlformats.org/officeDocument/2006/relationships/hyperlink" Target="https://us3.assetplanner.com/service_request?ID=094278" TargetMode="External"/><Relationship Id="rId64" Type="http://schemas.openxmlformats.org/officeDocument/2006/relationships/hyperlink" Target="https://us3.assetplanner.com/service_request?ID=098594" TargetMode="External"/><Relationship Id="rId118" Type="http://schemas.openxmlformats.org/officeDocument/2006/relationships/hyperlink" Target="https://us3.assetplanner.com/service_request?ID=096006" TargetMode="External"/><Relationship Id="rId139" Type="http://schemas.openxmlformats.org/officeDocument/2006/relationships/hyperlink" Target="https://us3.assetplanner.com/service_request?ID=095954" TargetMode="External"/><Relationship Id="rId85" Type="http://schemas.openxmlformats.org/officeDocument/2006/relationships/hyperlink" Target="https://us3.assetplanner.com/service_request?ID=098631" TargetMode="External"/><Relationship Id="rId150" Type="http://schemas.openxmlformats.org/officeDocument/2006/relationships/hyperlink" Target="https://us3.assetplanner.com/service_request?ID=095941" TargetMode="External"/><Relationship Id="rId171" Type="http://schemas.openxmlformats.org/officeDocument/2006/relationships/hyperlink" Target="https://us3.assetplanner.com/service_request?ID=098899" TargetMode="External"/><Relationship Id="rId12" Type="http://schemas.openxmlformats.org/officeDocument/2006/relationships/hyperlink" Target="https://us3.assetplanner.com/service_request?ID=099136" TargetMode="External"/><Relationship Id="rId33" Type="http://schemas.openxmlformats.org/officeDocument/2006/relationships/hyperlink" Target="https://us3.assetplanner.com/service_request?ID=098892" TargetMode="External"/><Relationship Id="rId108" Type="http://schemas.openxmlformats.org/officeDocument/2006/relationships/hyperlink" Target="https://us3.assetplanner.com/service_request?ID=098196" TargetMode="External"/><Relationship Id="rId129" Type="http://schemas.openxmlformats.org/officeDocument/2006/relationships/hyperlink" Target="https://us3.assetplanner.com/service_request?ID=098624" TargetMode="External"/><Relationship Id="rId54" Type="http://schemas.openxmlformats.org/officeDocument/2006/relationships/hyperlink" Target="https://us3.assetplanner.com/service_request?ID=096238" TargetMode="External"/><Relationship Id="rId75" Type="http://schemas.openxmlformats.org/officeDocument/2006/relationships/hyperlink" Target="https://us3.assetplanner.com/service_request?ID=098994" TargetMode="External"/><Relationship Id="rId96" Type="http://schemas.openxmlformats.org/officeDocument/2006/relationships/hyperlink" Target="https://us3.assetplanner.com/service_request?ID=095073" TargetMode="External"/><Relationship Id="rId140" Type="http://schemas.openxmlformats.org/officeDocument/2006/relationships/hyperlink" Target="https://us3.assetplanner.com/service_request?ID=095951" TargetMode="External"/><Relationship Id="rId161" Type="http://schemas.openxmlformats.org/officeDocument/2006/relationships/hyperlink" Target="https://us3.assetplanner.com/service_request?ID=098251" TargetMode="External"/><Relationship Id="rId182" Type="http://schemas.openxmlformats.org/officeDocument/2006/relationships/hyperlink" Target="https://us3.assetplanner.com/service_request?ID=098433" TargetMode="External"/><Relationship Id="rId6" Type="http://schemas.openxmlformats.org/officeDocument/2006/relationships/hyperlink" Target="https://us3.assetplanner.com/service_request?ID=093294" TargetMode="External"/><Relationship Id="rId23" Type="http://schemas.openxmlformats.org/officeDocument/2006/relationships/hyperlink" Target="https://us3.assetplanner.com/service_request?ID=099036" TargetMode="External"/><Relationship Id="rId119" Type="http://schemas.openxmlformats.org/officeDocument/2006/relationships/hyperlink" Target="https://us3.assetplanner.com/service_request?ID=098692" TargetMode="External"/><Relationship Id="rId44" Type="http://schemas.openxmlformats.org/officeDocument/2006/relationships/hyperlink" Target="https://us3.assetplanner.com/service_request?ID=098510" TargetMode="External"/><Relationship Id="rId60" Type="http://schemas.openxmlformats.org/officeDocument/2006/relationships/hyperlink" Target="https://us3.assetplanner.com/service_request?ID=098295" TargetMode="External"/><Relationship Id="rId65" Type="http://schemas.openxmlformats.org/officeDocument/2006/relationships/hyperlink" Target="https://us3.assetplanner.com/service_request?ID=098779" TargetMode="External"/><Relationship Id="rId81" Type="http://schemas.openxmlformats.org/officeDocument/2006/relationships/hyperlink" Target="https://us3.assetplanner.com/service_request?ID=095109" TargetMode="External"/><Relationship Id="rId86" Type="http://schemas.openxmlformats.org/officeDocument/2006/relationships/hyperlink" Target="https://us3.assetplanner.com/service_request?ID=098997" TargetMode="External"/><Relationship Id="rId130" Type="http://schemas.openxmlformats.org/officeDocument/2006/relationships/hyperlink" Target="https://us3.assetplanner.com/service_request?ID=098733" TargetMode="External"/><Relationship Id="rId135" Type="http://schemas.openxmlformats.org/officeDocument/2006/relationships/hyperlink" Target="https://us3.assetplanner.com/service_request?ID=098988" TargetMode="External"/><Relationship Id="rId151" Type="http://schemas.openxmlformats.org/officeDocument/2006/relationships/hyperlink" Target="https://us3.assetplanner.com/service_request?ID=095940" TargetMode="External"/><Relationship Id="rId156" Type="http://schemas.openxmlformats.org/officeDocument/2006/relationships/hyperlink" Target="https://us3.assetplanner.com/service_request?ID=095942" TargetMode="External"/><Relationship Id="rId177" Type="http://schemas.openxmlformats.org/officeDocument/2006/relationships/hyperlink" Target="https://us3.assetplanner.com/service_request?ID=098066" TargetMode="External"/><Relationship Id="rId172" Type="http://schemas.openxmlformats.org/officeDocument/2006/relationships/hyperlink" Target="https://us3.assetplanner.com/service_request?ID=097600" TargetMode="External"/><Relationship Id="rId13" Type="http://schemas.openxmlformats.org/officeDocument/2006/relationships/hyperlink" Target="https://us3.assetplanner.com/service_request?ID=098734" TargetMode="External"/><Relationship Id="rId18" Type="http://schemas.openxmlformats.org/officeDocument/2006/relationships/hyperlink" Target="https://us3.assetplanner.com/service_request?ID=098781" TargetMode="External"/><Relationship Id="rId39" Type="http://schemas.openxmlformats.org/officeDocument/2006/relationships/hyperlink" Target="https://us3.assetplanner.com/service_request?ID=093024" TargetMode="External"/><Relationship Id="rId109" Type="http://schemas.openxmlformats.org/officeDocument/2006/relationships/hyperlink" Target="https://us3.assetplanner.com/service_request?ID=098275" TargetMode="External"/><Relationship Id="rId34" Type="http://schemas.openxmlformats.org/officeDocument/2006/relationships/hyperlink" Target="https://us3.assetplanner.com/service_request?ID=099149" TargetMode="External"/><Relationship Id="rId50" Type="http://schemas.openxmlformats.org/officeDocument/2006/relationships/hyperlink" Target="https://us3.assetplanner.com/service_request?ID=095253" TargetMode="External"/><Relationship Id="rId55" Type="http://schemas.openxmlformats.org/officeDocument/2006/relationships/hyperlink" Target="https://us3.assetplanner.com/service_request?ID=097926" TargetMode="External"/><Relationship Id="rId76" Type="http://schemas.openxmlformats.org/officeDocument/2006/relationships/hyperlink" Target="https://us3.assetplanner.com/service_request?ID=098630" TargetMode="External"/><Relationship Id="rId97" Type="http://schemas.openxmlformats.org/officeDocument/2006/relationships/hyperlink" Target="https://us3.assetplanner.com/service_request?ID=097436" TargetMode="External"/><Relationship Id="rId104" Type="http://schemas.openxmlformats.org/officeDocument/2006/relationships/hyperlink" Target="https://us3.assetplanner.com/service_request?ID=097565" TargetMode="External"/><Relationship Id="rId120" Type="http://schemas.openxmlformats.org/officeDocument/2006/relationships/hyperlink" Target="https://us3.assetplanner.com/service_request?ID=098627" TargetMode="External"/><Relationship Id="rId125" Type="http://schemas.openxmlformats.org/officeDocument/2006/relationships/hyperlink" Target="https://us3.assetplanner.com/service_request?ID=099024" TargetMode="External"/><Relationship Id="rId141" Type="http://schemas.openxmlformats.org/officeDocument/2006/relationships/hyperlink" Target="https://us3.assetplanner.com/service_request?ID=095960" TargetMode="External"/><Relationship Id="rId146" Type="http://schemas.openxmlformats.org/officeDocument/2006/relationships/hyperlink" Target="https://us3.assetplanner.com/service_request?ID=095937" TargetMode="External"/><Relationship Id="rId167" Type="http://schemas.openxmlformats.org/officeDocument/2006/relationships/hyperlink" Target="https://us3.assetplanner.com/service_request?ID=098319" TargetMode="External"/><Relationship Id="rId7" Type="http://schemas.openxmlformats.org/officeDocument/2006/relationships/hyperlink" Target="https://us3.assetplanner.com/service_request?ID=098958" TargetMode="External"/><Relationship Id="rId71" Type="http://schemas.openxmlformats.org/officeDocument/2006/relationships/hyperlink" Target="https://us3.assetplanner.com/service_request?ID=099129" TargetMode="External"/><Relationship Id="rId92" Type="http://schemas.openxmlformats.org/officeDocument/2006/relationships/hyperlink" Target="https://us3.assetplanner.com/service_request?ID=098637" TargetMode="External"/><Relationship Id="rId162" Type="http://schemas.openxmlformats.org/officeDocument/2006/relationships/hyperlink" Target="https://us3.assetplanner.com/service_request?ID=098665" TargetMode="External"/><Relationship Id="rId183" Type="http://schemas.openxmlformats.org/officeDocument/2006/relationships/hyperlink" Target="https://us3.assetplanner.com/service_request?ID=098638" TargetMode="External"/><Relationship Id="rId2" Type="http://schemas.openxmlformats.org/officeDocument/2006/relationships/hyperlink" Target="https://us3.assetplanner.com/service_request?ID=097569" TargetMode="External"/><Relationship Id="rId29" Type="http://schemas.openxmlformats.org/officeDocument/2006/relationships/hyperlink" Target="https://us3.assetplanner.com/service_request?ID=098641" TargetMode="External"/><Relationship Id="rId24" Type="http://schemas.openxmlformats.org/officeDocument/2006/relationships/hyperlink" Target="https://us3.assetplanner.com/service_request?ID=098313" TargetMode="External"/><Relationship Id="rId40" Type="http://schemas.openxmlformats.org/officeDocument/2006/relationships/hyperlink" Target="https://us3.assetplanner.com/service_request?ID=098551" TargetMode="External"/><Relationship Id="rId45" Type="http://schemas.openxmlformats.org/officeDocument/2006/relationships/hyperlink" Target="https://us3.assetplanner.com/service_request?ID=098510" TargetMode="External"/><Relationship Id="rId66" Type="http://schemas.openxmlformats.org/officeDocument/2006/relationships/hyperlink" Target="https://us3.assetplanner.com/service_request?ID=098902" TargetMode="External"/><Relationship Id="rId87" Type="http://schemas.openxmlformats.org/officeDocument/2006/relationships/hyperlink" Target="https://us3.assetplanner.com/service_request?ID=097854" TargetMode="External"/><Relationship Id="rId110" Type="http://schemas.openxmlformats.org/officeDocument/2006/relationships/hyperlink" Target="https://us3.assetplanner.com/service_request?ID=098655" TargetMode="External"/><Relationship Id="rId115" Type="http://schemas.openxmlformats.org/officeDocument/2006/relationships/hyperlink" Target="https://us3.assetplanner.com/service_request?ID=098021" TargetMode="External"/><Relationship Id="rId131" Type="http://schemas.openxmlformats.org/officeDocument/2006/relationships/hyperlink" Target="https://us3.assetplanner.com/service_request?ID=095945" TargetMode="External"/><Relationship Id="rId136" Type="http://schemas.openxmlformats.org/officeDocument/2006/relationships/hyperlink" Target="https://us3.assetplanner.com/service_request?ID=095948" TargetMode="External"/><Relationship Id="rId157" Type="http://schemas.openxmlformats.org/officeDocument/2006/relationships/hyperlink" Target="https://us3.assetplanner.com/service_request?ID=095961" TargetMode="External"/><Relationship Id="rId178" Type="http://schemas.openxmlformats.org/officeDocument/2006/relationships/hyperlink" Target="https://us3.assetplanner.com/service_request?ID=098233" TargetMode="External"/><Relationship Id="rId61" Type="http://schemas.openxmlformats.org/officeDocument/2006/relationships/hyperlink" Target="https://us3.assetplanner.com/service_request?ID=098354" TargetMode="External"/><Relationship Id="rId82" Type="http://schemas.openxmlformats.org/officeDocument/2006/relationships/hyperlink" Target="https://us3.assetplanner.com/service_request?ID=098366" TargetMode="External"/><Relationship Id="rId152" Type="http://schemas.openxmlformats.org/officeDocument/2006/relationships/hyperlink" Target="https://us3.assetplanner.com/service_request?ID=095940" TargetMode="External"/><Relationship Id="rId173" Type="http://schemas.openxmlformats.org/officeDocument/2006/relationships/hyperlink" Target="https://us3.assetplanner.com/service_request?ID=098029" TargetMode="External"/><Relationship Id="rId19" Type="http://schemas.openxmlformats.org/officeDocument/2006/relationships/hyperlink" Target="https://us3.assetplanner.com/service_request?ID=098905" TargetMode="External"/><Relationship Id="rId14" Type="http://schemas.openxmlformats.org/officeDocument/2006/relationships/hyperlink" Target="https://us3.assetplanner.com/service_request?ID=098981" TargetMode="External"/><Relationship Id="rId30" Type="http://schemas.openxmlformats.org/officeDocument/2006/relationships/hyperlink" Target="https://us3.assetplanner.com/service_request?ID=098279" TargetMode="External"/><Relationship Id="rId35" Type="http://schemas.openxmlformats.org/officeDocument/2006/relationships/hyperlink" Target="https://us3.assetplanner.com/service_request?ID=093972" TargetMode="External"/><Relationship Id="rId56" Type="http://schemas.openxmlformats.org/officeDocument/2006/relationships/hyperlink" Target="https://us3.assetplanner.com/service_request?ID=098992" TargetMode="External"/><Relationship Id="rId77" Type="http://schemas.openxmlformats.org/officeDocument/2006/relationships/hyperlink" Target="https://us3.assetplanner.com/service_request?ID=098222" TargetMode="External"/><Relationship Id="rId100" Type="http://schemas.openxmlformats.org/officeDocument/2006/relationships/hyperlink" Target="https://us3.assetplanner.com/service_request?ID=098459" TargetMode="External"/><Relationship Id="rId105" Type="http://schemas.openxmlformats.org/officeDocument/2006/relationships/hyperlink" Target="https://us3.assetplanner.com/service_request?ID=098893" TargetMode="External"/><Relationship Id="rId126" Type="http://schemas.openxmlformats.org/officeDocument/2006/relationships/hyperlink" Target="https://us3.assetplanner.com/service_request?ID=095759" TargetMode="External"/><Relationship Id="rId147" Type="http://schemas.openxmlformats.org/officeDocument/2006/relationships/hyperlink" Target="https://us3.assetplanner.com/service_request?ID=095938" TargetMode="External"/><Relationship Id="rId168" Type="http://schemas.openxmlformats.org/officeDocument/2006/relationships/hyperlink" Target="https://us3.assetplanner.com/service_request?ID=098898" TargetMode="External"/><Relationship Id="rId8" Type="http://schemas.openxmlformats.org/officeDocument/2006/relationships/hyperlink" Target="https://us3.assetplanner.com/service_request?ID=098114" TargetMode="External"/><Relationship Id="rId51" Type="http://schemas.openxmlformats.org/officeDocument/2006/relationships/hyperlink" Target="https://us3.assetplanner.com/service_request?ID=098558" TargetMode="External"/><Relationship Id="rId72" Type="http://schemas.openxmlformats.org/officeDocument/2006/relationships/hyperlink" Target="https://us3.assetplanner.com/service_request?ID=098570" TargetMode="External"/><Relationship Id="rId93" Type="http://schemas.openxmlformats.org/officeDocument/2006/relationships/hyperlink" Target="https://us3.assetplanner.com/service_request?ID=098643" TargetMode="External"/><Relationship Id="rId98" Type="http://schemas.openxmlformats.org/officeDocument/2006/relationships/hyperlink" Target="https://us3.assetplanner.com/service_request?ID=097751" TargetMode="External"/><Relationship Id="rId121" Type="http://schemas.openxmlformats.org/officeDocument/2006/relationships/hyperlink" Target="https://us3.assetplanner.com/service_request?ID=094820" TargetMode="External"/><Relationship Id="rId142" Type="http://schemas.openxmlformats.org/officeDocument/2006/relationships/hyperlink" Target="https://us3.assetplanner.com/service_request?ID=098235" TargetMode="External"/><Relationship Id="rId163" Type="http://schemas.openxmlformats.org/officeDocument/2006/relationships/hyperlink" Target="https://us3.assetplanner.com/service_request?ID=098315" TargetMode="External"/><Relationship Id="rId184" Type="http://schemas.openxmlformats.org/officeDocument/2006/relationships/hyperlink" Target="https://us3.assetplanner.com/service_request?ID=099403"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099002" TargetMode="External"/><Relationship Id="rId46" Type="http://schemas.openxmlformats.org/officeDocument/2006/relationships/hyperlink" Target="https://us3.assetplanner.com/service_request?ID=098998" TargetMode="External"/><Relationship Id="rId67" Type="http://schemas.openxmlformats.org/officeDocument/2006/relationships/hyperlink" Target="https://us3.assetplanner.com/service_request?ID=097883" TargetMode="External"/><Relationship Id="rId116" Type="http://schemas.openxmlformats.org/officeDocument/2006/relationships/hyperlink" Target="https://us3.assetplanner.com/service_request?ID=098809" TargetMode="External"/><Relationship Id="rId137" Type="http://schemas.openxmlformats.org/officeDocument/2006/relationships/hyperlink" Target="https://us3.assetplanner.com/service_request?ID=095950" TargetMode="External"/><Relationship Id="rId158" Type="http://schemas.openxmlformats.org/officeDocument/2006/relationships/hyperlink" Target="https://us3.assetplanner.com/service_request?ID=097620" TargetMode="External"/><Relationship Id="rId20" Type="http://schemas.openxmlformats.org/officeDocument/2006/relationships/hyperlink" Target="https://us3.assetplanner.com/service_request?ID=098312" TargetMode="External"/><Relationship Id="rId41" Type="http://schemas.openxmlformats.org/officeDocument/2006/relationships/hyperlink" Target="https://us3.assetplanner.com/service_request?ID=096004" TargetMode="External"/><Relationship Id="rId62" Type="http://schemas.openxmlformats.org/officeDocument/2006/relationships/hyperlink" Target="https://us3.assetplanner.com/service_request?ID=098414" TargetMode="External"/><Relationship Id="rId83" Type="http://schemas.openxmlformats.org/officeDocument/2006/relationships/hyperlink" Target="https://us3.assetplanner.com/service_request?ID=098629" TargetMode="External"/><Relationship Id="rId88" Type="http://schemas.openxmlformats.org/officeDocument/2006/relationships/hyperlink" Target="https://us3.assetplanner.com/service_request?ID=098349" TargetMode="External"/><Relationship Id="rId111" Type="http://schemas.openxmlformats.org/officeDocument/2006/relationships/hyperlink" Target="https://us3.assetplanner.com/service_request?ID=098626" TargetMode="External"/><Relationship Id="rId132" Type="http://schemas.openxmlformats.org/officeDocument/2006/relationships/hyperlink" Target="https://us3.assetplanner.com/service_request?ID=097637" TargetMode="External"/><Relationship Id="rId153" Type="http://schemas.openxmlformats.org/officeDocument/2006/relationships/hyperlink" Target="https://us3.assetplanner.com/service_request?ID=098413" TargetMode="External"/><Relationship Id="rId174" Type="http://schemas.openxmlformats.org/officeDocument/2006/relationships/hyperlink" Target="https://us3.assetplanner.com/service_request?ID=098028" TargetMode="External"/><Relationship Id="rId179" Type="http://schemas.openxmlformats.org/officeDocument/2006/relationships/hyperlink" Target="https://us3.assetplanner.com/service_request?ID=098646" TargetMode="External"/><Relationship Id="rId15" Type="http://schemas.openxmlformats.org/officeDocument/2006/relationships/hyperlink" Target="https://us3.assetplanner.com/service_request?ID=096202" TargetMode="External"/><Relationship Id="rId36" Type="http://schemas.openxmlformats.org/officeDocument/2006/relationships/hyperlink" Target="https://us3.assetplanner.com/service_request?ID=098708" TargetMode="External"/><Relationship Id="rId57" Type="http://schemas.openxmlformats.org/officeDocument/2006/relationships/hyperlink" Target="https://us3.assetplanner.com/service_request?ID=097930" TargetMode="External"/><Relationship Id="rId106" Type="http://schemas.openxmlformats.org/officeDocument/2006/relationships/hyperlink" Target="https://us3.assetplanner.com/service_request?ID=098901" TargetMode="External"/><Relationship Id="rId127" Type="http://schemas.openxmlformats.org/officeDocument/2006/relationships/hyperlink" Target="https://us3.assetplanner.com/service_request?ID=097454" TargetMode="External"/><Relationship Id="rId10" Type="http://schemas.openxmlformats.org/officeDocument/2006/relationships/hyperlink" Target="https://us3.assetplanner.com/service_request?ID=093196" TargetMode="External"/><Relationship Id="rId31" Type="http://schemas.openxmlformats.org/officeDocument/2006/relationships/hyperlink" Target="https://us3.assetplanner.com/service_request?ID=098699" TargetMode="External"/><Relationship Id="rId52" Type="http://schemas.openxmlformats.org/officeDocument/2006/relationships/hyperlink" Target="https://us3.assetplanner.com/service_request?ID=099047" TargetMode="External"/><Relationship Id="rId73" Type="http://schemas.openxmlformats.org/officeDocument/2006/relationships/hyperlink" Target="https://us3.assetplanner.com/service_request?ID=097526" TargetMode="External"/><Relationship Id="rId78" Type="http://schemas.openxmlformats.org/officeDocument/2006/relationships/hyperlink" Target="https://us3.assetplanner.com/service_request?ID=098632" TargetMode="External"/><Relationship Id="rId94" Type="http://schemas.openxmlformats.org/officeDocument/2006/relationships/hyperlink" Target="https://us3.assetplanner.com/service_request?ID=098841" TargetMode="External"/><Relationship Id="rId99" Type="http://schemas.openxmlformats.org/officeDocument/2006/relationships/hyperlink" Target="https://us3.assetplanner.com/service_request?ID=095821" TargetMode="External"/><Relationship Id="rId101" Type="http://schemas.openxmlformats.org/officeDocument/2006/relationships/hyperlink" Target="https://us3.assetplanner.com/service_request?ID=098259" TargetMode="External"/><Relationship Id="rId122" Type="http://schemas.openxmlformats.org/officeDocument/2006/relationships/hyperlink" Target="https://us3.assetplanner.com/service_request?ID=098628" TargetMode="External"/><Relationship Id="rId143" Type="http://schemas.openxmlformats.org/officeDocument/2006/relationships/hyperlink" Target="https://us3.assetplanner.com/service_request?ID=098264" TargetMode="External"/><Relationship Id="rId148" Type="http://schemas.openxmlformats.org/officeDocument/2006/relationships/hyperlink" Target="https://us3.assetplanner.com/service_request?ID=095939" TargetMode="External"/><Relationship Id="rId164" Type="http://schemas.openxmlformats.org/officeDocument/2006/relationships/hyperlink" Target="https://us3.assetplanner.com/service_request?ID=098593" TargetMode="External"/><Relationship Id="rId169" Type="http://schemas.openxmlformats.org/officeDocument/2006/relationships/hyperlink" Target="https://us3.assetplanner.com/service_request?ID=097816" TargetMode="External"/><Relationship Id="rId4" Type="http://schemas.openxmlformats.org/officeDocument/2006/relationships/hyperlink" Target="https://us3.assetplanner.com/service_request?ID=093633" TargetMode="External"/><Relationship Id="rId9" Type="http://schemas.openxmlformats.org/officeDocument/2006/relationships/hyperlink" Target="https://us3.assetplanner.com/service_request?ID=099228" TargetMode="External"/><Relationship Id="rId180" Type="http://schemas.openxmlformats.org/officeDocument/2006/relationships/hyperlink" Target="https://us3.assetplanner.com/service_request?ID=098634" TargetMode="External"/><Relationship Id="rId26" Type="http://schemas.openxmlformats.org/officeDocument/2006/relationships/hyperlink" Target="https://us3.assetplanner.com/service_request?ID=098155" TargetMode="External"/><Relationship Id="rId47" Type="http://schemas.openxmlformats.org/officeDocument/2006/relationships/hyperlink" Target="https://us3.assetplanner.com/service_request?ID=098500" TargetMode="External"/><Relationship Id="rId68" Type="http://schemas.openxmlformats.org/officeDocument/2006/relationships/hyperlink" Target="https://us3.assetplanner.com/service_request?ID=098644" TargetMode="External"/><Relationship Id="rId89" Type="http://schemas.openxmlformats.org/officeDocument/2006/relationships/hyperlink" Target="https://us3.assetplanner.com/service_request?ID=098635" TargetMode="External"/><Relationship Id="rId112" Type="http://schemas.openxmlformats.org/officeDocument/2006/relationships/hyperlink" Target="https://us3.assetplanner.com/service_request?ID=095624" TargetMode="External"/><Relationship Id="rId133" Type="http://schemas.openxmlformats.org/officeDocument/2006/relationships/hyperlink" Target="https://us3.assetplanner.com/service_request?ID=098724" TargetMode="External"/><Relationship Id="rId154" Type="http://schemas.openxmlformats.org/officeDocument/2006/relationships/hyperlink" Target="https://us3.assetplanner.com/service_request?ID=098490" TargetMode="External"/><Relationship Id="rId175" Type="http://schemas.openxmlformats.org/officeDocument/2006/relationships/hyperlink" Target="https://us3.assetplanner.com/service_request?ID=098278" TargetMode="External"/><Relationship Id="rId16" Type="http://schemas.openxmlformats.org/officeDocument/2006/relationships/hyperlink" Target="https://us3.assetplanner.com/service_request?ID=098365" TargetMode="External"/><Relationship Id="rId37" Type="http://schemas.openxmlformats.org/officeDocument/2006/relationships/hyperlink" Target="https://us3.assetplanner.com/service_request?ID=098708" TargetMode="External"/><Relationship Id="rId58" Type="http://schemas.openxmlformats.org/officeDocument/2006/relationships/hyperlink" Target="https://us3.assetplanner.com/service_request?ID=098005" TargetMode="External"/><Relationship Id="rId79" Type="http://schemas.openxmlformats.org/officeDocument/2006/relationships/hyperlink" Target="https://us3.assetplanner.com/service_request?ID=098995" TargetMode="External"/><Relationship Id="rId102" Type="http://schemas.openxmlformats.org/officeDocument/2006/relationships/hyperlink" Target="https://us3.assetplanner.com/service_request?ID=098259" TargetMode="External"/><Relationship Id="rId123" Type="http://schemas.openxmlformats.org/officeDocument/2006/relationships/hyperlink" Target="https://us3.assetplanner.com/service_request?ID=098888" TargetMode="External"/><Relationship Id="rId144" Type="http://schemas.openxmlformats.org/officeDocument/2006/relationships/hyperlink" Target="https://us3.assetplanner.com/service_request?ID=095956" TargetMode="External"/><Relationship Id="rId90" Type="http://schemas.openxmlformats.org/officeDocument/2006/relationships/hyperlink" Target="https://us3.assetplanner.com/service_request?ID=098636" TargetMode="External"/><Relationship Id="rId165" Type="http://schemas.openxmlformats.org/officeDocument/2006/relationships/hyperlink" Target="https://us3.assetplanner.com/service_request?ID=096257" TargetMode="External"/><Relationship Id="rId27" Type="http://schemas.openxmlformats.org/officeDocument/2006/relationships/hyperlink" Target="https://us3.assetplanner.com/service_request?ID=098987" TargetMode="External"/><Relationship Id="rId48" Type="http://schemas.openxmlformats.org/officeDocument/2006/relationships/hyperlink" Target="https://us3.assetplanner.com/service_request?ID=092964" TargetMode="External"/><Relationship Id="rId69" Type="http://schemas.openxmlformats.org/officeDocument/2006/relationships/hyperlink" Target="https://us3.assetplanner.com/service_request?ID=098891" TargetMode="External"/><Relationship Id="rId113" Type="http://schemas.openxmlformats.org/officeDocument/2006/relationships/hyperlink" Target="https://us3.assetplanner.com/service_request?ID=097725" TargetMode="External"/><Relationship Id="rId134" Type="http://schemas.openxmlformats.org/officeDocument/2006/relationships/hyperlink" Target="https://us3.assetplanner.com/service_request?ID=095946" TargetMode="External"/><Relationship Id="rId80" Type="http://schemas.openxmlformats.org/officeDocument/2006/relationships/hyperlink" Target="https://us3.assetplanner.com/service_request?ID=098731" TargetMode="External"/><Relationship Id="rId155" Type="http://schemas.openxmlformats.org/officeDocument/2006/relationships/hyperlink" Target="https://us3.assetplanner.com/service_request?ID=099138" TargetMode="External"/><Relationship Id="rId176" Type="http://schemas.openxmlformats.org/officeDocument/2006/relationships/hyperlink" Target="https://us3.assetplanner.com/service_request?ID=098029" TargetMode="External"/><Relationship Id="rId17" Type="http://schemas.openxmlformats.org/officeDocument/2006/relationships/hyperlink" Target="https://us3.assetplanner.com/service_request?ID=098781" TargetMode="External"/><Relationship Id="rId38" Type="http://schemas.openxmlformats.org/officeDocument/2006/relationships/hyperlink" Target="https://us3.assetplanner.com/service_request?ID=098869" TargetMode="External"/><Relationship Id="rId59" Type="http://schemas.openxmlformats.org/officeDocument/2006/relationships/hyperlink" Target="https://us3.assetplanner.com/service_request?ID=093436" TargetMode="External"/><Relationship Id="rId103" Type="http://schemas.openxmlformats.org/officeDocument/2006/relationships/hyperlink" Target="https://us3.assetplanner.com/service_request?ID=098612" TargetMode="External"/><Relationship Id="rId124" Type="http://schemas.openxmlformats.org/officeDocument/2006/relationships/hyperlink" Target="https://us3.assetplanner.com/service_request?ID=098955" TargetMode="External"/><Relationship Id="rId70" Type="http://schemas.openxmlformats.org/officeDocument/2006/relationships/hyperlink" Target="https://us3.assetplanner.com/service_request?ID=099054" TargetMode="External"/><Relationship Id="rId91" Type="http://schemas.openxmlformats.org/officeDocument/2006/relationships/hyperlink" Target="https://us3.assetplanner.com/service_request?ID=097829" TargetMode="External"/><Relationship Id="rId145" Type="http://schemas.openxmlformats.org/officeDocument/2006/relationships/hyperlink" Target="https://us3.assetplanner.com/service_request?ID=095955" TargetMode="External"/><Relationship Id="rId166" Type="http://schemas.openxmlformats.org/officeDocument/2006/relationships/hyperlink" Target="https://us3.assetplanner.com/service_request?ID=099018" TargetMode="External"/><Relationship Id="rId1" Type="http://schemas.openxmlformats.org/officeDocument/2006/relationships/hyperlink" Target="https://us3.assetplanner.com/service_request?ID=098810" TargetMode="External"/><Relationship Id="rId28" Type="http://schemas.openxmlformats.org/officeDocument/2006/relationships/hyperlink" Target="https://us3.assetplanner.com/service_request?ID=099130" TargetMode="External"/><Relationship Id="rId49" Type="http://schemas.openxmlformats.org/officeDocument/2006/relationships/hyperlink" Target="https://us3.assetplanner.com/service_request?ID=097603" TargetMode="External"/><Relationship Id="rId114" Type="http://schemas.openxmlformats.org/officeDocument/2006/relationships/hyperlink" Target="https://us3.assetplanner.com/service_request?ID=096042"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us3.assetplanner.com/service_request?ID=099740" TargetMode="External"/><Relationship Id="rId21" Type="http://schemas.openxmlformats.org/officeDocument/2006/relationships/hyperlink" Target="https://us3.assetplanner.com/service_request?ID=100496" TargetMode="External"/><Relationship Id="rId42" Type="http://schemas.openxmlformats.org/officeDocument/2006/relationships/hyperlink" Target="https://us3.assetplanner.com/service_request?ID=099576" TargetMode="External"/><Relationship Id="rId63" Type="http://schemas.openxmlformats.org/officeDocument/2006/relationships/hyperlink" Target="https://us3.assetplanner.com/service_request?ID=099828" TargetMode="External"/><Relationship Id="rId84" Type="http://schemas.openxmlformats.org/officeDocument/2006/relationships/hyperlink" Target="https://us3.assetplanner.com/service_request?ID=099284" TargetMode="External"/><Relationship Id="rId138" Type="http://schemas.openxmlformats.org/officeDocument/2006/relationships/hyperlink" Target="https://us3.assetplanner.com/service_request?ID=097637" TargetMode="External"/><Relationship Id="rId159" Type="http://schemas.openxmlformats.org/officeDocument/2006/relationships/hyperlink" Target="https://us3.assetplanner.com/service_request?ID=098602" TargetMode="External"/><Relationship Id="rId170" Type="http://schemas.openxmlformats.org/officeDocument/2006/relationships/hyperlink" Target="https://us3.assetplanner.com/service_request?ID=097816" TargetMode="External"/><Relationship Id="rId191" Type="http://schemas.openxmlformats.org/officeDocument/2006/relationships/hyperlink" Target="https://us3.assetplanner.com/service_request?ID=099595" TargetMode="External"/><Relationship Id="rId107" Type="http://schemas.openxmlformats.org/officeDocument/2006/relationships/hyperlink" Target="https://us3.assetplanner.com/service_request?ID=100101" TargetMode="External"/><Relationship Id="rId11" Type="http://schemas.openxmlformats.org/officeDocument/2006/relationships/hyperlink" Target="https://us3.assetplanner.com/service_request?ID=100481" TargetMode="External"/><Relationship Id="rId32" Type="http://schemas.openxmlformats.org/officeDocument/2006/relationships/hyperlink" Target="https://us3.assetplanner.com/service_request?ID=098313" TargetMode="External"/><Relationship Id="rId53" Type="http://schemas.openxmlformats.org/officeDocument/2006/relationships/hyperlink" Target="https://us3.assetplanner.com/service_request?ID=099911" TargetMode="External"/><Relationship Id="rId74" Type="http://schemas.openxmlformats.org/officeDocument/2006/relationships/hyperlink" Target="https://us3.assetplanner.com/service_request?ID=100674" TargetMode="External"/><Relationship Id="rId128" Type="http://schemas.openxmlformats.org/officeDocument/2006/relationships/hyperlink" Target="https://us3.assetplanner.com/service_request?ID=099386" TargetMode="External"/><Relationship Id="rId149" Type="http://schemas.openxmlformats.org/officeDocument/2006/relationships/hyperlink" Target="https://us3.assetplanner.com/service_request?ID=099793" TargetMode="External"/><Relationship Id="rId5" Type="http://schemas.openxmlformats.org/officeDocument/2006/relationships/hyperlink" Target="https://us3.assetplanner.com/service_request?ID=093294" TargetMode="External"/><Relationship Id="rId95" Type="http://schemas.openxmlformats.org/officeDocument/2006/relationships/hyperlink" Target="https://us3.assetplanner.com/service_request?ID=100042" TargetMode="External"/><Relationship Id="rId160" Type="http://schemas.openxmlformats.org/officeDocument/2006/relationships/hyperlink" Target="https://us3.assetplanner.com/service_request?ID=100220" TargetMode="External"/><Relationship Id="rId181" Type="http://schemas.openxmlformats.org/officeDocument/2006/relationships/hyperlink" Target="https://us3.assetplanner.com/service_request?ID=099715" TargetMode="External"/><Relationship Id="rId22" Type="http://schemas.openxmlformats.org/officeDocument/2006/relationships/hyperlink" Target="https://us3.assetplanner.com/service_request?ID=088813" TargetMode="External"/><Relationship Id="rId43" Type="http://schemas.openxmlformats.org/officeDocument/2006/relationships/hyperlink" Target="https://us3.assetplanner.com/service_request?ID=100361" TargetMode="External"/><Relationship Id="rId64" Type="http://schemas.openxmlformats.org/officeDocument/2006/relationships/hyperlink" Target="https://us3.assetplanner.com/service_request?ID=100395" TargetMode="External"/><Relationship Id="rId118" Type="http://schemas.openxmlformats.org/officeDocument/2006/relationships/hyperlink" Target="https://us3.assetplanner.com/service_request?ID=100471" TargetMode="External"/><Relationship Id="rId139" Type="http://schemas.openxmlformats.org/officeDocument/2006/relationships/hyperlink" Target="https://us3.assetplanner.com/service_request?ID=098293" TargetMode="External"/><Relationship Id="rId85" Type="http://schemas.openxmlformats.org/officeDocument/2006/relationships/hyperlink" Target="https://us3.assetplanner.com/service_request?ID=100161" TargetMode="External"/><Relationship Id="rId150" Type="http://schemas.openxmlformats.org/officeDocument/2006/relationships/hyperlink" Target="https://us3.assetplanner.com/service_request?ID=100524" TargetMode="External"/><Relationship Id="rId171" Type="http://schemas.openxmlformats.org/officeDocument/2006/relationships/hyperlink" Target="https://us3.assetplanner.com/service_request?ID=099736" TargetMode="External"/><Relationship Id="rId192" Type="http://schemas.openxmlformats.org/officeDocument/2006/relationships/hyperlink" Target="https://us3.assetplanner.com/service_request?ID=099946" TargetMode="External"/><Relationship Id="rId12" Type="http://schemas.openxmlformats.org/officeDocument/2006/relationships/hyperlink" Target="https://us3.assetplanner.com/service_request?ID=093306" TargetMode="External"/><Relationship Id="rId33" Type="http://schemas.openxmlformats.org/officeDocument/2006/relationships/hyperlink" Target="https://us3.assetplanner.com/service_request?ID=099293" TargetMode="External"/><Relationship Id="rId108" Type="http://schemas.openxmlformats.org/officeDocument/2006/relationships/hyperlink" Target="https://us3.assetplanner.com/service_request?ID=098626" TargetMode="External"/><Relationship Id="rId129" Type="http://schemas.openxmlformats.org/officeDocument/2006/relationships/hyperlink" Target="https://us3.assetplanner.com/service_request?ID=099385" TargetMode="External"/><Relationship Id="rId54" Type="http://schemas.openxmlformats.org/officeDocument/2006/relationships/hyperlink" Target="https://us3.assetplanner.com/service_request?ID=092964" TargetMode="External"/><Relationship Id="rId75" Type="http://schemas.openxmlformats.org/officeDocument/2006/relationships/hyperlink" Target="https://us3.assetplanner.com/service_request?ID=099129" TargetMode="External"/><Relationship Id="rId96" Type="http://schemas.openxmlformats.org/officeDocument/2006/relationships/hyperlink" Target="https://us3.assetplanner.com/service_request?ID=100303" TargetMode="External"/><Relationship Id="rId140" Type="http://schemas.openxmlformats.org/officeDocument/2006/relationships/hyperlink" Target="https://us3.assetplanner.com/service_request?ID=095945" TargetMode="External"/><Relationship Id="rId161" Type="http://schemas.openxmlformats.org/officeDocument/2006/relationships/hyperlink" Target="https://us3.assetplanner.com/service_request?ID=098665" TargetMode="External"/><Relationship Id="rId182" Type="http://schemas.openxmlformats.org/officeDocument/2006/relationships/hyperlink" Target="https://us3.assetplanner.com/service_request?ID=099788" TargetMode="External"/><Relationship Id="rId6" Type="http://schemas.openxmlformats.org/officeDocument/2006/relationships/hyperlink" Target="https://us3.assetplanner.com/service_request?ID=098958" TargetMode="External"/><Relationship Id="rId23" Type="http://schemas.openxmlformats.org/officeDocument/2006/relationships/hyperlink" Target="https://us3.assetplanner.com/service_request?ID=093324" TargetMode="External"/><Relationship Id="rId119" Type="http://schemas.openxmlformats.org/officeDocument/2006/relationships/hyperlink" Target="https://us3.assetplanner.com/service_request?ID=096042" TargetMode="External"/><Relationship Id="rId44" Type="http://schemas.openxmlformats.org/officeDocument/2006/relationships/hyperlink" Target="https://us3.assetplanner.com/service_request?ID=100623" TargetMode="External"/><Relationship Id="rId65" Type="http://schemas.openxmlformats.org/officeDocument/2006/relationships/hyperlink" Target="https://us3.assetplanner.com/service_request?ID=100721" TargetMode="External"/><Relationship Id="rId86" Type="http://schemas.openxmlformats.org/officeDocument/2006/relationships/hyperlink" Target="https://us3.assetplanner.com/service_request?ID=100162" TargetMode="External"/><Relationship Id="rId130" Type="http://schemas.openxmlformats.org/officeDocument/2006/relationships/hyperlink" Target="https://us3.assetplanner.com/service_request?ID=098860" TargetMode="External"/><Relationship Id="rId151" Type="http://schemas.openxmlformats.org/officeDocument/2006/relationships/hyperlink" Target="https://us3.assetplanner.com/service_request?ID=100036" TargetMode="External"/><Relationship Id="rId172" Type="http://schemas.openxmlformats.org/officeDocument/2006/relationships/hyperlink" Target="https://us3.assetplanner.com/service_request?ID=097600" TargetMode="External"/><Relationship Id="rId193" Type="http://schemas.openxmlformats.org/officeDocument/2006/relationships/hyperlink" Target="https://us3.assetplanner.com/service_request?ID=100462" TargetMode="External"/><Relationship Id="rId13" Type="http://schemas.openxmlformats.org/officeDocument/2006/relationships/hyperlink" Target="https://us3.assetplanner.com/service_request?ID=099539" TargetMode="External"/><Relationship Id="rId109" Type="http://schemas.openxmlformats.org/officeDocument/2006/relationships/hyperlink" Target="https://us3.assetplanner.com/service_request?ID=098559" TargetMode="External"/><Relationship Id="rId34" Type="http://schemas.openxmlformats.org/officeDocument/2006/relationships/hyperlink" Target="https://us3.assetplanner.com/service_request?ID=100141" TargetMode="External"/><Relationship Id="rId50" Type="http://schemas.openxmlformats.org/officeDocument/2006/relationships/hyperlink" Target="https://us3.assetplanner.com/service_request?ID=093024" TargetMode="External"/><Relationship Id="rId55" Type="http://schemas.openxmlformats.org/officeDocument/2006/relationships/hyperlink" Target="https://us3.assetplanner.com/service_request?ID=097603" TargetMode="External"/><Relationship Id="rId76" Type="http://schemas.openxmlformats.org/officeDocument/2006/relationships/hyperlink" Target="https://us3.assetplanner.com/service_request?ID=099351" TargetMode="External"/><Relationship Id="rId97" Type="http://schemas.openxmlformats.org/officeDocument/2006/relationships/hyperlink" Target="https://us3.assetplanner.com/service_request?ID=100429" TargetMode="External"/><Relationship Id="rId104" Type="http://schemas.openxmlformats.org/officeDocument/2006/relationships/hyperlink" Target="https://us3.assetplanner.com/service_request?ID=098959" TargetMode="External"/><Relationship Id="rId120" Type="http://schemas.openxmlformats.org/officeDocument/2006/relationships/hyperlink" Target="https://us3.assetplanner.com/service_request?ID=099324" TargetMode="External"/><Relationship Id="rId125" Type="http://schemas.openxmlformats.org/officeDocument/2006/relationships/hyperlink" Target="https://us3.assetplanner.com/service_request?ID=098692" TargetMode="External"/><Relationship Id="rId141" Type="http://schemas.openxmlformats.org/officeDocument/2006/relationships/hyperlink" Target="https://us3.assetplanner.com/service_request?ID=095954" TargetMode="External"/><Relationship Id="rId146" Type="http://schemas.openxmlformats.org/officeDocument/2006/relationships/hyperlink" Target="https://us3.assetplanner.com/service_request?ID=095956" TargetMode="External"/><Relationship Id="rId167" Type="http://schemas.openxmlformats.org/officeDocument/2006/relationships/hyperlink" Target="https://us3.assetplanner.com/service_request?ID=099547" TargetMode="External"/><Relationship Id="rId188" Type="http://schemas.openxmlformats.org/officeDocument/2006/relationships/hyperlink" Target="https://us3.assetplanner.com/service_request?ID=098693" TargetMode="External"/><Relationship Id="rId7" Type="http://schemas.openxmlformats.org/officeDocument/2006/relationships/hyperlink" Target="https://us3.assetplanner.com/service_request?ID=099824" TargetMode="External"/><Relationship Id="rId71" Type="http://schemas.openxmlformats.org/officeDocument/2006/relationships/hyperlink" Target="https://us3.assetplanner.com/service_request?ID=100038" TargetMode="External"/><Relationship Id="rId92" Type="http://schemas.openxmlformats.org/officeDocument/2006/relationships/hyperlink" Target="https://us3.assetplanner.com/service_request?ID=100241" TargetMode="External"/><Relationship Id="rId162" Type="http://schemas.openxmlformats.org/officeDocument/2006/relationships/hyperlink" Target="https://us3.assetplanner.com/service_request?ID=099161" TargetMode="External"/><Relationship Id="rId183" Type="http://schemas.openxmlformats.org/officeDocument/2006/relationships/hyperlink" Target="https://us3.assetplanner.com/service_request?ID=099974" TargetMode="External"/><Relationship Id="rId2" Type="http://schemas.openxmlformats.org/officeDocument/2006/relationships/hyperlink" Target="https://us3.assetplanner.com/service_request?ID=093291" TargetMode="External"/><Relationship Id="rId29" Type="http://schemas.openxmlformats.org/officeDocument/2006/relationships/hyperlink" Target="https://us3.assetplanner.com/service_request?ID=093326" TargetMode="External"/><Relationship Id="rId24" Type="http://schemas.openxmlformats.org/officeDocument/2006/relationships/hyperlink" Target="https://us3.assetplanner.com/service_request?ID=099970" TargetMode="External"/><Relationship Id="rId40" Type="http://schemas.openxmlformats.org/officeDocument/2006/relationships/hyperlink" Target="https://us3.assetplanner.com/service_request?ID=100604" TargetMode="External"/><Relationship Id="rId45" Type="http://schemas.openxmlformats.org/officeDocument/2006/relationships/hyperlink" Target="https://us3.assetplanner.com/service_request?ID=093972" TargetMode="External"/><Relationship Id="rId66" Type="http://schemas.openxmlformats.org/officeDocument/2006/relationships/hyperlink" Target="https://us3.assetplanner.com/service_request?ID=099418" TargetMode="External"/><Relationship Id="rId87" Type="http://schemas.openxmlformats.org/officeDocument/2006/relationships/hyperlink" Target="https://us3.assetplanner.com/service_request?ID=099690" TargetMode="External"/><Relationship Id="rId110" Type="http://schemas.openxmlformats.org/officeDocument/2006/relationships/hyperlink" Target="https://us3.assetplanner.com/service_request?ID=100034" TargetMode="External"/><Relationship Id="rId115" Type="http://schemas.openxmlformats.org/officeDocument/2006/relationships/hyperlink" Target="https://us3.assetplanner.com/service_request?ID=097725" TargetMode="External"/><Relationship Id="rId131" Type="http://schemas.openxmlformats.org/officeDocument/2006/relationships/hyperlink" Target="https://us3.assetplanner.com/service_request?ID=099118" TargetMode="External"/><Relationship Id="rId136" Type="http://schemas.openxmlformats.org/officeDocument/2006/relationships/hyperlink" Target="https://us3.assetplanner.com/service_request?ID=099977" TargetMode="External"/><Relationship Id="rId157" Type="http://schemas.openxmlformats.org/officeDocument/2006/relationships/hyperlink" Target="https://us3.assetplanner.com/service_request?ID=100587" TargetMode="External"/><Relationship Id="rId178" Type="http://schemas.openxmlformats.org/officeDocument/2006/relationships/hyperlink" Target="https://us3.assetplanner.com/service_request?ID=100485" TargetMode="External"/><Relationship Id="rId61" Type="http://schemas.openxmlformats.org/officeDocument/2006/relationships/hyperlink" Target="https://us3.assetplanner.com/service_request?ID=100426" TargetMode="External"/><Relationship Id="rId82" Type="http://schemas.openxmlformats.org/officeDocument/2006/relationships/hyperlink" Target="https://us3.assetplanner.com/service_request?ID=100154" TargetMode="External"/><Relationship Id="rId152" Type="http://schemas.openxmlformats.org/officeDocument/2006/relationships/hyperlink" Target="https://us3.assetplanner.com/service_request?ID=095941" TargetMode="External"/><Relationship Id="rId173" Type="http://schemas.openxmlformats.org/officeDocument/2006/relationships/hyperlink" Target="https://us3.assetplanner.com/service_request?ID=100609" TargetMode="External"/><Relationship Id="rId194" Type="http://schemas.openxmlformats.org/officeDocument/2006/relationships/hyperlink" Target="https://us3.assetplanner.com/service_request?ID=100662" TargetMode="External"/><Relationship Id="rId19" Type="http://schemas.openxmlformats.org/officeDocument/2006/relationships/hyperlink" Target="https://us3.assetplanner.com/service_request?ID=098365" TargetMode="External"/><Relationship Id="rId14" Type="http://schemas.openxmlformats.org/officeDocument/2006/relationships/hyperlink" Target="https://us3.assetplanner.com/service_request?ID=099754" TargetMode="External"/><Relationship Id="rId30" Type="http://schemas.openxmlformats.org/officeDocument/2006/relationships/hyperlink" Target="https://us3.assetplanner.com/service_request?ID=095662" TargetMode="External"/><Relationship Id="rId35" Type="http://schemas.openxmlformats.org/officeDocument/2006/relationships/hyperlink" Target="https://us3.assetplanner.com/service_request?ID=098987" TargetMode="External"/><Relationship Id="rId56" Type="http://schemas.openxmlformats.org/officeDocument/2006/relationships/hyperlink" Target="https://us3.assetplanner.com/service_request?ID=098877" TargetMode="External"/><Relationship Id="rId77" Type="http://schemas.openxmlformats.org/officeDocument/2006/relationships/hyperlink" Target="https://us3.assetplanner.com/service_request?ID=100013" TargetMode="External"/><Relationship Id="rId100" Type="http://schemas.openxmlformats.org/officeDocument/2006/relationships/hyperlink" Target="https://us3.assetplanner.com/service_request?ID=100055" TargetMode="External"/><Relationship Id="rId105" Type="http://schemas.openxmlformats.org/officeDocument/2006/relationships/hyperlink" Target="https://us3.assetplanner.com/service_request?ID=099387" TargetMode="External"/><Relationship Id="rId126" Type="http://schemas.openxmlformats.org/officeDocument/2006/relationships/hyperlink" Target="https://us3.assetplanner.com/service_request?ID=094820" TargetMode="External"/><Relationship Id="rId147" Type="http://schemas.openxmlformats.org/officeDocument/2006/relationships/hyperlink" Target="https://us3.assetplanner.com/service_request?ID=099791" TargetMode="External"/><Relationship Id="rId168" Type="http://schemas.openxmlformats.org/officeDocument/2006/relationships/hyperlink" Target="https://us3.assetplanner.com/service_request?ID=099543" TargetMode="External"/><Relationship Id="rId8" Type="http://schemas.openxmlformats.org/officeDocument/2006/relationships/hyperlink" Target="https://us3.assetplanner.com/service_request?ID=099648" TargetMode="External"/><Relationship Id="rId51" Type="http://schemas.openxmlformats.org/officeDocument/2006/relationships/hyperlink" Target="https://us3.assetplanner.com/service_request?ID=098866" TargetMode="External"/><Relationship Id="rId72" Type="http://schemas.openxmlformats.org/officeDocument/2006/relationships/hyperlink" Target="https://us3.assetplanner.com/service_request?ID=100212" TargetMode="External"/><Relationship Id="rId93" Type="http://schemas.openxmlformats.org/officeDocument/2006/relationships/hyperlink" Target="https://us3.assetplanner.com/service_request?ID=095073" TargetMode="External"/><Relationship Id="rId98" Type="http://schemas.openxmlformats.org/officeDocument/2006/relationships/hyperlink" Target="https://us3.assetplanner.com/service_request?ID=095821" TargetMode="External"/><Relationship Id="rId121" Type="http://schemas.openxmlformats.org/officeDocument/2006/relationships/hyperlink" Target="https://us3.assetplanner.com/service_request?ID=096042" TargetMode="External"/><Relationship Id="rId142" Type="http://schemas.openxmlformats.org/officeDocument/2006/relationships/hyperlink" Target="https://us3.assetplanner.com/service_request?ID=099930" TargetMode="External"/><Relationship Id="rId163" Type="http://schemas.openxmlformats.org/officeDocument/2006/relationships/hyperlink" Target="https://us3.assetplanner.com/service_request?ID=098315" TargetMode="External"/><Relationship Id="rId184" Type="http://schemas.openxmlformats.org/officeDocument/2006/relationships/hyperlink" Target="https://us3.assetplanner.com/service_request?ID=099473" TargetMode="External"/><Relationship Id="rId189" Type="http://schemas.openxmlformats.org/officeDocument/2006/relationships/hyperlink" Target="https://us3.assetplanner.com/service_request?ID=100729" TargetMode="External"/><Relationship Id="rId3" Type="http://schemas.openxmlformats.org/officeDocument/2006/relationships/hyperlink" Target="https://us3.assetplanner.com/service_request?ID=093633" TargetMode="External"/><Relationship Id="rId25" Type="http://schemas.openxmlformats.org/officeDocument/2006/relationships/hyperlink" Target="https://us3.assetplanner.com/service_request?ID=099971" TargetMode="External"/><Relationship Id="rId46" Type="http://schemas.openxmlformats.org/officeDocument/2006/relationships/hyperlink" Target="https://us3.assetplanner.com/service_request?ID=098708" TargetMode="External"/><Relationship Id="rId67" Type="http://schemas.openxmlformats.org/officeDocument/2006/relationships/hyperlink" Target="https://us3.assetplanner.com/service_request?ID=100197" TargetMode="External"/><Relationship Id="rId116" Type="http://schemas.openxmlformats.org/officeDocument/2006/relationships/hyperlink" Target="https://us3.assetplanner.com/service_request?ID=099393" TargetMode="External"/><Relationship Id="rId137" Type="http://schemas.openxmlformats.org/officeDocument/2006/relationships/hyperlink" Target="https://us3.assetplanner.com/service_request?ID=098724" TargetMode="External"/><Relationship Id="rId158" Type="http://schemas.openxmlformats.org/officeDocument/2006/relationships/hyperlink" Target="https://us3.assetplanner.com/service_request?ID=097620" TargetMode="External"/><Relationship Id="rId20" Type="http://schemas.openxmlformats.org/officeDocument/2006/relationships/hyperlink" Target="https://us3.assetplanner.com/service_request?ID=100362" TargetMode="External"/><Relationship Id="rId41" Type="http://schemas.openxmlformats.org/officeDocument/2006/relationships/hyperlink" Target="https://us3.assetplanner.com/service_request?ID=099149" TargetMode="External"/><Relationship Id="rId62" Type="http://schemas.openxmlformats.org/officeDocument/2006/relationships/hyperlink" Target="https://us3.assetplanner.com/service_request?ID=099490" TargetMode="External"/><Relationship Id="rId83" Type="http://schemas.openxmlformats.org/officeDocument/2006/relationships/hyperlink" Target="https://us3.assetplanner.com/service_request?ID=095109" TargetMode="External"/><Relationship Id="rId88" Type="http://schemas.openxmlformats.org/officeDocument/2006/relationships/hyperlink" Target="https://us3.assetplanner.com/service_request?ID=099687" TargetMode="External"/><Relationship Id="rId111" Type="http://schemas.openxmlformats.org/officeDocument/2006/relationships/hyperlink" Target="https://us3.assetplanner.com/service_request?ID=100067" TargetMode="External"/><Relationship Id="rId132" Type="http://schemas.openxmlformats.org/officeDocument/2006/relationships/hyperlink" Target="https://us3.assetplanner.com/service_request?ID=097454" TargetMode="External"/><Relationship Id="rId153" Type="http://schemas.openxmlformats.org/officeDocument/2006/relationships/hyperlink" Target="https://us3.assetplanner.com/service_request?ID=098413" TargetMode="External"/><Relationship Id="rId174" Type="http://schemas.openxmlformats.org/officeDocument/2006/relationships/hyperlink" Target="https://us3.assetplanner.com/service_request?ID=098278" TargetMode="External"/><Relationship Id="rId179" Type="http://schemas.openxmlformats.org/officeDocument/2006/relationships/hyperlink" Target="https://us3.assetplanner.com/service_request?ID=098066" TargetMode="External"/><Relationship Id="rId190" Type="http://schemas.openxmlformats.org/officeDocument/2006/relationships/hyperlink" Target="https://us3.assetplanner.com/service_request?ID=099770" TargetMode="External"/><Relationship Id="rId15" Type="http://schemas.openxmlformats.org/officeDocument/2006/relationships/hyperlink" Target="https://us3.assetplanner.com/service_request?ID=099858" TargetMode="External"/><Relationship Id="rId36" Type="http://schemas.openxmlformats.org/officeDocument/2006/relationships/hyperlink" Target="https://us3.assetplanner.com/service_request?ID=098641" TargetMode="External"/><Relationship Id="rId57" Type="http://schemas.openxmlformats.org/officeDocument/2006/relationships/hyperlink" Target="https://us3.assetplanner.com/service_request?ID=099353" TargetMode="External"/><Relationship Id="rId106" Type="http://schemas.openxmlformats.org/officeDocument/2006/relationships/hyperlink" Target="https://us3.assetplanner.com/service_request?ID=099967" TargetMode="External"/><Relationship Id="rId127" Type="http://schemas.openxmlformats.org/officeDocument/2006/relationships/hyperlink" Target="https://us3.assetplanner.com/service_request?ID=099686" TargetMode="External"/><Relationship Id="rId10" Type="http://schemas.openxmlformats.org/officeDocument/2006/relationships/hyperlink" Target="https://us3.assetplanner.com/service_request?ID=100035" TargetMode="External"/><Relationship Id="rId31" Type="http://schemas.openxmlformats.org/officeDocument/2006/relationships/hyperlink" Target="https://us3.assetplanner.com/service_request?ID=100434" TargetMode="External"/><Relationship Id="rId52" Type="http://schemas.openxmlformats.org/officeDocument/2006/relationships/hyperlink" Target="https://us3.assetplanner.com/service_request?ID=098998" TargetMode="External"/><Relationship Id="rId73" Type="http://schemas.openxmlformats.org/officeDocument/2006/relationships/hyperlink" Target="https://us3.assetplanner.com/service_request?ID=100544" TargetMode="External"/><Relationship Id="rId78" Type="http://schemas.openxmlformats.org/officeDocument/2006/relationships/hyperlink" Target="https://us3.assetplanner.com/service_request?ID=099347" TargetMode="External"/><Relationship Id="rId94" Type="http://schemas.openxmlformats.org/officeDocument/2006/relationships/hyperlink" Target="https://us3.assetplanner.com/service_request?ID=099656" TargetMode="External"/><Relationship Id="rId99" Type="http://schemas.openxmlformats.org/officeDocument/2006/relationships/hyperlink" Target="https://us3.assetplanner.com/service_request?ID=099986" TargetMode="External"/><Relationship Id="rId101" Type="http://schemas.openxmlformats.org/officeDocument/2006/relationships/hyperlink" Target="https://us3.assetplanner.com/service_request?ID=100400" TargetMode="External"/><Relationship Id="rId122" Type="http://schemas.openxmlformats.org/officeDocument/2006/relationships/hyperlink" Target="https://us3.assetplanner.com/service_request?ID=100652" TargetMode="External"/><Relationship Id="rId143" Type="http://schemas.openxmlformats.org/officeDocument/2006/relationships/hyperlink" Target="https://us3.assetplanner.com/service_request?ID=098235" TargetMode="External"/><Relationship Id="rId148" Type="http://schemas.openxmlformats.org/officeDocument/2006/relationships/hyperlink" Target="https://us3.assetplanner.com/service_request?ID=099792" TargetMode="External"/><Relationship Id="rId164" Type="http://schemas.openxmlformats.org/officeDocument/2006/relationships/hyperlink" Target="https://us3.assetplanner.com/service_request?ID=099018" TargetMode="External"/><Relationship Id="rId169" Type="http://schemas.openxmlformats.org/officeDocument/2006/relationships/hyperlink" Target="https://us3.assetplanner.com/service_request?ID=100403" TargetMode="External"/><Relationship Id="rId185" Type="http://schemas.openxmlformats.org/officeDocument/2006/relationships/hyperlink" Target="https://us3.assetplanner.com/service_request?ID=099014" TargetMode="External"/><Relationship Id="rId4" Type="http://schemas.openxmlformats.org/officeDocument/2006/relationships/hyperlink" Target="https://us3.assetplanner.com/service_request?ID=086842" TargetMode="External"/><Relationship Id="rId9" Type="http://schemas.openxmlformats.org/officeDocument/2006/relationships/hyperlink" Target="https://us3.assetplanner.com/service_request?ID=093196" TargetMode="External"/><Relationship Id="rId180" Type="http://schemas.openxmlformats.org/officeDocument/2006/relationships/hyperlink" Target="https://us3.assetplanner.com/service_request?ID=099545" TargetMode="External"/><Relationship Id="rId26" Type="http://schemas.openxmlformats.org/officeDocument/2006/relationships/hyperlink" Target="https://us3.assetplanner.com/service_request?ID=100732" TargetMode="External"/><Relationship Id="rId47" Type="http://schemas.openxmlformats.org/officeDocument/2006/relationships/hyperlink" Target="https://us3.assetplanner.com/service_request?ID=100079" TargetMode="External"/><Relationship Id="rId68" Type="http://schemas.openxmlformats.org/officeDocument/2006/relationships/hyperlink" Target="https://us3.assetplanner.com/service_request?ID=098354" TargetMode="External"/><Relationship Id="rId89" Type="http://schemas.openxmlformats.org/officeDocument/2006/relationships/hyperlink" Target="https://us3.assetplanner.com/service_request?ID=100044" TargetMode="External"/><Relationship Id="rId112" Type="http://schemas.openxmlformats.org/officeDocument/2006/relationships/hyperlink" Target="https://us3.assetplanner.com/service_request?ID=100448" TargetMode="External"/><Relationship Id="rId133" Type="http://schemas.openxmlformats.org/officeDocument/2006/relationships/hyperlink" Target="https://us3.assetplanner.com/service_request?ID=099466" TargetMode="External"/><Relationship Id="rId154" Type="http://schemas.openxmlformats.org/officeDocument/2006/relationships/hyperlink" Target="https://us3.assetplanner.com/service_request?ID=098490" TargetMode="External"/><Relationship Id="rId175" Type="http://schemas.openxmlformats.org/officeDocument/2006/relationships/hyperlink" Target="https://us3.assetplanner.com/service_request?ID=098670" TargetMode="External"/><Relationship Id="rId16" Type="http://schemas.openxmlformats.org/officeDocument/2006/relationships/hyperlink" Target="https://us3.assetplanner.com/service_request?ID=100476" TargetMode="External"/><Relationship Id="rId37" Type="http://schemas.openxmlformats.org/officeDocument/2006/relationships/hyperlink" Target="https://us3.assetplanner.com/service_request?ID=098640" TargetMode="External"/><Relationship Id="rId58" Type="http://schemas.openxmlformats.org/officeDocument/2006/relationships/hyperlink" Target="https://us3.assetplanner.com/service_request?ID=099272" TargetMode="External"/><Relationship Id="rId79" Type="http://schemas.openxmlformats.org/officeDocument/2006/relationships/hyperlink" Target="https://us3.assetplanner.com/service_request?ID=099823" TargetMode="External"/><Relationship Id="rId102" Type="http://schemas.openxmlformats.org/officeDocument/2006/relationships/hyperlink" Target="https://us3.assetplanner.com/service_request?ID=099313" TargetMode="External"/><Relationship Id="rId123" Type="http://schemas.openxmlformats.org/officeDocument/2006/relationships/hyperlink" Target="https://us3.assetplanner.com/service_request?ID=096006" TargetMode="External"/><Relationship Id="rId144" Type="http://schemas.openxmlformats.org/officeDocument/2006/relationships/hyperlink" Target="https://us3.assetplanner.com/service_request?ID=099791" TargetMode="External"/><Relationship Id="rId90" Type="http://schemas.openxmlformats.org/officeDocument/2006/relationships/hyperlink" Target="https://us3.assetplanner.com/service_request?ID=099146" TargetMode="External"/><Relationship Id="rId165" Type="http://schemas.openxmlformats.org/officeDocument/2006/relationships/hyperlink" Target="https://us3.assetplanner.com/service_request?ID=099951" TargetMode="External"/><Relationship Id="rId186" Type="http://schemas.openxmlformats.org/officeDocument/2006/relationships/hyperlink" Target="https://us3.assetplanner.com/service_request?ID=099881" TargetMode="External"/><Relationship Id="rId27" Type="http://schemas.openxmlformats.org/officeDocument/2006/relationships/hyperlink" Target="https://us3.assetplanner.com/service_request?ID=099139" TargetMode="External"/><Relationship Id="rId48" Type="http://schemas.openxmlformats.org/officeDocument/2006/relationships/hyperlink" Target="https://us3.assetplanner.com/service_request?ID=099403" TargetMode="External"/><Relationship Id="rId69" Type="http://schemas.openxmlformats.org/officeDocument/2006/relationships/hyperlink" Target="https://us3.assetplanner.com/service_request?ID=100037" TargetMode="External"/><Relationship Id="rId113" Type="http://schemas.openxmlformats.org/officeDocument/2006/relationships/hyperlink" Target="https://us3.assetplanner.com/service_request?ID=100460" TargetMode="External"/><Relationship Id="rId134" Type="http://schemas.openxmlformats.org/officeDocument/2006/relationships/hyperlink" Target="https://us3.assetplanner.com/service_request?ID=099345" TargetMode="External"/><Relationship Id="rId80" Type="http://schemas.openxmlformats.org/officeDocument/2006/relationships/hyperlink" Target="https://us3.assetplanner.com/service_request?ID=100152" TargetMode="External"/><Relationship Id="rId155" Type="http://schemas.openxmlformats.org/officeDocument/2006/relationships/hyperlink" Target="https://us3.assetplanner.com/service_request?ID=099138" TargetMode="External"/><Relationship Id="rId176" Type="http://schemas.openxmlformats.org/officeDocument/2006/relationships/hyperlink" Target="https://us3.assetplanner.com/service_request?ID=099416" TargetMode="External"/><Relationship Id="rId17" Type="http://schemas.openxmlformats.org/officeDocument/2006/relationships/hyperlink" Target="https://us3.assetplanner.com/service_request?ID=093236" TargetMode="External"/><Relationship Id="rId38" Type="http://schemas.openxmlformats.org/officeDocument/2006/relationships/hyperlink" Target="https://us3.assetplanner.com/service_request?ID=099427" TargetMode="External"/><Relationship Id="rId59" Type="http://schemas.openxmlformats.org/officeDocument/2006/relationships/hyperlink" Target="https://us3.assetplanner.com/service_request?ID=099864" TargetMode="External"/><Relationship Id="rId103" Type="http://schemas.openxmlformats.org/officeDocument/2006/relationships/hyperlink" Target="https://us3.assetplanner.com/service_request?ID=100032" TargetMode="External"/><Relationship Id="rId124" Type="http://schemas.openxmlformats.org/officeDocument/2006/relationships/hyperlink" Target="https://us3.assetplanner.com/service_request?ID=099916" TargetMode="External"/><Relationship Id="rId70" Type="http://schemas.openxmlformats.org/officeDocument/2006/relationships/hyperlink" Target="https://us3.assetplanner.com/service_request?ID=100198" TargetMode="External"/><Relationship Id="rId91" Type="http://schemas.openxmlformats.org/officeDocument/2006/relationships/hyperlink" Target="https://us3.assetplanner.com/service_request?ID=099726" TargetMode="External"/><Relationship Id="rId145" Type="http://schemas.openxmlformats.org/officeDocument/2006/relationships/hyperlink" Target="https://us3.assetplanner.com/service_request?ID=098264" TargetMode="External"/><Relationship Id="rId166" Type="http://schemas.openxmlformats.org/officeDocument/2006/relationships/hyperlink" Target="https://us3.assetplanner.com/service_request?ID=096257" TargetMode="External"/><Relationship Id="rId187" Type="http://schemas.openxmlformats.org/officeDocument/2006/relationships/hyperlink" Target="https://us3.assetplanner.com/service_request?ID=099943" TargetMode="External"/><Relationship Id="rId1" Type="http://schemas.openxmlformats.org/officeDocument/2006/relationships/hyperlink" Target="https://us3.assetplanner.com/service_request?ID=097569" TargetMode="External"/><Relationship Id="rId28" Type="http://schemas.openxmlformats.org/officeDocument/2006/relationships/hyperlink" Target="https://us3.assetplanner.com/service_request?ID=099856" TargetMode="External"/><Relationship Id="rId49" Type="http://schemas.openxmlformats.org/officeDocument/2006/relationships/hyperlink" Target="https://us3.assetplanner.com/service_request?ID=100629" TargetMode="External"/><Relationship Id="rId114" Type="http://schemas.openxmlformats.org/officeDocument/2006/relationships/hyperlink" Target="https://us3.assetplanner.com/service_request?ID=095624" TargetMode="External"/><Relationship Id="rId60" Type="http://schemas.openxmlformats.org/officeDocument/2006/relationships/hyperlink" Target="https://us3.assetplanner.com/service_request?ID=099864" TargetMode="External"/><Relationship Id="rId81" Type="http://schemas.openxmlformats.org/officeDocument/2006/relationships/hyperlink" Target="https://us3.assetplanner.com/service_request?ID=098995" TargetMode="External"/><Relationship Id="rId135" Type="http://schemas.openxmlformats.org/officeDocument/2006/relationships/hyperlink" Target="https://us3.assetplanner.com/service_request?ID=100252" TargetMode="External"/><Relationship Id="rId156" Type="http://schemas.openxmlformats.org/officeDocument/2006/relationships/hyperlink" Target="https://us3.assetplanner.com/service_request?ID=099857" TargetMode="External"/><Relationship Id="rId177" Type="http://schemas.openxmlformats.org/officeDocument/2006/relationships/hyperlink" Target="https://us3.assetplanner.com/service_request?ID=099684" TargetMode="External"/><Relationship Id="rId18" Type="http://schemas.openxmlformats.org/officeDocument/2006/relationships/hyperlink" Target="https://us3.assetplanner.com/service_request?ID=098981" TargetMode="External"/><Relationship Id="rId39" Type="http://schemas.openxmlformats.org/officeDocument/2006/relationships/hyperlink" Target="https://us3.assetplanner.com/service_request?ID=100447"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us3.assetplanner.com/service_request?ID=101947" TargetMode="External"/><Relationship Id="rId21" Type="http://schemas.openxmlformats.org/officeDocument/2006/relationships/hyperlink" Target="https://us3.assetplanner.com/service_request?ID=096294" TargetMode="External"/><Relationship Id="rId42" Type="http://schemas.openxmlformats.org/officeDocument/2006/relationships/hyperlink" Target="https://us3.assetplanner.com/service_request?ID=101929" TargetMode="External"/><Relationship Id="rId63" Type="http://schemas.openxmlformats.org/officeDocument/2006/relationships/hyperlink" Target="https://us3.assetplanner.com/service_request?ID=101938" TargetMode="External"/><Relationship Id="rId84" Type="http://schemas.openxmlformats.org/officeDocument/2006/relationships/hyperlink" Target="https://us3.assetplanner.com/service_request?ID=099726" TargetMode="External"/><Relationship Id="rId138" Type="http://schemas.openxmlformats.org/officeDocument/2006/relationships/hyperlink" Target="https://us3.assetplanner.com/service_request?ID=102178" TargetMode="External"/><Relationship Id="rId159" Type="http://schemas.openxmlformats.org/officeDocument/2006/relationships/hyperlink" Target="https://us3.assetplanner.com/service_request?ID=100220" TargetMode="External"/><Relationship Id="rId170" Type="http://schemas.openxmlformats.org/officeDocument/2006/relationships/hyperlink" Target="https://us3.assetplanner.com/service_request?ID=099947" TargetMode="External"/><Relationship Id="rId191" Type="http://schemas.openxmlformats.org/officeDocument/2006/relationships/hyperlink" Target="https://us3.assetplanner.com/service_request?ID=100771" TargetMode="External"/><Relationship Id="rId107" Type="http://schemas.openxmlformats.org/officeDocument/2006/relationships/hyperlink" Target="https://us3.assetplanner.com/service_request?ID=101225" TargetMode="External"/><Relationship Id="rId11" Type="http://schemas.openxmlformats.org/officeDocument/2006/relationships/hyperlink" Target="https://us3.assetplanner.com/service_request?ID=100476" TargetMode="External"/><Relationship Id="rId32" Type="http://schemas.openxmlformats.org/officeDocument/2006/relationships/hyperlink" Target="https://us3.assetplanner.com/service_request?ID=099149" TargetMode="External"/><Relationship Id="rId53" Type="http://schemas.openxmlformats.org/officeDocument/2006/relationships/hyperlink" Target="https://us3.assetplanner.com/service_request?ID=101938" TargetMode="External"/><Relationship Id="rId74" Type="http://schemas.openxmlformats.org/officeDocument/2006/relationships/hyperlink" Target="https://us3.assetplanner.com/service_request?ID=101079" TargetMode="External"/><Relationship Id="rId128" Type="http://schemas.openxmlformats.org/officeDocument/2006/relationships/hyperlink" Target="https://us3.assetplanner.com/service_request?ID=094820" TargetMode="External"/><Relationship Id="rId149" Type="http://schemas.openxmlformats.org/officeDocument/2006/relationships/hyperlink" Target="https://us3.assetplanner.com/service_request?ID=099793" TargetMode="External"/><Relationship Id="rId5" Type="http://schemas.openxmlformats.org/officeDocument/2006/relationships/hyperlink" Target="https://us3.assetplanner.com/service_request?ID=093294" TargetMode="External"/><Relationship Id="rId95" Type="http://schemas.openxmlformats.org/officeDocument/2006/relationships/hyperlink" Target="https://us3.assetplanner.com/service_request?ID=100042" TargetMode="External"/><Relationship Id="rId160" Type="http://schemas.openxmlformats.org/officeDocument/2006/relationships/hyperlink" Target="https://us3.assetplanner.com/service_request?ID=102012" TargetMode="External"/><Relationship Id="rId181" Type="http://schemas.openxmlformats.org/officeDocument/2006/relationships/hyperlink" Target="https://us3.assetplanner.com/service_request?ID=100701" TargetMode="External"/><Relationship Id="rId22" Type="http://schemas.openxmlformats.org/officeDocument/2006/relationships/hyperlink" Target="https://us3.assetplanner.com/service_request?ID=095662" TargetMode="External"/><Relationship Id="rId43" Type="http://schemas.openxmlformats.org/officeDocument/2006/relationships/hyperlink" Target="https://us3.assetplanner.com/service_request?ID=092964" TargetMode="External"/><Relationship Id="rId64" Type="http://schemas.openxmlformats.org/officeDocument/2006/relationships/hyperlink" Target="https://us3.assetplanner.com/service_request?ID=099347" TargetMode="External"/><Relationship Id="rId118" Type="http://schemas.openxmlformats.org/officeDocument/2006/relationships/hyperlink" Target="https://us3.assetplanner.com/service_request?ID=102015" TargetMode="External"/><Relationship Id="rId139" Type="http://schemas.openxmlformats.org/officeDocument/2006/relationships/hyperlink" Target="https://us3.assetplanner.com/service_request?ID=098724" TargetMode="External"/><Relationship Id="rId85" Type="http://schemas.openxmlformats.org/officeDocument/2006/relationships/hyperlink" Target="https://us3.assetplanner.com/service_request?ID=095073" TargetMode="External"/><Relationship Id="rId150" Type="http://schemas.openxmlformats.org/officeDocument/2006/relationships/hyperlink" Target="https://us3.assetplanner.com/service_request?ID=100524" TargetMode="External"/><Relationship Id="rId171" Type="http://schemas.openxmlformats.org/officeDocument/2006/relationships/hyperlink" Target="https://us3.assetplanner.com/service_request?ID=101206" TargetMode="External"/><Relationship Id="rId12" Type="http://schemas.openxmlformats.org/officeDocument/2006/relationships/hyperlink" Target="https://us3.assetplanner.com/service_request?ID=101267" TargetMode="External"/><Relationship Id="rId33" Type="http://schemas.openxmlformats.org/officeDocument/2006/relationships/hyperlink" Target="https://us3.assetplanner.com/service_request?ID=101482" TargetMode="External"/><Relationship Id="rId108" Type="http://schemas.openxmlformats.org/officeDocument/2006/relationships/hyperlink" Target="https://us3.assetplanner.com/service_request?ID=101915" TargetMode="External"/><Relationship Id="rId129" Type="http://schemas.openxmlformats.org/officeDocument/2006/relationships/hyperlink" Target="https://us3.assetplanner.com/service_request?ID=101909" TargetMode="External"/><Relationship Id="rId54" Type="http://schemas.openxmlformats.org/officeDocument/2006/relationships/hyperlink" Target="https://us3.assetplanner.com/service_request?ID=101263" TargetMode="External"/><Relationship Id="rId75" Type="http://schemas.openxmlformats.org/officeDocument/2006/relationships/hyperlink" Target="https://us3.assetplanner.com/service_request?ID=101079" TargetMode="External"/><Relationship Id="rId96" Type="http://schemas.openxmlformats.org/officeDocument/2006/relationships/hyperlink" Target="https://us3.assetplanner.com/service_request?ID=101152" TargetMode="External"/><Relationship Id="rId140" Type="http://schemas.openxmlformats.org/officeDocument/2006/relationships/hyperlink" Target="https://us3.assetplanner.com/service_request?ID=095945" TargetMode="External"/><Relationship Id="rId161" Type="http://schemas.openxmlformats.org/officeDocument/2006/relationships/hyperlink" Target="https://us3.assetplanner.com/service_request?ID=098315" TargetMode="External"/><Relationship Id="rId182" Type="http://schemas.openxmlformats.org/officeDocument/2006/relationships/hyperlink" Target="https://us3.assetplanner.com/service_request?ID=102028" TargetMode="External"/><Relationship Id="rId6" Type="http://schemas.openxmlformats.org/officeDocument/2006/relationships/hyperlink" Target="https://us3.assetplanner.com/service_request?ID=098958" TargetMode="External"/><Relationship Id="rId23" Type="http://schemas.openxmlformats.org/officeDocument/2006/relationships/hyperlink" Target="https://us3.assetplanner.com/service_request?ID=101910" TargetMode="External"/><Relationship Id="rId119" Type="http://schemas.openxmlformats.org/officeDocument/2006/relationships/hyperlink" Target="https://us3.assetplanner.com/service_request?ID=096006" TargetMode="External"/><Relationship Id="rId44" Type="http://schemas.openxmlformats.org/officeDocument/2006/relationships/hyperlink" Target="https://us3.assetplanner.com/service_request?ID=098877" TargetMode="External"/><Relationship Id="rId65" Type="http://schemas.openxmlformats.org/officeDocument/2006/relationships/hyperlink" Target="https://us3.assetplanner.com/service_request?ID=101820" TargetMode="External"/><Relationship Id="rId86" Type="http://schemas.openxmlformats.org/officeDocument/2006/relationships/hyperlink" Target="https://us3.assetplanner.com/service_request?ID=101942" TargetMode="External"/><Relationship Id="rId130" Type="http://schemas.openxmlformats.org/officeDocument/2006/relationships/hyperlink" Target="https://us3.assetplanner.com/service_request?ID=101931" TargetMode="External"/><Relationship Id="rId151" Type="http://schemas.openxmlformats.org/officeDocument/2006/relationships/hyperlink" Target="https://us3.assetplanner.com/service_request?ID=100036" TargetMode="External"/><Relationship Id="rId172" Type="http://schemas.openxmlformats.org/officeDocument/2006/relationships/hyperlink" Target="https://us3.assetplanner.com/service_request?ID=100609" TargetMode="External"/><Relationship Id="rId13" Type="http://schemas.openxmlformats.org/officeDocument/2006/relationships/hyperlink" Target="https://us3.assetplanner.com/service_request?ID=098981" TargetMode="External"/><Relationship Id="rId18" Type="http://schemas.openxmlformats.org/officeDocument/2006/relationships/hyperlink" Target="https://us3.assetplanner.com/service_request?ID=100803" TargetMode="External"/><Relationship Id="rId39" Type="http://schemas.openxmlformats.org/officeDocument/2006/relationships/hyperlink" Target="https://us3.assetplanner.com/service_request?ID=098198" TargetMode="External"/><Relationship Id="rId109" Type="http://schemas.openxmlformats.org/officeDocument/2006/relationships/hyperlink" Target="https://us3.assetplanner.com/service_request?ID=095624" TargetMode="External"/><Relationship Id="rId34" Type="http://schemas.openxmlformats.org/officeDocument/2006/relationships/hyperlink" Target="https://us3.assetplanner.com/service_request?ID=099403" TargetMode="External"/><Relationship Id="rId50" Type="http://schemas.openxmlformats.org/officeDocument/2006/relationships/hyperlink" Target="https://us3.assetplanner.com/service_request?ID=100387" TargetMode="External"/><Relationship Id="rId55" Type="http://schemas.openxmlformats.org/officeDocument/2006/relationships/hyperlink" Target="https://us3.assetplanner.com/service_request?ID=101594" TargetMode="External"/><Relationship Id="rId76" Type="http://schemas.openxmlformats.org/officeDocument/2006/relationships/hyperlink" Target="https://us3.assetplanner.com/service_request?ID=095109" TargetMode="External"/><Relationship Id="rId97" Type="http://schemas.openxmlformats.org/officeDocument/2006/relationships/hyperlink" Target="https://us3.assetplanner.com/service_request?ID=100032" TargetMode="External"/><Relationship Id="rId104" Type="http://schemas.openxmlformats.org/officeDocument/2006/relationships/hyperlink" Target="https://us3.assetplanner.com/service_request?ID=101476" TargetMode="External"/><Relationship Id="rId120" Type="http://schemas.openxmlformats.org/officeDocument/2006/relationships/hyperlink" Target="https://us3.assetplanner.com/service_request?ID=101022" TargetMode="External"/><Relationship Id="rId125" Type="http://schemas.openxmlformats.org/officeDocument/2006/relationships/hyperlink" Target="https://us3.assetplanner.com/service_request?ID=101845" TargetMode="External"/><Relationship Id="rId141" Type="http://schemas.openxmlformats.org/officeDocument/2006/relationships/hyperlink" Target="https://us3.assetplanner.com/service_request?ID=095946" TargetMode="External"/><Relationship Id="rId146" Type="http://schemas.openxmlformats.org/officeDocument/2006/relationships/hyperlink" Target="https://us3.assetplanner.com/service_request?ID=099791" TargetMode="External"/><Relationship Id="rId167" Type="http://schemas.openxmlformats.org/officeDocument/2006/relationships/hyperlink" Target="https://us3.assetplanner.com/service_request?ID=101588" TargetMode="External"/><Relationship Id="rId188" Type="http://schemas.openxmlformats.org/officeDocument/2006/relationships/hyperlink" Target="https://us3.assetplanner.com/service_request?ID=100662" TargetMode="External"/><Relationship Id="rId7" Type="http://schemas.openxmlformats.org/officeDocument/2006/relationships/hyperlink" Target="https://us3.assetplanner.com/service_request?ID=086842" TargetMode="External"/><Relationship Id="rId71" Type="http://schemas.openxmlformats.org/officeDocument/2006/relationships/hyperlink" Target="https://us3.assetplanner.com/service_request?ID=101078" TargetMode="External"/><Relationship Id="rId92" Type="http://schemas.openxmlformats.org/officeDocument/2006/relationships/hyperlink" Target="https://us3.assetplanner.com/service_request?ID=092095" TargetMode="External"/><Relationship Id="rId162" Type="http://schemas.openxmlformats.org/officeDocument/2006/relationships/hyperlink" Target="https://us3.assetplanner.com/service_request?ID=101778" TargetMode="External"/><Relationship Id="rId183" Type="http://schemas.openxmlformats.org/officeDocument/2006/relationships/hyperlink" Target="https://us3.assetplanner.com/service_request?ID=099473" TargetMode="External"/><Relationship Id="rId2" Type="http://schemas.openxmlformats.org/officeDocument/2006/relationships/hyperlink" Target="https://us3.assetplanner.com/service_request?ID=097569" TargetMode="External"/><Relationship Id="rId29" Type="http://schemas.openxmlformats.org/officeDocument/2006/relationships/hyperlink" Target="https://us3.assetplanner.com/service_request?ID=100447" TargetMode="External"/><Relationship Id="rId24" Type="http://schemas.openxmlformats.org/officeDocument/2006/relationships/hyperlink" Target="https://us3.assetplanner.com/service_request?ID=101354" TargetMode="External"/><Relationship Id="rId40" Type="http://schemas.openxmlformats.org/officeDocument/2006/relationships/hyperlink" Target="https://us3.assetplanner.com/service_request?ID=098866" TargetMode="External"/><Relationship Id="rId45" Type="http://schemas.openxmlformats.org/officeDocument/2006/relationships/hyperlink" Target="https://us3.assetplanner.com/service_request?ID=095253" TargetMode="External"/><Relationship Id="rId66" Type="http://schemas.openxmlformats.org/officeDocument/2006/relationships/hyperlink" Target="https://us3.assetplanner.com/service_request?ID=101160" TargetMode="External"/><Relationship Id="rId87" Type="http://schemas.openxmlformats.org/officeDocument/2006/relationships/hyperlink" Target="https://us3.assetplanner.com/service_request?ID=101997" TargetMode="External"/><Relationship Id="rId110" Type="http://schemas.openxmlformats.org/officeDocument/2006/relationships/hyperlink" Target="https://us3.assetplanner.com/service_request?ID=097725" TargetMode="External"/><Relationship Id="rId115" Type="http://schemas.openxmlformats.org/officeDocument/2006/relationships/hyperlink" Target="https://us3.assetplanner.com/service_request?ID=101314" TargetMode="External"/><Relationship Id="rId131" Type="http://schemas.openxmlformats.org/officeDocument/2006/relationships/hyperlink" Target="https://us3.assetplanner.com/service_request?ID=098860" TargetMode="External"/><Relationship Id="rId136" Type="http://schemas.openxmlformats.org/officeDocument/2006/relationships/hyperlink" Target="https://us3.assetplanner.com/service_request?ID=101616" TargetMode="External"/><Relationship Id="rId157" Type="http://schemas.openxmlformats.org/officeDocument/2006/relationships/hyperlink" Target="https://us3.assetplanner.com/service_request?ID=099857" TargetMode="External"/><Relationship Id="rId178" Type="http://schemas.openxmlformats.org/officeDocument/2006/relationships/hyperlink" Target="https://us3.assetplanner.com/service_request?ID=101819" TargetMode="External"/><Relationship Id="rId61" Type="http://schemas.openxmlformats.org/officeDocument/2006/relationships/hyperlink" Target="https://us3.assetplanner.com/service_request?ID=101938" TargetMode="External"/><Relationship Id="rId82" Type="http://schemas.openxmlformats.org/officeDocument/2006/relationships/hyperlink" Target="https://us3.assetplanner.com/service_request?ID=100044" TargetMode="External"/><Relationship Id="rId152" Type="http://schemas.openxmlformats.org/officeDocument/2006/relationships/hyperlink" Target="https://us3.assetplanner.com/service_request?ID=101922" TargetMode="External"/><Relationship Id="rId173" Type="http://schemas.openxmlformats.org/officeDocument/2006/relationships/hyperlink" Target="https://us3.assetplanner.com/service_request?ID=101685" TargetMode="External"/><Relationship Id="rId19" Type="http://schemas.openxmlformats.org/officeDocument/2006/relationships/hyperlink" Target="https://us3.assetplanner.com/service_request?ID=101356" TargetMode="External"/><Relationship Id="rId14" Type="http://schemas.openxmlformats.org/officeDocument/2006/relationships/hyperlink" Target="https://us3.assetplanner.com/service_request?ID=088813" TargetMode="External"/><Relationship Id="rId30" Type="http://schemas.openxmlformats.org/officeDocument/2006/relationships/hyperlink" Target="https://us3.assetplanner.com/service_request?ID=098640" TargetMode="External"/><Relationship Id="rId35" Type="http://schemas.openxmlformats.org/officeDocument/2006/relationships/hyperlink" Target="https://us3.assetplanner.com/service_request?ID=100629" TargetMode="External"/><Relationship Id="rId56" Type="http://schemas.openxmlformats.org/officeDocument/2006/relationships/hyperlink" Target="https://us3.assetplanner.com/service_request?ID=101938" TargetMode="External"/><Relationship Id="rId77" Type="http://schemas.openxmlformats.org/officeDocument/2006/relationships/hyperlink" Target="https://us3.assetplanner.com/service_request?ID=101632" TargetMode="External"/><Relationship Id="rId100" Type="http://schemas.openxmlformats.org/officeDocument/2006/relationships/hyperlink" Target="https://us3.assetplanner.com/service_request?ID=100101" TargetMode="External"/><Relationship Id="rId105" Type="http://schemas.openxmlformats.org/officeDocument/2006/relationships/hyperlink" Target="https://us3.assetplanner.com/service_request?ID=101572" TargetMode="External"/><Relationship Id="rId126" Type="http://schemas.openxmlformats.org/officeDocument/2006/relationships/hyperlink" Target="https://us3.assetplanner.com/service_request?ID=098692" TargetMode="External"/><Relationship Id="rId147" Type="http://schemas.openxmlformats.org/officeDocument/2006/relationships/hyperlink" Target="https://us3.assetplanner.com/service_request?ID=099791" TargetMode="External"/><Relationship Id="rId168" Type="http://schemas.openxmlformats.org/officeDocument/2006/relationships/hyperlink" Target="https://us3.assetplanner.com/service_request?ID=101645" TargetMode="External"/><Relationship Id="rId8" Type="http://schemas.openxmlformats.org/officeDocument/2006/relationships/hyperlink" Target="https://us3.assetplanner.com/service_request?ID=101786" TargetMode="External"/><Relationship Id="rId51" Type="http://schemas.openxmlformats.org/officeDocument/2006/relationships/hyperlink" Target="https://us3.assetplanner.com/service_request?ID=100811" TargetMode="External"/><Relationship Id="rId72" Type="http://schemas.openxmlformats.org/officeDocument/2006/relationships/hyperlink" Target="https://us3.assetplanner.com/service_request?ID=101078" TargetMode="External"/><Relationship Id="rId93" Type="http://schemas.openxmlformats.org/officeDocument/2006/relationships/hyperlink" Target="https://us3.assetplanner.com/service_request?ID=102056" TargetMode="External"/><Relationship Id="rId98" Type="http://schemas.openxmlformats.org/officeDocument/2006/relationships/hyperlink" Target="https://us3.assetplanner.com/service_request?ID=101327" TargetMode="External"/><Relationship Id="rId121" Type="http://schemas.openxmlformats.org/officeDocument/2006/relationships/hyperlink" Target="https://us3.assetplanner.com/service_request?ID=101023" TargetMode="External"/><Relationship Id="rId142" Type="http://schemas.openxmlformats.org/officeDocument/2006/relationships/hyperlink" Target="https://us3.assetplanner.com/service_request?ID=099930" TargetMode="External"/><Relationship Id="rId163" Type="http://schemas.openxmlformats.org/officeDocument/2006/relationships/hyperlink" Target="https://us3.assetplanner.com/service_request?ID=101328" TargetMode="External"/><Relationship Id="rId184" Type="http://schemas.openxmlformats.org/officeDocument/2006/relationships/hyperlink" Target="https://us3.assetplanner.com/service_request?ID=099014" TargetMode="External"/><Relationship Id="rId189" Type="http://schemas.openxmlformats.org/officeDocument/2006/relationships/hyperlink" Target="https://us3.assetplanner.com/service_request?ID=101669"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100141" TargetMode="External"/><Relationship Id="rId46" Type="http://schemas.openxmlformats.org/officeDocument/2006/relationships/hyperlink" Target="https://us3.assetplanner.com/service_request?ID=101625" TargetMode="External"/><Relationship Id="rId67" Type="http://schemas.openxmlformats.org/officeDocument/2006/relationships/hyperlink" Target="https://us3.assetplanner.com/service_request?ID=101416" TargetMode="External"/><Relationship Id="rId116" Type="http://schemas.openxmlformats.org/officeDocument/2006/relationships/hyperlink" Target="https://us3.assetplanner.com/service_request?ID=101647" TargetMode="External"/><Relationship Id="rId137" Type="http://schemas.openxmlformats.org/officeDocument/2006/relationships/hyperlink" Target="https://us3.assetplanner.com/service_request?ID=102212" TargetMode="External"/><Relationship Id="rId158" Type="http://schemas.openxmlformats.org/officeDocument/2006/relationships/hyperlink" Target="https://us3.assetplanner.com/service_request?ID=100587" TargetMode="External"/><Relationship Id="rId20" Type="http://schemas.openxmlformats.org/officeDocument/2006/relationships/hyperlink" Target="https://us3.assetplanner.com/service_request?ID=093326" TargetMode="External"/><Relationship Id="rId41" Type="http://schemas.openxmlformats.org/officeDocument/2006/relationships/hyperlink" Target="https://us3.assetplanner.com/service_request?ID=098998" TargetMode="External"/><Relationship Id="rId62" Type="http://schemas.openxmlformats.org/officeDocument/2006/relationships/hyperlink" Target="https://us3.assetplanner.com/service_request?ID=101912" TargetMode="External"/><Relationship Id="rId83" Type="http://schemas.openxmlformats.org/officeDocument/2006/relationships/hyperlink" Target="https://us3.assetplanner.com/service_request?ID=099140" TargetMode="External"/><Relationship Id="rId88" Type="http://schemas.openxmlformats.org/officeDocument/2006/relationships/hyperlink" Target="https://us3.assetplanner.com/service_request?ID=092209" TargetMode="External"/><Relationship Id="rId111" Type="http://schemas.openxmlformats.org/officeDocument/2006/relationships/hyperlink" Target="https://us3.assetplanner.com/service_request?ID=101028" TargetMode="External"/><Relationship Id="rId132" Type="http://schemas.openxmlformats.org/officeDocument/2006/relationships/hyperlink" Target="https://us3.assetplanner.com/service_request?ID=09745" TargetMode="External"/><Relationship Id="rId153" Type="http://schemas.openxmlformats.org/officeDocument/2006/relationships/hyperlink" Target="https://us3.assetplanner.com/service_request?ID=101940" TargetMode="External"/><Relationship Id="rId174" Type="http://schemas.openxmlformats.org/officeDocument/2006/relationships/hyperlink" Target="https://us3.assetplanner.com/service_request?ID=101228" TargetMode="External"/><Relationship Id="rId179" Type="http://schemas.openxmlformats.org/officeDocument/2006/relationships/hyperlink" Target="https://us3.assetplanner.com/service_request?ID=098066" TargetMode="External"/><Relationship Id="rId190" Type="http://schemas.openxmlformats.org/officeDocument/2006/relationships/hyperlink" Target="https://us3.assetplanner.com/service_request?ID=101745" TargetMode="External"/><Relationship Id="rId15" Type="http://schemas.openxmlformats.org/officeDocument/2006/relationships/hyperlink" Target="https://us3.assetplanner.com/service_request?ID=093324" TargetMode="External"/><Relationship Id="rId36" Type="http://schemas.openxmlformats.org/officeDocument/2006/relationships/hyperlink" Target="https://us3.assetplanner.com/service_request?ID=100190" TargetMode="External"/><Relationship Id="rId57" Type="http://schemas.openxmlformats.org/officeDocument/2006/relationships/hyperlink" Target="https://us3.assetplanner.com/service_request?ID=101263" TargetMode="External"/><Relationship Id="rId106" Type="http://schemas.openxmlformats.org/officeDocument/2006/relationships/hyperlink" Target="https://us3.assetplanner.com/service_request?ID=101848" TargetMode="External"/><Relationship Id="rId127" Type="http://schemas.openxmlformats.org/officeDocument/2006/relationships/hyperlink" Target="https://us3.assetplanner.com/service_request?ID=099686" TargetMode="External"/><Relationship Id="rId10" Type="http://schemas.openxmlformats.org/officeDocument/2006/relationships/hyperlink" Target="https://us3.assetplanner.com/service_request?ID=101363" TargetMode="External"/><Relationship Id="rId31" Type="http://schemas.openxmlformats.org/officeDocument/2006/relationships/hyperlink" Target="https://us3.assetplanner.com/service_request?ID=100623" TargetMode="External"/><Relationship Id="rId52" Type="http://schemas.openxmlformats.org/officeDocument/2006/relationships/hyperlink" Target="https://us3.assetplanner.com/service_request?ID=101403" TargetMode="External"/><Relationship Id="rId73" Type="http://schemas.openxmlformats.org/officeDocument/2006/relationships/hyperlink" Target="https://us3.assetplanner.com/service_request?ID=101652" TargetMode="External"/><Relationship Id="rId78" Type="http://schemas.openxmlformats.org/officeDocument/2006/relationships/hyperlink" Target="https://us3.assetplanner.com/service_request?ID=101091" TargetMode="External"/><Relationship Id="rId94" Type="http://schemas.openxmlformats.org/officeDocument/2006/relationships/hyperlink" Target="https://us3.assetplanner.com/service_request?ID=101237" TargetMode="External"/><Relationship Id="rId99" Type="http://schemas.openxmlformats.org/officeDocument/2006/relationships/hyperlink" Target="https://us3.assetplanner.com/service_request?ID=101956" TargetMode="External"/><Relationship Id="rId101" Type="http://schemas.openxmlformats.org/officeDocument/2006/relationships/hyperlink" Target="https://us3.assetplanner.com/service_request?ID=100509" TargetMode="External"/><Relationship Id="rId122" Type="http://schemas.openxmlformats.org/officeDocument/2006/relationships/hyperlink" Target="https://us3.assetplanner.com/service_request?ID=101048" TargetMode="External"/><Relationship Id="rId143" Type="http://schemas.openxmlformats.org/officeDocument/2006/relationships/hyperlink" Target="https://us3.assetplanner.com/service_request?ID=101266" TargetMode="External"/><Relationship Id="rId148" Type="http://schemas.openxmlformats.org/officeDocument/2006/relationships/hyperlink" Target="https://us3.assetplanner.com/service_request?ID=099792" TargetMode="External"/><Relationship Id="rId164" Type="http://schemas.openxmlformats.org/officeDocument/2006/relationships/hyperlink" Target="https://us3.assetplanner.com/service_request?ID=096257" TargetMode="External"/><Relationship Id="rId169" Type="http://schemas.openxmlformats.org/officeDocument/2006/relationships/hyperlink" Target="https://us3.assetplanner.com/service_request?ID=097816" TargetMode="External"/><Relationship Id="rId185" Type="http://schemas.openxmlformats.org/officeDocument/2006/relationships/hyperlink" Target="https://us3.assetplanner.com/service_request?ID=100026" TargetMode="External"/><Relationship Id="rId4" Type="http://schemas.openxmlformats.org/officeDocument/2006/relationships/hyperlink" Target="https://us3.assetplanner.com/service_request?ID=093633" TargetMode="External"/><Relationship Id="rId9" Type="http://schemas.openxmlformats.org/officeDocument/2006/relationships/hyperlink" Target="https://us3.assetplanner.com/service_request?ID=101646" TargetMode="External"/><Relationship Id="rId180" Type="http://schemas.openxmlformats.org/officeDocument/2006/relationships/hyperlink" Target="https://us3.assetplanner.com/service_request?ID=099545" TargetMode="External"/><Relationship Id="rId26" Type="http://schemas.openxmlformats.org/officeDocument/2006/relationships/hyperlink" Target="https://us3.assetplanner.com/service_request?ID=101620" TargetMode="External"/><Relationship Id="rId47" Type="http://schemas.openxmlformats.org/officeDocument/2006/relationships/hyperlink" Target="https://us3.assetplanner.com/service_request?ID=101020" TargetMode="External"/><Relationship Id="rId68" Type="http://schemas.openxmlformats.org/officeDocument/2006/relationships/hyperlink" Target="https://us3.assetplanner.com/service_request?ID=100997" TargetMode="External"/><Relationship Id="rId89" Type="http://schemas.openxmlformats.org/officeDocument/2006/relationships/hyperlink" Target="https://us3.assetplanner.com/service_request?ID=101998" TargetMode="External"/><Relationship Id="rId112" Type="http://schemas.openxmlformats.org/officeDocument/2006/relationships/hyperlink" Target="https://us3.assetplanner.com/service_request?ID=101305" TargetMode="External"/><Relationship Id="rId133" Type="http://schemas.openxmlformats.org/officeDocument/2006/relationships/hyperlink" Target="https://us3.assetplanner.com/service_request?ID=099118" TargetMode="External"/><Relationship Id="rId154" Type="http://schemas.openxmlformats.org/officeDocument/2006/relationships/hyperlink" Target="https://us3.assetplanner.com/service_request?ID=095941" TargetMode="External"/><Relationship Id="rId175" Type="http://schemas.openxmlformats.org/officeDocument/2006/relationships/hyperlink" Target="https://us3.assetplanner.com/service_request?ID=098278" TargetMode="External"/><Relationship Id="rId16" Type="http://schemas.openxmlformats.org/officeDocument/2006/relationships/hyperlink" Target="https://us3.assetplanner.com/service_request?ID=099970" TargetMode="External"/><Relationship Id="rId37" Type="http://schemas.openxmlformats.org/officeDocument/2006/relationships/hyperlink" Target="https://us3.assetplanner.com/service_request?ID=093024" TargetMode="External"/><Relationship Id="rId58" Type="http://schemas.openxmlformats.org/officeDocument/2006/relationships/hyperlink" Target="https://us3.assetplanner.com/service_request?ID=101594" TargetMode="External"/><Relationship Id="rId79" Type="http://schemas.openxmlformats.org/officeDocument/2006/relationships/hyperlink" Target="https://us3.assetplanner.com/service_request?ID=101633" TargetMode="External"/><Relationship Id="rId102" Type="http://schemas.openxmlformats.org/officeDocument/2006/relationships/hyperlink" Target="https://us3.assetplanner.com/service_request?ID=100448" TargetMode="External"/><Relationship Id="rId123" Type="http://schemas.openxmlformats.org/officeDocument/2006/relationships/hyperlink" Target="https://us3.assetplanner.com/service_request?ID=101642" TargetMode="External"/><Relationship Id="rId144" Type="http://schemas.openxmlformats.org/officeDocument/2006/relationships/hyperlink" Target="https://us3.assetplanner.com/service_request?ID=102229" TargetMode="External"/><Relationship Id="rId90" Type="http://schemas.openxmlformats.org/officeDocument/2006/relationships/hyperlink" Target="https://us3.assetplanner.com/service_request?ID=092751" TargetMode="External"/><Relationship Id="rId165" Type="http://schemas.openxmlformats.org/officeDocument/2006/relationships/hyperlink" Target="https://us3.assetplanner.com/service_request?ID=099018" TargetMode="External"/><Relationship Id="rId186" Type="http://schemas.openxmlformats.org/officeDocument/2006/relationships/hyperlink" Target="https://us3.assetplanner.com/service_request?ID=098693" TargetMode="External"/><Relationship Id="rId27" Type="http://schemas.openxmlformats.org/officeDocument/2006/relationships/hyperlink" Target="https://us3.assetplanner.com/service_request?ID=098641" TargetMode="External"/><Relationship Id="rId48" Type="http://schemas.openxmlformats.org/officeDocument/2006/relationships/hyperlink" Target="https://us3.assetplanner.com/service_request?ID=100387" TargetMode="External"/><Relationship Id="rId69" Type="http://schemas.openxmlformats.org/officeDocument/2006/relationships/hyperlink" Target="https://us3.assetplanner.com/service_request?ID=100997" TargetMode="External"/><Relationship Id="rId113" Type="http://schemas.openxmlformats.org/officeDocument/2006/relationships/hyperlink" Target="https://us3.assetplanner.com/service_request?ID=101878" TargetMode="External"/><Relationship Id="rId134" Type="http://schemas.openxmlformats.org/officeDocument/2006/relationships/hyperlink" Target="https://us3.assetplanner.com/service_request?ID=101005" TargetMode="External"/><Relationship Id="rId80" Type="http://schemas.openxmlformats.org/officeDocument/2006/relationships/hyperlink" Target="https://us3.assetplanner.com/service_request?ID=099360" TargetMode="External"/><Relationship Id="rId155" Type="http://schemas.openxmlformats.org/officeDocument/2006/relationships/hyperlink" Target="https://us3.assetplanner.com/service_request?ID=098490" TargetMode="External"/><Relationship Id="rId176" Type="http://schemas.openxmlformats.org/officeDocument/2006/relationships/hyperlink" Target="https://us3.assetplanner.com/service_request?ID=098670" TargetMode="External"/><Relationship Id="rId17" Type="http://schemas.openxmlformats.org/officeDocument/2006/relationships/hyperlink" Target="https://us3.assetplanner.com/service_request?ID=101290" TargetMode="External"/><Relationship Id="rId38" Type="http://schemas.openxmlformats.org/officeDocument/2006/relationships/hyperlink" Target="https://us3.assetplanner.com/service_request?ID=100200" TargetMode="External"/><Relationship Id="rId59" Type="http://schemas.openxmlformats.org/officeDocument/2006/relationships/hyperlink" Target="https://us3.assetplanner.com/service_request?ID=101938" TargetMode="External"/><Relationship Id="rId103" Type="http://schemas.openxmlformats.org/officeDocument/2006/relationships/hyperlink" Target="https://us3.assetplanner.com/service_request?ID=101460" TargetMode="External"/><Relationship Id="rId124" Type="http://schemas.openxmlformats.org/officeDocument/2006/relationships/hyperlink" Target="https://us3.assetplanner.com/service_request?ID=101845" TargetMode="External"/><Relationship Id="rId70" Type="http://schemas.openxmlformats.org/officeDocument/2006/relationships/hyperlink" Target="https://us3.assetplanner.com/service_request?ID=101109" TargetMode="External"/><Relationship Id="rId91" Type="http://schemas.openxmlformats.org/officeDocument/2006/relationships/hyperlink" Target="https://us3.assetplanner.com/service_request?ID=092255" TargetMode="External"/><Relationship Id="rId145" Type="http://schemas.openxmlformats.org/officeDocument/2006/relationships/hyperlink" Target="https://us3.assetplanner.com/service_request?ID=095956" TargetMode="External"/><Relationship Id="rId166" Type="http://schemas.openxmlformats.org/officeDocument/2006/relationships/hyperlink" Target="https://us3.assetplanner.com/service_request?ID=099951" TargetMode="External"/><Relationship Id="rId187" Type="http://schemas.openxmlformats.org/officeDocument/2006/relationships/hyperlink" Target="https://us3.assetplanner.com/service_request?ID=100729" TargetMode="External"/><Relationship Id="rId1" Type="http://schemas.openxmlformats.org/officeDocument/2006/relationships/hyperlink" Target="https://us3.assetplanner.com/service_request?ID=093289" TargetMode="External"/><Relationship Id="rId28" Type="http://schemas.openxmlformats.org/officeDocument/2006/relationships/hyperlink" Target="https://us3.assetplanner.com/service_request?ID=101641" TargetMode="External"/><Relationship Id="rId49" Type="http://schemas.openxmlformats.org/officeDocument/2006/relationships/hyperlink" Target="https://us3.assetplanner.com/service_request?ID=100721" TargetMode="External"/><Relationship Id="rId114" Type="http://schemas.openxmlformats.org/officeDocument/2006/relationships/hyperlink" Target="https://us3.assetplanner.com/service_request?ID=101011" TargetMode="External"/><Relationship Id="rId60" Type="http://schemas.openxmlformats.org/officeDocument/2006/relationships/hyperlink" Target="https://us3.assetplanner.com/service_request?ID=101263" TargetMode="External"/><Relationship Id="rId81" Type="http://schemas.openxmlformats.org/officeDocument/2006/relationships/hyperlink" Target="https://us3.assetplanner.com/service_request?ID=101282" TargetMode="External"/><Relationship Id="rId135" Type="http://schemas.openxmlformats.org/officeDocument/2006/relationships/hyperlink" Target="https://us3.assetplanner.com/service_request?ID=101164" TargetMode="External"/><Relationship Id="rId156" Type="http://schemas.openxmlformats.org/officeDocument/2006/relationships/hyperlink" Target="https://us3.assetplanner.com/service_request?ID=099138" TargetMode="External"/><Relationship Id="rId177" Type="http://schemas.openxmlformats.org/officeDocument/2006/relationships/hyperlink" Target="https://us3.assetplanner.com/service_request?ID=101801"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us3.assetplanner.com/service_request?ID=102628" TargetMode="External"/><Relationship Id="rId21" Type="http://schemas.openxmlformats.org/officeDocument/2006/relationships/hyperlink" Target="https://us3.assetplanner.com/service_request?ID=088813" TargetMode="External"/><Relationship Id="rId42" Type="http://schemas.openxmlformats.org/officeDocument/2006/relationships/hyperlink" Target="https://us3.assetplanner.com/service_request?ID=102951" TargetMode="External"/><Relationship Id="rId63" Type="http://schemas.openxmlformats.org/officeDocument/2006/relationships/hyperlink" Target="https://us3.assetplanner.com/service_request?ID=098877" TargetMode="External"/><Relationship Id="rId84" Type="http://schemas.openxmlformats.org/officeDocument/2006/relationships/hyperlink" Target="https://us3.assetplanner.com/service_request?ID=102360" TargetMode="External"/><Relationship Id="rId138" Type="http://schemas.openxmlformats.org/officeDocument/2006/relationships/hyperlink" Target="https://us3.assetplanner.com/service_request?ID=103552" TargetMode="External"/><Relationship Id="rId159" Type="http://schemas.openxmlformats.org/officeDocument/2006/relationships/hyperlink" Target="https://us3.assetplanner.com/service_request?ID=103246" TargetMode="External"/><Relationship Id="rId170" Type="http://schemas.openxmlformats.org/officeDocument/2006/relationships/hyperlink" Target="https://us3.assetplanner.com/service_request?ID=098278" TargetMode="External"/><Relationship Id="rId107" Type="http://schemas.openxmlformats.org/officeDocument/2006/relationships/hyperlink" Target="https://us3.assetplanner.com/service_request?ID=102895" TargetMode="External"/><Relationship Id="rId11" Type="http://schemas.openxmlformats.org/officeDocument/2006/relationships/hyperlink" Target="https://us3.assetplanner.com/service_request?ID=093633" TargetMode="External"/><Relationship Id="rId32" Type="http://schemas.openxmlformats.org/officeDocument/2006/relationships/hyperlink" Target="https://us3.assetplanner.com/service_request?ID=102217" TargetMode="External"/><Relationship Id="rId53" Type="http://schemas.openxmlformats.org/officeDocument/2006/relationships/hyperlink" Target="https://us3.assetplanner.com/service_request?ID=093024" TargetMode="External"/><Relationship Id="rId74" Type="http://schemas.openxmlformats.org/officeDocument/2006/relationships/hyperlink" Target="https://us3.assetplanner.com/service_request?ID=103181" TargetMode="External"/><Relationship Id="rId128" Type="http://schemas.openxmlformats.org/officeDocument/2006/relationships/hyperlink" Target="https://us3.assetplanner.com/service_request?ID=099686" TargetMode="External"/><Relationship Id="rId149" Type="http://schemas.openxmlformats.org/officeDocument/2006/relationships/hyperlink" Target="https://us3.assetplanner.com/service_request?ID=103096" TargetMode="External"/><Relationship Id="rId5" Type="http://schemas.openxmlformats.org/officeDocument/2006/relationships/hyperlink" Target="https://us3.assetplanner.com/service_request?ID=102473" TargetMode="External"/><Relationship Id="rId95" Type="http://schemas.openxmlformats.org/officeDocument/2006/relationships/hyperlink" Target="https://us3.assetplanner.com/service_request?ID=101282" TargetMode="External"/><Relationship Id="rId160" Type="http://schemas.openxmlformats.org/officeDocument/2006/relationships/hyperlink" Target="https://us3.assetplanner.com/service_request?ID=103557" TargetMode="External"/><Relationship Id="rId181" Type="http://schemas.openxmlformats.org/officeDocument/2006/relationships/hyperlink" Target="https://us3.assetplanner.com/service_request?ID=103271" TargetMode="External"/><Relationship Id="rId22" Type="http://schemas.openxmlformats.org/officeDocument/2006/relationships/hyperlink" Target="https://us3.assetplanner.com/service_request?ID=093324" TargetMode="External"/><Relationship Id="rId43" Type="http://schemas.openxmlformats.org/officeDocument/2006/relationships/hyperlink" Target="https://us3.assetplanner.com/service_request?ID=103185" TargetMode="External"/><Relationship Id="rId64" Type="http://schemas.openxmlformats.org/officeDocument/2006/relationships/hyperlink" Target="https://us3.assetplanner.com/service_request?ID=102662" TargetMode="External"/><Relationship Id="rId118" Type="http://schemas.openxmlformats.org/officeDocument/2006/relationships/hyperlink" Target="https://us3.assetplanner.com/service_request?ID=101314" TargetMode="External"/><Relationship Id="rId139" Type="http://schemas.openxmlformats.org/officeDocument/2006/relationships/hyperlink" Target="https://us3.assetplanner.com/service_request?ID=103476" TargetMode="External"/><Relationship Id="rId85" Type="http://schemas.openxmlformats.org/officeDocument/2006/relationships/hyperlink" Target="https://us3.assetplanner.com/service_request?ID=102937" TargetMode="External"/><Relationship Id="rId150" Type="http://schemas.openxmlformats.org/officeDocument/2006/relationships/hyperlink" Target="https://us3.assetplanner.com/service_request?ID=099793" TargetMode="External"/><Relationship Id="rId171" Type="http://schemas.openxmlformats.org/officeDocument/2006/relationships/hyperlink" Target="https://us3.assetplanner.com/service_request?ID=098670" TargetMode="External"/><Relationship Id="rId12" Type="http://schemas.openxmlformats.org/officeDocument/2006/relationships/hyperlink" Target="https://us3.assetplanner.com/service_request?ID=093294" TargetMode="External"/><Relationship Id="rId33" Type="http://schemas.openxmlformats.org/officeDocument/2006/relationships/hyperlink" Target="https://us3.assetplanner.com/service_request?ID=102507" TargetMode="External"/><Relationship Id="rId108" Type="http://schemas.openxmlformats.org/officeDocument/2006/relationships/hyperlink" Target="https://us3.assetplanner.com/service_request?ID=100101" TargetMode="External"/><Relationship Id="rId129" Type="http://schemas.openxmlformats.org/officeDocument/2006/relationships/hyperlink" Target="https://us3.assetplanner.com/service_request?ID=094820" TargetMode="External"/><Relationship Id="rId54" Type="http://schemas.openxmlformats.org/officeDocument/2006/relationships/hyperlink" Target="https://us3.assetplanner.com/service_request?ID=098198" TargetMode="External"/><Relationship Id="rId75" Type="http://schemas.openxmlformats.org/officeDocument/2006/relationships/hyperlink" Target="https://us3.assetplanner.com/service_request?ID=103257" TargetMode="External"/><Relationship Id="rId96" Type="http://schemas.openxmlformats.org/officeDocument/2006/relationships/hyperlink" Target="https://us3.assetplanner.com/service_request?ID=099726" TargetMode="External"/><Relationship Id="rId140" Type="http://schemas.openxmlformats.org/officeDocument/2006/relationships/hyperlink" Target="https://us3.assetplanner.com/service_request?ID=103477" TargetMode="External"/><Relationship Id="rId161" Type="http://schemas.openxmlformats.org/officeDocument/2006/relationships/hyperlink" Target="https://us3.assetplanner.com/service_request?ID=100220" TargetMode="External"/><Relationship Id="rId182" Type="http://schemas.openxmlformats.org/officeDocument/2006/relationships/hyperlink" Target="https://us3.assetplanner.com/service_request?ID=103687" TargetMode="External"/><Relationship Id="rId6" Type="http://schemas.openxmlformats.org/officeDocument/2006/relationships/hyperlink" Target="https://us3.assetplanner.com/service_request?ID=097569" TargetMode="External"/><Relationship Id="rId23" Type="http://schemas.openxmlformats.org/officeDocument/2006/relationships/hyperlink" Target="https://us3.assetplanner.com/service_request?ID=102499" TargetMode="External"/><Relationship Id="rId119" Type="http://schemas.openxmlformats.org/officeDocument/2006/relationships/hyperlink" Target="https://us3.assetplanner.com/service_request?ID=101947" TargetMode="External"/><Relationship Id="rId44" Type="http://schemas.openxmlformats.org/officeDocument/2006/relationships/hyperlink" Target="https://us3.assetplanner.com/service_request?ID=103185" TargetMode="External"/><Relationship Id="rId65" Type="http://schemas.openxmlformats.org/officeDocument/2006/relationships/hyperlink" Target="https://us3.assetplanner.com/service_request?ID=101912" TargetMode="External"/><Relationship Id="rId86" Type="http://schemas.openxmlformats.org/officeDocument/2006/relationships/hyperlink" Target="https://us3.assetplanner.com/service_request?ID=102637" TargetMode="External"/><Relationship Id="rId130" Type="http://schemas.openxmlformats.org/officeDocument/2006/relationships/hyperlink" Target="https://us3.assetplanner.com/service_request?ID=101931" TargetMode="External"/><Relationship Id="rId151" Type="http://schemas.openxmlformats.org/officeDocument/2006/relationships/hyperlink" Target="https://us3.assetplanner.com/service_request?ID=103710" TargetMode="External"/><Relationship Id="rId172" Type="http://schemas.openxmlformats.org/officeDocument/2006/relationships/hyperlink" Target="https://us3.assetplanner.com/service_request?ID=102684" TargetMode="External"/><Relationship Id="rId13" Type="http://schemas.openxmlformats.org/officeDocument/2006/relationships/hyperlink" Target="https://us3.assetplanner.com/service_request?ID=103533" TargetMode="External"/><Relationship Id="rId18" Type="http://schemas.openxmlformats.org/officeDocument/2006/relationships/hyperlink" Target="https://us3.assetplanner.com/service_request?ID=103286" TargetMode="External"/><Relationship Id="rId39" Type="http://schemas.openxmlformats.org/officeDocument/2006/relationships/hyperlink" Target="https://us3.assetplanner.com/service_request?ID=102364" TargetMode="External"/><Relationship Id="rId109" Type="http://schemas.openxmlformats.org/officeDocument/2006/relationships/hyperlink" Target="https://us3.assetplanner.com/service_request?ID=102328" TargetMode="External"/><Relationship Id="rId34" Type="http://schemas.openxmlformats.org/officeDocument/2006/relationships/hyperlink" Target="https://us3.assetplanner.com/service_request?ID=098641" TargetMode="External"/><Relationship Id="rId50" Type="http://schemas.openxmlformats.org/officeDocument/2006/relationships/hyperlink" Target="https://us3.assetplanner.com/service_request?ID=099403" TargetMode="External"/><Relationship Id="rId55" Type="http://schemas.openxmlformats.org/officeDocument/2006/relationships/hyperlink" Target="https://us3.assetplanner.com/service_request?ID=100200" TargetMode="External"/><Relationship Id="rId76" Type="http://schemas.openxmlformats.org/officeDocument/2006/relationships/hyperlink" Target="https://us3.assetplanner.com/service_request?ID=103260" TargetMode="External"/><Relationship Id="rId97" Type="http://schemas.openxmlformats.org/officeDocument/2006/relationships/hyperlink" Target="https://us3.assetplanner.com/service_request?ID=095073" TargetMode="External"/><Relationship Id="rId104" Type="http://schemas.openxmlformats.org/officeDocument/2006/relationships/hyperlink" Target="https://us3.assetplanner.com/service_request?ID=103538" TargetMode="External"/><Relationship Id="rId120" Type="http://schemas.openxmlformats.org/officeDocument/2006/relationships/hyperlink" Target="https://us3.assetplanner.com/service_request?ID=102015" TargetMode="External"/><Relationship Id="rId125" Type="http://schemas.openxmlformats.org/officeDocument/2006/relationships/hyperlink" Target="https://us3.assetplanner.com/service_request?ID=103668" TargetMode="External"/><Relationship Id="rId141" Type="http://schemas.openxmlformats.org/officeDocument/2006/relationships/hyperlink" Target="https://us3.assetplanner.com/service_request?ID=095945" TargetMode="External"/><Relationship Id="rId146" Type="http://schemas.openxmlformats.org/officeDocument/2006/relationships/hyperlink" Target="https://us3.assetplanner.com/service_request?ID=103141" TargetMode="External"/><Relationship Id="rId167" Type="http://schemas.openxmlformats.org/officeDocument/2006/relationships/hyperlink" Target="https://us3.assetplanner.com/service_request?ID=102630" TargetMode="External"/><Relationship Id="rId188" Type="http://schemas.openxmlformats.org/officeDocument/2006/relationships/hyperlink" Target="https://us3.assetplanner.com/service_request?ID=102779" TargetMode="External"/><Relationship Id="rId7" Type="http://schemas.openxmlformats.org/officeDocument/2006/relationships/hyperlink" Target="https://us3.assetplanner.com/service_request?ID=093291" TargetMode="External"/><Relationship Id="rId71" Type="http://schemas.openxmlformats.org/officeDocument/2006/relationships/hyperlink" Target="https://us3.assetplanner.com/service_request?ID=103257" TargetMode="External"/><Relationship Id="rId92" Type="http://schemas.openxmlformats.org/officeDocument/2006/relationships/hyperlink" Target="https://us3.assetplanner.com/service_request?ID=102379" TargetMode="External"/><Relationship Id="rId162" Type="http://schemas.openxmlformats.org/officeDocument/2006/relationships/hyperlink" Target="https://us3.assetplanner.com/service_request?ID=102012" TargetMode="External"/><Relationship Id="rId183" Type="http://schemas.openxmlformats.org/officeDocument/2006/relationships/hyperlink" Target="https://us3.assetplanner.com/service_request?ID=103689" TargetMode="External"/><Relationship Id="rId2" Type="http://schemas.openxmlformats.org/officeDocument/2006/relationships/hyperlink" Target="https://us3.assetplanner.com/service_request?ID=103558" TargetMode="External"/><Relationship Id="rId29" Type="http://schemas.openxmlformats.org/officeDocument/2006/relationships/hyperlink" Target="https://us3.assetplanner.com/service_request?ID=102436" TargetMode="External"/><Relationship Id="rId24" Type="http://schemas.openxmlformats.org/officeDocument/2006/relationships/hyperlink" Target="https://us3.assetplanner.com/service_request?ID=102920" TargetMode="External"/><Relationship Id="rId40" Type="http://schemas.openxmlformats.org/officeDocument/2006/relationships/hyperlink" Target="https://us3.assetplanner.com/service_request?ID=102506" TargetMode="External"/><Relationship Id="rId45" Type="http://schemas.openxmlformats.org/officeDocument/2006/relationships/hyperlink" Target="https://us3.assetplanner.com/service_request?ID=102460" TargetMode="External"/><Relationship Id="rId66" Type="http://schemas.openxmlformats.org/officeDocument/2006/relationships/hyperlink" Target="https://us3.assetplanner.com/service_request?ID=102335" TargetMode="External"/><Relationship Id="rId87" Type="http://schemas.openxmlformats.org/officeDocument/2006/relationships/hyperlink" Target="https://us3.assetplanner.com/service_request?ID=103167" TargetMode="External"/><Relationship Id="rId110" Type="http://schemas.openxmlformats.org/officeDocument/2006/relationships/hyperlink" Target="https://us3.assetplanner.com/service_request?ID=102889" TargetMode="External"/><Relationship Id="rId115" Type="http://schemas.openxmlformats.org/officeDocument/2006/relationships/hyperlink" Target="https://us3.assetplanner.com/service_request?ID=095624" TargetMode="External"/><Relationship Id="rId131" Type="http://schemas.openxmlformats.org/officeDocument/2006/relationships/hyperlink" Target="https://us3.assetplanner.com/service_request?ID=102747" TargetMode="External"/><Relationship Id="rId136" Type="http://schemas.openxmlformats.org/officeDocument/2006/relationships/hyperlink" Target="https://us3.assetplanner.com/service_request?ID=102212" TargetMode="External"/><Relationship Id="rId157" Type="http://schemas.openxmlformats.org/officeDocument/2006/relationships/hyperlink" Target="https://us3.assetplanner.com/service_request?ID=103641" TargetMode="External"/><Relationship Id="rId178" Type="http://schemas.openxmlformats.org/officeDocument/2006/relationships/hyperlink" Target="https://us3.assetplanner.com/service_request?ID=099473" TargetMode="External"/><Relationship Id="rId61" Type="http://schemas.openxmlformats.org/officeDocument/2006/relationships/hyperlink" Target="https://us3.assetplanner.com/service_request?ID=092964" TargetMode="External"/><Relationship Id="rId82" Type="http://schemas.openxmlformats.org/officeDocument/2006/relationships/hyperlink" Target="https://us3.assetplanner.com/service_request?ID=101820" TargetMode="External"/><Relationship Id="rId152" Type="http://schemas.openxmlformats.org/officeDocument/2006/relationships/hyperlink" Target="https://us3.assetplanner.com/service_request?ID=103361" TargetMode="External"/><Relationship Id="rId173" Type="http://schemas.openxmlformats.org/officeDocument/2006/relationships/hyperlink" Target="https://us3.assetplanner.com/service_request?ID=103541" TargetMode="External"/><Relationship Id="rId19" Type="http://schemas.openxmlformats.org/officeDocument/2006/relationships/hyperlink" Target="https://us3.assetplanner.com/service_request?ID=103116" TargetMode="External"/><Relationship Id="rId14" Type="http://schemas.openxmlformats.org/officeDocument/2006/relationships/hyperlink" Target="https://us3.assetplanner.com/service_request?ID=103259" TargetMode="External"/><Relationship Id="rId30" Type="http://schemas.openxmlformats.org/officeDocument/2006/relationships/hyperlink" Target="https://us3.assetplanner.com/service_request?ID=102437" TargetMode="External"/><Relationship Id="rId35" Type="http://schemas.openxmlformats.org/officeDocument/2006/relationships/hyperlink" Target="https://us3.assetplanner.com/service_request?ID=101620" TargetMode="External"/><Relationship Id="rId56" Type="http://schemas.openxmlformats.org/officeDocument/2006/relationships/hyperlink" Target="https://us3.assetplanner.com/service_request?ID=100625" TargetMode="External"/><Relationship Id="rId77" Type="http://schemas.openxmlformats.org/officeDocument/2006/relationships/hyperlink" Target="https://us3.assetplanner.com/service_request?ID=102298" TargetMode="External"/><Relationship Id="rId100" Type="http://schemas.openxmlformats.org/officeDocument/2006/relationships/hyperlink" Target="https://us3.assetplanner.com/service_request?ID=101152" TargetMode="External"/><Relationship Id="rId105" Type="http://schemas.openxmlformats.org/officeDocument/2006/relationships/hyperlink" Target="https://us3.assetplanner.com/service_request?ID=103570" TargetMode="External"/><Relationship Id="rId126" Type="http://schemas.openxmlformats.org/officeDocument/2006/relationships/hyperlink" Target="https://us3.assetplanner.com/service_request?ID=098692" TargetMode="External"/><Relationship Id="rId147" Type="http://schemas.openxmlformats.org/officeDocument/2006/relationships/hyperlink" Target="https://us3.assetplanner.com/service_request?ID=099791" TargetMode="External"/><Relationship Id="rId168" Type="http://schemas.openxmlformats.org/officeDocument/2006/relationships/hyperlink" Target="https://us3.assetplanner.com/service_request?ID=103214" TargetMode="External"/><Relationship Id="rId8" Type="http://schemas.openxmlformats.org/officeDocument/2006/relationships/hyperlink" Target="https://us3.assetplanner.com/service_request?ID=095666" TargetMode="External"/><Relationship Id="rId51" Type="http://schemas.openxmlformats.org/officeDocument/2006/relationships/hyperlink" Target="https://us3.assetplanner.com/service_request?ID=102665" TargetMode="External"/><Relationship Id="rId72" Type="http://schemas.openxmlformats.org/officeDocument/2006/relationships/hyperlink" Target="https://us3.assetplanner.com/service_request?ID=103260" TargetMode="External"/><Relationship Id="rId93" Type="http://schemas.openxmlformats.org/officeDocument/2006/relationships/hyperlink" Target="https://us3.assetplanner.com/service_request?ID=102380" TargetMode="External"/><Relationship Id="rId98" Type="http://schemas.openxmlformats.org/officeDocument/2006/relationships/hyperlink" Target="https://us3.assetplanner.com/service_request?ID=103366" TargetMode="External"/><Relationship Id="rId121" Type="http://schemas.openxmlformats.org/officeDocument/2006/relationships/hyperlink" Target="https://us3.assetplanner.com/service_request?ID=103685" TargetMode="External"/><Relationship Id="rId142" Type="http://schemas.openxmlformats.org/officeDocument/2006/relationships/hyperlink" Target="https://us3.assetplanner.com/service_request?ID=103457" TargetMode="External"/><Relationship Id="rId163" Type="http://schemas.openxmlformats.org/officeDocument/2006/relationships/hyperlink" Target="https://us3.assetplanner.com/service_request?ID=103076" TargetMode="External"/><Relationship Id="rId184" Type="http://schemas.openxmlformats.org/officeDocument/2006/relationships/hyperlink" Target="https://us3.assetplanner.com/service_request?ID=098693" TargetMode="External"/><Relationship Id="rId189" Type="http://schemas.openxmlformats.org/officeDocument/2006/relationships/hyperlink" Target="https://us3.assetplanner.com/service_request?ID=103737" TargetMode="External"/><Relationship Id="rId3" Type="http://schemas.openxmlformats.org/officeDocument/2006/relationships/hyperlink" Target="https://us3.assetplanner.com/service_request?ID=102435" TargetMode="External"/><Relationship Id="rId25" Type="http://schemas.openxmlformats.org/officeDocument/2006/relationships/hyperlink" Target="https://us3.assetplanner.com/service_request?ID=093326" TargetMode="External"/><Relationship Id="rId46" Type="http://schemas.openxmlformats.org/officeDocument/2006/relationships/hyperlink" Target="https://us3.assetplanner.com/service_request?ID=100623" TargetMode="External"/><Relationship Id="rId67" Type="http://schemas.openxmlformats.org/officeDocument/2006/relationships/hyperlink" Target="https://us3.assetplanner.com/service_request?ID=102682" TargetMode="External"/><Relationship Id="rId116" Type="http://schemas.openxmlformats.org/officeDocument/2006/relationships/hyperlink" Target="https://us3.assetplanner.com/service_request?ID=097725" TargetMode="External"/><Relationship Id="rId137" Type="http://schemas.openxmlformats.org/officeDocument/2006/relationships/hyperlink" Target="https://us3.assetplanner.com/service_request?ID=102640" TargetMode="External"/><Relationship Id="rId158" Type="http://schemas.openxmlformats.org/officeDocument/2006/relationships/hyperlink" Target="https://us3.assetplanner.com/service_request?ID=103805" TargetMode="External"/><Relationship Id="rId20" Type="http://schemas.openxmlformats.org/officeDocument/2006/relationships/hyperlink" Target="https://us3.assetplanner.com/service_request?ID=103569" TargetMode="External"/><Relationship Id="rId41" Type="http://schemas.openxmlformats.org/officeDocument/2006/relationships/hyperlink" Target="https://us3.assetplanner.com/service_request?ID=102821" TargetMode="External"/><Relationship Id="rId62" Type="http://schemas.openxmlformats.org/officeDocument/2006/relationships/hyperlink" Target="https://us3.assetplanner.com/service_request?ID=095253" TargetMode="External"/><Relationship Id="rId83" Type="http://schemas.openxmlformats.org/officeDocument/2006/relationships/hyperlink" Target="https://us3.assetplanner.com/service_request?ID=099347" TargetMode="External"/><Relationship Id="rId88" Type="http://schemas.openxmlformats.org/officeDocument/2006/relationships/hyperlink" Target="https://us3.assetplanner.com/service_request?ID=095109" TargetMode="External"/><Relationship Id="rId111" Type="http://schemas.openxmlformats.org/officeDocument/2006/relationships/hyperlink" Target="https://us3.assetplanner.com/service_request?ID=101082" TargetMode="External"/><Relationship Id="rId132" Type="http://schemas.openxmlformats.org/officeDocument/2006/relationships/hyperlink" Target="https://us3.assetplanner.com/service_request?ID=098860" TargetMode="External"/><Relationship Id="rId153" Type="http://schemas.openxmlformats.org/officeDocument/2006/relationships/hyperlink" Target="https://us3.assetplanner.com/service_request?ID=101940" TargetMode="External"/><Relationship Id="rId174" Type="http://schemas.openxmlformats.org/officeDocument/2006/relationships/hyperlink" Target="https://us3.assetplanner.com/service_request?ID=103547" TargetMode="External"/><Relationship Id="rId179" Type="http://schemas.openxmlformats.org/officeDocument/2006/relationships/hyperlink" Target="https://us3.assetplanner.com/service_request?ID=102805" TargetMode="External"/><Relationship Id="rId15" Type="http://schemas.openxmlformats.org/officeDocument/2006/relationships/hyperlink" Target="https://us3.assetplanner.com/service_request?ID=101786" TargetMode="External"/><Relationship Id="rId36" Type="http://schemas.openxmlformats.org/officeDocument/2006/relationships/hyperlink" Target="https://us3.assetplanner.com/service_request?ID=103015" TargetMode="External"/><Relationship Id="rId57" Type="http://schemas.openxmlformats.org/officeDocument/2006/relationships/hyperlink" Target="https://us3.assetplanner.com/service_request?ID=098866" TargetMode="External"/><Relationship Id="rId106" Type="http://schemas.openxmlformats.org/officeDocument/2006/relationships/hyperlink" Target="https://us3.assetplanner.com/service_request?ID=102601" TargetMode="External"/><Relationship Id="rId127" Type="http://schemas.openxmlformats.org/officeDocument/2006/relationships/hyperlink" Target="https://us3.assetplanner.com/service_request?ID=102638" TargetMode="External"/><Relationship Id="rId10" Type="http://schemas.openxmlformats.org/officeDocument/2006/relationships/hyperlink" Target="https://us3.assetplanner.com/service_request?ID=093292" TargetMode="External"/><Relationship Id="rId31" Type="http://schemas.openxmlformats.org/officeDocument/2006/relationships/hyperlink" Target="https://us3.assetplanner.com/service_request?ID=101354" TargetMode="External"/><Relationship Id="rId52" Type="http://schemas.openxmlformats.org/officeDocument/2006/relationships/hyperlink" Target="https://us3.assetplanner.com/service_request?ID=102427" TargetMode="External"/><Relationship Id="rId73" Type="http://schemas.openxmlformats.org/officeDocument/2006/relationships/hyperlink" Target="https://us3.assetplanner.com/service_request?ID=103266" TargetMode="External"/><Relationship Id="rId78" Type="http://schemas.openxmlformats.org/officeDocument/2006/relationships/hyperlink" Target="https://us3.assetplanner.com/service_request?ID=103256" TargetMode="External"/><Relationship Id="rId94" Type="http://schemas.openxmlformats.org/officeDocument/2006/relationships/hyperlink" Target="https://us3.assetplanner.com/service_request?ID=102984" TargetMode="External"/><Relationship Id="rId99" Type="http://schemas.openxmlformats.org/officeDocument/2006/relationships/hyperlink" Target="https://us3.assetplanner.com/service_request?ID=103366" TargetMode="External"/><Relationship Id="rId101" Type="http://schemas.openxmlformats.org/officeDocument/2006/relationships/hyperlink" Target="https://us3.assetplanner.com/service_request?ID=103760" TargetMode="External"/><Relationship Id="rId122" Type="http://schemas.openxmlformats.org/officeDocument/2006/relationships/hyperlink" Target="https://us3.assetplanner.com/service_request?ID=102664" TargetMode="External"/><Relationship Id="rId143" Type="http://schemas.openxmlformats.org/officeDocument/2006/relationships/hyperlink" Target="https://us3.assetplanner.com/service_request?ID=095946" TargetMode="External"/><Relationship Id="rId148" Type="http://schemas.openxmlformats.org/officeDocument/2006/relationships/hyperlink" Target="https://us3.assetplanner.com/service_request?ID=099792" TargetMode="External"/><Relationship Id="rId164" Type="http://schemas.openxmlformats.org/officeDocument/2006/relationships/hyperlink" Target="https://us3.assetplanner.com/service_request?ID=097816" TargetMode="External"/><Relationship Id="rId169" Type="http://schemas.openxmlformats.org/officeDocument/2006/relationships/hyperlink" Target="https://us3.assetplanner.com/service_request?ID=101228" TargetMode="External"/><Relationship Id="rId185" Type="http://schemas.openxmlformats.org/officeDocument/2006/relationships/hyperlink" Target="https://us3.assetplanner.com/service_request?ID=103313" TargetMode="External"/><Relationship Id="rId4" Type="http://schemas.openxmlformats.org/officeDocument/2006/relationships/hyperlink" Target="https://us3.assetplanner.com/service_request?ID=093289" TargetMode="External"/><Relationship Id="rId9" Type="http://schemas.openxmlformats.org/officeDocument/2006/relationships/hyperlink" Target="https://us3.assetplanner.com/service_request?ID=102970" TargetMode="External"/><Relationship Id="rId180" Type="http://schemas.openxmlformats.org/officeDocument/2006/relationships/hyperlink" Target="https://us3.assetplanner.com/service_request?ID=103193" TargetMode="External"/><Relationship Id="rId26" Type="http://schemas.openxmlformats.org/officeDocument/2006/relationships/hyperlink" Target="https://us3.assetplanner.com/service_request?ID=096294" TargetMode="External"/><Relationship Id="rId47" Type="http://schemas.openxmlformats.org/officeDocument/2006/relationships/hyperlink" Target="https://us3.assetplanner.com/service_request?ID=099149" TargetMode="External"/><Relationship Id="rId68" Type="http://schemas.openxmlformats.org/officeDocument/2006/relationships/hyperlink" Target="https://us3.assetplanner.com/service_request?ID=102682" TargetMode="External"/><Relationship Id="rId89" Type="http://schemas.openxmlformats.org/officeDocument/2006/relationships/hyperlink" Target="https://us3.assetplanner.com/service_request?ID=102378" TargetMode="External"/><Relationship Id="rId112" Type="http://schemas.openxmlformats.org/officeDocument/2006/relationships/hyperlink" Target="https://us3.assetplanner.com/service_request?ID=101848" TargetMode="External"/><Relationship Id="rId133" Type="http://schemas.openxmlformats.org/officeDocument/2006/relationships/hyperlink" Target="https://us3.assetplanner.com/service_request?ID=097454" TargetMode="External"/><Relationship Id="rId154" Type="http://schemas.openxmlformats.org/officeDocument/2006/relationships/hyperlink" Target="https://us3.assetplanner.com/service_request?ID=100587" TargetMode="External"/><Relationship Id="rId175" Type="http://schemas.openxmlformats.org/officeDocument/2006/relationships/hyperlink" Target="https://us3.assetplanner.com/service_request?ID=098066" TargetMode="External"/><Relationship Id="rId16" Type="http://schemas.openxmlformats.org/officeDocument/2006/relationships/hyperlink" Target="https://us3.assetplanner.com/service_request?ID=102672" TargetMode="External"/><Relationship Id="rId37" Type="http://schemas.openxmlformats.org/officeDocument/2006/relationships/hyperlink" Target="https://us3.assetplanner.com/service_request?ID=103150" TargetMode="External"/><Relationship Id="rId58" Type="http://schemas.openxmlformats.org/officeDocument/2006/relationships/hyperlink" Target="https://us3.assetplanner.com/service_request?ID=098998" TargetMode="External"/><Relationship Id="rId79" Type="http://schemas.openxmlformats.org/officeDocument/2006/relationships/hyperlink" Target="https://us3.assetplanner.com/service_request?ID=103314" TargetMode="External"/><Relationship Id="rId102" Type="http://schemas.openxmlformats.org/officeDocument/2006/relationships/hyperlink" Target="https://us3.assetplanner.com/service_request?ID=103174" TargetMode="External"/><Relationship Id="rId123" Type="http://schemas.openxmlformats.org/officeDocument/2006/relationships/hyperlink" Target="https://us3.assetplanner.com/service_request?ID=103019" TargetMode="External"/><Relationship Id="rId144" Type="http://schemas.openxmlformats.org/officeDocument/2006/relationships/hyperlink" Target="https://us3.assetplanner.com/service_request?ID=103482" TargetMode="External"/><Relationship Id="rId90" Type="http://schemas.openxmlformats.org/officeDocument/2006/relationships/hyperlink" Target="https://us3.assetplanner.com/service_request?ID=102995" TargetMode="External"/><Relationship Id="rId165" Type="http://schemas.openxmlformats.org/officeDocument/2006/relationships/hyperlink" Target="https://us3.assetplanner.com/service_request?ID=101645" TargetMode="External"/><Relationship Id="rId186" Type="http://schemas.openxmlformats.org/officeDocument/2006/relationships/hyperlink" Target="https://us3.assetplanner.com/service_request?ID=103353" TargetMode="External"/><Relationship Id="rId27" Type="http://schemas.openxmlformats.org/officeDocument/2006/relationships/hyperlink" Target="https://us3.assetplanner.com/service_request?ID=095662" TargetMode="External"/><Relationship Id="rId48" Type="http://schemas.openxmlformats.org/officeDocument/2006/relationships/hyperlink" Target="https://us3.assetplanner.com/service_request?ID=101482" TargetMode="External"/><Relationship Id="rId69" Type="http://schemas.openxmlformats.org/officeDocument/2006/relationships/hyperlink" Target="https://us3.assetplanner.com/service_request?ID=103181" TargetMode="External"/><Relationship Id="rId113" Type="http://schemas.openxmlformats.org/officeDocument/2006/relationships/hyperlink" Target="https://us3.assetplanner.com/service_request?ID=103374" TargetMode="External"/><Relationship Id="rId134" Type="http://schemas.openxmlformats.org/officeDocument/2006/relationships/hyperlink" Target="https://us3.assetplanner.com/service_request?ID=099118" TargetMode="External"/><Relationship Id="rId80" Type="http://schemas.openxmlformats.org/officeDocument/2006/relationships/hyperlink" Target="https://us3.assetplanner.com/service_request?ID=103671" TargetMode="External"/><Relationship Id="rId155" Type="http://schemas.openxmlformats.org/officeDocument/2006/relationships/hyperlink" Target="https://us3.assetplanner.com/service_request?ID=103188" TargetMode="External"/><Relationship Id="rId176" Type="http://schemas.openxmlformats.org/officeDocument/2006/relationships/hyperlink" Target="https://us3.assetplanner.com/service_request?ID=099545" TargetMode="External"/><Relationship Id="rId17" Type="http://schemas.openxmlformats.org/officeDocument/2006/relationships/hyperlink" Target="https://us3.assetplanner.com/service_request?ID=102532" TargetMode="External"/><Relationship Id="rId38" Type="http://schemas.openxmlformats.org/officeDocument/2006/relationships/hyperlink" Target="https://us3.assetplanner.com/service_request?ID=101620" TargetMode="External"/><Relationship Id="rId59" Type="http://schemas.openxmlformats.org/officeDocument/2006/relationships/hyperlink" Target="https://us3.assetplanner.com/service_request?ID=100373" TargetMode="External"/><Relationship Id="rId103" Type="http://schemas.openxmlformats.org/officeDocument/2006/relationships/hyperlink" Target="https://us3.assetplanner.com/service_request?ID=103321" TargetMode="External"/><Relationship Id="rId124" Type="http://schemas.openxmlformats.org/officeDocument/2006/relationships/hyperlink" Target="https://us3.assetplanner.com/service_request?ID=103279" TargetMode="External"/><Relationship Id="rId70" Type="http://schemas.openxmlformats.org/officeDocument/2006/relationships/hyperlink" Target="https://us3.assetplanner.com/service_request?ID=102996" TargetMode="External"/><Relationship Id="rId91" Type="http://schemas.openxmlformats.org/officeDocument/2006/relationships/hyperlink" Target="https://us3.assetplanner.com/service_request?ID=103080" TargetMode="External"/><Relationship Id="rId145" Type="http://schemas.openxmlformats.org/officeDocument/2006/relationships/hyperlink" Target="https://us3.assetplanner.com/service_request?ID=099930" TargetMode="External"/><Relationship Id="rId166" Type="http://schemas.openxmlformats.org/officeDocument/2006/relationships/hyperlink" Target="https://us3.assetplanner.com/service_request?ID=100609" TargetMode="External"/><Relationship Id="rId187" Type="http://schemas.openxmlformats.org/officeDocument/2006/relationships/hyperlink" Target="https://us3.assetplanner.com/service_request?ID=103559" TargetMode="External"/><Relationship Id="rId1" Type="http://schemas.openxmlformats.org/officeDocument/2006/relationships/hyperlink" Target="https://us3.assetplanner.com/service_request?ID=103460" TargetMode="External"/><Relationship Id="rId28" Type="http://schemas.openxmlformats.org/officeDocument/2006/relationships/hyperlink" Target="https://us3.assetplanner.com/service_request?ID=103568" TargetMode="External"/><Relationship Id="rId49" Type="http://schemas.openxmlformats.org/officeDocument/2006/relationships/hyperlink" Target="https://us3.assetplanner.com/service_request?ID=102219" TargetMode="External"/><Relationship Id="rId114" Type="http://schemas.openxmlformats.org/officeDocument/2006/relationships/hyperlink" Target="https://us3.assetplanner.com/service_request?ID=101915" TargetMode="External"/><Relationship Id="rId60" Type="http://schemas.openxmlformats.org/officeDocument/2006/relationships/hyperlink" Target="https://us3.assetplanner.com/service_request?ID=103651" TargetMode="External"/><Relationship Id="rId81" Type="http://schemas.openxmlformats.org/officeDocument/2006/relationships/hyperlink" Target="https://us3.assetplanner.com/service_request?ID=103671" TargetMode="External"/><Relationship Id="rId135" Type="http://schemas.openxmlformats.org/officeDocument/2006/relationships/hyperlink" Target="https://us3.assetplanner.com/service_request?ID=103367" TargetMode="External"/><Relationship Id="rId156" Type="http://schemas.openxmlformats.org/officeDocument/2006/relationships/hyperlink" Target="https://us3.assetplanner.com/service_request?ID=102888" TargetMode="External"/><Relationship Id="rId177" Type="http://schemas.openxmlformats.org/officeDocument/2006/relationships/hyperlink" Target="https://us3.assetplanner.com/service_request?ID=103643" TargetMode="External"/></Relationships>
</file>

<file path=xl/worksheets/_rels/sheet12.xml.rels><?xml version="1.0" encoding="UTF-8" standalone="yes"?>
<Relationships xmlns="http://schemas.openxmlformats.org/package/2006/relationships"><Relationship Id="rId117" Type="http://schemas.openxmlformats.org/officeDocument/2006/relationships/hyperlink" Target="https://us3.assetplanner.com/service_request?ID=104727" TargetMode="External"/><Relationship Id="rId21" Type="http://schemas.openxmlformats.org/officeDocument/2006/relationships/hyperlink" Target="https://us3.assetplanner.com/service_request?ID=088282" TargetMode="External"/><Relationship Id="rId42" Type="http://schemas.openxmlformats.org/officeDocument/2006/relationships/hyperlink" Target="https://us3.assetplanner.com/service_request?ID=104128" TargetMode="External"/><Relationship Id="rId63" Type="http://schemas.openxmlformats.org/officeDocument/2006/relationships/hyperlink" Target="https://us3.assetplanner.com/service_request?ID=105211" TargetMode="External"/><Relationship Id="rId84" Type="http://schemas.openxmlformats.org/officeDocument/2006/relationships/hyperlink" Target="https://us3.assetplanner.com/service_request?ID=101820" TargetMode="External"/><Relationship Id="rId138" Type="http://schemas.openxmlformats.org/officeDocument/2006/relationships/hyperlink" Target="https://us3.assetplanner.com/service_request?ID=104920" TargetMode="External"/><Relationship Id="rId159" Type="http://schemas.openxmlformats.org/officeDocument/2006/relationships/hyperlink" Target="https://us3.assetplanner.com/service_request?ID=103361" TargetMode="External"/><Relationship Id="rId170" Type="http://schemas.openxmlformats.org/officeDocument/2006/relationships/hyperlink" Target="https://us3.assetplanner.com/service_request?ID=104007" TargetMode="External"/><Relationship Id="rId107" Type="http://schemas.openxmlformats.org/officeDocument/2006/relationships/hyperlink" Target="https://us3.assetplanner.com/service_request?ID=103760" TargetMode="External"/><Relationship Id="rId11" Type="http://schemas.openxmlformats.org/officeDocument/2006/relationships/hyperlink" Target="https://us3.assetplanner.com/service_request?ID=093294" TargetMode="External"/><Relationship Id="rId32" Type="http://schemas.openxmlformats.org/officeDocument/2006/relationships/hyperlink" Target="https://us3.assetplanner.com/service_request?ID=103568" TargetMode="External"/><Relationship Id="rId53" Type="http://schemas.openxmlformats.org/officeDocument/2006/relationships/hyperlink" Target="https://us3.assetplanner.com/service_request?ID=104609" TargetMode="External"/><Relationship Id="rId74" Type="http://schemas.openxmlformats.org/officeDocument/2006/relationships/hyperlink" Target="https://us3.assetplanner.com/service_request?ID=104208" TargetMode="External"/><Relationship Id="rId128" Type="http://schemas.openxmlformats.org/officeDocument/2006/relationships/hyperlink" Target="https://us3.assetplanner.com/service_request?ID=101947" TargetMode="External"/><Relationship Id="rId149" Type="http://schemas.openxmlformats.org/officeDocument/2006/relationships/hyperlink" Target="https://us3.assetplanner.com/service_request?ID=104600" TargetMode="External"/><Relationship Id="rId5" Type="http://schemas.openxmlformats.org/officeDocument/2006/relationships/hyperlink" Target="https://us3.assetplanner.com/service_request?ID=102535" TargetMode="External"/><Relationship Id="rId95" Type="http://schemas.openxmlformats.org/officeDocument/2006/relationships/hyperlink" Target="https://us3.assetplanner.com/service_request?ID=095109" TargetMode="External"/><Relationship Id="rId160" Type="http://schemas.openxmlformats.org/officeDocument/2006/relationships/hyperlink" Target="https://us3.assetplanner.com/service_request?ID=103641" TargetMode="External"/><Relationship Id="rId181" Type="http://schemas.openxmlformats.org/officeDocument/2006/relationships/hyperlink" Target="https://us3.assetplanner.com/service_request?ID=103988" TargetMode="External"/><Relationship Id="rId22" Type="http://schemas.openxmlformats.org/officeDocument/2006/relationships/hyperlink" Target="https://us3.assetplanner.com/service_request?ID=104430" TargetMode="External"/><Relationship Id="rId43" Type="http://schemas.openxmlformats.org/officeDocument/2006/relationships/hyperlink" Target="https://us3.assetplanner.com/service_request?ID=102506" TargetMode="External"/><Relationship Id="rId64" Type="http://schemas.openxmlformats.org/officeDocument/2006/relationships/hyperlink" Target="https://us3.assetplanner.com/service_request?ID=103260" TargetMode="External"/><Relationship Id="rId118" Type="http://schemas.openxmlformats.org/officeDocument/2006/relationships/hyperlink" Target="https://us3.assetplanner.com/service_request?ID=104138" TargetMode="External"/><Relationship Id="rId139" Type="http://schemas.openxmlformats.org/officeDocument/2006/relationships/hyperlink" Target="https://us3.assetplanner.com/service_request?ID=104335" TargetMode="External"/><Relationship Id="rId85" Type="http://schemas.openxmlformats.org/officeDocument/2006/relationships/hyperlink" Target="https://us3.assetplanner.com/service_request?ID=099347" TargetMode="External"/><Relationship Id="rId150" Type="http://schemas.openxmlformats.org/officeDocument/2006/relationships/hyperlink" Target="https://us3.assetplanner.com/service_request?ID=104850" TargetMode="External"/><Relationship Id="rId171" Type="http://schemas.openxmlformats.org/officeDocument/2006/relationships/hyperlink" Target="https://us3.assetplanner.com/service_request?ID=103880" TargetMode="External"/><Relationship Id="rId12" Type="http://schemas.openxmlformats.org/officeDocument/2006/relationships/hyperlink" Target="https://us3.assetplanner.com/service_request?ID=104856" TargetMode="External"/><Relationship Id="rId33" Type="http://schemas.openxmlformats.org/officeDocument/2006/relationships/hyperlink" Target="https://us3.assetplanner.com/service_request?ID=105209" TargetMode="External"/><Relationship Id="rId108" Type="http://schemas.openxmlformats.org/officeDocument/2006/relationships/hyperlink" Target="https://us3.assetplanner.com/service_request?ID=103538" TargetMode="External"/><Relationship Id="rId129" Type="http://schemas.openxmlformats.org/officeDocument/2006/relationships/hyperlink" Target="https://us3.assetplanner.com/service_request?ID=102015" TargetMode="External"/><Relationship Id="rId54" Type="http://schemas.openxmlformats.org/officeDocument/2006/relationships/hyperlink" Target="https://us3.assetplanner.com/service_request?ID=093024" TargetMode="External"/><Relationship Id="rId75" Type="http://schemas.openxmlformats.org/officeDocument/2006/relationships/hyperlink" Target="https://us3.assetplanner.com/service_request?ID=104370" TargetMode="External"/><Relationship Id="rId96" Type="http://schemas.openxmlformats.org/officeDocument/2006/relationships/hyperlink" Target="https://us3.assetplanner.com/service_request?ID=105216" TargetMode="External"/><Relationship Id="rId140" Type="http://schemas.openxmlformats.org/officeDocument/2006/relationships/hyperlink" Target="https://us3.assetplanner.com/service_request?ID=104540" TargetMode="External"/><Relationship Id="rId161" Type="http://schemas.openxmlformats.org/officeDocument/2006/relationships/hyperlink" Target="https://us3.assetplanner.com/service_request?ID=103805" TargetMode="External"/><Relationship Id="rId182" Type="http://schemas.openxmlformats.org/officeDocument/2006/relationships/hyperlink" Target="https://us3.assetplanner.com/service_request?ID=104286" TargetMode="External"/><Relationship Id="rId6" Type="http://schemas.openxmlformats.org/officeDocument/2006/relationships/hyperlink" Target="https://us3.assetplanner.com/service_request?ID=093291" TargetMode="External"/><Relationship Id="rId23" Type="http://schemas.openxmlformats.org/officeDocument/2006/relationships/hyperlink" Target="https://us3.assetplanner.com/service_request?ID=103569" TargetMode="External"/><Relationship Id="rId119" Type="http://schemas.openxmlformats.org/officeDocument/2006/relationships/hyperlink" Target="https://us3.assetplanner.com/service_request?ID=104422" TargetMode="External"/><Relationship Id="rId44" Type="http://schemas.openxmlformats.org/officeDocument/2006/relationships/hyperlink" Target="https://us3.assetplanner.com/service_request?ID=103185" TargetMode="External"/><Relationship Id="rId65" Type="http://schemas.openxmlformats.org/officeDocument/2006/relationships/hyperlink" Target="https://us3.assetplanner.com/service_request?ID=103257" TargetMode="External"/><Relationship Id="rId86" Type="http://schemas.openxmlformats.org/officeDocument/2006/relationships/hyperlink" Target="https://us3.assetplanner.com/service_request?ID=103655" TargetMode="External"/><Relationship Id="rId130" Type="http://schemas.openxmlformats.org/officeDocument/2006/relationships/hyperlink" Target="https://us3.assetplanner.com/service_request?ID=105108" TargetMode="External"/><Relationship Id="rId151" Type="http://schemas.openxmlformats.org/officeDocument/2006/relationships/hyperlink" Target="https://us3.assetplanner.com/service_request?ID=103457" TargetMode="External"/><Relationship Id="rId172" Type="http://schemas.openxmlformats.org/officeDocument/2006/relationships/hyperlink" Target="https://us3.assetplanner.com/service_request?ID=104002" TargetMode="External"/><Relationship Id="rId13" Type="http://schemas.openxmlformats.org/officeDocument/2006/relationships/hyperlink" Target="https://us3.assetplanner.com/service_request?ID=099824" TargetMode="External"/><Relationship Id="rId18" Type="http://schemas.openxmlformats.org/officeDocument/2006/relationships/hyperlink" Target="https://us3.assetplanner.com/service_request?ID=093236" TargetMode="External"/><Relationship Id="rId39" Type="http://schemas.openxmlformats.org/officeDocument/2006/relationships/hyperlink" Target="https://us3.assetplanner.com/service_request?ID=104398" TargetMode="External"/><Relationship Id="rId109" Type="http://schemas.openxmlformats.org/officeDocument/2006/relationships/hyperlink" Target="https://us3.assetplanner.com/service_request?ID=103538" TargetMode="External"/><Relationship Id="rId34" Type="http://schemas.openxmlformats.org/officeDocument/2006/relationships/hyperlink" Target="https://us3.assetplanner.com/service_request?ID=104744" TargetMode="External"/><Relationship Id="rId50" Type="http://schemas.openxmlformats.org/officeDocument/2006/relationships/hyperlink" Target="https://us3.assetplanner.com/service_request?ID=104001" TargetMode="External"/><Relationship Id="rId55" Type="http://schemas.openxmlformats.org/officeDocument/2006/relationships/hyperlink" Target="https://us3.assetplanner.com/service_request?ID=098866" TargetMode="External"/><Relationship Id="rId76" Type="http://schemas.openxmlformats.org/officeDocument/2006/relationships/hyperlink" Target="https://us3.assetplanner.com/service_request?ID=104371" TargetMode="External"/><Relationship Id="rId97" Type="http://schemas.openxmlformats.org/officeDocument/2006/relationships/hyperlink" Target="https://us3.assetplanner.com/service_request?ID=105218" TargetMode="External"/><Relationship Id="rId104" Type="http://schemas.openxmlformats.org/officeDocument/2006/relationships/hyperlink" Target="https://us3.assetplanner.com/service_request?ID=104455" TargetMode="External"/><Relationship Id="rId120" Type="http://schemas.openxmlformats.org/officeDocument/2006/relationships/hyperlink" Target="https://us3.assetplanner.com/service_request?ID=104601" TargetMode="External"/><Relationship Id="rId125" Type="http://schemas.openxmlformats.org/officeDocument/2006/relationships/hyperlink" Target="https://us3.assetplanner.com/service_request?ID=104075" TargetMode="External"/><Relationship Id="rId141" Type="http://schemas.openxmlformats.org/officeDocument/2006/relationships/hyperlink" Target="https://us3.assetplanner.com/service_request?ID=098860" TargetMode="External"/><Relationship Id="rId146" Type="http://schemas.openxmlformats.org/officeDocument/2006/relationships/hyperlink" Target="https://us3.assetplanner.com/service_request?ID=103852" TargetMode="External"/><Relationship Id="rId167" Type="http://schemas.openxmlformats.org/officeDocument/2006/relationships/hyperlink" Target="https://us3.assetplanner.com/service_request?ID=104168" TargetMode="External"/><Relationship Id="rId7" Type="http://schemas.openxmlformats.org/officeDocument/2006/relationships/hyperlink" Target="https://us3.assetplanner.com/service_request?ID=104754" TargetMode="External"/><Relationship Id="rId71" Type="http://schemas.openxmlformats.org/officeDocument/2006/relationships/hyperlink" Target="https://us3.assetplanner.com/service_request?ID=104208" TargetMode="External"/><Relationship Id="rId92" Type="http://schemas.openxmlformats.org/officeDocument/2006/relationships/hyperlink" Target="https://us3.assetplanner.com/service_request?ID=105225" TargetMode="External"/><Relationship Id="rId162" Type="http://schemas.openxmlformats.org/officeDocument/2006/relationships/hyperlink" Target="https://us3.assetplanner.com/service_request?ID=103246" TargetMode="External"/><Relationship Id="rId183" Type="http://schemas.openxmlformats.org/officeDocument/2006/relationships/hyperlink" Target="https://us3.assetplanner.com/service_request?ID=098693" TargetMode="External"/><Relationship Id="rId2" Type="http://schemas.openxmlformats.org/officeDocument/2006/relationships/hyperlink" Target="https://us3.assetplanner.com/service_request?ID=102473" TargetMode="External"/><Relationship Id="rId29" Type="http://schemas.openxmlformats.org/officeDocument/2006/relationships/hyperlink" Target="https://us3.assetplanner.com/service_request?ID=093327" TargetMode="External"/><Relationship Id="rId24" Type="http://schemas.openxmlformats.org/officeDocument/2006/relationships/hyperlink" Target="https://us3.assetplanner.com/service_request?ID=088813" TargetMode="External"/><Relationship Id="rId40" Type="http://schemas.openxmlformats.org/officeDocument/2006/relationships/hyperlink" Target="https://us3.assetplanner.com/service_request?ID=098641" TargetMode="External"/><Relationship Id="rId45" Type="http://schemas.openxmlformats.org/officeDocument/2006/relationships/hyperlink" Target="https://us3.assetplanner.com/service_request?ID=102919" TargetMode="External"/><Relationship Id="rId66" Type="http://schemas.openxmlformats.org/officeDocument/2006/relationships/hyperlink" Target="https://us3.assetplanner.com/service_request?ID=102335" TargetMode="External"/><Relationship Id="rId87" Type="http://schemas.openxmlformats.org/officeDocument/2006/relationships/hyperlink" Target="https://us3.assetplanner.com/service_request?ID=103990" TargetMode="External"/><Relationship Id="rId110" Type="http://schemas.openxmlformats.org/officeDocument/2006/relationships/hyperlink" Target="https://us3.assetplanner.com/service_request?ID=104184" TargetMode="External"/><Relationship Id="rId115" Type="http://schemas.openxmlformats.org/officeDocument/2006/relationships/hyperlink" Target="https://us3.assetplanner.com/service_request?ID=104691" TargetMode="External"/><Relationship Id="rId131" Type="http://schemas.openxmlformats.org/officeDocument/2006/relationships/hyperlink" Target="https://us3.assetplanner.com/service_request?ID=103685" TargetMode="External"/><Relationship Id="rId136" Type="http://schemas.openxmlformats.org/officeDocument/2006/relationships/hyperlink" Target="https://us3.assetplanner.com/service_request?ID=104341" TargetMode="External"/><Relationship Id="rId157" Type="http://schemas.openxmlformats.org/officeDocument/2006/relationships/hyperlink" Target="https://us3.assetplanner.com/service_request?ID=103871" TargetMode="External"/><Relationship Id="rId178" Type="http://schemas.openxmlformats.org/officeDocument/2006/relationships/hyperlink" Target="https://us3.assetplanner.com/service_request?ID=104020" TargetMode="External"/><Relationship Id="rId61" Type="http://schemas.openxmlformats.org/officeDocument/2006/relationships/hyperlink" Target="https://us3.assetplanner.com/service_request?ID=095253" TargetMode="External"/><Relationship Id="rId82" Type="http://schemas.openxmlformats.org/officeDocument/2006/relationships/hyperlink" Target="https://us3.assetplanner.com/service_request?ID=103671" TargetMode="External"/><Relationship Id="rId152" Type="http://schemas.openxmlformats.org/officeDocument/2006/relationships/hyperlink" Target="https://us3.assetplanner.com/service_request?ID=103482" TargetMode="External"/><Relationship Id="rId173" Type="http://schemas.openxmlformats.org/officeDocument/2006/relationships/hyperlink" Target="https://us3.assetplanner.com/service_request?ID=105114" TargetMode="External"/><Relationship Id="rId19" Type="http://schemas.openxmlformats.org/officeDocument/2006/relationships/hyperlink" Target="https://us3.assetplanner.com/service_request?ID=102532" TargetMode="External"/><Relationship Id="rId14" Type="http://schemas.openxmlformats.org/officeDocument/2006/relationships/hyperlink" Target="https://us3.assetplanner.com/service_request?ID=104039" TargetMode="External"/><Relationship Id="rId30" Type="http://schemas.openxmlformats.org/officeDocument/2006/relationships/hyperlink" Target="https://us3.assetplanner.com/service_request?ID=096294" TargetMode="External"/><Relationship Id="rId35" Type="http://schemas.openxmlformats.org/officeDocument/2006/relationships/hyperlink" Target="https://us3.assetplanner.com/service_request?ID=101910" TargetMode="External"/><Relationship Id="rId56" Type="http://schemas.openxmlformats.org/officeDocument/2006/relationships/hyperlink" Target="https://us3.assetplanner.com/service_request?ID=098998" TargetMode="External"/><Relationship Id="rId77" Type="http://schemas.openxmlformats.org/officeDocument/2006/relationships/hyperlink" Target="https://us3.assetplanner.com/service_request?ID=104594" TargetMode="External"/><Relationship Id="rId100" Type="http://schemas.openxmlformats.org/officeDocument/2006/relationships/hyperlink" Target="https://us3.assetplanner.com/service_request?ID=105110" TargetMode="External"/><Relationship Id="rId105" Type="http://schemas.openxmlformats.org/officeDocument/2006/relationships/hyperlink" Target="https://us3.assetplanner.com/service_request?ID=095073" TargetMode="External"/><Relationship Id="rId126" Type="http://schemas.openxmlformats.org/officeDocument/2006/relationships/hyperlink" Target="https://us3.assetplanner.com/service_request?ID=103943" TargetMode="External"/><Relationship Id="rId147" Type="http://schemas.openxmlformats.org/officeDocument/2006/relationships/hyperlink" Target="https://us3.assetplanner.com/service_request?ID=104141" TargetMode="External"/><Relationship Id="rId168" Type="http://schemas.openxmlformats.org/officeDocument/2006/relationships/hyperlink" Target="https://us3.assetplanner.com/service_request?ID=104538" TargetMode="External"/><Relationship Id="rId8" Type="http://schemas.openxmlformats.org/officeDocument/2006/relationships/hyperlink" Target="https://us3.assetplanner.com/service_request?ID=102970" TargetMode="External"/><Relationship Id="rId51" Type="http://schemas.openxmlformats.org/officeDocument/2006/relationships/hyperlink" Target="https://us3.assetplanner.com/service_request?ID=099403" TargetMode="External"/><Relationship Id="rId72" Type="http://schemas.openxmlformats.org/officeDocument/2006/relationships/hyperlink" Target="https://us3.assetplanner.com/service_request?ID=103257" TargetMode="External"/><Relationship Id="rId93" Type="http://schemas.openxmlformats.org/officeDocument/2006/relationships/hyperlink" Target="https://us3.assetplanner.com/service_request?ID=105226" TargetMode="External"/><Relationship Id="rId98" Type="http://schemas.openxmlformats.org/officeDocument/2006/relationships/hyperlink" Target="https://us3.assetplanner.com/service_request?ID=104383" TargetMode="External"/><Relationship Id="rId121" Type="http://schemas.openxmlformats.org/officeDocument/2006/relationships/hyperlink" Target="https://us3.assetplanner.com/service_request?ID=104708" TargetMode="External"/><Relationship Id="rId142" Type="http://schemas.openxmlformats.org/officeDocument/2006/relationships/hyperlink" Target="https://us3.assetplanner.com/service_request?ID=104541" TargetMode="External"/><Relationship Id="rId163" Type="http://schemas.openxmlformats.org/officeDocument/2006/relationships/hyperlink" Target="https://us3.assetplanner.com/service_request?ID=100220" TargetMode="External"/><Relationship Id="rId184" Type="http://schemas.openxmlformats.org/officeDocument/2006/relationships/hyperlink" Target="https://us3.assetplanner.com/service_request?ID=104015" TargetMode="External"/><Relationship Id="rId3" Type="http://schemas.openxmlformats.org/officeDocument/2006/relationships/hyperlink" Target="https://us3.assetplanner.com/service_request?ID=103360" TargetMode="External"/><Relationship Id="rId25" Type="http://schemas.openxmlformats.org/officeDocument/2006/relationships/hyperlink" Target="https://us3.assetplanner.com/service_request?ID=104342" TargetMode="External"/><Relationship Id="rId46" Type="http://schemas.openxmlformats.org/officeDocument/2006/relationships/hyperlink" Target="https://us3.assetplanner.com/service_request?ID=103185" TargetMode="External"/><Relationship Id="rId67" Type="http://schemas.openxmlformats.org/officeDocument/2006/relationships/hyperlink" Target="https://us3.assetplanner.com/service_request?ID=102682" TargetMode="External"/><Relationship Id="rId116" Type="http://schemas.openxmlformats.org/officeDocument/2006/relationships/hyperlink" Target="https://us3.assetplanner.com/service_request?ID=102328" TargetMode="External"/><Relationship Id="rId137" Type="http://schemas.openxmlformats.org/officeDocument/2006/relationships/hyperlink" Target="https://us3.assetplanner.com/service_request?ID=104445" TargetMode="External"/><Relationship Id="rId158" Type="http://schemas.openxmlformats.org/officeDocument/2006/relationships/hyperlink" Target="https://us3.assetplanner.com/service_request?ID=104959" TargetMode="External"/><Relationship Id="rId20" Type="http://schemas.openxmlformats.org/officeDocument/2006/relationships/hyperlink" Target="https://us3.assetplanner.com/service_request?ID=102533" TargetMode="External"/><Relationship Id="rId41" Type="http://schemas.openxmlformats.org/officeDocument/2006/relationships/hyperlink" Target="https://us3.assetplanner.com/service_request?ID=103150" TargetMode="External"/><Relationship Id="rId62" Type="http://schemas.openxmlformats.org/officeDocument/2006/relationships/hyperlink" Target="https://us3.assetplanner.com/service_request?ID=098877" TargetMode="External"/><Relationship Id="rId83" Type="http://schemas.openxmlformats.org/officeDocument/2006/relationships/hyperlink" Target="https://us3.assetplanner.com/service_request?ID=103452" TargetMode="External"/><Relationship Id="rId88" Type="http://schemas.openxmlformats.org/officeDocument/2006/relationships/hyperlink" Target="https://us3.assetplanner.com/service_request?ID=104624" TargetMode="External"/><Relationship Id="rId111" Type="http://schemas.openxmlformats.org/officeDocument/2006/relationships/hyperlink" Target="https://us3.assetplanner.com/service_request?ID=104018" TargetMode="External"/><Relationship Id="rId132" Type="http://schemas.openxmlformats.org/officeDocument/2006/relationships/hyperlink" Target="https://us3.assetplanner.com/service_request?ID=104120" TargetMode="External"/><Relationship Id="rId153" Type="http://schemas.openxmlformats.org/officeDocument/2006/relationships/hyperlink" Target="https://us3.assetplanner.com/service_request?ID=105122" TargetMode="External"/><Relationship Id="rId174" Type="http://schemas.openxmlformats.org/officeDocument/2006/relationships/hyperlink" Target="https://us3.assetplanner.com/service_request?ID=101228" TargetMode="External"/><Relationship Id="rId179" Type="http://schemas.openxmlformats.org/officeDocument/2006/relationships/hyperlink" Target="https://us3.assetplanner.com/service_request?ID=099545" TargetMode="External"/><Relationship Id="rId15" Type="http://schemas.openxmlformats.org/officeDocument/2006/relationships/hyperlink" Target="https://us3.assetplanner.com/service_request?ID=103259" TargetMode="External"/><Relationship Id="rId36" Type="http://schemas.openxmlformats.org/officeDocument/2006/relationships/hyperlink" Target="https://us3.assetplanner.com/service_request?ID=101354" TargetMode="External"/><Relationship Id="rId57" Type="http://schemas.openxmlformats.org/officeDocument/2006/relationships/hyperlink" Target="https://us3.assetplanner.com/service_request?ID=104684" TargetMode="External"/><Relationship Id="rId106" Type="http://schemas.openxmlformats.org/officeDocument/2006/relationships/hyperlink" Target="https://us3.assetplanner.com/service_request?ID=101152" TargetMode="External"/><Relationship Id="rId127" Type="http://schemas.openxmlformats.org/officeDocument/2006/relationships/hyperlink" Target="https://us3.assetplanner.com/service_request?ID=105161" TargetMode="External"/><Relationship Id="rId10" Type="http://schemas.openxmlformats.org/officeDocument/2006/relationships/hyperlink" Target="https://us3.assetplanner.com/service_request?ID=093633" TargetMode="External"/><Relationship Id="rId31" Type="http://schemas.openxmlformats.org/officeDocument/2006/relationships/hyperlink" Target="https://us3.assetplanner.com/service_request?ID=095662" TargetMode="External"/><Relationship Id="rId52" Type="http://schemas.openxmlformats.org/officeDocument/2006/relationships/hyperlink" Target="https://us3.assetplanner.com/service_request?ID=102665" TargetMode="External"/><Relationship Id="rId73" Type="http://schemas.openxmlformats.org/officeDocument/2006/relationships/hyperlink" Target="https://us3.assetplanner.com/service_request?ID=103260" TargetMode="External"/><Relationship Id="rId78" Type="http://schemas.openxmlformats.org/officeDocument/2006/relationships/hyperlink" Target="https://us3.assetplanner.com/service_request?ID=104741" TargetMode="External"/><Relationship Id="rId94" Type="http://schemas.openxmlformats.org/officeDocument/2006/relationships/hyperlink" Target="https://us3.assetplanner.com/service_request?ID=104664" TargetMode="External"/><Relationship Id="rId99" Type="http://schemas.openxmlformats.org/officeDocument/2006/relationships/hyperlink" Target="https://us3.assetplanner.com/service_request?ID=101282" TargetMode="External"/><Relationship Id="rId101" Type="http://schemas.openxmlformats.org/officeDocument/2006/relationships/hyperlink" Target="https://us3.assetplanner.com/service_request?ID=105180" TargetMode="External"/><Relationship Id="rId122" Type="http://schemas.openxmlformats.org/officeDocument/2006/relationships/hyperlink" Target="https://us3.assetplanner.com/service_request?ID=105105" TargetMode="External"/><Relationship Id="rId143" Type="http://schemas.openxmlformats.org/officeDocument/2006/relationships/hyperlink" Target="https://us3.assetplanner.com/service_request?ID=103824" TargetMode="External"/><Relationship Id="rId148" Type="http://schemas.openxmlformats.org/officeDocument/2006/relationships/hyperlink" Target="https://us3.assetplanner.com/service_request?ID=104367" TargetMode="External"/><Relationship Id="rId164" Type="http://schemas.openxmlformats.org/officeDocument/2006/relationships/hyperlink" Target="https://us3.assetplanner.com/service_request?ID=104636" TargetMode="External"/><Relationship Id="rId169" Type="http://schemas.openxmlformats.org/officeDocument/2006/relationships/hyperlink" Target="https://us3.assetplanner.com/service_request?ID=104292" TargetMode="External"/><Relationship Id="rId185" Type="http://schemas.openxmlformats.org/officeDocument/2006/relationships/hyperlink" Target="https://us3.assetplanner.com/service_request?ID=104558" TargetMode="External"/><Relationship Id="rId4" Type="http://schemas.openxmlformats.org/officeDocument/2006/relationships/hyperlink" Target="https://us3.assetplanner.com/service_request?ID=097569" TargetMode="External"/><Relationship Id="rId9" Type="http://schemas.openxmlformats.org/officeDocument/2006/relationships/hyperlink" Target="https://us3.assetplanner.com/service_request?ID=093292" TargetMode="External"/><Relationship Id="rId180" Type="http://schemas.openxmlformats.org/officeDocument/2006/relationships/hyperlink" Target="https://us3.assetplanner.com/service_request?ID=105330" TargetMode="External"/><Relationship Id="rId26" Type="http://schemas.openxmlformats.org/officeDocument/2006/relationships/hyperlink" Target="https://us3.assetplanner.com/service_request?ID=093324" TargetMode="External"/><Relationship Id="rId47" Type="http://schemas.openxmlformats.org/officeDocument/2006/relationships/hyperlink" Target="https://us3.assetplanner.com/service_request?ID=105115" TargetMode="External"/><Relationship Id="rId68" Type="http://schemas.openxmlformats.org/officeDocument/2006/relationships/hyperlink" Target="https://us3.assetplanner.com/service_request?ID=104557" TargetMode="External"/><Relationship Id="rId89" Type="http://schemas.openxmlformats.org/officeDocument/2006/relationships/hyperlink" Target="https://us3.assetplanner.com/service_request?ID=105048" TargetMode="External"/><Relationship Id="rId112" Type="http://schemas.openxmlformats.org/officeDocument/2006/relationships/hyperlink" Target="https://us3.assetplanner.com/service_request?ID=104092" TargetMode="External"/><Relationship Id="rId133" Type="http://schemas.openxmlformats.org/officeDocument/2006/relationships/hyperlink" Target="https://us3.assetplanner.com/service_request?ID=104019" TargetMode="External"/><Relationship Id="rId154" Type="http://schemas.openxmlformats.org/officeDocument/2006/relationships/hyperlink" Target="https://us3.assetplanner.com/service_request?ID=103141" TargetMode="External"/><Relationship Id="rId175" Type="http://schemas.openxmlformats.org/officeDocument/2006/relationships/hyperlink" Target="https://us3.assetplanner.com/service_request?ID=098278" TargetMode="External"/><Relationship Id="rId16" Type="http://schemas.openxmlformats.org/officeDocument/2006/relationships/hyperlink" Target="https://us3.assetplanner.com/service_request?ID=101786" TargetMode="External"/><Relationship Id="rId37" Type="http://schemas.openxmlformats.org/officeDocument/2006/relationships/hyperlink" Target="https://us3.assetplanner.com/service_request?ID=104543" TargetMode="External"/><Relationship Id="rId58" Type="http://schemas.openxmlformats.org/officeDocument/2006/relationships/hyperlink" Target="https://us3.assetplanner.com/service_request?ID=103651" TargetMode="External"/><Relationship Id="rId79" Type="http://schemas.openxmlformats.org/officeDocument/2006/relationships/hyperlink" Target="https://us3.assetplanner.com/service_request?ID=104887" TargetMode="External"/><Relationship Id="rId102" Type="http://schemas.openxmlformats.org/officeDocument/2006/relationships/hyperlink" Target="https://us3.assetplanner.com/service_request?ID=104142" TargetMode="External"/><Relationship Id="rId123" Type="http://schemas.openxmlformats.org/officeDocument/2006/relationships/hyperlink" Target="https://us3.assetplanner.com/service_request?ID=105276" TargetMode="External"/><Relationship Id="rId144" Type="http://schemas.openxmlformats.org/officeDocument/2006/relationships/hyperlink" Target="https://us3.assetplanner.com/service_request?ID=103367" TargetMode="External"/><Relationship Id="rId90" Type="http://schemas.openxmlformats.org/officeDocument/2006/relationships/hyperlink" Target="https://us3.assetplanner.com/service_request?ID=105120" TargetMode="External"/><Relationship Id="rId165" Type="http://schemas.openxmlformats.org/officeDocument/2006/relationships/hyperlink" Target="https://us3.assetplanner.com/service_request?ID=104413" TargetMode="External"/><Relationship Id="rId186" Type="http://schemas.openxmlformats.org/officeDocument/2006/relationships/hyperlink" Target="https://us3.assetplanner.com/service_request?ID=100622" TargetMode="External"/><Relationship Id="rId27" Type="http://schemas.openxmlformats.org/officeDocument/2006/relationships/hyperlink" Target="https://us3.assetplanner.com/service_request?ID=103857" TargetMode="External"/><Relationship Id="rId48" Type="http://schemas.openxmlformats.org/officeDocument/2006/relationships/hyperlink" Target="https://us3.assetplanner.com/service_request?ID=104724" TargetMode="External"/><Relationship Id="rId69" Type="http://schemas.openxmlformats.org/officeDocument/2006/relationships/hyperlink" Target="https://us3.assetplanner.com/service_request?ID=102682" TargetMode="External"/><Relationship Id="rId113" Type="http://schemas.openxmlformats.org/officeDocument/2006/relationships/hyperlink" Target="https://us3.assetplanner.com/service_request?ID=104283" TargetMode="External"/><Relationship Id="rId134" Type="http://schemas.openxmlformats.org/officeDocument/2006/relationships/hyperlink" Target="https://us3.assetplanner.com/service_request?ID=104175" TargetMode="External"/><Relationship Id="rId80" Type="http://schemas.openxmlformats.org/officeDocument/2006/relationships/hyperlink" Target="https://us3.assetplanner.com/service_request?ID=104998" TargetMode="External"/><Relationship Id="rId155" Type="http://schemas.openxmlformats.org/officeDocument/2006/relationships/hyperlink" Target="https://us3.assetplanner.com/service_request?ID=103096" TargetMode="External"/><Relationship Id="rId176" Type="http://schemas.openxmlformats.org/officeDocument/2006/relationships/hyperlink" Target="https://us3.assetplanner.com/service_request?ID=098670" TargetMode="External"/><Relationship Id="rId17" Type="http://schemas.openxmlformats.org/officeDocument/2006/relationships/hyperlink" Target="https://us3.assetplanner.com/service_request?ID=102672" TargetMode="External"/><Relationship Id="rId38" Type="http://schemas.openxmlformats.org/officeDocument/2006/relationships/hyperlink" Target="https://us3.assetplanner.com/service_request?ID=104886" TargetMode="External"/><Relationship Id="rId59" Type="http://schemas.openxmlformats.org/officeDocument/2006/relationships/hyperlink" Target="https://us3.assetplanner.com/service_request?ID=104374" TargetMode="External"/><Relationship Id="rId103" Type="http://schemas.openxmlformats.org/officeDocument/2006/relationships/hyperlink" Target="https://us3.assetplanner.com/service_request?ID=104657" TargetMode="External"/><Relationship Id="rId124" Type="http://schemas.openxmlformats.org/officeDocument/2006/relationships/hyperlink" Target="https://us3.assetplanner.com/service_request?ID=105107" TargetMode="External"/><Relationship Id="rId70" Type="http://schemas.openxmlformats.org/officeDocument/2006/relationships/hyperlink" Target="https://us3.assetplanner.com/service_request?ID=103181" TargetMode="External"/><Relationship Id="rId91" Type="http://schemas.openxmlformats.org/officeDocument/2006/relationships/hyperlink" Target="https://us3.assetplanner.com/service_request?ID=105049" TargetMode="External"/><Relationship Id="rId145" Type="http://schemas.openxmlformats.org/officeDocument/2006/relationships/hyperlink" Target="https://us3.assetplanner.com/service_request?ID=104633" TargetMode="External"/><Relationship Id="rId166" Type="http://schemas.openxmlformats.org/officeDocument/2006/relationships/hyperlink" Target="https://us3.assetplanner.com/service_request?ID=104637" TargetMode="External"/><Relationship Id="rId187" Type="http://schemas.openxmlformats.org/officeDocument/2006/relationships/printerSettings" Target="../printerSettings/printerSettings4.bin"/><Relationship Id="rId1" Type="http://schemas.openxmlformats.org/officeDocument/2006/relationships/hyperlink" Target="https://us3.assetplanner.com/service_request?ID=103460" TargetMode="External"/><Relationship Id="rId28" Type="http://schemas.openxmlformats.org/officeDocument/2006/relationships/hyperlink" Target="https://us3.assetplanner.com/service_request?ID=093326" TargetMode="External"/><Relationship Id="rId49" Type="http://schemas.openxmlformats.org/officeDocument/2006/relationships/hyperlink" Target="https://us3.assetplanner.com/service_request?ID=105002" TargetMode="External"/><Relationship Id="rId114" Type="http://schemas.openxmlformats.org/officeDocument/2006/relationships/hyperlink" Target="https://us3.assetplanner.com/service_request?ID=104691" TargetMode="External"/><Relationship Id="rId60" Type="http://schemas.openxmlformats.org/officeDocument/2006/relationships/hyperlink" Target="https://us3.assetplanner.com/service_request?ID=092964" TargetMode="External"/><Relationship Id="rId81" Type="http://schemas.openxmlformats.org/officeDocument/2006/relationships/hyperlink" Target="https://us3.assetplanner.com/service_request?ID=105204" TargetMode="External"/><Relationship Id="rId135" Type="http://schemas.openxmlformats.org/officeDocument/2006/relationships/hyperlink" Target="https://us3.assetplanner.com/service_request?ID=104235" TargetMode="External"/><Relationship Id="rId156" Type="http://schemas.openxmlformats.org/officeDocument/2006/relationships/hyperlink" Target="https://us3.assetplanner.com/service_request?ID=103710" TargetMode="External"/><Relationship Id="rId177" Type="http://schemas.openxmlformats.org/officeDocument/2006/relationships/hyperlink" Target="https://us3.assetplanner.com/service_request?ID=102684"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us3.assetplanner.com/service_request?ID=102328" TargetMode="External"/><Relationship Id="rId21" Type="http://schemas.openxmlformats.org/officeDocument/2006/relationships/hyperlink" Target="https://us3.assetplanner.com/service_request?ID=088813" TargetMode="External"/><Relationship Id="rId42" Type="http://schemas.openxmlformats.org/officeDocument/2006/relationships/hyperlink" Target="https://us3.assetplanner.com/service_request?ID=105002" TargetMode="External"/><Relationship Id="rId63" Type="http://schemas.openxmlformats.org/officeDocument/2006/relationships/hyperlink" Target="https://us3.assetplanner.com/service_request?ID=107147" TargetMode="External"/><Relationship Id="rId84" Type="http://schemas.openxmlformats.org/officeDocument/2006/relationships/hyperlink" Target="https://us3.assetplanner.com/service_request?ID=104674" TargetMode="External"/><Relationship Id="rId138" Type="http://schemas.openxmlformats.org/officeDocument/2006/relationships/hyperlink" Target="https://us3.assetplanner.com/service_request?ID=105543" TargetMode="External"/><Relationship Id="rId159" Type="http://schemas.openxmlformats.org/officeDocument/2006/relationships/hyperlink" Target="https://us3.assetplanner.com/service_request?ID=107059" TargetMode="External"/><Relationship Id="rId170" Type="http://schemas.openxmlformats.org/officeDocument/2006/relationships/hyperlink" Target="https://us3.assetplanner.com/service_request?ID=098278" TargetMode="External"/><Relationship Id="rId107" Type="http://schemas.openxmlformats.org/officeDocument/2006/relationships/hyperlink" Target="https://us3.assetplanner.com/service_request?ID=105779" TargetMode="External"/><Relationship Id="rId11" Type="http://schemas.openxmlformats.org/officeDocument/2006/relationships/hyperlink" Target="https://us3.assetplanner.com/service_request?ID=103245" TargetMode="External"/><Relationship Id="rId32" Type="http://schemas.openxmlformats.org/officeDocument/2006/relationships/hyperlink" Target="https://us3.assetplanner.com/service_request?ID=105525" TargetMode="External"/><Relationship Id="rId53" Type="http://schemas.openxmlformats.org/officeDocument/2006/relationships/hyperlink" Target="https://us3.assetplanner.com/service_request?ID=098877" TargetMode="External"/><Relationship Id="rId74" Type="http://schemas.openxmlformats.org/officeDocument/2006/relationships/hyperlink" Target="https://us3.assetplanner.com/service_request?ID=105423" TargetMode="External"/><Relationship Id="rId128" Type="http://schemas.openxmlformats.org/officeDocument/2006/relationships/hyperlink" Target="https://us3.assetplanner.com/service_request?ID=106985" TargetMode="External"/><Relationship Id="rId149" Type="http://schemas.openxmlformats.org/officeDocument/2006/relationships/hyperlink" Target="https://us3.assetplanner.com/service_request?ID=103871" TargetMode="External"/><Relationship Id="rId5" Type="http://schemas.openxmlformats.org/officeDocument/2006/relationships/hyperlink" Target="https://us3.assetplanner.com/service_request?ID=093291" TargetMode="External"/><Relationship Id="rId95" Type="http://schemas.openxmlformats.org/officeDocument/2006/relationships/hyperlink" Target="https://us3.assetplanner.com/service_request?ID=106192" TargetMode="External"/><Relationship Id="rId160" Type="http://schemas.openxmlformats.org/officeDocument/2006/relationships/hyperlink" Target="https://us3.assetplanner.com/service_request?ID=105922" TargetMode="External"/><Relationship Id="rId181" Type="http://schemas.openxmlformats.org/officeDocument/2006/relationships/hyperlink" Target="https://us3.assetplanner.com/service_request?ID=107263" TargetMode="External"/><Relationship Id="rId22" Type="http://schemas.openxmlformats.org/officeDocument/2006/relationships/hyperlink" Target="https://us3.assetplanner.com/service_request?ID=105544" TargetMode="External"/><Relationship Id="rId43" Type="http://schemas.openxmlformats.org/officeDocument/2006/relationships/hyperlink" Target="https://us3.assetplanner.com/service_request?ID=106732" TargetMode="External"/><Relationship Id="rId64" Type="http://schemas.openxmlformats.org/officeDocument/2006/relationships/hyperlink" Target="https://us3.assetplanner.com/service_request?ID=106786" TargetMode="External"/><Relationship Id="rId118" Type="http://schemas.openxmlformats.org/officeDocument/2006/relationships/hyperlink" Target="https://us3.assetplanner.com/service_request?ID=105474" TargetMode="External"/><Relationship Id="rId139" Type="http://schemas.openxmlformats.org/officeDocument/2006/relationships/hyperlink" Target="https://us3.assetplanner.com/service_request?ID=106211" TargetMode="External"/><Relationship Id="rId85" Type="http://schemas.openxmlformats.org/officeDocument/2006/relationships/hyperlink" Target="https://us3.assetplanner.com/service_request?ID=105048" TargetMode="External"/><Relationship Id="rId150" Type="http://schemas.openxmlformats.org/officeDocument/2006/relationships/hyperlink" Target="https://us3.assetplanner.com/service_request?ID=103361" TargetMode="External"/><Relationship Id="rId171" Type="http://schemas.openxmlformats.org/officeDocument/2006/relationships/hyperlink" Target="https://us3.assetplanner.com/service_request?ID=098670" TargetMode="External"/><Relationship Id="rId12" Type="http://schemas.openxmlformats.org/officeDocument/2006/relationships/hyperlink" Target="https://us3.assetplanner.com/service_request?ID=103259" TargetMode="External"/><Relationship Id="rId33" Type="http://schemas.openxmlformats.org/officeDocument/2006/relationships/hyperlink" Target="https://us3.assetplanner.com/service_request?ID=106721" TargetMode="External"/><Relationship Id="rId108" Type="http://schemas.openxmlformats.org/officeDocument/2006/relationships/hyperlink" Target="https://us3.assetplanner.com/service_request?ID=106925" TargetMode="External"/><Relationship Id="rId129" Type="http://schemas.openxmlformats.org/officeDocument/2006/relationships/hyperlink" Target="https://us3.assetplanner.com/service_request?ID=105305" TargetMode="External"/><Relationship Id="rId54" Type="http://schemas.openxmlformats.org/officeDocument/2006/relationships/hyperlink" Target="https://us3.assetplanner.com/service_request?ID=105778" TargetMode="External"/><Relationship Id="rId75" Type="http://schemas.openxmlformats.org/officeDocument/2006/relationships/hyperlink" Target="https://us3.assetplanner.com/service_request?ID=105799" TargetMode="External"/><Relationship Id="rId96" Type="http://schemas.openxmlformats.org/officeDocument/2006/relationships/hyperlink" Target="https://us3.assetplanner.com/service_request?ID=106797" TargetMode="External"/><Relationship Id="rId140" Type="http://schemas.openxmlformats.org/officeDocument/2006/relationships/hyperlink" Target="https://us3.assetplanner.com/service_request?ID=106418" TargetMode="External"/><Relationship Id="rId161" Type="http://schemas.openxmlformats.org/officeDocument/2006/relationships/hyperlink" Target="https://us3.assetplanner.com/service_request?ID=106486" TargetMode="External"/><Relationship Id="rId182" Type="http://schemas.openxmlformats.org/officeDocument/2006/relationships/hyperlink" Target="https://us3.assetplanner.com/service_request?ID=106749" TargetMode="External"/><Relationship Id="rId6" Type="http://schemas.openxmlformats.org/officeDocument/2006/relationships/hyperlink" Target="https://us3.assetplanner.com/service_request?ID=093633" TargetMode="External"/><Relationship Id="rId23" Type="http://schemas.openxmlformats.org/officeDocument/2006/relationships/hyperlink" Target="https://us3.assetplanner.com/service_request?ID=093324" TargetMode="External"/><Relationship Id="rId119" Type="http://schemas.openxmlformats.org/officeDocument/2006/relationships/hyperlink" Target="https://us3.assetplanner.com/service_request?ID=106767" TargetMode="External"/><Relationship Id="rId44" Type="http://schemas.openxmlformats.org/officeDocument/2006/relationships/hyperlink" Target="https://us3.assetplanner.com/service_request?ID=106732" TargetMode="External"/><Relationship Id="rId65" Type="http://schemas.openxmlformats.org/officeDocument/2006/relationships/hyperlink" Target="https://us3.assetplanner.com/service_request?ID=105526" TargetMode="External"/><Relationship Id="rId86" Type="http://schemas.openxmlformats.org/officeDocument/2006/relationships/hyperlink" Target="https://us3.assetplanner.com/service_request?ID=105049" TargetMode="External"/><Relationship Id="rId130" Type="http://schemas.openxmlformats.org/officeDocument/2006/relationships/hyperlink" Target="https://us3.assetplanner.com/service_request?ID=106002" TargetMode="External"/><Relationship Id="rId151" Type="http://schemas.openxmlformats.org/officeDocument/2006/relationships/hyperlink" Target="https://us3.assetplanner.com/service_request?ID=106530" TargetMode="External"/><Relationship Id="rId172" Type="http://schemas.openxmlformats.org/officeDocument/2006/relationships/hyperlink" Target="https://us3.assetplanner.com/service_request?ID=105354" TargetMode="External"/><Relationship Id="rId13" Type="http://schemas.openxmlformats.org/officeDocument/2006/relationships/hyperlink" Target="https://us3.assetplanner.com/service_request?ID=101786" TargetMode="External"/><Relationship Id="rId18" Type="http://schemas.openxmlformats.org/officeDocument/2006/relationships/hyperlink" Target="https://us3.assetplanner.com/service_request?ID=102532" TargetMode="External"/><Relationship Id="rId39" Type="http://schemas.openxmlformats.org/officeDocument/2006/relationships/hyperlink" Target="https://us3.assetplanner.com/service_request?ID=098641" TargetMode="External"/><Relationship Id="rId109" Type="http://schemas.openxmlformats.org/officeDocument/2006/relationships/hyperlink" Target="https://us3.assetplanner.com/service_request?ID=107064" TargetMode="External"/><Relationship Id="rId34" Type="http://schemas.openxmlformats.org/officeDocument/2006/relationships/hyperlink" Target="https://us3.assetplanner.com/service_request?ID=104403" TargetMode="External"/><Relationship Id="rId50" Type="http://schemas.openxmlformats.org/officeDocument/2006/relationships/hyperlink" Target="https://us3.assetplanner.com/service_request?ID=105776" TargetMode="External"/><Relationship Id="rId55" Type="http://schemas.openxmlformats.org/officeDocument/2006/relationships/hyperlink" Target="https://us3.assetplanner.com/service_request?ID=106622" TargetMode="External"/><Relationship Id="rId76" Type="http://schemas.openxmlformats.org/officeDocument/2006/relationships/hyperlink" Target="https://us3.assetplanner.com/service_request?ID=106209" TargetMode="External"/><Relationship Id="rId97" Type="http://schemas.openxmlformats.org/officeDocument/2006/relationships/hyperlink" Target="https://us3.assetplanner.com/service_request?ID=107188" TargetMode="External"/><Relationship Id="rId104" Type="http://schemas.openxmlformats.org/officeDocument/2006/relationships/hyperlink" Target="https://us3.assetplanner.com/service_request?ID=106843" TargetMode="External"/><Relationship Id="rId120" Type="http://schemas.openxmlformats.org/officeDocument/2006/relationships/hyperlink" Target="https://us3.assetplanner.com/service_request?ID=106794" TargetMode="External"/><Relationship Id="rId125" Type="http://schemas.openxmlformats.org/officeDocument/2006/relationships/hyperlink" Target="https://us3.assetplanner.com/service_request?ID=105964" TargetMode="External"/><Relationship Id="rId141" Type="http://schemas.openxmlformats.org/officeDocument/2006/relationships/hyperlink" Target="https://us3.assetplanner.com/service_request?ID=106495" TargetMode="External"/><Relationship Id="rId146" Type="http://schemas.openxmlformats.org/officeDocument/2006/relationships/hyperlink" Target="https://us3.assetplanner.com/service_request?ID=105865" TargetMode="External"/><Relationship Id="rId167" Type="http://schemas.openxmlformats.org/officeDocument/2006/relationships/hyperlink" Target="https://us3.assetplanner.com/service_request?ID=101228" TargetMode="External"/><Relationship Id="rId7" Type="http://schemas.openxmlformats.org/officeDocument/2006/relationships/hyperlink" Target="https://us3.assetplanner.com/service_request?ID=093292" TargetMode="External"/><Relationship Id="rId71" Type="http://schemas.openxmlformats.org/officeDocument/2006/relationships/hyperlink" Target="https://us3.assetplanner.com/service_request?ID=106031" TargetMode="External"/><Relationship Id="rId92" Type="http://schemas.openxmlformats.org/officeDocument/2006/relationships/hyperlink" Target="https://us3.assetplanner.com/service_request?ID=106924" TargetMode="External"/><Relationship Id="rId162" Type="http://schemas.openxmlformats.org/officeDocument/2006/relationships/hyperlink" Target="https://us3.assetplanner.com/service_request?ID=106986" TargetMode="External"/><Relationship Id="rId183" Type="http://schemas.openxmlformats.org/officeDocument/2006/relationships/hyperlink" Target="https://us3.assetplanner.com/service_request?ID=106773" TargetMode="External"/><Relationship Id="rId2" Type="http://schemas.openxmlformats.org/officeDocument/2006/relationships/hyperlink" Target="https://us3.assetplanner.com/service_request?ID=103360" TargetMode="External"/><Relationship Id="rId29" Type="http://schemas.openxmlformats.org/officeDocument/2006/relationships/hyperlink" Target="https://us3.assetplanner.com/service_request?ID=105932" TargetMode="External"/><Relationship Id="rId24" Type="http://schemas.openxmlformats.org/officeDocument/2006/relationships/hyperlink" Target="https://us3.assetplanner.com/service_request?ID=107329" TargetMode="External"/><Relationship Id="rId40" Type="http://schemas.openxmlformats.org/officeDocument/2006/relationships/hyperlink" Target="https://us3.assetplanner.com/service_request?ID=104724" TargetMode="External"/><Relationship Id="rId45" Type="http://schemas.openxmlformats.org/officeDocument/2006/relationships/hyperlink" Target="https://us3.assetplanner.com/service_request?ID=105660" TargetMode="External"/><Relationship Id="rId66" Type="http://schemas.openxmlformats.org/officeDocument/2006/relationships/hyperlink" Target="https://us3.assetplanner.com/service_request?ID=106340" TargetMode="External"/><Relationship Id="rId87" Type="http://schemas.openxmlformats.org/officeDocument/2006/relationships/hyperlink" Target="https://us3.assetplanner.com/service_request?ID=106574" TargetMode="External"/><Relationship Id="rId110" Type="http://schemas.openxmlformats.org/officeDocument/2006/relationships/hyperlink" Target="https://us3.assetplanner.com/service_request?ID=107142" TargetMode="External"/><Relationship Id="rId115" Type="http://schemas.openxmlformats.org/officeDocument/2006/relationships/hyperlink" Target="https://us3.assetplanner.com/service_request?ID=106658" TargetMode="External"/><Relationship Id="rId131" Type="http://schemas.openxmlformats.org/officeDocument/2006/relationships/hyperlink" Target="https://us3.assetplanner.com/service_request?ID=106164" TargetMode="External"/><Relationship Id="rId136" Type="http://schemas.openxmlformats.org/officeDocument/2006/relationships/hyperlink" Target="https://us3.assetplanner.com/service_request?ID=103824" TargetMode="External"/><Relationship Id="rId157" Type="http://schemas.openxmlformats.org/officeDocument/2006/relationships/hyperlink" Target="https://us3.assetplanner.com/service_request?ID=100220" TargetMode="External"/><Relationship Id="rId178" Type="http://schemas.openxmlformats.org/officeDocument/2006/relationships/hyperlink" Target="https://us3.assetplanner.com/service_request?ID=105769" TargetMode="External"/><Relationship Id="rId61" Type="http://schemas.openxmlformats.org/officeDocument/2006/relationships/hyperlink" Target="https://us3.assetplanner.com/service_request?ID=105960" TargetMode="External"/><Relationship Id="rId82" Type="http://schemas.openxmlformats.org/officeDocument/2006/relationships/hyperlink" Target="https://us3.assetplanner.com/service_request?ID=106926" TargetMode="External"/><Relationship Id="rId152" Type="http://schemas.openxmlformats.org/officeDocument/2006/relationships/hyperlink" Target="https://us3.assetplanner.com/service_request?ID=103641" TargetMode="External"/><Relationship Id="rId173" Type="http://schemas.openxmlformats.org/officeDocument/2006/relationships/hyperlink" Target="https://us3.assetplanner.com/service_request?ID=105433" TargetMode="External"/><Relationship Id="rId19" Type="http://schemas.openxmlformats.org/officeDocument/2006/relationships/hyperlink" Target="https://us3.assetplanner.com/service_request?ID=088282" TargetMode="External"/><Relationship Id="rId14" Type="http://schemas.openxmlformats.org/officeDocument/2006/relationships/hyperlink" Target="https://us3.assetplanner.com/service_request?ID=102902" TargetMode="External"/><Relationship Id="rId30" Type="http://schemas.openxmlformats.org/officeDocument/2006/relationships/hyperlink" Target="https://us3.assetplanner.com/service_request?ID=104744" TargetMode="External"/><Relationship Id="rId35" Type="http://schemas.openxmlformats.org/officeDocument/2006/relationships/hyperlink" Target="https://us3.assetplanner.com/service_request?ID=107039" TargetMode="External"/><Relationship Id="rId56" Type="http://schemas.openxmlformats.org/officeDocument/2006/relationships/hyperlink" Target="https://us3.assetplanner.com/service_request?ID=107254" TargetMode="External"/><Relationship Id="rId77" Type="http://schemas.openxmlformats.org/officeDocument/2006/relationships/hyperlink" Target="https://us3.assetplanner.com/service_request?ID=099347" TargetMode="External"/><Relationship Id="rId100" Type="http://schemas.openxmlformats.org/officeDocument/2006/relationships/hyperlink" Target="https://us3.assetplanner.com/service_request?ID=105728" TargetMode="External"/><Relationship Id="rId105" Type="http://schemas.openxmlformats.org/officeDocument/2006/relationships/hyperlink" Target="https://us3.assetplanner.com/service_request?ID=106934" TargetMode="External"/><Relationship Id="rId126" Type="http://schemas.openxmlformats.org/officeDocument/2006/relationships/hyperlink" Target="https://us3.assetplanner.com/service_request?ID=106921" TargetMode="External"/><Relationship Id="rId147" Type="http://schemas.openxmlformats.org/officeDocument/2006/relationships/hyperlink" Target="https://us3.assetplanner.com/service_request?ID=103141" TargetMode="External"/><Relationship Id="rId168" Type="http://schemas.openxmlformats.org/officeDocument/2006/relationships/hyperlink" Target="https://us3.assetplanner.com/service_request?ID=106480" TargetMode="External"/><Relationship Id="rId8" Type="http://schemas.openxmlformats.org/officeDocument/2006/relationships/hyperlink" Target="https://us3.assetplanner.com/service_request?ID=093294" TargetMode="External"/><Relationship Id="rId51" Type="http://schemas.openxmlformats.org/officeDocument/2006/relationships/hyperlink" Target="https://us3.assetplanner.com/service_request?ID=105777" TargetMode="External"/><Relationship Id="rId72" Type="http://schemas.openxmlformats.org/officeDocument/2006/relationships/hyperlink" Target="https://us3.assetplanner.com/service_request?ID=105923" TargetMode="External"/><Relationship Id="rId93" Type="http://schemas.openxmlformats.org/officeDocument/2006/relationships/hyperlink" Target="https://us3.assetplanner.com/service_request?ID=107236" TargetMode="External"/><Relationship Id="rId98" Type="http://schemas.openxmlformats.org/officeDocument/2006/relationships/hyperlink" Target="https://us3.assetplanner.com/service_request?ID=106193" TargetMode="External"/><Relationship Id="rId121" Type="http://schemas.openxmlformats.org/officeDocument/2006/relationships/hyperlink" Target="https://us3.assetplanner.com/service_request?ID=104075" TargetMode="External"/><Relationship Id="rId142" Type="http://schemas.openxmlformats.org/officeDocument/2006/relationships/hyperlink" Target="https://us3.assetplanner.com/service_request?ID=107013" TargetMode="External"/><Relationship Id="rId163" Type="http://schemas.openxmlformats.org/officeDocument/2006/relationships/hyperlink" Target="https://us3.assetplanner.com/service_request?ID=104292" TargetMode="External"/><Relationship Id="rId184" Type="http://schemas.openxmlformats.org/officeDocument/2006/relationships/hyperlink" Target="https://us3.assetplanner.com/service_request?ID=107225" TargetMode="External"/><Relationship Id="rId3" Type="http://schemas.openxmlformats.org/officeDocument/2006/relationships/hyperlink" Target="https://us3.assetplanner.com/service_request?ID=097569" TargetMode="External"/><Relationship Id="rId25" Type="http://schemas.openxmlformats.org/officeDocument/2006/relationships/hyperlink" Target="https://us3.assetplanner.com/service_request?ID=106170" TargetMode="External"/><Relationship Id="rId46" Type="http://schemas.openxmlformats.org/officeDocument/2006/relationships/hyperlink" Target="https://us3.assetplanner.com/service_request?ID=099403" TargetMode="External"/><Relationship Id="rId67" Type="http://schemas.openxmlformats.org/officeDocument/2006/relationships/hyperlink" Target="https://us3.assetplanner.com/service_request?ID=106755" TargetMode="External"/><Relationship Id="rId116" Type="http://schemas.openxmlformats.org/officeDocument/2006/relationships/hyperlink" Target="https://us3.assetplanner.com/service_request?ID=104691" TargetMode="External"/><Relationship Id="rId137" Type="http://schemas.openxmlformats.org/officeDocument/2006/relationships/hyperlink" Target="https://us3.assetplanner.com/service_request?ID=104633" TargetMode="External"/><Relationship Id="rId158" Type="http://schemas.openxmlformats.org/officeDocument/2006/relationships/hyperlink" Target="https://us3.assetplanner.com/service_request?ID=106493" TargetMode="External"/><Relationship Id="rId20" Type="http://schemas.openxmlformats.org/officeDocument/2006/relationships/hyperlink" Target="https://us3.assetplanner.com/service_request?ID=105502" TargetMode="External"/><Relationship Id="rId41" Type="http://schemas.openxmlformats.org/officeDocument/2006/relationships/hyperlink" Target="https://us3.assetplanner.com/service_request?ID=106386" TargetMode="External"/><Relationship Id="rId62" Type="http://schemas.openxmlformats.org/officeDocument/2006/relationships/hyperlink" Target="https://us3.assetplanner.com/service_request?ID=106340" TargetMode="External"/><Relationship Id="rId83" Type="http://schemas.openxmlformats.org/officeDocument/2006/relationships/hyperlink" Target="https://us3.assetplanner.com/service_request?ID=105775" TargetMode="External"/><Relationship Id="rId88" Type="http://schemas.openxmlformats.org/officeDocument/2006/relationships/hyperlink" Target="https://us3.assetplanner.com/service_request?ID=105649" TargetMode="External"/><Relationship Id="rId111" Type="http://schemas.openxmlformats.org/officeDocument/2006/relationships/hyperlink" Target="https://us3.assetplanner.com/service_request?ID=105938" TargetMode="External"/><Relationship Id="rId132" Type="http://schemas.openxmlformats.org/officeDocument/2006/relationships/hyperlink" Target="https://us3.assetplanner.com/service_request?ID=099686" TargetMode="External"/><Relationship Id="rId153" Type="http://schemas.openxmlformats.org/officeDocument/2006/relationships/hyperlink" Target="https://us3.assetplanner.com/service_request?ID=105731" TargetMode="External"/><Relationship Id="rId174" Type="http://schemas.openxmlformats.org/officeDocument/2006/relationships/hyperlink" Target="https://us3.assetplanner.com/service_request?ID=105530" TargetMode="External"/><Relationship Id="rId179" Type="http://schemas.openxmlformats.org/officeDocument/2006/relationships/hyperlink" Target="https://us3.assetplanner.com/service_request?ID=106769" TargetMode="External"/><Relationship Id="rId15" Type="http://schemas.openxmlformats.org/officeDocument/2006/relationships/hyperlink" Target="https://us3.assetplanner.com/service_request?ID=102672" TargetMode="External"/><Relationship Id="rId36" Type="http://schemas.openxmlformats.org/officeDocument/2006/relationships/hyperlink" Target="https://us3.assetplanner.com/service_request?ID=105772" TargetMode="External"/><Relationship Id="rId57" Type="http://schemas.openxmlformats.org/officeDocument/2006/relationships/hyperlink" Target="https://us3.assetplanner.com/service_request?ID=107042" TargetMode="External"/><Relationship Id="rId106" Type="http://schemas.openxmlformats.org/officeDocument/2006/relationships/hyperlink" Target="https://us3.assetplanner.com/service_request?ID=105180" TargetMode="External"/><Relationship Id="rId127" Type="http://schemas.openxmlformats.org/officeDocument/2006/relationships/hyperlink" Target="https://us3.assetplanner.com/service_request?ID=105637" TargetMode="External"/><Relationship Id="rId10" Type="http://schemas.openxmlformats.org/officeDocument/2006/relationships/hyperlink" Target="https://us3.assetplanner.com/service_request?ID=104856" TargetMode="External"/><Relationship Id="rId31" Type="http://schemas.openxmlformats.org/officeDocument/2006/relationships/hyperlink" Target="https://us3.assetplanner.com/service_request?ID=105933" TargetMode="External"/><Relationship Id="rId52" Type="http://schemas.openxmlformats.org/officeDocument/2006/relationships/hyperlink" Target="https://us3.assetplanner.com/service_request?ID=095253" TargetMode="External"/><Relationship Id="rId73" Type="http://schemas.openxmlformats.org/officeDocument/2006/relationships/hyperlink" Target="https://us3.assetplanner.com/service_request?ID=106340" TargetMode="External"/><Relationship Id="rId78" Type="http://schemas.openxmlformats.org/officeDocument/2006/relationships/hyperlink" Target="https://us3.assetplanner.com/service_request?ID=101820" TargetMode="External"/><Relationship Id="rId94" Type="http://schemas.openxmlformats.org/officeDocument/2006/relationships/hyperlink" Target="https://us3.assetplanner.com/service_request?ID=106195" TargetMode="External"/><Relationship Id="rId99" Type="http://schemas.openxmlformats.org/officeDocument/2006/relationships/hyperlink" Target="https://us3.assetplanner.com/service_request?ID=106920" TargetMode="External"/><Relationship Id="rId101" Type="http://schemas.openxmlformats.org/officeDocument/2006/relationships/hyperlink" Target="https://us3.assetplanner.com/service_request?ID=104383" TargetMode="External"/><Relationship Id="rId122" Type="http://schemas.openxmlformats.org/officeDocument/2006/relationships/hyperlink" Target="https://us3.assetplanner.com/service_request?ID=105283" TargetMode="External"/><Relationship Id="rId143" Type="http://schemas.openxmlformats.org/officeDocument/2006/relationships/hyperlink" Target="https://us3.assetplanner.com/service_request?ID=106766" TargetMode="External"/><Relationship Id="rId148" Type="http://schemas.openxmlformats.org/officeDocument/2006/relationships/hyperlink" Target="https://us3.assetplanner.com/service_request?ID=103710" TargetMode="External"/><Relationship Id="rId164" Type="http://schemas.openxmlformats.org/officeDocument/2006/relationships/hyperlink" Target="https://us3.assetplanner.com/service_request?ID=107019" TargetMode="External"/><Relationship Id="rId169" Type="http://schemas.openxmlformats.org/officeDocument/2006/relationships/hyperlink" Target="https://us3.assetplanner.com/service_request?ID=106626" TargetMode="External"/><Relationship Id="rId185" Type="http://schemas.openxmlformats.org/officeDocument/2006/relationships/hyperlink" Target="https://us3.assetplanner.com/service_request?ID=107245" TargetMode="External"/><Relationship Id="rId4" Type="http://schemas.openxmlformats.org/officeDocument/2006/relationships/hyperlink" Target="https://us3.assetplanner.com/service_request?ID=102535" TargetMode="External"/><Relationship Id="rId9" Type="http://schemas.openxmlformats.org/officeDocument/2006/relationships/hyperlink" Target="https://us3.assetplanner.com/service_request?ID=086842" TargetMode="External"/><Relationship Id="rId180" Type="http://schemas.openxmlformats.org/officeDocument/2006/relationships/hyperlink" Target="https://us3.assetplanner.com/service_request?ID=100771" TargetMode="External"/><Relationship Id="rId26" Type="http://schemas.openxmlformats.org/officeDocument/2006/relationships/hyperlink" Target="https://us3.assetplanner.com/service_request?ID=106173" TargetMode="External"/><Relationship Id="rId47" Type="http://schemas.openxmlformats.org/officeDocument/2006/relationships/hyperlink" Target="https://us3.assetplanner.com/service_request?ID=105475" TargetMode="External"/><Relationship Id="rId68" Type="http://schemas.openxmlformats.org/officeDocument/2006/relationships/hyperlink" Target="https://us3.assetplanner.com/service_request?ID=106340" TargetMode="External"/><Relationship Id="rId89" Type="http://schemas.openxmlformats.org/officeDocument/2006/relationships/hyperlink" Target="https://us3.assetplanner.com/service_request?ID=106194" TargetMode="External"/><Relationship Id="rId112" Type="http://schemas.openxmlformats.org/officeDocument/2006/relationships/hyperlink" Target="https://us3.assetplanner.com/service_request?ID=101152" TargetMode="External"/><Relationship Id="rId133" Type="http://schemas.openxmlformats.org/officeDocument/2006/relationships/hyperlink" Target="https://us3.assetplanner.com/service_request?ID=098860" TargetMode="External"/><Relationship Id="rId154" Type="http://schemas.openxmlformats.org/officeDocument/2006/relationships/hyperlink" Target="https://us3.assetplanner.com/service_request?ID=105732" TargetMode="External"/><Relationship Id="rId175" Type="http://schemas.openxmlformats.org/officeDocument/2006/relationships/hyperlink" Target="https://us3.assetplanner.com/service_request?ID=106471" TargetMode="External"/><Relationship Id="rId16" Type="http://schemas.openxmlformats.org/officeDocument/2006/relationships/hyperlink" Target="https://us3.assetplanner.com/service_request?ID=093236" TargetMode="External"/><Relationship Id="rId37" Type="http://schemas.openxmlformats.org/officeDocument/2006/relationships/hyperlink" Target="https://us3.assetplanner.com/service_request?ID=098641" TargetMode="External"/><Relationship Id="rId58" Type="http://schemas.openxmlformats.org/officeDocument/2006/relationships/hyperlink" Target="https://us3.assetplanner.com/service_request?ID=106503" TargetMode="External"/><Relationship Id="rId79" Type="http://schemas.openxmlformats.org/officeDocument/2006/relationships/hyperlink" Target="https://us3.assetplanner.com/service_request?ID=103655" TargetMode="External"/><Relationship Id="rId102" Type="http://schemas.openxmlformats.org/officeDocument/2006/relationships/hyperlink" Target="https://us3.assetplanner.com/service_request?ID=105857" TargetMode="External"/><Relationship Id="rId123" Type="http://schemas.openxmlformats.org/officeDocument/2006/relationships/hyperlink" Target="https://us3.assetplanner.com/service_request?ID=106058" TargetMode="External"/><Relationship Id="rId144" Type="http://schemas.openxmlformats.org/officeDocument/2006/relationships/hyperlink" Target="https://us3.assetplanner.com/service_request?ID=105304" TargetMode="External"/><Relationship Id="rId90" Type="http://schemas.openxmlformats.org/officeDocument/2006/relationships/hyperlink" Target="https://us3.assetplanner.com/service_request?ID=106923" TargetMode="External"/><Relationship Id="rId165" Type="http://schemas.openxmlformats.org/officeDocument/2006/relationships/hyperlink" Target="https://us3.assetplanner.com/service_request?ID=106630" TargetMode="External"/><Relationship Id="rId186" Type="http://schemas.openxmlformats.org/officeDocument/2006/relationships/printerSettings" Target="../printerSettings/printerSettings5.bin"/><Relationship Id="rId27" Type="http://schemas.openxmlformats.org/officeDocument/2006/relationships/hyperlink" Target="https://us3.assetplanner.com/service_request?ID=093326" TargetMode="External"/><Relationship Id="rId48" Type="http://schemas.openxmlformats.org/officeDocument/2006/relationships/hyperlink" Target="https://us3.assetplanner.com/service_request?ID=093024" TargetMode="External"/><Relationship Id="rId69" Type="http://schemas.openxmlformats.org/officeDocument/2006/relationships/hyperlink" Target="https://us3.assetplanner.com/service_request?ID=106662" TargetMode="External"/><Relationship Id="rId113" Type="http://schemas.openxmlformats.org/officeDocument/2006/relationships/hyperlink" Target="https://us3.assetplanner.com/service_request?ID=105450" TargetMode="External"/><Relationship Id="rId134" Type="http://schemas.openxmlformats.org/officeDocument/2006/relationships/hyperlink" Target="https://us3.assetplanner.com/service_request?ID=097454" TargetMode="External"/><Relationship Id="rId80" Type="http://schemas.openxmlformats.org/officeDocument/2006/relationships/hyperlink" Target="https://us3.assetplanner.com/service_request?ID=105915" TargetMode="External"/><Relationship Id="rId155" Type="http://schemas.openxmlformats.org/officeDocument/2006/relationships/hyperlink" Target="https://us3.assetplanner.com/service_request?ID=106387" TargetMode="External"/><Relationship Id="rId176" Type="http://schemas.openxmlformats.org/officeDocument/2006/relationships/hyperlink" Target="https://us3.assetplanner.com/service_request?ID=105284" TargetMode="External"/><Relationship Id="rId17" Type="http://schemas.openxmlformats.org/officeDocument/2006/relationships/hyperlink" Target="https://us3.assetplanner.com/service_request?ID=102532" TargetMode="External"/><Relationship Id="rId38" Type="http://schemas.openxmlformats.org/officeDocument/2006/relationships/hyperlink" Target="https://us3.assetplanner.com/service_request?ID=106726" TargetMode="External"/><Relationship Id="rId59" Type="http://schemas.openxmlformats.org/officeDocument/2006/relationships/hyperlink" Target="https://us3.assetplanner.com/service_request?ID=105775" TargetMode="External"/><Relationship Id="rId103" Type="http://schemas.openxmlformats.org/officeDocument/2006/relationships/hyperlink" Target="https://us3.assetplanner.com/service_request?ID=106643" TargetMode="External"/><Relationship Id="rId124" Type="http://schemas.openxmlformats.org/officeDocument/2006/relationships/hyperlink" Target="https://us3.assetplanner.com/service_request?ID=103685" TargetMode="External"/><Relationship Id="rId70" Type="http://schemas.openxmlformats.org/officeDocument/2006/relationships/hyperlink" Target="https://us3.assetplanner.com/service_request?ID=106271" TargetMode="External"/><Relationship Id="rId91" Type="http://schemas.openxmlformats.org/officeDocument/2006/relationships/hyperlink" Target="https://us3.assetplanner.com/service_request?ID=107234" TargetMode="External"/><Relationship Id="rId145" Type="http://schemas.openxmlformats.org/officeDocument/2006/relationships/hyperlink" Target="https://us3.assetplanner.com/service_request?ID=105307" TargetMode="External"/><Relationship Id="rId166" Type="http://schemas.openxmlformats.org/officeDocument/2006/relationships/hyperlink" Target="https://us3.assetplanner.com/service_request?ID=105531" TargetMode="External"/><Relationship Id="rId1" Type="http://schemas.openxmlformats.org/officeDocument/2006/relationships/hyperlink" Target="https://us3.assetplanner.com/service_request?ID=102152" TargetMode="External"/><Relationship Id="rId28" Type="http://schemas.openxmlformats.org/officeDocument/2006/relationships/hyperlink" Target="https://us3.assetplanner.com/service_request?ID=095662" TargetMode="External"/><Relationship Id="rId49" Type="http://schemas.openxmlformats.org/officeDocument/2006/relationships/hyperlink" Target="https://us3.assetplanner.com/service_request?ID=106735" TargetMode="External"/><Relationship Id="rId114" Type="http://schemas.openxmlformats.org/officeDocument/2006/relationships/hyperlink" Target="https://us3.assetplanner.com/service_request?ID=106428" TargetMode="External"/><Relationship Id="rId60" Type="http://schemas.openxmlformats.org/officeDocument/2006/relationships/hyperlink" Target="https://us3.assetplanner.com/service_request?ID=107253" TargetMode="External"/><Relationship Id="rId81" Type="http://schemas.openxmlformats.org/officeDocument/2006/relationships/hyperlink" Target="https://us3.assetplanner.com/service_request?ID=106037" TargetMode="External"/><Relationship Id="rId135" Type="http://schemas.openxmlformats.org/officeDocument/2006/relationships/hyperlink" Target="https://us3.assetplanner.com/service_request?ID=106501" TargetMode="External"/><Relationship Id="rId156" Type="http://schemas.openxmlformats.org/officeDocument/2006/relationships/hyperlink" Target="https://us3.assetplanner.com/service_request?ID=103246" TargetMode="External"/><Relationship Id="rId177" Type="http://schemas.openxmlformats.org/officeDocument/2006/relationships/hyperlink" Target="https://us3.assetplanner.com/service_request?ID=106448" TargetMode="External"/></Relationships>
</file>

<file path=xl/worksheets/_rels/sheet14.xml.rels><?xml version="1.0" encoding="UTF-8" standalone="yes"?>
<Relationships xmlns="http://schemas.openxmlformats.org/package/2006/relationships"><Relationship Id="rId117" Type="http://schemas.openxmlformats.org/officeDocument/2006/relationships/hyperlink" Target="https://us3.assetplanner.com/service_request?ID=108400" TargetMode="External"/><Relationship Id="rId21" Type="http://schemas.openxmlformats.org/officeDocument/2006/relationships/hyperlink" Target="https://us3.assetplanner.com/service_request?ID=105502" TargetMode="External"/><Relationship Id="rId42" Type="http://schemas.openxmlformats.org/officeDocument/2006/relationships/hyperlink" Target="https://us3.assetplanner.com/service_request?ID=106726" TargetMode="External"/><Relationship Id="rId63" Type="http://schemas.openxmlformats.org/officeDocument/2006/relationships/hyperlink" Target="https://us3.assetplanner.com/service_request?ID=108118" TargetMode="External"/><Relationship Id="rId84" Type="http://schemas.openxmlformats.org/officeDocument/2006/relationships/hyperlink" Target="https://us3.assetplanner.com/service_request?ID=107234" TargetMode="External"/><Relationship Id="rId138" Type="http://schemas.openxmlformats.org/officeDocument/2006/relationships/hyperlink" Target="https://us3.assetplanner.com/service_request?ID=108396" TargetMode="External"/><Relationship Id="rId159" Type="http://schemas.openxmlformats.org/officeDocument/2006/relationships/hyperlink" Target="https://us3.assetplanner.com/service_request?ID=107245" TargetMode="External"/><Relationship Id="rId107" Type="http://schemas.openxmlformats.org/officeDocument/2006/relationships/hyperlink" Target="https://us3.assetplanner.com/service_request?ID=106058" TargetMode="External"/><Relationship Id="rId11" Type="http://schemas.openxmlformats.org/officeDocument/2006/relationships/hyperlink" Target="https://us3.assetplanner.com/service_request?ID=103259" TargetMode="External"/><Relationship Id="rId32" Type="http://schemas.openxmlformats.org/officeDocument/2006/relationships/hyperlink" Target="https://us3.assetplanner.com/service_request?ID=105932" TargetMode="External"/><Relationship Id="rId53" Type="http://schemas.openxmlformats.org/officeDocument/2006/relationships/hyperlink" Target="https://us3.assetplanner.com/service_request?ID=107758" TargetMode="External"/><Relationship Id="rId74" Type="http://schemas.openxmlformats.org/officeDocument/2006/relationships/hyperlink" Target="https://us3.assetplanner.com/service_request?ID=107331" TargetMode="External"/><Relationship Id="rId128" Type="http://schemas.openxmlformats.org/officeDocument/2006/relationships/hyperlink" Target="https://us3.assetplanner.com/service_request?ID=106530" TargetMode="External"/><Relationship Id="rId149" Type="http://schemas.openxmlformats.org/officeDocument/2006/relationships/hyperlink" Target="https://us3.assetplanner.com/service_request?ID=098066" TargetMode="External"/><Relationship Id="rId5" Type="http://schemas.openxmlformats.org/officeDocument/2006/relationships/hyperlink" Target="https://us3.assetplanner.com/service_request?ID=093633" TargetMode="External"/><Relationship Id="rId95" Type="http://schemas.openxmlformats.org/officeDocument/2006/relationships/hyperlink" Target="https://us3.assetplanner.com/service_request?ID=107450" TargetMode="External"/><Relationship Id="rId160" Type="http://schemas.openxmlformats.org/officeDocument/2006/relationships/hyperlink" Target="https://us3.assetplanner.com/service_request?ID=108392" TargetMode="External"/><Relationship Id="rId22" Type="http://schemas.openxmlformats.org/officeDocument/2006/relationships/hyperlink" Target="https://us3.assetplanner.com/service_request?ID=108939" TargetMode="External"/><Relationship Id="rId43" Type="http://schemas.openxmlformats.org/officeDocument/2006/relationships/hyperlink" Target="https://us3.assetplanner.com/service_request?ID=107702" TargetMode="External"/><Relationship Id="rId64" Type="http://schemas.openxmlformats.org/officeDocument/2006/relationships/hyperlink" Target="https://us3.assetplanner.com/service_request?ID=106503" TargetMode="External"/><Relationship Id="rId118" Type="http://schemas.openxmlformats.org/officeDocument/2006/relationships/hyperlink" Target="https://us3.assetplanner.com/service_request?ID=107376" TargetMode="External"/><Relationship Id="rId139" Type="http://schemas.openxmlformats.org/officeDocument/2006/relationships/hyperlink" Target="https://us3.assetplanner.com/service_request?ID=107295" TargetMode="External"/><Relationship Id="rId85" Type="http://schemas.openxmlformats.org/officeDocument/2006/relationships/hyperlink" Target="https://us3.assetplanner.com/service_request?ID=108143" TargetMode="External"/><Relationship Id="rId150" Type="http://schemas.openxmlformats.org/officeDocument/2006/relationships/hyperlink" Target="https://us3.assetplanner.com/service_request?ID=099545" TargetMode="External"/><Relationship Id="rId12" Type="http://schemas.openxmlformats.org/officeDocument/2006/relationships/hyperlink" Target="https://us3.assetplanner.com/service_request?ID=108228" TargetMode="External"/><Relationship Id="rId17" Type="http://schemas.openxmlformats.org/officeDocument/2006/relationships/hyperlink" Target="https://us3.assetplanner.com/service_request?ID=093236" TargetMode="External"/><Relationship Id="rId33" Type="http://schemas.openxmlformats.org/officeDocument/2006/relationships/hyperlink" Target="https://us3.assetplanner.com/service_request?ID=098241" TargetMode="External"/><Relationship Id="rId38" Type="http://schemas.openxmlformats.org/officeDocument/2006/relationships/hyperlink" Target="https://us3.assetplanner.com/service_request?ID=108007" TargetMode="External"/><Relationship Id="rId59" Type="http://schemas.openxmlformats.org/officeDocument/2006/relationships/hyperlink" Target="https://us3.assetplanner.com/service_request?ID=107506" TargetMode="External"/><Relationship Id="rId103" Type="http://schemas.openxmlformats.org/officeDocument/2006/relationships/hyperlink" Target="https://us3.assetplanner.com/service_request?ID=107493" TargetMode="External"/><Relationship Id="rId108" Type="http://schemas.openxmlformats.org/officeDocument/2006/relationships/hyperlink" Target="https://us3.assetplanner.com/service_request?ID=106176" TargetMode="External"/><Relationship Id="rId124" Type="http://schemas.openxmlformats.org/officeDocument/2006/relationships/hyperlink" Target="https://us3.assetplanner.com/service_request?ID=108334" TargetMode="External"/><Relationship Id="rId129" Type="http://schemas.openxmlformats.org/officeDocument/2006/relationships/hyperlink" Target="https://us3.assetplanner.com/service_request?ID=107411" TargetMode="External"/><Relationship Id="rId54" Type="http://schemas.openxmlformats.org/officeDocument/2006/relationships/hyperlink" Target="https://us3.assetplanner.com/service_request?ID=107491" TargetMode="External"/><Relationship Id="rId70" Type="http://schemas.openxmlformats.org/officeDocument/2006/relationships/hyperlink" Target="https://us3.assetplanner.com/service_request?ID=106662" TargetMode="External"/><Relationship Id="rId75" Type="http://schemas.openxmlformats.org/officeDocument/2006/relationships/hyperlink" Target="https://us3.assetplanner.com/service_request?ID=106786" TargetMode="External"/><Relationship Id="rId91" Type="http://schemas.openxmlformats.org/officeDocument/2006/relationships/hyperlink" Target="https://us3.assetplanner.com/service_request?ID=106797" TargetMode="External"/><Relationship Id="rId96" Type="http://schemas.openxmlformats.org/officeDocument/2006/relationships/hyperlink" Target="https://us3.assetplanner.com/service_request?ID=107667" TargetMode="External"/><Relationship Id="rId140" Type="http://schemas.openxmlformats.org/officeDocument/2006/relationships/hyperlink" Target="https://us3.assetplanner.com/service_request?ID=107059" TargetMode="External"/><Relationship Id="rId145" Type="http://schemas.openxmlformats.org/officeDocument/2006/relationships/hyperlink" Target="https://us3.assetplanner.com/service_request?ID=098278" TargetMode="External"/><Relationship Id="rId161" Type="http://schemas.openxmlformats.org/officeDocument/2006/relationships/printerSettings" Target="../printerSettings/printerSettings6.bin"/><Relationship Id="rId1" Type="http://schemas.openxmlformats.org/officeDocument/2006/relationships/hyperlink" Target="https://us3.assetplanner.com/service_request?ID=107464" TargetMode="External"/><Relationship Id="rId6" Type="http://schemas.openxmlformats.org/officeDocument/2006/relationships/hyperlink" Target="https://us3.assetplanner.com/service_request?ID=093292" TargetMode="External"/><Relationship Id="rId23" Type="http://schemas.openxmlformats.org/officeDocument/2006/relationships/hyperlink" Target="https://us3.assetplanner.com/service_request?ID=088813" TargetMode="External"/><Relationship Id="rId28" Type="http://schemas.openxmlformats.org/officeDocument/2006/relationships/hyperlink" Target="https://us3.assetplanner.com/service_request?ID=093326" TargetMode="External"/><Relationship Id="rId49" Type="http://schemas.openxmlformats.org/officeDocument/2006/relationships/hyperlink" Target="https://us3.assetplanner.com/service_request?ID=107751" TargetMode="External"/><Relationship Id="rId114" Type="http://schemas.openxmlformats.org/officeDocument/2006/relationships/hyperlink" Target="https://us3.assetplanner.com/service_request?ID=108225" TargetMode="External"/><Relationship Id="rId119" Type="http://schemas.openxmlformats.org/officeDocument/2006/relationships/hyperlink" Target="https://us3.assetplanner.com/service_request?ID=107937" TargetMode="External"/><Relationship Id="rId44" Type="http://schemas.openxmlformats.org/officeDocument/2006/relationships/hyperlink" Target="https://us3.assetplanner.com/service_request?ID=107603" TargetMode="External"/><Relationship Id="rId60" Type="http://schemas.openxmlformats.org/officeDocument/2006/relationships/hyperlink" Target="https://us3.assetplanner.com/service_request?ID=108486" TargetMode="External"/><Relationship Id="rId65" Type="http://schemas.openxmlformats.org/officeDocument/2006/relationships/hyperlink" Target="https://us3.assetplanner.com/service_request?ID=105774" TargetMode="External"/><Relationship Id="rId81" Type="http://schemas.openxmlformats.org/officeDocument/2006/relationships/hyperlink" Target="https://us3.assetplanner.com/service_request?ID=101820" TargetMode="External"/><Relationship Id="rId86" Type="http://schemas.openxmlformats.org/officeDocument/2006/relationships/hyperlink" Target="https://us3.assetplanner.com/service_request?ID=108145" TargetMode="External"/><Relationship Id="rId130" Type="http://schemas.openxmlformats.org/officeDocument/2006/relationships/hyperlink" Target="https://us3.assetplanner.com/service_request?ID=106387" TargetMode="External"/><Relationship Id="rId135" Type="http://schemas.openxmlformats.org/officeDocument/2006/relationships/hyperlink" Target="https://us3.assetplanner.com/service_request?ID=107495" TargetMode="External"/><Relationship Id="rId151" Type="http://schemas.openxmlformats.org/officeDocument/2006/relationships/hyperlink" Target="https://us3.assetplanner.com/service_request?ID=107641" TargetMode="External"/><Relationship Id="rId156" Type="http://schemas.openxmlformats.org/officeDocument/2006/relationships/hyperlink" Target="https://us3.assetplanner.com/service_request?ID=107263" TargetMode="External"/><Relationship Id="rId13" Type="http://schemas.openxmlformats.org/officeDocument/2006/relationships/hyperlink" Target="https://us3.assetplanner.com/service_request?ID=107240" TargetMode="External"/><Relationship Id="rId18" Type="http://schemas.openxmlformats.org/officeDocument/2006/relationships/hyperlink" Target="https://us3.assetplanner.com/service_request?ID=107361" TargetMode="External"/><Relationship Id="rId39" Type="http://schemas.openxmlformats.org/officeDocument/2006/relationships/hyperlink" Target="https://us3.assetplanner.com/service_request?ID=108411" TargetMode="External"/><Relationship Id="rId109" Type="http://schemas.openxmlformats.org/officeDocument/2006/relationships/hyperlink" Target="https://us3.assetplanner.com/service_request?ID=108248" TargetMode="External"/><Relationship Id="rId34" Type="http://schemas.openxmlformats.org/officeDocument/2006/relationships/hyperlink" Target="https://us3.assetplanner.com/service_request?ID=105932" TargetMode="External"/><Relationship Id="rId50" Type="http://schemas.openxmlformats.org/officeDocument/2006/relationships/hyperlink" Target="https://us3.assetplanner.com/service_request?ID=105816" TargetMode="External"/><Relationship Id="rId55" Type="http://schemas.openxmlformats.org/officeDocument/2006/relationships/hyperlink" Target="https://us3.assetplanner.com/service_request?ID=108045" TargetMode="External"/><Relationship Id="rId76" Type="http://schemas.openxmlformats.org/officeDocument/2006/relationships/hyperlink" Target="https://us3.assetplanner.com/service_request?ID=108010" TargetMode="External"/><Relationship Id="rId97" Type="http://schemas.openxmlformats.org/officeDocument/2006/relationships/hyperlink" Target="https://us3.assetplanner.com/service_request?ID=107666" TargetMode="External"/><Relationship Id="rId104" Type="http://schemas.openxmlformats.org/officeDocument/2006/relationships/hyperlink" Target="https://us3.assetplanner.com/service_request?ID=107781" TargetMode="External"/><Relationship Id="rId120" Type="http://schemas.openxmlformats.org/officeDocument/2006/relationships/hyperlink" Target="https://us3.assetplanner.com/service_request?ID=106501" TargetMode="External"/><Relationship Id="rId125" Type="http://schemas.openxmlformats.org/officeDocument/2006/relationships/hyperlink" Target="https://us3.assetplanner.com/service_request?ID=103141" TargetMode="External"/><Relationship Id="rId141" Type="http://schemas.openxmlformats.org/officeDocument/2006/relationships/hyperlink" Target="https://us3.assetplanner.com/service_request?ID=105922" TargetMode="External"/><Relationship Id="rId146" Type="http://schemas.openxmlformats.org/officeDocument/2006/relationships/hyperlink" Target="https://us3.assetplanner.com/service_request?ID=098670" TargetMode="External"/><Relationship Id="rId7" Type="http://schemas.openxmlformats.org/officeDocument/2006/relationships/hyperlink" Target="https://us3.assetplanner.com/service_request?ID=104856" TargetMode="External"/><Relationship Id="rId71" Type="http://schemas.openxmlformats.org/officeDocument/2006/relationships/hyperlink" Target="https://us3.assetplanner.com/service_request?ID=106755" TargetMode="External"/><Relationship Id="rId92" Type="http://schemas.openxmlformats.org/officeDocument/2006/relationships/hyperlink" Target="https://us3.assetplanner.com/service_request?ID=108023" TargetMode="External"/><Relationship Id="rId2" Type="http://schemas.openxmlformats.org/officeDocument/2006/relationships/hyperlink" Target="https://us3.assetplanner.com/service_request?ID=108295" TargetMode="External"/><Relationship Id="rId29" Type="http://schemas.openxmlformats.org/officeDocument/2006/relationships/hyperlink" Target="https://us3.assetplanner.com/service_request?ID=107164" TargetMode="External"/><Relationship Id="rId24" Type="http://schemas.openxmlformats.org/officeDocument/2006/relationships/hyperlink" Target="https://us3.assetplanner.com/service_request?ID=105544" TargetMode="External"/><Relationship Id="rId40" Type="http://schemas.openxmlformats.org/officeDocument/2006/relationships/hyperlink" Target="https://us3.assetplanner.com/service_request?ID=104403" TargetMode="External"/><Relationship Id="rId45" Type="http://schemas.openxmlformats.org/officeDocument/2006/relationships/hyperlink" Target="https://us3.assetplanner.com/service_request?ID=107011" TargetMode="External"/><Relationship Id="rId66" Type="http://schemas.openxmlformats.org/officeDocument/2006/relationships/hyperlink" Target="https://us3.assetplanner.com/service_request?ID=107267" TargetMode="External"/><Relationship Id="rId87" Type="http://schemas.openxmlformats.org/officeDocument/2006/relationships/hyperlink" Target="https://us3.assetplanner.com/service_request?ID=107236" TargetMode="External"/><Relationship Id="rId110" Type="http://schemas.openxmlformats.org/officeDocument/2006/relationships/hyperlink" Target="https://us3.assetplanner.com/service_request?ID=105964" TargetMode="External"/><Relationship Id="rId115" Type="http://schemas.openxmlformats.org/officeDocument/2006/relationships/hyperlink" Target="https://us3.assetplanner.com/service_request?ID=108330" TargetMode="External"/><Relationship Id="rId131" Type="http://schemas.openxmlformats.org/officeDocument/2006/relationships/hyperlink" Target="https://us3.assetplanner.com/service_request?ID=107805" TargetMode="External"/><Relationship Id="rId136" Type="http://schemas.openxmlformats.org/officeDocument/2006/relationships/hyperlink" Target="https://us3.assetplanner.com/service_request?ID=100220" TargetMode="External"/><Relationship Id="rId157" Type="http://schemas.openxmlformats.org/officeDocument/2006/relationships/hyperlink" Target="https://us3.assetplanner.com/service_request?ID=100771" TargetMode="External"/><Relationship Id="rId61" Type="http://schemas.openxmlformats.org/officeDocument/2006/relationships/hyperlink" Target="https://us3.assetplanner.com/service_request?ID=106622" TargetMode="External"/><Relationship Id="rId82" Type="http://schemas.openxmlformats.org/officeDocument/2006/relationships/hyperlink" Target="https://us3.assetplanner.com/service_request?ID=105775" TargetMode="External"/><Relationship Id="rId152" Type="http://schemas.openxmlformats.org/officeDocument/2006/relationships/hyperlink" Target="https://us3.assetplanner.com/service_request?ID=105284" TargetMode="External"/><Relationship Id="rId19" Type="http://schemas.openxmlformats.org/officeDocument/2006/relationships/hyperlink" Target="https://us3.assetplanner.com/service_request?ID=102529" TargetMode="External"/><Relationship Id="rId14" Type="http://schemas.openxmlformats.org/officeDocument/2006/relationships/hyperlink" Target="https://us3.assetplanner.com/service_request?ID=101786" TargetMode="External"/><Relationship Id="rId30" Type="http://schemas.openxmlformats.org/officeDocument/2006/relationships/hyperlink" Target="https://us3.assetplanner.com/service_request?ID=093327" TargetMode="External"/><Relationship Id="rId35" Type="http://schemas.openxmlformats.org/officeDocument/2006/relationships/hyperlink" Target="https://us3.assetplanner.com/service_request?ID=107934" TargetMode="External"/><Relationship Id="rId56" Type="http://schemas.openxmlformats.org/officeDocument/2006/relationships/hyperlink" Target="https://us3.assetplanner.com/service_request?ID=107780" TargetMode="External"/><Relationship Id="rId77" Type="http://schemas.openxmlformats.org/officeDocument/2006/relationships/hyperlink" Target="https://us3.assetplanner.com/service_request?ID=108338" TargetMode="External"/><Relationship Id="rId100" Type="http://schemas.openxmlformats.org/officeDocument/2006/relationships/hyperlink" Target="https://us3.assetplanner.com/service_request?ID=107142" TargetMode="External"/><Relationship Id="rId105" Type="http://schemas.openxmlformats.org/officeDocument/2006/relationships/hyperlink" Target="https://us3.assetplanner.com/service_request?ID=107090" TargetMode="External"/><Relationship Id="rId126" Type="http://schemas.openxmlformats.org/officeDocument/2006/relationships/hyperlink" Target="https://us3.assetplanner.com/service_request?ID=103871" TargetMode="External"/><Relationship Id="rId147" Type="http://schemas.openxmlformats.org/officeDocument/2006/relationships/hyperlink" Target="https://us3.assetplanner.com/service_request?ID=105354" TargetMode="External"/><Relationship Id="rId8" Type="http://schemas.openxmlformats.org/officeDocument/2006/relationships/hyperlink" Target="https://us3.assetplanner.com/service_request?ID=093924" TargetMode="External"/><Relationship Id="rId51" Type="http://schemas.openxmlformats.org/officeDocument/2006/relationships/hyperlink" Target="https://us3.assetplanner.com/service_request?ID=107490" TargetMode="External"/><Relationship Id="rId72" Type="http://schemas.openxmlformats.org/officeDocument/2006/relationships/hyperlink" Target="https://us3.assetplanner.com/service_request?ID=107706" TargetMode="External"/><Relationship Id="rId93" Type="http://schemas.openxmlformats.org/officeDocument/2006/relationships/hyperlink" Target="https://us3.assetplanner.com/service_request?ID=108111" TargetMode="External"/><Relationship Id="rId98" Type="http://schemas.openxmlformats.org/officeDocument/2006/relationships/hyperlink" Target="https://us3.assetplanner.com/service_request?ID=106843" TargetMode="External"/><Relationship Id="rId121" Type="http://schemas.openxmlformats.org/officeDocument/2006/relationships/hyperlink" Target="https://us3.assetplanner.com/service_request?ID=097454" TargetMode="External"/><Relationship Id="rId142" Type="http://schemas.openxmlformats.org/officeDocument/2006/relationships/hyperlink" Target="https://us3.assetplanner.com/service_request?ID=106486"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107242" TargetMode="External"/><Relationship Id="rId46" Type="http://schemas.openxmlformats.org/officeDocument/2006/relationships/hyperlink" Target="https://us3.assetplanner.com/service_request?ID=108390" TargetMode="External"/><Relationship Id="rId67" Type="http://schemas.openxmlformats.org/officeDocument/2006/relationships/hyperlink" Target="https://us3.assetplanner.com/service_request?ID=108310" TargetMode="External"/><Relationship Id="rId116" Type="http://schemas.openxmlformats.org/officeDocument/2006/relationships/hyperlink" Target="https://us3.assetplanner.com/service_request?ID=108395" TargetMode="External"/><Relationship Id="rId137" Type="http://schemas.openxmlformats.org/officeDocument/2006/relationships/hyperlink" Target="https://us3.assetplanner.com/service_request?ID=108427" TargetMode="External"/><Relationship Id="rId158" Type="http://schemas.openxmlformats.org/officeDocument/2006/relationships/hyperlink" Target="https://us3.assetplanner.com/service_request?ID=108424" TargetMode="External"/><Relationship Id="rId20" Type="http://schemas.openxmlformats.org/officeDocument/2006/relationships/hyperlink" Target="https://us3.assetplanner.com/service_request?ID=088282" TargetMode="External"/><Relationship Id="rId41" Type="http://schemas.openxmlformats.org/officeDocument/2006/relationships/hyperlink" Target="https://us3.assetplanner.com/service_request?ID=098641" TargetMode="External"/><Relationship Id="rId62" Type="http://schemas.openxmlformats.org/officeDocument/2006/relationships/hyperlink" Target="https://us3.assetplanner.com/service_request?ID=107254" TargetMode="External"/><Relationship Id="rId83" Type="http://schemas.openxmlformats.org/officeDocument/2006/relationships/hyperlink" Target="https://us3.assetplanner.com/service_request?ID=105649" TargetMode="External"/><Relationship Id="rId88" Type="http://schemas.openxmlformats.org/officeDocument/2006/relationships/hyperlink" Target="https://us3.assetplanner.com/service_request?ID=105659" TargetMode="External"/><Relationship Id="rId111" Type="http://schemas.openxmlformats.org/officeDocument/2006/relationships/hyperlink" Target="https://us3.assetplanner.com/service_request?ID=106921" TargetMode="External"/><Relationship Id="rId132" Type="http://schemas.openxmlformats.org/officeDocument/2006/relationships/hyperlink" Target="https://us3.assetplanner.com/service_request?ID=103641" TargetMode="External"/><Relationship Id="rId153" Type="http://schemas.openxmlformats.org/officeDocument/2006/relationships/hyperlink" Target="https://us3.assetplanner.com/service_request?ID=107529" TargetMode="External"/><Relationship Id="rId15" Type="http://schemas.openxmlformats.org/officeDocument/2006/relationships/hyperlink" Target="https://us3.assetplanner.com/service_request?ID=102902" TargetMode="External"/><Relationship Id="rId36" Type="http://schemas.openxmlformats.org/officeDocument/2006/relationships/hyperlink" Target="https://us3.assetplanner.com/service_request?ID=105933" TargetMode="External"/><Relationship Id="rId57" Type="http://schemas.openxmlformats.org/officeDocument/2006/relationships/hyperlink" Target="https://us3.assetplanner.com/service_request?ID=108277" TargetMode="External"/><Relationship Id="rId106" Type="http://schemas.openxmlformats.org/officeDocument/2006/relationships/hyperlink" Target="https://us3.assetplanner.com/service_request?ID=102328" TargetMode="External"/><Relationship Id="rId127" Type="http://schemas.openxmlformats.org/officeDocument/2006/relationships/hyperlink" Target="https://us3.assetplanner.com/service_request?ID=103710" TargetMode="External"/><Relationship Id="rId10" Type="http://schemas.openxmlformats.org/officeDocument/2006/relationships/hyperlink" Target="https://us3.assetplanner.com/service_request?ID=103245" TargetMode="External"/><Relationship Id="rId31" Type="http://schemas.openxmlformats.org/officeDocument/2006/relationships/hyperlink" Target="https://us3.assetplanner.com/service_request?ID=095662" TargetMode="External"/><Relationship Id="rId52" Type="http://schemas.openxmlformats.org/officeDocument/2006/relationships/hyperlink" Target="https://us3.assetplanner.com/service_request?ID=093024" TargetMode="External"/><Relationship Id="rId73" Type="http://schemas.openxmlformats.org/officeDocument/2006/relationships/hyperlink" Target="https://us3.assetplanner.com/service_request?ID=107651" TargetMode="External"/><Relationship Id="rId78" Type="http://schemas.openxmlformats.org/officeDocument/2006/relationships/hyperlink" Target="https://us3.assetplanner.com/service_request?ID=107449" TargetMode="External"/><Relationship Id="rId94" Type="http://schemas.openxmlformats.org/officeDocument/2006/relationships/hyperlink" Target="https://us3.assetplanner.com/service_request?ID=107665" TargetMode="External"/><Relationship Id="rId99" Type="http://schemas.openxmlformats.org/officeDocument/2006/relationships/hyperlink" Target="https://us3.assetplanner.com/service_request?ID=105180" TargetMode="External"/><Relationship Id="rId101" Type="http://schemas.openxmlformats.org/officeDocument/2006/relationships/hyperlink" Target="https://us3.assetplanner.com/service_request?ID=107955" TargetMode="External"/><Relationship Id="rId122" Type="http://schemas.openxmlformats.org/officeDocument/2006/relationships/hyperlink" Target="https://us3.assetplanner.com/service_request?ID=107556" TargetMode="External"/><Relationship Id="rId143" Type="http://schemas.openxmlformats.org/officeDocument/2006/relationships/hyperlink" Target="https://us3.assetplanner.com/service_request?ID=107368" TargetMode="External"/><Relationship Id="rId148" Type="http://schemas.openxmlformats.org/officeDocument/2006/relationships/hyperlink" Target="https://us3.assetplanner.com/service_request?ID=106824" TargetMode="External"/><Relationship Id="rId4" Type="http://schemas.openxmlformats.org/officeDocument/2006/relationships/hyperlink" Target="https://us3.assetplanner.com/service_request?ID=095666" TargetMode="External"/><Relationship Id="rId9" Type="http://schemas.openxmlformats.org/officeDocument/2006/relationships/hyperlink" Target="https://us3.assetplanner.com/service_request?ID=086842" TargetMode="External"/><Relationship Id="rId26" Type="http://schemas.openxmlformats.org/officeDocument/2006/relationships/hyperlink" Target="https://us3.assetplanner.com/service_request?ID=093324" TargetMode="External"/><Relationship Id="rId47" Type="http://schemas.openxmlformats.org/officeDocument/2006/relationships/hyperlink" Target="https://us3.assetplanner.com/service_request?ID=099403" TargetMode="External"/><Relationship Id="rId68" Type="http://schemas.openxmlformats.org/officeDocument/2006/relationships/hyperlink" Target="https://us3.assetplanner.com/service_request?ID=107323" TargetMode="External"/><Relationship Id="rId89" Type="http://schemas.openxmlformats.org/officeDocument/2006/relationships/hyperlink" Target="https://us3.assetplanner.com/service_request?ID=108266" TargetMode="External"/><Relationship Id="rId112" Type="http://schemas.openxmlformats.org/officeDocument/2006/relationships/hyperlink" Target="https://us3.assetplanner.com/service_request?ID=107313" TargetMode="External"/><Relationship Id="rId133" Type="http://schemas.openxmlformats.org/officeDocument/2006/relationships/hyperlink" Target="https://us3.assetplanner.com/service_request?ID=103246" TargetMode="External"/><Relationship Id="rId154" Type="http://schemas.openxmlformats.org/officeDocument/2006/relationships/hyperlink" Target="https://us3.assetplanner.com/service_request?ID=107809" TargetMode="External"/><Relationship Id="rId16" Type="http://schemas.openxmlformats.org/officeDocument/2006/relationships/hyperlink" Target="https://us3.assetplanner.com/service_request?ID=102672" TargetMode="External"/><Relationship Id="rId37" Type="http://schemas.openxmlformats.org/officeDocument/2006/relationships/hyperlink" Target="https://us3.assetplanner.com/service_request?ID=106721" TargetMode="External"/><Relationship Id="rId58" Type="http://schemas.openxmlformats.org/officeDocument/2006/relationships/hyperlink" Target="https://us3.assetplanner.com/service_request?ID=108456" TargetMode="External"/><Relationship Id="rId79" Type="http://schemas.openxmlformats.org/officeDocument/2006/relationships/hyperlink" Target="https://us3.assetplanner.com/service_request?ID=108470" TargetMode="External"/><Relationship Id="rId102" Type="http://schemas.openxmlformats.org/officeDocument/2006/relationships/hyperlink" Target="https://us3.assetplanner.com/service_request?ID=107478" TargetMode="External"/><Relationship Id="rId123" Type="http://schemas.openxmlformats.org/officeDocument/2006/relationships/hyperlink" Target="https://us3.assetplanner.com/service_request?ID=107893" TargetMode="External"/><Relationship Id="rId144" Type="http://schemas.openxmlformats.org/officeDocument/2006/relationships/hyperlink" Target="https://us3.assetplanner.com/service_request?ID=107988" TargetMode="External"/><Relationship Id="rId90" Type="http://schemas.openxmlformats.org/officeDocument/2006/relationships/hyperlink" Target="https://us3.assetplanner.com/service_request?ID=107585" TargetMode="External"/><Relationship Id="rId27" Type="http://schemas.openxmlformats.org/officeDocument/2006/relationships/hyperlink" Target="https://us3.assetplanner.com/service_request?ID=107329" TargetMode="External"/><Relationship Id="rId48" Type="http://schemas.openxmlformats.org/officeDocument/2006/relationships/hyperlink" Target="https://us3.assetplanner.com/service_request?ID=107750" TargetMode="External"/><Relationship Id="rId69" Type="http://schemas.openxmlformats.org/officeDocument/2006/relationships/hyperlink" Target="https://us3.assetplanner.com/service_request?ID=108010" TargetMode="External"/><Relationship Id="rId113" Type="http://schemas.openxmlformats.org/officeDocument/2006/relationships/hyperlink" Target="https://us3.assetplanner.com/service_request?ID=107939" TargetMode="External"/><Relationship Id="rId134" Type="http://schemas.openxmlformats.org/officeDocument/2006/relationships/hyperlink" Target="https://us3.assetplanner.com/service_request?ID=108093" TargetMode="External"/><Relationship Id="rId80" Type="http://schemas.openxmlformats.org/officeDocument/2006/relationships/hyperlink" Target="https://us3.assetplanner.com/service_request?ID=108139" TargetMode="External"/><Relationship Id="rId155" Type="http://schemas.openxmlformats.org/officeDocument/2006/relationships/hyperlink" Target="https://us3.assetplanner.com/service_request?ID=107813" TargetMode="External"/></Relationships>
</file>

<file path=xl/worksheets/_rels/sheet15.xml.rels><?xml version="1.0" encoding="UTF-8" standalone="yes"?>
<Relationships xmlns="http://schemas.openxmlformats.org/package/2006/relationships"><Relationship Id="rId117" Type="http://schemas.openxmlformats.org/officeDocument/2006/relationships/hyperlink" Target="https://us3.assetplanner.com/service_request?ID=109675" TargetMode="External"/><Relationship Id="rId21" Type="http://schemas.openxmlformats.org/officeDocument/2006/relationships/hyperlink" Target="https://us3.assetplanner.com/service_request?ID=108939" TargetMode="External"/><Relationship Id="rId42" Type="http://schemas.openxmlformats.org/officeDocument/2006/relationships/hyperlink" Target="https://us3.assetplanner.com/service_request?ID=108823" TargetMode="External"/><Relationship Id="rId63" Type="http://schemas.openxmlformats.org/officeDocument/2006/relationships/hyperlink" Target="https://us3.assetplanner.com/service_request?ID=108010" TargetMode="External"/><Relationship Id="rId84" Type="http://schemas.openxmlformats.org/officeDocument/2006/relationships/hyperlink" Target="https://us3.assetplanner.com/service_request?ID=109938" TargetMode="External"/><Relationship Id="rId138" Type="http://schemas.openxmlformats.org/officeDocument/2006/relationships/hyperlink" Target="https://us3.assetplanner.com/service_request?ID=108396" TargetMode="External"/><Relationship Id="rId159" Type="http://schemas.openxmlformats.org/officeDocument/2006/relationships/hyperlink" Target="https://us3.assetplanner.com/service_request?ID=109335" TargetMode="External"/><Relationship Id="rId170" Type="http://schemas.openxmlformats.org/officeDocument/2006/relationships/hyperlink" Target="https://us3.assetplanner.com/service_request?ID=109665" TargetMode="External"/><Relationship Id="rId107" Type="http://schemas.openxmlformats.org/officeDocument/2006/relationships/hyperlink" Target="https://us3.assetplanner.com/service_request?ID=108808" TargetMode="External"/><Relationship Id="rId11" Type="http://schemas.openxmlformats.org/officeDocument/2006/relationships/hyperlink" Target="https://us3.assetplanner.com/service_request?ID=109161" TargetMode="External"/><Relationship Id="rId32" Type="http://schemas.openxmlformats.org/officeDocument/2006/relationships/hyperlink" Target="https://us3.assetplanner.com/service_request?ID=105932" TargetMode="External"/><Relationship Id="rId53" Type="http://schemas.openxmlformats.org/officeDocument/2006/relationships/hyperlink" Target="https://us3.assetplanner.com/service_request?ID=109987" TargetMode="External"/><Relationship Id="rId74" Type="http://schemas.openxmlformats.org/officeDocument/2006/relationships/hyperlink" Target="https://us3.assetplanner.com/service_request?ID=105775" TargetMode="External"/><Relationship Id="rId128" Type="http://schemas.openxmlformats.org/officeDocument/2006/relationships/hyperlink" Target="https://us3.assetplanner.com/service_request?ID=109794" TargetMode="External"/><Relationship Id="rId149" Type="http://schemas.openxmlformats.org/officeDocument/2006/relationships/hyperlink" Target="https://us3.assetplanner.com/service_request?ID=098278" TargetMode="External"/><Relationship Id="rId5" Type="http://schemas.openxmlformats.org/officeDocument/2006/relationships/hyperlink" Target="https://us3.assetplanner.com/service_request?ID=093633" TargetMode="External"/><Relationship Id="rId95" Type="http://schemas.openxmlformats.org/officeDocument/2006/relationships/hyperlink" Target="https://us3.assetplanner.com/service_request?ID=107666" TargetMode="External"/><Relationship Id="rId160" Type="http://schemas.openxmlformats.org/officeDocument/2006/relationships/hyperlink" Target="https://us3.assetplanner.com/service_request?ID=108961" TargetMode="External"/><Relationship Id="rId181" Type="http://schemas.openxmlformats.org/officeDocument/2006/relationships/hyperlink" Target="https://us3.assetplanner.com/service_request?ID=109403" TargetMode="External"/><Relationship Id="rId22" Type="http://schemas.openxmlformats.org/officeDocument/2006/relationships/hyperlink" Target="https://us3.assetplanner.com/service_request?ID=089666" TargetMode="External"/><Relationship Id="rId43" Type="http://schemas.openxmlformats.org/officeDocument/2006/relationships/hyperlink" Target="https://us3.assetplanner.com/service_request?ID=109086" TargetMode="External"/><Relationship Id="rId64" Type="http://schemas.openxmlformats.org/officeDocument/2006/relationships/hyperlink" Target="https://us3.assetplanner.com/service_request?ID=107331" TargetMode="External"/><Relationship Id="rId118" Type="http://schemas.openxmlformats.org/officeDocument/2006/relationships/hyperlink" Target="https://us3.assetplanner.com/service_request?ID=109676" TargetMode="External"/><Relationship Id="rId139" Type="http://schemas.openxmlformats.org/officeDocument/2006/relationships/hyperlink" Target="https://us3.assetplanner.com/service_request?ID=108982" TargetMode="External"/><Relationship Id="rId85" Type="http://schemas.openxmlformats.org/officeDocument/2006/relationships/hyperlink" Target="https://us3.assetplanner.com/service_request?ID=107585" TargetMode="External"/><Relationship Id="rId150" Type="http://schemas.openxmlformats.org/officeDocument/2006/relationships/hyperlink" Target="https://us3.assetplanner.com/service_request?ID=098670" TargetMode="External"/><Relationship Id="rId171" Type="http://schemas.openxmlformats.org/officeDocument/2006/relationships/hyperlink" Target="https://us3.assetplanner.com/service_request?ID=109681" TargetMode="External"/><Relationship Id="rId12" Type="http://schemas.openxmlformats.org/officeDocument/2006/relationships/hyperlink" Target="https://us3.assetplanner.com/service_request?ID=103259" TargetMode="External"/><Relationship Id="rId33" Type="http://schemas.openxmlformats.org/officeDocument/2006/relationships/hyperlink" Target="https://us3.assetplanner.com/service_request?ID=098241" TargetMode="External"/><Relationship Id="rId108" Type="http://schemas.openxmlformats.org/officeDocument/2006/relationships/hyperlink" Target="https://us3.assetplanner.com/service_request?ID=106270" TargetMode="External"/><Relationship Id="rId129" Type="http://schemas.openxmlformats.org/officeDocument/2006/relationships/hyperlink" Target="https://us3.assetplanner.com/service_request?ID=095946" TargetMode="External"/><Relationship Id="rId54" Type="http://schemas.openxmlformats.org/officeDocument/2006/relationships/hyperlink" Target="https://us3.assetplanner.com/service_request?ID=109668" TargetMode="External"/><Relationship Id="rId75" Type="http://schemas.openxmlformats.org/officeDocument/2006/relationships/hyperlink" Target="https://us3.assetplanner.com/service_request?ID=109680" TargetMode="External"/><Relationship Id="rId96" Type="http://schemas.openxmlformats.org/officeDocument/2006/relationships/hyperlink" Target="https://us3.assetplanner.com/service_request?ID=106739" TargetMode="External"/><Relationship Id="rId140" Type="http://schemas.openxmlformats.org/officeDocument/2006/relationships/hyperlink" Target="https://us3.assetplanner.com/service_request?ID=107059" TargetMode="External"/><Relationship Id="rId161" Type="http://schemas.openxmlformats.org/officeDocument/2006/relationships/hyperlink" Target="https://us3.assetplanner.com/service_request?ID=109101" TargetMode="External"/><Relationship Id="rId182" Type="http://schemas.openxmlformats.org/officeDocument/2006/relationships/hyperlink" Target="https://us3.assetplanner.com/service_request?ID=109160" TargetMode="External"/><Relationship Id="rId6" Type="http://schemas.openxmlformats.org/officeDocument/2006/relationships/hyperlink" Target="https://us3.assetplanner.com/service_request?ID=093292" TargetMode="External"/><Relationship Id="rId23" Type="http://schemas.openxmlformats.org/officeDocument/2006/relationships/hyperlink" Target="https://us3.assetplanner.com/service_request?ID=088813" TargetMode="External"/><Relationship Id="rId119" Type="http://schemas.openxmlformats.org/officeDocument/2006/relationships/hyperlink" Target="https://us3.assetplanner.com/service_request?ID=098860" TargetMode="External"/><Relationship Id="rId44" Type="http://schemas.openxmlformats.org/officeDocument/2006/relationships/hyperlink" Target="https://us3.assetplanner.com/service_request?ID=109267" TargetMode="External"/><Relationship Id="rId65" Type="http://schemas.openxmlformats.org/officeDocument/2006/relationships/hyperlink" Target="https://us3.assetplanner.com/service_request?ID=108847" TargetMode="External"/><Relationship Id="rId86" Type="http://schemas.openxmlformats.org/officeDocument/2006/relationships/hyperlink" Target="https://us3.assetplanner.com/service_request?ID=108023" TargetMode="External"/><Relationship Id="rId130" Type="http://schemas.openxmlformats.org/officeDocument/2006/relationships/hyperlink" Target="https://us3.assetplanner.com/service_request?ID=110156" TargetMode="External"/><Relationship Id="rId151" Type="http://schemas.openxmlformats.org/officeDocument/2006/relationships/hyperlink" Target="https://us3.assetplanner.com/service_request?ID=110025" TargetMode="External"/><Relationship Id="rId172" Type="http://schemas.openxmlformats.org/officeDocument/2006/relationships/hyperlink" Target="https://us3.assetplanner.com/service_request?ID=109851" TargetMode="External"/><Relationship Id="rId13" Type="http://schemas.openxmlformats.org/officeDocument/2006/relationships/hyperlink" Target="https://us3.assetplanner.com/service_request?ID=109623" TargetMode="External"/><Relationship Id="rId18" Type="http://schemas.openxmlformats.org/officeDocument/2006/relationships/hyperlink" Target="https://us3.assetplanner.com/service_request?ID=102529" TargetMode="External"/><Relationship Id="rId39" Type="http://schemas.openxmlformats.org/officeDocument/2006/relationships/hyperlink" Target="https://us3.assetplanner.com/service_request?ID=107702" TargetMode="External"/><Relationship Id="rId109" Type="http://schemas.openxmlformats.org/officeDocument/2006/relationships/hyperlink" Target="https://us3.assetplanner.com/service_request?ID=109462" TargetMode="External"/><Relationship Id="rId34" Type="http://schemas.openxmlformats.org/officeDocument/2006/relationships/hyperlink" Target="https://us3.assetplanner.com/service_request?ID=105932" TargetMode="External"/><Relationship Id="rId50" Type="http://schemas.openxmlformats.org/officeDocument/2006/relationships/hyperlink" Target="https://us3.assetplanner.com/service_request?ID=109320" TargetMode="External"/><Relationship Id="rId55" Type="http://schemas.openxmlformats.org/officeDocument/2006/relationships/hyperlink" Target="https://us3.assetplanner.com/service_request?ID=108636" TargetMode="External"/><Relationship Id="rId76" Type="http://schemas.openxmlformats.org/officeDocument/2006/relationships/hyperlink" Target="https://us3.assetplanner.com/service_request?ID=105649" TargetMode="External"/><Relationship Id="rId97" Type="http://schemas.openxmlformats.org/officeDocument/2006/relationships/hyperlink" Target="https://us3.assetplanner.com/service_request?ID=109707" TargetMode="External"/><Relationship Id="rId104" Type="http://schemas.openxmlformats.org/officeDocument/2006/relationships/hyperlink" Target="https://us3.assetplanner.com/service_request?ID=109461" TargetMode="External"/><Relationship Id="rId120" Type="http://schemas.openxmlformats.org/officeDocument/2006/relationships/hyperlink" Target="https://us3.assetplanner.com/service_request?ID=106501" TargetMode="External"/><Relationship Id="rId125" Type="http://schemas.openxmlformats.org/officeDocument/2006/relationships/hyperlink" Target="https://us3.assetplanner.com/service_request?ID=109632" TargetMode="External"/><Relationship Id="rId141" Type="http://schemas.openxmlformats.org/officeDocument/2006/relationships/hyperlink" Target="https://us3.assetplanner.com/service_request?ID=108972" TargetMode="External"/><Relationship Id="rId146" Type="http://schemas.openxmlformats.org/officeDocument/2006/relationships/hyperlink" Target="https://us3.assetplanner.com/service_request?ID=109144" TargetMode="External"/><Relationship Id="rId167" Type="http://schemas.openxmlformats.org/officeDocument/2006/relationships/hyperlink" Target="https://us3.assetplanner.com/service_request?ID=108984" TargetMode="External"/><Relationship Id="rId7" Type="http://schemas.openxmlformats.org/officeDocument/2006/relationships/hyperlink" Target="https://us3.assetplanner.com/service_request?ID=104856" TargetMode="External"/><Relationship Id="rId71" Type="http://schemas.openxmlformats.org/officeDocument/2006/relationships/hyperlink" Target="https://us3.assetplanner.com/service_request?ID=108338" TargetMode="External"/><Relationship Id="rId92" Type="http://schemas.openxmlformats.org/officeDocument/2006/relationships/hyperlink" Target="https://us3.assetplanner.com/service_request?ID=107665" TargetMode="External"/><Relationship Id="rId162" Type="http://schemas.openxmlformats.org/officeDocument/2006/relationships/hyperlink" Target="https://us3.assetplanner.com/service_request?ID=109195" TargetMode="External"/><Relationship Id="rId183" Type="http://schemas.openxmlformats.org/officeDocument/2006/relationships/hyperlink" Target="https://us3.assetplanner.com/service_request?ID=109156" TargetMode="External"/><Relationship Id="rId2" Type="http://schemas.openxmlformats.org/officeDocument/2006/relationships/hyperlink" Target="https://us3.assetplanner.com/service_request?ID=108295" TargetMode="External"/><Relationship Id="rId29" Type="http://schemas.openxmlformats.org/officeDocument/2006/relationships/hyperlink" Target="https://us3.assetplanner.com/service_request?ID=093327" TargetMode="External"/><Relationship Id="rId24" Type="http://schemas.openxmlformats.org/officeDocument/2006/relationships/hyperlink" Target="https://us3.assetplanner.com/service_request?ID=105544" TargetMode="External"/><Relationship Id="rId40" Type="http://schemas.openxmlformats.org/officeDocument/2006/relationships/hyperlink" Target="https://us3.assetplanner.com/service_request?ID=108697" TargetMode="External"/><Relationship Id="rId45" Type="http://schemas.openxmlformats.org/officeDocument/2006/relationships/hyperlink" Target="https://us3.assetplanner.com/service_request?ID=109625" TargetMode="External"/><Relationship Id="rId66" Type="http://schemas.openxmlformats.org/officeDocument/2006/relationships/hyperlink" Target="https://us3.assetplanner.com/service_request?ID=110116" TargetMode="External"/><Relationship Id="rId87" Type="http://schemas.openxmlformats.org/officeDocument/2006/relationships/hyperlink" Target="https://us3.assetplanner.com/service_request?ID=109726" TargetMode="External"/><Relationship Id="rId110" Type="http://schemas.openxmlformats.org/officeDocument/2006/relationships/hyperlink" Target="https://us3.assetplanner.com/service_request?ID=109620" TargetMode="External"/><Relationship Id="rId115" Type="http://schemas.openxmlformats.org/officeDocument/2006/relationships/hyperlink" Target="https://us3.assetplanner.com/service_request?ID=106921" TargetMode="External"/><Relationship Id="rId131" Type="http://schemas.openxmlformats.org/officeDocument/2006/relationships/hyperlink" Target="https://us3.assetplanner.com/service_request?ID=110155" TargetMode="External"/><Relationship Id="rId136" Type="http://schemas.openxmlformats.org/officeDocument/2006/relationships/hyperlink" Target="https://us3.assetplanner.com/service_request?ID=109858" TargetMode="External"/><Relationship Id="rId157" Type="http://schemas.openxmlformats.org/officeDocument/2006/relationships/hyperlink" Target="https://us3.assetplanner.com/service_request?ID=105284" TargetMode="External"/><Relationship Id="rId178" Type="http://schemas.openxmlformats.org/officeDocument/2006/relationships/hyperlink" Target="https://us3.assetplanner.com/service_request?ID=109102" TargetMode="External"/><Relationship Id="rId61" Type="http://schemas.openxmlformats.org/officeDocument/2006/relationships/hyperlink" Target="https://us3.assetplanner.com/service_request?ID=109185" TargetMode="External"/><Relationship Id="rId82" Type="http://schemas.openxmlformats.org/officeDocument/2006/relationships/hyperlink" Target="https://us3.assetplanner.com/service_request?ID=109343" TargetMode="External"/><Relationship Id="rId152" Type="http://schemas.openxmlformats.org/officeDocument/2006/relationships/hyperlink" Target="https://us3.assetplanner.com/service_request?ID=098066" TargetMode="External"/><Relationship Id="rId173" Type="http://schemas.openxmlformats.org/officeDocument/2006/relationships/hyperlink" Target="https://us3.assetplanner.com/service_request?ID=109995" TargetMode="External"/><Relationship Id="rId19" Type="http://schemas.openxmlformats.org/officeDocument/2006/relationships/hyperlink" Target="https://us3.assetplanner.com/service_request?ID=110250" TargetMode="External"/><Relationship Id="rId14" Type="http://schemas.openxmlformats.org/officeDocument/2006/relationships/hyperlink" Target="https://us3.assetplanner.com/service_request?ID=110132" TargetMode="External"/><Relationship Id="rId30" Type="http://schemas.openxmlformats.org/officeDocument/2006/relationships/hyperlink" Target="https://us3.assetplanner.com/service_request?ID=109950" TargetMode="External"/><Relationship Id="rId35" Type="http://schemas.openxmlformats.org/officeDocument/2006/relationships/hyperlink" Target="https://us3.assetplanner.com/service_request?ID=104403" TargetMode="External"/><Relationship Id="rId56" Type="http://schemas.openxmlformats.org/officeDocument/2006/relationships/hyperlink" Target="https://us3.assetplanner.com/service_request?ID=107181" TargetMode="External"/><Relationship Id="rId77" Type="http://schemas.openxmlformats.org/officeDocument/2006/relationships/hyperlink" Target="https://us3.assetplanner.com/service_request?ID=109223" TargetMode="External"/><Relationship Id="rId100" Type="http://schemas.openxmlformats.org/officeDocument/2006/relationships/hyperlink" Target="https://us3.assetplanner.com/service_request?ID=107781" TargetMode="External"/><Relationship Id="rId105" Type="http://schemas.openxmlformats.org/officeDocument/2006/relationships/hyperlink" Target="https://us3.assetplanner.com/service_request?ID=108827" TargetMode="External"/><Relationship Id="rId126" Type="http://schemas.openxmlformats.org/officeDocument/2006/relationships/hyperlink" Target="https://us3.assetplanner.com/service_request?ID=110017" TargetMode="External"/><Relationship Id="rId147" Type="http://schemas.openxmlformats.org/officeDocument/2006/relationships/hyperlink" Target="https://us3.assetplanner.com/service_request?ID=109450" TargetMode="External"/><Relationship Id="rId168" Type="http://schemas.openxmlformats.org/officeDocument/2006/relationships/hyperlink" Target="https://us3.assetplanner.com/service_request?ID=109158" TargetMode="External"/><Relationship Id="rId8" Type="http://schemas.openxmlformats.org/officeDocument/2006/relationships/hyperlink" Target="https://us3.assetplanner.com/service_request?ID=093924" TargetMode="External"/><Relationship Id="rId51" Type="http://schemas.openxmlformats.org/officeDocument/2006/relationships/hyperlink" Target="https://us3.assetplanner.com/service_request?ID=109505" TargetMode="External"/><Relationship Id="rId72" Type="http://schemas.openxmlformats.org/officeDocument/2006/relationships/hyperlink" Target="https://us3.assetplanner.com/service_request?ID=107449" TargetMode="External"/><Relationship Id="rId93" Type="http://schemas.openxmlformats.org/officeDocument/2006/relationships/hyperlink" Target="https://us3.assetplanner.com/service_request?ID=107450" TargetMode="External"/><Relationship Id="rId98" Type="http://schemas.openxmlformats.org/officeDocument/2006/relationships/hyperlink" Target="https://us3.assetplanner.com/service_request?ID=109604" TargetMode="External"/><Relationship Id="rId121" Type="http://schemas.openxmlformats.org/officeDocument/2006/relationships/hyperlink" Target="https://us3.assetplanner.com/service_request?ID=109998" TargetMode="External"/><Relationship Id="rId142" Type="http://schemas.openxmlformats.org/officeDocument/2006/relationships/hyperlink" Target="https://us3.assetplanner.com/service_request?ID=105922" TargetMode="External"/><Relationship Id="rId163" Type="http://schemas.openxmlformats.org/officeDocument/2006/relationships/hyperlink" Target="https://us3.assetplanner.com/service_request?ID=109326" TargetMode="External"/><Relationship Id="rId184" Type="http://schemas.openxmlformats.org/officeDocument/2006/relationships/hyperlink" Target="https://us3.assetplanner.com/service_request?ID=109157" TargetMode="External"/><Relationship Id="rId3" Type="http://schemas.openxmlformats.org/officeDocument/2006/relationships/hyperlink" Target="https://us3.assetplanner.com/service_request?ID=093291" TargetMode="External"/><Relationship Id="rId25" Type="http://schemas.openxmlformats.org/officeDocument/2006/relationships/hyperlink" Target="https://us3.assetplanner.com/service_request?ID=107242" TargetMode="External"/><Relationship Id="rId46" Type="http://schemas.openxmlformats.org/officeDocument/2006/relationships/hyperlink" Target="https://us3.assetplanner.com/service_request?ID=099403" TargetMode="External"/><Relationship Id="rId67" Type="http://schemas.openxmlformats.org/officeDocument/2006/relationships/hyperlink" Target="https://us3.assetplanner.com/service_request?ID=108922" TargetMode="External"/><Relationship Id="rId116" Type="http://schemas.openxmlformats.org/officeDocument/2006/relationships/hyperlink" Target="https://us3.assetplanner.com/service_request?ID=109619" TargetMode="External"/><Relationship Id="rId137" Type="http://schemas.openxmlformats.org/officeDocument/2006/relationships/hyperlink" Target="https://us3.assetplanner.com/service_request?ID=108936" TargetMode="External"/><Relationship Id="rId158" Type="http://schemas.openxmlformats.org/officeDocument/2006/relationships/hyperlink" Target="https://us3.assetplanner.com/service_request?ID=109592" TargetMode="External"/><Relationship Id="rId20" Type="http://schemas.openxmlformats.org/officeDocument/2006/relationships/hyperlink" Target="https://us3.assetplanner.com/service_request?ID=088282" TargetMode="External"/><Relationship Id="rId41" Type="http://schemas.openxmlformats.org/officeDocument/2006/relationships/hyperlink" Target="https://us3.assetplanner.com/service_request?ID=107603" TargetMode="External"/><Relationship Id="rId62" Type="http://schemas.openxmlformats.org/officeDocument/2006/relationships/hyperlink" Target="https://us3.assetplanner.com/service_request?ID=109523" TargetMode="External"/><Relationship Id="rId83" Type="http://schemas.openxmlformats.org/officeDocument/2006/relationships/hyperlink" Target="https://us3.assetplanner.com/service_request?ID=109729" TargetMode="External"/><Relationship Id="rId88" Type="http://schemas.openxmlformats.org/officeDocument/2006/relationships/hyperlink" Target="https://us3.assetplanner.com/service_request?ID=109939" TargetMode="External"/><Relationship Id="rId111" Type="http://schemas.openxmlformats.org/officeDocument/2006/relationships/hyperlink" Target="https://us3.assetplanner.com/service_request?ID=108248" TargetMode="External"/><Relationship Id="rId132" Type="http://schemas.openxmlformats.org/officeDocument/2006/relationships/hyperlink" Target="https://us3.assetplanner.com/service_request?ID=107411" TargetMode="External"/><Relationship Id="rId153" Type="http://schemas.openxmlformats.org/officeDocument/2006/relationships/hyperlink" Target="https://us3.assetplanner.com/service_request?ID=099545" TargetMode="External"/><Relationship Id="rId174" Type="http://schemas.openxmlformats.org/officeDocument/2006/relationships/hyperlink" Target="https://us3.assetplanner.com/service_request?ID=108599" TargetMode="External"/><Relationship Id="rId179" Type="http://schemas.openxmlformats.org/officeDocument/2006/relationships/hyperlink" Target="https://us3.assetplanner.com/service_request?ID=109103" TargetMode="External"/><Relationship Id="rId15" Type="http://schemas.openxmlformats.org/officeDocument/2006/relationships/hyperlink" Target="https://us3.assetplanner.com/service_request?ID=102672" TargetMode="External"/><Relationship Id="rId36" Type="http://schemas.openxmlformats.org/officeDocument/2006/relationships/hyperlink" Target="https://us3.assetplanner.com/service_request?ID=109570" TargetMode="External"/><Relationship Id="rId57" Type="http://schemas.openxmlformats.org/officeDocument/2006/relationships/hyperlink" Target="https://us3.assetplanner.com/service_request?ID=109840" TargetMode="External"/><Relationship Id="rId106" Type="http://schemas.openxmlformats.org/officeDocument/2006/relationships/hyperlink" Target="https://us3.assetplanner.com/service_request?ID=109390" TargetMode="External"/><Relationship Id="rId127" Type="http://schemas.openxmlformats.org/officeDocument/2006/relationships/hyperlink" Target="https://us3.assetplanner.com/service_request?ID=109990" TargetMode="External"/><Relationship Id="rId10" Type="http://schemas.openxmlformats.org/officeDocument/2006/relationships/hyperlink" Target="https://us3.assetplanner.com/service_request?ID=103245" TargetMode="External"/><Relationship Id="rId31" Type="http://schemas.openxmlformats.org/officeDocument/2006/relationships/hyperlink" Target="https://us3.assetplanner.com/service_request?ID=110586" TargetMode="External"/><Relationship Id="rId52" Type="http://schemas.openxmlformats.org/officeDocument/2006/relationships/hyperlink" Target="https://us3.assetplanner.com/service_request?ID=109505" TargetMode="External"/><Relationship Id="rId73" Type="http://schemas.openxmlformats.org/officeDocument/2006/relationships/hyperlink" Target="https://us3.assetplanner.com/service_request?ID=101820" TargetMode="External"/><Relationship Id="rId78" Type="http://schemas.openxmlformats.org/officeDocument/2006/relationships/hyperlink" Target="https://us3.assetplanner.com/service_request?ID=109728" TargetMode="External"/><Relationship Id="rId94" Type="http://schemas.openxmlformats.org/officeDocument/2006/relationships/hyperlink" Target="https://us3.assetplanner.com/service_request?ID=107667" TargetMode="External"/><Relationship Id="rId99" Type="http://schemas.openxmlformats.org/officeDocument/2006/relationships/hyperlink" Target="https://us3.assetplanner.com/service_request?ID=109988" TargetMode="External"/><Relationship Id="rId101" Type="http://schemas.openxmlformats.org/officeDocument/2006/relationships/hyperlink" Target="https://us3.assetplanner.com/service_request?ID=108776" TargetMode="External"/><Relationship Id="rId122" Type="http://schemas.openxmlformats.org/officeDocument/2006/relationships/hyperlink" Target="https://us3.assetplanner.com/service_request?ID=109080" TargetMode="External"/><Relationship Id="rId143" Type="http://schemas.openxmlformats.org/officeDocument/2006/relationships/hyperlink" Target="https://us3.assetplanner.com/service_request?ID=109734" TargetMode="External"/><Relationship Id="rId148" Type="http://schemas.openxmlformats.org/officeDocument/2006/relationships/hyperlink" Target="https://us3.assetplanner.com/service_request?ID=109452" TargetMode="External"/><Relationship Id="rId164" Type="http://schemas.openxmlformats.org/officeDocument/2006/relationships/hyperlink" Target="https://us3.assetplanner.com/service_request?ID=109524" TargetMode="External"/><Relationship Id="rId169" Type="http://schemas.openxmlformats.org/officeDocument/2006/relationships/hyperlink" Target="https://us3.assetplanner.com/service_request?ID=109664" TargetMode="External"/><Relationship Id="rId185" Type="http://schemas.openxmlformats.org/officeDocument/2006/relationships/hyperlink" Target="https://us3.assetplanner.com/service_request?ID=109198" TargetMode="External"/><Relationship Id="rId4" Type="http://schemas.openxmlformats.org/officeDocument/2006/relationships/hyperlink" Target="https://us3.assetplanner.com/service_request?ID=095666" TargetMode="External"/><Relationship Id="rId9" Type="http://schemas.openxmlformats.org/officeDocument/2006/relationships/hyperlink" Target="https://us3.assetplanner.com/service_request?ID=086842" TargetMode="External"/><Relationship Id="rId180" Type="http://schemas.openxmlformats.org/officeDocument/2006/relationships/hyperlink" Target="https://us3.assetplanner.com/service_request?ID=109325" TargetMode="External"/><Relationship Id="rId26" Type="http://schemas.openxmlformats.org/officeDocument/2006/relationships/hyperlink" Target="https://us3.assetplanner.com/service_request?ID=093324" TargetMode="External"/><Relationship Id="rId47" Type="http://schemas.openxmlformats.org/officeDocument/2006/relationships/hyperlink" Target="https://us3.assetplanner.com/service_request?ID=105816" TargetMode="External"/><Relationship Id="rId68" Type="http://schemas.openxmlformats.org/officeDocument/2006/relationships/hyperlink" Target="https://us3.assetplanner.com/service_request?ID=109568" TargetMode="External"/><Relationship Id="rId89" Type="http://schemas.openxmlformats.org/officeDocument/2006/relationships/hyperlink" Target="https://us3.assetplanner.com/service_request?ID=109225" TargetMode="External"/><Relationship Id="rId112" Type="http://schemas.openxmlformats.org/officeDocument/2006/relationships/hyperlink" Target="https://us3.assetplanner.com/service_request?ID=106176" TargetMode="External"/><Relationship Id="rId133" Type="http://schemas.openxmlformats.org/officeDocument/2006/relationships/hyperlink" Target="https://us3.assetplanner.com/service_request?ID=109644" TargetMode="External"/><Relationship Id="rId154" Type="http://schemas.openxmlformats.org/officeDocument/2006/relationships/hyperlink" Target="https://us3.assetplanner.com/service_request?ID=109097" TargetMode="External"/><Relationship Id="rId175" Type="http://schemas.openxmlformats.org/officeDocument/2006/relationships/hyperlink" Target="https://us3.assetplanner.com/service_request?ID=108392" TargetMode="External"/><Relationship Id="rId16" Type="http://schemas.openxmlformats.org/officeDocument/2006/relationships/hyperlink" Target="https://us3.assetplanner.com/service_request?ID=093236" TargetMode="External"/><Relationship Id="rId37" Type="http://schemas.openxmlformats.org/officeDocument/2006/relationships/hyperlink" Target="https://us3.assetplanner.com/service_request?ID=098641" TargetMode="External"/><Relationship Id="rId58" Type="http://schemas.openxmlformats.org/officeDocument/2006/relationships/hyperlink" Target="https://us3.assetplanner.com/service_request?ID=107506" TargetMode="External"/><Relationship Id="rId79" Type="http://schemas.openxmlformats.org/officeDocument/2006/relationships/hyperlink" Target="https://us3.assetplanner.com/service_request?ID=109937" TargetMode="External"/><Relationship Id="rId102" Type="http://schemas.openxmlformats.org/officeDocument/2006/relationships/hyperlink" Target="https://us3.assetplanner.com/service_request?ID=102328" TargetMode="External"/><Relationship Id="rId123" Type="http://schemas.openxmlformats.org/officeDocument/2006/relationships/hyperlink" Target="https://us3.assetplanner.com/service_request?ID=109079" TargetMode="External"/><Relationship Id="rId144" Type="http://schemas.openxmlformats.org/officeDocument/2006/relationships/hyperlink" Target="https://us3.assetplanner.com/service_request?ID=109715" TargetMode="External"/><Relationship Id="rId90" Type="http://schemas.openxmlformats.org/officeDocument/2006/relationships/hyperlink" Target="https://us3.assetplanner.com/service_request?ID=109727" TargetMode="External"/><Relationship Id="rId165" Type="http://schemas.openxmlformats.org/officeDocument/2006/relationships/hyperlink" Target="https://us3.assetplanner.com/service_request?ID=100771" TargetMode="External"/><Relationship Id="rId186" Type="http://schemas.openxmlformats.org/officeDocument/2006/relationships/hyperlink" Target="https://us3.assetplanner.com/service_request?ID=109525" TargetMode="External"/><Relationship Id="rId27" Type="http://schemas.openxmlformats.org/officeDocument/2006/relationships/hyperlink" Target="https://us3.assetplanner.com/service_request?ID=093326" TargetMode="External"/><Relationship Id="rId48" Type="http://schemas.openxmlformats.org/officeDocument/2006/relationships/hyperlink" Target="https://us3.assetplanner.com/service_request?ID=093024" TargetMode="External"/><Relationship Id="rId69" Type="http://schemas.openxmlformats.org/officeDocument/2006/relationships/hyperlink" Target="https://us3.assetplanner.com/service_request?ID=109669" TargetMode="External"/><Relationship Id="rId113" Type="http://schemas.openxmlformats.org/officeDocument/2006/relationships/hyperlink" Target="https://us3.assetplanner.com/service_request?ID=109493" TargetMode="External"/><Relationship Id="rId134" Type="http://schemas.openxmlformats.org/officeDocument/2006/relationships/hyperlink" Target="https://us3.assetplanner.com/service_request?ID=108394" TargetMode="External"/><Relationship Id="rId80" Type="http://schemas.openxmlformats.org/officeDocument/2006/relationships/hyperlink" Target="https://us3.assetplanner.com/service_request?ID=109224" TargetMode="External"/><Relationship Id="rId155" Type="http://schemas.openxmlformats.org/officeDocument/2006/relationships/hyperlink" Target="https://us3.assetplanner.com/service_request?ID=109353" TargetMode="External"/><Relationship Id="rId176" Type="http://schemas.openxmlformats.org/officeDocument/2006/relationships/hyperlink" Target="https://us3.assetplanner.com/service_request?ID=109809" TargetMode="External"/><Relationship Id="rId17" Type="http://schemas.openxmlformats.org/officeDocument/2006/relationships/hyperlink" Target="https://us3.assetplanner.com/service_request?ID=107741" TargetMode="External"/><Relationship Id="rId38" Type="http://schemas.openxmlformats.org/officeDocument/2006/relationships/hyperlink" Target="https://us3.assetplanner.com/service_request?ID=106726" TargetMode="External"/><Relationship Id="rId59" Type="http://schemas.openxmlformats.org/officeDocument/2006/relationships/hyperlink" Target="https://us3.assetplanner.com/service_request?ID=106503" TargetMode="External"/><Relationship Id="rId103" Type="http://schemas.openxmlformats.org/officeDocument/2006/relationships/hyperlink" Target="https://us3.assetplanner.com/service_request?ID=108983" TargetMode="External"/><Relationship Id="rId124" Type="http://schemas.openxmlformats.org/officeDocument/2006/relationships/hyperlink" Target="https://us3.assetplanner.com/service_request?ID=109187" TargetMode="External"/><Relationship Id="rId70" Type="http://schemas.openxmlformats.org/officeDocument/2006/relationships/hyperlink" Target="https://us3.assetplanner.com/service_request?ID=109669" TargetMode="External"/><Relationship Id="rId91" Type="http://schemas.openxmlformats.org/officeDocument/2006/relationships/hyperlink" Target="https://us3.assetplanner.com/service_request?ID=109940" TargetMode="External"/><Relationship Id="rId145" Type="http://schemas.openxmlformats.org/officeDocument/2006/relationships/hyperlink" Target="https://us3.assetplanner.com/service_request?ID=109096" TargetMode="External"/><Relationship Id="rId166" Type="http://schemas.openxmlformats.org/officeDocument/2006/relationships/hyperlink" Target="https://us3.assetplanner.com/service_request?ID=108678" TargetMode="External"/><Relationship Id="rId187" Type="http://schemas.openxmlformats.org/officeDocument/2006/relationships/hyperlink" Target="https://us3.assetplanner.com/service_request?ID=109585" TargetMode="External"/><Relationship Id="rId1" Type="http://schemas.openxmlformats.org/officeDocument/2006/relationships/hyperlink" Target="https://us3.assetplanner.com/service_request?ID=107464" TargetMode="External"/><Relationship Id="rId28" Type="http://schemas.openxmlformats.org/officeDocument/2006/relationships/hyperlink" Target="https://us3.assetplanner.com/service_request?ID=107164" TargetMode="External"/><Relationship Id="rId49" Type="http://schemas.openxmlformats.org/officeDocument/2006/relationships/hyperlink" Target="https://us3.assetplanner.com/service_request?ID=108045" TargetMode="External"/><Relationship Id="rId114" Type="http://schemas.openxmlformats.org/officeDocument/2006/relationships/hyperlink" Target="https://us3.assetplanner.com/service_request?ID=108120" TargetMode="External"/><Relationship Id="rId60" Type="http://schemas.openxmlformats.org/officeDocument/2006/relationships/hyperlink" Target="https://us3.assetplanner.com/service_request?ID=105774" TargetMode="External"/><Relationship Id="rId81" Type="http://schemas.openxmlformats.org/officeDocument/2006/relationships/hyperlink" Target="https://us3.assetplanner.com/service_request?ID=109343" TargetMode="External"/><Relationship Id="rId135" Type="http://schemas.openxmlformats.org/officeDocument/2006/relationships/hyperlink" Target="https://us3.assetplanner.com/service_request?ID=109330" TargetMode="External"/><Relationship Id="rId156" Type="http://schemas.openxmlformats.org/officeDocument/2006/relationships/hyperlink" Target="https://us3.assetplanner.com/service_request?ID=109692" TargetMode="External"/><Relationship Id="rId177" Type="http://schemas.openxmlformats.org/officeDocument/2006/relationships/hyperlink" Target="https://us3.assetplanner.com/service_request?ID=110198" TargetMode="External"/></Relationships>
</file>

<file path=xl/worksheets/_rels/sheet16.xml.rels><?xml version="1.0" encoding="UTF-8" standalone="yes"?>
<Relationships xmlns="http://schemas.openxmlformats.org/package/2006/relationships"><Relationship Id="rId117" Type="http://schemas.openxmlformats.org/officeDocument/2006/relationships/hyperlink" Target="https://us3.assetplanner.com/service_request?ID=110728" TargetMode="External"/><Relationship Id="rId21" Type="http://schemas.openxmlformats.org/officeDocument/2006/relationships/hyperlink" Target="https://us3.assetplanner.com/service_request?ID=093326" TargetMode="External"/><Relationship Id="rId42" Type="http://schemas.openxmlformats.org/officeDocument/2006/relationships/hyperlink" Target="https://us3.assetplanner.com/service_request?ID=110681" TargetMode="External"/><Relationship Id="rId63" Type="http://schemas.openxmlformats.org/officeDocument/2006/relationships/hyperlink" Target="https://us3.assetplanner.com/service_request?ID=111019" TargetMode="External"/><Relationship Id="rId84" Type="http://schemas.openxmlformats.org/officeDocument/2006/relationships/hyperlink" Target="https://us3.assetplanner.com/service_request?ID=110716" TargetMode="External"/><Relationship Id="rId138" Type="http://schemas.openxmlformats.org/officeDocument/2006/relationships/hyperlink" Target="https://us3.assetplanner.com/service_request?ID=110755" TargetMode="External"/><Relationship Id="rId107" Type="http://schemas.openxmlformats.org/officeDocument/2006/relationships/hyperlink" Target="https://us3.assetplanner.com/service_request?ID=110655" TargetMode="External"/><Relationship Id="rId11" Type="http://schemas.openxmlformats.org/officeDocument/2006/relationships/hyperlink" Target="https://us3.assetplanner.com/service_request?ID=093236" TargetMode="External"/><Relationship Id="rId32" Type="http://schemas.openxmlformats.org/officeDocument/2006/relationships/hyperlink" Target="https://us3.assetplanner.com/service_request?ID=106726" TargetMode="External"/><Relationship Id="rId53" Type="http://schemas.openxmlformats.org/officeDocument/2006/relationships/hyperlink" Target="https://us3.assetplanner.com/service_request?ID=108338" TargetMode="External"/><Relationship Id="rId74" Type="http://schemas.openxmlformats.org/officeDocument/2006/relationships/hyperlink" Target="https://us3.assetplanner.com/service_request?ID=111776" TargetMode="External"/><Relationship Id="rId128" Type="http://schemas.openxmlformats.org/officeDocument/2006/relationships/hyperlink" Target="https://us3.assetplanner.com/service_request?ID=110776" TargetMode="External"/><Relationship Id="rId149" Type="http://schemas.openxmlformats.org/officeDocument/2006/relationships/hyperlink" Target="https://us3.assetplanner.com/service_request?ID=112216" TargetMode="External"/><Relationship Id="rId5" Type="http://schemas.openxmlformats.org/officeDocument/2006/relationships/hyperlink" Target="https://us3.assetplanner.com/service_request?ID=093924" TargetMode="External"/><Relationship Id="rId95" Type="http://schemas.openxmlformats.org/officeDocument/2006/relationships/hyperlink" Target="https://us3.assetplanner.com/service_request?ID=110838" TargetMode="External"/><Relationship Id="rId22" Type="http://schemas.openxmlformats.org/officeDocument/2006/relationships/hyperlink" Target="https://us3.assetplanner.com/service_request?ID=110229" TargetMode="External"/><Relationship Id="rId27" Type="http://schemas.openxmlformats.org/officeDocument/2006/relationships/hyperlink" Target="https://us3.assetplanner.com/service_request?ID=098241" TargetMode="External"/><Relationship Id="rId43" Type="http://schemas.openxmlformats.org/officeDocument/2006/relationships/hyperlink" Target="https://us3.assetplanner.com/service_request?ID=105508" TargetMode="External"/><Relationship Id="rId48" Type="http://schemas.openxmlformats.org/officeDocument/2006/relationships/hyperlink" Target="https://us3.assetplanner.com/service_request?ID=111498" TargetMode="External"/><Relationship Id="rId64" Type="http://schemas.openxmlformats.org/officeDocument/2006/relationships/hyperlink" Target="https://us3.assetplanner.com/service_request?ID=110434" TargetMode="External"/><Relationship Id="rId69" Type="http://schemas.openxmlformats.org/officeDocument/2006/relationships/hyperlink" Target="https://us3.assetplanner.com/service_request?ID=110474" TargetMode="External"/><Relationship Id="rId113" Type="http://schemas.openxmlformats.org/officeDocument/2006/relationships/hyperlink" Target="https://us3.assetplanner.com/service_request?ID=110652" TargetMode="External"/><Relationship Id="rId118" Type="http://schemas.openxmlformats.org/officeDocument/2006/relationships/hyperlink" Target="https://us3.assetplanner.com/service_request?ID=111391" TargetMode="External"/><Relationship Id="rId134" Type="http://schemas.openxmlformats.org/officeDocument/2006/relationships/hyperlink" Target="https://us3.assetplanner.com/service_request?ID=110361" TargetMode="External"/><Relationship Id="rId139" Type="http://schemas.openxmlformats.org/officeDocument/2006/relationships/hyperlink" Target="https://us3.assetplanner.com/service_request?ID=110867" TargetMode="External"/><Relationship Id="rId80" Type="http://schemas.openxmlformats.org/officeDocument/2006/relationships/hyperlink" Target="https://us3.assetplanner.com/service_request?ID=111779" TargetMode="External"/><Relationship Id="rId85" Type="http://schemas.openxmlformats.org/officeDocument/2006/relationships/hyperlink" Target="https://us3.assetplanner.com/service_request?ID=111256" TargetMode="External"/><Relationship Id="rId150" Type="http://schemas.openxmlformats.org/officeDocument/2006/relationships/hyperlink" Target="https://us3.assetplanner.com/service_request?ID=112202" TargetMode="External"/><Relationship Id="rId12" Type="http://schemas.openxmlformats.org/officeDocument/2006/relationships/hyperlink" Target="https://us3.assetplanner.com/service_request?ID=102529" TargetMode="External"/><Relationship Id="rId17" Type="http://schemas.openxmlformats.org/officeDocument/2006/relationships/hyperlink" Target="https://us3.assetplanner.com/service_request?ID=112049" TargetMode="External"/><Relationship Id="rId33" Type="http://schemas.openxmlformats.org/officeDocument/2006/relationships/hyperlink" Target="https://us3.assetplanner.com/service_request?ID=110996" TargetMode="External"/><Relationship Id="rId38" Type="http://schemas.openxmlformats.org/officeDocument/2006/relationships/hyperlink" Target="https://us3.assetplanner.com/service_request?ID=111045" TargetMode="External"/><Relationship Id="rId59" Type="http://schemas.openxmlformats.org/officeDocument/2006/relationships/hyperlink" Target="https://us3.assetplanner.com/service_request?ID=110436" TargetMode="External"/><Relationship Id="rId103" Type="http://schemas.openxmlformats.org/officeDocument/2006/relationships/hyperlink" Target="https://us3.assetplanner.com/service_request?ID=111183" TargetMode="External"/><Relationship Id="rId108" Type="http://schemas.openxmlformats.org/officeDocument/2006/relationships/hyperlink" Target="https://us3.assetplanner.com/service_request?ID=110156" TargetMode="External"/><Relationship Id="rId124" Type="http://schemas.openxmlformats.org/officeDocument/2006/relationships/hyperlink" Target="https://us3.assetplanner.com/service_request?ID=110938" TargetMode="External"/><Relationship Id="rId129" Type="http://schemas.openxmlformats.org/officeDocument/2006/relationships/hyperlink" Target="https://us3.assetplanner.com/service_request?ID=111863" TargetMode="External"/><Relationship Id="rId54" Type="http://schemas.openxmlformats.org/officeDocument/2006/relationships/hyperlink" Target="https://us3.assetplanner.com/service_request?ID=111393" TargetMode="External"/><Relationship Id="rId70" Type="http://schemas.openxmlformats.org/officeDocument/2006/relationships/hyperlink" Target="https://us3.assetplanner.com/service_request?ID=110575" TargetMode="External"/><Relationship Id="rId75" Type="http://schemas.openxmlformats.org/officeDocument/2006/relationships/hyperlink" Target="https://us3.assetplanner.com/service_request?ID=111964" TargetMode="External"/><Relationship Id="rId91" Type="http://schemas.openxmlformats.org/officeDocument/2006/relationships/hyperlink" Target="https://us3.assetplanner.com/service_request?ID=110135" TargetMode="External"/><Relationship Id="rId96" Type="http://schemas.openxmlformats.org/officeDocument/2006/relationships/hyperlink" Target="https://us3.assetplanner.com/service_request?ID=111220" TargetMode="External"/><Relationship Id="rId140" Type="http://schemas.openxmlformats.org/officeDocument/2006/relationships/hyperlink" Target="https://us3.assetplanner.com/service_request?ID=108392" TargetMode="External"/><Relationship Id="rId145" Type="http://schemas.openxmlformats.org/officeDocument/2006/relationships/hyperlink" Target="https://us3.assetplanner.com/service_request?ID=109160" TargetMode="External"/><Relationship Id="rId1" Type="http://schemas.openxmlformats.org/officeDocument/2006/relationships/hyperlink" Target="https://us3.assetplanner.com/service_request?ID=107464" TargetMode="External"/><Relationship Id="rId6" Type="http://schemas.openxmlformats.org/officeDocument/2006/relationships/hyperlink" Target="https://us3.assetplanner.com/service_request?ID=086842" TargetMode="External"/><Relationship Id="rId23" Type="http://schemas.openxmlformats.org/officeDocument/2006/relationships/hyperlink" Target="https://us3.assetplanner.com/service_request?ID=093327" TargetMode="External"/><Relationship Id="rId28" Type="http://schemas.openxmlformats.org/officeDocument/2006/relationships/hyperlink" Target="https://us3.assetplanner.com/service_request?ID=105932" TargetMode="External"/><Relationship Id="rId49" Type="http://schemas.openxmlformats.org/officeDocument/2006/relationships/hyperlink" Target="https://us3.assetplanner.com/service_request?ID=111826" TargetMode="External"/><Relationship Id="rId114" Type="http://schemas.openxmlformats.org/officeDocument/2006/relationships/hyperlink" Target="https://us3.assetplanner.com/service_request?ID=110484" TargetMode="External"/><Relationship Id="rId119" Type="http://schemas.openxmlformats.org/officeDocument/2006/relationships/hyperlink" Target="https://us3.assetplanner.com/service_request?ID=110246" TargetMode="External"/><Relationship Id="rId44" Type="http://schemas.openxmlformats.org/officeDocument/2006/relationships/hyperlink" Target="https://us3.assetplanner.com/service_request?ID=109834" TargetMode="External"/><Relationship Id="rId60" Type="http://schemas.openxmlformats.org/officeDocument/2006/relationships/hyperlink" Target="https://us3.assetplanner.com/service_request?ID=110913" TargetMode="External"/><Relationship Id="rId65" Type="http://schemas.openxmlformats.org/officeDocument/2006/relationships/hyperlink" Target="https://us3.assetplanner.com/service_request?ID=110915" TargetMode="External"/><Relationship Id="rId81" Type="http://schemas.openxmlformats.org/officeDocument/2006/relationships/hyperlink" Target="https://us3.assetplanner.com/service_request?ID=111825" TargetMode="External"/><Relationship Id="rId86" Type="http://schemas.openxmlformats.org/officeDocument/2006/relationships/hyperlink" Target="https://us3.assetplanner.com/service_request?ID=108248" TargetMode="External"/><Relationship Id="rId130" Type="http://schemas.openxmlformats.org/officeDocument/2006/relationships/hyperlink" Target="https://us3.assetplanner.com/service_request?ID=110704" TargetMode="External"/><Relationship Id="rId135" Type="http://schemas.openxmlformats.org/officeDocument/2006/relationships/hyperlink" Target="https://us3.assetplanner.com/service_request?ID=110787" TargetMode="External"/><Relationship Id="rId151" Type="http://schemas.openxmlformats.org/officeDocument/2006/relationships/printerSettings" Target="../printerSettings/printerSettings7.bin"/><Relationship Id="rId13" Type="http://schemas.openxmlformats.org/officeDocument/2006/relationships/hyperlink" Target="https://us3.assetplanner.com/service_request?ID=110250" TargetMode="External"/><Relationship Id="rId18" Type="http://schemas.openxmlformats.org/officeDocument/2006/relationships/hyperlink" Target="https://us3.assetplanner.com/service_request?ID=088813" TargetMode="External"/><Relationship Id="rId39" Type="http://schemas.openxmlformats.org/officeDocument/2006/relationships/hyperlink" Target="https://us3.assetplanner.com/service_request?ID=111045" TargetMode="External"/><Relationship Id="rId109" Type="http://schemas.openxmlformats.org/officeDocument/2006/relationships/hyperlink" Target="https://us3.assetplanner.com/service_request?ID=110155" TargetMode="External"/><Relationship Id="rId34" Type="http://schemas.openxmlformats.org/officeDocument/2006/relationships/hyperlink" Target="https://us3.assetplanner.com/service_request?ID=107603" TargetMode="External"/><Relationship Id="rId50" Type="http://schemas.openxmlformats.org/officeDocument/2006/relationships/hyperlink" Target="https://us3.assetplanner.com/service_request?ID=109568" TargetMode="External"/><Relationship Id="rId55" Type="http://schemas.openxmlformats.org/officeDocument/2006/relationships/hyperlink" Target="https://us3.assetplanner.com/service_request?ID=101820" TargetMode="External"/><Relationship Id="rId76" Type="http://schemas.openxmlformats.org/officeDocument/2006/relationships/hyperlink" Target="https://us3.assetplanner.com/service_request?ID=110487" TargetMode="External"/><Relationship Id="rId97" Type="http://schemas.openxmlformats.org/officeDocument/2006/relationships/hyperlink" Target="https://us3.assetplanner.com/service_request?ID=109079" TargetMode="External"/><Relationship Id="rId104" Type="http://schemas.openxmlformats.org/officeDocument/2006/relationships/hyperlink" Target="https://us3.assetplanner.com/service_request?ID=111841" TargetMode="External"/><Relationship Id="rId120" Type="http://schemas.openxmlformats.org/officeDocument/2006/relationships/hyperlink" Target="https://us3.assetplanner.com/service_request?ID=098278" TargetMode="External"/><Relationship Id="rId125" Type="http://schemas.openxmlformats.org/officeDocument/2006/relationships/hyperlink" Target="https://us3.assetplanner.com/service_request?ID=111476" TargetMode="External"/><Relationship Id="rId141" Type="http://schemas.openxmlformats.org/officeDocument/2006/relationships/hyperlink" Target="https://us3.assetplanner.com/service_request?ID=110574" TargetMode="External"/><Relationship Id="rId146" Type="http://schemas.openxmlformats.org/officeDocument/2006/relationships/hyperlink" Target="https://us3.assetplanner.com/service_request?ID=109156" TargetMode="External"/><Relationship Id="rId7" Type="http://schemas.openxmlformats.org/officeDocument/2006/relationships/hyperlink" Target="https://us3.assetplanner.com/service_request?ID=103259" TargetMode="External"/><Relationship Id="rId71" Type="http://schemas.openxmlformats.org/officeDocument/2006/relationships/hyperlink" Target="https://us3.assetplanner.com/service_request?ID=109604" TargetMode="External"/><Relationship Id="rId92" Type="http://schemas.openxmlformats.org/officeDocument/2006/relationships/hyperlink" Target="https://us3.assetplanner.com/service_request?ID=098860" TargetMode="External"/><Relationship Id="rId2" Type="http://schemas.openxmlformats.org/officeDocument/2006/relationships/hyperlink" Target="https://us3.assetplanner.com/service_request?ID=111795" TargetMode="External"/><Relationship Id="rId29" Type="http://schemas.openxmlformats.org/officeDocument/2006/relationships/hyperlink" Target="https://us3.assetplanner.com/service_request?ID=104403" TargetMode="External"/><Relationship Id="rId24" Type="http://schemas.openxmlformats.org/officeDocument/2006/relationships/hyperlink" Target="https://us3.assetplanner.com/service_request?ID=109950" TargetMode="External"/><Relationship Id="rId40" Type="http://schemas.openxmlformats.org/officeDocument/2006/relationships/hyperlink" Target="https://us3.assetplanner.com/service_request?ID=111167" TargetMode="External"/><Relationship Id="rId45" Type="http://schemas.openxmlformats.org/officeDocument/2006/relationships/hyperlink" Target="https://us3.assetplanner.com/service_request?ID=106622" TargetMode="External"/><Relationship Id="rId66" Type="http://schemas.openxmlformats.org/officeDocument/2006/relationships/hyperlink" Target="https://us3.assetplanner.com/service_request?ID=110435" TargetMode="External"/><Relationship Id="rId87" Type="http://schemas.openxmlformats.org/officeDocument/2006/relationships/hyperlink" Target="https://us3.assetplanner.com/service_request?ID=108120" TargetMode="External"/><Relationship Id="rId110" Type="http://schemas.openxmlformats.org/officeDocument/2006/relationships/hyperlink" Target="https://us3.assetplanner.com/service_request?ID=111819" TargetMode="External"/><Relationship Id="rId115" Type="http://schemas.openxmlformats.org/officeDocument/2006/relationships/hyperlink" Target="https://us3.assetplanner.com/service_request?ID=110884" TargetMode="External"/><Relationship Id="rId131" Type="http://schemas.openxmlformats.org/officeDocument/2006/relationships/hyperlink" Target="https://us3.assetplanner.com/service_request?ID=110882" TargetMode="External"/><Relationship Id="rId136" Type="http://schemas.openxmlformats.org/officeDocument/2006/relationships/hyperlink" Target="https://us3.assetplanner.com/service_request?ID=110863" TargetMode="External"/><Relationship Id="rId61" Type="http://schemas.openxmlformats.org/officeDocument/2006/relationships/hyperlink" Target="https://us3.assetplanner.com/service_request?ID=110914" TargetMode="External"/><Relationship Id="rId82" Type="http://schemas.openxmlformats.org/officeDocument/2006/relationships/hyperlink" Target="https://us3.assetplanner.com/service_request?ID=110563" TargetMode="External"/><Relationship Id="rId152" Type="http://schemas.openxmlformats.org/officeDocument/2006/relationships/vmlDrawing" Target="../drawings/vmlDrawing1.vml"/><Relationship Id="rId19" Type="http://schemas.openxmlformats.org/officeDocument/2006/relationships/hyperlink" Target="https://us3.assetplanner.com/service_request?ID=093324" TargetMode="External"/><Relationship Id="rId14" Type="http://schemas.openxmlformats.org/officeDocument/2006/relationships/hyperlink" Target="https://us3.assetplanner.com/service_request?ID=088282" TargetMode="External"/><Relationship Id="rId30" Type="http://schemas.openxmlformats.org/officeDocument/2006/relationships/hyperlink" Target="https://us3.assetplanner.com/service_request?ID=109775" TargetMode="External"/><Relationship Id="rId35" Type="http://schemas.openxmlformats.org/officeDocument/2006/relationships/hyperlink" Target="https://us3.assetplanner.com/service_request?ID=105816" TargetMode="External"/><Relationship Id="rId56" Type="http://schemas.openxmlformats.org/officeDocument/2006/relationships/hyperlink" Target="https://us3.assetplanner.com/service_request?ID=111271" TargetMode="External"/><Relationship Id="rId77" Type="http://schemas.openxmlformats.org/officeDocument/2006/relationships/hyperlink" Target="https://us3.assetplanner.com/service_request?ID=111157" TargetMode="External"/><Relationship Id="rId100" Type="http://schemas.openxmlformats.org/officeDocument/2006/relationships/hyperlink" Target="https://us3.assetplanner.com/service_request?ID=110660" TargetMode="External"/><Relationship Id="rId105" Type="http://schemas.openxmlformats.org/officeDocument/2006/relationships/hyperlink" Target="https://us3.assetplanner.com/service_request?ID=110576" TargetMode="External"/><Relationship Id="rId126" Type="http://schemas.openxmlformats.org/officeDocument/2006/relationships/hyperlink" Target="https://us3.assetplanner.com/service_request?ID=110669" TargetMode="External"/><Relationship Id="rId147" Type="http://schemas.openxmlformats.org/officeDocument/2006/relationships/hyperlink" Target="https://us3.assetplanner.com/service_request?ID=109157" TargetMode="External"/><Relationship Id="rId8" Type="http://schemas.openxmlformats.org/officeDocument/2006/relationships/hyperlink" Target="https://us3.assetplanner.com/service_request?ID=109623" TargetMode="External"/><Relationship Id="rId51" Type="http://schemas.openxmlformats.org/officeDocument/2006/relationships/hyperlink" Target="https://us3.assetplanner.com/service_request?ID=108847" TargetMode="External"/><Relationship Id="rId72" Type="http://schemas.openxmlformats.org/officeDocument/2006/relationships/hyperlink" Target="https://us3.assetplanner.com/service_request?ID=111801" TargetMode="External"/><Relationship Id="rId93" Type="http://schemas.openxmlformats.org/officeDocument/2006/relationships/hyperlink" Target="https://us3.assetplanner.com/service_request?ID=109998" TargetMode="External"/><Relationship Id="rId98" Type="http://schemas.openxmlformats.org/officeDocument/2006/relationships/hyperlink" Target="https://us3.assetplanner.com/service_request?ID=109080" TargetMode="External"/><Relationship Id="rId121" Type="http://schemas.openxmlformats.org/officeDocument/2006/relationships/hyperlink" Target="https://us3.assetplanner.com/service_request?ID=098670" TargetMode="External"/><Relationship Id="rId142" Type="http://schemas.openxmlformats.org/officeDocument/2006/relationships/hyperlink" Target="https://us3.assetplanner.com/service_request?ID=111001" TargetMode="External"/><Relationship Id="rId3" Type="http://schemas.openxmlformats.org/officeDocument/2006/relationships/hyperlink" Target="https://us3.assetplanner.com/service_request?ID=095666" TargetMode="External"/><Relationship Id="rId25" Type="http://schemas.openxmlformats.org/officeDocument/2006/relationships/hyperlink" Target="https://us3.assetplanner.com/service_request?ID=110586" TargetMode="External"/><Relationship Id="rId46" Type="http://schemas.openxmlformats.org/officeDocument/2006/relationships/hyperlink" Target="https://us3.assetplanner.com/service_request?ID=110008" TargetMode="External"/><Relationship Id="rId67" Type="http://schemas.openxmlformats.org/officeDocument/2006/relationships/hyperlink" Target="https://us3.assetplanner.com/service_request?ID=110918" TargetMode="External"/><Relationship Id="rId116" Type="http://schemas.openxmlformats.org/officeDocument/2006/relationships/hyperlink" Target="https://us3.assetplanner.com/service_request?ID=110407" TargetMode="External"/><Relationship Id="rId137" Type="http://schemas.openxmlformats.org/officeDocument/2006/relationships/hyperlink" Target="https://us3.assetplanner.com/service_request?ID=110691" TargetMode="External"/><Relationship Id="rId20" Type="http://schemas.openxmlformats.org/officeDocument/2006/relationships/hyperlink" Target="https://us3.assetplanner.com/service_request?ID=111880" TargetMode="External"/><Relationship Id="rId41" Type="http://schemas.openxmlformats.org/officeDocument/2006/relationships/hyperlink" Target="https://us3.assetplanner.com/service_request?ID=111378" TargetMode="External"/><Relationship Id="rId62" Type="http://schemas.openxmlformats.org/officeDocument/2006/relationships/hyperlink" Target="https://us3.assetplanner.com/service_request?ID=109797" TargetMode="External"/><Relationship Id="rId83" Type="http://schemas.openxmlformats.org/officeDocument/2006/relationships/hyperlink" Target="https://us3.assetplanner.com/service_request?ID=108827" TargetMode="External"/><Relationship Id="rId88" Type="http://schemas.openxmlformats.org/officeDocument/2006/relationships/hyperlink" Target="https://us3.assetplanner.com/service_request?ID=110483" TargetMode="External"/><Relationship Id="rId111" Type="http://schemas.openxmlformats.org/officeDocument/2006/relationships/hyperlink" Target="https://us3.assetplanner.com/service_request?ID=110598" TargetMode="External"/><Relationship Id="rId132" Type="http://schemas.openxmlformats.org/officeDocument/2006/relationships/hyperlink" Target="https://us3.assetplanner.com/service_request?ID=109524" TargetMode="External"/><Relationship Id="rId153" Type="http://schemas.openxmlformats.org/officeDocument/2006/relationships/comments" Target="../comments1.xml"/><Relationship Id="rId15" Type="http://schemas.openxmlformats.org/officeDocument/2006/relationships/hyperlink" Target="https://us3.assetplanner.com/service_request?ID=108939" TargetMode="External"/><Relationship Id="rId36" Type="http://schemas.openxmlformats.org/officeDocument/2006/relationships/hyperlink" Target="https://us3.assetplanner.com/service_request?ID=093024" TargetMode="External"/><Relationship Id="rId57" Type="http://schemas.openxmlformats.org/officeDocument/2006/relationships/hyperlink" Target="https://us3.assetplanner.com/service_request?ID=111271" TargetMode="External"/><Relationship Id="rId106" Type="http://schemas.openxmlformats.org/officeDocument/2006/relationships/hyperlink" Target="https://us3.assetplanner.com/service_request?ID=110935" TargetMode="External"/><Relationship Id="rId127" Type="http://schemas.openxmlformats.org/officeDocument/2006/relationships/hyperlink" Target="https://us3.assetplanner.com/service_request?ID=111796" TargetMode="External"/><Relationship Id="rId10" Type="http://schemas.openxmlformats.org/officeDocument/2006/relationships/hyperlink" Target="https://us3.assetplanner.com/service_request?ID=111002" TargetMode="External"/><Relationship Id="rId31" Type="http://schemas.openxmlformats.org/officeDocument/2006/relationships/hyperlink" Target="https://us3.assetplanner.com/service_request?ID=098641" TargetMode="External"/><Relationship Id="rId52" Type="http://schemas.openxmlformats.org/officeDocument/2006/relationships/hyperlink" Target="https://us3.assetplanner.com/service_request?ID=110116" TargetMode="External"/><Relationship Id="rId73" Type="http://schemas.openxmlformats.org/officeDocument/2006/relationships/hyperlink" Target="https://us3.assetplanner.com/service_request?ID=111175" TargetMode="External"/><Relationship Id="rId78" Type="http://schemas.openxmlformats.org/officeDocument/2006/relationships/hyperlink" Target="https://us3.assetplanner.com/service_request?ID=111837" TargetMode="External"/><Relationship Id="rId94" Type="http://schemas.openxmlformats.org/officeDocument/2006/relationships/hyperlink" Target="https://us3.assetplanner.com/service_request?ID=110355" TargetMode="External"/><Relationship Id="rId99" Type="http://schemas.openxmlformats.org/officeDocument/2006/relationships/hyperlink" Target="https://us3.assetplanner.com/service_request?ID=110477" TargetMode="External"/><Relationship Id="rId101" Type="http://schemas.openxmlformats.org/officeDocument/2006/relationships/hyperlink" Target="https://us3.assetplanner.com/service_request?ID=110852" TargetMode="External"/><Relationship Id="rId122" Type="http://schemas.openxmlformats.org/officeDocument/2006/relationships/hyperlink" Target="https://us3.assetplanner.com/service_request?ID=110476" TargetMode="External"/><Relationship Id="rId143" Type="http://schemas.openxmlformats.org/officeDocument/2006/relationships/hyperlink" Target="https://us3.assetplanner.com/service_request?ID=111163" TargetMode="External"/><Relationship Id="rId148" Type="http://schemas.openxmlformats.org/officeDocument/2006/relationships/hyperlink" Target="https://us3.assetplanner.com/service_request?ID=112194" TargetMode="External"/><Relationship Id="rId4" Type="http://schemas.openxmlformats.org/officeDocument/2006/relationships/hyperlink" Target="https://us3.assetplanner.com/service_request?ID=093633" TargetMode="External"/><Relationship Id="rId9" Type="http://schemas.openxmlformats.org/officeDocument/2006/relationships/hyperlink" Target="https://us3.assetplanner.com/service_request?ID=110132" TargetMode="External"/><Relationship Id="rId26" Type="http://schemas.openxmlformats.org/officeDocument/2006/relationships/hyperlink" Target="https://us3.assetplanner.com/service_request?ID=105932" TargetMode="External"/><Relationship Id="rId47" Type="http://schemas.openxmlformats.org/officeDocument/2006/relationships/hyperlink" Target="https://us3.assetplanner.com/service_request?ID=111199" TargetMode="External"/><Relationship Id="rId68" Type="http://schemas.openxmlformats.org/officeDocument/2006/relationships/hyperlink" Target="https://us3.assetplanner.com/service_request?ID=107667" TargetMode="External"/><Relationship Id="rId89" Type="http://schemas.openxmlformats.org/officeDocument/2006/relationships/hyperlink" Target="https://us3.assetplanner.com/service_request?ID=106921" TargetMode="External"/><Relationship Id="rId112" Type="http://schemas.openxmlformats.org/officeDocument/2006/relationships/hyperlink" Target="https://us3.assetplanner.com/service_request?ID=109332" TargetMode="External"/><Relationship Id="rId133" Type="http://schemas.openxmlformats.org/officeDocument/2006/relationships/hyperlink" Target="https://us3.assetplanner.com/service_request?ID=100771" TargetMode="External"/><Relationship Id="rId154" Type="http://schemas.microsoft.com/office/2017/10/relationships/threadedComment" Target="../threadedComments/threadedComment1.xml"/><Relationship Id="rId16" Type="http://schemas.openxmlformats.org/officeDocument/2006/relationships/hyperlink" Target="https://us3.assetplanner.com/service_request?ID=110231" TargetMode="External"/><Relationship Id="rId37" Type="http://schemas.openxmlformats.org/officeDocument/2006/relationships/hyperlink" Target="https://us3.assetplanner.com/service_request?ID=110488" TargetMode="External"/><Relationship Id="rId58" Type="http://schemas.openxmlformats.org/officeDocument/2006/relationships/hyperlink" Target="https://us3.assetplanner.com/service_request?ID=105649" TargetMode="External"/><Relationship Id="rId79" Type="http://schemas.openxmlformats.org/officeDocument/2006/relationships/hyperlink" Target="https://us3.assetplanner.com/service_request?ID=110430" TargetMode="External"/><Relationship Id="rId102" Type="http://schemas.openxmlformats.org/officeDocument/2006/relationships/hyperlink" Target="https://us3.assetplanner.com/service_request?ID=111161" TargetMode="External"/><Relationship Id="rId123" Type="http://schemas.openxmlformats.org/officeDocument/2006/relationships/hyperlink" Target="https://us3.assetplanner.com/service_request?ID=110703" TargetMode="External"/><Relationship Id="rId144" Type="http://schemas.openxmlformats.org/officeDocument/2006/relationships/hyperlink" Target="https://us3.assetplanner.com/service_request?ID=110883" TargetMode="External"/><Relationship Id="rId90" Type="http://schemas.openxmlformats.org/officeDocument/2006/relationships/hyperlink" Target="https://us3.assetplanner.com/service_request?ID=110473" TargetMode="External"/></Relationships>
</file>

<file path=xl/worksheets/_rels/sheet1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172"/>
  <sheetViews>
    <sheetView zoomScale="90" zoomScaleNormal="90" workbookViewId="0">
      <pane xSplit="2" ySplit="3" topLeftCell="C150" activePane="bottomRight" state="frozen"/>
      <selection pane="bottomRight" activeCell="L164" sqref="L164"/>
      <selection pane="bottomLeft"/>
      <selection pane="topRight"/>
    </sheetView>
  </sheetViews>
  <sheetFormatPr defaultRowHeight="13.15"/>
  <cols>
    <col min="1" max="1" width="35.85546875" bestFit="1" customWidth="1"/>
    <col min="2" max="2" width="8.42578125" customWidth="1"/>
    <col min="3" max="3" width="9.28515625" bestFit="1" customWidth="1"/>
    <col min="4" max="4" width="15.140625" customWidth="1"/>
    <col min="5" max="6" width="13.28515625" customWidth="1"/>
    <col min="7" max="7" width="13.28515625" style="1" customWidth="1"/>
    <col min="8" max="9" width="13.28515625" customWidth="1"/>
    <col min="10" max="10" width="13.28515625" style="1" customWidth="1"/>
  </cols>
  <sheetData>
    <row r="1" spans="1:10" ht="19.5" customHeight="1">
      <c r="A1" s="187" t="str" cm="1">
        <f t="array" ref="A1">portfolio</f>
        <v>Generate Capital</v>
      </c>
      <c r="B1" s="187"/>
      <c r="C1" s="187"/>
      <c r="D1" s="187"/>
      <c r="E1" s="188" t="s">
        <v>0</v>
      </c>
      <c r="F1" s="188"/>
      <c r="G1" s="188"/>
      <c r="H1" s="186" t="s">
        <v>1</v>
      </c>
      <c r="I1" s="186"/>
      <c r="J1" s="186"/>
    </row>
    <row r="2" spans="1:10" ht="19.5" customHeight="1">
      <c r="A2" s="189" t="s">
        <v>2</v>
      </c>
      <c r="B2" s="189"/>
      <c r="C2" s="57"/>
      <c r="D2" s="5">
        <f>SUM(D4:D260)</f>
        <v>407020900.03229278</v>
      </c>
      <c r="E2" s="5">
        <f>SUM(E4:E260)</f>
        <v>267896905.89900008</v>
      </c>
      <c r="F2" s="5">
        <f>D2-E2</f>
        <v>139123994.1332927</v>
      </c>
      <c r="G2" s="6">
        <f>IFERROR(F2/E2, 0)</f>
        <v>0.51931915251661731</v>
      </c>
      <c r="H2" s="5">
        <f>SUM(H4:H260)</f>
        <v>416396084.31280005</v>
      </c>
      <c r="I2" s="7">
        <f>D2-H2</f>
        <v>-9375184.2805072665</v>
      </c>
      <c r="J2" s="6">
        <f>IFERROR(I2/H2, 0)</f>
        <v>-2.2515063502529371E-2</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72">Sites[Site]</f>
        <v>K026</v>
      </c>
      <c r="B4" s="27" t="str" cm="1">
        <f t="array" ref="B4:B172">Sites[State]</f>
        <v>NY</v>
      </c>
      <c r="C4" s="27" t="str">
        <f>Sites[[#This Row],[SOL'#]]</f>
        <v>SOL-10356</v>
      </c>
      <c r="D4" s="9">
        <f>SUM('1st Qtr'!D4,'2nd Qtr'!D4,'3rd Qtr'!D4,'4th Qtr'!D4)</f>
        <v>219988.75</v>
      </c>
      <c r="E4" s="14">
        <f>SUM('1st Qtr'!E4, '2nd Qtr'!E4, '3rd Qtr'!E4, '4th Qtr'!E4)</f>
        <v>337404.26400000002</v>
      </c>
      <c r="F4" s="14">
        <f t="shared" ref="F4:F64" si="0">IF(AND(ISNUMBER(D4),ISNUMBER(E4)), D4-E4, "")</f>
        <v>-117415.51400000002</v>
      </c>
      <c r="G4" s="15">
        <f t="shared" ref="G4:G64" si="1">IFERROR(F4/E4, "")</f>
        <v>-0.34799653272905884</v>
      </c>
      <c r="H4" s="16">
        <f>SUM('1st Qtr'!H4,'2nd Qtr'!H4,'3rd Qtr'!H4,'4th Qtr'!H4)</f>
        <v>304483.255</v>
      </c>
      <c r="I4" s="16">
        <f>SUM('1st Qtr'!I4, '2nd Qtr'!I4, '3rd Qtr'!I4, '4th Qtr'!I4)</f>
        <v>-84494.50499999999</v>
      </c>
      <c r="J4" s="15">
        <f t="shared" ref="J4:J64" si="2">IFERROR(I4/H4, "")</f>
        <v>-0.27750131940753192</v>
      </c>
    </row>
    <row r="5" spans="1:10" ht="15.6">
      <c r="A5" s="24" t="str">
        <v>K041</v>
      </c>
      <c r="B5" s="25" t="str">
        <v>NY</v>
      </c>
      <c r="C5" s="25" t="str">
        <f>Sites[[#This Row],[SOL'#]]</f>
        <v>SOL-10357</v>
      </c>
      <c r="D5" s="20">
        <f>SUM('1st Qtr'!D5,'2nd Qtr'!D5,'3rd Qtr'!D5,'4th Qtr'!D5)</f>
        <v>232559.0625</v>
      </c>
      <c r="E5" s="10">
        <f>SUM('1st Qtr'!E5, '2nd Qtr'!E5, '3rd Qtr'!E5, '4th Qtr'!E5)</f>
        <v>271018.90499999997</v>
      </c>
      <c r="F5" s="10">
        <f t="shared" si="0"/>
        <v>-38459.84249999997</v>
      </c>
      <c r="G5" s="11">
        <f t="shared" si="1"/>
        <v>-0.14190833846074308</v>
      </c>
      <c r="H5" s="12">
        <f>SUM('1st Qtr'!H5,'2nd Qtr'!H5,'3rd Qtr'!H5,'4th Qtr'!H5)</f>
        <v>249076</v>
      </c>
      <c r="I5" s="12">
        <f>SUM('1st Qtr'!I5, '2nd Qtr'!I5, '3rd Qtr'!I5, '4th Qtr'!I5)</f>
        <v>-16516.9375</v>
      </c>
      <c r="J5" s="13">
        <f t="shared" si="2"/>
        <v>-6.6312842265011482E-2</v>
      </c>
    </row>
    <row r="6" spans="1:10" ht="15.6">
      <c r="A6" s="26" t="str">
        <v>K043</v>
      </c>
      <c r="B6" s="27" t="str">
        <v>NY</v>
      </c>
      <c r="C6" s="27" t="str">
        <f>Sites[[#This Row],[SOL'#]]</f>
        <v>SOL-10358</v>
      </c>
      <c r="D6" s="9">
        <f>SUM('1st Qtr'!D6,'2nd Qtr'!D6,'3rd Qtr'!D6,'4th Qtr'!D6)</f>
        <v>279546.53174999997</v>
      </c>
      <c r="E6" s="14">
        <f>SUM('1st Qtr'!E6, '2nd Qtr'!E6, '3rd Qtr'!E6, '4th Qtr'!E6)</f>
        <v>299988.71799999999</v>
      </c>
      <c r="F6" s="14">
        <f t="shared" si="0"/>
        <v>-20442.186250000028</v>
      </c>
      <c r="G6" s="15">
        <f t="shared" si="1"/>
        <v>-6.814318347131984E-2</v>
      </c>
      <c r="H6" s="16">
        <f>SUM('1st Qtr'!H6,'2nd Qtr'!H6,'3rd Qtr'!H6,'4th Qtr'!H6)</f>
        <v>54842.277999999998</v>
      </c>
      <c r="I6" s="16">
        <f>SUM('1st Qtr'!I6, '2nd Qtr'!I6, '3rd Qtr'!I6, '4th Qtr'!I6)</f>
        <v>224704.25374999997</v>
      </c>
      <c r="J6" s="15">
        <f t="shared" si="2"/>
        <v>4.0972815489174241</v>
      </c>
    </row>
    <row r="7" spans="1:10" ht="15.6">
      <c r="A7" s="24" t="str">
        <v>K058</v>
      </c>
      <c r="B7" s="25" t="str">
        <v>NY</v>
      </c>
      <c r="C7" s="25" t="str">
        <f>Sites[[#This Row],[SOL'#]]</f>
        <v>SOL-10360</v>
      </c>
      <c r="D7" s="20">
        <f>SUM('1st Qtr'!D7,'2nd Qtr'!D7,'3rd Qtr'!D7,'4th Qtr'!D7)</f>
        <v>88076.437981878902</v>
      </c>
      <c r="E7" s="10">
        <f>SUM('1st Qtr'!E7, '2nd Qtr'!E7, '3rd Qtr'!E7, '4th Qtr'!E7)</f>
        <v>101046.48699999999</v>
      </c>
      <c r="F7" s="10">
        <f t="shared" si="0"/>
        <v>-12970.049018121092</v>
      </c>
      <c r="G7" s="11">
        <f t="shared" si="1"/>
        <v>-0.12835724826456454</v>
      </c>
      <c r="H7" s="12">
        <f>SUM('1st Qtr'!H7,'2nd Qtr'!H7,'3rd Qtr'!H7,'4th Qtr'!H7)</f>
        <v>207587.28899999999</v>
      </c>
      <c r="I7" s="12">
        <f>SUM('1st Qtr'!I7, '2nd Qtr'!I7, '3rd Qtr'!I7, '4th Qtr'!I7)</f>
        <v>-119510.8510181211</v>
      </c>
      <c r="J7" s="13">
        <f t="shared" si="2"/>
        <v>-0.57571372309853286</v>
      </c>
    </row>
    <row r="8" spans="1:10" ht="15.6">
      <c r="A8" s="26" t="str">
        <v>K115</v>
      </c>
      <c r="B8" s="27" t="str">
        <v>NY</v>
      </c>
      <c r="C8" s="27" t="str">
        <f>Sites[[#This Row],[SOL'#]]</f>
        <v>SOL-10361</v>
      </c>
      <c r="D8" s="9">
        <f>SUM('1st Qtr'!D8,'2nd Qtr'!D8,'3rd Qtr'!D8,'4th Qtr'!D8)</f>
        <v>69407.06534375003</v>
      </c>
      <c r="E8" s="14">
        <f>SUM('1st Qtr'!E8, '2nd Qtr'!E8, '3rd Qtr'!E8, '4th Qtr'!E8)</f>
        <v>124220.235</v>
      </c>
      <c r="F8" s="14">
        <f t="shared" si="0"/>
        <v>-54813.169656249971</v>
      </c>
      <c r="G8" s="15">
        <f t="shared" si="1"/>
        <v>-0.44125797746437984</v>
      </c>
      <c r="H8" s="16">
        <f>SUM('1st Qtr'!H8,'2nd Qtr'!H8,'3rd Qtr'!H8,'4th Qtr'!H8)</f>
        <v>140639.698</v>
      </c>
      <c r="I8" s="16">
        <f>SUM('1st Qtr'!I8, '2nd Qtr'!I8, '3rd Qtr'!I8, '4th Qtr'!I8)</f>
        <v>-71232.632656249974</v>
      </c>
      <c r="J8" s="15">
        <f t="shared" si="2"/>
        <v>-0.50649022764717522</v>
      </c>
    </row>
    <row r="9" spans="1:10" ht="15.6">
      <c r="A9" s="24" t="str">
        <v>K152</v>
      </c>
      <c r="B9" s="25" t="str">
        <v>NY</v>
      </c>
      <c r="C9" s="25" t="str">
        <f>Sites[[#This Row],[SOL'#]]</f>
        <v>SOL-10362</v>
      </c>
      <c r="D9" s="20">
        <f>SUM('1st Qtr'!D9,'2nd Qtr'!D9,'3rd Qtr'!D9,'4th Qtr'!D9)</f>
        <v>85381.344249999995</v>
      </c>
      <c r="E9" s="10">
        <f>SUM('1st Qtr'!E9, '2nd Qtr'!E9, '3rd Qtr'!E9, '4th Qtr'!E9)</f>
        <v>91004.785000000003</v>
      </c>
      <c r="F9" s="10">
        <f t="shared" si="0"/>
        <v>-5623.4407500000088</v>
      </c>
      <c r="G9" s="11">
        <f t="shared" si="1"/>
        <v>-6.1792802982832261E-2</v>
      </c>
      <c r="H9" s="12">
        <f>SUM('1st Qtr'!H9,'2nd Qtr'!H9,'3rd Qtr'!H9,'4th Qtr'!H9)</f>
        <v>89088</v>
      </c>
      <c r="I9" s="12">
        <f>SUM('1st Qtr'!I9, '2nd Qtr'!I9, '3rd Qtr'!I9, '4th Qtr'!I9)</f>
        <v>-3706.6557499999999</v>
      </c>
      <c r="J9" s="13">
        <f t="shared" si="2"/>
        <v>-4.1606678228268676E-2</v>
      </c>
    </row>
    <row r="10" spans="1:10" ht="15.6">
      <c r="A10" s="26" t="str">
        <v>K166</v>
      </c>
      <c r="B10" s="27" t="str">
        <v>NY</v>
      </c>
      <c r="C10" s="27" t="str">
        <f>Sites[[#This Row],[SOL'#]]</f>
        <v>SOL-10363</v>
      </c>
      <c r="D10" s="9">
        <f>SUM('1st Qtr'!D10,'2nd Qtr'!D10,'3rd Qtr'!D10,'4th Qtr'!D10)</f>
        <v>301144.25</v>
      </c>
      <c r="E10" s="14">
        <f>SUM('1st Qtr'!E10, '2nd Qtr'!E10, '3rd Qtr'!E10, '4th Qtr'!E10)</f>
        <v>344960.42099999997</v>
      </c>
      <c r="F10" s="14">
        <f t="shared" si="0"/>
        <v>-43816.170999999973</v>
      </c>
      <c r="G10" s="15">
        <f t="shared" si="1"/>
        <v>-0.12701796592485018</v>
      </c>
      <c r="H10" s="16">
        <f>SUM('1st Qtr'!H10,'2nd Qtr'!H10,'3rd Qtr'!H10,'4th Qtr'!H10)</f>
        <v>323050.70699999999</v>
      </c>
      <c r="I10" s="16">
        <f>SUM('1st Qtr'!I10, '2nd Qtr'!I10, '3rd Qtr'!I10, '4th Qtr'!I10)</f>
        <v>-21906.456999999995</v>
      </c>
      <c r="J10" s="15">
        <f t="shared" si="2"/>
        <v>-6.7811202778144661E-2</v>
      </c>
    </row>
    <row r="11" spans="1:10" ht="15.6">
      <c r="A11" s="24" t="str">
        <v>K206</v>
      </c>
      <c r="B11" s="25" t="str">
        <v>NY</v>
      </c>
      <c r="C11" s="25" t="str">
        <f>Sites[[#This Row],[SOL'#]]</f>
        <v>SOL-10927</v>
      </c>
      <c r="D11" s="20">
        <f>SUM('1st Qtr'!D11,'2nd Qtr'!D11,'3rd Qtr'!D11,'4th Qtr'!D11)</f>
        <v>185897.96460937499</v>
      </c>
      <c r="E11" s="10">
        <f>SUM('1st Qtr'!E11, '2nd Qtr'!E11, '3rd Qtr'!E11, '4th Qtr'!E11)</f>
        <v>184527.49699999997</v>
      </c>
      <c r="F11" s="10">
        <f t="shared" si="0"/>
        <v>1370.4676093750168</v>
      </c>
      <c r="G11" s="11">
        <f t="shared" si="1"/>
        <v>7.4269018528713739E-3</v>
      </c>
      <c r="H11" s="12">
        <f>SUM('1st Qtr'!H11,'2nd Qtr'!H11,'3rd Qtr'!H11,'4th Qtr'!H11)</f>
        <v>182025</v>
      </c>
      <c r="I11" s="12">
        <f>SUM('1st Qtr'!I11, '2nd Qtr'!I11, '3rd Qtr'!I11, '4th Qtr'!I11)</f>
        <v>3872.9646093749989</v>
      </c>
      <c r="J11" s="13">
        <f t="shared" si="2"/>
        <v>2.1277102647301187E-2</v>
      </c>
    </row>
    <row r="12" spans="1:10" ht="15.6">
      <c r="A12" s="26" t="str">
        <v>K251</v>
      </c>
      <c r="B12" s="27" t="str">
        <v>NY</v>
      </c>
      <c r="C12" s="27" t="str">
        <f>Sites[[#This Row],[SOL'#]]</f>
        <v>SOL-10365</v>
      </c>
      <c r="D12" s="9">
        <f>SUM('1st Qtr'!D12,'2nd Qtr'!D12,'3rd Qtr'!D12,'4th Qtr'!D12)</f>
        <v>185023.18749999988</v>
      </c>
      <c r="E12" s="14">
        <f>SUM('1st Qtr'!E12, '2nd Qtr'!E12, '3rd Qtr'!E12, '4th Qtr'!E12)</f>
        <v>0</v>
      </c>
      <c r="F12" s="14">
        <f t="shared" si="0"/>
        <v>185023.18749999988</v>
      </c>
      <c r="G12" s="15" t="str">
        <f t="shared" si="1"/>
        <v/>
      </c>
      <c r="H12" s="16">
        <f>SUM('1st Qtr'!H12,'2nd Qtr'!H12,'3rd Qtr'!H12,'4th Qtr'!H12)</f>
        <v>207953.69099999999</v>
      </c>
      <c r="I12" s="16">
        <f>SUM('1st Qtr'!I12, '2nd Qtr'!I12, '3rd Qtr'!I12, '4th Qtr'!I12)</f>
        <v>-22930.503500000093</v>
      </c>
      <c r="J12" s="15">
        <f t="shared" si="2"/>
        <v>-0.11026735514879654</v>
      </c>
    </row>
    <row r="13" spans="1:10" ht="15.6">
      <c r="A13" s="24" t="str">
        <v>K269</v>
      </c>
      <c r="B13" s="25" t="str">
        <v>NY</v>
      </c>
      <c r="C13" s="25" t="str">
        <f>Sites[[#This Row],[SOL'#]]</f>
        <v>SOL-10366</v>
      </c>
      <c r="D13" s="20">
        <f>SUM('1st Qtr'!D13,'2nd Qtr'!D13,'3rd Qtr'!D13,'4th Qtr'!D13)</f>
        <v>185744.28682478625</v>
      </c>
      <c r="E13" s="10">
        <f>SUM('1st Qtr'!E13, '2nd Qtr'!E13, '3rd Qtr'!E13, '4th Qtr'!E13)</f>
        <v>224645.02299999999</v>
      </c>
      <c r="F13" s="10">
        <f t="shared" si="0"/>
        <v>-38900.736175213737</v>
      </c>
      <c r="G13" s="11">
        <f t="shared" si="1"/>
        <v>-0.17316535953353276</v>
      </c>
      <c r="H13" s="12">
        <f>SUM('1st Qtr'!H13,'2nd Qtr'!H13,'3rd Qtr'!H13,'4th Qtr'!H13)</f>
        <v>195778.55799999999</v>
      </c>
      <c r="I13" s="12">
        <f>SUM('1st Qtr'!I13, '2nd Qtr'!I13, '3rd Qtr'!I13, '4th Qtr'!I13)</f>
        <v>-10034.27117521374</v>
      </c>
      <c r="J13" s="13">
        <f t="shared" si="2"/>
        <v>-5.1253167240172134E-2</v>
      </c>
    </row>
    <row r="14" spans="1:10" ht="15.6">
      <c r="A14" s="26" t="str">
        <v>K273</v>
      </c>
      <c r="B14" s="27" t="str">
        <v>NY</v>
      </c>
      <c r="C14" s="27" t="str">
        <f>Sites[[#This Row],[SOL'#]]</f>
        <v>SOL-10367</v>
      </c>
      <c r="D14" s="9">
        <f>SUM('1st Qtr'!D14,'2nd Qtr'!D14,'3rd Qtr'!D14,'4th Qtr'!D14)</f>
        <v>167304.6875</v>
      </c>
      <c r="E14" s="14">
        <f>SUM('1st Qtr'!E14, '2nd Qtr'!E14, '3rd Qtr'!E14, '4th Qtr'!E14)</f>
        <v>0</v>
      </c>
      <c r="F14" s="14">
        <f t="shared" si="0"/>
        <v>167304.6875</v>
      </c>
      <c r="G14" s="15" t="str">
        <f t="shared" si="1"/>
        <v/>
      </c>
      <c r="H14" s="16">
        <f>SUM('1st Qtr'!H14,'2nd Qtr'!H14,'3rd Qtr'!H14,'4th Qtr'!H14)</f>
        <v>224750</v>
      </c>
      <c r="I14" s="16">
        <f>SUM('1st Qtr'!I14, '2nd Qtr'!I14, '3rd Qtr'!I14, '4th Qtr'!I14)</f>
        <v>-69536.3125</v>
      </c>
      <c r="J14" s="15">
        <f t="shared" si="2"/>
        <v>-0.30939404894327033</v>
      </c>
    </row>
    <row r="15" spans="1:10" ht="15.6">
      <c r="A15" s="24" t="str">
        <v>K287</v>
      </c>
      <c r="B15" s="25" t="str">
        <v>NY</v>
      </c>
      <c r="C15" s="25" t="str">
        <f>Sites[[#This Row],[SOL'#]]</f>
        <v>SOL-10919</v>
      </c>
      <c r="D15" s="20">
        <f>SUM('1st Qtr'!D15,'2nd Qtr'!D15,'3rd Qtr'!D15,'4th Qtr'!D15)</f>
        <v>162915.96924999999</v>
      </c>
      <c r="E15" s="10">
        <f>SUM('1st Qtr'!E15, '2nd Qtr'!E15, '3rd Qtr'!E15, '4th Qtr'!E15)</f>
        <v>146601.62700000001</v>
      </c>
      <c r="F15" s="10">
        <f t="shared" si="0"/>
        <v>16314.342249999987</v>
      </c>
      <c r="G15" s="11">
        <f t="shared" si="1"/>
        <v>0.11128350062581492</v>
      </c>
      <c r="H15" s="12">
        <f>SUM('1st Qtr'!H15,'2nd Qtr'!H15,'3rd Qtr'!H15,'4th Qtr'!H15)</f>
        <v>171358</v>
      </c>
      <c r="I15" s="12">
        <f>SUM('1st Qtr'!I15, '2nd Qtr'!I15, '3rd Qtr'!I15, '4th Qtr'!I15)</f>
        <v>-8442.0307499999999</v>
      </c>
      <c r="J15" s="13">
        <f t="shared" si="2"/>
        <v>-4.9265460322832896E-2</v>
      </c>
    </row>
    <row r="16" spans="1:10" ht="15.6">
      <c r="A16" s="26" t="str">
        <v>K298</v>
      </c>
      <c r="B16" s="27" t="str">
        <v>NY</v>
      </c>
      <c r="C16" s="27" t="str">
        <f>Sites[[#This Row],[SOL'#]]</f>
        <v>SOL-10368</v>
      </c>
      <c r="D16" s="9">
        <f>SUM('1st Qtr'!D16,'2nd Qtr'!D16,'3rd Qtr'!D16,'4th Qtr'!D16)</f>
        <v>171863.21924999999</v>
      </c>
      <c r="E16" s="14">
        <f>SUM('1st Qtr'!E16, '2nd Qtr'!E16, '3rd Qtr'!E16, '4th Qtr'!E16)</f>
        <v>193257.196</v>
      </c>
      <c r="F16" s="14">
        <f t="shared" si="0"/>
        <v>-21393.976750000002</v>
      </c>
      <c r="G16" s="15">
        <f t="shared" si="1"/>
        <v>-0.11070209644353943</v>
      </c>
      <c r="H16" s="16">
        <f>SUM('1st Qtr'!H16,'2nd Qtr'!H16,'3rd Qtr'!H16,'4th Qtr'!H16)</f>
        <v>189089</v>
      </c>
      <c r="I16" s="16">
        <f>SUM('1st Qtr'!I16, '2nd Qtr'!I16, '3rd Qtr'!I16, '4th Qtr'!I16)</f>
        <v>-17225.780750000002</v>
      </c>
      <c r="J16" s="15">
        <f t="shared" si="2"/>
        <v>-9.1098798713833182E-2</v>
      </c>
    </row>
    <row r="17" spans="1:10" ht="15.6">
      <c r="A17" s="24" t="str">
        <v>K335</v>
      </c>
      <c r="B17" s="25" t="str">
        <v>NY</v>
      </c>
      <c r="C17" s="25" t="str">
        <f>Sites[[#This Row],[SOL'#]]</f>
        <v>SOL-10370</v>
      </c>
      <c r="D17" s="20">
        <f>SUM('1st Qtr'!D17,'2nd Qtr'!D17,'3rd Qtr'!D17,'4th Qtr'!D17)</f>
        <v>182054.375</v>
      </c>
      <c r="E17" s="10">
        <f>SUM('1st Qtr'!E17, '2nd Qtr'!E17, '3rd Qtr'!E17, '4th Qtr'!E17)</f>
        <v>211587.16200000004</v>
      </c>
      <c r="F17" s="10">
        <f t="shared" si="0"/>
        <v>-29532.78700000004</v>
      </c>
      <c r="G17" s="11">
        <f t="shared" si="1"/>
        <v>-0.13957740498452376</v>
      </c>
      <c r="H17" s="12">
        <f>SUM('1st Qtr'!H17,'2nd Qtr'!H17,'3rd Qtr'!H17,'4th Qtr'!H17)</f>
        <v>188770.09700000001</v>
      </c>
      <c r="I17" s="12">
        <f>SUM('1st Qtr'!I17, '2nd Qtr'!I17, '3rd Qtr'!I17, '4th Qtr'!I17)</f>
        <v>-6715.7220000000016</v>
      </c>
      <c r="J17" s="13">
        <f t="shared" si="2"/>
        <v>-3.557619615992464E-2</v>
      </c>
    </row>
    <row r="18" spans="1:10" ht="15.6">
      <c r="A18" s="26" t="str">
        <v>K345</v>
      </c>
      <c r="B18" s="27" t="str">
        <v>NY</v>
      </c>
      <c r="C18" s="27" t="str">
        <f>Sites[[#This Row],[SOL'#]]</f>
        <v>SOL-10920</v>
      </c>
      <c r="D18" s="9">
        <f>SUM('1st Qtr'!D18,'2nd Qtr'!D18,'3rd Qtr'!D18,'4th Qtr'!D18)</f>
        <v>214422.1875</v>
      </c>
      <c r="E18" s="14">
        <f>SUM('1st Qtr'!E18, '2nd Qtr'!E18, '3rd Qtr'!E18, '4th Qtr'!E18)</f>
        <v>134867.39500000002</v>
      </c>
      <c r="F18" s="14">
        <f t="shared" si="0"/>
        <v>79554.792499999981</v>
      </c>
      <c r="G18" s="15">
        <f t="shared" si="1"/>
        <v>0.58987416862318698</v>
      </c>
      <c r="H18" s="16">
        <f>SUM('1st Qtr'!H18,'2nd Qtr'!H18,'3rd Qtr'!H18,'4th Qtr'!H18)</f>
        <v>220698.5</v>
      </c>
      <c r="I18" s="16">
        <f>SUM('1st Qtr'!I18, '2nd Qtr'!I18, '3rd Qtr'!I18, '4th Qtr'!I18)</f>
        <v>-6276.3124999999891</v>
      </c>
      <c r="J18" s="15">
        <f t="shared" si="2"/>
        <v>-2.8438401257824538E-2</v>
      </c>
    </row>
    <row r="19" spans="1:10" ht="15.6">
      <c r="A19" s="24" t="str">
        <v>K445</v>
      </c>
      <c r="B19" s="25" t="str">
        <v>NY</v>
      </c>
      <c r="C19" s="25" t="str">
        <f>Sites[[#This Row],[SOL'#]]</f>
        <v>SOL-10373</v>
      </c>
      <c r="D19" s="20">
        <f>SUM('1st Qtr'!D19,'2nd Qtr'!D19,'3rd Qtr'!D19,'4th Qtr'!D19)</f>
        <v>172633.8283749999</v>
      </c>
      <c r="E19" s="10">
        <f>SUM('1st Qtr'!E19, '2nd Qtr'!E19, '3rd Qtr'!E19, '4th Qtr'!E19)</f>
        <v>203210.24799999999</v>
      </c>
      <c r="F19" s="10">
        <f t="shared" si="0"/>
        <v>-30576.419625000097</v>
      </c>
      <c r="G19" s="11">
        <f t="shared" si="1"/>
        <v>-0.15046691751982949</v>
      </c>
      <c r="H19" s="12">
        <f>SUM('1st Qtr'!H19,'2nd Qtr'!H19,'3rd Qtr'!H19,'4th Qtr'!H19)</f>
        <v>181488.69299999997</v>
      </c>
      <c r="I19" s="12">
        <f>SUM('1st Qtr'!I19, '2nd Qtr'!I19, '3rd Qtr'!I19, '4th Qtr'!I19)</f>
        <v>-8854.8646250000947</v>
      </c>
      <c r="J19" s="13">
        <f t="shared" si="2"/>
        <v>-4.8790172426885547E-2</v>
      </c>
    </row>
    <row r="20" spans="1:10" ht="15.6">
      <c r="A20" s="26" t="str">
        <v>K495</v>
      </c>
      <c r="B20" s="27" t="str">
        <v>NY</v>
      </c>
      <c r="C20" s="27" t="str">
        <f>Sites[[#This Row],[SOL'#]]</f>
        <v>SOL-10374</v>
      </c>
      <c r="D20" s="9">
        <f>SUM('1st Qtr'!D20,'2nd Qtr'!D20,'3rd Qtr'!D20,'4th Qtr'!D20)</f>
        <v>557068.50000000023</v>
      </c>
      <c r="E20" s="14">
        <f>SUM('1st Qtr'!E20, '2nd Qtr'!E20, '3rd Qtr'!E20, '4th Qtr'!E20)</f>
        <v>750447.60000000009</v>
      </c>
      <c r="F20" s="14">
        <f t="shared" si="0"/>
        <v>-193379.09999999986</v>
      </c>
      <c r="G20" s="15">
        <f t="shared" si="1"/>
        <v>-0.2576850135838929</v>
      </c>
      <c r="H20" s="16">
        <f>SUM('1st Qtr'!H20,'2nd Qtr'!H20,'3rd Qtr'!H20,'4th Qtr'!H20)</f>
        <v>818045.48600000003</v>
      </c>
      <c r="I20" s="16">
        <f>SUM('1st Qtr'!I20, '2nd Qtr'!I20, '3rd Qtr'!I20, '4th Qtr'!I20)</f>
        <v>-260976.98599999983</v>
      </c>
      <c r="J20" s="15">
        <f t="shared" si="2"/>
        <v>-0.31902503035142943</v>
      </c>
    </row>
    <row r="21" spans="1:10" ht="15.6">
      <c r="A21" s="24" t="str">
        <v>M020</v>
      </c>
      <c r="B21" s="25" t="str">
        <v>NY</v>
      </c>
      <c r="C21" s="25" t="str">
        <f>Sites[[#This Row],[SOL'#]]</f>
        <v>SOL-10380</v>
      </c>
      <c r="D21" s="20">
        <f>SUM('1st Qtr'!D21,'2nd Qtr'!D21,'3rd Qtr'!D21,'4th Qtr'!D21)</f>
        <v>190507.40600000002</v>
      </c>
      <c r="E21" s="10">
        <f>SUM('1st Qtr'!E21, '2nd Qtr'!E21, '3rd Qtr'!E21, '4th Qtr'!E21)</f>
        <v>207204.43799999999</v>
      </c>
      <c r="F21" s="10">
        <f t="shared" si="0"/>
        <v>-16697.031999999977</v>
      </c>
      <c r="G21" s="11">
        <f t="shared" si="1"/>
        <v>-8.0582405286126049E-2</v>
      </c>
      <c r="H21" s="12">
        <f>SUM('1st Qtr'!H21,'2nd Qtr'!H21,'3rd Qtr'!H21,'4th Qtr'!H21)</f>
        <v>214102.5</v>
      </c>
      <c r="I21" s="12">
        <f>SUM('1st Qtr'!I21, '2nd Qtr'!I21, '3rd Qtr'!I21, '4th Qtr'!I21)</f>
        <v>-23595.094000000001</v>
      </c>
      <c r="J21" s="13">
        <f t="shared" si="2"/>
        <v>-0.11020466365409091</v>
      </c>
    </row>
    <row r="22" spans="1:10" ht="15.6">
      <c r="A22" s="26" t="str">
        <v>M092</v>
      </c>
      <c r="B22" s="27" t="str">
        <v>NY</v>
      </c>
      <c r="C22" s="27" t="str">
        <f>Sites[[#This Row],[SOL'#]]</f>
        <v>SOL-10383</v>
      </c>
      <c r="D22" s="9">
        <f>SUM('1st Qtr'!D22,'2nd Qtr'!D22,'3rd Qtr'!D22,'4th Qtr'!D22)</f>
        <v>189588.625</v>
      </c>
      <c r="E22" s="14">
        <f>SUM('1st Qtr'!E22, '2nd Qtr'!E22, '3rd Qtr'!E22, '4th Qtr'!E22)</f>
        <v>209460.42199999999</v>
      </c>
      <c r="F22" s="14">
        <f t="shared" si="0"/>
        <v>-19871.796999999991</v>
      </c>
      <c r="G22" s="15">
        <f t="shared" si="1"/>
        <v>-9.4871369064653141E-2</v>
      </c>
      <c r="H22" s="16">
        <f>SUM('1st Qtr'!H22,'2nd Qtr'!H22,'3rd Qtr'!H22,'4th Qtr'!H22)</f>
        <v>201844.33000000002</v>
      </c>
      <c r="I22" s="16">
        <f>SUM('1st Qtr'!I22, '2nd Qtr'!I22, '3rd Qtr'!I22, '4th Qtr'!I22)</f>
        <v>-12255.705000000002</v>
      </c>
      <c r="J22" s="15">
        <f t="shared" si="2"/>
        <v>-6.0718599328502321E-2</v>
      </c>
    </row>
    <row r="23" spans="1:10" ht="15.6">
      <c r="A23" s="24" t="str">
        <v>M143</v>
      </c>
      <c r="B23" s="25" t="str">
        <v>NY</v>
      </c>
      <c r="C23" s="25" t="str">
        <f>Sites[[#This Row],[SOL'#]]</f>
        <v>SOL-10384</v>
      </c>
      <c r="D23" s="20">
        <f>SUM('1st Qtr'!D23,'2nd Qtr'!D23,'3rd Qtr'!D23,'4th Qtr'!D23)</f>
        <v>210838.15674999991</v>
      </c>
      <c r="E23" s="10">
        <f>SUM('1st Qtr'!E23, '2nd Qtr'!E23, '3rd Qtr'!E23, '4th Qtr'!E23)</f>
        <v>251652.36799999999</v>
      </c>
      <c r="F23" s="10">
        <f t="shared" si="0"/>
        <v>-40814.21125000008</v>
      </c>
      <c r="G23" s="11">
        <f t="shared" si="1"/>
        <v>-0.16218488852050095</v>
      </c>
      <c r="H23" s="12">
        <f>SUM('1st Qtr'!H23,'2nd Qtr'!H23,'3rd Qtr'!H23,'4th Qtr'!H23)</f>
        <v>222378.83899999998</v>
      </c>
      <c r="I23" s="12">
        <f>SUM('1st Qtr'!I23, '2nd Qtr'!I23, '3rd Qtr'!I23, '4th Qtr'!I23)</f>
        <v>-11540.682250000102</v>
      </c>
      <c r="J23" s="13">
        <f t="shared" si="2"/>
        <v>-5.189649474696692E-2</v>
      </c>
    </row>
    <row r="24" spans="1:10" ht="15.6">
      <c r="A24" s="26" t="str">
        <v>M144</v>
      </c>
      <c r="B24" s="27" t="str">
        <v>NY</v>
      </c>
      <c r="C24" s="27" t="str">
        <f>Sites[[#This Row],[SOL'#]]</f>
        <v>SOL-10385</v>
      </c>
      <c r="D24" s="9">
        <f>SUM('1st Qtr'!D24,'2nd Qtr'!D24,'3rd Qtr'!D24,'4th Qtr'!D24)</f>
        <v>314940.87500000012</v>
      </c>
      <c r="E24" s="14">
        <f>SUM('1st Qtr'!E24, '2nd Qtr'!E24, '3rd Qtr'!E24, '4th Qtr'!E24)</f>
        <v>245118.35500000001</v>
      </c>
      <c r="F24" s="14">
        <f t="shared" si="0"/>
        <v>69822.520000000106</v>
      </c>
      <c r="G24" s="15">
        <f t="shared" si="1"/>
        <v>0.28485227065104979</v>
      </c>
      <c r="H24" s="16">
        <f>SUM('1st Qtr'!H24,'2nd Qtr'!H24,'3rd Qtr'!H24,'4th Qtr'!H24)</f>
        <v>375996.31100000005</v>
      </c>
      <c r="I24" s="16">
        <f>SUM('1st Qtr'!I24, '2nd Qtr'!I24, '3rd Qtr'!I24, '4th Qtr'!I24)</f>
        <v>-61055.435999999914</v>
      </c>
      <c r="J24" s="15">
        <f t="shared" si="2"/>
        <v>-0.162383071891362</v>
      </c>
    </row>
    <row r="25" spans="1:10" ht="15.6">
      <c r="A25" s="24" t="str">
        <v>M167</v>
      </c>
      <c r="B25" s="25" t="str">
        <v>NY</v>
      </c>
      <c r="C25" s="25" t="str">
        <f>Sites[[#This Row],[SOL'#]]</f>
        <v>SOL-10386</v>
      </c>
      <c r="D25" s="20">
        <f>SUM('1st Qtr'!D25,'2nd Qtr'!D25,'3rd Qtr'!D25,'4th Qtr'!D25)</f>
        <v>230229.51612499994</v>
      </c>
      <c r="E25" s="10">
        <f>SUM('1st Qtr'!E25, '2nd Qtr'!E25, '3rd Qtr'!E25, '4th Qtr'!E25)</f>
        <v>183156.78300000002</v>
      </c>
      <c r="F25" s="10">
        <f t="shared" si="0"/>
        <v>47072.733124999912</v>
      </c>
      <c r="G25" s="11">
        <f t="shared" si="1"/>
        <v>0.25700786153794752</v>
      </c>
      <c r="H25" s="12">
        <f>SUM('1st Qtr'!H25,'2nd Qtr'!H25,'3rd Qtr'!H25,'4th Qtr'!H25)</f>
        <v>264737.22499999998</v>
      </c>
      <c r="I25" s="12">
        <f>SUM('1st Qtr'!I25, '2nd Qtr'!I25, '3rd Qtr'!I25, '4th Qtr'!I25)</f>
        <v>-34507.708875000062</v>
      </c>
      <c r="J25" s="13">
        <f t="shared" si="2"/>
        <v>-0.1303470219384526</v>
      </c>
    </row>
    <row r="26" spans="1:10" ht="15.6">
      <c r="A26" s="26" t="str">
        <v>M188</v>
      </c>
      <c r="B26" s="27" t="str">
        <v>NY</v>
      </c>
      <c r="C26" s="27" t="str">
        <f>Sites[[#This Row],[SOL'#]]</f>
        <v>SOL-10387</v>
      </c>
      <c r="D26" s="9">
        <f>SUM('1st Qtr'!D26,'2nd Qtr'!D26,'3rd Qtr'!D26,'4th Qtr'!D26)</f>
        <v>161468.65625</v>
      </c>
      <c r="E26" s="14">
        <f>SUM('1st Qtr'!E26, '2nd Qtr'!E26, '3rd Qtr'!E26, '4th Qtr'!E26)</f>
        <v>122075.26999999999</v>
      </c>
      <c r="F26" s="14">
        <f t="shared" si="0"/>
        <v>39393.38625000001</v>
      </c>
      <c r="G26" s="15">
        <f t="shared" si="1"/>
        <v>0.32269751482015985</v>
      </c>
      <c r="H26" s="16">
        <f>SUM('1st Qtr'!H26,'2nd Qtr'!H26,'3rd Qtr'!H26,'4th Qtr'!H26)</f>
        <v>193739.00900000002</v>
      </c>
      <c r="I26" s="16">
        <f>SUM('1st Qtr'!I26, '2nd Qtr'!I26, '3rd Qtr'!I26, '4th Qtr'!I26)</f>
        <v>-32270.352749999998</v>
      </c>
      <c r="J26" s="15">
        <f t="shared" si="2"/>
        <v>-0.16656610827404406</v>
      </c>
    </row>
    <row r="27" spans="1:10" ht="15.6">
      <c r="A27" s="24" t="str">
        <v>EMHC</v>
      </c>
      <c r="B27" s="25" t="str">
        <v>NY</v>
      </c>
      <c r="C27" s="25" t="str">
        <f>Sites[[#This Row],[SOL'#]]</f>
        <v>SOL-10351</v>
      </c>
      <c r="D27" s="20">
        <f>SUM('1st Qtr'!D27,'2nd Qtr'!D27,'3rd Qtr'!D27,'4th Qtr'!D27)</f>
        <v>66613.546750000009</v>
      </c>
      <c r="E27" s="10">
        <f>SUM('1st Qtr'!E27, '2nd Qtr'!E27, '3rd Qtr'!E27, '4th Qtr'!E27)</f>
        <v>54046.68</v>
      </c>
      <c r="F27" s="10">
        <f t="shared" si="0"/>
        <v>12566.866750000008</v>
      </c>
      <c r="G27" s="11">
        <f t="shared" si="1"/>
        <v>0.23251875508356865</v>
      </c>
      <c r="H27" s="12">
        <f>SUM('1st Qtr'!H27,'2nd Qtr'!H27,'3rd Qtr'!H27,'4th Qtr'!H27)</f>
        <v>82624.601999999999</v>
      </c>
      <c r="I27" s="12">
        <f>SUM('1st Qtr'!I27, '2nd Qtr'!I27, '3rd Qtr'!I27, '4th Qtr'!I27)</f>
        <v>-16011.055249999998</v>
      </c>
      <c r="J27" s="13">
        <f t="shared" si="2"/>
        <v>-0.19378072465631965</v>
      </c>
    </row>
    <row r="28" spans="1:10" ht="15.6">
      <c r="A28" s="26" t="str">
        <v>Q008</v>
      </c>
      <c r="B28" s="27" t="str">
        <v>NY</v>
      </c>
      <c r="C28" s="27" t="str">
        <f>Sites[[#This Row],[SOL'#]]</f>
        <v>SOL-10397</v>
      </c>
      <c r="D28" s="9">
        <f>SUM('1st Qtr'!D28,'2nd Qtr'!D28,'3rd Qtr'!D28,'4th Qtr'!D28)</f>
        <v>97367.749390330951</v>
      </c>
      <c r="E28" s="14">
        <f>SUM('1st Qtr'!E28, '2nd Qtr'!E28, '3rd Qtr'!E28, '4th Qtr'!E28)</f>
        <v>116109.499</v>
      </c>
      <c r="F28" s="14">
        <f t="shared" si="0"/>
        <v>-18741.749609669045</v>
      </c>
      <c r="G28" s="15">
        <f t="shared" si="1"/>
        <v>-0.16141443870728481</v>
      </c>
      <c r="H28" s="16">
        <f>SUM('1st Qtr'!H28,'2nd Qtr'!H28,'3rd Qtr'!H28,'4th Qtr'!H28)</f>
        <v>244425</v>
      </c>
      <c r="I28" s="16">
        <f>SUM('1st Qtr'!I28, '2nd Qtr'!I28, '3rd Qtr'!I28, '4th Qtr'!I28)</f>
        <v>-147057.25060966902</v>
      </c>
      <c r="J28" s="15">
        <f t="shared" si="2"/>
        <v>-0.60164570158399922</v>
      </c>
    </row>
    <row r="29" spans="1:10" ht="15.6">
      <c r="A29" s="24" t="str">
        <v>Q018</v>
      </c>
      <c r="B29" s="25" t="str">
        <v>NY</v>
      </c>
      <c r="C29" s="25" t="str">
        <f>Sites[[#This Row],[SOL'#]]</f>
        <v>SOL-10398</v>
      </c>
      <c r="D29" s="20">
        <f>SUM('1st Qtr'!D29,'2nd Qtr'!D29,'3rd Qtr'!D29,'4th Qtr'!D29)</f>
        <v>173552.125</v>
      </c>
      <c r="E29" s="10">
        <f>SUM('1st Qtr'!E29, '2nd Qtr'!E29, '3rd Qtr'!E29, '4th Qtr'!E29)</f>
        <v>185015.655</v>
      </c>
      <c r="F29" s="10">
        <f t="shared" si="0"/>
        <v>-11463.529999999999</v>
      </c>
      <c r="G29" s="11">
        <f t="shared" si="1"/>
        <v>-6.1959783889638957E-2</v>
      </c>
      <c r="H29" s="12">
        <f>SUM('1st Qtr'!H29,'2nd Qtr'!H29,'3rd Qtr'!H29,'4th Qtr'!H29)</f>
        <v>158595.67499999999</v>
      </c>
      <c r="I29" s="12">
        <f>SUM('1st Qtr'!I29, '2nd Qtr'!I29, '3rd Qtr'!I29, '4th Qtr'!I29)</f>
        <v>14956.449999999999</v>
      </c>
      <c r="J29" s="13">
        <f t="shared" si="2"/>
        <v>9.4305535128874102E-2</v>
      </c>
    </row>
    <row r="30" spans="1:10" ht="15.6">
      <c r="A30" s="26" t="str">
        <v>Q021</v>
      </c>
      <c r="B30" s="27" t="str">
        <v>NY</v>
      </c>
      <c r="C30" s="27" t="str">
        <f>Sites[[#This Row],[SOL'#]]</f>
        <v>SOL-10399</v>
      </c>
      <c r="D30" s="9">
        <f>SUM('1st Qtr'!D30,'2nd Qtr'!D30,'3rd Qtr'!D30,'4th Qtr'!D30)</f>
        <v>138376.06299999997</v>
      </c>
      <c r="E30" s="14">
        <f>SUM('1st Qtr'!E30, '2nd Qtr'!E30, '3rd Qtr'!E30, '4th Qtr'!E30)</f>
        <v>145046.541</v>
      </c>
      <c r="F30" s="14">
        <f t="shared" si="0"/>
        <v>-6670.4780000000319</v>
      </c>
      <c r="G30" s="15">
        <f t="shared" si="1"/>
        <v>-4.5988535500477962E-2</v>
      </c>
      <c r="H30" s="16">
        <f>SUM('1st Qtr'!H30,'2nd Qtr'!H30,'3rd Qtr'!H30,'4th Qtr'!H30)</f>
        <v>135495.44200000001</v>
      </c>
      <c r="I30" s="16">
        <f>SUM('1st Qtr'!I30, '2nd Qtr'!I30, '3rd Qtr'!I30, '4th Qtr'!I30)</f>
        <v>2880.6209999999573</v>
      </c>
      <c r="J30" s="15">
        <f t="shared" si="2"/>
        <v>2.1259910720834115E-2</v>
      </c>
    </row>
    <row r="31" spans="1:10" ht="15.6">
      <c r="A31" s="24" t="str">
        <v>Q025</v>
      </c>
      <c r="B31" s="25" t="str">
        <v>NY</v>
      </c>
      <c r="C31" s="25" t="str">
        <f>Sites[[#This Row],[SOL'#]]</f>
        <v>SOL-10400</v>
      </c>
      <c r="D31" s="20">
        <f>SUM('1st Qtr'!D31,'2nd Qtr'!D31,'3rd Qtr'!D31,'4th Qtr'!D31)</f>
        <v>236377.3125</v>
      </c>
      <c r="E31" s="10">
        <f>SUM('1st Qtr'!E31, '2nd Qtr'!E31, '3rd Qtr'!E31, '4th Qtr'!E31)</f>
        <v>241746.80300000001</v>
      </c>
      <c r="F31" s="10">
        <f t="shared" si="0"/>
        <v>-5369.4905000000144</v>
      </c>
      <c r="G31" s="11">
        <f t="shared" si="1"/>
        <v>-2.221121617066437E-2</v>
      </c>
      <c r="H31" s="12">
        <f>SUM('1st Qtr'!H31,'2nd Qtr'!H31,'3rd Qtr'!H31,'4th Qtr'!H31)</f>
        <v>133130.5</v>
      </c>
      <c r="I31" s="12">
        <f>SUM('1st Qtr'!I31, '2nd Qtr'!I31, '3rd Qtr'!I31, '4th Qtr'!I31)</f>
        <v>103246.8125</v>
      </c>
      <c r="J31" s="13">
        <f t="shared" si="2"/>
        <v>0.77553087008611854</v>
      </c>
    </row>
    <row r="32" spans="1:10" ht="15.6">
      <c r="A32" s="26" t="str">
        <v>Q074</v>
      </c>
      <c r="B32" s="27" t="str">
        <v>NY</v>
      </c>
      <c r="C32" s="27" t="str">
        <f>Sites[[#This Row],[SOL'#]]</f>
        <v>SOL-10402</v>
      </c>
      <c r="D32" s="9">
        <f>SUM('1st Qtr'!D32,'2nd Qtr'!D32,'3rd Qtr'!D32,'4th Qtr'!D32)</f>
        <v>131595.75</v>
      </c>
      <c r="E32" s="14">
        <f>SUM('1st Qtr'!E32, '2nd Qtr'!E32, '3rd Qtr'!E32, '4th Qtr'!E32)</f>
        <v>133044.24799999999</v>
      </c>
      <c r="F32" s="14">
        <f t="shared" si="0"/>
        <v>-1448.4979999999923</v>
      </c>
      <c r="G32" s="15">
        <f t="shared" si="1"/>
        <v>-1.0887340277950177E-2</v>
      </c>
      <c r="H32" s="16">
        <f>SUM('1st Qtr'!H32,'2nd Qtr'!H32,'3rd Qtr'!H32,'4th Qtr'!H32)</f>
        <v>147501.701</v>
      </c>
      <c r="I32" s="16">
        <f>SUM('1st Qtr'!I32, '2nd Qtr'!I32, '3rd Qtr'!I32, '4th Qtr'!I32)</f>
        <v>-15905.950999999997</v>
      </c>
      <c r="J32" s="15">
        <f t="shared" si="2"/>
        <v>-0.10783571234883588</v>
      </c>
    </row>
    <row r="33" spans="1:10" ht="15.6">
      <c r="A33" s="24" t="str">
        <v>Q115</v>
      </c>
      <c r="B33" s="25" t="str">
        <v>NY</v>
      </c>
      <c r="C33" s="25" t="str">
        <f>Sites[[#This Row],[SOL'#]]</f>
        <v>SOL-10872</v>
      </c>
      <c r="D33" s="20">
        <f>SUM('1st Qtr'!D33,'2nd Qtr'!D33,'3rd Qtr'!D33,'4th Qtr'!D33)</f>
        <v>196503.25049999999</v>
      </c>
      <c r="E33" s="10">
        <f>SUM('1st Qtr'!E33, '2nd Qtr'!E33, '3rd Qtr'!E33, '4th Qtr'!E33)</f>
        <v>219590.33799999999</v>
      </c>
      <c r="F33" s="10">
        <f t="shared" si="0"/>
        <v>-23087.087499999994</v>
      </c>
      <c r="G33" s="11">
        <f t="shared" si="1"/>
        <v>-0.10513708257965337</v>
      </c>
      <c r="H33" s="12">
        <f>SUM('1st Qtr'!H33,'2nd Qtr'!H33,'3rd Qtr'!H33,'4th Qtr'!H33)</f>
        <v>203719.33600000001</v>
      </c>
      <c r="I33" s="12">
        <f>SUM('1st Qtr'!I33, '2nd Qtr'!I33, '3rd Qtr'!I33, '4th Qtr'!I33)</f>
        <v>-7216.085500000001</v>
      </c>
      <c r="J33" s="13">
        <f t="shared" si="2"/>
        <v>-3.5421701453022605E-2</v>
      </c>
    </row>
    <row r="34" spans="1:10" ht="15.6">
      <c r="A34" s="26" t="str">
        <v>Q139</v>
      </c>
      <c r="B34" s="27" t="str">
        <v>NY</v>
      </c>
      <c r="C34" s="27" t="str">
        <f>Sites[[#This Row],[SOL'#]]</f>
        <v>SOL-10403</v>
      </c>
      <c r="D34" s="9">
        <f>SUM('1st Qtr'!D34,'2nd Qtr'!D34,'3rd Qtr'!D34,'4th Qtr'!D34)</f>
        <v>119427.125</v>
      </c>
      <c r="E34" s="14">
        <f>SUM('1st Qtr'!E34, '2nd Qtr'!E34, '3rd Qtr'!E34, '4th Qtr'!E34)</f>
        <v>130450.492</v>
      </c>
      <c r="F34" s="14">
        <f t="shared" si="0"/>
        <v>-11023.366999999998</v>
      </c>
      <c r="G34" s="15">
        <f t="shared" si="1"/>
        <v>-8.4502302988631109E-2</v>
      </c>
      <c r="H34" s="16">
        <f>SUM('1st Qtr'!H34,'2nd Qtr'!H34,'3rd Qtr'!H34,'4th Qtr'!H34)</f>
        <v>129486</v>
      </c>
      <c r="I34" s="16">
        <f>SUM('1st Qtr'!I34, '2nd Qtr'!I34, '3rd Qtr'!I34, '4th Qtr'!I34)</f>
        <v>-10058.875</v>
      </c>
      <c r="J34" s="15">
        <f t="shared" si="2"/>
        <v>-7.7683108598612979E-2</v>
      </c>
    </row>
    <row r="35" spans="1:10" ht="15.6">
      <c r="A35" s="24" t="str">
        <v>Q157</v>
      </c>
      <c r="B35" s="25" t="str">
        <v>NY</v>
      </c>
      <c r="C35" s="25" t="str">
        <f>Sites[[#This Row],[SOL'#]]</f>
        <v>SOL-10404</v>
      </c>
      <c r="D35" s="20">
        <f>SUM('1st Qtr'!D35,'2nd Qtr'!D35,'3rd Qtr'!D35,'4th Qtr'!D35)</f>
        <v>204886.18799999999</v>
      </c>
      <c r="E35" s="10">
        <f>SUM('1st Qtr'!E35, '2nd Qtr'!E35, '3rd Qtr'!E35, '4th Qtr'!E35)</f>
        <v>244417.986</v>
      </c>
      <c r="F35" s="10">
        <f t="shared" si="0"/>
        <v>-39531.79800000001</v>
      </c>
      <c r="G35" s="11">
        <f t="shared" si="1"/>
        <v>-0.16173849824619702</v>
      </c>
      <c r="H35" s="12">
        <f>SUM('1st Qtr'!H35,'2nd Qtr'!H35,'3rd Qtr'!H35,'4th Qtr'!H35)</f>
        <v>225895.01499999998</v>
      </c>
      <c r="I35" s="12">
        <f>SUM('1st Qtr'!I35, '2nd Qtr'!I35, '3rd Qtr'!I35, '4th Qtr'!I35)</f>
        <v>-21008.826999999997</v>
      </c>
      <c r="J35" s="13">
        <f t="shared" si="2"/>
        <v>-9.3002614510993079E-2</v>
      </c>
    </row>
    <row r="36" spans="1:10" ht="15.6">
      <c r="A36" s="26" t="str">
        <v>Q192</v>
      </c>
      <c r="B36" s="27" t="str">
        <v>NY</v>
      </c>
      <c r="C36" s="27" t="str">
        <f>Sites[[#This Row],[SOL'#]]</f>
        <v>SOL-10406</v>
      </c>
      <c r="D36" s="9">
        <f>SUM('1st Qtr'!D36,'2nd Qtr'!D36,'3rd Qtr'!D36,'4th Qtr'!D36)</f>
        <v>320743.875</v>
      </c>
      <c r="E36" s="14">
        <f>SUM('1st Qtr'!E36, '2nd Qtr'!E36, '3rd Qtr'!E36, '4th Qtr'!E36)</f>
        <v>369123.82199999999</v>
      </c>
      <c r="F36" s="14">
        <f t="shared" si="0"/>
        <v>-48379.946999999986</v>
      </c>
      <c r="G36" s="15">
        <f t="shared" si="1"/>
        <v>-0.13106698651380996</v>
      </c>
      <c r="H36" s="16">
        <f>SUM('1st Qtr'!H36,'2nd Qtr'!H36,'3rd Qtr'!H36,'4th Qtr'!H36)</f>
        <v>258631.91379999998</v>
      </c>
      <c r="I36" s="16">
        <f>SUM('1st Qtr'!I36, '2nd Qtr'!I36, '3rd Qtr'!I36, '4th Qtr'!I36)</f>
        <v>62111.961199999998</v>
      </c>
      <c r="J36" s="15">
        <f t="shared" si="2"/>
        <v>0.24015582720402853</v>
      </c>
    </row>
    <row r="37" spans="1:10" ht="15.6">
      <c r="A37" s="24" t="str">
        <v>Q210</v>
      </c>
      <c r="B37" s="25" t="str">
        <v>NY</v>
      </c>
      <c r="C37" s="25" t="str">
        <f>Sites[[#This Row],[SOL'#]]</f>
        <v>SOL-10407</v>
      </c>
      <c r="D37" s="20">
        <f>SUM('1st Qtr'!D37,'2nd Qtr'!D37,'3rd Qtr'!D37,'4th Qtr'!D37)</f>
        <v>264602.125</v>
      </c>
      <c r="E37" s="10">
        <f>SUM('1st Qtr'!E37, '2nd Qtr'!E37, '3rd Qtr'!E37, '4th Qtr'!E37)</f>
        <v>275460.96899999998</v>
      </c>
      <c r="F37" s="10">
        <f t="shared" si="0"/>
        <v>-10858.843999999983</v>
      </c>
      <c r="G37" s="11">
        <f t="shared" si="1"/>
        <v>-3.9420626593381303E-2</v>
      </c>
      <c r="H37" s="12">
        <f>SUM('1st Qtr'!H37,'2nd Qtr'!H37,'3rd Qtr'!H37,'4th Qtr'!H37)</f>
        <v>280213</v>
      </c>
      <c r="I37" s="12">
        <f>SUM('1st Qtr'!I37, '2nd Qtr'!I37, '3rd Qtr'!I37, '4th Qtr'!I37)</f>
        <v>-15610.875</v>
      </c>
      <c r="J37" s="13">
        <f t="shared" si="2"/>
        <v>-5.5710745040379997E-2</v>
      </c>
    </row>
    <row r="38" spans="1:10" ht="15.6">
      <c r="A38" s="26" t="str">
        <v>Q229</v>
      </c>
      <c r="B38" s="27" t="str">
        <v>NY</v>
      </c>
      <c r="C38" s="27" t="str">
        <f>Sites[[#This Row],[SOL'#]]</f>
        <v>SOL-10408</v>
      </c>
      <c r="D38" s="9">
        <f>SUM('1st Qtr'!D38,'2nd Qtr'!D38,'3rd Qtr'!D38,'4th Qtr'!D38)</f>
        <v>114426.96875</v>
      </c>
      <c r="E38" s="14">
        <f>SUM('1st Qtr'!E38, '2nd Qtr'!E38, '3rd Qtr'!E38, '4th Qtr'!E38)</f>
        <v>135399.66200000001</v>
      </c>
      <c r="F38" s="14">
        <f t="shared" si="0"/>
        <v>-20972.693250000011</v>
      </c>
      <c r="G38" s="15">
        <f t="shared" si="1"/>
        <v>-0.15489472381400782</v>
      </c>
      <c r="H38" s="16">
        <f>SUM('1st Qtr'!H38,'2nd Qtr'!H38,'3rd Qtr'!H38,'4th Qtr'!H38)</f>
        <v>105024.97399999999</v>
      </c>
      <c r="I38" s="16">
        <f>SUM('1st Qtr'!I38, '2nd Qtr'!I38, '3rd Qtr'!I38, '4th Qtr'!I38)</f>
        <v>9401.9947499999998</v>
      </c>
      <c r="J38" s="15">
        <f t="shared" si="2"/>
        <v>8.952151466374085E-2</v>
      </c>
    </row>
    <row r="39" spans="1:10" ht="15.6">
      <c r="A39" s="24" t="str">
        <v>Q231</v>
      </c>
      <c r="B39" s="25" t="str">
        <v>NY</v>
      </c>
      <c r="C39" s="25" t="str">
        <f>Sites[[#This Row],[SOL'#]]</f>
        <v>SOL-10870</v>
      </c>
      <c r="D39" s="20">
        <f>SUM('1st Qtr'!D39,'2nd Qtr'!D39,'3rd Qtr'!D39,'4th Qtr'!D39)</f>
        <v>430589</v>
      </c>
      <c r="E39" s="10">
        <f>SUM('1st Qtr'!E39, '2nd Qtr'!E39, '3rd Qtr'!E39, '4th Qtr'!E39)</f>
        <v>488875.04100000003</v>
      </c>
      <c r="F39" s="10">
        <f t="shared" si="0"/>
        <v>-58286.041000000027</v>
      </c>
      <c r="G39" s="11">
        <f t="shared" si="1"/>
        <v>-0.11922482457025255</v>
      </c>
      <c r="H39" s="12">
        <f>SUM('1st Qtr'!H39,'2nd Qtr'!H39,'3rd Qtr'!H39,'4th Qtr'!H39)</f>
        <v>453740.5</v>
      </c>
      <c r="I39" s="12">
        <f>SUM('1st Qtr'!I39, '2nd Qtr'!I39, '3rd Qtr'!I39, '4th Qtr'!I39)</f>
        <v>-23151.5</v>
      </c>
      <c r="J39" s="13">
        <f t="shared" si="2"/>
        <v>-5.1023657795590212E-2</v>
      </c>
    </row>
    <row r="40" spans="1:10" ht="15.6">
      <c r="A40" s="26" t="str">
        <v>Q405</v>
      </c>
      <c r="B40" s="27" t="str">
        <v>NY</v>
      </c>
      <c r="C40" s="27" t="str">
        <f>Sites[[#This Row],[SOL'#]]</f>
        <v>SOL-10409</v>
      </c>
      <c r="D40" s="9">
        <f>SUM('1st Qtr'!D40,'2nd Qtr'!D40,'3rd Qtr'!D40,'4th Qtr'!D40)</f>
        <v>494569.75</v>
      </c>
      <c r="E40" s="14">
        <f>SUM('1st Qtr'!E40, '2nd Qtr'!E40, '3rd Qtr'!E40, '4th Qtr'!E40)</f>
        <v>560814.875</v>
      </c>
      <c r="F40" s="14">
        <f t="shared" si="0"/>
        <v>-66245.125</v>
      </c>
      <c r="G40" s="15">
        <f t="shared" si="1"/>
        <v>-0.11812298131357518</v>
      </c>
      <c r="H40" s="16">
        <f>SUM('1st Qtr'!H40,'2nd Qtr'!H40,'3rd Qtr'!H40,'4th Qtr'!H40)</f>
        <v>500146.67200000002</v>
      </c>
      <c r="I40" s="16">
        <f>SUM('1st Qtr'!I40, '2nd Qtr'!I40, '3rd Qtr'!I40, '4th Qtr'!I40)</f>
        <v>-5576.9220000000059</v>
      </c>
      <c r="J40" s="15">
        <f t="shared" si="2"/>
        <v>-1.1150573046300318E-2</v>
      </c>
    </row>
    <row r="41" spans="1:10" ht="15.6">
      <c r="A41" s="24" t="str">
        <v>Q435</v>
      </c>
      <c r="B41" s="25" t="str">
        <v>NY</v>
      </c>
      <c r="C41" s="25" t="str">
        <f>Sites[[#This Row],[SOL'#]]</f>
        <v>SOL-10923</v>
      </c>
      <c r="D41" s="20">
        <f>SUM('1st Qtr'!D41,'2nd Qtr'!D41,'3rd Qtr'!D41,'4th Qtr'!D41)</f>
        <v>578011.375</v>
      </c>
      <c r="E41" s="10">
        <f>SUM('1st Qtr'!E41, '2nd Qtr'!E41, '3rd Qtr'!E41, '4th Qtr'!E41)</f>
        <v>517991.72699999996</v>
      </c>
      <c r="F41" s="10">
        <f t="shared" si="0"/>
        <v>60019.648000000045</v>
      </c>
      <c r="G41" s="11">
        <f t="shared" si="1"/>
        <v>0.11586989689509085</v>
      </c>
      <c r="H41" s="12">
        <f>SUM('1st Qtr'!H41,'2nd Qtr'!H41,'3rd Qtr'!H41,'4th Qtr'!H41)</f>
        <v>648141.5</v>
      </c>
      <c r="I41" s="12">
        <f>SUM('1st Qtr'!I41, '2nd Qtr'!I41, '3rd Qtr'!I41, '4th Qtr'!I41)</f>
        <v>-70130.125</v>
      </c>
      <c r="J41" s="13">
        <f t="shared" si="2"/>
        <v>-0.10820187412779463</v>
      </c>
    </row>
    <row r="42" spans="1:10" ht="15.6">
      <c r="A42" s="26" t="str">
        <v>Q485</v>
      </c>
      <c r="B42" s="27" t="str">
        <v>NY</v>
      </c>
      <c r="C42" s="27" t="str">
        <f>Sites[[#This Row],[SOL'#]]</f>
        <v>SOL-10869</v>
      </c>
      <c r="D42" s="9">
        <f>SUM('1st Qtr'!D42,'2nd Qtr'!D42,'3rd Qtr'!D42,'4th Qtr'!D42)</f>
        <v>577921.1875</v>
      </c>
      <c r="E42" s="14">
        <f>SUM('1st Qtr'!E42, '2nd Qtr'!E42, '3rd Qtr'!E42, '4th Qtr'!E42)</f>
        <v>487166.326</v>
      </c>
      <c r="F42" s="14">
        <f t="shared" si="0"/>
        <v>90754.861499999999</v>
      </c>
      <c r="G42" s="15">
        <f t="shared" si="1"/>
        <v>0.18629132732790729</v>
      </c>
      <c r="H42" s="16">
        <f>SUM('1st Qtr'!H42,'2nd Qtr'!H42,'3rd Qtr'!H42,'4th Qtr'!H42)</f>
        <v>612070.549</v>
      </c>
      <c r="I42" s="16">
        <f>SUM('1st Qtr'!I42, '2nd Qtr'!I42, '3rd Qtr'!I42, '4th Qtr'!I42)</f>
        <v>-34149.361500000021</v>
      </c>
      <c r="J42" s="15">
        <f t="shared" si="2"/>
        <v>-5.5793178671630583E-2</v>
      </c>
    </row>
    <row r="43" spans="1:10" ht="15.6">
      <c r="A43" s="24" t="str">
        <v>Q490</v>
      </c>
      <c r="B43" s="25" t="str">
        <v>NY</v>
      </c>
      <c r="C43" s="25" t="str">
        <f>Sites[[#This Row],[SOL'#]]</f>
        <v>SOL-10411</v>
      </c>
      <c r="D43" s="20">
        <f>SUM('1st Qtr'!D43,'2nd Qtr'!D43,'3rd Qtr'!D43,'4th Qtr'!D43)</f>
        <v>417869.1827889448</v>
      </c>
      <c r="E43" s="10">
        <f>SUM('1st Qtr'!E43, '2nd Qtr'!E43, '3rd Qtr'!E43, '4th Qtr'!E43)</f>
        <v>0</v>
      </c>
      <c r="F43" s="10">
        <f t="shared" si="0"/>
        <v>417869.1827889448</v>
      </c>
      <c r="G43" s="11" t="str">
        <f t="shared" si="1"/>
        <v/>
      </c>
      <c r="H43" s="12">
        <f>SUM('1st Qtr'!H43,'2nd Qtr'!H43,'3rd Qtr'!H43,'4th Qtr'!H43)</f>
        <v>431461.08500000002</v>
      </c>
      <c r="I43" s="12">
        <f>SUM('1st Qtr'!I43, '2nd Qtr'!I43, '3rd Qtr'!I43, '4th Qtr'!I43)</f>
        <v>-13591.902211055203</v>
      </c>
      <c r="J43" s="13">
        <f t="shared" si="2"/>
        <v>-3.1502035023750062E-2</v>
      </c>
    </row>
    <row r="44" spans="1:10" ht="15.6">
      <c r="A44" s="26" t="str">
        <v>Q620</v>
      </c>
      <c r="B44" s="27" t="str">
        <v>NY</v>
      </c>
      <c r="C44" s="27" t="str">
        <f>Sites[[#This Row],[SOL'#]]</f>
        <v>SOL-10867</v>
      </c>
      <c r="D44" s="9">
        <f>SUM('1st Qtr'!D44,'2nd Qtr'!D44,'3rd Qtr'!D44,'4th Qtr'!D44)</f>
        <v>641261.12480676326</v>
      </c>
      <c r="E44" s="14">
        <f>SUM('1st Qtr'!E44, '2nd Qtr'!E44, '3rd Qtr'!E44, '4th Qtr'!E44)</f>
        <v>662413.03299999994</v>
      </c>
      <c r="F44" s="14">
        <f t="shared" si="0"/>
        <v>-21151.908193236683</v>
      </c>
      <c r="G44" s="15">
        <f t="shared" si="1"/>
        <v>-3.193160028485835E-2</v>
      </c>
      <c r="H44" s="16">
        <f>SUM('1st Qtr'!H44,'2nd Qtr'!H44,'3rd Qtr'!H44,'4th Qtr'!H44)</f>
        <v>652199.44299999997</v>
      </c>
      <c r="I44" s="16">
        <f>SUM('1st Qtr'!I44, '2nd Qtr'!I44, '3rd Qtr'!I44, '4th Qtr'!I44)</f>
        <v>-10938.318193236693</v>
      </c>
      <c r="J44" s="15">
        <f t="shared" si="2"/>
        <v>-1.6771431362962226E-2</v>
      </c>
    </row>
    <row r="45" spans="1:10" ht="15.6">
      <c r="A45" s="24" t="str">
        <v>QMOA</v>
      </c>
      <c r="B45" s="25" t="str">
        <v>NY</v>
      </c>
      <c r="C45" s="25" t="str">
        <f>Sites[[#This Row],[SOL'#]]</f>
        <v>SOL-10415</v>
      </c>
      <c r="D45" s="20">
        <f>SUM('1st Qtr'!D45,'2nd Qtr'!D45,'3rd Qtr'!D45,'4th Qtr'!D45)</f>
        <v>55481.100000000013</v>
      </c>
      <c r="E45" s="10">
        <f>SUM('1st Qtr'!E45, '2nd Qtr'!E45, '3rd Qtr'!E45, '4th Qtr'!E45)</f>
        <v>0</v>
      </c>
      <c r="F45" s="10">
        <f t="shared" si="0"/>
        <v>55481.100000000013</v>
      </c>
      <c r="G45" s="11" t="str">
        <f t="shared" si="1"/>
        <v/>
      </c>
      <c r="H45" s="12">
        <f>SUM('1st Qtr'!H45,'2nd Qtr'!H45,'3rd Qtr'!H45,'4th Qtr'!H45)</f>
        <v>59640.981999999996</v>
      </c>
      <c r="I45" s="12">
        <f>SUM('1st Qtr'!I45, '2nd Qtr'!I45, '3rd Qtr'!I45, '4th Qtr'!I45)</f>
        <v>-4159.8819999999887</v>
      </c>
      <c r="J45" s="13">
        <f t="shared" si="2"/>
        <v>-6.9748717417161057E-2</v>
      </c>
    </row>
    <row r="46" spans="1:10" ht="15.6">
      <c r="A46" s="26" t="str">
        <v>X024</v>
      </c>
      <c r="B46" s="27" t="str">
        <v>NY</v>
      </c>
      <c r="C46" s="27" t="str">
        <f>Sites[[#This Row],[SOL'#]]</f>
        <v>SOL-10419</v>
      </c>
      <c r="D46" s="9">
        <f>SUM('1st Qtr'!D46,'2nd Qtr'!D46,'3rd Qtr'!D46,'4th Qtr'!D46)</f>
        <v>241173.2809999999</v>
      </c>
      <c r="E46" s="14">
        <f>SUM('1st Qtr'!E46, '2nd Qtr'!E46, '3rd Qtr'!E46, '4th Qtr'!E46)</f>
        <v>258940.60699999999</v>
      </c>
      <c r="F46" s="14">
        <f t="shared" si="0"/>
        <v>-17767.326000000088</v>
      </c>
      <c r="G46" s="15">
        <f t="shared" si="1"/>
        <v>-6.8615448947333665E-2</v>
      </c>
      <c r="H46" s="16">
        <f>SUM('1st Qtr'!H46,'2nd Qtr'!H46,'3rd Qtr'!H46,'4th Qtr'!H46)</f>
        <v>229090</v>
      </c>
      <c r="I46" s="16">
        <f>SUM('1st Qtr'!I46, '2nd Qtr'!I46, '3rd Qtr'!I46, '4th Qtr'!I46)</f>
        <v>12083.280999999901</v>
      </c>
      <c r="J46" s="15">
        <f t="shared" si="2"/>
        <v>5.2744689859879963E-2</v>
      </c>
    </row>
    <row r="47" spans="1:10" ht="15.6">
      <c r="A47" s="24" t="str">
        <v>X026</v>
      </c>
      <c r="B47" s="25" t="str">
        <v>NY</v>
      </c>
      <c r="C47" s="25" t="str">
        <f>Sites[[#This Row],[SOL'#]]</f>
        <v>SOL-10420</v>
      </c>
      <c r="D47" s="20">
        <f>SUM('1st Qtr'!D47,'2nd Qtr'!D47,'3rd Qtr'!D47,'4th Qtr'!D47)</f>
        <v>209974.09999999998</v>
      </c>
      <c r="E47" s="10">
        <f>SUM('1st Qtr'!E47, '2nd Qtr'!E47, '3rd Qtr'!E47, '4th Qtr'!E47)</f>
        <v>209517.25200000001</v>
      </c>
      <c r="F47" s="10">
        <f t="shared" si="0"/>
        <v>456.84799999996903</v>
      </c>
      <c r="G47" s="11">
        <f t="shared" si="1"/>
        <v>2.1804791521414621E-3</v>
      </c>
      <c r="H47" s="12">
        <f>SUM('1st Qtr'!H47,'2nd Qtr'!H47,'3rd Qtr'!H47,'4th Qtr'!H47)</f>
        <v>304670.95299999998</v>
      </c>
      <c r="I47" s="12">
        <f>SUM('1st Qtr'!I47, '2nd Qtr'!I47, '3rd Qtr'!I47, '4th Qtr'!I47)</f>
        <v>-94696.853000000003</v>
      </c>
      <c r="J47" s="13">
        <f t="shared" si="2"/>
        <v>-0.31081680766594122</v>
      </c>
    </row>
    <row r="48" spans="1:10" ht="15.6">
      <c r="A48" s="26" t="str">
        <v>X090</v>
      </c>
      <c r="B48" s="27" t="str">
        <v>NY</v>
      </c>
      <c r="C48" s="27" t="str">
        <f>Sites[[#This Row],[SOL'#]]</f>
        <v>SOL-10925</v>
      </c>
      <c r="D48" s="9">
        <f>SUM('1st Qtr'!D48,'2nd Qtr'!D48,'3rd Qtr'!D48,'4th Qtr'!D48)</f>
        <v>171376.25024999998</v>
      </c>
      <c r="E48" s="14">
        <f>SUM('1st Qtr'!E48, '2nd Qtr'!E48, '3rd Qtr'!E48, '4th Qtr'!E48)</f>
        <v>157699.21099999998</v>
      </c>
      <c r="F48" s="14">
        <f t="shared" si="0"/>
        <v>13677.039250000002</v>
      </c>
      <c r="G48" s="15">
        <f t="shared" si="1"/>
        <v>8.6728647298051506E-2</v>
      </c>
      <c r="H48" s="16">
        <f>SUM('1st Qtr'!H48,'2nd Qtr'!H48,'3rd Qtr'!H48,'4th Qtr'!H48)</f>
        <v>188439.742</v>
      </c>
      <c r="I48" s="16">
        <f>SUM('1st Qtr'!I48, '2nd Qtr'!I48, '3rd Qtr'!I48, '4th Qtr'!I48)</f>
        <v>-17063.491750000001</v>
      </c>
      <c r="J48" s="15">
        <f t="shared" si="2"/>
        <v>-9.0551449332805817E-2</v>
      </c>
    </row>
    <row r="49" spans="1:10" ht="15.6">
      <c r="A49" s="24" t="str">
        <v>X117</v>
      </c>
      <c r="B49" s="25" t="str">
        <v>NY</v>
      </c>
      <c r="C49" s="25" t="str">
        <f>Sites[[#This Row],[SOL'#]]</f>
        <v>SOL-10422</v>
      </c>
      <c r="D49" s="20">
        <f>SUM('1st Qtr'!D49,'2nd Qtr'!D49,'3rd Qtr'!D49,'4th Qtr'!D49)</f>
        <v>152036.40000000002</v>
      </c>
      <c r="E49" s="10">
        <f>SUM('1st Qtr'!E49, '2nd Qtr'!E49, '3rd Qtr'!E49, '4th Qtr'!E49)</f>
        <v>177227.83799999999</v>
      </c>
      <c r="F49" s="10">
        <f t="shared" si="0"/>
        <v>-25191.437999999966</v>
      </c>
      <c r="G49" s="11">
        <f t="shared" si="1"/>
        <v>-0.1421415409919968</v>
      </c>
      <c r="H49" s="12">
        <f>SUM('1st Qtr'!H49,'2nd Qtr'!H49,'3rd Qtr'!H49,'4th Qtr'!H49)</f>
        <v>165986.37700000001</v>
      </c>
      <c r="I49" s="12">
        <f>SUM('1st Qtr'!I49, '2nd Qtr'!I49, '3rd Qtr'!I49, '4th Qtr'!I49)</f>
        <v>-13949.976999999999</v>
      </c>
      <c r="J49" s="13">
        <f t="shared" si="2"/>
        <v>-8.4042903111259532E-2</v>
      </c>
    </row>
    <row r="50" spans="1:10" ht="15.6">
      <c r="A50" s="26" t="str">
        <v>X125</v>
      </c>
      <c r="B50" s="27" t="str">
        <v>NY</v>
      </c>
      <c r="C50" s="27" t="str">
        <f>Sites[[#This Row],[SOL'#]]</f>
        <v>SOL-10423</v>
      </c>
      <c r="D50" s="9">
        <f>SUM('1st Qtr'!D50,'2nd Qtr'!D50,'3rd Qtr'!D50,'4th Qtr'!D50)</f>
        <v>287260.375</v>
      </c>
      <c r="E50" s="14">
        <f>SUM('1st Qtr'!E50, '2nd Qtr'!E50, '3rd Qtr'!E50, '4th Qtr'!E50)</f>
        <v>306811.78200000001</v>
      </c>
      <c r="F50" s="14">
        <f t="shared" si="0"/>
        <v>-19551.407000000007</v>
      </c>
      <c r="G50" s="15">
        <f t="shared" si="1"/>
        <v>-6.3724433503013281E-2</v>
      </c>
      <c r="H50" s="16">
        <f>SUM('1st Qtr'!H50,'2nd Qtr'!H50,'3rd Qtr'!H50,'4th Qtr'!H50)</f>
        <v>290081.57299999997</v>
      </c>
      <c r="I50" s="16">
        <f>SUM('1st Qtr'!I50, '2nd Qtr'!I50, '3rd Qtr'!I50, '4th Qtr'!I50)</f>
        <v>-2821.1980000000021</v>
      </c>
      <c r="J50" s="15">
        <f t="shared" si="2"/>
        <v>-9.7255333071432377E-3</v>
      </c>
    </row>
    <row r="51" spans="1:10" ht="15.6">
      <c r="A51" s="24" t="str">
        <v>X134</v>
      </c>
      <c r="B51" s="25" t="str">
        <v>NY</v>
      </c>
      <c r="C51" s="25" t="str">
        <f>Sites[[#This Row],[SOL'#]]</f>
        <v>SOL-10424</v>
      </c>
      <c r="D51" s="20">
        <f>SUM('1st Qtr'!D51,'2nd Qtr'!D51,'3rd Qtr'!D51,'4th Qtr'!D51)</f>
        <v>274603.65749999997</v>
      </c>
      <c r="E51" s="10">
        <f>SUM('1st Qtr'!E51, '2nd Qtr'!E51, '3rd Qtr'!E51, '4th Qtr'!E51)</f>
        <v>135808.76999999999</v>
      </c>
      <c r="F51" s="10">
        <f t="shared" si="0"/>
        <v>138794.88749999998</v>
      </c>
      <c r="G51" s="11">
        <f t="shared" si="1"/>
        <v>1.0219876632414828</v>
      </c>
      <c r="H51" s="12">
        <f>SUM('1st Qtr'!H51,'2nd Qtr'!H51,'3rd Qtr'!H51,'4th Qtr'!H51)</f>
        <v>286752.35399999999</v>
      </c>
      <c r="I51" s="12">
        <f>SUM('1st Qtr'!I51, '2nd Qtr'!I51, '3rd Qtr'!I51, '4th Qtr'!I51)</f>
        <v>-12148.696499999998</v>
      </c>
      <c r="J51" s="13">
        <f t="shared" si="2"/>
        <v>-4.236651009323536E-2</v>
      </c>
    </row>
    <row r="52" spans="1:10" ht="15.6">
      <c r="A52" s="26" t="str">
        <v>X135</v>
      </c>
      <c r="B52" s="27" t="str">
        <v>NY</v>
      </c>
      <c r="C52" s="27" t="str">
        <f>Sites[[#This Row],[SOL'#]]</f>
        <v>SOL-10425</v>
      </c>
      <c r="D52" s="9">
        <f>SUM('1st Qtr'!D52,'2nd Qtr'!D52,'3rd Qtr'!D52,'4th Qtr'!D52)</f>
        <v>221299.37524999998</v>
      </c>
      <c r="E52" s="14">
        <f>SUM('1st Qtr'!E52, '2nd Qtr'!E52, '3rd Qtr'!E52, '4th Qtr'!E52)</f>
        <v>261267.72000000003</v>
      </c>
      <c r="F52" s="14">
        <f t="shared" si="0"/>
        <v>-39968.344750000047</v>
      </c>
      <c r="G52" s="15">
        <f t="shared" si="1"/>
        <v>-0.15297850323798148</v>
      </c>
      <c r="H52" s="16">
        <f>SUM('1st Qtr'!H52,'2nd Qtr'!H52,'3rd Qtr'!H52,'4th Qtr'!H52)</f>
        <v>233693.51699999999</v>
      </c>
      <c r="I52" s="16">
        <f>SUM('1st Qtr'!I52, '2nd Qtr'!I52, '3rd Qtr'!I52, '4th Qtr'!I52)</f>
        <v>-12394.141750000003</v>
      </c>
      <c r="J52" s="15">
        <f t="shared" si="2"/>
        <v>-5.3035881821231708E-2</v>
      </c>
    </row>
    <row r="53" spans="1:10" ht="15.6">
      <c r="A53" s="24" t="str">
        <v>X139 JHS 222</v>
      </c>
      <c r="B53" s="25" t="str">
        <v>NY</v>
      </c>
      <c r="C53" s="25" t="str">
        <f>Sites[[#This Row],[SOL'#]]</f>
        <v>SOL-10426</v>
      </c>
      <c r="D53" s="20">
        <f>SUM('1st Qtr'!D53,'2nd Qtr'!D53,'3rd Qtr'!D53,'4th Qtr'!D53)</f>
        <v>335598.71676363499</v>
      </c>
      <c r="E53" s="10">
        <f>SUM('1st Qtr'!E53, '2nd Qtr'!E53, '3rd Qtr'!E53, '4th Qtr'!E53)</f>
        <v>371291.92699999997</v>
      </c>
      <c r="F53" s="10">
        <f t="shared" si="0"/>
        <v>-35693.210236364976</v>
      </c>
      <c r="G53" s="11">
        <f t="shared" si="1"/>
        <v>-9.6132470546188259E-2</v>
      </c>
      <c r="H53" s="12">
        <f>SUM('1st Qtr'!H53,'2nd Qtr'!H53,'3rd Qtr'!H53,'4th Qtr'!H53)</f>
        <v>353370.614</v>
      </c>
      <c r="I53" s="12">
        <f>SUM('1st Qtr'!I53, '2nd Qtr'!I53, '3rd Qtr'!I53, '4th Qtr'!I53)</f>
        <v>-17771.897236365003</v>
      </c>
      <c r="J53" s="13">
        <f t="shared" si="2"/>
        <v>-5.0292515937290144E-2</v>
      </c>
    </row>
    <row r="54" spans="1:10" ht="15.6">
      <c r="A54" s="26" t="str">
        <v>X140</v>
      </c>
      <c r="B54" s="27" t="str">
        <v>NY</v>
      </c>
      <c r="C54" s="27" t="str">
        <f>Sites[[#This Row],[SOL'#]]</f>
        <v>SOL-10926</v>
      </c>
      <c r="D54" s="9">
        <f>SUM('1st Qtr'!D54,'2nd Qtr'!D54,'3rd Qtr'!D54,'4th Qtr'!D54)</f>
        <v>195934.4829630802</v>
      </c>
      <c r="E54" s="14">
        <f>SUM('1st Qtr'!E54, '2nd Qtr'!E54, '3rd Qtr'!E54, '4th Qtr'!E54)</f>
        <v>167739.32699999999</v>
      </c>
      <c r="F54" s="14">
        <f t="shared" si="0"/>
        <v>28195.155963080208</v>
      </c>
      <c r="G54" s="15">
        <f t="shared" si="1"/>
        <v>0.16808912058577777</v>
      </c>
      <c r="H54" s="16">
        <f>SUM('1st Qtr'!H54,'2nd Qtr'!H54,'3rd Qtr'!H54,'4th Qtr'!H54)</f>
        <v>196871</v>
      </c>
      <c r="I54" s="16">
        <f>SUM('1st Qtr'!I54, '2nd Qtr'!I54, '3rd Qtr'!I54, '4th Qtr'!I54)</f>
        <v>-936.51703691980219</v>
      </c>
      <c r="J54" s="15">
        <f t="shared" si="2"/>
        <v>-4.757008583894033E-3</v>
      </c>
    </row>
    <row r="55" spans="1:10" ht="15.6">
      <c r="A55" s="24" t="str">
        <v>X166</v>
      </c>
      <c r="B55" s="25" t="str">
        <v>NY</v>
      </c>
      <c r="C55" s="25" t="str">
        <f>Sites[[#This Row],[SOL'#]]</f>
        <v>SOL-10427</v>
      </c>
      <c r="D55" s="20">
        <f>SUM('1st Qtr'!D55,'2nd Qtr'!D55,'3rd Qtr'!D55,'4th Qtr'!D55)</f>
        <v>202946.5</v>
      </c>
      <c r="E55" s="10">
        <f>SUM('1st Qtr'!E55, '2nd Qtr'!E55, '3rd Qtr'!E55, '4th Qtr'!E55)</f>
        <v>214430.59699999998</v>
      </c>
      <c r="F55" s="10">
        <f t="shared" si="0"/>
        <v>-11484.09699999998</v>
      </c>
      <c r="G55" s="11">
        <f t="shared" si="1"/>
        <v>-5.3556242255856708E-2</v>
      </c>
      <c r="H55" s="12">
        <f>SUM('1st Qtr'!H55,'2nd Qtr'!H55,'3rd Qtr'!H55,'4th Qtr'!H55)</f>
        <v>212493.807</v>
      </c>
      <c r="I55" s="12">
        <f>SUM('1st Qtr'!I55, '2nd Qtr'!I55, '3rd Qtr'!I55, '4th Qtr'!I55)</f>
        <v>-9547.3069999999989</v>
      </c>
      <c r="J55" s="13">
        <f t="shared" si="2"/>
        <v>-4.4929812942736722E-2</v>
      </c>
    </row>
    <row r="56" spans="1:10" ht="15.6">
      <c r="A56" s="26" t="str">
        <v>Murphy</v>
      </c>
      <c r="B56" s="27" t="str">
        <v>MN</v>
      </c>
      <c r="C56" s="27" t="str">
        <f>Sites[[#This Row],[SOL'#]]</f>
        <v>SOL-10094</v>
      </c>
      <c r="D56" s="9">
        <f>SUM('1st Qtr'!D56,'2nd Qtr'!D56,'3rd Qtr'!D56,'4th Qtr'!D56)</f>
        <v>8151750</v>
      </c>
      <c r="E56" s="14">
        <f>SUM('1st Qtr'!E56, '2nd Qtr'!E56, '3rd Qtr'!E56, '4th Qtr'!E56)</f>
        <v>9344807.4340000004</v>
      </c>
      <c r="F56" s="14">
        <f t="shared" si="0"/>
        <v>-1193057.4340000004</v>
      </c>
      <c r="G56" s="15">
        <f t="shared" si="1"/>
        <v>-0.12767062803875434</v>
      </c>
      <c r="H56" s="16">
        <f>SUM('1st Qtr'!H56,'2nd Qtr'!H56,'3rd Qtr'!H56,'4th Qtr'!H56)</f>
        <v>8796600.5</v>
      </c>
      <c r="I56" s="16">
        <f>SUM('1st Qtr'!I56, '2nd Qtr'!I56, '3rd Qtr'!I56, '4th Qtr'!I56)</f>
        <v>-644850.50000000012</v>
      </c>
      <c r="J56" s="15">
        <f t="shared" si="2"/>
        <v>-7.3306784819885826E-2</v>
      </c>
    </row>
    <row r="57" spans="1:10" ht="15.6">
      <c r="A57" s="24" t="str">
        <v>Terning</v>
      </c>
      <c r="B57" s="25" t="str">
        <v>MN</v>
      </c>
      <c r="C57" s="25" t="str">
        <f>Sites[[#This Row],[SOL'#]]</f>
        <v>SOL-10093</v>
      </c>
      <c r="D57" s="20">
        <f>SUM('1st Qtr'!D57,'2nd Qtr'!D57,'3rd Qtr'!D57,'4th Qtr'!D57)</f>
        <v>8528827.277587058</v>
      </c>
      <c r="E57" s="10">
        <f>SUM('1st Qtr'!E57, '2nd Qtr'!E57, '3rd Qtr'!E57, '4th Qtr'!E57)</f>
        <v>9553982.3670000006</v>
      </c>
      <c r="F57" s="10">
        <f t="shared" si="0"/>
        <v>-1025155.0894129425</v>
      </c>
      <c r="G57" s="11">
        <f t="shared" si="1"/>
        <v>-0.1073013378121658</v>
      </c>
      <c r="H57" s="12">
        <f>SUM('1st Qtr'!H57,'2nd Qtr'!H57,'3rd Qtr'!H57,'4th Qtr'!H57)</f>
        <v>8618436.9499999993</v>
      </c>
      <c r="I57" s="12">
        <f>SUM('1st Qtr'!I57, '2nd Qtr'!I57, '3rd Qtr'!I57, '4th Qtr'!I57)</f>
        <v>-89609.672412942688</v>
      </c>
      <c r="J57" s="13">
        <f t="shared" si="2"/>
        <v>-1.0397438994195193E-2</v>
      </c>
    </row>
    <row r="58" spans="1:10" ht="15.6">
      <c r="A58" s="26" t="str">
        <v>Boas Road 04</v>
      </c>
      <c r="B58" s="27" t="str">
        <v>NY</v>
      </c>
      <c r="C58" s="27" t="str">
        <f>Sites[[#This Row],[SOL'#]]</f>
        <v>SOL-10908</v>
      </c>
      <c r="D58" s="9">
        <f>SUM('1st Qtr'!D58,'2nd Qtr'!D58,'3rd Qtr'!D58,'4th Qtr'!D58)</f>
        <v>448819</v>
      </c>
      <c r="E58" s="14">
        <f>SUM('1st Qtr'!E58, '2nd Qtr'!E58, '3rd Qtr'!E58, '4th Qtr'!E58)</f>
        <v>2225188.9029999999</v>
      </c>
      <c r="F58" s="14">
        <f t="shared" si="0"/>
        <v>-1776369.9029999999</v>
      </c>
      <c r="G58" s="15">
        <f t="shared" si="1"/>
        <v>-0.79830071981983097</v>
      </c>
      <c r="H58" s="16">
        <f>SUM('1st Qtr'!H58,'2nd Qtr'!H58,'3rd Qtr'!H58,'4th Qtr'!H58)</f>
        <v>3261231.443</v>
      </c>
      <c r="I58" s="16">
        <f>SUM('1st Qtr'!I58, '2nd Qtr'!I58, '3rd Qtr'!I58, '4th Qtr'!I58)</f>
        <v>-2431090.443</v>
      </c>
      <c r="J58" s="15">
        <f t="shared" si="2"/>
        <v>-0.74545167538420543</v>
      </c>
    </row>
    <row r="59" spans="1:10" ht="15.6">
      <c r="A59" s="24" t="str">
        <v>Kelly Bridge Farm</v>
      </c>
      <c r="B59" s="25" t="str">
        <v>NY</v>
      </c>
      <c r="C59" s="25" t="str">
        <f>Sites[[#This Row],[SOL'#]]</f>
        <v>SOL-10911</v>
      </c>
      <c r="D59" s="20">
        <f>SUM('1st Qtr'!D59,'2nd Qtr'!D59,'3rd Qtr'!D59,'4th Qtr'!D59)</f>
        <v>1338142</v>
      </c>
      <c r="E59" s="10">
        <f>SUM('1st Qtr'!E59, '2nd Qtr'!E59, '3rd Qtr'!E59, '4th Qtr'!E59)</f>
        <v>2407087.3280000002</v>
      </c>
      <c r="F59" s="10">
        <f t="shared" si="0"/>
        <v>-1068945.3280000002</v>
      </c>
      <c r="G59" s="11">
        <f t="shared" si="1"/>
        <v>-0.44408248739698408</v>
      </c>
      <c r="H59" s="12">
        <f>SUM('1st Qtr'!H59,'2nd Qtr'!H59,'3rd Qtr'!H59,'4th Qtr'!H59)</f>
        <v>3278785.9359999998</v>
      </c>
      <c r="I59" s="12">
        <f>SUM('1st Qtr'!I59, '2nd Qtr'!I59, '3rd Qtr'!I59, '4th Qtr'!I59)</f>
        <v>-1940643.9359999998</v>
      </c>
      <c r="J59" s="13">
        <f t="shared" si="2"/>
        <v>-0.59187881547629029</v>
      </c>
    </row>
    <row r="60" spans="1:10" ht="15.6">
      <c r="A60" s="26" t="str">
        <v>Pool Brook Road</v>
      </c>
      <c r="B60" s="27" t="str">
        <v>NY</v>
      </c>
      <c r="C60" s="27" t="str">
        <f>Sites[[#This Row],[SOL'#]]</f>
        <v>SOL-10909</v>
      </c>
      <c r="D60" s="9">
        <f>SUM('1st Qtr'!D60,'2nd Qtr'!D60,'3rd Qtr'!D60,'4th Qtr'!D60)</f>
        <v>2431324</v>
      </c>
      <c r="E60" s="14">
        <f>SUM('1st Qtr'!E60, '2nd Qtr'!E60, '3rd Qtr'!E60, '4th Qtr'!E60)</f>
        <v>2748305.8739999998</v>
      </c>
      <c r="F60" s="14">
        <f t="shared" si="0"/>
        <v>-316981.87399999984</v>
      </c>
      <c r="G60" s="15">
        <f t="shared" si="1"/>
        <v>-0.1153371889929599</v>
      </c>
      <c r="H60" s="16">
        <f>SUM('1st Qtr'!H60,'2nd Qtr'!H60,'3rd Qtr'!H60,'4th Qtr'!H60)</f>
        <v>3119811.2370000002</v>
      </c>
      <c r="I60" s="16">
        <f>SUM('1st Qtr'!I60, '2nd Qtr'!I60, '3rd Qtr'!I60, '4th Qtr'!I60)</f>
        <v>-688487.23699999996</v>
      </c>
      <c r="J60" s="15">
        <f t="shared" si="2"/>
        <v>-0.22068233771157481</v>
      </c>
    </row>
    <row r="61" spans="1:10" ht="15.6">
      <c r="A61" s="24" t="str">
        <v>Sackett Lake</v>
      </c>
      <c r="B61" s="25" t="str">
        <v>NY</v>
      </c>
      <c r="C61" s="25" t="str">
        <f>Sites[[#This Row],[SOL'#]]</f>
        <v>SOL-10910</v>
      </c>
      <c r="D61" s="20">
        <f>SUM('1st Qtr'!D61,'2nd Qtr'!D61,'3rd Qtr'!D61,'4th Qtr'!D61)</f>
        <v>2672019</v>
      </c>
      <c r="E61" s="10">
        <f>SUM('1st Qtr'!E61, '2nd Qtr'!E61, '3rd Qtr'!E61, '4th Qtr'!E61)</f>
        <v>1906520.4060000002</v>
      </c>
      <c r="F61" s="10">
        <f t="shared" si="0"/>
        <v>765498.59399999981</v>
      </c>
      <c r="G61" s="11">
        <f t="shared" si="1"/>
        <v>0.40151607692784363</v>
      </c>
      <c r="H61" s="12">
        <f>SUM('1st Qtr'!H61,'2nd Qtr'!H61,'3rd Qtr'!H61,'4th Qtr'!H61)</f>
        <v>3306970.0630000001</v>
      </c>
      <c r="I61" s="12">
        <f>SUM('1st Qtr'!I61, '2nd Qtr'!I61, '3rd Qtr'!I61, '4th Qtr'!I61)</f>
        <v>-634951.06299999997</v>
      </c>
      <c r="J61" s="13">
        <f t="shared" si="2"/>
        <v>-0.19200387390988</v>
      </c>
    </row>
    <row r="62" spans="1:10" ht="15.6">
      <c r="A62" s="26" t="str">
        <v>Burritt Road</v>
      </c>
      <c r="B62" s="27" t="str">
        <v>NY</v>
      </c>
      <c r="C62" s="27" t="str">
        <f>Sites[[#This Row],[SOL'#]]</f>
        <v>SOL-10913</v>
      </c>
      <c r="D62" s="9">
        <f>SUM('1st Qtr'!D62,'2nd Qtr'!D62,'3rd Qtr'!D62,'4th Qtr'!D62)</f>
        <v>2967620</v>
      </c>
      <c r="E62" s="14">
        <f>SUM('1st Qtr'!E62, '2nd Qtr'!E62, '3rd Qtr'!E62, '4th Qtr'!E62)</f>
        <v>1780451.9100000001</v>
      </c>
      <c r="F62" s="14">
        <f t="shared" si="0"/>
        <v>1187168.0899999999</v>
      </c>
      <c r="G62" s="15">
        <f t="shared" si="1"/>
        <v>0.66677908194667257</v>
      </c>
      <c r="H62" s="16">
        <f>SUM('1st Qtr'!H62,'2nd Qtr'!H62,'3rd Qtr'!H62,'4th Qtr'!H62)</f>
        <v>3185002.5580000002</v>
      </c>
      <c r="I62" s="16">
        <f>SUM('1st Qtr'!I62, '2nd Qtr'!I62, '3rd Qtr'!I62, '4th Qtr'!I62)</f>
        <v>-217382.55799999999</v>
      </c>
      <c r="J62" s="15">
        <f t="shared" si="2"/>
        <v>-6.8251925717919618E-2</v>
      </c>
    </row>
    <row r="63" spans="1:10" ht="15.6">
      <c r="A63" s="24" t="str">
        <v>Villa Roma 1</v>
      </c>
      <c r="B63" s="25" t="str">
        <v>NY</v>
      </c>
      <c r="C63" s="25" t="str">
        <f>Sites[[#This Row],[SOL'#]]</f>
        <v>SOL-10914</v>
      </c>
      <c r="D63" s="20">
        <f>SUM('1st Qtr'!D63,'2nd Qtr'!D63,'3rd Qtr'!D63,'4th Qtr'!D63)</f>
        <v>2697713</v>
      </c>
      <c r="E63" s="10">
        <f>SUM('1st Qtr'!E63, '2nd Qtr'!E63, '3rd Qtr'!E63, '4th Qtr'!E63)</f>
        <v>385288.60400000005</v>
      </c>
      <c r="F63" s="10">
        <f t="shared" si="0"/>
        <v>2312424.3959999997</v>
      </c>
      <c r="G63" s="11">
        <f t="shared" si="1"/>
        <v>6.0017980599291212</v>
      </c>
      <c r="H63" s="12">
        <f>SUM('1st Qtr'!H63,'2nd Qtr'!H63,'3rd Qtr'!H63,'4th Qtr'!H63)</f>
        <v>2850878.3330000001</v>
      </c>
      <c r="I63" s="12">
        <f>SUM('1st Qtr'!I63, '2nd Qtr'!I63, '3rd Qtr'!I63, '4th Qtr'!I63)</f>
        <v>-153165.33299999998</v>
      </c>
      <c r="J63" s="13">
        <f t="shared" si="2"/>
        <v>-5.372566455293902E-2</v>
      </c>
    </row>
    <row r="64" spans="1:10" ht="15.6">
      <c r="A64" s="26" t="str">
        <v>Villa Roma 2</v>
      </c>
      <c r="B64" s="27" t="str">
        <v>NY</v>
      </c>
      <c r="C64" s="27" t="str">
        <f>Sites[[#This Row],[SOL'#]]</f>
        <v>SOL-10915</v>
      </c>
      <c r="D64" s="9">
        <f>SUM('1st Qtr'!D64,'2nd Qtr'!D64,'3rd Qtr'!D64,'4th Qtr'!D64)</f>
        <v>2626521</v>
      </c>
      <c r="E64" s="14">
        <f>SUM('1st Qtr'!E64, '2nd Qtr'!E64, '3rd Qtr'!E64, '4th Qtr'!E64)</f>
        <v>2561573.378</v>
      </c>
      <c r="F64" s="14">
        <f t="shared" si="0"/>
        <v>64947.621999999974</v>
      </c>
      <c r="G64" s="15">
        <f t="shared" si="1"/>
        <v>2.5354581897907267E-2</v>
      </c>
      <c r="H64" s="16">
        <f>SUM('1st Qtr'!H64,'2nd Qtr'!H64,'3rd Qtr'!H64,'4th Qtr'!H64)</f>
        <v>2765174.7109999997</v>
      </c>
      <c r="I64" s="16">
        <f>SUM('1st Qtr'!I64, '2nd Qtr'!I64, '3rd Qtr'!I64, '4th Qtr'!I64)</f>
        <v>-138653.71100000001</v>
      </c>
      <c r="J64" s="15">
        <f t="shared" si="2"/>
        <v>-5.0142839238486017E-2</v>
      </c>
    </row>
    <row r="65" spans="1:10" ht="15.6">
      <c r="A65" s="24" t="str">
        <v>Washington 1</v>
      </c>
      <c r="B65" s="25" t="str">
        <v>NY</v>
      </c>
      <c r="C65" s="25" t="str">
        <f>Sites[[#This Row],[SOL'#]]</f>
        <v>SOL-10912</v>
      </c>
      <c r="D65" s="20">
        <f>SUM('1st Qtr'!D65,'2nd Qtr'!D65,'3rd Qtr'!D65,'4th Qtr'!D65)</f>
        <v>3036510</v>
      </c>
      <c r="E65" s="10">
        <f>SUM('1st Qtr'!E65, '2nd Qtr'!E65, '3rd Qtr'!E65, '4th Qtr'!E65)</f>
        <v>2994485.2790000001</v>
      </c>
      <c r="F65" s="10">
        <f t="shared" ref="F65:F96" si="3">IF(AND(ISNUMBER(D65),ISNUMBER(E65)), D65-E65, "")</f>
        <v>42024.720999999903</v>
      </c>
      <c r="G65" s="11">
        <f t="shared" ref="G65:G96" si="4">IFERROR(F65/E65, "")</f>
        <v>1.4034038268518035E-2</v>
      </c>
      <c r="H65" s="12">
        <f>SUM('1st Qtr'!H65,'2nd Qtr'!H65,'3rd Qtr'!H65,'4th Qtr'!H65)</f>
        <v>3138527.327</v>
      </c>
      <c r="I65" s="12">
        <f>SUM('1st Qtr'!I65, '2nd Qtr'!I65, '3rd Qtr'!I65, '4th Qtr'!I65)</f>
        <v>-102017.32700000003</v>
      </c>
      <c r="J65" s="13">
        <f t="shared" ref="J65:J96" si="5">IFERROR(I65/H65, "")</f>
        <v>-3.2504839490282392E-2</v>
      </c>
    </row>
    <row r="66" spans="1:10" ht="15.6">
      <c r="A66" s="26" t="str">
        <v>Washington 3</v>
      </c>
      <c r="B66" s="27" t="str">
        <v>NY</v>
      </c>
      <c r="C66" s="27" t="str">
        <f>Sites[[#This Row],[SOL'#]]</f>
        <v>SOL-10828</v>
      </c>
      <c r="D66" s="9">
        <f>SUM('1st Qtr'!D66,'2nd Qtr'!D66,'3rd Qtr'!D66,'4th Qtr'!D66)</f>
        <v>2906642</v>
      </c>
      <c r="E66" s="14">
        <f>SUM('1st Qtr'!E66, '2nd Qtr'!E66, '3rd Qtr'!E66, '4th Qtr'!E66)</f>
        <v>3942280.193</v>
      </c>
      <c r="F66" s="14">
        <f t="shared" si="3"/>
        <v>-1035638.193</v>
      </c>
      <c r="G66" s="15">
        <f t="shared" si="4"/>
        <v>-0.26270030091694196</v>
      </c>
      <c r="H66" s="16">
        <f>SUM('1st Qtr'!H66,'2nd Qtr'!H66,'3rd Qtr'!H66,'4th Qtr'!H66)</f>
        <v>3840464.014</v>
      </c>
      <c r="I66" s="16">
        <f>SUM('1st Qtr'!I66, '2nd Qtr'!I66, '3rd Qtr'!I66, '4th Qtr'!I66)</f>
        <v>-933822.01399999997</v>
      </c>
      <c r="J66" s="15">
        <f t="shared" si="5"/>
        <v>-0.24315343421936825</v>
      </c>
    </row>
    <row r="67" spans="1:10" ht="15.6">
      <c r="A67" s="24" t="str">
        <v>Washington 4</v>
      </c>
      <c r="B67" s="25" t="str">
        <v>NY</v>
      </c>
      <c r="C67" s="25" t="str">
        <f>Sites[[#This Row],[SOL'#]]</f>
        <v>SOL-10829</v>
      </c>
      <c r="D67" s="20">
        <f>SUM('1st Qtr'!D67,'2nd Qtr'!D67,'3rd Qtr'!D67,'4th Qtr'!D67)</f>
        <v>3421278.5</v>
      </c>
      <c r="E67" s="10">
        <f>SUM('1st Qtr'!E67, '2nd Qtr'!E67, '3rd Qtr'!E67, '4th Qtr'!E67)</f>
        <v>3328718.568</v>
      </c>
      <c r="F67" s="10">
        <f t="shared" si="3"/>
        <v>92559.93200000003</v>
      </c>
      <c r="G67" s="11">
        <f t="shared" si="4"/>
        <v>2.7806475708041904E-2</v>
      </c>
      <c r="H67" s="12">
        <f>SUM('1st Qtr'!H67,'2nd Qtr'!H67,'3rd Qtr'!H67,'4th Qtr'!H67)</f>
        <v>3846139.2169999997</v>
      </c>
      <c r="I67" s="12">
        <f>SUM('1st Qtr'!I67, '2nd Qtr'!I67, '3rd Qtr'!I67, '4th Qtr'!I67)</f>
        <v>-424860.71699999995</v>
      </c>
      <c r="J67" s="13">
        <f t="shared" si="5"/>
        <v>-0.11046420657944686</v>
      </c>
    </row>
    <row r="68" spans="1:10" ht="15.6">
      <c r="A68" s="26" t="str">
        <v>Big Tree</v>
      </c>
      <c r="B68" s="27" t="str">
        <v>NY</v>
      </c>
      <c r="C68" s="27" t="str">
        <f>Sites[[#This Row],[SOL'#]]</f>
        <v>SOL-10966</v>
      </c>
      <c r="D68" s="9">
        <f>SUM('1st Qtr'!D68,'2nd Qtr'!D68,'3rd Qtr'!D68,'4th Qtr'!D68)</f>
        <v>3053874</v>
      </c>
      <c r="E68" s="14">
        <f>SUM('1st Qtr'!E68, '2nd Qtr'!E68, '3rd Qtr'!E68, '4th Qtr'!E68)</f>
        <v>1617120</v>
      </c>
      <c r="F68" s="14">
        <f t="shared" si="3"/>
        <v>1436754</v>
      </c>
      <c r="G68" s="15">
        <f t="shared" si="4"/>
        <v>0.88846467794597805</v>
      </c>
      <c r="H68" s="16">
        <f>SUM('1st Qtr'!H68,'2nd Qtr'!H68,'3rd Qtr'!H68,'4th Qtr'!H68)</f>
        <v>3199841.8499999996</v>
      </c>
      <c r="I68" s="16">
        <f>SUM('1st Qtr'!I68, '2nd Qtr'!I68, '3rd Qtr'!I68, '4th Qtr'!I68)</f>
        <v>-145967.84999999986</v>
      </c>
      <c r="J68" s="15">
        <f t="shared" si="5"/>
        <v>-4.5617207612932455E-2</v>
      </c>
    </row>
    <row r="69" spans="1:10" ht="15.6">
      <c r="A69" s="24" t="str">
        <v>Canoga</v>
      </c>
      <c r="B69" s="25" t="str">
        <v>NY</v>
      </c>
      <c r="C69" s="25" t="str">
        <f>Sites[[#This Row],[SOL'#]]</f>
        <v>SOL-10965</v>
      </c>
      <c r="D69" s="20">
        <f>SUM('1st Qtr'!D69,'2nd Qtr'!D69,'3rd Qtr'!D69,'4th Qtr'!D69)</f>
        <v>4773910</v>
      </c>
      <c r="E69" s="10">
        <f>SUM('1st Qtr'!E69, '2nd Qtr'!E69, '3rd Qtr'!E69, '4th Qtr'!E69)</f>
        <v>0</v>
      </c>
      <c r="F69" s="10">
        <f t="shared" si="3"/>
        <v>4773910</v>
      </c>
      <c r="G69" s="11" t="str">
        <f t="shared" si="4"/>
        <v/>
      </c>
      <c r="H69" s="12">
        <f>SUM('1st Qtr'!H69,'2nd Qtr'!H69,'3rd Qtr'!H69,'4th Qtr'!H69)</f>
        <v>1633022.52</v>
      </c>
      <c r="I69" s="12">
        <f>SUM('1st Qtr'!I69, '2nd Qtr'!I69, '3rd Qtr'!I69, '4th Qtr'!I69)</f>
        <v>2111987.48</v>
      </c>
      <c r="J69" s="13">
        <f t="shared" si="5"/>
        <v>1.2932996661919887</v>
      </c>
    </row>
    <row r="70" spans="1:10" ht="15.6">
      <c r="A70" s="26" t="str">
        <v>County Route 84</v>
      </c>
      <c r="B70" s="27" t="str">
        <v>NY</v>
      </c>
      <c r="C70" s="27" t="str">
        <f>Sites[[#This Row],[SOL'#]]</f>
        <v>SOL-10967</v>
      </c>
      <c r="D70" s="9">
        <f>SUM('1st Qtr'!D70,'2nd Qtr'!D70,'3rd Qtr'!D70,'4th Qtr'!D70)</f>
        <v>8154160</v>
      </c>
      <c r="E70" s="14">
        <f>SUM('1st Qtr'!E70, '2nd Qtr'!E70, '3rd Qtr'!E70, '4th Qtr'!E70)</f>
        <v>3843540</v>
      </c>
      <c r="F70" s="14">
        <f t="shared" si="3"/>
        <v>4310620</v>
      </c>
      <c r="G70" s="15">
        <f t="shared" si="4"/>
        <v>1.1215233872940049</v>
      </c>
      <c r="H70" s="16">
        <f>SUM('1st Qtr'!H70,'2nd Qtr'!H70,'3rd Qtr'!H70,'4th Qtr'!H70)</f>
        <v>8487238.2400000002</v>
      </c>
      <c r="I70" s="16">
        <f>SUM('1st Qtr'!I70, '2nd Qtr'!I70, '3rd Qtr'!I70, '4th Qtr'!I70)</f>
        <v>-333078.23999999993</v>
      </c>
      <c r="J70" s="15">
        <f t="shared" si="5"/>
        <v>-3.9244596484898475E-2</v>
      </c>
    </row>
    <row r="71" spans="1:10" ht="15.6">
      <c r="A71" s="24" t="str">
        <v>Donati</v>
      </c>
      <c r="B71" s="25" t="str">
        <v>NY</v>
      </c>
      <c r="C71" s="25" t="str">
        <f>Sites[[#This Row],[SOL'#]]</f>
        <v>SOL-10968</v>
      </c>
      <c r="D71" s="20">
        <f>SUM('1st Qtr'!D71,'2nd Qtr'!D71,'3rd Qtr'!D71,'4th Qtr'!D71)</f>
        <v>3324404</v>
      </c>
      <c r="E71" s="10">
        <f>SUM('1st Qtr'!E71, '2nd Qtr'!E71, '3rd Qtr'!E71, '4th Qtr'!E71)</f>
        <v>376380</v>
      </c>
      <c r="F71" s="10">
        <f t="shared" si="3"/>
        <v>2948024</v>
      </c>
      <c r="G71" s="11">
        <f t="shared" si="4"/>
        <v>7.8325734629895321</v>
      </c>
      <c r="H71" s="12">
        <f>SUM('1st Qtr'!H71,'2nd Qtr'!H71,'3rd Qtr'!H71,'4th Qtr'!H71)</f>
        <v>4019857.068</v>
      </c>
      <c r="I71" s="12">
        <f>SUM('1st Qtr'!I71, '2nd Qtr'!I71, '3rd Qtr'!I71, '4th Qtr'!I71)</f>
        <v>-695453.06799999997</v>
      </c>
      <c r="J71" s="13">
        <f t="shared" si="5"/>
        <v>-0.17300442683301892</v>
      </c>
    </row>
    <row r="72" spans="1:10" ht="15.6">
      <c r="A72" s="26" t="str">
        <v>Henrietta</v>
      </c>
      <c r="B72" s="27" t="str">
        <v>NY</v>
      </c>
      <c r="C72" s="27" t="str">
        <f>Sites[[#This Row],[SOL'#]]</f>
        <v>SOL-10972</v>
      </c>
      <c r="D72" s="9">
        <f>SUM('1st Qtr'!D72,'2nd Qtr'!D72,'3rd Qtr'!D72,'4th Qtr'!D72)</f>
        <v>7138410</v>
      </c>
      <c r="E72" s="14">
        <f>SUM('1st Qtr'!E72, '2nd Qtr'!E72, '3rd Qtr'!E72, '4th Qtr'!E72)</f>
        <v>3806800</v>
      </c>
      <c r="F72" s="14">
        <f t="shared" si="3"/>
        <v>3331610</v>
      </c>
      <c r="G72" s="15">
        <f t="shared" si="4"/>
        <v>0.87517337396238315</v>
      </c>
      <c r="H72" s="16">
        <f>SUM('1st Qtr'!H72,'2nd Qtr'!H72,'3rd Qtr'!H72,'4th Qtr'!H72)</f>
        <v>8187942.1129999999</v>
      </c>
      <c r="I72" s="16">
        <f>SUM('1st Qtr'!I72, '2nd Qtr'!I72, '3rd Qtr'!I72, '4th Qtr'!I72)</f>
        <v>-1049532.1130000001</v>
      </c>
      <c r="J72" s="15">
        <f t="shared" si="5"/>
        <v>-0.12818020676204556</v>
      </c>
    </row>
    <row r="73" spans="1:10" ht="15.6">
      <c r="A73" s="24" t="str">
        <v>NY 70</v>
      </c>
      <c r="B73" s="25" t="str">
        <v>NY</v>
      </c>
      <c r="C73" s="25" t="str">
        <f>Sites[[#This Row],[SOL'#]]</f>
        <v>SOL-10970</v>
      </c>
      <c r="D73" s="20">
        <f>SUM('1st Qtr'!D73,'2nd Qtr'!D73,'3rd Qtr'!D73,'4th Qtr'!D73)</f>
        <v>8217380</v>
      </c>
      <c r="E73" s="10">
        <f>SUM('1st Qtr'!E73, '2nd Qtr'!E73, '3rd Qtr'!E73, '4th Qtr'!E73)</f>
        <v>4058310</v>
      </c>
      <c r="F73" s="10">
        <f t="shared" si="3"/>
        <v>4159070</v>
      </c>
      <c r="G73" s="11">
        <f t="shared" si="4"/>
        <v>1.0248280688266791</v>
      </c>
      <c r="H73" s="12">
        <f>SUM('1st Qtr'!H73,'2nd Qtr'!H73,'3rd Qtr'!H73,'4th Qtr'!H73)</f>
        <v>9358843.8489999995</v>
      </c>
      <c r="I73" s="12">
        <f>SUM('1st Qtr'!I73, '2nd Qtr'!I73, '3rd Qtr'!I73, '4th Qtr'!I73)</f>
        <v>-1141463.8490000002</v>
      </c>
      <c r="J73" s="13">
        <f t="shared" si="5"/>
        <v>-0.12196633124955564</v>
      </c>
    </row>
    <row r="74" spans="1:10" ht="15.6">
      <c r="A74" s="26" t="str">
        <v>Reid</v>
      </c>
      <c r="B74" s="27" t="str">
        <v>NY</v>
      </c>
      <c r="C74" s="27" t="str">
        <f>Sites[[#This Row],[SOL'#]]</f>
        <v>SOL-10991</v>
      </c>
      <c r="D74" s="9">
        <f>SUM('1st Qtr'!D74,'2nd Qtr'!D74,'3rd Qtr'!D74,'4th Qtr'!D74)</f>
        <v>6060164.0486831078</v>
      </c>
      <c r="E74" s="14">
        <f>SUM('1st Qtr'!E74, '2nd Qtr'!E74, '3rd Qtr'!E74, '4th Qtr'!E74)</f>
        <v>6313528.824</v>
      </c>
      <c r="F74" s="14">
        <f t="shared" si="3"/>
        <v>-253364.77531689219</v>
      </c>
      <c r="G74" s="15">
        <f t="shared" si="4"/>
        <v>-4.0130453567228726E-2</v>
      </c>
      <c r="H74" s="16">
        <f>SUM('1st Qtr'!H74,'2nd Qtr'!H74,'3rd Qtr'!H74,'4th Qtr'!H74)</f>
        <v>6539723.5</v>
      </c>
      <c r="I74" s="16">
        <f>SUM('1st Qtr'!I74, '2nd Qtr'!I74, '3rd Qtr'!I74, '4th Qtr'!I74)</f>
        <v>-479559.45131689211</v>
      </c>
      <c r="J74" s="15">
        <f t="shared" si="5"/>
        <v>-7.3330233505574369E-2</v>
      </c>
    </row>
    <row r="75" spans="1:10" ht="15.6">
      <c r="A75" s="24" t="str">
        <v>Sangolqui</v>
      </c>
      <c r="B75" s="25" t="str">
        <v>NY</v>
      </c>
      <c r="C75" s="25" t="str">
        <f>Sites[[#This Row],[SOL'#]]</f>
        <v>SOL-10975</v>
      </c>
      <c r="D75" s="20">
        <f>SUM('1st Qtr'!D75,'2nd Qtr'!D75,'3rd Qtr'!D75,'4th Qtr'!D75)</f>
        <v>3177822</v>
      </c>
      <c r="E75" s="10">
        <f>SUM('1st Qtr'!E75, '2nd Qtr'!E75, '3rd Qtr'!E75, '4th Qtr'!E75)</f>
        <v>1251480</v>
      </c>
      <c r="F75" s="10">
        <f t="shared" si="3"/>
        <v>1926342</v>
      </c>
      <c r="G75" s="11">
        <f t="shared" si="4"/>
        <v>1.5392511266660274</v>
      </c>
      <c r="H75" s="12">
        <f>SUM('1st Qtr'!H75,'2nd Qtr'!H75,'3rd Qtr'!H75,'4th Qtr'!H75)</f>
        <v>3921512.0850000004</v>
      </c>
      <c r="I75" s="12">
        <f>SUM('1st Qtr'!I75, '2nd Qtr'!I75, '3rd Qtr'!I75, '4th Qtr'!I75)</f>
        <v>-743690.08499999996</v>
      </c>
      <c r="J75" s="13">
        <f t="shared" si="5"/>
        <v>-0.18964370601958758</v>
      </c>
    </row>
    <row r="76" spans="1:10" ht="15.6">
      <c r="A76" s="26" t="str">
        <v>State Highway 17B</v>
      </c>
      <c r="B76" s="27" t="str">
        <v>NY</v>
      </c>
      <c r="C76" s="27" t="str">
        <f>Sites[[#This Row],[SOL'#]]</f>
        <v>SOL-10988</v>
      </c>
      <c r="D76" s="9">
        <f>SUM('1st Qtr'!D76,'2nd Qtr'!D76,'3rd Qtr'!D76,'4th Qtr'!D76)</f>
        <v>6955500</v>
      </c>
      <c r="E76" s="14">
        <f>SUM('1st Qtr'!E76, '2nd Qtr'!E76, '3rd Qtr'!E76, '4th Qtr'!E76)</f>
        <v>2594400</v>
      </c>
      <c r="F76" s="14">
        <f t="shared" si="3"/>
        <v>4361100</v>
      </c>
      <c r="G76" s="15">
        <f t="shared" si="4"/>
        <v>1.6809666975023128</v>
      </c>
      <c r="H76" s="16">
        <f>SUM('1st Qtr'!H76,'2nd Qtr'!H76,'3rd Qtr'!H76,'4th Qtr'!H76)</f>
        <v>3986624.75</v>
      </c>
      <c r="I76" s="16">
        <f>SUM('1st Qtr'!I76, '2nd Qtr'!I76, '3rd Qtr'!I76, '4th Qtr'!I76)</f>
        <v>-235514.75</v>
      </c>
      <c r="J76" s="15">
        <f t="shared" si="5"/>
        <v>-5.9076227327390166E-2</v>
      </c>
    </row>
    <row r="77" spans="1:10" ht="15.6">
      <c r="A77" s="24" t="str">
        <v>State Route 14A</v>
      </c>
      <c r="B77" s="25" t="str">
        <v>NY</v>
      </c>
      <c r="C77" s="25" t="str">
        <f>Sites[[#This Row],[SOL'#]]</f>
        <v>SOL-10997</v>
      </c>
      <c r="D77" s="20">
        <f>SUM('1st Qtr'!D77,'2nd Qtr'!D77,'3rd Qtr'!D77,'4th Qtr'!D77)</f>
        <v>1706902</v>
      </c>
      <c r="E77" s="10">
        <f>SUM('1st Qtr'!E77, '2nd Qtr'!E77, '3rd Qtr'!E77, '4th Qtr'!E77)</f>
        <v>0</v>
      </c>
      <c r="F77" s="10">
        <f t="shared" si="3"/>
        <v>1706902</v>
      </c>
      <c r="G77" s="11" t="str">
        <f t="shared" si="4"/>
        <v/>
      </c>
      <c r="H77" s="12">
        <f>SUM('1st Qtr'!H77,'2nd Qtr'!H77,'3rd Qtr'!H77,'4th Qtr'!H77)</f>
        <v>8372095.1499999994</v>
      </c>
      <c r="I77" s="12">
        <f>SUM('1st Qtr'!I77, '2nd Qtr'!I77, '3rd Qtr'!I77, '4th Qtr'!I77)</f>
        <v>-5697545.1499999994</v>
      </c>
      <c r="J77" s="13">
        <f t="shared" si="5"/>
        <v>-0.68053994226283965</v>
      </c>
    </row>
    <row r="78" spans="1:10" ht="15.6">
      <c r="A78" s="26" t="str">
        <v>West Creek</v>
      </c>
      <c r="B78" s="27" t="str">
        <v>NY</v>
      </c>
      <c r="C78" s="27" t="str">
        <f>Sites[[#This Row],[SOL'#]]</f>
        <v>SOL-10995</v>
      </c>
      <c r="D78" s="9">
        <f>SUM('1st Qtr'!D78,'2nd Qtr'!D78,'3rd Qtr'!D78,'4th Qtr'!D78)</f>
        <v>7808570</v>
      </c>
      <c r="E78" s="14">
        <f>SUM('1st Qtr'!E78, '2nd Qtr'!E78, '3rd Qtr'!E78, '4th Qtr'!E78)</f>
        <v>3624820</v>
      </c>
      <c r="F78" s="14">
        <f t="shared" si="3"/>
        <v>4183750</v>
      </c>
      <c r="G78" s="15">
        <f t="shared" si="4"/>
        <v>1.1541952427982631</v>
      </c>
      <c r="H78" s="16">
        <f>SUM('1st Qtr'!H78,'2nd Qtr'!H78,'3rd Qtr'!H78,'4th Qtr'!H78)</f>
        <v>8259526.0929999994</v>
      </c>
      <c r="I78" s="16">
        <f>SUM('1st Qtr'!I78, '2nd Qtr'!I78, '3rd Qtr'!I78, '4th Qtr'!I78)</f>
        <v>-450956.09299999994</v>
      </c>
      <c r="J78" s="15">
        <f t="shared" si="5"/>
        <v>-5.4598301152191782E-2</v>
      </c>
    </row>
    <row r="79" spans="1:10" ht="15.6">
      <c r="A79" s="24" t="str">
        <v>Wildflower</v>
      </c>
      <c r="B79" s="25" t="str">
        <v>NY</v>
      </c>
      <c r="C79" s="25" t="str">
        <f>Sites[[#This Row],[SOL'#]]</f>
        <v>SOL-10982</v>
      </c>
      <c r="D79" s="20">
        <f>SUM('1st Qtr'!D79,'2nd Qtr'!D79,'3rd Qtr'!D79,'4th Qtr'!D79)</f>
        <v>6848595.9000000004</v>
      </c>
      <c r="E79" s="10">
        <f>SUM('1st Qtr'!E79, '2nd Qtr'!E79, '3rd Qtr'!E79, '4th Qtr'!E79)</f>
        <v>3245123</v>
      </c>
      <c r="F79" s="10">
        <f t="shared" si="3"/>
        <v>3603472.9000000004</v>
      </c>
      <c r="G79" s="11">
        <f t="shared" si="4"/>
        <v>1.1104272164722262</v>
      </c>
      <c r="H79" s="12">
        <f>SUM('1st Qtr'!H79,'2nd Qtr'!H79,'3rd Qtr'!H79,'4th Qtr'!H79)</f>
        <v>8360482.4600000009</v>
      </c>
      <c r="I79" s="12">
        <f>SUM('1st Qtr'!I79, '2nd Qtr'!I79, '3rd Qtr'!I79, '4th Qtr'!I79)</f>
        <v>-1511886.5600000003</v>
      </c>
      <c r="J79" s="13">
        <f t="shared" si="5"/>
        <v>-0.18083723842894112</v>
      </c>
    </row>
    <row r="80" spans="1:10" ht="15.6">
      <c r="A80" s="26" t="str">
        <v>Glen Mary 1</v>
      </c>
      <c r="B80" s="27" t="str">
        <v>NY</v>
      </c>
      <c r="C80" s="27" t="str">
        <f>Sites[[#This Row],[SOL'#]]</f>
        <v>SOL-10993</v>
      </c>
      <c r="D80" s="9">
        <f>SUM('1st Qtr'!D80,'2nd Qtr'!D80,'3rd Qtr'!D80,'4th Qtr'!D80)</f>
        <v>7776980</v>
      </c>
      <c r="E80" s="14">
        <f>SUM('1st Qtr'!E80, '2nd Qtr'!E80, '3rd Qtr'!E80, '4th Qtr'!E80)</f>
        <v>3811310</v>
      </c>
      <c r="F80" s="14">
        <f t="shared" si="3"/>
        <v>3965670</v>
      </c>
      <c r="G80" s="15">
        <f t="shared" si="4"/>
        <v>1.0405005103232221</v>
      </c>
      <c r="H80" s="16">
        <f>SUM('1st Qtr'!H80,'2nd Qtr'!H80,'3rd Qtr'!H80,'4th Qtr'!H80)</f>
        <v>8582580.2259999998</v>
      </c>
      <c r="I80" s="16">
        <f>SUM('1st Qtr'!I80, '2nd Qtr'!I80, '3rd Qtr'!I80, '4th Qtr'!I80)</f>
        <v>-805600.22599999979</v>
      </c>
      <c r="J80" s="15">
        <f t="shared" si="5"/>
        <v>-9.3864572749290581E-2</v>
      </c>
    </row>
    <row r="81" spans="1:10" ht="15.6">
      <c r="A81" s="24" t="str">
        <v>Glen Mary 2</v>
      </c>
      <c r="B81" s="25" t="str">
        <v>NY</v>
      </c>
      <c r="C81" s="25" t="str">
        <f>Sites[[#This Row],[SOL'#]]</f>
        <v>SOL-10994</v>
      </c>
      <c r="D81" s="20">
        <f>SUM('1st Qtr'!D81,'2nd Qtr'!D81,'3rd Qtr'!D81,'4th Qtr'!D81)</f>
        <v>3190920</v>
      </c>
      <c r="E81" s="10">
        <f>SUM('1st Qtr'!E81, '2nd Qtr'!E81, '3rd Qtr'!E81, '4th Qtr'!E81)</f>
        <v>473050</v>
      </c>
      <c r="F81" s="10">
        <f t="shared" si="3"/>
        <v>2717870</v>
      </c>
      <c r="G81" s="11">
        <f t="shared" si="4"/>
        <v>5.7454180319205159</v>
      </c>
      <c r="H81" s="12">
        <f>SUM('1st Qtr'!H81,'2nd Qtr'!H81,'3rd Qtr'!H81,'4th Qtr'!H81)</f>
        <v>3630442.7749999999</v>
      </c>
      <c r="I81" s="12">
        <f>SUM('1st Qtr'!I81, '2nd Qtr'!I81, '3rd Qtr'!I81, '4th Qtr'!I81)</f>
        <v>-439522.77500000002</v>
      </c>
      <c r="J81" s="13">
        <f t="shared" si="5"/>
        <v>-0.12106588706662648</v>
      </c>
    </row>
    <row r="82" spans="1:10" ht="15.6">
      <c r="A82" s="26" t="str">
        <v>Telegraph 1</v>
      </c>
      <c r="B82" s="27" t="str">
        <v>NY</v>
      </c>
      <c r="C82" s="27" t="str">
        <f>Sites[[#This Row],[SOL'#]]</f>
        <v>SOL-11003</v>
      </c>
      <c r="D82" s="9">
        <f>SUM('1st Qtr'!D82,'2nd Qtr'!D82,'3rd Qtr'!D82,'4th Qtr'!D82)</f>
        <v>5728386</v>
      </c>
      <c r="E82" s="14">
        <f>SUM('1st Qtr'!E82, '2nd Qtr'!E82, '3rd Qtr'!E82, '4th Qtr'!E82)</f>
        <v>0</v>
      </c>
      <c r="F82" s="14">
        <f t="shared" si="3"/>
        <v>5728386</v>
      </c>
      <c r="G82" s="15" t="str">
        <f t="shared" si="4"/>
        <v/>
      </c>
      <c r="H82" s="16">
        <f>SUM('1st Qtr'!H82,'2nd Qtr'!H82,'3rd Qtr'!H82,'4th Qtr'!H82)</f>
        <v>5989229.824</v>
      </c>
      <c r="I82" s="16">
        <f>SUM('1st Qtr'!I82, '2nd Qtr'!I82, '3rd Qtr'!I82, '4th Qtr'!I82)</f>
        <v>-260843.82399999996</v>
      </c>
      <c r="J82" s="15">
        <f t="shared" si="5"/>
        <v>-4.3552148049945991E-2</v>
      </c>
    </row>
    <row r="83" spans="1:10" ht="15.6">
      <c r="A83" s="24" t="str">
        <v>Telegraph 2</v>
      </c>
      <c r="B83" s="25" t="str">
        <v>NY</v>
      </c>
      <c r="C83" s="25" t="str">
        <f>Sites[[#This Row],[SOL'#]]</f>
        <v>SOL-11004</v>
      </c>
      <c r="D83" s="20">
        <f>SUM('1st Qtr'!D83,'2nd Qtr'!D83,'3rd Qtr'!D83,'4th Qtr'!D83)</f>
        <v>3027617</v>
      </c>
      <c r="E83" s="10">
        <f>SUM('1st Qtr'!E83, '2nd Qtr'!E83, '3rd Qtr'!E83, '4th Qtr'!E83)</f>
        <v>0</v>
      </c>
      <c r="F83" s="10">
        <f t="shared" si="3"/>
        <v>3027617</v>
      </c>
      <c r="G83" s="11" t="str">
        <f t="shared" si="4"/>
        <v/>
      </c>
      <c r="H83" s="12">
        <f>SUM('1st Qtr'!H83,'2nd Qtr'!H83,'3rd Qtr'!H83,'4th Qtr'!H83)</f>
        <v>3112284.3259999999</v>
      </c>
      <c r="I83" s="12">
        <f>SUM('1st Qtr'!I83, '2nd Qtr'!I83, '3rd Qtr'!I83, '4th Qtr'!I83)</f>
        <v>-84667.326000000001</v>
      </c>
      <c r="J83" s="13">
        <f t="shared" si="5"/>
        <v>-2.7204238794216132E-2</v>
      </c>
    </row>
    <row r="84" spans="1:10" ht="15.6">
      <c r="A84" s="26" t="str">
        <v>Cafferty Hill</v>
      </c>
      <c r="B84" s="27" t="str">
        <v>NY</v>
      </c>
      <c r="C84" s="27" t="str">
        <f>Sites[[#This Row],[SOL'#]]</f>
        <v>SOL-10996</v>
      </c>
      <c r="D84" s="9">
        <f>SUM('1st Qtr'!D84,'2nd Qtr'!D84,'3rd Qtr'!D84,'4th Qtr'!D84)</f>
        <v>7987270</v>
      </c>
      <c r="E84" s="14">
        <f>SUM('1st Qtr'!E84, '2nd Qtr'!E84, '3rd Qtr'!E84, '4th Qtr'!E84)</f>
        <v>4195058.57</v>
      </c>
      <c r="F84" s="14">
        <f t="shared" si="3"/>
        <v>3792211.4299999997</v>
      </c>
      <c r="G84" s="15">
        <f t="shared" si="4"/>
        <v>0.90397103323398875</v>
      </c>
      <c r="H84" s="16">
        <f>SUM('1st Qtr'!H84,'2nd Qtr'!H84,'3rd Qtr'!H84,'4th Qtr'!H84)</f>
        <v>8002315.9760000007</v>
      </c>
      <c r="I84" s="16">
        <f>SUM('1st Qtr'!I84, '2nd Qtr'!I84, '3rd Qtr'!I84, '4th Qtr'!I84)</f>
        <v>-15045.975999999908</v>
      </c>
      <c r="J84" s="15">
        <f t="shared" si="5"/>
        <v>-1.8802026869627207E-3</v>
      </c>
    </row>
    <row r="85" spans="1:10" ht="15.6">
      <c r="A85" s="24" t="str">
        <v>Dunkleman</v>
      </c>
      <c r="B85" s="25" t="str">
        <v>NY</v>
      </c>
      <c r="C85" s="25" t="str">
        <f>Sites[[#This Row],[SOL'#]]</f>
        <v>SOL-11008</v>
      </c>
      <c r="D85" s="20">
        <f>SUM('1st Qtr'!D85,'2nd Qtr'!D85,'3rd Qtr'!D85,'4th Qtr'!D85)</f>
        <v>8922010</v>
      </c>
      <c r="E85" s="10">
        <f>SUM('1st Qtr'!E85, '2nd Qtr'!E85, '3rd Qtr'!E85, '4th Qtr'!E85)</f>
        <v>3894950</v>
      </c>
      <c r="F85" s="10">
        <f t="shared" si="3"/>
        <v>5027060</v>
      </c>
      <c r="G85" s="11">
        <f t="shared" si="4"/>
        <v>1.2906609840947894</v>
      </c>
      <c r="H85" s="12">
        <f>SUM('1st Qtr'!H85,'2nd Qtr'!H85,'3rd Qtr'!H85,'4th Qtr'!H85)</f>
        <v>9765141.6009999998</v>
      </c>
      <c r="I85" s="12">
        <f>SUM('1st Qtr'!I85, '2nd Qtr'!I85, '3rd Qtr'!I85, '4th Qtr'!I85)</f>
        <v>-843131.60100000002</v>
      </c>
      <c r="J85" s="13">
        <f t="shared" si="5"/>
        <v>-8.6340949824389557E-2</v>
      </c>
    </row>
    <row r="86" spans="1:10" ht="15.6">
      <c r="A86" s="26" t="str">
        <v>Route 19 1</v>
      </c>
      <c r="B86" s="27" t="str">
        <v>NY</v>
      </c>
      <c r="C86" s="27" t="str">
        <f>Sites[[#This Row],[SOL'#]]</f>
        <v>SOL-11001</v>
      </c>
      <c r="D86" s="9">
        <f>SUM('1st Qtr'!D86,'2nd Qtr'!D86,'3rd Qtr'!D86,'4th Qtr'!D86)</f>
        <v>3284858.3</v>
      </c>
      <c r="E86" s="14">
        <f>SUM('1st Qtr'!E86, '2nd Qtr'!E86, '3rd Qtr'!E86, '4th Qtr'!E86)</f>
        <v>1429719.77</v>
      </c>
      <c r="F86" s="14">
        <f t="shared" si="3"/>
        <v>1855138.5299999998</v>
      </c>
      <c r="G86" s="15">
        <f t="shared" si="4"/>
        <v>1.2975539465331725</v>
      </c>
      <c r="H86" s="16">
        <f>SUM('1st Qtr'!H86,'2nd Qtr'!H86,'3rd Qtr'!H86,'4th Qtr'!H86)</f>
        <v>3915573.7</v>
      </c>
      <c r="I86" s="16">
        <f>SUM('1st Qtr'!I86, '2nd Qtr'!I86, '3rd Qtr'!I86, '4th Qtr'!I86)</f>
        <v>-630715.4</v>
      </c>
      <c r="J86" s="15">
        <f t="shared" si="5"/>
        <v>-0.16107866900832438</v>
      </c>
    </row>
    <row r="87" spans="1:10" ht="15.6">
      <c r="A87" s="24" t="str">
        <v>Route 19 2</v>
      </c>
      <c r="B87" s="25" t="str">
        <v>NY</v>
      </c>
      <c r="C87" s="25" t="str">
        <f>Sites[[#This Row],[SOL'#]]</f>
        <v>SOL-11002</v>
      </c>
      <c r="D87" s="20">
        <f>SUM('1st Qtr'!D87,'2nd Qtr'!D87,'3rd Qtr'!D87,'4th Qtr'!D87)</f>
        <v>9046640</v>
      </c>
      <c r="E87" s="10">
        <f>SUM('1st Qtr'!E87, '2nd Qtr'!E87, '3rd Qtr'!E87, '4th Qtr'!E87)</f>
        <v>4495520</v>
      </c>
      <c r="F87" s="10">
        <f t="shared" si="3"/>
        <v>4551120</v>
      </c>
      <c r="G87" s="11">
        <f t="shared" si="4"/>
        <v>1.0123678684557069</v>
      </c>
      <c r="H87" s="12">
        <f>SUM('1st Qtr'!H87,'2nd Qtr'!H87,'3rd Qtr'!H87,'4th Qtr'!H87)</f>
        <v>9772674.1919999979</v>
      </c>
      <c r="I87" s="12">
        <f>SUM('1st Qtr'!I87, '2nd Qtr'!I87, '3rd Qtr'!I87, '4th Qtr'!I87)</f>
        <v>-726034.19199999981</v>
      </c>
      <c r="J87" s="13">
        <f t="shared" si="5"/>
        <v>-7.4292274328999749E-2</v>
      </c>
    </row>
    <row r="88" spans="1:10" ht="15.6">
      <c r="A88" s="26" t="str">
        <v>Yellow Mills 1</v>
      </c>
      <c r="B88" s="27" t="str">
        <v>NY</v>
      </c>
      <c r="C88" s="27" t="str">
        <f>Sites[[#This Row],[SOL'#]]</f>
        <v>SOL-11006</v>
      </c>
      <c r="D88" s="9">
        <f>SUM('1st Qtr'!D88,'2nd Qtr'!D88,'3rd Qtr'!D88,'4th Qtr'!D88)</f>
        <v>2541385</v>
      </c>
      <c r="E88" s="14">
        <f>SUM('1st Qtr'!E88, '2nd Qtr'!E88, '3rd Qtr'!E88, '4th Qtr'!E88)</f>
        <v>1388885</v>
      </c>
      <c r="F88" s="14">
        <f t="shared" si="3"/>
        <v>1152500</v>
      </c>
      <c r="G88" s="15">
        <f t="shared" si="4"/>
        <v>0.82980232344650562</v>
      </c>
      <c r="H88" s="16">
        <f>SUM('1st Qtr'!H88,'2nd Qtr'!H88,'3rd Qtr'!H88,'4th Qtr'!H88)</f>
        <v>3313234.4090000005</v>
      </c>
      <c r="I88" s="16">
        <f>SUM('1st Qtr'!I88, '2nd Qtr'!I88, '3rd Qtr'!I88, '4th Qtr'!I88)</f>
        <v>-771849.40899999987</v>
      </c>
      <c r="J88" s="15">
        <f t="shared" si="5"/>
        <v>-0.23295949326837978</v>
      </c>
    </row>
    <row r="89" spans="1:10" ht="15.6">
      <c r="A89" s="24" t="str">
        <v>Yellow Mills 2</v>
      </c>
      <c r="B89" s="25" t="str">
        <v>NY</v>
      </c>
      <c r="C89" s="25" t="str">
        <f>Sites[[#This Row],[SOL'#]]</f>
        <v>SOL-11005</v>
      </c>
      <c r="D89" s="20">
        <f>SUM('1st Qtr'!D89,'2nd Qtr'!D89,'3rd Qtr'!D89,'4th Qtr'!D89)</f>
        <v>2863859</v>
      </c>
      <c r="E89" s="10">
        <f>SUM('1st Qtr'!E89, '2nd Qtr'!E89, '3rd Qtr'!E89, '4th Qtr'!E89)</f>
        <v>0</v>
      </c>
      <c r="F89" s="10">
        <f t="shared" si="3"/>
        <v>2863859</v>
      </c>
      <c r="G89" s="11" t="str">
        <f t="shared" si="4"/>
        <v/>
      </c>
      <c r="H89" s="12">
        <f>SUM('1st Qtr'!H89,'2nd Qtr'!H89,'3rd Qtr'!H89,'4th Qtr'!H89)</f>
        <v>3426404.6979999999</v>
      </c>
      <c r="I89" s="12">
        <f>SUM('1st Qtr'!I89, '2nd Qtr'!I89, '3rd Qtr'!I89, '4th Qtr'!I89)</f>
        <v>-562545.69799999997</v>
      </c>
      <c r="J89" s="13">
        <f t="shared" si="5"/>
        <v>-0.16417958401947066</v>
      </c>
    </row>
    <row r="90" spans="1:10" ht="15.6">
      <c r="A90" s="26" t="str">
        <v>Yellow Mills 3</v>
      </c>
      <c r="B90" s="27" t="str">
        <v>NY</v>
      </c>
      <c r="C90" s="27" t="str">
        <f>Sites[[#This Row],[SOL'#]]</f>
        <v>SOL-11007</v>
      </c>
      <c r="D90" s="9">
        <f>SUM('1st Qtr'!D90,'2nd Qtr'!D90,'3rd Qtr'!D90,'4th Qtr'!D90)</f>
        <v>2788062</v>
      </c>
      <c r="E90" s="14">
        <f>SUM('1st Qtr'!E90, '2nd Qtr'!E90, '3rd Qtr'!E90, '4th Qtr'!E90)</f>
        <v>1293338</v>
      </c>
      <c r="F90" s="14">
        <f t="shared" si="3"/>
        <v>1494724</v>
      </c>
      <c r="G90" s="15">
        <f t="shared" si="4"/>
        <v>1.1557102629011133</v>
      </c>
      <c r="H90" s="16">
        <f>SUM('1st Qtr'!H90,'2nd Qtr'!H90,'3rd Qtr'!H90,'4th Qtr'!H90)</f>
        <v>3243597.8109999998</v>
      </c>
      <c r="I90" s="16">
        <f>SUM('1st Qtr'!I90, '2nd Qtr'!I90, '3rd Qtr'!I90, '4th Qtr'!I90)</f>
        <v>-455535.81100000005</v>
      </c>
      <c r="J90" s="15">
        <f t="shared" si="5"/>
        <v>-0.1404415212808269</v>
      </c>
    </row>
    <row r="91" spans="1:10" ht="15.6">
      <c r="A91" s="24" t="str">
        <v>Catskill</v>
      </c>
      <c r="B91" s="25" t="str">
        <v>NY</v>
      </c>
      <c r="C91" s="25" t="str">
        <f>Sites[[#This Row],[SOL'#]]</f>
        <v>SOL-11021</v>
      </c>
      <c r="D91" s="20">
        <f>SUM('1st Qtr'!D91,'2nd Qtr'!D91,'3rd Qtr'!D91,'4th Qtr'!D91)</f>
        <v>4927969</v>
      </c>
      <c r="E91" s="10">
        <f>SUM('1st Qtr'!E91, '2nd Qtr'!E91, '3rd Qtr'!E91, '4th Qtr'!E91)</f>
        <v>358236</v>
      </c>
      <c r="F91" s="10">
        <f t="shared" si="3"/>
        <v>4569733</v>
      </c>
      <c r="G91" s="11">
        <f t="shared" si="4"/>
        <v>12.756208197947721</v>
      </c>
      <c r="H91" s="12">
        <f>SUM('1st Qtr'!H91,'2nd Qtr'!H91,'3rd Qtr'!H91,'4th Qtr'!H91)</f>
        <v>6207337.5829999996</v>
      </c>
      <c r="I91" s="12">
        <f>SUM('1st Qtr'!I91, '2nd Qtr'!I91, '3rd Qtr'!I91, '4th Qtr'!I91)</f>
        <v>-1279368.5829999999</v>
      </c>
      <c r="J91" s="13">
        <f t="shared" si="5"/>
        <v>-0.20610584906865698</v>
      </c>
    </row>
    <row r="92" spans="1:10" ht="15.6">
      <c r="A92" s="26" t="str">
        <v>Eddy Ridge</v>
      </c>
      <c r="B92" s="27" t="str">
        <v>NY</v>
      </c>
      <c r="C92" s="27" t="str">
        <f>Sites[[#This Row],[SOL'#]]</f>
        <v>SOL-11054</v>
      </c>
      <c r="D92" s="9">
        <f>SUM('1st Qtr'!D92,'2nd Qtr'!D92,'3rd Qtr'!D92,'4th Qtr'!D92)</f>
        <v>4233732.5</v>
      </c>
      <c r="E92" s="14">
        <f>SUM('1st Qtr'!E92, '2nd Qtr'!E92, '3rd Qtr'!E92, '4th Qtr'!E92)</f>
        <v>2024955</v>
      </c>
      <c r="F92" s="14">
        <f t="shared" si="3"/>
        <v>2208777.5</v>
      </c>
      <c r="G92" s="15">
        <f t="shared" si="4"/>
        <v>1.0907785605112212</v>
      </c>
      <c r="H92" s="16">
        <f>SUM('1st Qtr'!H92,'2nd Qtr'!H92,'3rd Qtr'!H92,'4th Qtr'!H92)</f>
        <v>4677639.2750000004</v>
      </c>
      <c r="I92" s="16">
        <f>SUM('1st Qtr'!I92, '2nd Qtr'!I92, '3rd Qtr'!I92, '4th Qtr'!I92)</f>
        <v>-443906.77500000002</v>
      </c>
      <c r="J92" s="15">
        <f t="shared" si="5"/>
        <v>-9.4899745128379953E-2</v>
      </c>
    </row>
    <row r="93" spans="1:10" ht="15.6">
      <c r="A93" s="24" t="str">
        <v>Ridgeway #1</v>
      </c>
      <c r="B93" s="25" t="str">
        <v>NY</v>
      </c>
      <c r="C93" s="25" t="str">
        <f>Sites[[#This Row],[SOL'#]]</f>
        <v>SOL-11018</v>
      </c>
      <c r="D93" s="20">
        <f>SUM('1st Qtr'!D93,'2nd Qtr'!D93,'3rd Qtr'!D93,'4th Qtr'!D93)</f>
        <v>9741981</v>
      </c>
      <c r="E93" s="10">
        <f>SUM('1st Qtr'!E93, '2nd Qtr'!E93, '3rd Qtr'!E93, '4th Qtr'!E93)</f>
        <v>4990110</v>
      </c>
      <c r="F93" s="10">
        <f t="shared" si="3"/>
        <v>4751871</v>
      </c>
      <c r="G93" s="11">
        <f t="shared" si="4"/>
        <v>0.95225776586087285</v>
      </c>
      <c r="H93" s="12">
        <f>SUM('1st Qtr'!H93,'2nd Qtr'!H93,'3rd Qtr'!H93,'4th Qtr'!H93)</f>
        <v>10179340.219999999</v>
      </c>
      <c r="I93" s="12">
        <f>SUM('1st Qtr'!I93, '2nd Qtr'!I93, '3rd Qtr'!I93, '4th Qtr'!I93)</f>
        <v>-437359.21999999974</v>
      </c>
      <c r="J93" s="13">
        <f t="shared" si="5"/>
        <v>-4.2965379931077671E-2</v>
      </c>
    </row>
    <row r="94" spans="1:10" ht="15.6">
      <c r="A94" s="26" t="str">
        <v>Rivard 1</v>
      </c>
      <c r="B94" s="27" t="str">
        <v>NY</v>
      </c>
      <c r="C94" s="27" t="str">
        <f>Sites[[#This Row],[SOL'#]]</f>
        <v>SOL-11011</v>
      </c>
      <c r="D94" s="9">
        <f>SUM('1st Qtr'!D94,'2nd Qtr'!D94,'3rd Qtr'!D94,'4th Qtr'!D94)</f>
        <v>7453456.4024807792</v>
      </c>
      <c r="E94" s="14">
        <f>SUM('1st Qtr'!E94, '2nd Qtr'!E94, '3rd Qtr'!E94, '4th Qtr'!E94)</f>
        <v>5444742.6799999997</v>
      </c>
      <c r="F94" s="14">
        <f t="shared" si="3"/>
        <v>2008713.7224807795</v>
      </c>
      <c r="G94" s="15">
        <f t="shared" si="4"/>
        <v>0.36892720933522238</v>
      </c>
      <c r="H94" s="16">
        <f>SUM('1st Qtr'!H94,'2nd Qtr'!H94,'3rd Qtr'!H94,'4th Qtr'!H94)</f>
        <v>6747493.2599999998</v>
      </c>
      <c r="I94" s="16">
        <f>SUM('1st Qtr'!I94, '2nd Qtr'!I94, '3rd Qtr'!I94, '4th Qtr'!I94)</f>
        <v>705963.14248077897</v>
      </c>
      <c r="J94" s="15">
        <f t="shared" si="5"/>
        <v>0.10462598705593654</v>
      </c>
    </row>
    <row r="95" spans="1:10" ht="15.6">
      <c r="A95" s="24" t="str">
        <v>Rivard 2</v>
      </c>
      <c r="B95" s="25" t="str">
        <v>NY</v>
      </c>
      <c r="C95" s="25" t="str">
        <f>Sites[[#This Row],[SOL'#]]</f>
        <v>SOL-11012</v>
      </c>
      <c r="D95" s="20">
        <f>SUM('1st Qtr'!D95,'2nd Qtr'!D95,'3rd Qtr'!D95,'4th Qtr'!D95)</f>
        <v>7628349.4673366845</v>
      </c>
      <c r="E95" s="10">
        <f>SUM('1st Qtr'!E95, '2nd Qtr'!E95, '3rd Qtr'!E95, '4th Qtr'!E95)</f>
        <v>7533850.7399999993</v>
      </c>
      <c r="F95" s="10">
        <f t="shared" si="3"/>
        <v>94498.727336685173</v>
      </c>
      <c r="G95" s="11">
        <f t="shared" si="4"/>
        <v>1.2543217352974156E-2</v>
      </c>
      <c r="H95" s="12">
        <f>SUM('1st Qtr'!H95,'2nd Qtr'!H95,'3rd Qtr'!H95,'4th Qtr'!H95)</f>
        <v>7580173.21</v>
      </c>
      <c r="I95" s="12">
        <f>SUM('1st Qtr'!I95, '2nd Qtr'!I95, '3rd Qtr'!I95, '4th Qtr'!I95)</f>
        <v>48176.257336683891</v>
      </c>
      <c r="J95" s="13">
        <f t="shared" si="5"/>
        <v>6.355561542199099E-3</v>
      </c>
    </row>
    <row r="96" spans="1:10" ht="15.6">
      <c r="A96" s="26" t="str">
        <v>Ridgeway #2</v>
      </c>
      <c r="B96" s="27" t="str">
        <v>NY</v>
      </c>
      <c r="C96" s="27" t="str">
        <f>Sites[[#This Row],[SOL'#]]</f>
        <v>SOL-11027</v>
      </c>
      <c r="D96" s="9">
        <f>SUM('1st Qtr'!D96,'2nd Qtr'!D96,'3rd Qtr'!D96,'4th Qtr'!D96)</f>
        <v>4033891</v>
      </c>
      <c r="E96" s="14">
        <f>SUM('1st Qtr'!E96, '2nd Qtr'!E96, '3rd Qtr'!E96, '4th Qtr'!E96)</f>
        <v>1795631</v>
      </c>
      <c r="F96" s="14">
        <f t="shared" si="3"/>
        <v>2238260</v>
      </c>
      <c r="G96" s="15">
        <f t="shared" si="4"/>
        <v>1.2465033183321073</v>
      </c>
      <c r="H96" s="16">
        <f>SUM('1st Qtr'!H96,'2nd Qtr'!H96,'3rd Qtr'!H96,'4th Qtr'!H96)</f>
        <v>4424956.07</v>
      </c>
      <c r="I96" s="16">
        <f>SUM('1st Qtr'!I96, '2nd Qtr'!I96, '3rd Qtr'!I96, '4th Qtr'!I96)</f>
        <v>-391065.07000000007</v>
      </c>
      <c r="J96" s="15">
        <f t="shared" si="5"/>
        <v>-8.8377164386176613E-2</v>
      </c>
    </row>
    <row r="97" spans="1:10" ht="15.6">
      <c r="A97" s="24" t="str">
        <v>Spencer</v>
      </c>
      <c r="B97" s="25" t="str">
        <v>NY</v>
      </c>
      <c r="C97" s="25" t="str">
        <f>Sites[[#This Row],[SOL'#]]</f>
        <v>SOL-11017</v>
      </c>
      <c r="D97" s="20">
        <f>SUM('1st Qtr'!D97,'2nd Qtr'!D97,'3rd Qtr'!D97,'4th Qtr'!D97)</f>
        <v>9055971.9800000004</v>
      </c>
      <c r="E97" s="10">
        <f>SUM('1st Qtr'!E97, '2nd Qtr'!E97, '3rd Qtr'!E97, '4th Qtr'!E97)</f>
        <v>4461539.3899999997</v>
      </c>
      <c r="F97" s="10">
        <f t="shared" ref="F97:F157" si="6">IF(AND(ISNUMBER(D97),ISNUMBER(E97)), D97-E97, "")</f>
        <v>4594432.5900000008</v>
      </c>
      <c r="G97" s="11">
        <f t="shared" ref="G97:G157" si="7">IFERROR(F97/E97, "")</f>
        <v>1.0297864006978992</v>
      </c>
      <c r="H97" s="12">
        <f>SUM('1st Qtr'!H97,'2nd Qtr'!H97,'3rd Qtr'!H97,'4th Qtr'!H97)</f>
        <v>9724680.5999999996</v>
      </c>
      <c r="I97" s="12">
        <f>SUM('1st Qtr'!I97, '2nd Qtr'!I97, '3rd Qtr'!I97, '4th Qtr'!I97)</f>
        <v>-668708.61999999988</v>
      </c>
      <c r="J97" s="13">
        <f t="shared" ref="J97:J157" si="8">IFERROR(I97/H97, "")</f>
        <v>-6.8764070256456533E-2</v>
      </c>
    </row>
    <row r="98" spans="1:10" ht="15.6">
      <c r="A98" s="26" t="str">
        <v>Reisender</v>
      </c>
      <c r="B98" s="27" t="str">
        <v>NY</v>
      </c>
      <c r="C98" s="27" t="str">
        <f>Sites[[#This Row],[SOL'#]]</f>
        <v>SOL-10886</v>
      </c>
      <c r="D98" s="9">
        <f>SUM('1st Qtr'!D98,'2nd Qtr'!D98,'3rd Qtr'!D98,'4th Qtr'!D98)</f>
        <v>3023420</v>
      </c>
      <c r="E98" s="14">
        <f>SUM('1st Qtr'!E98, '2nd Qtr'!E98, '3rd Qtr'!E98, '4th Qtr'!E98)</f>
        <v>3183257.6609999998</v>
      </c>
      <c r="F98" s="14">
        <f t="shared" si="6"/>
        <v>-159837.66099999985</v>
      </c>
      <c r="G98" s="15">
        <f t="shared" si="7"/>
        <v>-5.0211977169886991E-2</v>
      </c>
      <c r="H98" s="16">
        <f>SUM('1st Qtr'!H98,'2nd Qtr'!H98,'3rd Qtr'!H98,'4th Qtr'!H98)</f>
        <v>3331429.1729999995</v>
      </c>
      <c r="I98" s="16">
        <f>SUM('1st Qtr'!I98, '2nd Qtr'!I98, '3rd Qtr'!I98, '4th Qtr'!I98)</f>
        <v>-308009.17300000007</v>
      </c>
      <c r="J98" s="15">
        <f t="shared" si="8"/>
        <v>-9.2455566966964331E-2</v>
      </c>
    </row>
    <row r="99" spans="1:10" ht="15.6">
      <c r="A99" s="24" t="str">
        <v>Finney</v>
      </c>
      <c r="B99" s="25" t="str">
        <v>NY</v>
      </c>
      <c r="C99" s="25" t="str">
        <f>Sites[[#This Row],[SOL'#]]</f>
        <v>SOL-10999</v>
      </c>
      <c r="D99" s="20">
        <f>SUM('1st Qtr'!D99,'2nd Qtr'!D99,'3rd Qtr'!D99,'4th Qtr'!D99)</f>
        <v>7680830</v>
      </c>
      <c r="E99" s="10">
        <f>SUM('1st Qtr'!E99, '2nd Qtr'!E99, '3rd Qtr'!E99, '4th Qtr'!E99)</f>
        <v>3116380</v>
      </c>
      <c r="F99" s="10">
        <f t="shared" si="6"/>
        <v>4564450</v>
      </c>
      <c r="G99" s="11">
        <f t="shared" si="7"/>
        <v>1.464664129534909</v>
      </c>
      <c r="H99" s="12">
        <f>SUM('1st Qtr'!H99,'2nd Qtr'!H99,'3rd Qtr'!H99,'4th Qtr'!H99)</f>
        <v>9917752.7679999992</v>
      </c>
      <c r="I99" s="12">
        <f>SUM('1st Qtr'!I99, '2nd Qtr'!I99, '3rd Qtr'!I99, '4th Qtr'!I99)</f>
        <v>-2236922.7680000002</v>
      </c>
      <c r="J99" s="13">
        <f t="shared" si="8"/>
        <v>-0.22554734125027953</v>
      </c>
    </row>
    <row r="100" spans="1:10" ht="15.6">
      <c r="A100" s="26" t="str">
        <v>Davis Solar</v>
      </c>
      <c r="B100" s="27" t="str">
        <v>NY</v>
      </c>
      <c r="C100" s="27" t="str">
        <f>Sites[[#This Row],[SOL'#]]</f>
        <v>SOL-10958</v>
      </c>
      <c r="D100" s="9">
        <f>SUM('1st Qtr'!D100,'2nd Qtr'!D100,'3rd Qtr'!D100,'4th Qtr'!D100)</f>
        <v>3119179</v>
      </c>
      <c r="E100" s="14">
        <f>SUM('1st Qtr'!E100, '2nd Qtr'!E100, '3rd Qtr'!E100, '4th Qtr'!E100)</f>
        <v>3652578.0300000003</v>
      </c>
      <c r="F100" s="14">
        <f t="shared" si="6"/>
        <v>-533399.03000000026</v>
      </c>
      <c r="G100" s="15">
        <f t="shared" si="7"/>
        <v>-0.14603357563315361</v>
      </c>
      <c r="H100" s="16">
        <f>SUM('1st Qtr'!H100,'2nd Qtr'!H100,'3rd Qtr'!H100,'4th Qtr'!H100)</f>
        <v>3885031</v>
      </c>
      <c r="I100" s="16">
        <f>SUM('1st Qtr'!I100, '2nd Qtr'!I100, '3rd Qtr'!I100, '4th Qtr'!I100)</f>
        <v>-765852</v>
      </c>
      <c r="J100" s="15">
        <f t="shared" si="8"/>
        <v>-0.19712892895835324</v>
      </c>
    </row>
    <row r="101" spans="1:10" ht="15.6">
      <c r="A101" s="24" t="str">
        <v>Genesee</v>
      </c>
      <c r="B101" s="25" t="str">
        <v>NY</v>
      </c>
      <c r="C101" s="25" t="str">
        <f>Sites[[#This Row],[SOL'#]]</f>
        <v>SOL-10951</v>
      </c>
      <c r="D101" s="20">
        <f>SUM('1st Qtr'!D101,'2nd Qtr'!D101,'3rd Qtr'!D101,'4th Qtr'!D101)</f>
        <v>4974863.3</v>
      </c>
      <c r="E101" s="10">
        <f>SUM('1st Qtr'!E101, '2nd Qtr'!E101, '3rd Qtr'!E101, '4th Qtr'!E101)</f>
        <v>2735982.1199999996</v>
      </c>
      <c r="F101" s="10">
        <f t="shared" si="6"/>
        <v>2238881.1800000002</v>
      </c>
      <c r="G101" s="11">
        <f t="shared" si="7"/>
        <v>0.81830987258060017</v>
      </c>
      <c r="H101" s="12">
        <f>SUM('1st Qtr'!H101,'2nd Qtr'!H101,'3rd Qtr'!H101,'4th Qtr'!H101)</f>
        <v>7238179.2160000009</v>
      </c>
      <c r="I101" s="12">
        <f>SUM('1st Qtr'!I101, '2nd Qtr'!I101, '3rd Qtr'!I101, '4th Qtr'!I101)</f>
        <v>-2263315.9160000002</v>
      </c>
      <c r="J101" s="13">
        <f t="shared" si="8"/>
        <v>-0.31269133416825856</v>
      </c>
    </row>
    <row r="102" spans="1:10" ht="15.6">
      <c r="A102" s="26" t="str">
        <v>Landau I</v>
      </c>
      <c r="B102" s="27" t="str">
        <v>NY</v>
      </c>
      <c r="C102" s="27" t="str">
        <f>Sites[[#This Row],[SOL'#]]</f>
        <v>SOL-10891</v>
      </c>
      <c r="D102" s="9">
        <f>SUM('1st Qtr'!D102,'2nd Qtr'!D102,'3rd Qtr'!D102,'4th Qtr'!D102)</f>
        <v>3334090</v>
      </c>
      <c r="E102" s="14">
        <f>SUM('1st Qtr'!E102, '2nd Qtr'!E102, '3rd Qtr'!E102, '4th Qtr'!E102)</f>
        <v>0</v>
      </c>
      <c r="F102" s="14">
        <f t="shared" si="6"/>
        <v>3334090</v>
      </c>
      <c r="G102" s="15" t="str">
        <f t="shared" si="7"/>
        <v/>
      </c>
      <c r="H102" s="16">
        <f>SUM('1st Qtr'!H102,'2nd Qtr'!H102,'3rd Qtr'!H102,'4th Qtr'!H102)</f>
        <v>3665003.3790000002</v>
      </c>
      <c r="I102" s="16">
        <f>SUM('1st Qtr'!I102, '2nd Qtr'!I102, '3rd Qtr'!I102, '4th Qtr'!I102)</f>
        <v>-330913.37900000007</v>
      </c>
      <c r="J102" s="15">
        <f t="shared" si="8"/>
        <v>-9.0290061094101939E-2</v>
      </c>
    </row>
    <row r="103" spans="1:10" ht="15.6">
      <c r="A103" s="24" t="str">
        <v>Landau II</v>
      </c>
      <c r="B103" s="25" t="str">
        <v>NY</v>
      </c>
      <c r="C103" s="25" t="str">
        <f>Sites[[#This Row],[SOL'#]]</f>
        <v>SOL-10895</v>
      </c>
      <c r="D103" s="20">
        <f>SUM('1st Qtr'!D103,'2nd Qtr'!D103,'3rd Qtr'!D103,'4th Qtr'!D103)</f>
        <v>4351700</v>
      </c>
      <c r="E103" s="10">
        <f>SUM('1st Qtr'!E103, '2nd Qtr'!E103, '3rd Qtr'!E103, '4th Qtr'!E103)</f>
        <v>0</v>
      </c>
      <c r="F103" s="10">
        <f t="shared" si="6"/>
        <v>4351700</v>
      </c>
      <c r="G103" s="11" t="str">
        <f t="shared" si="7"/>
        <v/>
      </c>
      <c r="H103" s="12">
        <f>SUM('1st Qtr'!H103,'2nd Qtr'!H103,'3rd Qtr'!H103,'4th Qtr'!H103)</f>
        <v>3354739.5300000003</v>
      </c>
      <c r="I103" s="12">
        <f>SUM('1st Qtr'!I103, '2nd Qtr'!I103, '3rd Qtr'!I103, '4th Qtr'!I103)</f>
        <v>-1514349.53</v>
      </c>
      <c r="J103" s="13">
        <f t="shared" si="8"/>
        <v>-0.4514059933588942</v>
      </c>
    </row>
    <row r="104" spans="1:10" ht="15.6">
      <c r="A104" s="26" t="str">
        <v>New Beginnings</v>
      </c>
      <c r="B104" s="27" t="str">
        <v>NY</v>
      </c>
      <c r="C104" s="27" t="str">
        <f>Sites[[#This Row],[SOL'#]]</f>
        <v>SOL-10890</v>
      </c>
      <c r="D104" s="9">
        <f>SUM('1st Qtr'!D104,'2nd Qtr'!D104,'3rd Qtr'!D104,'4th Qtr'!D104)</f>
        <v>2744670</v>
      </c>
      <c r="E104" s="14">
        <f>SUM('1st Qtr'!E104, '2nd Qtr'!E104, '3rd Qtr'!E104, '4th Qtr'!E104)</f>
        <v>3347779.66</v>
      </c>
      <c r="F104" s="14">
        <f t="shared" si="6"/>
        <v>-603109.66000000015</v>
      </c>
      <c r="G104" s="15">
        <f t="shared" si="7"/>
        <v>-0.18015213701370064</v>
      </c>
      <c r="H104" s="16">
        <f>SUM('1st Qtr'!H104,'2nd Qtr'!H104,'3rd Qtr'!H104,'4th Qtr'!H104)</f>
        <v>3586525.321</v>
      </c>
      <c r="I104" s="16">
        <f>SUM('1st Qtr'!I104, '2nd Qtr'!I104, '3rd Qtr'!I104, '4th Qtr'!I104)</f>
        <v>-841855.321</v>
      </c>
      <c r="J104" s="15">
        <f t="shared" si="8"/>
        <v>-0.23472727658458933</v>
      </c>
    </row>
    <row r="105" spans="1:10" ht="15.6">
      <c r="A105" s="24" t="str">
        <v>Bullitt Farm Solar, LLC</v>
      </c>
      <c r="B105" s="25" t="str">
        <v>NY</v>
      </c>
      <c r="C105" s="25" t="str">
        <f>Sites[[#This Row],[SOL'#]]</f>
        <v>SOL-10998</v>
      </c>
      <c r="D105" s="20">
        <f>SUM('1st Qtr'!D105,'2nd Qtr'!D105,'3rd Qtr'!D105,'4th Qtr'!D105)</f>
        <v>7480328</v>
      </c>
      <c r="E105" s="10">
        <f>SUM('1st Qtr'!E105, '2nd Qtr'!E105, '3rd Qtr'!E105, '4th Qtr'!E105)</f>
        <v>8089645.8220000006</v>
      </c>
      <c r="F105" s="10">
        <f t="shared" si="6"/>
        <v>-609317.82200000063</v>
      </c>
      <c r="G105" s="11">
        <f t="shared" si="7"/>
        <v>-7.5320704442083872E-2</v>
      </c>
      <c r="H105" s="12">
        <f>SUM('1st Qtr'!H105,'2nd Qtr'!H105,'3rd Qtr'!H105,'4th Qtr'!H105)</f>
        <v>8739028.1999999993</v>
      </c>
      <c r="I105" s="12">
        <f>SUM('1st Qtr'!I105, '2nd Qtr'!I105, '3rd Qtr'!I105, '4th Qtr'!I105)</f>
        <v>-1258700.2000000004</v>
      </c>
      <c r="J105" s="13">
        <f t="shared" si="8"/>
        <v>-0.14403205610436187</v>
      </c>
    </row>
    <row r="106" spans="1:10" ht="15.6">
      <c r="A106" s="26" t="str">
        <v>Brodhead Solar, LLC</v>
      </c>
      <c r="B106" s="27" t="str">
        <v>NY</v>
      </c>
      <c r="C106" s="27" t="str">
        <f>Sites[[#This Row],[SOL'#]]</f>
        <v>SOL-10899</v>
      </c>
      <c r="D106" s="9">
        <f>SUM('1st Qtr'!D106,'2nd Qtr'!D106,'3rd Qtr'!D106,'4th Qtr'!D106)</f>
        <v>4330569</v>
      </c>
      <c r="E106" s="14">
        <f>SUM('1st Qtr'!E106, '2nd Qtr'!E106, '3rd Qtr'!E106, '4th Qtr'!E106)</f>
        <v>4644439.7879999997</v>
      </c>
      <c r="F106" s="14">
        <f t="shared" si="6"/>
        <v>-313870.78799999971</v>
      </c>
      <c r="G106" s="15">
        <f t="shared" si="7"/>
        <v>-6.75799024913529E-2</v>
      </c>
      <c r="H106" s="16">
        <f>SUM('1st Qtr'!H106,'2nd Qtr'!H106,'3rd Qtr'!H106,'4th Qtr'!H106)</f>
        <v>4794451.42</v>
      </c>
      <c r="I106" s="16">
        <f>SUM('1st Qtr'!I106, '2nd Qtr'!I106, '3rd Qtr'!I106, '4th Qtr'!I106)</f>
        <v>-463882.4200000001</v>
      </c>
      <c r="J106" s="15">
        <f t="shared" si="8"/>
        <v>-9.6754014039003466E-2</v>
      </c>
    </row>
    <row r="107" spans="1:10" ht="15.6">
      <c r="A107" s="24" t="str">
        <v>Svenski</v>
      </c>
      <c r="B107" s="25" t="str">
        <v>NY</v>
      </c>
      <c r="C107" s="25" t="str">
        <f>Sites[[#This Row],[SOL'#]]</f>
        <v>SOL-10894</v>
      </c>
      <c r="D107" s="20">
        <f>SUM('1st Qtr'!D107,'2nd Qtr'!D107,'3rd Qtr'!D107,'4th Qtr'!D107)</f>
        <v>3199478</v>
      </c>
      <c r="E107" s="10">
        <f>SUM('1st Qtr'!E107, '2nd Qtr'!E107, '3rd Qtr'!E107, '4th Qtr'!E107)</f>
        <v>0</v>
      </c>
      <c r="F107" s="10">
        <f t="shared" si="6"/>
        <v>3199478</v>
      </c>
      <c r="G107" s="11" t="str">
        <f t="shared" si="7"/>
        <v/>
      </c>
      <c r="H107" s="12">
        <f>SUM('1st Qtr'!H107,'2nd Qtr'!H107,'3rd Qtr'!H107,'4th Qtr'!H107)</f>
        <v>3680529.0259999996</v>
      </c>
      <c r="I107" s="12">
        <f>SUM('1st Qtr'!I107, '2nd Qtr'!I107, '3rd Qtr'!I107, '4th Qtr'!I107)</f>
        <v>-481051.02599999995</v>
      </c>
      <c r="J107" s="13">
        <f t="shared" si="8"/>
        <v>-0.1307015982218204</v>
      </c>
    </row>
    <row r="108" spans="1:10" ht="15.6">
      <c r="A108" s="26" t="str">
        <v>Bantam</v>
      </c>
      <c r="B108" s="27" t="str">
        <v>NY</v>
      </c>
      <c r="C108" s="27" t="str">
        <f>Sites[[#This Row],[SOL'#]]</f>
        <v>SOL-10986</v>
      </c>
      <c r="D108" s="9">
        <f>SUM('1st Qtr'!D108,'2nd Qtr'!D108,'3rd Qtr'!D108,'4th Qtr'!D108)</f>
        <v>1514860</v>
      </c>
      <c r="E108" s="14">
        <f>SUM('1st Qtr'!E108, '2nd Qtr'!E108, '3rd Qtr'!E108, '4th Qtr'!E108)</f>
        <v>2242820</v>
      </c>
      <c r="F108" s="14">
        <f t="shared" si="6"/>
        <v>-727960</v>
      </c>
      <c r="G108" s="15">
        <f t="shared" si="7"/>
        <v>-0.32457352796925298</v>
      </c>
      <c r="H108" s="16">
        <f>SUM('1st Qtr'!H108,'2nd Qtr'!H108,'3rd Qtr'!H108,'4th Qtr'!H108)</f>
        <v>9126644.8420000002</v>
      </c>
      <c r="I108" s="16">
        <f>SUM('1st Qtr'!I108, '2nd Qtr'!I108, '3rd Qtr'!I108, '4th Qtr'!I108)</f>
        <v>-7718374.8420000011</v>
      </c>
      <c r="J108" s="15">
        <f t="shared" si="8"/>
        <v>-0.84569685526500749</v>
      </c>
    </row>
    <row r="109" spans="1:10" ht="15.6">
      <c r="A109" s="24" t="str">
        <v>Bogart</v>
      </c>
      <c r="B109" s="25" t="str">
        <v>NY</v>
      </c>
      <c r="C109" s="25" t="str">
        <f>Sites[[#This Row],[SOL'#]]</f>
        <v>SOL-10887</v>
      </c>
      <c r="D109" s="20">
        <f>SUM('1st Qtr'!D109,'2nd Qtr'!D109,'3rd Qtr'!D109,'4th Qtr'!D109)</f>
        <v>2799800</v>
      </c>
      <c r="E109" s="10">
        <f>SUM('1st Qtr'!E109, '2nd Qtr'!E109, '3rd Qtr'!E109, '4th Qtr'!E109)</f>
        <v>3256229.1979999999</v>
      </c>
      <c r="F109" s="10">
        <f t="shared" si="6"/>
        <v>-456429.19799999986</v>
      </c>
      <c r="G109" s="11">
        <f t="shared" si="7"/>
        <v>-0.14017109062234995</v>
      </c>
      <c r="H109" s="12">
        <f>SUM('1st Qtr'!H109,'2nd Qtr'!H109,'3rd Qtr'!H109,'4th Qtr'!H109)</f>
        <v>3490371.7009999999</v>
      </c>
      <c r="I109" s="12">
        <f>SUM('1st Qtr'!I109, '2nd Qtr'!I109, '3rd Qtr'!I109, '4th Qtr'!I109)</f>
        <v>-690571.701</v>
      </c>
      <c r="J109" s="13">
        <f t="shared" si="8"/>
        <v>-0.19785047558176957</v>
      </c>
    </row>
    <row r="110" spans="1:10" ht="15.6">
      <c r="A110" s="26" t="str">
        <v>Dubois</v>
      </c>
      <c r="B110" s="27" t="str">
        <v>NY</v>
      </c>
      <c r="C110" s="27" t="str">
        <f>Sites[[#This Row],[SOL'#]]</f>
        <v>SOL-10892</v>
      </c>
      <c r="D110" s="9">
        <f>SUM('1st Qtr'!D110,'2nd Qtr'!D110,'3rd Qtr'!D110,'4th Qtr'!D110)</f>
        <v>1752121.7</v>
      </c>
      <c r="E110" s="14">
        <f>SUM('1st Qtr'!E110, '2nd Qtr'!E110, '3rd Qtr'!E110, '4th Qtr'!E110)</f>
        <v>515924.51</v>
      </c>
      <c r="F110" s="14">
        <f t="shared" si="6"/>
        <v>1236197.19</v>
      </c>
      <c r="G110" s="15">
        <f t="shared" si="7"/>
        <v>2.3960815313852795</v>
      </c>
      <c r="H110" s="16">
        <f>SUM('1st Qtr'!H110,'2nd Qtr'!H110,'3rd Qtr'!H110,'4th Qtr'!H110)</f>
        <v>0</v>
      </c>
      <c r="I110" s="16">
        <f>SUM('1st Qtr'!I110, '2nd Qtr'!I110, '3rd Qtr'!I110, '4th Qtr'!I110)</f>
        <v>0</v>
      </c>
      <c r="J110" s="15" t="str">
        <f t="shared" si="8"/>
        <v/>
      </c>
    </row>
    <row r="111" spans="1:10" ht="15.6">
      <c r="A111" s="24" t="str">
        <v>Salt Point</v>
      </c>
      <c r="B111" s="25" t="str">
        <v>NY</v>
      </c>
      <c r="C111" s="25" t="str">
        <f>Sites[[#This Row],[SOL'#]]</f>
        <v>SOL-10888</v>
      </c>
      <c r="D111" s="20">
        <f>SUM('1st Qtr'!D111,'2nd Qtr'!D111,'3rd Qtr'!D111,'4th Qtr'!D111)</f>
        <v>3284130</v>
      </c>
      <c r="E111" s="10">
        <f>SUM('1st Qtr'!E111, '2nd Qtr'!E111, '3rd Qtr'!E111, '4th Qtr'!E111)</f>
        <v>1516140</v>
      </c>
      <c r="F111" s="10">
        <f t="shared" si="6"/>
        <v>1767990</v>
      </c>
      <c r="G111" s="11">
        <f t="shared" si="7"/>
        <v>1.1661126281214136</v>
      </c>
      <c r="H111" s="12">
        <f>SUM('1st Qtr'!H111,'2nd Qtr'!H111,'3rd Qtr'!H111,'4th Qtr'!H111)</f>
        <v>3853467.0550000002</v>
      </c>
      <c r="I111" s="12">
        <f>SUM('1st Qtr'!I111, '2nd Qtr'!I111, '3rd Qtr'!I111, '4th Qtr'!I111)</f>
        <v>-569337.05499999993</v>
      </c>
      <c r="J111" s="13">
        <f t="shared" si="8"/>
        <v>-0.147746703649968</v>
      </c>
    </row>
    <row r="112" spans="1:10" ht="15.6">
      <c r="A112" s="26" t="str">
        <v>Wheatland 2A</v>
      </c>
      <c r="B112" s="27" t="str">
        <v>NY</v>
      </c>
      <c r="C112" s="27" t="str">
        <f>Sites[[#This Row],[SOL'#]]</f>
        <v>SOL-10971</v>
      </c>
      <c r="D112" s="9">
        <f>SUM('1st Qtr'!D112,'2nd Qtr'!D112,'3rd Qtr'!D112,'4th Qtr'!D112)</f>
        <v>7373220</v>
      </c>
      <c r="E112" s="14">
        <f>SUM('1st Qtr'!E112, '2nd Qtr'!E112, '3rd Qtr'!E112, '4th Qtr'!E112)</f>
        <v>3746780</v>
      </c>
      <c r="F112" s="14">
        <f t="shared" si="6"/>
        <v>3626440</v>
      </c>
      <c r="G112" s="15">
        <f t="shared" si="7"/>
        <v>0.96788175446650193</v>
      </c>
      <c r="H112" s="16">
        <f>SUM('1st Qtr'!H112,'2nd Qtr'!H112,'3rd Qtr'!H112,'4th Qtr'!H112)</f>
        <v>8233193.9640000006</v>
      </c>
      <c r="I112" s="16">
        <f>SUM('1st Qtr'!I112, '2nd Qtr'!I112, '3rd Qtr'!I112, '4th Qtr'!I112)</f>
        <v>-859973.96400000015</v>
      </c>
      <c r="J112" s="15">
        <f t="shared" si="8"/>
        <v>-0.10445204713508194</v>
      </c>
    </row>
    <row r="113" spans="1:10" ht="15.6">
      <c r="A113" s="24" t="str">
        <v>Wheatland 2B</v>
      </c>
      <c r="B113" s="25" t="str">
        <v>NY</v>
      </c>
      <c r="C113" s="25" t="str">
        <f>Sites[[#This Row],[SOL'#]]</f>
        <v>SOL-10961</v>
      </c>
      <c r="D113" s="20">
        <f>SUM('1st Qtr'!D113,'2nd Qtr'!D113,'3rd Qtr'!D113,'4th Qtr'!D113)</f>
        <v>7826350</v>
      </c>
      <c r="E113" s="10">
        <f>SUM('1st Qtr'!E113, '2nd Qtr'!E113, '3rd Qtr'!E113, '4th Qtr'!E113)</f>
        <v>3760110</v>
      </c>
      <c r="F113" s="10">
        <f t="shared" si="6"/>
        <v>4066240</v>
      </c>
      <c r="G113" s="11">
        <f t="shared" si="7"/>
        <v>1.0814151713646676</v>
      </c>
      <c r="H113" s="12">
        <f>SUM('1st Qtr'!H113,'2nd Qtr'!H113,'3rd Qtr'!H113,'4th Qtr'!H113)</f>
        <v>8155661.2740000002</v>
      </c>
      <c r="I113" s="12">
        <f>SUM('1st Qtr'!I113, '2nd Qtr'!I113, '3rd Qtr'!I113, '4th Qtr'!I113)</f>
        <v>-329311.27400000003</v>
      </c>
      <c r="J113" s="13">
        <f t="shared" si="8"/>
        <v>-4.0378243153603541E-2</v>
      </c>
    </row>
    <row r="114" spans="1:10" ht="15.6">
      <c r="A114" s="26" t="str">
        <v>Brickchurch</v>
      </c>
      <c r="B114" s="27" t="str">
        <v>NY</v>
      </c>
      <c r="C114" s="27" t="str">
        <f>Sites[[#This Row],[SOL'#]]</f>
        <v>SOL-10889</v>
      </c>
      <c r="D114" s="9">
        <f>SUM('1st Qtr'!D114,'2nd Qtr'!D114,'3rd Qtr'!D114,'4th Qtr'!D114)</f>
        <v>1655160</v>
      </c>
      <c r="E114" s="14">
        <f>SUM('1st Qtr'!E114, '2nd Qtr'!E114, '3rd Qtr'!E114, '4th Qtr'!E114)</f>
        <v>2242581.9299999997</v>
      </c>
      <c r="F114" s="14">
        <f t="shared" si="6"/>
        <v>-587421.9299999997</v>
      </c>
      <c r="G114" s="15">
        <f t="shared" si="7"/>
        <v>-0.26194000858644206</v>
      </c>
      <c r="H114" s="16">
        <f>SUM('1st Qtr'!H114,'2nd Qtr'!H114,'3rd Qtr'!H114,'4th Qtr'!H114)</f>
        <v>3627169.5069999998</v>
      </c>
      <c r="I114" s="16">
        <f>SUM('1st Qtr'!I114, '2nd Qtr'!I114, '3rd Qtr'!I114, '4th Qtr'!I114)</f>
        <v>-1972009.507</v>
      </c>
      <c r="J114" s="15">
        <f t="shared" si="8"/>
        <v>-0.54367724011636609</v>
      </c>
    </row>
    <row r="115" spans="1:10" ht="15.6">
      <c r="A115" s="24" t="str">
        <v>McCarthy Solar</v>
      </c>
      <c r="B115" s="25" t="str">
        <v>NY</v>
      </c>
      <c r="C115" s="25" t="str">
        <f>Sites[[#This Row],[SOL'#]]</f>
        <v>SOL-10992</v>
      </c>
      <c r="D115" s="20">
        <f>SUM('1st Qtr'!D115,'2nd Qtr'!D115,'3rd Qtr'!D115,'4th Qtr'!D115)</f>
        <v>2403770</v>
      </c>
      <c r="E115" s="10">
        <f>SUM('1st Qtr'!E115, '2nd Qtr'!E115, '3rd Qtr'!E115, '4th Qtr'!E115)</f>
        <v>0</v>
      </c>
      <c r="F115" s="10">
        <f t="shared" si="6"/>
        <v>2403770</v>
      </c>
      <c r="G115" s="11" t="str">
        <f t="shared" si="7"/>
        <v/>
      </c>
      <c r="H115" s="12">
        <f>SUM('1st Qtr'!H115,'2nd Qtr'!H115,'3rd Qtr'!H115,'4th Qtr'!H115)</f>
        <v>3652247.23</v>
      </c>
      <c r="I115" s="12">
        <f>SUM('1st Qtr'!I115, '2nd Qtr'!I115, '3rd Qtr'!I115, '4th Qtr'!I115)</f>
        <v>-1248477.23</v>
      </c>
      <c r="J115" s="13">
        <f t="shared" si="8"/>
        <v>-0.34183809347430183</v>
      </c>
    </row>
    <row r="116" spans="1:10" ht="15.6">
      <c r="A116" s="26" t="str">
        <v>Costanza</v>
      </c>
      <c r="B116" s="27" t="str">
        <v>NY</v>
      </c>
      <c r="C116" s="27" t="str">
        <f>Sites[[#This Row],[SOL'#]]</f>
        <v>SOL-10907</v>
      </c>
      <c r="D116" s="9">
        <f>SUM('1st Qtr'!D116,'2nd Qtr'!D116,'3rd Qtr'!D116,'4th Qtr'!D116)</f>
        <v>3257350</v>
      </c>
      <c r="E116" s="14">
        <f>SUM('1st Qtr'!E116, '2nd Qtr'!E116, '3rd Qtr'!E116, '4th Qtr'!E116)</f>
        <v>1620325.58</v>
      </c>
      <c r="F116" s="14">
        <f t="shared" si="6"/>
        <v>1637024.42</v>
      </c>
      <c r="G116" s="15">
        <f t="shared" si="7"/>
        <v>1.0103058547035959</v>
      </c>
      <c r="H116" s="16">
        <f>SUM('1st Qtr'!H116,'2nd Qtr'!H116,'3rd Qtr'!H116,'4th Qtr'!H116)</f>
        <v>3609105.5819999999</v>
      </c>
      <c r="I116" s="16">
        <f>SUM('1st Qtr'!I116, '2nd Qtr'!I116, '3rd Qtr'!I116, '4th Qtr'!I116)</f>
        <v>-351755.58200000005</v>
      </c>
      <c r="J116" s="15">
        <f t="shared" si="8"/>
        <v>-9.7463367033189793E-2</v>
      </c>
    </row>
    <row r="117" spans="1:10" ht="15.6">
      <c r="A117" s="24" t="str">
        <v>Lockenhurst Pond</v>
      </c>
      <c r="B117" s="25" t="str">
        <v>NY</v>
      </c>
      <c r="C117" s="25" t="str">
        <f>Sites[[#This Row],[SOL'#]]</f>
        <v>SOL-11000</v>
      </c>
      <c r="D117" s="20">
        <f>SUM('1st Qtr'!D117,'2nd Qtr'!D117,'3rd Qtr'!D117,'4th Qtr'!D117)</f>
        <v>3725067</v>
      </c>
      <c r="E117" s="10">
        <f>SUM('1st Qtr'!E117, '2nd Qtr'!E117, '3rd Qtr'!E117, '4th Qtr'!E117)</f>
        <v>4045808.9780000006</v>
      </c>
      <c r="F117" s="10">
        <f t="shared" si="6"/>
        <v>-320741.97800000058</v>
      </c>
      <c r="G117" s="11">
        <f t="shared" si="7"/>
        <v>-7.9277588176828784E-2</v>
      </c>
      <c r="H117" s="12">
        <f>SUM('1st Qtr'!H117,'2nd Qtr'!H117,'3rd Qtr'!H117,'4th Qtr'!H117)</f>
        <v>3977271</v>
      </c>
      <c r="I117" s="12">
        <f>SUM('1st Qtr'!I117, '2nd Qtr'!I117, '3rd Qtr'!I117, '4th Qtr'!I117)</f>
        <v>-252204</v>
      </c>
      <c r="J117" s="13">
        <f t="shared" si="8"/>
        <v>-6.3411318967201383E-2</v>
      </c>
    </row>
    <row r="118" spans="1:10" ht="15.6">
      <c r="A118" s="26" t="str">
        <v>Drinkwater</v>
      </c>
      <c r="B118" s="27" t="str">
        <v>NY</v>
      </c>
      <c r="C118" s="27" t="str">
        <f>Sites[[#This Row],[SOL'#]]</f>
        <v>SOL-10896</v>
      </c>
      <c r="D118" s="9">
        <f>SUM('1st Qtr'!D118,'2nd Qtr'!D118,'3rd Qtr'!D118,'4th Qtr'!D118)</f>
        <v>3464690</v>
      </c>
      <c r="E118" s="14">
        <f>SUM('1st Qtr'!E118, '2nd Qtr'!E118, '3rd Qtr'!E118, '4th Qtr'!E118)</f>
        <v>1795680</v>
      </c>
      <c r="F118" s="14">
        <f t="shared" si="6"/>
        <v>1669010</v>
      </c>
      <c r="G118" s="15">
        <f t="shared" si="7"/>
        <v>0.92945847812527849</v>
      </c>
      <c r="H118" s="16">
        <f>SUM('1st Qtr'!H118,'2nd Qtr'!H118,'3rd Qtr'!H118,'4th Qtr'!H118)</f>
        <v>3613167.7120000003</v>
      </c>
      <c r="I118" s="16">
        <f>SUM('1st Qtr'!I118, '2nd Qtr'!I118, '3rd Qtr'!I118, '4th Qtr'!I118)</f>
        <v>-148477.71199999997</v>
      </c>
      <c r="J118" s="15">
        <f t="shared" si="8"/>
        <v>-4.1093501280573812E-2</v>
      </c>
    </row>
    <row r="119" spans="1:10" ht="15.6">
      <c r="A119" s="24" t="str">
        <v>Altamont</v>
      </c>
      <c r="B119" s="25" t="str">
        <v>NY</v>
      </c>
      <c r="C119" s="25" t="str">
        <f>Sites[[#This Row],[SOL'#]]</f>
        <v>SOL-11085</v>
      </c>
      <c r="D119" s="20">
        <f>SUM('1st Qtr'!D119,'2nd Qtr'!D119,'3rd Qtr'!D119,'4th Qtr'!D119)</f>
        <v>6895556</v>
      </c>
      <c r="E119" s="10">
        <f>SUM('1st Qtr'!E119, '2nd Qtr'!E119, '3rd Qtr'!E119, '4th Qtr'!E119)</f>
        <v>7523148.9730000002</v>
      </c>
      <c r="F119" s="10">
        <f t="shared" si="6"/>
        <v>-627592.97300000023</v>
      </c>
      <c r="G119" s="11">
        <f t="shared" si="7"/>
        <v>-8.3421579879965541E-2</v>
      </c>
      <c r="H119" s="12">
        <f>SUM('1st Qtr'!H119,'2nd Qtr'!H119,'3rd Qtr'!H119,'4th Qtr'!H119)</f>
        <v>6217060.6299999999</v>
      </c>
      <c r="I119" s="12">
        <f>SUM('1st Qtr'!I119, '2nd Qtr'!I119, '3rd Qtr'!I119, '4th Qtr'!I119)</f>
        <v>678495.37</v>
      </c>
      <c r="J119" s="13">
        <f t="shared" si="8"/>
        <v>0.10913443030070627</v>
      </c>
    </row>
    <row r="120" spans="1:10" ht="15.6">
      <c r="A120" s="26" t="str">
        <v>Krumkill North</v>
      </c>
      <c r="B120" s="27" t="str">
        <v>NY</v>
      </c>
      <c r="C120" s="27" t="str">
        <f>Sites[[#This Row],[SOL'#]]</f>
        <v>SOL-11086</v>
      </c>
      <c r="D120" s="9">
        <f>SUM('1st Qtr'!D120,'2nd Qtr'!D120,'3rd Qtr'!D120,'4th Qtr'!D120)</f>
        <v>6204610</v>
      </c>
      <c r="E120" s="14">
        <f>SUM('1st Qtr'!E120, '2nd Qtr'!E120, '3rd Qtr'!E120, '4th Qtr'!E120)</f>
        <v>7386957.3399999999</v>
      </c>
      <c r="F120" s="14">
        <f t="shared" si="6"/>
        <v>-1182347.3399999999</v>
      </c>
      <c r="G120" s="15">
        <f t="shared" si="7"/>
        <v>-0.16005877461856302</v>
      </c>
      <c r="H120" s="16">
        <f>SUM('1st Qtr'!H120,'2nd Qtr'!H120,'3rd Qtr'!H120,'4th Qtr'!H120)</f>
        <v>7314247.9399999995</v>
      </c>
      <c r="I120" s="16">
        <f>SUM('1st Qtr'!I120, '2nd Qtr'!I120, '3rd Qtr'!I120, '4th Qtr'!I120)</f>
        <v>-1109637.94</v>
      </c>
      <c r="J120" s="15">
        <f t="shared" si="8"/>
        <v>-0.15170909560388787</v>
      </c>
    </row>
    <row r="121" spans="1:10" ht="15.6">
      <c r="A121" s="24" t="str">
        <v>Krumkill South</v>
      </c>
      <c r="B121" s="25" t="str">
        <v>NY</v>
      </c>
      <c r="C121" s="25" t="str">
        <f>Sites[[#This Row],[SOL'#]]</f>
        <v>SOL-11087</v>
      </c>
      <c r="D121" s="20">
        <f>SUM('1st Qtr'!D121,'2nd Qtr'!D121,'3rd Qtr'!D121,'4th Qtr'!D121)</f>
        <v>5349997</v>
      </c>
      <c r="E121" s="10">
        <f>SUM('1st Qtr'!E121, '2nd Qtr'!E121, '3rd Qtr'!E121, '4th Qtr'!E121)</f>
        <v>5983593.3610000005</v>
      </c>
      <c r="F121" s="10">
        <f t="shared" si="6"/>
        <v>-633596.3610000005</v>
      </c>
      <c r="G121" s="11">
        <f t="shared" si="7"/>
        <v>-0.10588894043663948</v>
      </c>
      <c r="H121" s="12">
        <f>SUM('1st Qtr'!H121,'2nd Qtr'!H121,'3rd Qtr'!H121,'4th Qtr'!H121)</f>
        <v>5734139.5500000007</v>
      </c>
      <c r="I121" s="12">
        <f>SUM('1st Qtr'!I121, '2nd Qtr'!I121, '3rd Qtr'!I121, '4th Qtr'!I121)</f>
        <v>-384142.54999999993</v>
      </c>
      <c r="J121" s="13">
        <f t="shared" si="8"/>
        <v>-6.6992187171308004E-2</v>
      </c>
    </row>
    <row r="122" spans="1:10" ht="15.6">
      <c r="A122" s="26" t="str">
        <v>X092</v>
      </c>
      <c r="B122" s="27" t="str">
        <v>NY</v>
      </c>
      <c r="C122" s="27" t="str">
        <f>Sites[[#This Row],[SOL'#]]</f>
        <v>SOL-11189</v>
      </c>
      <c r="D122" s="9">
        <f>SUM('1st Qtr'!D122,'2nd Qtr'!D122,'3rd Qtr'!D122,'4th Qtr'!D122)</f>
        <v>150608.09999999998</v>
      </c>
      <c r="E122" s="14">
        <f>SUM('1st Qtr'!E122, '2nd Qtr'!E122, '3rd Qtr'!E122, '4th Qtr'!E122)</f>
        <v>152482.62899999999</v>
      </c>
      <c r="F122" s="14">
        <f t="shared" si="6"/>
        <v>-1874.5290000000095</v>
      </c>
      <c r="G122" s="15">
        <f t="shared" si="7"/>
        <v>-1.2293393760937908E-2</v>
      </c>
      <c r="H122" s="16">
        <f>SUM('1st Qtr'!H122,'2nd Qtr'!H122,'3rd Qtr'!H122,'4th Qtr'!H122)</f>
        <v>162103.5</v>
      </c>
      <c r="I122" s="16">
        <f>SUM('1st Qtr'!I122, '2nd Qtr'!I122, '3rd Qtr'!I122, '4th Qtr'!I122)</f>
        <v>-11495.400000000005</v>
      </c>
      <c r="J122" s="15">
        <f t="shared" si="8"/>
        <v>-7.0913953122542117E-2</v>
      </c>
    </row>
    <row r="123" spans="1:10" ht="15.6">
      <c r="A123" s="24" t="str">
        <v>X093</v>
      </c>
      <c r="B123" s="25" t="str">
        <v>NY</v>
      </c>
      <c r="C123" s="25" t="str">
        <f>Sites[[#This Row],[SOL'#]]</f>
        <v>SOL-10932</v>
      </c>
      <c r="D123" s="20">
        <f>SUM('1st Qtr'!D123,'2nd Qtr'!D123,'3rd Qtr'!D123,'4th Qtr'!D123)</f>
        <v>84760.622937499982</v>
      </c>
      <c r="E123" s="10">
        <f>SUM('1st Qtr'!E123, '2nd Qtr'!E123, '3rd Qtr'!E123, '4th Qtr'!E123)</f>
        <v>83704.904999999999</v>
      </c>
      <c r="F123" s="10">
        <f t="shared" si="6"/>
        <v>1055.7179374999832</v>
      </c>
      <c r="G123" s="11">
        <f t="shared" si="7"/>
        <v>1.2612378420356408E-2</v>
      </c>
      <c r="H123" s="12">
        <f>SUM('1st Qtr'!H123,'2nd Qtr'!H123,'3rd Qtr'!H123,'4th Qtr'!H123)</f>
        <v>113496</v>
      </c>
      <c r="I123" s="12">
        <f>SUM('1st Qtr'!I123, '2nd Qtr'!I123, '3rd Qtr'!I123, '4th Qtr'!I123)</f>
        <v>-28735.377062500018</v>
      </c>
      <c r="J123" s="13">
        <f t="shared" si="8"/>
        <v>-0.25318405108990644</v>
      </c>
    </row>
    <row r="124" spans="1:10" ht="15.6">
      <c r="A124" s="26" t="str">
        <v>X095</v>
      </c>
      <c r="B124" s="27" t="str">
        <v>NY</v>
      </c>
      <c r="C124" s="27" t="str">
        <f>Sites[[#This Row],[SOL'#]]</f>
        <v>SOL-10929</v>
      </c>
      <c r="D124" s="9">
        <f>SUM('1st Qtr'!D124,'2nd Qtr'!D124,'3rd Qtr'!D124,'4th Qtr'!D124)</f>
        <v>160315.53197713575</v>
      </c>
      <c r="E124" s="14">
        <f>SUM('1st Qtr'!E124, '2nd Qtr'!E124, '3rd Qtr'!E124, '4th Qtr'!E124)</f>
        <v>81668.077999999994</v>
      </c>
      <c r="F124" s="14">
        <f t="shared" si="6"/>
        <v>78647.453977135752</v>
      </c>
      <c r="G124" s="15">
        <f t="shared" si="7"/>
        <v>0.96301340625569465</v>
      </c>
      <c r="H124" s="16">
        <f>SUM('1st Qtr'!H124,'2nd Qtr'!H124,'3rd Qtr'!H124,'4th Qtr'!H124)</f>
        <v>154207</v>
      </c>
      <c r="I124" s="16">
        <f>SUM('1st Qtr'!I124, '2nd Qtr'!I124, '3rd Qtr'!I124, '4th Qtr'!I124)</f>
        <v>6108.5319771357572</v>
      </c>
      <c r="J124" s="15">
        <f t="shared" si="8"/>
        <v>3.9612546623277525E-2</v>
      </c>
    </row>
    <row r="125" spans="1:10" ht="15.6">
      <c r="A125" s="24" t="str">
        <v>X181</v>
      </c>
      <c r="B125" s="25" t="str">
        <v>NY</v>
      </c>
      <c r="C125" s="25" t="str">
        <f>Sites[[#This Row],[SOL'#]]</f>
        <v>SOL-10428</v>
      </c>
      <c r="D125" s="20">
        <f>SUM('1st Qtr'!D125,'2nd Qtr'!D125,'3rd Qtr'!D125,'4th Qtr'!D125)</f>
        <v>290846.37124545308</v>
      </c>
      <c r="E125" s="10">
        <f>SUM('1st Qtr'!E125, '2nd Qtr'!E125, '3rd Qtr'!E125, '4th Qtr'!E125)</f>
        <v>132217.10999999999</v>
      </c>
      <c r="F125" s="10">
        <f t="shared" si="6"/>
        <v>158629.26124545309</v>
      </c>
      <c r="G125" s="11">
        <f t="shared" si="7"/>
        <v>1.1997634893506075</v>
      </c>
      <c r="H125" s="12">
        <f>SUM('1st Qtr'!H125,'2nd Qtr'!H125,'3rd Qtr'!H125,'4th Qtr'!H125)</f>
        <v>282469</v>
      </c>
      <c r="I125" s="12">
        <f>SUM('1st Qtr'!I125, '2nd Qtr'!I125, '3rd Qtr'!I125, '4th Qtr'!I125)</f>
        <v>8377.3712454531014</v>
      </c>
      <c r="J125" s="13">
        <f t="shared" si="8"/>
        <v>2.9657665957868302E-2</v>
      </c>
    </row>
    <row r="126" spans="1:10" ht="15.6">
      <c r="A126" s="26" t="str">
        <v>X415</v>
      </c>
      <c r="B126" s="27" t="str">
        <v>NY</v>
      </c>
      <c r="C126" s="27" t="str">
        <f>Sites[[#This Row],[SOL'#]]</f>
        <v>SOL-10429</v>
      </c>
      <c r="D126" s="9">
        <f>SUM('1st Qtr'!D126,'2nd Qtr'!D126,'3rd Qtr'!D126,'4th Qtr'!D126)</f>
        <v>188259.1429922813</v>
      </c>
      <c r="E126" s="14">
        <f>SUM('1st Qtr'!E126, '2nd Qtr'!E126, '3rd Qtr'!E126, '4th Qtr'!E126)</f>
        <v>80791.025999999998</v>
      </c>
      <c r="F126" s="14">
        <f t="shared" si="6"/>
        <v>107468.1169922813</v>
      </c>
      <c r="G126" s="15">
        <f t="shared" si="7"/>
        <v>1.3301986905362646</v>
      </c>
      <c r="H126" s="16">
        <f>SUM('1st Qtr'!H126,'2nd Qtr'!H126,'3rd Qtr'!H126,'4th Qtr'!H126)</f>
        <v>163035.5</v>
      </c>
      <c r="I126" s="16">
        <f>SUM('1st Qtr'!I126, '2nd Qtr'!I126, '3rd Qtr'!I126, '4th Qtr'!I126)</f>
        <v>25223.642992281297</v>
      </c>
      <c r="J126" s="15">
        <f t="shared" si="8"/>
        <v>0.15471258095495335</v>
      </c>
    </row>
    <row r="127" spans="1:10" ht="15.6">
      <c r="A127" s="24" t="str">
        <v>K198</v>
      </c>
      <c r="B127" s="25" t="str">
        <v>NY</v>
      </c>
      <c r="C127" s="25" t="str">
        <f>Sites[[#This Row],[SOL'#]]</f>
        <v>SOL-10930</v>
      </c>
      <c r="D127" s="20">
        <f>SUM('1st Qtr'!D127,'2nd Qtr'!D127,'3rd Qtr'!D127,'4th Qtr'!D127)</f>
        <v>143076.9003574219</v>
      </c>
      <c r="E127" s="10">
        <f>SUM('1st Qtr'!E127, '2nd Qtr'!E127, '3rd Qtr'!E127, '4th Qtr'!E127)</f>
        <v>98709.53</v>
      </c>
      <c r="F127" s="10">
        <f t="shared" si="6"/>
        <v>44367.370357421896</v>
      </c>
      <c r="G127" s="11">
        <f t="shared" si="7"/>
        <v>0.44947403110339901</v>
      </c>
      <c r="H127" s="12">
        <f>SUM('1st Qtr'!H127,'2nd Qtr'!H127,'3rd Qtr'!H127,'4th Qtr'!H127)</f>
        <v>130137.5</v>
      </c>
      <c r="I127" s="12">
        <f>SUM('1st Qtr'!I127, '2nd Qtr'!I127, '3rd Qtr'!I127, '4th Qtr'!I127)</f>
        <v>12939.40035742188</v>
      </c>
      <c r="J127" s="13">
        <f t="shared" si="8"/>
        <v>9.9428683949068342E-2</v>
      </c>
    </row>
    <row r="128" spans="1:10" ht="15.6">
      <c r="A128" s="26" t="str">
        <v>K203</v>
      </c>
      <c r="B128" s="27" t="str">
        <v>NY</v>
      </c>
      <c r="C128" s="27" t="str">
        <f>Sites[[#This Row],[SOL'#]]</f>
        <v>SOL-11190</v>
      </c>
      <c r="D128" s="9">
        <f>SUM('1st Qtr'!D128,'2nd Qtr'!D128,'3rd Qtr'!D128,'4th Qtr'!D128)</f>
        <v>161091.29999999999</v>
      </c>
      <c r="E128" s="14">
        <f>SUM('1st Qtr'!E128, '2nd Qtr'!E128, '3rd Qtr'!E128, '4th Qtr'!E128)</f>
        <v>132722.20699999999</v>
      </c>
      <c r="F128" s="14">
        <f t="shared" si="6"/>
        <v>28369.092999999993</v>
      </c>
      <c r="G128" s="15">
        <f t="shared" si="7"/>
        <v>0.21374789977686248</v>
      </c>
      <c r="H128" s="16">
        <f>SUM('1st Qtr'!H128,'2nd Qtr'!H128,'3rd Qtr'!H128,'4th Qtr'!H128)</f>
        <v>158849.5</v>
      </c>
      <c r="I128" s="16">
        <f>SUM('1st Qtr'!I128, '2nd Qtr'!I128, '3rd Qtr'!I128, '4th Qtr'!I128)</f>
        <v>2241.7999999999884</v>
      </c>
      <c r="J128" s="15">
        <f t="shared" si="8"/>
        <v>1.4112729344442307E-2</v>
      </c>
    </row>
    <row r="129" spans="1:10" ht="15.6">
      <c r="A129" s="24" t="str">
        <v>K213</v>
      </c>
      <c r="B129" s="25" t="str">
        <v>NY</v>
      </c>
      <c r="C129" s="25" t="str">
        <f>Sites[[#This Row],[SOL'#]]</f>
        <v>SOL-11191</v>
      </c>
      <c r="D129" s="20">
        <f>SUM('1st Qtr'!D129,'2nd Qtr'!D129,'3rd Qtr'!D129,'4th Qtr'!D129)</f>
        <v>179666.70000000004</v>
      </c>
      <c r="E129" s="10">
        <f>SUM('1st Qtr'!E129, '2nd Qtr'!E129, '3rd Qtr'!E129, '4th Qtr'!E129)</f>
        <v>197338.86200000002</v>
      </c>
      <c r="F129" s="10">
        <f t="shared" si="6"/>
        <v>-17672.161999999982</v>
      </c>
      <c r="G129" s="11">
        <f t="shared" si="7"/>
        <v>-8.9552366021042426E-2</v>
      </c>
      <c r="H129" s="12">
        <f>SUM('1st Qtr'!H129,'2nd Qtr'!H129,'3rd Qtr'!H129,'4th Qtr'!H129)</f>
        <v>185790.5</v>
      </c>
      <c r="I129" s="12">
        <f>SUM('1st Qtr'!I129, '2nd Qtr'!I129, '3rd Qtr'!I129, '4th Qtr'!I129)</f>
        <v>-6123.7999999999793</v>
      </c>
      <c r="J129" s="13">
        <f t="shared" si="8"/>
        <v>-3.2960781094835197E-2</v>
      </c>
    </row>
    <row r="130" spans="1:10" ht="15.6">
      <c r="A130" s="26" t="str">
        <v>K217</v>
      </c>
      <c r="B130" s="27" t="str">
        <v>NY</v>
      </c>
      <c r="C130" s="27" t="str">
        <f>Sites[[#This Row],[SOL'#]]</f>
        <v>SOL-10933</v>
      </c>
      <c r="D130" s="9">
        <f>SUM('1st Qtr'!D130,'2nd Qtr'!D130,'3rd Qtr'!D130,'4th Qtr'!D130)</f>
        <v>106987.90692580087</v>
      </c>
      <c r="E130" s="14">
        <f>SUM('1st Qtr'!E130, '2nd Qtr'!E130, '3rd Qtr'!E130, '4th Qtr'!E130)</f>
        <v>51546.751999999993</v>
      </c>
      <c r="F130" s="14">
        <f t="shared" si="6"/>
        <v>55441.154925800874</v>
      </c>
      <c r="G130" s="15">
        <f t="shared" si="7"/>
        <v>1.0755508887504859</v>
      </c>
      <c r="H130" s="16">
        <f>SUM('1st Qtr'!H130,'2nd Qtr'!H130,'3rd Qtr'!H130,'4th Qtr'!H130)</f>
        <v>98717.5</v>
      </c>
      <c r="I130" s="16">
        <f>SUM('1st Qtr'!I130, '2nd Qtr'!I130, '3rd Qtr'!I130, '4th Qtr'!I130)</f>
        <v>8270.4069258008712</v>
      </c>
      <c r="J130" s="15">
        <f t="shared" si="8"/>
        <v>8.377852889103625E-2</v>
      </c>
    </row>
    <row r="131" spans="1:10" ht="15.6">
      <c r="A131" s="24" t="str">
        <v>K307</v>
      </c>
      <c r="B131" s="25" t="str">
        <v>NY</v>
      </c>
      <c r="C131" s="25" t="str">
        <f>Sites[[#This Row],[SOL'#]]</f>
        <v>SOL-10876</v>
      </c>
      <c r="D131" s="20">
        <f>SUM('1st Qtr'!D131,'2nd Qtr'!D131,'3rd Qtr'!D131,'4th Qtr'!D131)</f>
        <v>226200.20662745851</v>
      </c>
      <c r="E131" s="10">
        <f>SUM('1st Qtr'!E131, '2nd Qtr'!E131, '3rd Qtr'!E131, '4th Qtr'!E131)</f>
        <v>124066.122</v>
      </c>
      <c r="F131" s="10">
        <f t="shared" si="6"/>
        <v>102134.08462745851</v>
      </c>
      <c r="G131" s="11">
        <f t="shared" si="7"/>
        <v>0.8232229957784809</v>
      </c>
      <c r="H131" s="12">
        <f>SUM('1st Qtr'!H131,'2nd Qtr'!H131,'3rd Qtr'!H131,'4th Qtr'!H131)</f>
        <v>205473</v>
      </c>
      <c r="I131" s="12">
        <f>SUM('1st Qtr'!I131, '2nd Qtr'!I131, '3rd Qtr'!I131, '4th Qtr'!I131)</f>
        <v>20727.206627458498</v>
      </c>
      <c r="J131" s="13">
        <f t="shared" si="8"/>
        <v>0.1008755730799594</v>
      </c>
    </row>
    <row r="132" spans="1:10" ht="15.6">
      <c r="A132" s="26" t="str">
        <v>K610</v>
      </c>
      <c r="B132" s="27" t="str">
        <v>NY</v>
      </c>
      <c r="C132" s="27" t="str">
        <f>Sites[[#This Row],[SOL'#]]</f>
        <v>SOL-11158</v>
      </c>
      <c r="D132" s="9">
        <f>SUM('1st Qtr'!D132,'2nd Qtr'!D132,'3rd Qtr'!D132,'4th Qtr'!D132)</f>
        <v>212625.9</v>
      </c>
      <c r="E132" s="14">
        <f>SUM('1st Qtr'!E132, '2nd Qtr'!E132, '3rd Qtr'!E132, '4th Qtr'!E132)</f>
        <v>237779.842</v>
      </c>
      <c r="F132" s="14">
        <f t="shared" si="6"/>
        <v>-25153.94200000001</v>
      </c>
      <c r="G132" s="15">
        <f t="shared" si="7"/>
        <v>-0.10578668817519027</v>
      </c>
      <c r="H132" s="16">
        <f>SUM('1st Qtr'!H132,'2nd Qtr'!H132,'3rd Qtr'!H132,'4th Qtr'!H132)</f>
        <v>246316</v>
      </c>
      <c r="I132" s="16">
        <f>SUM('1st Qtr'!I132, '2nd Qtr'!I132, '3rd Qtr'!I132, '4th Qtr'!I132)</f>
        <v>-33690.100000000006</v>
      </c>
      <c r="J132" s="15">
        <f t="shared" si="8"/>
        <v>-0.13677593010604266</v>
      </c>
    </row>
    <row r="133" spans="1:10" ht="15.6">
      <c r="A133" s="24" t="str">
        <v>M025</v>
      </c>
      <c r="B133" s="25" t="str">
        <v>NY</v>
      </c>
      <c r="C133" s="25" t="str">
        <f>Sites[[#This Row],[SOL'#]]</f>
        <v>SOL-10392</v>
      </c>
      <c r="D133" s="20">
        <f>SUM('1st Qtr'!D133,'2nd Qtr'!D133,'3rd Qtr'!D133,'4th Qtr'!D133)</f>
        <v>152333.72289112501</v>
      </c>
      <c r="E133" s="10">
        <f>SUM('1st Qtr'!E133, '2nd Qtr'!E133, '3rd Qtr'!E133, '4th Qtr'!E133)</f>
        <v>174707.663</v>
      </c>
      <c r="F133" s="10">
        <f t="shared" si="6"/>
        <v>-22373.940108874987</v>
      </c>
      <c r="G133" s="11">
        <f t="shared" si="7"/>
        <v>-0.12806501858407315</v>
      </c>
      <c r="H133" s="12">
        <f>SUM('1st Qtr'!H133,'2nd Qtr'!H133,'3rd Qtr'!H133,'4th Qtr'!H133)</f>
        <v>216277.5</v>
      </c>
      <c r="I133" s="12">
        <f>SUM('1st Qtr'!I133, '2nd Qtr'!I133, '3rd Qtr'!I133, '4th Qtr'!I133)</f>
        <v>-63943.777108875001</v>
      </c>
      <c r="J133" s="13">
        <f t="shared" si="8"/>
        <v>-0.29565616908312237</v>
      </c>
    </row>
    <row r="134" spans="1:10" ht="15.6">
      <c r="A134" s="26" t="str">
        <v>M028</v>
      </c>
      <c r="B134" s="27" t="str">
        <v>NY</v>
      </c>
      <c r="C134" s="27" t="str">
        <f>Sites[[#This Row],[SOL'#]]</f>
        <v>SOL-10381</v>
      </c>
      <c r="D134" s="9">
        <f>SUM('1st Qtr'!D134,'2nd Qtr'!D134,'3rd Qtr'!D134,'4th Qtr'!D134)</f>
        <v>177275.8807757656</v>
      </c>
      <c r="E134" s="14">
        <f>SUM('1st Qtr'!E134, '2nd Qtr'!E134, '3rd Qtr'!E134, '4th Qtr'!E134)</f>
        <v>125183.34400000001</v>
      </c>
      <c r="F134" s="14">
        <f t="shared" si="6"/>
        <v>52092.536775765591</v>
      </c>
      <c r="G134" s="15">
        <f t="shared" si="7"/>
        <v>0.41612993479200866</v>
      </c>
      <c r="H134" s="16">
        <f>SUM('1st Qtr'!H134,'2nd Qtr'!H134,'3rd Qtr'!H134,'4th Qtr'!H134)</f>
        <v>164046.5</v>
      </c>
      <c r="I134" s="16">
        <f>SUM('1st Qtr'!I134, '2nd Qtr'!I134, '3rd Qtr'!I134, '4th Qtr'!I134)</f>
        <v>13229.3807757656</v>
      </c>
      <c r="J134" s="15">
        <f t="shared" si="8"/>
        <v>8.0644090399768359E-2</v>
      </c>
    </row>
    <row r="135" spans="1:10" ht="15.6">
      <c r="A135" s="24" t="str">
        <v>Q030</v>
      </c>
      <c r="B135" s="25" t="str">
        <v>NY</v>
      </c>
      <c r="C135" s="25" t="str">
        <f>Sites[[#This Row],[SOL'#]]</f>
        <v>SOL-10878</v>
      </c>
      <c r="D135" s="20">
        <f>SUM('1st Qtr'!D135,'2nd Qtr'!D135,'3rd Qtr'!D135,'4th Qtr'!D135)</f>
        <v>221950.70548375</v>
      </c>
      <c r="E135" s="10">
        <f>SUM('1st Qtr'!E135, '2nd Qtr'!E135, '3rd Qtr'!E135, '4th Qtr'!E135)</f>
        <v>105856.095</v>
      </c>
      <c r="F135" s="10">
        <f t="shared" si="6"/>
        <v>116094.61048375</v>
      </c>
      <c r="G135" s="11">
        <f t="shared" si="7"/>
        <v>1.0967210767008739</v>
      </c>
      <c r="H135" s="12">
        <f>SUM('1st Qtr'!H135,'2nd Qtr'!H135,'3rd Qtr'!H135,'4th Qtr'!H135)</f>
        <v>199005</v>
      </c>
      <c r="I135" s="12">
        <f>SUM('1st Qtr'!I135, '2nd Qtr'!I135, '3rd Qtr'!I135, '4th Qtr'!I135)</f>
        <v>22945.70548375</v>
      </c>
      <c r="J135" s="13">
        <f t="shared" si="8"/>
        <v>0.11530215564307429</v>
      </c>
    </row>
    <row r="136" spans="1:10" ht="15.6">
      <c r="A136" s="26" t="str">
        <v>Q130</v>
      </c>
      <c r="B136" s="27" t="str">
        <v>NY</v>
      </c>
      <c r="C136" s="27" t="str">
        <f>Sites[[#This Row],[SOL'#]]</f>
        <v>SOL-10877</v>
      </c>
      <c r="D136" s="9">
        <f>SUM('1st Qtr'!D136,'2nd Qtr'!D136,'3rd Qtr'!D136,'4th Qtr'!D136)</f>
        <v>122351.88403387496</v>
      </c>
      <c r="E136" s="14">
        <f>SUM('1st Qtr'!E136, '2nd Qtr'!E136, '3rd Qtr'!E136, '4th Qtr'!E136)</f>
        <v>57772.266000000003</v>
      </c>
      <c r="F136" s="14">
        <f t="shared" si="6"/>
        <v>64579.618033874955</v>
      </c>
      <c r="G136" s="15">
        <f t="shared" si="7"/>
        <v>1.1178307950371023</v>
      </c>
      <c r="H136" s="16">
        <f>SUM('1st Qtr'!H136,'2nd Qtr'!H136,'3rd Qtr'!H136,'4th Qtr'!H136)</f>
        <v>112193.38500000001</v>
      </c>
      <c r="I136" s="16">
        <f>SUM('1st Qtr'!I136, '2nd Qtr'!I136, '3rd Qtr'!I136, '4th Qtr'!I136)</f>
        <v>10158.49903387497</v>
      </c>
      <c r="J136" s="15">
        <f t="shared" si="8"/>
        <v>9.0544545330145526E-2</v>
      </c>
    </row>
    <row r="137" spans="1:10" ht="15.6">
      <c r="A137" s="24" t="str">
        <v>Q196</v>
      </c>
      <c r="B137" s="25" t="str">
        <v>NY</v>
      </c>
      <c r="C137" s="25" t="str">
        <f>Sites[[#This Row],[SOL'#]]</f>
        <v>SOL-10879</v>
      </c>
      <c r="D137" s="20">
        <f>SUM('1st Qtr'!D137,'2nd Qtr'!D137,'3rd Qtr'!D137,'4th Qtr'!D137)</f>
        <v>158132.3066129348</v>
      </c>
      <c r="E137" s="10">
        <f>SUM('1st Qtr'!E137, '2nd Qtr'!E137, '3rd Qtr'!E137, '4th Qtr'!E137)</f>
        <v>80751.396999999997</v>
      </c>
      <c r="F137" s="10">
        <f t="shared" si="6"/>
        <v>77380.909612934804</v>
      </c>
      <c r="G137" s="11">
        <f t="shared" si="7"/>
        <v>0.95826094021549624</v>
      </c>
      <c r="H137" s="12">
        <f>SUM('1st Qtr'!H137,'2nd Qtr'!H137,'3rd Qtr'!H137,'4th Qtr'!H137)</f>
        <v>145750</v>
      </c>
      <c r="I137" s="12">
        <f>SUM('1st Qtr'!I137, '2nd Qtr'!I137, '3rd Qtr'!I137, '4th Qtr'!I137)</f>
        <v>9146.3466129347999</v>
      </c>
      <c r="J137" s="13">
        <f t="shared" si="8"/>
        <v>6.2753664582743049E-2</v>
      </c>
    </row>
    <row r="138" spans="1:10" ht="15.6">
      <c r="A138" s="26" t="str">
        <v>Q220</v>
      </c>
      <c r="B138" s="27" t="str">
        <v>NY</v>
      </c>
      <c r="C138" s="27" t="str">
        <f>Sites[[#This Row],[SOL'#]]</f>
        <v>SOL-10873</v>
      </c>
      <c r="D138" s="9">
        <f>SUM('1st Qtr'!D138,'2nd Qtr'!D138,'3rd Qtr'!D138,'4th Qtr'!D138)</f>
        <v>187054.7105135156</v>
      </c>
      <c r="E138" s="14">
        <f>SUM('1st Qtr'!E138, '2nd Qtr'!E138, '3rd Qtr'!E138, '4th Qtr'!E138)</f>
        <v>106899.62300000001</v>
      </c>
      <c r="F138" s="14">
        <f t="shared" si="6"/>
        <v>80155.087513515595</v>
      </c>
      <c r="G138" s="15">
        <f t="shared" si="7"/>
        <v>0.74981637225713682</v>
      </c>
      <c r="H138" s="16">
        <f>SUM('1st Qtr'!H138,'2nd Qtr'!H138,'3rd Qtr'!H138,'4th Qtr'!H138)</f>
        <v>166224</v>
      </c>
      <c r="I138" s="16">
        <f>SUM('1st Qtr'!I138, '2nd Qtr'!I138, '3rd Qtr'!I138, '4th Qtr'!I138)</f>
        <v>14361.509513515601</v>
      </c>
      <c r="J138" s="15">
        <f t="shared" si="8"/>
        <v>8.6398531580972673E-2</v>
      </c>
    </row>
    <row r="139" spans="1:10" ht="15.6">
      <c r="A139" s="24" t="str">
        <v>Q205</v>
      </c>
      <c r="B139" s="25" t="str">
        <v>NY</v>
      </c>
      <c r="C139" s="25" t="str">
        <f>Sites[[#This Row],[SOL'#]]</f>
        <v>SOL-10922</v>
      </c>
      <c r="D139" s="20">
        <f>SUM('1st Qtr'!D139,'2nd Qtr'!D139,'3rd Qtr'!D139,'4th Qtr'!D139)</f>
        <v>202151.26146875002</v>
      </c>
      <c r="E139" s="10">
        <f>SUM('1st Qtr'!E139, '2nd Qtr'!E139, '3rd Qtr'!E139, '4th Qtr'!E139)</f>
        <v>244844.52300000002</v>
      </c>
      <c r="F139" s="10">
        <f t="shared" si="6"/>
        <v>-42693.261531249998</v>
      </c>
      <c r="G139" s="11">
        <f t="shared" si="7"/>
        <v>-0.17436886481324312</v>
      </c>
      <c r="H139" s="12">
        <f>SUM('1st Qtr'!H139,'2nd Qtr'!H139,'3rd Qtr'!H139,'4th Qtr'!H139)</f>
        <v>202274</v>
      </c>
      <c r="I139" s="12">
        <f>SUM('1st Qtr'!I139, '2nd Qtr'!I139, '3rd Qtr'!I139, '4th Qtr'!I139)</f>
        <v>-122.73853125000096</v>
      </c>
      <c r="J139" s="13">
        <f t="shared" si="8"/>
        <v>-6.0679341512008935E-4</v>
      </c>
    </row>
    <row r="140" spans="1:10" ht="15.6">
      <c r="A140" s="26" t="str">
        <v>Q400</v>
      </c>
      <c r="B140" s="27" t="str">
        <v>NY</v>
      </c>
      <c r="C140" s="27" t="str">
        <f>Sites[[#This Row],[SOL'#]]</f>
        <v>SOL-10871</v>
      </c>
      <c r="D140" s="9">
        <f>SUM('1st Qtr'!D140,'2nd Qtr'!D140,'3rd Qtr'!D140,'4th Qtr'!D140)</f>
        <v>239001.21056325</v>
      </c>
      <c r="E140" s="14">
        <f>SUM('1st Qtr'!E140, '2nd Qtr'!E140, '3rd Qtr'!E140, '4th Qtr'!E140)</f>
        <v>0</v>
      </c>
      <c r="F140" s="14">
        <f t="shared" si="6"/>
        <v>239001.21056325</v>
      </c>
      <c r="G140" s="15" t="str">
        <f t="shared" si="7"/>
        <v/>
      </c>
      <c r="H140" s="16">
        <f>SUM('1st Qtr'!H140,'2nd Qtr'!H140,'3rd Qtr'!H140,'4th Qtr'!H140)</f>
        <v>323689</v>
      </c>
      <c r="I140" s="16">
        <f>SUM('1st Qtr'!I140, '2nd Qtr'!I140, '3rd Qtr'!I140, '4th Qtr'!I140)</f>
        <v>-84687.789436749998</v>
      </c>
      <c r="J140" s="15">
        <f t="shared" si="8"/>
        <v>-0.26163320173608001</v>
      </c>
    </row>
    <row r="141" spans="1:10" ht="15.6">
      <c r="A141" s="24" t="str">
        <v>R003</v>
      </c>
      <c r="B141" s="25" t="str">
        <v>NY</v>
      </c>
      <c r="C141" s="25" t="str">
        <f>Sites[[#This Row],[SOL'#]]</f>
        <v>SOL-10416</v>
      </c>
      <c r="D141" s="20">
        <f>SUM('1st Qtr'!D141,'2nd Qtr'!D141,'3rd Qtr'!D141,'4th Qtr'!D141)</f>
        <v>307994.79690110683</v>
      </c>
      <c r="E141" s="10">
        <f>SUM('1st Qtr'!E141, '2nd Qtr'!E141, '3rd Qtr'!E141, '4th Qtr'!E141)</f>
        <v>190254.15700000001</v>
      </c>
      <c r="F141" s="10">
        <f t="shared" si="6"/>
        <v>117740.63990110683</v>
      </c>
      <c r="G141" s="11">
        <f t="shared" si="7"/>
        <v>0.61885974928320131</v>
      </c>
      <c r="H141" s="12">
        <f>SUM('1st Qtr'!H141,'2nd Qtr'!H141,'3rd Qtr'!H141,'4th Qtr'!H141)</f>
        <v>302323</v>
      </c>
      <c r="I141" s="12">
        <f>SUM('1st Qtr'!I141, '2nd Qtr'!I141, '3rd Qtr'!I141, '4th Qtr'!I141)</f>
        <v>-14984.835908893103</v>
      </c>
      <c r="J141" s="13">
        <f t="shared" si="8"/>
        <v>-4.9565649682270625E-2</v>
      </c>
    </row>
    <row r="142" spans="1:10" ht="15.6">
      <c r="A142" s="26" t="str">
        <v>R007</v>
      </c>
      <c r="B142" s="27" t="str">
        <v>NY</v>
      </c>
      <c r="C142" s="27" t="str">
        <f>Sites[[#This Row],[SOL'#]]</f>
        <v>SOL-10417</v>
      </c>
      <c r="D142" s="9">
        <f>SUM('1st Qtr'!D142,'2nd Qtr'!D142,'3rd Qtr'!D142,'4th Qtr'!D142)</f>
        <v>354892.654155</v>
      </c>
      <c r="E142" s="14">
        <f>SUM('1st Qtr'!E142, '2nd Qtr'!E142, '3rd Qtr'!E142, '4th Qtr'!E142)</f>
        <v>252535.356</v>
      </c>
      <c r="F142" s="14">
        <f t="shared" si="6"/>
        <v>102357.298155</v>
      </c>
      <c r="G142" s="15">
        <f t="shared" si="7"/>
        <v>0.40531868399053</v>
      </c>
      <c r="H142" s="16">
        <f>SUM('1st Qtr'!H142,'2nd Qtr'!H142,'3rd Qtr'!H142,'4th Qtr'!H142)</f>
        <v>337921.39699999994</v>
      </c>
      <c r="I142" s="16">
        <f>SUM('1st Qtr'!I142, '2nd Qtr'!I142, '3rd Qtr'!I142, '4th Qtr'!I142)</f>
        <v>16971.257155000003</v>
      </c>
      <c r="J142" s="15">
        <f t="shared" si="8"/>
        <v>5.0222499390886473E-2</v>
      </c>
    </row>
    <row r="143" spans="1:10" ht="15.6">
      <c r="A143" s="24" t="str">
        <v>BK16</v>
      </c>
      <c r="B143" s="25" t="str">
        <v>NY</v>
      </c>
      <c r="C143" s="25" t="str">
        <f>Sites[[#This Row],[SOL'#]]</f>
        <v>SOL-11093</v>
      </c>
      <c r="D143" s="20">
        <f>SUM('1st Qtr'!D143,'2nd Qtr'!D143,'3rd Qtr'!D143,'4th Qtr'!D143)</f>
        <v>357517.82679640863</v>
      </c>
      <c r="E143" s="10">
        <f>SUM('1st Qtr'!E143, '2nd Qtr'!E143, '3rd Qtr'!E143, '4th Qtr'!E143)</f>
        <v>172814.01200000002</v>
      </c>
      <c r="F143" s="10">
        <f t="shared" si="6"/>
        <v>184703.81479640861</v>
      </c>
      <c r="G143" s="11">
        <f t="shared" si="7"/>
        <v>1.0688011502007637</v>
      </c>
      <c r="H143" s="12">
        <f>SUM('1st Qtr'!H143,'2nd Qtr'!H143,'3rd Qtr'!H143,'4th Qtr'!H143)</f>
        <v>322272</v>
      </c>
      <c r="I143" s="12">
        <f>SUM('1st Qtr'!I143, '2nd Qtr'!I143, '3rd Qtr'!I143, '4th Qtr'!I143)</f>
        <v>35245.826796408604</v>
      </c>
      <c r="J143" s="13">
        <f t="shared" si="8"/>
        <v>0.10936670513233729</v>
      </c>
    </row>
    <row r="144" spans="1:10" ht="15.6">
      <c r="A144" s="26" t="str">
        <v>Trenton - Trenton East</v>
      </c>
      <c r="B144" s="27" t="str">
        <v>IL</v>
      </c>
      <c r="C144" s="27" t="str">
        <f>Sites[[#This Row],[SOL'#]]</f>
        <v>SOL-11060</v>
      </c>
      <c r="D144" s="9">
        <f>SUM('1st Qtr'!D144,'2nd Qtr'!D144,'3rd Qtr'!D144,'4th Qtr'!D144)</f>
        <v>3243630.4997652881</v>
      </c>
      <c r="E144" s="14">
        <f>SUM('1st Qtr'!E144, '2nd Qtr'!E144, '3rd Qtr'!E144, '4th Qtr'!E144)</f>
        <v>3401896.2919999999</v>
      </c>
      <c r="F144" s="14">
        <f t="shared" si="6"/>
        <v>-158265.79223471181</v>
      </c>
      <c r="G144" s="15">
        <f t="shared" si="7"/>
        <v>-4.6522815115467908E-2</v>
      </c>
      <c r="H144" s="16">
        <f>SUM('1st Qtr'!H144,'2nd Qtr'!H144,'3rd Qtr'!H144,'4th Qtr'!H144)</f>
        <v>4108020</v>
      </c>
      <c r="I144" s="16">
        <f>SUM('1st Qtr'!I144, '2nd Qtr'!I144, '3rd Qtr'!I144, '4th Qtr'!I144)</f>
        <v>-834904.50023471203</v>
      </c>
      <c r="J144" s="15">
        <f t="shared" si="8"/>
        <v>-0.20323769120761634</v>
      </c>
    </row>
    <row r="145" spans="1:10" ht="15.6">
      <c r="A145" s="24" t="str">
        <v>Trenton - Trenton West</v>
      </c>
      <c r="B145" s="25" t="str">
        <v>IL</v>
      </c>
      <c r="C145" s="25" t="str">
        <f>Sites[[#This Row],[SOL'#]]</f>
        <v>SOL-11061</v>
      </c>
      <c r="D145" s="20">
        <f>SUM('1st Qtr'!D145,'2nd Qtr'!D145,'3rd Qtr'!D145,'4th Qtr'!D145)</f>
        <v>2155891.0524417302</v>
      </c>
      <c r="E145" s="10">
        <f>SUM('1st Qtr'!E145, '2nd Qtr'!E145, '3rd Qtr'!E145, '4th Qtr'!E145)</f>
        <v>2658316.378</v>
      </c>
      <c r="F145" s="10">
        <f t="shared" si="6"/>
        <v>-502425.32555826986</v>
      </c>
      <c r="G145" s="11">
        <f t="shared" si="7"/>
        <v>-0.18900132795189431</v>
      </c>
      <c r="H145" s="12">
        <f>SUM('1st Qtr'!H145,'2nd Qtr'!H145,'3rd Qtr'!H145,'4th Qtr'!H145)</f>
        <v>4129231.5039999997</v>
      </c>
      <c r="I145" s="12">
        <f>SUM('1st Qtr'!I145, '2nd Qtr'!I145, '3rd Qtr'!I145, '4th Qtr'!I145)</f>
        <v>-1973340.45155827</v>
      </c>
      <c r="J145" s="13">
        <f t="shared" si="8"/>
        <v>-0.47789532983236443</v>
      </c>
    </row>
    <row r="146" spans="1:10" ht="15.6">
      <c r="A146" s="26" t="str">
        <v>Dakota - Dakota Solar 1</v>
      </c>
      <c r="B146" s="27" t="str">
        <v>IL</v>
      </c>
      <c r="C146" s="27" t="str">
        <f>Sites[[#This Row],[SOL'#]]</f>
        <v>SOL-11113</v>
      </c>
      <c r="D146" s="9">
        <f>SUM('1st Qtr'!D146,'2nd Qtr'!D146,'3rd Qtr'!D146,'4th Qtr'!D146)</f>
        <v>4350872</v>
      </c>
      <c r="E146" s="14">
        <f>SUM('1st Qtr'!E146, '2nd Qtr'!E146, '3rd Qtr'!E146, '4th Qtr'!E146)</f>
        <v>4620696.0279999999</v>
      </c>
      <c r="F146" s="14">
        <f t="shared" si="6"/>
        <v>-269824.02799999993</v>
      </c>
      <c r="G146" s="15">
        <f t="shared" si="7"/>
        <v>-5.8394671790775489E-2</v>
      </c>
      <c r="H146" s="16">
        <f>SUM('1st Qtr'!H146,'2nd Qtr'!H146,'3rd Qtr'!H146,'4th Qtr'!H146)</f>
        <v>1597839</v>
      </c>
      <c r="I146" s="16">
        <f>SUM('1st Qtr'!I146, '2nd Qtr'!I146, '3rd Qtr'!I146, '4th Qtr'!I146)</f>
        <v>2348574</v>
      </c>
      <c r="J146" s="15">
        <f t="shared" si="8"/>
        <v>1.4698439579957681</v>
      </c>
    </row>
    <row r="147" spans="1:10" ht="15.6">
      <c r="A147" s="24" t="str">
        <v>X018</v>
      </c>
      <c r="B147" s="25" t="str">
        <v>NY</v>
      </c>
      <c r="C147" s="25" t="str">
        <f>Sites[[#This Row],[SOL'#]]</f>
        <v>SOL-10418</v>
      </c>
      <c r="D147" s="20">
        <f>SUM('1st Qtr'!D147,'2nd Qtr'!D147,'3rd Qtr'!D147,'4th Qtr'!D147)</f>
        <v>148914.34174999999</v>
      </c>
      <c r="E147" s="10">
        <f>SUM('1st Qtr'!E147, '2nd Qtr'!E147, '3rd Qtr'!E147, '4th Qtr'!E147)</f>
        <v>136445.31</v>
      </c>
      <c r="F147" s="10">
        <f t="shared" si="6"/>
        <v>12469.031749999995</v>
      </c>
      <c r="G147" s="11">
        <f t="shared" si="7"/>
        <v>9.1384832135307514E-2</v>
      </c>
      <c r="H147" s="12">
        <f>SUM('1st Qtr'!H147,'2nd Qtr'!H147,'3rd Qtr'!H147,'4th Qtr'!H147)</f>
        <v>166444.5</v>
      </c>
      <c r="I147" s="12">
        <f>SUM('1st Qtr'!I147, '2nd Qtr'!I147, '3rd Qtr'!I147, '4th Qtr'!I147)</f>
        <v>-17530.15825</v>
      </c>
      <c r="J147" s="13">
        <f t="shared" si="8"/>
        <v>-0.10532134285001908</v>
      </c>
    </row>
    <row r="148" spans="1:10" ht="15.6">
      <c r="A148" s="26" t="str">
        <v>Janiak Solar</v>
      </c>
      <c r="B148" s="27" t="str">
        <v>NY</v>
      </c>
      <c r="C148" s="27" t="str">
        <f>Sites[[#This Row],[SOL'#]]</f>
        <v>SOL-10898</v>
      </c>
      <c r="D148" s="9">
        <f>SUM('1st Qtr'!D148,'2nd Qtr'!D148,'3rd Qtr'!D148,'4th Qtr'!D148)</f>
        <v>3347752.6440170314</v>
      </c>
      <c r="E148" s="14">
        <f>SUM('1st Qtr'!E148, '2nd Qtr'!E148, '3rd Qtr'!E148, '4th Qtr'!E148)</f>
        <v>3646298.2209999999</v>
      </c>
      <c r="F148" s="14">
        <f t="shared" si="6"/>
        <v>-298545.57698296849</v>
      </c>
      <c r="G148" s="15">
        <f t="shared" si="7"/>
        <v>-8.1876346609162473E-2</v>
      </c>
      <c r="H148" s="16">
        <f>SUM('1st Qtr'!H148,'2nd Qtr'!H148,'3rd Qtr'!H148,'4th Qtr'!H148)</f>
        <v>3720499.0690000001</v>
      </c>
      <c r="I148" s="16">
        <f>SUM('1st Qtr'!I148, '2nd Qtr'!I148, '3rd Qtr'!I148, '4th Qtr'!I148)</f>
        <v>-372746.42498296901</v>
      </c>
      <c r="J148" s="15">
        <f t="shared" si="8"/>
        <v>-0.1001872109279028</v>
      </c>
    </row>
    <row r="149" spans="1:10" ht="15.6">
      <c r="A149" s="24" t="str">
        <v>County Route 11B</v>
      </c>
      <c r="B149" s="25" t="str">
        <v>NY</v>
      </c>
      <c r="C149" s="25" t="str">
        <f>Sites[[#This Row],[SOL'#]]</f>
        <v>SOL-10983</v>
      </c>
      <c r="D149" s="20">
        <f>SUM('1st Qtr'!D149,'2nd Qtr'!D149,'3rd Qtr'!D149,'4th Qtr'!D149)</f>
        <v>8023259.7599999998</v>
      </c>
      <c r="E149" s="10">
        <f>SUM('1st Qtr'!E149, '2nd Qtr'!E149, '3rd Qtr'!E149, '4th Qtr'!E149)</f>
        <v>5008998.2699999996</v>
      </c>
      <c r="F149" s="10">
        <f t="shared" si="6"/>
        <v>3014261.49</v>
      </c>
      <c r="G149" s="11">
        <f t="shared" si="7"/>
        <v>0.60176932143360484</v>
      </c>
      <c r="H149" s="12">
        <f>SUM('1st Qtr'!H149,'2nd Qtr'!H149,'3rd Qtr'!H149,'4th Qtr'!H149)</f>
        <v>0</v>
      </c>
      <c r="I149" s="12">
        <f>SUM('1st Qtr'!I149, '2nd Qtr'!I149, '3rd Qtr'!I149, '4th Qtr'!I149)</f>
        <v>1581049</v>
      </c>
      <c r="J149" s="13" t="str">
        <f t="shared" si="8"/>
        <v/>
      </c>
    </row>
    <row r="150" spans="1:10" ht="15.6">
      <c r="A150" s="26" t="str">
        <v>Barone</v>
      </c>
      <c r="B150" s="27" t="str">
        <v>NY</v>
      </c>
      <c r="C150" s="27" t="str">
        <f>Sites[[#This Row],[SOL'#]]</f>
        <v>SOL-11034</v>
      </c>
      <c r="D150" s="9">
        <f>SUM('1st Qtr'!D150,'2nd Qtr'!D150,'3rd Qtr'!D150,'4th Qtr'!D150)</f>
        <v>4918474</v>
      </c>
      <c r="E150" s="14">
        <f>SUM('1st Qtr'!E150, '2nd Qtr'!E150, '3rd Qtr'!E150, '4th Qtr'!E150)</f>
        <v>2581662</v>
      </c>
      <c r="F150" s="14">
        <f t="shared" si="6"/>
        <v>2336812</v>
      </c>
      <c r="G150" s="15">
        <f t="shared" si="7"/>
        <v>0.9051579951209725</v>
      </c>
      <c r="H150" s="16">
        <f>SUM('1st Qtr'!H150,'2nd Qtr'!H150,'3rd Qtr'!H150,'4th Qtr'!H150)</f>
        <v>5205973.2</v>
      </c>
      <c r="I150" s="16">
        <f>SUM('1st Qtr'!I150, '2nd Qtr'!I150, '3rd Qtr'!I150, '4th Qtr'!I150)</f>
        <v>-287499.19999999995</v>
      </c>
      <c r="J150" s="15">
        <f t="shared" si="8"/>
        <v>-5.5224871307443524E-2</v>
      </c>
    </row>
    <row r="151" spans="1:10" ht="15.6">
      <c r="A151" s="24" t="str">
        <v>Cedarville</v>
      </c>
      <c r="B151" s="25" t="str">
        <v>IL</v>
      </c>
      <c r="C151" s="25" t="str">
        <f>Sites[[#This Row],[SOL'#]]</f>
        <v>SOL-11069</v>
      </c>
      <c r="D151" s="20">
        <f>SUM('1st Qtr'!D151,'2nd Qtr'!D151,'3rd Qtr'!D151,'4th Qtr'!D151)</f>
        <v>3683934</v>
      </c>
      <c r="E151" s="10">
        <f>SUM('1st Qtr'!E151, '2nd Qtr'!E151, '3rd Qtr'!E151, '4th Qtr'!E151)</f>
        <v>3732397.2390000001</v>
      </c>
      <c r="F151" s="10">
        <f t="shared" si="6"/>
        <v>-48463.23900000006</v>
      </c>
      <c r="G151" s="11">
        <f t="shared" si="7"/>
        <v>-1.298448045497551E-2</v>
      </c>
      <c r="H151" s="12">
        <f>SUM('1st Qtr'!H151,'2nd Qtr'!H151,'3rd Qtr'!H151,'4th Qtr'!H151)</f>
        <v>4255707.9399999995</v>
      </c>
      <c r="I151" s="12">
        <f>SUM('1st Qtr'!I151, '2nd Qtr'!I151, '3rd Qtr'!I151, '4th Qtr'!I151)</f>
        <v>-571773.93999999994</v>
      </c>
      <c r="J151" s="13">
        <f t="shared" si="8"/>
        <v>-0.13435460047100883</v>
      </c>
    </row>
    <row r="152" spans="1:10" ht="15.6">
      <c r="A152" s="26" t="str">
        <v xml:space="preserve"> O'Brien Hill #1</v>
      </c>
      <c r="B152" s="27" t="str">
        <v>NY</v>
      </c>
      <c r="C152" s="27" t="str">
        <f>Sites[[#This Row],[SOL'#]]</f>
        <v>SOL-11098</v>
      </c>
      <c r="D152" s="9">
        <f>SUM('1st Qtr'!D152,'2nd Qtr'!D152,'3rd Qtr'!D152,'4th Qtr'!D152)</f>
        <v>838303</v>
      </c>
      <c r="E152" s="14">
        <f>SUM('1st Qtr'!E152, '2nd Qtr'!E152, '3rd Qtr'!E152, '4th Qtr'!E152)</f>
        <v>0</v>
      </c>
      <c r="F152" s="14">
        <f t="shared" si="6"/>
        <v>838303</v>
      </c>
      <c r="G152" s="15" t="str">
        <f t="shared" si="7"/>
        <v/>
      </c>
      <c r="H152" s="16">
        <f>SUM('1st Qtr'!H152,'2nd Qtr'!H152,'3rd Qtr'!H152,'4th Qtr'!H152)</f>
        <v>0</v>
      </c>
      <c r="I152" s="16">
        <f>SUM('1st Qtr'!I152, '2nd Qtr'!I152, '3rd Qtr'!I152, '4th Qtr'!I152)</f>
        <v>770286</v>
      </c>
      <c r="J152" s="15" t="str">
        <f t="shared" si="8"/>
        <v/>
      </c>
    </row>
    <row r="153" spans="1:10" ht="15.6">
      <c r="A153" s="24" t="str">
        <v xml:space="preserve"> O'Brien Hill #2</v>
      </c>
      <c r="B153" s="25" t="str">
        <v>NY</v>
      </c>
      <c r="C153" s="25" t="str">
        <f>Sites[[#This Row],[SOL'#]]</f>
        <v>SOL-11099</v>
      </c>
      <c r="D153" s="20">
        <f>SUM('1st Qtr'!D153,'2nd Qtr'!D153,'3rd Qtr'!D153,'4th Qtr'!D153)</f>
        <v>6376240.0600000005</v>
      </c>
      <c r="E153" s="10">
        <f>SUM('1st Qtr'!E153, '2nd Qtr'!E153, '3rd Qtr'!E153, '4th Qtr'!E153)</f>
        <v>4036766</v>
      </c>
      <c r="F153" s="10">
        <f t="shared" si="6"/>
        <v>2339474.0600000005</v>
      </c>
      <c r="G153" s="11">
        <f t="shared" si="7"/>
        <v>0.57954165785185485</v>
      </c>
      <c r="H153" s="12">
        <f>SUM('1st Qtr'!H153,'2nd Qtr'!H153,'3rd Qtr'!H153,'4th Qtr'!H153)</f>
        <v>288848</v>
      </c>
      <c r="I153" s="12">
        <f>SUM('1st Qtr'!I153, '2nd Qtr'!I153, '3rd Qtr'!I153, '4th Qtr'!I153)</f>
        <v>656879</v>
      </c>
      <c r="J153" s="13">
        <f t="shared" si="8"/>
        <v>2.2741338004763749</v>
      </c>
    </row>
    <row r="154" spans="1:10" ht="15.6">
      <c r="A154" s="26" t="str">
        <v>Trinity - Freeport</v>
      </c>
      <c r="B154" s="27" t="str">
        <v>IL</v>
      </c>
      <c r="C154" s="27" t="str">
        <f>Sites[[#This Row],[SOL'#]]</f>
        <v>SOL-11057</v>
      </c>
      <c r="D154" s="9">
        <f>SUM('1st Qtr'!D154,'2nd Qtr'!D154,'3rd Qtr'!D154,'4th Qtr'!D154)</f>
        <v>3602713</v>
      </c>
      <c r="E154" s="14">
        <f>SUM('1st Qtr'!E154, '2nd Qtr'!E154, '3rd Qtr'!E154, '4th Qtr'!E154)</f>
        <v>3545188.8279999997</v>
      </c>
      <c r="F154" s="14">
        <f t="shared" si="6"/>
        <v>57524.172000000253</v>
      </c>
      <c r="G154" s="15">
        <f t="shared" si="7"/>
        <v>1.6225982533193364E-2</v>
      </c>
      <c r="H154" s="16">
        <f>SUM('1st Qtr'!H154,'2nd Qtr'!H154,'3rd Qtr'!H154,'4th Qtr'!H154)</f>
        <v>3060999.5</v>
      </c>
      <c r="I154" s="16">
        <f>SUM('1st Qtr'!I154, '2nd Qtr'!I154, '3rd Qtr'!I154, '4th Qtr'!I154)</f>
        <v>149771.5</v>
      </c>
      <c r="J154" s="15">
        <f t="shared" si="8"/>
        <v>4.8928952781599602E-2</v>
      </c>
    </row>
    <row r="155" spans="1:10" ht="15.6">
      <c r="A155" s="24" t="str">
        <v>Ransom</v>
      </c>
      <c r="B155" s="25" t="str">
        <v>NY</v>
      </c>
      <c r="C155" s="25" t="str">
        <f>Sites[[#This Row],[SOL'#]]</f>
        <v>SOL-11157</v>
      </c>
      <c r="D155" s="20">
        <f>SUM('1st Qtr'!D155,'2nd Qtr'!D155,'3rd Qtr'!D155,'4th Qtr'!D155)</f>
        <v>6094732.5</v>
      </c>
      <c r="E155" s="10">
        <f>SUM('1st Qtr'!E155, '2nd Qtr'!E155, '3rd Qtr'!E155, '4th Qtr'!E155)</f>
        <v>3837906</v>
      </c>
      <c r="F155" s="10">
        <f t="shared" si="6"/>
        <v>2256826.5</v>
      </c>
      <c r="G155" s="11">
        <f t="shared" si="7"/>
        <v>0.58803589770046483</v>
      </c>
      <c r="H155" s="12">
        <f>SUM('1st Qtr'!H155,'2nd Qtr'!H155,'3rd Qtr'!H155,'4th Qtr'!H155)</f>
        <v>326042</v>
      </c>
      <c r="I155" s="12">
        <f>SUM('1st Qtr'!I155, '2nd Qtr'!I155, '3rd Qtr'!I155, '4th Qtr'!I155)</f>
        <v>404070.69999999995</v>
      </c>
      <c r="J155" s="13">
        <f t="shared" si="8"/>
        <v>1.2393210077229313</v>
      </c>
    </row>
    <row r="156" spans="1:10" ht="15.6">
      <c r="A156" s="26" t="str">
        <v>Horseheads - Wedge</v>
      </c>
      <c r="B156" s="27" t="str">
        <v>NY</v>
      </c>
      <c r="C156" s="27" t="str">
        <f>Sites[[#This Row],[SOL'#]]</f>
        <v>SOL-11160</v>
      </c>
      <c r="D156" s="9">
        <f>SUM('1st Qtr'!D156,'2nd Qtr'!D156,'3rd Qtr'!D156,'4th Qtr'!D156)</f>
        <v>4112137</v>
      </c>
      <c r="E156" s="14">
        <f>SUM('1st Qtr'!E156, '2nd Qtr'!E156, '3rd Qtr'!E156, '4th Qtr'!E156)</f>
        <v>2552439</v>
      </c>
      <c r="F156" s="14">
        <f t="shared" si="6"/>
        <v>1559698</v>
      </c>
      <c r="G156" s="15">
        <f t="shared" si="7"/>
        <v>0.61106181185916686</v>
      </c>
      <c r="H156" s="16">
        <f>SUM('1st Qtr'!H156,'2nd Qtr'!H156,'3rd Qtr'!H156,'4th Qtr'!H156)</f>
        <v>344639</v>
      </c>
      <c r="I156" s="16">
        <f>SUM('1st Qtr'!I156, '2nd Qtr'!I156, '3rd Qtr'!I156, '4th Qtr'!I156)</f>
        <v>171594</v>
      </c>
      <c r="J156" s="15">
        <f t="shared" si="8"/>
        <v>0.49789489872011</v>
      </c>
    </row>
    <row r="157" spans="1:10" ht="15.6">
      <c r="A157" s="24" t="str">
        <v>Otisville - Shoddy Hollow</v>
      </c>
      <c r="B157" s="25" t="str">
        <v>NY</v>
      </c>
      <c r="C157" s="25" t="str">
        <f>Sites[[#This Row],[SOL'#]]</f>
        <v>SOL-11185</v>
      </c>
      <c r="D157" s="20">
        <f>SUM('1st Qtr'!D157,'2nd Qtr'!D157,'3rd Qtr'!D157,'4th Qtr'!D157)</f>
        <v>6930810.7999999998</v>
      </c>
      <c r="E157" s="10">
        <f>SUM('1st Qtr'!E157, '2nd Qtr'!E157, '3rd Qtr'!E157, '4th Qtr'!E157)</f>
        <v>4302682</v>
      </c>
      <c r="F157" s="10">
        <f t="shared" si="6"/>
        <v>2628128.7999999998</v>
      </c>
      <c r="G157" s="11">
        <f t="shared" si="7"/>
        <v>0.61081176810184901</v>
      </c>
      <c r="H157" s="12">
        <f>SUM('1st Qtr'!H157,'2nd Qtr'!H157,'3rd Qtr'!H157,'4th Qtr'!H157)</f>
        <v>363236</v>
      </c>
      <c r="I157" s="12">
        <f>SUM('1st Qtr'!I157, '2nd Qtr'!I157, '3rd Qtr'!I157, '4th Qtr'!I157)</f>
        <v>580678.69999999995</v>
      </c>
      <c r="J157" s="13">
        <f t="shared" si="8"/>
        <v>1.5986265127905823</v>
      </c>
    </row>
    <row r="158" spans="1:10" ht="15.6">
      <c r="A158" s="26" t="str">
        <v>Wellsville - Chenunda Creek</v>
      </c>
      <c r="B158" s="27" t="str">
        <v>NY</v>
      </c>
      <c r="C158" s="27" t="str">
        <f>Sites[[#This Row],[SOL'#]]</f>
        <v>SOL-11187</v>
      </c>
      <c r="D158" s="9">
        <f>SUM('1st Qtr'!D158,'2nd Qtr'!D158,'3rd Qtr'!D158,'4th Qtr'!D158)</f>
        <v>3412756.7</v>
      </c>
      <c r="E158" s="14">
        <f>SUM('1st Qtr'!E158, '2nd Qtr'!E158, '3rd Qtr'!E158, '4th Qtr'!E158)</f>
        <v>2030834</v>
      </c>
      <c r="F158" s="14">
        <f t="shared" ref="F158:F170" si="9">IF(AND(ISNUMBER(D158),ISNUMBER(E158)), D158-E158, "")</f>
        <v>1381922.7000000002</v>
      </c>
      <c r="G158" s="15">
        <f t="shared" ref="G158:G170" si="10">IFERROR(F158/E158, "")</f>
        <v>0.68047053575033711</v>
      </c>
      <c r="H158" s="16">
        <f>SUM('1st Qtr'!H158,'2nd Qtr'!H158,'3rd Qtr'!H158,'4th Qtr'!H158)</f>
        <v>381833</v>
      </c>
      <c r="I158" s="16">
        <f>SUM('1st Qtr'!I158, '2nd Qtr'!I158, '3rd Qtr'!I158, '4th Qtr'!I158)</f>
        <v>167439.79999999999</v>
      </c>
      <c r="J158" s="15">
        <f t="shared" ref="J158:J164" si="11">IFERROR(I158/H158, "")</f>
        <v>0.43851579093478038</v>
      </c>
    </row>
    <row r="159" spans="1:10" ht="15.6">
      <c r="A159" s="24" t="str">
        <v>DC: Washington - Essex Condominium</v>
      </c>
      <c r="B159" s="25" t="str">
        <v>DC</v>
      </c>
      <c r="C159" s="25" t="str">
        <f>Sites[[#This Row],[SOL'#]]</f>
        <v>SOL-10036</v>
      </c>
      <c r="D159" s="54">
        <f>SUM('1st Qtr'!D159,'2nd Qtr'!D159,'3rd Qtr'!D159,'4th Qtr'!D159)</f>
        <v>35168.957999999999</v>
      </c>
      <c r="E159" s="10">
        <f>SUM('1st Qtr'!E159, '2nd Qtr'!E159, '3rd Qtr'!E159, '4th Qtr'!E159)</f>
        <v>44452.748</v>
      </c>
      <c r="F159" s="10">
        <f t="shared" si="9"/>
        <v>-9283.7900000000009</v>
      </c>
      <c r="G159" s="55">
        <f t="shared" si="10"/>
        <v>-0.2088462562539441</v>
      </c>
      <c r="H159" s="67">
        <f>SUM('1st Qtr'!H159,'2nd Qtr'!H159,'3rd Qtr'!H159,'4th Qtr'!H159)</f>
        <v>44151.21</v>
      </c>
      <c r="I159" s="67">
        <f>SUM('1st Qtr'!I159, '2nd Qtr'!I159, '3rd Qtr'!I159, '4th Qtr'!I159)</f>
        <v>-9391.2100000000009</v>
      </c>
      <c r="J159" s="64">
        <f t="shared" si="11"/>
        <v>-0.21270560874775574</v>
      </c>
    </row>
    <row r="160" spans="1:10" ht="15.6">
      <c r="A160" s="26" t="str">
        <v>HI: Waipahu - 94-246 Leoku St - E.F.G.</v>
      </c>
      <c r="B160" s="27" t="str">
        <v>HI</v>
      </c>
      <c r="C160" s="27" t="str">
        <f>Sites[[#This Row],[SOL'#]]</f>
        <v>SOL-10071</v>
      </c>
      <c r="D160" s="66">
        <f>SUM('1st Qtr'!D160,'2nd Qtr'!D160,'3rd Qtr'!D160,'4th Qtr'!D160)</f>
        <v>93445</v>
      </c>
      <c r="E160" s="14">
        <f>SUM('1st Qtr'!E160, '2nd Qtr'!E160, '3rd Qtr'!E160, '4th Qtr'!E160)</f>
        <v>121397.34500000002</v>
      </c>
      <c r="F160" s="14">
        <f t="shared" si="9"/>
        <v>-27952.345000000016</v>
      </c>
      <c r="G160" s="68">
        <f t="shared" si="10"/>
        <v>-0.23025499445642747</v>
      </c>
      <c r="H160" s="69">
        <f>SUM('1st Qtr'!H160,'2nd Qtr'!H160,'3rd Qtr'!H160,'4th Qtr'!H160)</f>
        <v>131506.32700000002</v>
      </c>
      <c r="I160" s="69">
        <f>SUM('1st Qtr'!I160, '2nd Qtr'!I160, '3rd Qtr'!I160, '4th Qtr'!I160)</f>
        <v>-38061.327000000005</v>
      </c>
      <c r="J160" s="68">
        <f t="shared" si="11"/>
        <v>-0.28942582359554458</v>
      </c>
    </row>
    <row r="161" spans="1:10" ht="15.6">
      <c r="A161" s="24" t="str">
        <v>HI: Waipahu - 94-099 Waipahu St - PV</v>
      </c>
      <c r="B161" s="25" t="str">
        <v>HI</v>
      </c>
      <c r="C161" s="25" t="str">
        <f>Sites[[#This Row],[SOL'#]]</f>
        <v>SOL-10068</v>
      </c>
      <c r="D161" s="54">
        <f>SUM('1st Qtr'!D161,'2nd Qtr'!D161,'3rd Qtr'!D161,'4th Qtr'!D161)</f>
        <v>139556</v>
      </c>
      <c r="E161" s="10">
        <f>SUM('1st Qtr'!E161, '2nd Qtr'!E161, '3rd Qtr'!E161, '4th Qtr'!E161)</f>
        <v>110772.23300000001</v>
      </c>
      <c r="F161" s="10">
        <f t="shared" si="9"/>
        <v>28783.766999999993</v>
      </c>
      <c r="G161" s="55">
        <f t="shared" si="10"/>
        <v>0.25984640934339559</v>
      </c>
      <c r="H161" s="67">
        <f>SUM('1st Qtr'!H161,'2nd Qtr'!H161,'3rd Qtr'!H161,'4th Qtr'!H161)</f>
        <v>131442.20500000002</v>
      </c>
      <c r="I161" s="67">
        <f>SUM('1st Qtr'!I161, '2nd Qtr'!I161, '3rd Qtr'!I161, '4th Qtr'!I161)</f>
        <v>8113.7950000000001</v>
      </c>
      <c r="J161" s="64">
        <f t="shared" si="11"/>
        <v>6.1728993362520045E-2</v>
      </c>
    </row>
    <row r="162" spans="1:10" ht="15.6">
      <c r="A162" s="26" t="str">
        <v>IL: Prophetstown - 5170 Yager Road (PW)</v>
      </c>
      <c r="B162" s="27" t="str">
        <v>IL</v>
      </c>
      <c r="C162" s="27" t="str">
        <f>Sites[[#This Row],[SOL'#]]</f>
        <v>SOL-11149</v>
      </c>
      <c r="D162" s="66">
        <f>SUM('1st Qtr'!D162,'2nd Qtr'!D162,'3rd Qtr'!D162,'4th Qtr'!D162)</f>
        <v>1273953</v>
      </c>
      <c r="E162" s="14">
        <f>SUM('1st Qtr'!E162, '2nd Qtr'!E162, '3rd Qtr'!E162, '4th Qtr'!E162)</f>
        <v>1517144.0289999999</v>
      </c>
      <c r="F162" s="14">
        <f t="shared" si="9"/>
        <v>-243191.02899999986</v>
      </c>
      <c r="G162" s="68">
        <f t="shared" si="10"/>
        <v>-0.16029528136514182</v>
      </c>
      <c r="H162" s="69">
        <f>SUM('1st Qtr'!H162,'2nd Qtr'!H162,'3rd Qtr'!H162,'4th Qtr'!H162)</f>
        <v>1594791.46</v>
      </c>
      <c r="I162" s="69">
        <f>SUM('1st Qtr'!I162, '2nd Qtr'!I162, '3rd Qtr'!I162, '4th Qtr'!I162)</f>
        <v>-320838.45999999996</v>
      </c>
      <c r="J162" s="68">
        <f t="shared" si="11"/>
        <v>-0.20117894285689239</v>
      </c>
    </row>
    <row r="163" spans="1:10" ht="15.6">
      <c r="A163" s="24" t="str">
        <v>IL: Viola - Goldenrod - (PW)</v>
      </c>
      <c r="B163" s="25" t="str">
        <v>IL</v>
      </c>
      <c r="C163" s="25" t="str">
        <f>Sites[[#This Row],[SOL'#]]</f>
        <v>SOL-11132</v>
      </c>
      <c r="D163" s="54">
        <f>SUM('1st Qtr'!D163,'2nd Qtr'!D163,'3rd Qtr'!D163,'4th Qtr'!D163)</f>
        <v>3322338.7765000002</v>
      </c>
      <c r="E163" s="10">
        <f>SUM('1st Qtr'!E163, '2nd Qtr'!E163, '3rd Qtr'!E163, '4th Qtr'!E163)</f>
        <v>3515505.9299999997</v>
      </c>
      <c r="F163" s="10">
        <f t="shared" si="9"/>
        <v>-193167.15349999955</v>
      </c>
      <c r="G163" s="55">
        <f t="shared" si="10"/>
        <v>-5.4947184657429822E-2</v>
      </c>
      <c r="H163" s="67">
        <f>SUM('1st Qtr'!H163,'2nd Qtr'!H163,'3rd Qtr'!H163,'4th Qtr'!H163)</f>
        <v>3801917.7</v>
      </c>
      <c r="I163" s="67">
        <f>SUM('1st Qtr'!I163, '2nd Qtr'!I163, '3rd Qtr'!I163, '4th Qtr'!I163)</f>
        <v>-479578.92349999992</v>
      </c>
      <c r="J163" s="64">
        <f t="shared" si="11"/>
        <v>-0.12614132165459549</v>
      </c>
    </row>
    <row r="164" spans="1:10" ht="15.6">
      <c r="A164" s="26" t="str">
        <v>IL: Marengo - Grant - (PW)</v>
      </c>
      <c r="B164" s="27" t="str">
        <v>IL</v>
      </c>
      <c r="C164" s="27" t="str">
        <f>Sites[[#This Row],[SOL'#]]</f>
        <v>SOL-11147</v>
      </c>
      <c r="D164" s="66">
        <f>SUM('1st Qtr'!D164,'2nd Qtr'!D164,'3rd Qtr'!D164,'4th Qtr'!D164)</f>
        <v>1495778</v>
      </c>
      <c r="E164" s="14">
        <f>SUM('1st Qtr'!E164, '2nd Qtr'!E164, '3rd Qtr'!E164, '4th Qtr'!E164)</f>
        <v>846354.67299999995</v>
      </c>
      <c r="F164" s="14">
        <f t="shared" si="9"/>
        <v>649423.32700000005</v>
      </c>
      <c r="G164" s="68">
        <f t="shared" si="10"/>
        <v>0.76731817962089766</v>
      </c>
      <c r="H164" s="69">
        <f>SUM('1st Qtr'!H164,'2nd Qtr'!H164,'3rd Qtr'!H164,'4th Qtr'!H164)</f>
        <v>1571703.88</v>
      </c>
      <c r="I164" s="69">
        <f>SUM('1st Qtr'!I164, '2nd Qtr'!I164, '3rd Qtr'!I164, '4th Qtr'!I164)</f>
        <v>-75925.88</v>
      </c>
      <c r="J164" s="68">
        <f t="shared" si="11"/>
        <v>-4.8308005703975233E-2</v>
      </c>
    </row>
    <row r="165" spans="1:10" ht="15.6">
      <c r="A165" s="24" t="str">
        <v>NY: Cambridge - Cambridge (PW)</v>
      </c>
      <c r="B165" s="25" t="str">
        <v>NY</v>
      </c>
      <c r="C165" s="25" t="str">
        <f>Sites[[#This Row],[SOL'#]]</f>
        <v>SOL-11126</v>
      </c>
      <c r="D165" s="54">
        <f>SUM('1st Qtr'!D165,'2nd Qtr'!D165,'3rd Qtr'!D165,'4th Qtr'!D165)</f>
        <v>1603498.5</v>
      </c>
      <c r="E165" s="10">
        <f>SUM('1st Qtr'!E165, '2nd Qtr'!E165, '3rd Qtr'!E165, '4th Qtr'!E165)</f>
        <v>1958559.88</v>
      </c>
      <c r="F165" s="10">
        <f t="shared" ref="F165:F171" si="12">IF(AND(ISNUMBER(D165),ISNUMBER(E165)), D165-E165, "")</f>
        <v>-355061.37999999989</v>
      </c>
      <c r="G165" s="55">
        <f t="shared" ref="G165:G171" si="13">IFERROR(F165/E165, "")</f>
        <v>-0.1812869668299342</v>
      </c>
      <c r="H165" s="67">
        <f>SUM('1st Qtr'!H165,'2nd Qtr'!H165,'3rd Qtr'!H165,'4th Qtr'!H165)</f>
        <v>1924220.5</v>
      </c>
      <c r="I165" s="67">
        <f>SUM('1st Qtr'!I165, '2nd Qtr'!I165, '3rd Qtr'!I165, '4th Qtr'!I165)</f>
        <v>-341510.73</v>
      </c>
      <c r="J165" s="64">
        <f t="shared" ref="J165:J166" si="14">IFERROR(I165/H165, "")</f>
        <v>-0.17748003931981807</v>
      </c>
    </row>
    <row r="166" spans="1:10" ht="15.6">
      <c r="A166" s="26" t="str">
        <v>NY: Whitesville - Independence North</v>
      </c>
      <c r="B166" s="27" t="str">
        <v>NY</v>
      </c>
      <c r="C166" s="27" t="str">
        <f>Sites[[#This Row],[SOL'#]]</f>
        <v>SOL-11186</v>
      </c>
      <c r="D166" s="66">
        <f>SUM('1st Qtr'!D166,'2nd Qtr'!D166,'3rd Qtr'!D166,'4th Qtr'!D166)</f>
        <v>1514578</v>
      </c>
      <c r="E166" s="14">
        <f>SUM('1st Qtr'!E166, '2nd Qtr'!E166, '3rd Qtr'!E166, '4th Qtr'!E166)</f>
        <v>0</v>
      </c>
      <c r="F166" s="14">
        <f t="shared" si="9"/>
        <v>1514578</v>
      </c>
      <c r="G166" s="68" t="str">
        <f t="shared" si="10"/>
        <v/>
      </c>
      <c r="H166" s="69">
        <f>SUM('1st Qtr'!H166,'2nd Qtr'!H166,'3rd Qtr'!H166,'4th Qtr'!H166)</f>
        <v>0</v>
      </c>
      <c r="I166" s="69">
        <f>SUM('1st Qtr'!I166, '2nd Qtr'!I166, '3rd Qtr'!I166, '4th Qtr'!I166)</f>
        <v>0</v>
      </c>
      <c r="J166" s="68" t="str">
        <f t="shared" si="14"/>
        <v/>
      </c>
    </row>
    <row r="167" spans="1:10" ht="15.6">
      <c r="A167" s="24" t="str">
        <v>IL: Beecher - Cottage Grove North (PW)</v>
      </c>
      <c r="B167" s="25" t="str">
        <v>IL</v>
      </c>
      <c r="C167" s="25" t="str">
        <f>Sites[[#This Row],[SOL'#]]</f>
        <v>SOL-11114</v>
      </c>
      <c r="D167" s="54">
        <f>SUM('1st Qtr'!D167,'2nd Qtr'!D167,'3rd Qtr'!D167,'4th Qtr'!D167)</f>
        <v>577345</v>
      </c>
      <c r="E167" s="10">
        <f>SUM('1st Qtr'!E167, '2nd Qtr'!E167, '3rd Qtr'!E167, '4th Qtr'!E167)</f>
        <v>603079.80000000005</v>
      </c>
      <c r="F167" s="10">
        <f t="shared" si="12"/>
        <v>-25734.800000000047</v>
      </c>
      <c r="G167" s="55">
        <f t="shared" si="13"/>
        <v>-4.2672296435728813E-2</v>
      </c>
      <c r="H167" s="67">
        <f>SUM('1st Qtr'!H167,'2nd Qtr'!H167,'3rd Qtr'!H167,'4th Qtr'!H167)</f>
        <v>582048</v>
      </c>
      <c r="I167" s="67">
        <f>SUM('1st Qtr'!I167, '2nd Qtr'!I167, '3rd Qtr'!I167, '4th Qtr'!I167)</f>
        <v>-4703</v>
      </c>
      <c r="J167" s="64">
        <f t="shared" ref="J167:J171" si="15">IFERROR(I167/H167, "")</f>
        <v>-8.0800896146022323E-3</v>
      </c>
    </row>
    <row r="168" spans="1:10" ht="15.6">
      <c r="A168" s="26" t="str">
        <v>IL: Beecher - Cottage Grove South (PW)</v>
      </c>
      <c r="B168" s="27" t="str">
        <v>IL</v>
      </c>
      <c r="C168" s="27" t="str">
        <f>Sites[[#This Row],[SOL'#]]</f>
        <v>SOL-11115</v>
      </c>
      <c r="D168" s="66">
        <f>SUM('1st Qtr'!D168,'2nd Qtr'!D168,'3rd Qtr'!D168,'4th Qtr'!D168)</f>
        <v>574393</v>
      </c>
      <c r="E168" s="14">
        <f>SUM('1st Qtr'!E168, '2nd Qtr'!E168, '3rd Qtr'!E168, '4th Qtr'!E168)</f>
        <v>728321.60000000009</v>
      </c>
      <c r="F168" s="14">
        <f t="shared" si="9"/>
        <v>-153928.60000000009</v>
      </c>
      <c r="G168" s="68">
        <f t="shared" si="10"/>
        <v>-0.21134702032728409</v>
      </c>
      <c r="H168" s="69">
        <f>SUM('1st Qtr'!H168,'2nd Qtr'!H168,'3rd Qtr'!H168,'4th Qtr'!H168)</f>
        <v>545899</v>
      </c>
      <c r="I168" s="69">
        <f>SUM('1st Qtr'!I168, '2nd Qtr'!I168, '3rd Qtr'!I168, '4th Qtr'!I168)</f>
        <v>28494</v>
      </c>
      <c r="J168" s="68">
        <f t="shared" si="15"/>
        <v>5.2196468577520749E-2</v>
      </c>
    </row>
    <row r="169" spans="1:10" ht="15.6">
      <c r="A169" s="24" t="str">
        <v>IL: Harvard - 9618 US HWY 14 (PW)</v>
      </c>
      <c r="B169" s="25" t="str">
        <v>IL</v>
      </c>
      <c r="C169" s="25" t="str">
        <f>Sites[[#This Row],[SOL'#]]</f>
        <v>SOL-11110</v>
      </c>
      <c r="D169" s="54">
        <f>SUM('1st Qtr'!D169,'2nd Qtr'!D169,'3rd Qtr'!D169,'4th Qtr'!D169)</f>
        <v>491757</v>
      </c>
      <c r="E169" s="10">
        <f>SUM('1st Qtr'!E169, '2nd Qtr'!E169, '3rd Qtr'!E169, '4th Qtr'!E169)</f>
        <v>862250.1</v>
      </c>
      <c r="F169" s="10">
        <f t="shared" si="12"/>
        <v>-370493.1</v>
      </c>
      <c r="G169" s="55">
        <f t="shared" si="13"/>
        <v>-0.42968171299719188</v>
      </c>
      <c r="H169" s="67">
        <f>SUM('1st Qtr'!H169,'2nd Qtr'!H169,'3rd Qtr'!H169,'4th Qtr'!H169)</f>
        <v>470957</v>
      </c>
      <c r="I169" s="67">
        <f>SUM('1st Qtr'!I169, '2nd Qtr'!I169, '3rd Qtr'!I169, '4th Qtr'!I169)</f>
        <v>20800</v>
      </c>
      <c r="J169" s="64">
        <f t="shared" si="15"/>
        <v>4.4165390895559466E-2</v>
      </c>
    </row>
    <row r="170" spans="1:10" ht="15.6">
      <c r="A170" s="26" t="str">
        <v>IL: Beecher - 701 E Goodenow Rd (PW)</v>
      </c>
      <c r="B170" s="27" t="str">
        <v>IL</v>
      </c>
      <c r="C170" s="27" t="str">
        <f>Sites[[#This Row],[SOL'#]]</f>
        <v>SOL-11112</v>
      </c>
      <c r="D170" s="66">
        <f>SUM('1st Qtr'!D170,'2nd Qtr'!D170,'3rd Qtr'!D170,'4th Qtr'!D170)</f>
        <v>567385</v>
      </c>
      <c r="E170" s="14">
        <f>SUM('1st Qtr'!E170, '2nd Qtr'!E170, '3rd Qtr'!E170, '4th Qtr'!E170)</f>
        <v>639741.4</v>
      </c>
      <c r="F170" s="14">
        <f t="shared" si="9"/>
        <v>-72356.400000000023</v>
      </c>
      <c r="G170" s="68">
        <f t="shared" si="10"/>
        <v>-0.11310257550941681</v>
      </c>
      <c r="H170" s="69">
        <f>SUM('1st Qtr'!H170,'2nd Qtr'!H170,'3rd Qtr'!H170,'4th Qtr'!H170)</f>
        <v>484198.5</v>
      </c>
      <c r="I170" s="69">
        <f>SUM('1st Qtr'!I170, '2nd Qtr'!I170, '3rd Qtr'!I170, '4th Qtr'!I170)</f>
        <v>83186.5</v>
      </c>
      <c r="J170" s="68">
        <f t="shared" si="15"/>
        <v>0.17180247357230558</v>
      </c>
    </row>
    <row r="171" spans="1:10" ht="15.6">
      <c r="A171" s="24" t="str">
        <v>NY: Stormville - Green Haven - (IRA)</v>
      </c>
      <c r="B171" s="25" t="str">
        <v>NY</v>
      </c>
      <c r="C171" s="25" t="str">
        <f>Sites[[#This Row],[SOL'#]]</f>
        <v>SOL-11151</v>
      </c>
      <c r="D171" s="54">
        <f>SUM('1st Qtr'!D171,'2nd Qtr'!D171,'3rd Qtr'!D171,'4th Qtr'!D171)</f>
        <v>2969198.6</v>
      </c>
      <c r="E171" s="10">
        <f>SUM('1st Qtr'!E171, '2nd Qtr'!E171, '3rd Qtr'!E171, '4th Qtr'!E171)</f>
        <v>0</v>
      </c>
      <c r="F171" s="10">
        <f t="shared" si="12"/>
        <v>2969198.6</v>
      </c>
      <c r="G171" s="55" t="str">
        <f t="shared" si="13"/>
        <v/>
      </c>
      <c r="H171" s="67">
        <f>SUM('1st Qtr'!H171,'2nd Qtr'!H171,'3rd Qtr'!H171,'4th Qtr'!H171)</f>
        <v>0</v>
      </c>
      <c r="I171" s="67">
        <f>SUM('1st Qtr'!I171, '2nd Qtr'!I171, '3rd Qtr'!I171, '4th Qtr'!I171)</f>
        <v>0</v>
      </c>
      <c r="J171" s="64" t="str">
        <f t="shared" si="15"/>
        <v/>
      </c>
    </row>
    <row r="172" spans="1:10">
      <c r="A172" t="str">
        <v>IL: Hillsboro - Anacott (PW)</v>
      </c>
      <c r="B172" t="str">
        <v>IL</v>
      </c>
    </row>
  </sheetData>
  <mergeCells count="4">
    <mergeCell ref="H1:J1"/>
    <mergeCell ref="A1:D1"/>
    <mergeCell ref="E1:G1"/>
    <mergeCell ref="A2:B2"/>
  </mergeCells>
  <conditionalFormatting sqref="G2 J2 G4:G171 J4:J171">
    <cfRule type="cellIs" dxfId="56" priority="55" stopIfTrue="1" operator="lessThanOrEqual">
      <formula>-0.1</formula>
    </cfRule>
    <cfRule type="expression" dxfId="55" priority="56">
      <formula>AND(ISNUMBER(G2), G2&gt;=0.1)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172"/>
  <sheetViews>
    <sheetView zoomScale="90" zoomScaleNormal="90" workbookViewId="0">
      <pane xSplit="2" ySplit="3" topLeftCell="C155" activePane="bottomRight" state="frozen"/>
      <selection pane="bottomRight" activeCell="G171" sqref="G171"/>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87" t="str" cm="1">
        <f t="array" ref="A1">portfolio</f>
        <v>Generate Capital</v>
      </c>
      <c r="B1" s="187"/>
      <c r="C1" s="187"/>
      <c r="D1" s="187"/>
      <c r="E1" s="188" t="s">
        <v>11</v>
      </c>
      <c r="F1" s="188"/>
      <c r="G1" s="188"/>
      <c r="H1" s="186" t="s">
        <v>12</v>
      </c>
      <c r="I1" s="186"/>
      <c r="J1" s="186"/>
    </row>
    <row r="2" spans="1:10" ht="19.5" customHeight="1">
      <c r="A2" s="189" t="s">
        <v>2</v>
      </c>
      <c r="B2" s="189"/>
      <c r="C2" s="57"/>
      <c r="D2" s="5">
        <f>SUM(D4:D260)</f>
        <v>73187517.369638756</v>
      </c>
      <c r="E2" s="5">
        <f>SUM(E4:E260)</f>
        <v>31614296.346000001</v>
      </c>
      <c r="F2" s="5">
        <f>D2-E2</f>
        <v>41573221.023638755</v>
      </c>
      <c r="G2" s="6">
        <f>IFERROR(F2/E2, 0)</f>
        <v>1.3150133271556685</v>
      </c>
      <c r="H2" s="5">
        <f>SUM(H4:H296)</f>
        <v>79163514.454000026</v>
      </c>
      <c r="I2" s="7">
        <f>D2-H2</f>
        <v>-5975997.0843612701</v>
      </c>
      <c r="J2" s="6">
        <f>IFERROR(I2/H2, 0)</f>
        <v>-7.5489284749147609E-2</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172">Sites[Site]</f>
        <v>K026</v>
      </c>
      <c r="B4" s="25" t="str" cm="1">
        <f t="array" ref="B4:B172">Sites[State]</f>
        <v>NY</v>
      </c>
      <c r="C4" s="25" t="str">
        <f>Sites[[#This Row],[SOL'#]]</f>
        <v>SOL-10356</v>
      </c>
      <c r="D4" s="20">
        <f>SUM(Jan!D4,Feb!D4,Mar!D4)</f>
        <v>59541.499999999796</v>
      </c>
      <c r="E4" s="10">
        <f>SUM(Jan!E4,Feb!E4,Mar!E4)</f>
        <v>72002.03</v>
      </c>
      <c r="F4" s="10">
        <f>IF(AND(ISNUMBER(D4),ISNUMBER(E4)), D4-E4, "")</f>
        <v>-12460.530000000203</v>
      </c>
      <c r="G4" s="11">
        <f>IFERROR(F4/E4, "")</f>
        <v>-0.17305803739144859</v>
      </c>
      <c r="H4" s="12">
        <f>SUM(Jan!H4,Feb!H4,Mar!H4)</f>
        <v>50886.229999999996</v>
      </c>
      <c r="I4" s="12">
        <f>SUM(Jan!I4,Feb!I4,Mar!I4)</f>
        <v>8655.2699999998003</v>
      </c>
      <c r="J4" s="13">
        <f>IFERROR(I4/H4, "")</f>
        <v>0.1700906119396112</v>
      </c>
    </row>
    <row r="5" spans="1:10" ht="15.6">
      <c r="A5" s="26" t="str">
        <v>K041</v>
      </c>
      <c r="B5" s="27" t="str">
        <v>NY</v>
      </c>
      <c r="C5" s="27" t="str">
        <f>Sites[[#This Row],[SOL'#]]</f>
        <v>SOL-10357</v>
      </c>
      <c r="D5" s="16">
        <f>SUM(Jan!D5,Feb!D5,Mar!D5)</f>
        <v>45035.96875</v>
      </c>
      <c r="E5" s="16">
        <f>SUM(Jan!E5,Feb!E5,Mar!E5)</f>
        <v>56199.33</v>
      </c>
      <c r="F5" s="14">
        <f t="shared" ref="F5:F15" si="0">IF(AND(ISNUMBER(D5),ISNUMBER(E5)), D5-E5, "")</f>
        <v>-11163.361250000002</v>
      </c>
      <c r="G5" s="15">
        <f>IFERROR(F5/E5, "")</f>
        <v>-0.19863868928686518</v>
      </c>
      <c r="H5" s="16">
        <f>SUM(Jan!H5,Feb!H5,Mar!H5)</f>
        <v>46068</v>
      </c>
      <c r="I5" s="16">
        <f>SUM(Jan!I5,Feb!I5,Mar!I5)</f>
        <v>-1032.03125</v>
      </c>
      <c r="J5" s="15">
        <f>IFERROR(I5/H5, "")</f>
        <v>-2.2402345445862639E-2</v>
      </c>
    </row>
    <row r="6" spans="1:10" ht="15.6">
      <c r="A6" s="24" t="str">
        <v>K043</v>
      </c>
      <c r="B6" s="25" t="str">
        <v>NY</v>
      </c>
      <c r="C6" s="25" t="str">
        <f>Sites[[#This Row],[SOL'#]]</f>
        <v>SOL-10358</v>
      </c>
      <c r="D6" s="20">
        <f>SUM(Jan!D6,Feb!D6,Mar!D6)</f>
        <v>53077.09375</v>
      </c>
      <c r="E6" s="10">
        <f>SUM(Jan!E6,Feb!E6,Mar!E6)</f>
        <v>62413.61</v>
      </c>
      <c r="F6" s="10">
        <f t="shared" si="0"/>
        <v>-9336.5162500000006</v>
      </c>
      <c r="G6" s="11">
        <f t="shared" ref="G6:G15" si="1">IFERROR(F6/E6, "")</f>
        <v>-0.14959103070628346</v>
      </c>
      <c r="H6" s="12">
        <f>SUM(Jan!H6,Feb!H6,Mar!H6)</f>
        <v>10325</v>
      </c>
      <c r="I6" s="12">
        <f>SUM(Jan!I6,Feb!I6,Mar!I6)</f>
        <v>42752.09375</v>
      </c>
      <c r="J6" s="13">
        <f t="shared" ref="J6:J15" si="2">IFERROR(I6/H6, "")</f>
        <v>4.1406386198547214</v>
      </c>
    </row>
    <row r="7" spans="1:10" ht="15.6">
      <c r="A7" s="26" t="str">
        <v>K058</v>
      </c>
      <c r="B7" s="27" t="str">
        <v>NY</v>
      </c>
      <c r="C7" s="27" t="str">
        <f>Sites[[#This Row],[SOL'#]]</f>
        <v>SOL-10360</v>
      </c>
      <c r="D7" s="16">
        <f>SUM(Jan!D7,Feb!D7,Mar!D7)</f>
        <v>12634.75</v>
      </c>
      <c r="E7" s="16">
        <f>SUM(Jan!E7,Feb!E7,Mar!E7)</f>
        <v>22177.692999999999</v>
      </c>
      <c r="F7" s="14">
        <f t="shared" si="0"/>
        <v>-9542.9429999999993</v>
      </c>
      <c r="G7" s="15">
        <f t="shared" si="1"/>
        <v>-0.43029466590596233</v>
      </c>
      <c r="H7" s="16">
        <f>SUM(Jan!H7,Feb!H7,Mar!H7)</f>
        <v>39956.248999999996</v>
      </c>
      <c r="I7" s="16">
        <f>SUM(Jan!I7,Feb!I7,Mar!I7)</f>
        <v>-27321.499</v>
      </c>
      <c r="J7" s="15">
        <f t="shared" si="2"/>
        <v>-0.68378538235658715</v>
      </c>
    </row>
    <row r="8" spans="1:10" ht="15.6">
      <c r="A8" s="24" t="str">
        <v>K115</v>
      </c>
      <c r="B8" s="25" t="str">
        <v>NY</v>
      </c>
      <c r="C8" s="25" t="str">
        <f>Sites[[#This Row],[SOL'#]]</f>
        <v>SOL-10361</v>
      </c>
      <c r="D8" s="20">
        <f>SUM(Jan!D8,Feb!D8,Mar!D8)</f>
        <v>11799.1171875</v>
      </c>
      <c r="E8" s="10">
        <f>SUM(Jan!E8,Feb!E8,Mar!E8)</f>
        <v>26169.975999999999</v>
      </c>
      <c r="F8" s="10">
        <f t="shared" si="0"/>
        <v>-14370.858812499999</v>
      </c>
      <c r="G8" s="11">
        <f t="shared" si="1"/>
        <v>-0.54913534550050791</v>
      </c>
      <c r="H8" s="12">
        <f>SUM(Jan!H8,Feb!H8,Mar!H8)</f>
        <v>25362.093999999997</v>
      </c>
      <c r="I8" s="12">
        <f>SUM(Jan!I8,Feb!I8,Mar!I8)</f>
        <v>-13562.976812500001</v>
      </c>
      <c r="J8" s="13">
        <f t="shared" si="2"/>
        <v>-0.53477354087955054</v>
      </c>
    </row>
    <row r="9" spans="1:10" ht="15.6">
      <c r="A9" s="26" t="str">
        <v>K152</v>
      </c>
      <c r="B9" s="27" t="str">
        <v>NY</v>
      </c>
      <c r="C9" s="27" t="str">
        <f>Sites[[#This Row],[SOL'#]]</f>
        <v>SOL-10362</v>
      </c>
      <c r="D9" s="16">
        <f>SUM(Jan!D9,Feb!D9,Mar!D9)</f>
        <v>16402.1875</v>
      </c>
      <c r="E9" s="16">
        <f>SUM(Jan!E9,Feb!E9,Mar!E9)</f>
        <v>18944.046999999999</v>
      </c>
      <c r="F9" s="14">
        <f t="shared" si="0"/>
        <v>-2541.8594999999987</v>
      </c>
      <c r="G9" s="15">
        <f t="shared" si="1"/>
        <v>-0.13417721672671098</v>
      </c>
      <c r="H9" s="16">
        <f>SUM(Jan!H9,Feb!H9,Mar!H9)</f>
        <v>15415</v>
      </c>
      <c r="I9" s="16">
        <f>SUM(Jan!I9,Feb!I9,Mar!I9)</f>
        <v>987.1875</v>
      </c>
      <c r="J9" s="15">
        <f t="shared" si="2"/>
        <v>6.4040707103470651E-2</v>
      </c>
    </row>
    <row r="10" spans="1:10" ht="15.6">
      <c r="A10" s="24" t="str">
        <v>K166</v>
      </c>
      <c r="B10" s="25" t="str">
        <v>NY</v>
      </c>
      <c r="C10" s="25" t="str">
        <f>Sites[[#This Row],[SOL'#]]</f>
        <v>SOL-10363</v>
      </c>
      <c r="D10" s="20">
        <f>SUM(Jan!D10,Feb!D10,Mar!D10)</f>
        <v>58816.625</v>
      </c>
      <c r="E10" s="10">
        <f>SUM(Jan!E10,Feb!E10,Mar!E10)</f>
        <v>71150.650000000009</v>
      </c>
      <c r="F10" s="10">
        <f t="shared" si="0"/>
        <v>-12334.025000000009</v>
      </c>
      <c r="G10" s="11">
        <f t="shared" si="1"/>
        <v>-0.17335084078641597</v>
      </c>
      <c r="H10" s="12">
        <f>SUM(Jan!H10,Feb!H10,Mar!H10)</f>
        <v>54476.13</v>
      </c>
      <c r="I10" s="12">
        <f>SUM(Jan!I10,Feb!I10,Mar!I10)</f>
        <v>4340.4950000000026</v>
      </c>
      <c r="J10" s="13">
        <f t="shared" si="2"/>
        <v>7.9677007158915347E-2</v>
      </c>
    </row>
    <row r="11" spans="1:10" ht="15.6">
      <c r="A11" s="26" t="str">
        <v>K206</v>
      </c>
      <c r="B11" s="27" t="str">
        <v>NY</v>
      </c>
      <c r="C11" s="27" t="str">
        <f>Sites[[#This Row],[SOL'#]]</f>
        <v>SOL-10927</v>
      </c>
      <c r="D11" s="16">
        <f>SUM(Jan!D11,Feb!D11,Mar!D11)</f>
        <v>35230.823984374998</v>
      </c>
      <c r="E11" s="16">
        <f>SUM(Jan!E11,Feb!E11,Mar!E11)</f>
        <v>42404.210000000006</v>
      </c>
      <c r="F11" s="14">
        <f t="shared" si="0"/>
        <v>-7173.3860156250084</v>
      </c>
      <c r="G11" s="15">
        <f t="shared" si="1"/>
        <v>-0.16916683545395628</v>
      </c>
      <c r="H11" s="16">
        <f>SUM(Jan!H11,Feb!H11,Mar!H11)</f>
        <v>32033</v>
      </c>
      <c r="I11" s="16">
        <f>SUM(Jan!I11,Feb!I11,Mar!I11)</f>
        <v>3197.8239843749989</v>
      </c>
      <c r="J11" s="15">
        <f t="shared" si="2"/>
        <v>9.9829050803078037E-2</v>
      </c>
    </row>
    <row r="12" spans="1:10" ht="15.6">
      <c r="A12" s="24" t="str">
        <v>K251</v>
      </c>
      <c r="B12" s="25" t="str">
        <v>NY</v>
      </c>
      <c r="C12" s="25" t="str">
        <f>Sites[[#This Row],[SOL'#]]</f>
        <v>SOL-10365</v>
      </c>
      <c r="D12" s="20">
        <f>SUM(Jan!D12,Feb!D12,Mar!D12)</f>
        <v>39545.375</v>
      </c>
      <c r="E12" s="10">
        <f>SUM(Jan!E12,Feb!E12,Mar!E12)</f>
        <v>0</v>
      </c>
      <c r="F12" s="10">
        <f t="shared" si="0"/>
        <v>39545.375</v>
      </c>
      <c r="G12" s="11" t="str">
        <f t="shared" si="1"/>
        <v/>
      </c>
      <c r="H12" s="12">
        <f>SUM(Jan!H12,Feb!H12,Mar!H12)</f>
        <v>36320.712</v>
      </c>
      <c r="I12" s="12">
        <f>SUM(Jan!I12,Feb!I12,Mar!I12)</f>
        <v>3224.6630000000023</v>
      </c>
      <c r="J12" s="13">
        <f t="shared" si="2"/>
        <v>8.8783033768721334E-2</v>
      </c>
    </row>
    <row r="13" spans="1:10" ht="15.6">
      <c r="A13" s="26" t="str">
        <v>K269</v>
      </c>
      <c r="B13" s="27" t="str">
        <v>NY</v>
      </c>
      <c r="C13" s="27" t="str">
        <f>Sites[[#This Row],[SOL'#]]</f>
        <v>SOL-10366</v>
      </c>
      <c r="D13" s="16">
        <f>SUM(Jan!D13,Feb!D13,Mar!D13)</f>
        <v>35207.875</v>
      </c>
      <c r="E13" s="16">
        <f>SUM(Jan!E13,Feb!E13,Mar!E13)</f>
        <v>46926.1</v>
      </c>
      <c r="F13" s="14">
        <f t="shared" si="0"/>
        <v>-11718.224999999999</v>
      </c>
      <c r="G13" s="15">
        <f t="shared" si="1"/>
        <v>-0.24971657563701222</v>
      </c>
      <c r="H13" s="16">
        <f>SUM(Jan!H13,Feb!H13,Mar!H13)</f>
        <v>35757.561999999998</v>
      </c>
      <c r="I13" s="16">
        <f>SUM(Jan!I13,Feb!I13,Mar!I13)</f>
        <v>-549.68699999999899</v>
      </c>
      <c r="J13" s="15">
        <f t="shared" si="2"/>
        <v>-1.537260845691882E-2</v>
      </c>
    </row>
    <row r="14" spans="1:10" ht="15.6">
      <c r="A14" s="24" t="str">
        <v>K273</v>
      </c>
      <c r="B14" s="25" t="str">
        <v>NY</v>
      </c>
      <c r="C14" s="25" t="str">
        <f>Sites[[#This Row],[SOL'#]]</f>
        <v>SOL-10367</v>
      </c>
      <c r="D14" s="20">
        <f>SUM(Jan!D14,Feb!D14,Mar!D14)</f>
        <v>37234.6875</v>
      </c>
      <c r="E14" s="10">
        <f>SUM(Jan!E14,Feb!E14,Mar!E14)</f>
        <v>0</v>
      </c>
      <c r="F14" s="10">
        <f t="shared" si="0"/>
        <v>37234.6875</v>
      </c>
      <c r="G14" s="11" t="str">
        <f t="shared" si="1"/>
        <v/>
      </c>
      <c r="H14" s="12">
        <f>SUM(Jan!H14,Feb!H14,Mar!H14)</f>
        <v>42215</v>
      </c>
      <c r="I14" s="12">
        <f>SUM(Jan!I14,Feb!I14,Mar!I14)</f>
        <v>-4980.3125</v>
      </c>
      <c r="J14" s="13">
        <f t="shared" si="2"/>
        <v>-0.11797494966244226</v>
      </c>
    </row>
    <row r="15" spans="1:10" ht="15.6">
      <c r="A15" s="26" t="str">
        <v>K287</v>
      </c>
      <c r="B15" s="27" t="str">
        <v>NY</v>
      </c>
      <c r="C15" s="27" t="str">
        <f>Sites[[#This Row],[SOL'#]]</f>
        <v>SOL-10919</v>
      </c>
      <c r="D15" s="16">
        <f>SUM(Jan!D15,Feb!D15,Mar!D15)</f>
        <v>31794.09375</v>
      </c>
      <c r="E15" s="16">
        <f>SUM(Jan!E15,Feb!E15,Mar!E15)</f>
        <v>31809.195</v>
      </c>
      <c r="F15" s="14">
        <f t="shared" si="0"/>
        <v>-15.101249999999709</v>
      </c>
      <c r="G15" s="15">
        <f t="shared" si="1"/>
        <v>-4.7474480256415509E-4</v>
      </c>
      <c r="H15" s="16">
        <f>SUM(Jan!H15,Feb!H15,Mar!H15)</f>
        <v>31948</v>
      </c>
      <c r="I15" s="16">
        <f>SUM(Jan!I15,Feb!I15,Mar!I15)</f>
        <v>-153.90625</v>
      </c>
      <c r="J15" s="15">
        <f t="shared" si="2"/>
        <v>-4.8173985852009516E-3</v>
      </c>
    </row>
    <row r="16" spans="1:10" ht="15.6">
      <c r="A16" s="24" t="str">
        <v>K298</v>
      </c>
      <c r="B16" s="25" t="str">
        <v>NY</v>
      </c>
      <c r="C16" s="25" t="str">
        <f>Sites[[#This Row],[SOL'#]]</f>
        <v>SOL-10368</v>
      </c>
      <c r="D16" s="20">
        <f>SUM(Jan!D16,Feb!D16,Mar!D16)</f>
        <v>30988.3125</v>
      </c>
      <c r="E16" s="10">
        <f>SUM(Jan!E16,Feb!E16,Mar!E16)</f>
        <v>41019.480000000003</v>
      </c>
      <c r="F16" s="10">
        <f t="shared" ref="F16:F17" si="3">IF(AND(ISNUMBER(D16),ISNUMBER(E16)), D16-E16, "")</f>
        <v>-10031.167500000003</v>
      </c>
      <c r="G16" s="11">
        <f t="shared" ref="G16:G17" si="4">IFERROR(F16/E16, "")</f>
        <v>-0.2445464325730117</v>
      </c>
      <c r="H16" s="12">
        <f>SUM(Jan!H16,Feb!H16,Mar!H16)</f>
        <v>32201</v>
      </c>
      <c r="I16" s="12">
        <f>SUM(Jan!I16,Feb!I16,Mar!I16)</f>
        <v>-1212.6875</v>
      </c>
      <c r="J16" s="13">
        <f t="shared" ref="J16:J17" si="5">IFERROR(I16/H16, "")</f>
        <v>-3.7659932921337846E-2</v>
      </c>
    </row>
    <row r="17" spans="1:10" ht="15.6">
      <c r="A17" s="26" t="str">
        <v>K335</v>
      </c>
      <c r="B17" s="27" t="str">
        <v>NY</v>
      </c>
      <c r="C17" s="27" t="str">
        <f>Sites[[#This Row],[SOL'#]]</f>
        <v>SOL-10370</v>
      </c>
      <c r="D17" s="16">
        <f>SUM(Jan!D17,Feb!D17,Mar!D17)</f>
        <v>34573.9375</v>
      </c>
      <c r="E17" s="16">
        <f>SUM(Jan!E17,Feb!E17,Mar!E17)</f>
        <v>44090.73</v>
      </c>
      <c r="F17" s="14">
        <f t="shared" si="3"/>
        <v>-9516.7925000000032</v>
      </c>
      <c r="G17" s="15">
        <f t="shared" si="4"/>
        <v>-0.2158456550844135</v>
      </c>
      <c r="H17" s="16">
        <f>SUM(Jan!H17,Feb!H17,Mar!H17)</f>
        <v>35771</v>
      </c>
      <c r="I17" s="16">
        <f>SUM(Jan!I17,Feb!I17,Mar!I17)</f>
        <v>-1197.0625</v>
      </c>
      <c r="J17" s="15">
        <f t="shared" si="5"/>
        <v>-3.3464608202174943E-2</v>
      </c>
    </row>
    <row r="18" spans="1:10" ht="12.75" customHeight="1">
      <c r="A18" s="24" t="str">
        <v>K345</v>
      </c>
      <c r="B18" s="25" t="str">
        <v>NY</v>
      </c>
      <c r="C18" s="25" t="str">
        <f>Sites[[#This Row],[SOL'#]]</f>
        <v>SOL-10920</v>
      </c>
      <c r="D18" s="20">
        <f>SUM(Jan!D18,Feb!D18,Mar!D18)</f>
        <v>40739.343750000015</v>
      </c>
      <c r="E18" s="10">
        <f>SUM(Jan!E18,Feb!E18,Mar!E18)</f>
        <v>30184.546000000002</v>
      </c>
      <c r="F18" s="10">
        <f t="shared" ref="F18:F81" si="6">IF(AND(ISNUMBER(D18),ISNUMBER(E18)), D18-E18, "")</f>
        <v>10554.797750000012</v>
      </c>
      <c r="G18" s="11">
        <f t="shared" ref="G18:G81" si="7">IFERROR(F18/E18, "")</f>
        <v>0.34967555085970192</v>
      </c>
      <c r="H18" s="12">
        <f>SUM(Jan!H18,Feb!H18,Mar!H18)</f>
        <v>38421</v>
      </c>
      <c r="I18" s="12">
        <f>SUM(Jan!I18,Feb!I18,Mar!I18)</f>
        <v>2318.34375000001</v>
      </c>
      <c r="J18" s="13">
        <f t="shared" ref="J18:J81" si="8">IFERROR(I18/H18, "")</f>
        <v>6.0340536425392624E-2</v>
      </c>
    </row>
    <row r="19" spans="1:10" ht="15.6">
      <c r="A19" s="26" t="str">
        <v>K445</v>
      </c>
      <c r="B19" s="27" t="str">
        <v>NY</v>
      </c>
      <c r="C19" s="27" t="str">
        <f>Sites[[#This Row],[SOL'#]]</f>
        <v>SOL-10373</v>
      </c>
      <c r="D19" s="16">
        <f>SUM(Jan!D19,Feb!D19,Mar!D19)</f>
        <v>34367.859375</v>
      </c>
      <c r="E19" s="16">
        <f>SUM(Jan!E19,Feb!E19,Mar!E19)</f>
        <v>43977.83</v>
      </c>
      <c r="F19" s="14">
        <f t="shared" si="6"/>
        <v>-9609.9706250000017</v>
      </c>
      <c r="G19" s="15">
        <f t="shared" si="7"/>
        <v>-0.21851852683499848</v>
      </c>
      <c r="H19" s="16">
        <f>SUM(Jan!H19,Feb!H19,Mar!H19)</f>
        <v>32201.837</v>
      </c>
      <c r="I19" s="16">
        <f>SUM(Jan!I19,Feb!I19,Mar!I19)</f>
        <v>2166.0223749999996</v>
      </c>
      <c r="J19" s="15">
        <f t="shared" si="8"/>
        <v>6.7263938234331147E-2</v>
      </c>
    </row>
    <row r="20" spans="1:10" ht="15.6">
      <c r="A20" s="24" t="str">
        <v>K495</v>
      </c>
      <c r="B20" s="25" t="str">
        <v>NY</v>
      </c>
      <c r="C20" s="25" t="str">
        <f>Sites[[#This Row],[SOL'#]]</f>
        <v>SOL-10374</v>
      </c>
      <c r="D20" s="20">
        <f>SUM(Jan!D20,Feb!D20,Mar!D20)</f>
        <v>576</v>
      </c>
      <c r="E20" s="10">
        <f>SUM(Jan!E20,Feb!E20,Mar!E20)</f>
        <v>133849.47</v>
      </c>
      <c r="F20" s="10">
        <f t="shared" si="6"/>
        <v>-133273.47</v>
      </c>
      <c r="G20" s="11">
        <f t="shared" si="7"/>
        <v>-0.99569665834313725</v>
      </c>
      <c r="H20" s="12">
        <f>SUM(Jan!H20,Feb!H20,Mar!H20)</f>
        <v>145580</v>
      </c>
      <c r="I20" s="12">
        <f>SUM(Jan!I20,Feb!I20,Mar!I20)</f>
        <v>-145004</v>
      </c>
      <c r="J20" s="13">
        <f t="shared" si="8"/>
        <v>-0.99604341255666984</v>
      </c>
    </row>
    <row r="21" spans="1:10" ht="15.6">
      <c r="A21" s="26" t="str">
        <v>M020</v>
      </c>
      <c r="B21" s="27" t="str">
        <v>NY</v>
      </c>
      <c r="C21" s="27" t="str">
        <f>Sites[[#This Row],[SOL'#]]</f>
        <v>SOL-10380</v>
      </c>
      <c r="D21" s="16">
        <f>SUM(Jan!D21,Feb!D21,Mar!D21)</f>
        <v>36141.6875</v>
      </c>
      <c r="E21" s="16">
        <f>SUM(Jan!E21,Feb!E21,Mar!E21)</f>
        <v>43127.54</v>
      </c>
      <c r="F21" s="14">
        <f t="shared" si="6"/>
        <v>-6985.8525000000009</v>
      </c>
      <c r="G21" s="15">
        <f t="shared" si="7"/>
        <v>-0.16198124214828855</v>
      </c>
      <c r="H21" s="16">
        <f>SUM(Jan!H21,Feb!H21,Mar!H21)</f>
        <v>39795</v>
      </c>
      <c r="I21" s="16">
        <f>SUM(Jan!I21,Feb!I21,Mar!I21)</f>
        <v>-3653.3125</v>
      </c>
      <c r="J21" s="15">
        <f t="shared" si="8"/>
        <v>-9.1803304435230562E-2</v>
      </c>
    </row>
    <row r="22" spans="1:10" ht="15.6">
      <c r="A22" s="24" t="str">
        <v>M092</v>
      </c>
      <c r="B22" s="25" t="str">
        <v>NY</v>
      </c>
      <c r="C22" s="25" t="str">
        <f>Sites[[#This Row],[SOL'#]]</f>
        <v>SOL-10383</v>
      </c>
      <c r="D22" s="20">
        <f>SUM(Jan!D22,Feb!D22,Mar!D22)</f>
        <v>35420.750000000022</v>
      </c>
      <c r="E22" s="10">
        <f>SUM(Jan!E22,Feb!E22,Mar!E22)</f>
        <v>43593.08</v>
      </c>
      <c r="F22" s="10">
        <f t="shared" si="6"/>
        <v>-8172.3299999999799</v>
      </c>
      <c r="G22" s="11">
        <f t="shared" si="7"/>
        <v>-0.18746851564514322</v>
      </c>
      <c r="H22" s="12">
        <f>SUM(Jan!H22,Feb!H22,Mar!H22)</f>
        <v>36415.06</v>
      </c>
      <c r="I22" s="12">
        <f>SUM(Jan!I22,Feb!I22,Mar!I22)</f>
        <v>-994.30999999998221</v>
      </c>
      <c r="J22" s="13">
        <f t="shared" si="8"/>
        <v>-2.7304911759035471E-2</v>
      </c>
    </row>
    <row r="23" spans="1:10" ht="15.6">
      <c r="A23" s="26" t="str">
        <v>M143</v>
      </c>
      <c r="B23" s="27" t="str">
        <v>NY</v>
      </c>
      <c r="C23" s="27" t="str">
        <f>Sites[[#This Row],[SOL'#]]</f>
        <v>SOL-10384</v>
      </c>
      <c r="D23" s="16">
        <f>SUM(Jan!D23,Feb!D23,Mar!D23)</f>
        <v>40552.03125</v>
      </c>
      <c r="E23" s="16">
        <f>SUM(Jan!E23,Feb!E23,Mar!E23)</f>
        <v>48973.74</v>
      </c>
      <c r="F23" s="14">
        <f t="shared" si="6"/>
        <v>-8421.708749999998</v>
      </c>
      <c r="G23" s="15">
        <f t="shared" si="7"/>
        <v>-0.17196376568340499</v>
      </c>
      <c r="H23" s="16">
        <f>SUM(Jan!H23,Feb!H23,Mar!H23)</f>
        <v>40133.093999999997</v>
      </c>
      <c r="I23" s="16">
        <f>SUM(Jan!I23,Feb!I23,Mar!I23)</f>
        <v>418.93724999999904</v>
      </c>
      <c r="J23" s="15">
        <f t="shared" si="8"/>
        <v>1.0438698048049798E-2</v>
      </c>
    </row>
    <row r="24" spans="1:10" ht="15.6">
      <c r="A24" s="24" t="str">
        <v>M144</v>
      </c>
      <c r="B24" s="25" t="str">
        <v>NY</v>
      </c>
      <c r="C24" s="25" t="str">
        <f>Sites[[#This Row],[SOL'#]]</f>
        <v>SOL-10385</v>
      </c>
      <c r="D24" s="20">
        <f>SUM(Jan!D24,Feb!D24,Mar!D24)</f>
        <v>60786.125</v>
      </c>
      <c r="E24" s="10">
        <f>SUM(Jan!E24,Feb!E24,Mar!E24)</f>
        <v>0</v>
      </c>
      <c r="F24" s="10">
        <f t="shared" si="6"/>
        <v>60786.125</v>
      </c>
      <c r="G24" s="11" t="str">
        <f t="shared" si="7"/>
        <v/>
      </c>
      <c r="H24" s="12">
        <f>SUM(Jan!H24,Feb!H24,Mar!H24)</f>
        <v>61123</v>
      </c>
      <c r="I24" s="12">
        <f>SUM(Jan!I24,Feb!I24,Mar!I24)</f>
        <v>-336.875</v>
      </c>
      <c r="J24" s="13">
        <f t="shared" si="8"/>
        <v>-5.511427776777972E-3</v>
      </c>
    </row>
    <row r="25" spans="1:10" ht="15.6">
      <c r="A25" s="26" t="str">
        <v>M167</v>
      </c>
      <c r="B25" s="27" t="str">
        <v>NY</v>
      </c>
      <c r="C25" s="27" t="str">
        <f>Sites[[#This Row],[SOL'#]]</f>
        <v>SOL-10386</v>
      </c>
      <c r="D25" s="16">
        <f>SUM(Jan!D25,Feb!D25,Mar!D25)</f>
        <v>41523.265625</v>
      </c>
      <c r="E25" s="16">
        <f>SUM(Jan!E25,Feb!E25,Mar!E25)</f>
        <v>37503.085999999996</v>
      </c>
      <c r="F25" s="14">
        <f t="shared" si="6"/>
        <v>4020.1796250000043</v>
      </c>
      <c r="G25" s="15">
        <f t="shared" si="7"/>
        <v>0.10719596848643348</v>
      </c>
      <c r="H25" s="16">
        <f>SUM(Jan!H25,Feb!H25,Mar!H25)</f>
        <v>45030.830999999998</v>
      </c>
      <c r="I25" s="16">
        <f>SUM(Jan!I25,Feb!I25,Mar!I25)</f>
        <v>-3507.5653749999992</v>
      </c>
      <c r="J25" s="15">
        <f t="shared" si="8"/>
        <v>-7.7892530453191042E-2</v>
      </c>
    </row>
    <row r="26" spans="1:10" ht="15.6">
      <c r="A26" s="24" t="str">
        <v>M188</v>
      </c>
      <c r="B26" s="25" t="str">
        <v>NY</v>
      </c>
      <c r="C26" s="25" t="str">
        <f>Sites[[#This Row],[SOL'#]]</f>
        <v>SOL-10387</v>
      </c>
      <c r="D26" s="20">
        <f>SUM(Jan!D26,Feb!D26,Mar!D26)</f>
        <v>31767.34375</v>
      </c>
      <c r="E26" s="10">
        <f>SUM(Jan!E26,Feb!E26,Mar!E26)</f>
        <v>0</v>
      </c>
      <c r="F26" s="10">
        <f t="shared" si="6"/>
        <v>31767.34375</v>
      </c>
      <c r="G26" s="11" t="str">
        <f t="shared" si="7"/>
        <v/>
      </c>
      <c r="H26" s="12">
        <f>SUM(Jan!H26,Feb!H26,Mar!H26)</f>
        <v>31939</v>
      </c>
      <c r="I26" s="12">
        <f>SUM(Jan!I26,Feb!I26,Mar!I26)</f>
        <v>-171.65625</v>
      </c>
      <c r="J26" s="13">
        <f t="shared" si="8"/>
        <v>-5.374502958765146E-3</v>
      </c>
    </row>
    <row r="27" spans="1:10" ht="15.6">
      <c r="A27" s="26" t="str">
        <v>EMHC</v>
      </c>
      <c r="B27" s="27" t="str">
        <v>NY</v>
      </c>
      <c r="C27" s="27" t="str">
        <f>Sites[[#This Row],[SOL'#]]</f>
        <v>SOL-10351</v>
      </c>
      <c r="D27" s="16">
        <f>SUM(Jan!D27,Feb!D27,Mar!D27)</f>
        <v>11616.3203125</v>
      </c>
      <c r="E27" s="16">
        <f>SUM(Jan!E27,Feb!E27,Mar!E27)</f>
        <v>10045.342000000001</v>
      </c>
      <c r="F27" s="14">
        <f t="shared" si="6"/>
        <v>1570.9783124999994</v>
      </c>
      <c r="G27" s="15">
        <f t="shared" si="7"/>
        <v>0.15638873345476931</v>
      </c>
      <c r="H27" s="16">
        <f>SUM(Jan!H27,Feb!H27,Mar!H27)</f>
        <v>12208.593000000001</v>
      </c>
      <c r="I27" s="16">
        <f>SUM(Jan!I27,Feb!I27,Mar!I27)</f>
        <v>-592.27268749999985</v>
      </c>
      <c r="J27" s="15">
        <f t="shared" si="8"/>
        <v>-4.8512771905820748E-2</v>
      </c>
    </row>
    <row r="28" spans="1:10" ht="15.6">
      <c r="A28" s="24" t="str">
        <v>Q008</v>
      </c>
      <c r="B28" s="25" t="str">
        <v>NY</v>
      </c>
      <c r="C28" s="25" t="str">
        <f>Sites[[#This Row],[SOL'#]]</f>
        <v>SOL-10397</v>
      </c>
      <c r="D28" s="20">
        <f>SUM(Jan!D28,Feb!D28,Mar!D28)</f>
        <v>39978.6875</v>
      </c>
      <c r="E28" s="10">
        <f>SUM(Jan!E28,Feb!E28,Mar!E28)</f>
        <v>49531.6</v>
      </c>
      <c r="F28" s="10">
        <f t="shared" si="6"/>
        <v>-9552.9124999999985</v>
      </c>
      <c r="G28" s="11">
        <f t="shared" si="7"/>
        <v>-0.19286500940813539</v>
      </c>
      <c r="H28" s="12">
        <f>SUM(Jan!H28,Feb!H28,Mar!H28)</f>
        <v>50157</v>
      </c>
      <c r="I28" s="12">
        <f>SUM(Jan!I28,Feb!I28,Mar!I28)</f>
        <v>-10178.3125</v>
      </c>
      <c r="J28" s="13">
        <f t="shared" si="8"/>
        <v>-0.20292905277428874</v>
      </c>
    </row>
    <row r="29" spans="1:10" ht="15.6">
      <c r="A29" s="26" t="str">
        <v>Q018</v>
      </c>
      <c r="B29" s="27" t="str">
        <v>NY</v>
      </c>
      <c r="C29" s="27" t="str">
        <f>Sites[[#This Row],[SOL'#]]</f>
        <v>SOL-10398</v>
      </c>
      <c r="D29" s="16">
        <f>SUM(Jan!D29,Feb!D29,Mar!D29)</f>
        <v>34397.125</v>
      </c>
      <c r="E29" s="16">
        <f>SUM(Jan!E29,Feb!E29,Mar!E29)</f>
        <v>36028.131999999998</v>
      </c>
      <c r="F29" s="14">
        <f t="shared" si="6"/>
        <v>-1631.0069999999978</v>
      </c>
      <c r="G29" s="15">
        <f t="shared" si="7"/>
        <v>-4.5270373717960118E-2</v>
      </c>
      <c r="H29" s="16">
        <f>SUM(Jan!H29,Feb!H29,Mar!H29)</f>
        <v>28526.106</v>
      </c>
      <c r="I29" s="16">
        <f>SUM(Jan!I29,Feb!I29,Mar!I29)</f>
        <v>5871.0190000000002</v>
      </c>
      <c r="J29" s="15">
        <f t="shared" si="8"/>
        <v>0.20581214274391324</v>
      </c>
    </row>
    <row r="30" spans="1:10" ht="15.6">
      <c r="A30" s="24" t="str">
        <v>Q021</v>
      </c>
      <c r="B30" s="25" t="str">
        <v>NY</v>
      </c>
      <c r="C30" s="25" t="str">
        <f>Sites[[#This Row],[SOL'#]]</f>
        <v>SOL-10399</v>
      </c>
      <c r="D30" s="20">
        <f>SUM(Jan!D30,Feb!D30,Mar!D30)</f>
        <v>27566.90624999996</v>
      </c>
      <c r="E30" s="10">
        <f>SUM(Jan!E30,Feb!E30,Mar!E30)</f>
        <v>33378.944000000003</v>
      </c>
      <c r="F30" s="10">
        <f t="shared" si="6"/>
        <v>-5812.0377500000432</v>
      </c>
      <c r="G30" s="11">
        <f t="shared" si="7"/>
        <v>-0.17412287668537516</v>
      </c>
      <c r="H30" s="12">
        <f>SUM(Jan!H30,Feb!H30,Mar!H30)</f>
        <v>23127.077000000001</v>
      </c>
      <c r="I30" s="12">
        <f>SUM(Jan!I30,Feb!I30,Mar!I30)</f>
        <v>4439.8292499999598</v>
      </c>
      <c r="J30" s="13">
        <f t="shared" si="8"/>
        <v>0.19197537371454074</v>
      </c>
    </row>
    <row r="31" spans="1:10" ht="15.6">
      <c r="A31" s="26" t="str">
        <v>Q025</v>
      </c>
      <c r="B31" s="27" t="str">
        <v>NY</v>
      </c>
      <c r="C31" s="27" t="str">
        <f>Sites[[#This Row],[SOL'#]]</f>
        <v>SOL-10400</v>
      </c>
      <c r="D31" s="16">
        <f>SUM(Jan!D31,Feb!D31,Mar!D31)</f>
        <v>46126.375</v>
      </c>
      <c r="E31" s="16">
        <f>SUM(Jan!E31,Feb!E31,Mar!E31)</f>
        <v>52071.729999999996</v>
      </c>
      <c r="F31" s="14">
        <f t="shared" si="6"/>
        <v>-5945.3549999999959</v>
      </c>
      <c r="G31" s="15">
        <f t="shared" si="7"/>
        <v>-0.11417625264226859</v>
      </c>
      <c r="H31" s="16">
        <f>SUM(Jan!H31,Feb!H31,Mar!H31)</f>
        <v>30045</v>
      </c>
      <c r="I31" s="16">
        <f>SUM(Jan!I31,Feb!I31,Mar!I31)</f>
        <v>16081.375</v>
      </c>
      <c r="J31" s="15">
        <f t="shared" si="8"/>
        <v>0.53524296888001333</v>
      </c>
    </row>
    <row r="32" spans="1:10" ht="15.6">
      <c r="A32" s="24" t="str">
        <v>Q074</v>
      </c>
      <c r="B32" s="25" t="str">
        <v>NY</v>
      </c>
      <c r="C32" s="25" t="str">
        <f>Sites[[#This Row],[SOL'#]]</f>
        <v>SOL-10402</v>
      </c>
      <c r="D32" s="20">
        <f>SUM(Jan!D32,Feb!D32,Mar!D32)</f>
        <v>29699.875</v>
      </c>
      <c r="E32" s="10">
        <f>SUM(Jan!E32,Feb!E32,Mar!E32)</f>
        <v>31804.750999999997</v>
      </c>
      <c r="F32" s="10">
        <f t="shared" si="6"/>
        <v>-2104.8759999999966</v>
      </c>
      <c r="G32" s="11">
        <f t="shared" si="7"/>
        <v>-6.6181181547373125E-2</v>
      </c>
      <c r="H32" s="12">
        <f>SUM(Jan!H32,Feb!H32,Mar!H32)</f>
        <v>26494.826000000001</v>
      </c>
      <c r="I32" s="12">
        <f>SUM(Jan!I32,Feb!I32,Mar!I32)</f>
        <v>3205.049</v>
      </c>
      <c r="J32" s="13">
        <f t="shared" si="8"/>
        <v>0.12096886388308419</v>
      </c>
    </row>
    <row r="33" spans="1:10" ht="15.6">
      <c r="A33" s="26" t="str">
        <v>Q115</v>
      </c>
      <c r="B33" s="27" t="str">
        <v>NY</v>
      </c>
      <c r="C33" s="27" t="str">
        <f>Sites[[#This Row],[SOL'#]]</f>
        <v>SOL-10872</v>
      </c>
      <c r="D33" s="16">
        <f>SUM(Jan!D33,Feb!D33,Mar!D33)</f>
        <v>39141.875</v>
      </c>
      <c r="E33" s="16">
        <f>SUM(Jan!E33,Feb!E33,Mar!E33)</f>
        <v>47215.259999999995</v>
      </c>
      <c r="F33" s="14">
        <f t="shared" si="6"/>
        <v>-8073.3849999999948</v>
      </c>
      <c r="G33" s="15">
        <f t="shared" si="7"/>
        <v>-0.17099101010986692</v>
      </c>
      <c r="H33" s="16">
        <f>SUM(Jan!H33,Feb!H33,Mar!H33)</f>
        <v>35263.256999999998</v>
      </c>
      <c r="I33" s="16">
        <f>SUM(Jan!I33,Feb!I33,Mar!I33)</f>
        <v>3878.6180000000004</v>
      </c>
      <c r="J33" s="15">
        <f t="shared" si="8"/>
        <v>0.10999035057935802</v>
      </c>
    </row>
    <row r="34" spans="1:10" ht="15.6">
      <c r="A34" s="24" t="str">
        <v>Q139</v>
      </c>
      <c r="B34" s="25" t="str">
        <v>NY</v>
      </c>
      <c r="C34" s="25" t="str">
        <f>Sites[[#This Row],[SOL'#]]</f>
        <v>SOL-10403</v>
      </c>
      <c r="D34" s="20">
        <f>SUM(Jan!D34,Feb!D34,Mar!D34)</f>
        <v>23405.09375</v>
      </c>
      <c r="E34" s="10">
        <f>SUM(Jan!E34,Feb!E34,Mar!E34)</f>
        <v>26141.15</v>
      </c>
      <c r="F34" s="10">
        <f t="shared" si="6"/>
        <v>-2736.0562500000015</v>
      </c>
      <c r="G34" s="11">
        <f t="shared" si="7"/>
        <v>-0.1046647240079339</v>
      </c>
      <c r="H34" s="12">
        <f>SUM(Jan!H34,Feb!H34,Mar!H34)</f>
        <v>22305</v>
      </c>
      <c r="I34" s="12">
        <f>SUM(Jan!I34,Feb!I34,Mar!I34)</f>
        <v>1100.09375</v>
      </c>
      <c r="J34" s="13">
        <f t="shared" si="8"/>
        <v>4.9320499887917507E-2</v>
      </c>
    </row>
    <row r="35" spans="1:10" ht="15.6">
      <c r="A35" s="26" t="str">
        <v>Q157</v>
      </c>
      <c r="B35" s="27" t="str">
        <v>NY</v>
      </c>
      <c r="C35" s="27" t="str">
        <f>Sites[[#This Row],[SOL'#]]</f>
        <v>SOL-10404</v>
      </c>
      <c r="D35" s="16">
        <f>SUM(Jan!D35,Feb!D35,Mar!D35)</f>
        <v>39595.875</v>
      </c>
      <c r="E35" s="16">
        <f>SUM(Jan!E35,Feb!E35,Mar!E35)</f>
        <v>50882.78</v>
      </c>
      <c r="F35" s="14">
        <f t="shared" si="6"/>
        <v>-11286.904999999999</v>
      </c>
      <c r="G35" s="15">
        <f t="shared" si="7"/>
        <v>-0.22182170471031651</v>
      </c>
      <c r="H35" s="16">
        <f>SUM(Jan!H35,Feb!H35,Mar!H35)</f>
        <v>40055.240999999995</v>
      </c>
      <c r="I35" s="16">
        <f>SUM(Jan!I35,Feb!I35,Mar!I35)</f>
        <v>-459.36599999999999</v>
      </c>
      <c r="J35" s="15">
        <f t="shared" si="8"/>
        <v>-1.1468311974455478E-2</v>
      </c>
    </row>
    <row r="36" spans="1:10" ht="15.6">
      <c r="A36" s="24" t="str">
        <v>Q192</v>
      </c>
      <c r="B36" s="25" t="str">
        <v>NY</v>
      </c>
      <c r="C36" s="25" t="str">
        <f>Sites[[#This Row],[SOL'#]]</f>
        <v>SOL-10406</v>
      </c>
      <c r="D36" s="20">
        <f>SUM(Jan!D36,Feb!D36,Mar!D36)</f>
        <v>64536.5</v>
      </c>
      <c r="E36" s="10">
        <f>SUM(Jan!E36,Feb!E36,Mar!E36)</f>
        <v>77228.179999999993</v>
      </c>
      <c r="F36" s="10">
        <f t="shared" si="6"/>
        <v>-12691.679999999993</v>
      </c>
      <c r="G36" s="11">
        <f t="shared" si="7"/>
        <v>-0.16434001163823872</v>
      </c>
      <c r="H36" s="12">
        <f>SUM(Jan!H36,Feb!H36,Mar!H36)</f>
        <v>59130.01</v>
      </c>
      <c r="I36" s="12">
        <f>SUM(Jan!I36,Feb!I36,Mar!I36)</f>
        <v>5406.489999999998</v>
      </c>
      <c r="J36" s="13">
        <f t="shared" si="8"/>
        <v>9.1433943610021343E-2</v>
      </c>
    </row>
    <row r="37" spans="1:10" ht="15.6">
      <c r="A37" s="26" t="str">
        <v>Q210</v>
      </c>
      <c r="B37" s="27" t="str">
        <v>NY</v>
      </c>
      <c r="C37" s="27" t="str">
        <f>Sites[[#This Row],[SOL'#]]</f>
        <v>SOL-10407</v>
      </c>
      <c r="D37" s="16">
        <f>SUM(Jan!D37,Feb!D37,Mar!D37)</f>
        <v>53490.375</v>
      </c>
      <c r="E37" s="16">
        <f>SUM(Jan!E37,Feb!E37,Mar!E37)</f>
        <v>56846.85</v>
      </c>
      <c r="F37" s="14">
        <f t="shared" si="6"/>
        <v>-3356.4749999999985</v>
      </c>
      <c r="G37" s="15">
        <f t="shared" si="7"/>
        <v>-5.9044168674253696E-2</v>
      </c>
      <c r="H37" s="16">
        <f>SUM(Jan!H37,Feb!H37,Mar!H37)</f>
        <v>49341</v>
      </c>
      <c r="I37" s="16">
        <f>SUM(Jan!I37,Feb!I37,Mar!I37)</f>
        <v>4149.375</v>
      </c>
      <c r="J37" s="15">
        <f t="shared" si="8"/>
        <v>8.4095883747795946E-2</v>
      </c>
    </row>
    <row r="38" spans="1:10" ht="15.6">
      <c r="A38" s="24" t="str">
        <v>Q229</v>
      </c>
      <c r="B38" s="25" t="str">
        <v>NY</v>
      </c>
      <c r="C38" s="25" t="str">
        <f>Sites[[#This Row],[SOL'#]]</f>
        <v>SOL-10408</v>
      </c>
      <c r="D38" s="20">
        <f>SUM(Jan!D38,Feb!D38,Mar!D38)</f>
        <v>21814.71875</v>
      </c>
      <c r="E38" s="10">
        <f>SUM(Jan!E38,Feb!E38,Mar!E38)</f>
        <v>28808.938999999998</v>
      </c>
      <c r="F38" s="10">
        <f t="shared" si="6"/>
        <v>-6994.2202499999985</v>
      </c>
      <c r="G38" s="11">
        <f t="shared" si="7"/>
        <v>-0.24277951541360127</v>
      </c>
      <c r="H38" s="12">
        <f>SUM(Jan!H38,Feb!H38,Mar!H38)</f>
        <v>9902.8089999999993</v>
      </c>
      <c r="I38" s="12">
        <f>SUM(Jan!I38,Feb!I38,Mar!I38)</f>
        <v>11911.909750000001</v>
      </c>
      <c r="J38" s="13">
        <f t="shared" si="8"/>
        <v>1.2028819045182031</v>
      </c>
    </row>
    <row r="39" spans="1:10" ht="15.6">
      <c r="A39" s="26" t="str">
        <v>Q231</v>
      </c>
      <c r="B39" s="27" t="str">
        <v>NY</v>
      </c>
      <c r="C39" s="27" t="str">
        <f>Sites[[#This Row],[SOL'#]]</f>
        <v>SOL-10870</v>
      </c>
      <c r="D39" s="16">
        <f>SUM(Jan!D39,Feb!D39,Mar!D39)</f>
        <v>85514.375</v>
      </c>
      <c r="E39" s="16">
        <f>SUM(Jan!E39,Feb!E39,Mar!E39)</f>
        <v>108830.63</v>
      </c>
      <c r="F39" s="14">
        <f t="shared" si="6"/>
        <v>-23316.255000000005</v>
      </c>
      <c r="G39" s="15">
        <f t="shared" si="7"/>
        <v>-0.21424349927956865</v>
      </c>
      <c r="H39" s="16">
        <f>SUM(Jan!H39,Feb!H39,Mar!H39)</f>
        <v>80616</v>
      </c>
      <c r="I39" s="16">
        <f>SUM(Jan!I39,Feb!I39,Mar!I39)</f>
        <v>4898.375</v>
      </c>
      <c r="J39" s="15">
        <f t="shared" si="8"/>
        <v>6.0761821474645233E-2</v>
      </c>
    </row>
    <row r="40" spans="1:10" ht="15.6">
      <c r="A40" s="24" t="str">
        <v>Q405</v>
      </c>
      <c r="B40" s="25" t="str">
        <v>NY</v>
      </c>
      <c r="C40" s="25" t="str">
        <f>Sites[[#This Row],[SOL'#]]</f>
        <v>SOL-10409</v>
      </c>
      <c r="D40" s="20">
        <f>SUM(Jan!D40,Feb!D40,Mar!D40)</f>
        <v>99440.5</v>
      </c>
      <c r="E40" s="10">
        <f>SUM(Jan!E40,Feb!E40,Mar!E40)</f>
        <v>115189.98999999999</v>
      </c>
      <c r="F40" s="10">
        <f t="shared" si="6"/>
        <v>-15749.489999999991</v>
      </c>
      <c r="G40" s="11">
        <f t="shared" si="7"/>
        <v>-0.136726203379304</v>
      </c>
      <c r="H40" s="12">
        <f>SUM(Jan!H40,Feb!H40,Mar!H40)</f>
        <v>87640.71</v>
      </c>
      <c r="I40" s="12">
        <f>SUM(Jan!I40,Feb!I40,Mar!I40)</f>
        <v>11799.789999999997</v>
      </c>
      <c r="J40" s="13">
        <f t="shared" si="8"/>
        <v>0.13463822919736726</v>
      </c>
    </row>
    <row r="41" spans="1:10" ht="15.6">
      <c r="A41" s="26" t="str">
        <v>Q435</v>
      </c>
      <c r="B41" s="27" t="str">
        <v>NY</v>
      </c>
      <c r="C41" s="27" t="str">
        <f>Sites[[#This Row],[SOL'#]]</f>
        <v>SOL-10923</v>
      </c>
      <c r="D41" s="16">
        <f>SUM(Jan!D41,Feb!D41,Mar!D41)</f>
        <v>127573</v>
      </c>
      <c r="E41" s="16">
        <f>SUM(Jan!E41,Feb!E41,Mar!E41)</f>
        <v>110358.02</v>
      </c>
      <c r="F41" s="14">
        <f t="shared" si="6"/>
        <v>17214.979999999996</v>
      </c>
      <c r="G41" s="15">
        <f t="shared" si="7"/>
        <v>0.15599210641872693</v>
      </c>
      <c r="H41" s="16">
        <f>SUM(Jan!H41,Feb!H41,Mar!H41)</f>
        <v>117825</v>
      </c>
      <c r="I41" s="16">
        <f>SUM(Jan!I41,Feb!I41,Mar!I41)</f>
        <v>9748</v>
      </c>
      <c r="J41" s="15">
        <f t="shared" si="8"/>
        <v>8.2732866539359226E-2</v>
      </c>
    </row>
    <row r="42" spans="1:10" ht="15.6">
      <c r="A42" s="24" t="str">
        <v>Q485</v>
      </c>
      <c r="B42" s="25" t="str">
        <v>NY</v>
      </c>
      <c r="C42" s="25" t="str">
        <f>Sites[[#This Row],[SOL'#]]</f>
        <v>SOL-10869</v>
      </c>
      <c r="D42" s="20">
        <f>SUM(Jan!D42,Feb!D42,Mar!D42)</f>
        <v>110495.75</v>
      </c>
      <c r="E42" s="10">
        <f>SUM(Jan!E42,Feb!E42,Mar!E42)</f>
        <v>105103.41</v>
      </c>
      <c r="F42" s="10">
        <f t="shared" si="6"/>
        <v>5392.3399999999965</v>
      </c>
      <c r="G42" s="11">
        <f t="shared" si="7"/>
        <v>5.1305090862418225E-2</v>
      </c>
      <c r="H42" s="12">
        <f>SUM(Jan!H42,Feb!H42,Mar!H42)</f>
        <v>110570.03</v>
      </c>
      <c r="I42" s="12">
        <f>SUM(Jan!I42,Feb!I42,Mar!I42)</f>
        <v>-74.279999999998836</v>
      </c>
      <c r="J42" s="13">
        <f t="shared" si="8"/>
        <v>-6.7179144294343446E-4</v>
      </c>
    </row>
    <row r="43" spans="1:10" ht="15.6">
      <c r="A43" s="26" t="str">
        <v>Q490</v>
      </c>
      <c r="B43" s="27" t="str">
        <v>NY</v>
      </c>
      <c r="C43" s="27" t="str">
        <f>Sites[[#This Row],[SOL'#]]</f>
        <v>SOL-10411</v>
      </c>
      <c r="D43" s="16">
        <f>SUM(Jan!D43,Feb!D43,Mar!D43)</f>
        <v>83374.807788944803</v>
      </c>
      <c r="E43" s="16">
        <f>SUM(Jan!E43,Feb!E43,Mar!E43)</f>
        <v>0</v>
      </c>
      <c r="F43" s="14">
        <f t="shared" si="6"/>
        <v>83374.807788944803</v>
      </c>
      <c r="G43" s="15" t="str">
        <f t="shared" si="7"/>
        <v/>
      </c>
      <c r="H43" s="16">
        <f>SUM(Jan!H43,Feb!H43,Mar!H43)</f>
        <v>74562.649999999994</v>
      </c>
      <c r="I43" s="16">
        <f>SUM(Jan!I43,Feb!I43,Mar!I43)</f>
        <v>8812.1577889447981</v>
      </c>
      <c r="J43" s="15">
        <f t="shared" si="8"/>
        <v>0.11818461104782084</v>
      </c>
    </row>
    <row r="44" spans="1:10" ht="15.6">
      <c r="A44" s="24" t="str">
        <v>Q620</v>
      </c>
      <c r="B44" s="25" t="str">
        <v>NY</v>
      </c>
      <c r="C44" s="25" t="str">
        <f>Sites[[#This Row],[SOL'#]]</f>
        <v>SOL-10867</v>
      </c>
      <c r="D44" s="20">
        <f>SUM(Jan!D44,Feb!D44,Mar!D44)</f>
        <v>125105.625</v>
      </c>
      <c r="E44" s="10">
        <f>SUM(Jan!E44,Feb!E44,Mar!E44)</f>
        <v>137409.16</v>
      </c>
      <c r="F44" s="10">
        <f t="shared" si="6"/>
        <v>-12303.535000000003</v>
      </c>
      <c r="G44" s="11">
        <f t="shared" si="7"/>
        <v>-8.9539409163115494E-2</v>
      </c>
      <c r="H44" s="12">
        <f>SUM(Jan!H44,Feb!H44,Mar!H44)</f>
        <v>120760.39</v>
      </c>
      <c r="I44" s="12">
        <f>SUM(Jan!I44,Feb!I44,Mar!I44)</f>
        <v>4345.2350000000006</v>
      </c>
      <c r="J44" s="13">
        <f t="shared" si="8"/>
        <v>3.5982286907155568E-2</v>
      </c>
    </row>
    <row r="45" spans="1:10" ht="15.6">
      <c r="A45" s="26" t="str">
        <v>QMOA</v>
      </c>
      <c r="B45" s="27" t="str">
        <v>NY</v>
      </c>
      <c r="C45" s="27" t="str">
        <f>Sites[[#This Row],[SOL'#]]</f>
        <v>SOL-10415</v>
      </c>
      <c r="D45" s="16">
        <f>SUM(Jan!D45,Feb!D45,Mar!D45)</f>
        <v>11408.70000000001</v>
      </c>
      <c r="E45" s="16">
        <f>SUM(Jan!E45,Feb!E45,Mar!E45)</f>
        <v>0</v>
      </c>
      <c r="F45" s="14">
        <f t="shared" si="6"/>
        <v>11408.70000000001</v>
      </c>
      <c r="G45" s="15" t="str">
        <f t="shared" si="7"/>
        <v/>
      </c>
      <c r="H45" s="16">
        <f>SUM(Jan!H45,Feb!H45,Mar!H45)</f>
        <v>11777.986000000001</v>
      </c>
      <c r="I45" s="16">
        <f>SUM(Jan!I45,Feb!I45,Mar!I45)</f>
        <v>-369.28599999999005</v>
      </c>
      <c r="J45" s="15">
        <f t="shared" si="8"/>
        <v>-3.1353917384516337E-2</v>
      </c>
    </row>
    <row r="46" spans="1:10" ht="15.6">
      <c r="A46" s="24" t="str">
        <v>X024</v>
      </c>
      <c r="B46" s="25" t="str">
        <v>NY</v>
      </c>
      <c r="C46" s="25" t="str">
        <f>Sites[[#This Row],[SOL'#]]</f>
        <v>SOL-10419</v>
      </c>
      <c r="D46" s="20">
        <f>SUM(Jan!D46,Feb!D46,Mar!D46)</f>
        <v>45004.375</v>
      </c>
      <c r="E46" s="10">
        <f>SUM(Jan!E46,Feb!E46,Mar!E46)</f>
        <v>57750.19</v>
      </c>
      <c r="F46" s="10">
        <f t="shared" si="6"/>
        <v>-12745.815000000002</v>
      </c>
      <c r="G46" s="11">
        <f t="shared" si="7"/>
        <v>-0.22070602711436971</v>
      </c>
      <c r="H46" s="12">
        <f>SUM(Jan!H46,Feb!H46,Mar!H46)</f>
        <v>38352</v>
      </c>
      <c r="I46" s="12">
        <f>SUM(Jan!I46,Feb!I46,Mar!I46)</f>
        <v>6652.375</v>
      </c>
      <c r="J46" s="13">
        <f t="shared" si="8"/>
        <v>0.17345575198164373</v>
      </c>
    </row>
    <row r="47" spans="1:10" ht="15.6">
      <c r="A47" s="26" t="str">
        <v>X026</v>
      </c>
      <c r="B47" s="27" t="str">
        <v>NY</v>
      </c>
      <c r="C47" s="27" t="str">
        <f>Sites[[#This Row],[SOL'#]]</f>
        <v>SOL-10420</v>
      </c>
      <c r="D47" s="16">
        <f>SUM(Jan!D47,Feb!D47,Mar!D47)</f>
        <v>37650</v>
      </c>
      <c r="E47" s="16">
        <f>SUM(Jan!E47,Feb!E47,Mar!E47)</f>
        <v>45220.32</v>
      </c>
      <c r="F47" s="14">
        <f t="shared" si="6"/>
        <v>-7570.32</v>
      </c>
      <c r="G47" s="15">
        <f t="shared" si="7"/>
        <v>-0.16740969546433992</v>
      </c>
      <c r="H47" s="16">
        <f>SUM(Jan!H47,Feb!H47,Mar!H47)</f>
        <v>50959.61</v>
      </c>
      <c r="I47" s="16">
        <f>SUM(Jan!I47,Feb!I47,Mar!I47)</f>
        <v>-13309.61</v>
      </c>
      <c r="J47" s="15">
        <f t="shared" si="8"/>
        <v>-0.2611795890902619</v>
      </c>
    </row>
    <row r="48" spans="1:10" ht="15.6">
      <c r="A48" s="24" t="str">
        <v>X090</v>
      </c>
      <c r="B48" s="25" t="str">
        <v>NY</v>
      </c>
      <c r="C48" s="25" t="str">
        <f>Sites[[#This Row],[SOL'#]]</f>
        <v>SOL-10925</v>
      </c>
      <c r="D48" s="20">
        <f>SUM(Jan!D48,Feb!D48,Mar!D48)</f>
        <v>36597.21875</v>
      </c>
      <c r="E48" s="10">
        <f>SUM(Jan!E48,Feb!E48,Mar!E48)</f>
        <v>29963.485000000001</v>
      </c>
      <c r="F48" s="10">
        <f t="shared" si="6"/>
        <v>6633.7337499999994</v>
      </c>
      <c r="G48" s="11">
        <f t="shared" si="7"/>
        <v>0.22139393164713647</v>
      </c>
      <c r="H48" s="12">
        <f>SUM(Jan!H48,Feb!H48,Mar!H48)</f>
        <v>34352</v>
      </c>
      <c r="I48" s="12">
        <f>SUM(Jan!I48,Feb!I48,Mar!I48)</f>
        <v>2245.21875</v>
      </c>
      <c r="J48" s="13">
        <f t="shared" si="8"/>
        <v>6.5359185782487186E-2</v>
      </c>
    </row>
    <row r="49" spans="1:10" ht="15.6">
      <c r="A49" s="26" t="str">
        <v>X117</v>
      </c>
      <c r="B49" s="27" t="str">
        <v>NY</v>
      </c>
      <c r="C49" s="27" t="str">
        <f>Sites[[#This Row],[SOL'#]]</f>
        <v>SOL-10422</v>
      </c>
      <c r="D49" s="16">
        <f>SUM(Jan!D49,Feb!D49,Mar!D49)</f>
        <v>28496.800000000003</v>
      </c>
      <c r="E49" s="16">
        <f>SUM(Jan!E49,Feb!E49,Mar!E49)</f>
        <v>38005.027000000002</v>
      </c>
      <c r="F49" s="14">
        <f t="shared" si="6"/>
        <v>-9508.226999999999</v>
      </c>
      <c r="G49" s="15">
        <f t="shared" si="7"/>
        <v>-0.25018340336924372</v>
      </c>
      <c r="H49" s="16">
        <f>SUM(Jan!H49,Feb!H49,Mar!H49)</f>
        <v>28558.339</v>
      </c>
      <c r="I49" s="16">
        <f>SUM(Jan!I49,Feb!I49,Mar!I49)</f>
        <v>-61.53899999999976</v>
      </c>
      <c r="J49" s="15">
        <f t="shared" si="8"/>
        <v>-2.1548522132186945E-3</v>
      </c>
    </row>
    <row r="50" spans="1:10" ht="15.6">
      <c r="A50" s="24" t="str">
        <v>X125</v>
      </c>
      <c r="B50" s="25" t="str">
        <v>NY</v>
      </c>
      <c r="C50" s="25" t="str">
        <f>Sites[[#This Row],[SOL'#]]</f>
        <v>SOL-10423</v>
      </c>
      <c r="D50" s="20">
        <f>SUM(Jan!D50,Feb!D50,Mar!D50)</f>
        <v>55729.0625</v>
      </c>
      <c r="E50" s="10">
        <f>SUM(Jan!E50,Feb!E50,Mar!E50)</f>
        <v>65241.369999999995</v>
      </c>
      <c r="F50" s="10">
        <f t="shared" si="6"/>
        <v>-9512.3074999999953</v>
      </c>
      <c r="G50" s="11">
        <f t="shared" si="7"/>
        <v>-0.14580177424232502</v>
      </c>
      <c r="H50" s="12">
        <f>SUM(Jan!H50,Feb!H50,Mar!H50)</f>
        <v>52855.430000000008</v>
      </c>
      <c r="I50" s="12">
        <f>SUM(Jan!I50,Feb!I50,Mar!I50)</f>
        <v>2873.6324999999979</v>
      </c>
      <c r="J50" s="13">
        <f t="shared" si="8"/>
        <v>5.4367782080289528E-2</v>
      </c>
    </row>
    <row r="51" spans="1:10" ht="15.6">
      <c r="A51" s="26" t="str">
        <v>X134</v>
      </c>
      <c r="B51" s="27" t="str">
        <v>NY</v>
      </c>
      <c r="C51" s="27" t="str">
        <f>Sites[[#This Row],[SOL'#]]</f>
        <v>SOL-10424</v>
      </c>
      <c r="D51" s="16">
        <f>SUM(Jan!D51,Feb!D51,Mar!D51)</f>
        <v>52172.71875</v>
      </c>
      <c r="E51" s="16">
        <f>SUM(Jan!E51,Feb!E51,Mar!E51)</f>
        <v>0</v>
      </c>
      <c r="F51" s="14">
        <f t="shared" si="6"/>
        <v>52172.71875</v>
      </c>
      <c r="G51" s="15" t="str">
        <f t="shared" si="7"/>
        <v/>
      </c>
      <c r="H51" s="16">
        <f>SUM(Jan!H51,Feb!H51,Mar!H51)</f>
        <v>51414</v>
      </c>
      <c r="I51" s="16">
        <f>SUM(Jan!I51,Feb!I51,Mar!I51)</f>
        <v>758.71875</v>
      </c>
      <c r="J51" s="15">
        <f t="shared" si="8"/>
        <v>1.4757045746294783E-2</v>
      </c>
    </row>
    <row r="52" spans="1:10" ht="15.6">
      <c r="A52" s="24" t="str">
        <v>X135</v>
      </c>
      <c r="B52" s="25" t="str">
        <v>NY</v>
      </c>
      <c r="C52" s="25" t="str">
        <f>Sites[[#This Row],[SOL'#]]</f>
        <v>SOL-10425</v>
      </c>
      <c r="D52" s="20">
        <f>SUM(Jan!D52,Feb!D52,Mar!D52)</f>
        <v>42983.09375</v>
      </c>
      <c r="E52" s="10">
        <f>SUM(Jan!E52,Feb!E52,Mar!E52)</f>
        <v>53320.36</v>
      </c>
      <c r="F52" s="10">
        <f t="shared" si="6"/>
        <v>-10337.266250000001</v>
      </c>
      <c r="G52" s="11">
        <f t="shared" si="7"/>
        <v>-0.1938709012842374</v>
      </c>
      <c r="H52" s="12">
        <f>SUM(Jan!H52,Feb!H52,Mar!H52)</f>
        <v>43904</v>
      </c>
      <c r="I52" s="12">
        <f>SUM(Jan!I52,Feb!I52,Mar!I52)</f>
        <v>-920.90625</v>
      </c>
      <c r="J52" s="13">
        <f t="shared" si="8"/>
        <v>-2.0975452122813411E-2</v>
      </c>
    </row>
    <row r="53" spans="1:10" ht="15.6">
      <c r="A53" s="26" t="str">
        <v>X139 JHS 222</v>
      </c>
      <c r="B53" s="27" t="str">
        <v>NY</v>
      </c>
      <c r="C53" s="27" t="str">
        <f>Sites[[#This Row],[SOL'#]]</f>
        <v>SOL-10426</v>
      </c>
      <c r="D53" s="16">
        <f>SUM(Jan!D53,Feb!D53,Mar!D53)</f>
        <v>65304.363623634999</v>
      </c>
      <c r="E53" s="16">
        <f>SUM(Jan!E53,Feb!E53,Mar!E53)</f>
        <v>74458.5</v>
      </c>
      <c r="F53" s="14">
        <f t="shared" si="6"/>
        <v>-9154.1363763650006</v>
      </c>
      <c r="G53" s="15">
        <f t="shared" si="7"/>
        <v>-0.12294279869141872</v>
      </c>
      <c r="H53" s="16">
        <f>SUM(Jan!H53,Feb!H53,Mar!H53)</f>
        <v>60317</v>
      </c>
      <c r="I53" s="16">
        <f>SUM(Jan!I53,Feb!I53,Mar!I53)</f>
        <v>4987.3636236350012</v>
      </c>
      <c r="J53" s="15">
        <f t="shared" si="8"/>
        <v>8.2685870047167487E-2</v>
      </c>
    </row>
    <row r="54" spans="1:10" ht="15.6">
      <c r="A54" s="24" t="str">
        <v>X140</v>
      </c>
      <c r="B54" s="25" t="str">
        <v>NY</v>
      </c>
      <c r="C54" s="25" t="str">
        <f>Sites[[#This Row],[SOL'#]]</f>
        <v>SOL-10926</v>
      </c>
      <c r="D54" s="20">
        <f>SUM(Jan!D54,Feb!D54,Mar!D54)</f>
        <v>36989.359375</v>
      </c>
      <c r="E54" s="10">
        <f>SUM(Jan!E54,Feb!E54,Mar!E54)</f>
        <v>35154.074000000001</v>
      </c>
      <c r="F54" s="10">
        <f t="shared" si="6"/>
        <v>1835.2853749999995</v>
      </c>
      <c r="G54" s="11">
        <f t="shared" si="7"/>
        <v>5.2206904241027641E-2</v>
      </c>
      <c r="H54" s="12">
        <f>SUM(Jan!H54,Feb!H54,Mar!H54)</f>
        <v>36763</v>
      </c>
      <c r="I54" s="12">
        <f>SUM(Jan!I54,Feb!I54,Mar!I54)</f>
        <v>226.359375</v>
      </c>
      <c r="J54" s="13">
        <f t="shared" si="8"/>
        <v>6.1572606968963361E-3</v>
      </c>
    </row>
    <row r="55" spans="1:10" ht="15.6">
      <c r="A55" s="26" t="str">
        <v>X166</v>
      </c>
      <c r="B55" s="27" t="str">
        <v>NY</v>
      </c>
      <c r="C55" s="27" t="str">
        <f>Sites[[#This Row],[SOL'#]]</f>
        <v>SOL-10427</v>
      </c>
      <c r="D55" s="16">
        <f>SUM(Jan!D55,Feb!D55,Mar!D55)</f>
        <v>39872.199999999997</v>
      </c>
      <c r="E55" s="16">
        <f>SUM(Jan!E55,Feb!E55,Mar!E55)</f>
        <v>48413.64</v>
      </c>
      <c r="F55" s="14">
        <f t="shared" si="6"/>
        <v>-8541.4400000000023</v>
      </c>
      <c r="G55" s="15">
        <f t="shared" si="7"/>
        <v>-0.17642631291512068</v>
      </c>
      <c r="H55" s="16">
        <f>SUM(Jan!H55,Feb!H55,Mar!H55)</f>
        <v>37390</v>
      </c>
      <c r="I55" s="16">
        <f>SUM(Jan!I55,Feb!I55,Mar!I55)</f>
        <v>2482.2000000000007</v>
      </c>
      <c r="J55" s="15">
        <f t="shared" si="8"/>
        <v>6.6386734420968194E-2</v>
      </c>
    </row>
    <row r="56" spans="1:10" ht="15.6">
      <c r="A56" s="24" t="str">
        <v>Murphy</v>
      </c>
      <c r="B56" s="25" t="str">
        <v>MN</v>
      </c>
      <c r="C56" s="25" t="str">
        <f>Sites[[#This Row],[SOL'#]]</f>
        <v>SOL-10094</v>
      </c>
      <c r="D56" s="20">
        <f>SUM(Jan!D56,Feb!D56,Mar!D56)</f>
        <v>1866950</v>
      </c>
      <c r="E56" s="10">
        <f>SUM(Jan!E56,Feb!E56,Mar!E56)</f>
        <v>2333706.1</v>
      </c>
      <c r="F56" s="10">
        <f t="shared" si="6"/>
        <v>-466756.10000000009</v>
      </c>
      <c r="G56" s="11">
        <f t="shared" si="7"/>
        <v>-0.20000637612422578</v>
      </c>
      <c r="H56" s="12">
        <f>SUM(Jan!H56,Feb!H56,Mar!H56)</f>
        <v>1991521.7000000002</v>
      </c>
      <c r="I56" s="12">
        <f>SUM(Jan!I56,Feb!I56,Mar!I56)</f>
        <v>-124571.70000000007</v>
      </c>
      <c r="J56" s="13">
        <f t="shared" si="8"/>
        <v>-6.2551013127298619E-2</v>
      </c>
    </row>
    <row r="57" spans="1:10" ht="15.6">
      <c r="A57" s="26" t="str">
        <v>Terning</v>
      </c>
      <c r="B57" s="27" t="str">
        <v>MN</v>
      </c>
      <c r="C57" s="27" t="str">
        <f>Sites[[#This Row],[SOL'#]]</f>
        <v>SOL-10093</v>
      </c>
      <c r="D57" s="16">
        <f>SUM(Jan!D57,Feb!D57,Mar!D57)</f>
        <v>1723767.7949999999</v>
      </c>
      <c r="E57" s="16">
        <f>SUM(Jan!E57,Feb!E57,Mar!E57)</f>
        <v>2329333.7999999998</v>
      </c>
      <c r="F57" s="14">
        <f t="shared" si="6"/>
        <v>-605566.00499999989</v>
      </c>
      <c r="G57" s="15">
        <f t="shared" si="7"/>
        <v>-0.25997390541450088</v>
      </c>
      <c r="H57" s="16">
        <f>SUM(Jan!H57,Feb!H57,Mar!H57)</f>
        <v>1889625.4999999998</v>
      </c>
      <c r="I57" s="16">
        <f>SUM(Jan!I57,Feb!I57,Mar!I57)</f>
        <v>-165857.70499999984</v>
      </c>
      <c r="J57" s="15">
        <f t="shared" si="8"/>
        <v>-8.777279148699034E-2</v>
      </c>
    </row>
    <row r="58" spans="1:10" ht="15.6">
      <c r="A58" s="24" t="str">
        <v>Boas Road 04</v>
      </c>
      <c r="B58" s="25" t="str">
        <v>NY</v>
      </c>
      <c r="C58" s="25" t="str">
        <f>Sites[[#This Row],[SOL'#]]</f>
        <v>SOL-10908</v>
      </c>
      <c r="D58" s="20">
        <f>SUM(Jan!D58,Feb!D58,Mar!D58)</f>
        <v>409196</v>
      </c>
      <c r="E58" s="10">
        <f>SUM(Jan!E58,Feb!E58,Mar!E58)</f>
        <v>732048.48300000001</v>
      </c>
      <c r="F58" s="10">
        <f t="shared" si="6"/>
        <v>-322852.48300000001</v>
      </c>
      <c r="G58" s="11">
        <f t="shared" si="7"/>
        <v>-0.4410260938960241</v>
      </c>
      <c r="H58" s="12">
        <f>SUM(Jan!H58,Feb!H58,Mar!H58)</f>
        <v>677797.76</v>
      </c>
      <c r="I58" s="12">
        <f>SUM(Jan!I58,Feb!I58,Mar!I58)</f>
        <v>-268601.76</v>
      </c>
      <c r="J58" s="13">
        <f t="shared" si="8"/>
        <v>-0.39628599539780124</v>
      </c>
    </row>
    <row r="59" spans="1:10" ht="15.6">
      <c r="A59" s="26" t="str">
        <v>Kelly Bridge Farm</v>
      </c>
      <c r="B59" s="27" t="str">
        <v>NY</v>
      </c>
      <c r="C59" s="27" t="str">
        <f>Sites[[#This Row],[SOL'#]]</f>
        <v>SOL-10911</v>
      </c>
      <c r="D59" s="16">
        <f>SUM(Jan!D59,Feb!D59,Mar!D59)</f>
        <v>393266</v>
      </c>
      <c r="E59" s="16">
        <f>SUM(Jan!E59,Feb!E59,Mar!E59)</f>
        <v>739185.21799999999</v>
      </c>
      <c r="F59" s="14">
        <f t="shared" si="6"/>
        <v>-345919.21799999999</v>
      </c>
      <c r="G59" s="15">
        <f t="shared" si="7"/>
        <v>-0.46797366827213799</v>
      </c>
      <c r="H59" s="16">
        <f>SUM(Jan!H59,Feb!H59,Mar!H59)</f>
        <v>660243.29999999993</v>
      </c>
      <c r="I59" s="16">
        <f>SUM(Jan!I59,Feb!I59,Mar!I59)</f>
        <v>-266977.29999999993</v>
      </c>
      <c r="J59" s="15">
        <f t="shared" si="8"/>
        <v>-0.40436199806949946</v>
      </c>
    </row>
    <row r="60" spans="1:10" ht="15.6">
      <c r="A60" s="24" t="str">
        <v>Pool Brook Road</v>
      </c>
      <c r="B60" s="25" t="str">
        <v>NY</v>
      </c>
      <c r="C60" s="25" t="str">
        <f>Sites[[#This Row],[SOL'#]]</f>
        <v>SOL-10909</v>
      </c>
      <c r="D60" s="20">
        <f>SUM(Jan!D60,Feb!D60,Mar!D60)</f>
        <v>443783</v>
      </c>
      <c r="E60" s="10">
        <f>SUM(Jan!E60,Feb!E60,Mar!E60)</f>
        <v>625318.02399999998</v>
      </c>
      <c r="F60" s="10">
        <f t="shared" si="6"/>
        <v>-181535.02399999998</v>
      </c>
      <c r="G60" s="11">
        <f t="shared" si="7"/>
        <v>-0.29030831837976889</v>
      </c>
      <c r="H60" s="12">
        <f>SUM(Jan!H60,Feb!H60,Mar!H60)</f>
        <v>599925.68000000005</v>
      </c>
      <c r="I60" s="12">
        <f>SUM(Jan!I60,Feb!I60,Mar!I60)</f>
        <v>-156142.68000000002</v>
      </c>
      <c r="J60" s="13">
        <f t="shared" si="8"/>
        <v>-0.26027003878213717</v>
      </c>
    </row>
    <row r="61" spans="1:10" ht="15.6">
      <c r="A61" s="26" t="str">
        <v>Sackett Lake</v>
      </c>
      <c r="B61" s="27" t="str">
        <v>NY</v>
      </c>
      <c r="C61" s="27" t="str">
        <f>Sites[[#This Row],[SOL'#]]</f>
        <v>SOL-10910</v>
      </c>
      <c r="D61" s="16">
        <f>SUM(Jan!D61,Feb!D61,Mar!D61)</f>
        <v>580372</v>
      </c>
      <c r="E61" s="16">
        <f>SUM(Jan!E61,Feb!E61,Mar!E61)</f>
        <v>766915.03599999996</v>
      </c>
      <c r="F61" s="14">
        <f t="shared" si="6"/>
        <v>-186543.03599999996</v>
      </c>
      <c r="G61" s="15">
        <f t="shared" si="7"/>
        <v>-0.24323820402968338</v>
      </c>
      <c r="H61" s="16">
        <f>SUM(Jan!H61,Feb!H61,Mar!H61)</f>
        <v>700396.02</v>
      </c>
      <c r="I61" s="16">
        <f>SUM(Jan!I61,Feb!I61,Mar!I61)</f>
        <v>-120024.01999999996</v>
      </c>
      <c r="J61" s="15">
        <f t="shared" si="8"/>
        <v>-0.17136593665966285</v>
      </c>
    </row>
    <row r="62" spans="1:10" ht="15.6">
      <c r="A62" s="24" t="str">
        <v>Burritt Road</v>
      </c>
      <c r="B62" s="25" t="str">
        <v>NY</v>
      </c>
      <c r="C62" s="25" t="str">
        <f>Sites[[#This Row],[SOL'#]]</f>
        <v>SOL-10913</v>
      </c>
      <c r="D62" s="20">
        <f>SUM(Jan!D62,Feb!D62,Mar!D62)</f>
        <v>386530</v>
      </c>
      <c r="E62" s="10">
        <f>SUM(Jan!E62,Feb!E62,Mar!E62)</f>
        <v>0</v>
      </c>
      <c r="F62" s="10">
        <f t="shared" si="6"/>
        <v>386530</v>
      </c>
      <c r="G62" s="11" t="str">
        <f t="shared" si="7"/>
        <v/>
      </c>
      <c r="H62" s="12">
        <f>SUM(Jan!H62,Feb!H62,Mar!H62)</f>
        <v>550528.54</v>
      </c>
      <c r="I62" s="12">
        <f>SUM(Jan!I62,Feb!I62,Mar!I62)</f>
        <v>-163998.54</v>
      </c>
      <c r="J62" s="13">
        <f t="shared" si="8"/>
        <v>-0.29789289398148189</v>
      </c>
    </row>
    <row r="63" spans="1:10" ht="15.6">
      <c r="A63" s="26" t="str">
        <v>Villa Roma 1</v>
      </c>
      <c r="B63" s="27" t="str">
        <v>NY</v>
      </c>
      <c r="C63" s="27" t="str">
        <f>Sites[[#This Row],[SOL'#]]</f>
        <v>SOL-10914</v>
      </c>
      <c r="D63" s="16">
        <f>SUM(Jan!D63,Feb!D63,Mar!D63)</f>
        <v>476023</v>
      </c>
      <c r="E63" s="16">
        <f>SUM(Jan!E63,Feb!E63,Mar!E63)</f>
        <v>378718.37400000001</v>
      </c>
      <c r="F63" s="14">
        <f t="shared" si="6"/>
        <v>97304.625999999989</v>
      </c>
      <c r="G63" s="15">
        <f t="shared" si="7"/>
        <v>0.25693135765311453</v>
      </c>
      <c r="H63" s="16">
        <f>SUM(Jan!H63,Feb!H63,Mar!H63)</f>
        <v>504370.93999999994</v>
      </c>
      <c r="I63" s="16">
        <f>SUM(Jan!I63,Feb!I63,Mar!I63)</f>
        <v>-28347.940000000002</v>
      </c>
      <c r="J63" s="15">
        <f t="shared" si="8"/>
        <v>-5.6204546598184274E-2</v>
      </c>
    </row>
    <row r="64" spans="1:10" ht="15.6">
      <c r="A64" s="24" t="str">
        <v>Villa Roma 2</v>
      </c>
      <c r="B64" s="25" t="str">
        <v>NY</v>
      </c>
      <c r="C64" s="25" t="str">
        <f>Sites[[#This Row],[SOL'#]]</f>
        <v>SOL-10915</v>
      </c>
      <c r="D64" s="20">
        <f>SUM(Jan!D64,Feb!D64,Mar!D64)</f>
        <v>493282</v>
      </c>
      <c r="E64" s="10">
        <f>SUM(Jan!E64,Feb!E64,Mar!E64)</f>
        <v>651162.87800000003</v>
      </c>
      <c r="F64" s="10">
        <f t="shared" si="6"/>
        <v>-157880.87800000003</v>
      </c>
      <c r="G64" s="11">
        <f t="shared" si="7"/>
        <v>-0.24245988727877085</v>
      </c>
      <c r="H64" s="12">
        <f>SUM(Jan!H64,Feb!H64,Mar!H64)</f>
        <v>489594.4</v>
      </c>
      <c r="I64" s="12">
        <f>SUM(Jan!I64,Feb!I64,Mar!I64)</f>
        <v>3687.5999999999913</v>
      </c>
      <c r="J64" s="13">
        <f t="shared" si="8"/>
        <v>7.5319488948402818E-3</v>
      </c>
    </row>
    <row r="65" spans="1:10" ht="15.6">
      <c r="A65" s="26" t="str">
        <v>Washington 1</v>
      </c>
      <c r="B65" s="27" t="str">
        <v>NY</v>
      </c>
      <c r="C65" s="27" t="str">
        <f>Sites[[#This Row],[SOL'#]]</f>
        <v>SOL-10912</v>
      </c>
      <c r="D65" s="16">
        <f>SUM(Jan!D65,Feb!D65,Mar!D65)</f>
        <v>482600</v>
      </c>
      <c r="E65" s="16">
        <f>SUM(Jan!E65,Feb!E65,Mar!E65)</f>
        <v>637922.49900000007</v>
      </c>
      <c r="F65" s="14">
        <f t="shared" si="6"/>
        <v>-155322.49900000007</v>
      </c>
      <c r="G65" s="15">
        <f t="shared" si="7"/>
        <v>-0.24348176971886368</v>
      </c>
      <c r="H65" s="16">
        <f>SUM(Jan!H65,Feb!H65,Mar!H65)</f>
        <v>539834.58000000007</v>
      </c>
      <c r="I65" s="16">
        <f>SUM(Jan!I65,Feb!I65,Mar!I65)</f>
        <v>-57234.58</v>
      </c>
      <c r="J65" s="15">
        <f t="shared" si="8"/>
        <v>-0.10602244117077493</v>
      </c>
    </row>
    <row r="66" spans="1:10" ht="15.6">
      <c r="A66" s="24" t="str">
        <v>Washington 3</v>
      </c>
      <c r="B66" s="25" t="str">
        <v>NY</v>
      </c>
      <c r="C66" s="25" t="str">
        <f>Sites[[#This Row],[SOL'#]]</f>
        <v>SOL-10828</v>
      </c>
      <c r="D66" s="20">
        <f>SUM(Jan!D66,Feb!D66,Mar!D66)</f>
        <v>582985</v>
      </c>
      <c r="E66" s="10">
        <f>SUM(Jan!E66,Feb!E66,Mar!E66)</f>
        <v>96875.183000000005</v>
      </c>
      <c r="F66" s="10">
        <f t="shared" si="6"/>
        <v>486109.81699999998</v>
      </c>
      <c r="G66" s="11">
        <f t="shared" si="7"/>
        <v>5.0178983094153224</v>
      </c>
      <c r="H66" s="12">
        <f>SUM(Jan!H66,Feb!H66,Mar!H66)</f>
        <v>663362.07000000007</v>
      </c>
      <c r="I66" s="12">
        <f>SUM(Jan!I66,Feb!I66,Mar!I66)</f>
        <v>-80377.069999999978</v>
      </c>
      <c r="J66" s="13">
        <f t="shared" si="8"/>
        <v>-0.12116621319636194</v>
      </c>
    </row>
    <row r="67" spans="1:10" ht="15.6">
      <c r="A67" s="26" t="str">
        <v>Washington 4</v>
      </c>
      <c r="B67" s="27" t="str">
        <v>NY</v>
      </c>
      <c r="C67" s="27" t="str">
        <f>Sites[[#This Row],[SOL'#]]</f>
        <v>SOL-10829</v>
      </c>
      <c r="D67" s="16">
        <f>SUM(Jan!D67,Feb!D67,Mar!D67)</f>
        <v>507100</v>
      </c>
      <c r="E67" s="16">
        <f>SUM(Jan!E67,Feb!E67,Mar!E67)</f>
        <v>569391.53799999994</v>
      </c>
      <c r="F67" s="14">
        <f t="shared" si="6"/>
        <v>-62291.537999999942</v>
      </c>
      <c r="G67" s="15">
        <f t="shared" si="7"/>
        <v>-0.10940018219940591</v>
      </c>
      <c r="H67" s="16">
        <f>SUM(Jan!H67,Feb!H67,Mar!H67)</f>
        <v>662129.69999999995</v>
      </c>
      <c r="I67" s="16">
        <f>SUM(Jan!I67,Feb!I67,Mar!I67)</f>
        <v>-155029.70000000001</v>
      </c>
      <c r="J67" s="15">
        <f t="shared" si="8"/>
        <v>-0.23413796420852293</v>
      </c>
    </row>
    <row r="68" spans="1:10" ht="15.6">
      <c r="A68" s="24" t="str">
        <v>Big Tree</v>
      </c>
      <c r="B68" s="25" t="str">
        <v>NY</v>
      </c>
      <c r="C68" s="25" t="str">
        <f>Sites[[#This Row],[SOL'#]]</f>
        <v>SOL-10966</v>
      </c>
      <c r="D68" s="20">
        <f>SUM(Jan!D68,Feb!D68,Mar!D68)</f>
        <v>370242</v>
      </c>
      <c r="E68" s="10">
        <f>SUM(Jan!E68,Feb!E68,Mar!E68)</f>
        <v>0</v>
      </c>
      <c r="F68" s="10">
        <f t="shared" si="6"/>
        <v>370242</v>
      </c>
      <c r="G68" s="11" t="str">
        <f t="shared" si="7"/>
        <v/>
      </c>
      <c r="H68" s="12">
        <f>SUM(Jan!H68,Feb!H68,Mar!H68)</f>
        <v>579179.19999999995</v>
      </c>
      <c r="I68" s="12">
        <f>SUM(Jan!I68,Feb!I68,Mar!I68)</f>
        <v>-208937.19999999998</v>
      </c>
      <c r="J68" s="13">
        <f t="shared" si="8"/>
        <v>-0.3607470710274126</v>
      </c>
    </row>
    <row r="69" spans="1:10" ht="15.6">
      <c r="A69" s="26" t="str">
        <v>Canoga</v>
      </c>
      <c r="B69" s="27" t="str">
        <v>NY</v>
      </c>
      <c r="C69" s="27" t="str">
        <f>Sites[[#This Row],[SOL'#]]</f>
        <v>SOL-10965</v>
      </c>
      <c r="D69" s="16">
        <f>SUM(Jan!D69,Feb!D69,Mar!D69)</f>
        <v>1282330</v>
      </c>
      <c r="E69" s="16">
        <f>SUM(Jan!E69,Feb!E69,Mar!E69)</f>
        <v>0</v>
      </c>
      <c r="F69" s="14">
        <f t="shared" si="6"/>
        <v>1282330</v>
      </c>
      <c r="G69" s="15" t="str">
        <f t="shared" si="7"/>
        <v/>
      </c>
      <c r="H69" s="16">
        <f>SUM(Jan!H69,Feb!H69,Mar!H69)</f>
        <v>1264221.1200000001</v>
      </c>
      <c r="I69" s="16">
        <f>SUM(Jan!I69,Feb!I69,Mar!I69)</f>
        <v>-296881.12</v>
      </c>
      <c r="J69" s="15">
        <f t="shared" si="8"/>
        <v>-0.23483322284633243</v>
      </c>
    </row>
    <row r="70" spans="1:10" ht="15.6">
      <c r="A70" s="24" t="str">
        <v>County Route 84</v>
      </c>
      <c r="B70" s="25" t="str">
        <v>NY</v>
      </c>
      <c r="C70" s="25" t="str">
        <f>Sites[[#This Row],[SOL'#]]</f>
        <v>SOL-10967</v>
      </c>
      <c r="D70" s="20">
        <f>SUM(Jan!D70,Feb!D70,Mar!D70)</f>
        <v>1679480</v>
      </c>
      <c r="E70" s="10">
        <f>SUM(Jan!E70,Feb!E70,Mar!E70)</f>
        <v>0</v>
      </c>
      <c r="F70" s="10">
        <f t="shared" si="6"/>
        <v>1679480</v>
      </c>
      <c r="G70" s="11" t="str">
        <f t="shared" si="7"/>
        <v/>
      </c>
      <c r="H70" s="12">
        <f>SUM(Jan!H70,Feb!H70,Mar!H70)</f>
        <v>1839235.33</v>
      </c>
      <c r="I70" s="12">
        <f>SUM(Jan!I70,Feb!I70,Mar!I70)</f>
        <v>-159755.33000000002</v>
      </c>
      <c r="J70" s="13">
        <f t="shared" si="8"/>
        <v>-8.685964617697943E-2</v>
      </c>
    </row>
    <row r="71" spans="1:10" ht="15.6">
      <c r="A71" s="26" t="str">
        <v>Donati</v>
      </c>
      <c r="B71" s="27" t="str">
        <v>NY</v>
      </c>
      <c r="C71" s="27" t="str">
        <f>Sites[[#This Row],[SOL'#]]</f>
        <v>SOL-10968</v>
      </c>
      <c r="D71" s="16">
        <f>SUM(Jan!D71,Feb!D71,Mar!D71)</f>
        <v>399588</v>
      </c>
      <c r="E71" s="16">
        <f>SUM(Jan!E71,Feb!E71,Mar!E71)</f>
        <v>0</v>
      </c>
      <c r="F71" s="14">
        <f t="shared" si="6"/>
        <v>399588</v>
      </c>
      <c r="G71" s="15" t="str">
        <f t="shared" si="7"/>
        <v/>
      </c>
      <c r="H71" s="16">
        <f>SUM(Jan!H71,Feb!H71,Mar!H71)</f>
        <v>739969.58</v>
      </c>
      <c r="I71" s="16">
        <f>SUM(Jan!I71,Feb!I71,Mar!I71)</f>
        <v>-340381.57999999996</v>
      </c>
      <c r="J71" s="15">
        <f t="shared" si="8"/>
        <v>-0.45999401759191233</v>
      </c>
    </row>
    <row r="72" spans="1:10" ht="15.6">
      <c r="A72" s="24" t="str">
        <v>Henrietta</v>
      </c>
      <c r="B72" s="25" t="str">
        <v>NY</v>
      </c>
      <c r="C72" s="25" t="str">
        <f>Sites[[#This Row],[SOL'#]]</f>
        <v>SOL-10972</v>
      </c>
      <c r="D72" s="20">
        <f>SUM(Jan!D72,Feb!D72,Mar!D72)</f>
        <v>1142260</v>
      </c>
      <c r="E72" s="10">
        <f>SUM(Jan!E72,Feb!E72,Mar!E72)</f>
        <v>0</v>
      </c>
      <c r="F72" s="10">
        <f t="shared" si="6"/>
        <v>1142260</v>
      </c>
      <c r="G72" s="11" t="str">
        <f t="shared" si="7"/>
        <v/>
      </c>
      <c r="H72" s="12">
        <f>SUM(Jan!H72,Feb!H72,Mar!H72)</f>
        <v>1375164.38</v>
      </c>
      <c r="I72" s="12">
        <f>SUM(Jan!I72,Feb!I72,Mar!I72)</f>
        <v>-232904.38</v>
      </c>
      <c r="J72" s="13">
        <f t="shared" si="8"/>
        <v>-0.16936475623372388</v>
      </c>
    </row>
    <row r="73" spans="1:10" ht="15.6">
      <c r="A73" s="26" t="str">
        <v>NY 70</v>
      </c>
      <c r="B73" s="27" t="str">
        <v>NY</v>
      </c>
      <c r="C73" s="27" t="str">
        <f>Sites[[#This Row],[SOL'#]]</f>
        <v>SOL-10970</v>
      </c>
      <c r="D73" s="16">
        <f>SUM(Jan!D73,Feb!D73,Mar!D73)</f>
        <v>1358830</v>
      </c>
      <c r="E73" s="16">
        <f>SUM(Jan!E73,Feb!E73,Mar!E73)</f>
        <v>0</v>
      </c>
      <c r="F73" s="14">
        <f t="shared" si="6"/>
        <v>1358830</v>
      </c>
      <c r="G73" s="15" t="str">
        <f t="shared" si="7"/>
        <v/>
      </c>
      <c r="H73" s="16">
        <f>SUM(Jan!H73,Feb!H73,Mar!H73)</f>
        <v>1775637.56</v>
      </c>
      <c r="I73" s="16">
        <f>SUM(Jan!I73,Feb!I73,Mar!I73)</f>
        <v>-416807.56000000006</v>
      </c>
      <c r="J73" s="15">
        <f t="shared" si="8"/>
        <v>-0.2347368457333151</v>
      </c>
    </row>
    <row r="74" spans="1:10" ht="15.6">
      <c r="A74" s="24" t="str">
        <v>Reid</v>
      </c>
      <c r="B74" s="25" t="str">
        <v>NY</v>
      </c>
      <c r="C74" s="25" t="str">
        <f>Sites[[#This Row],[SOL'#]]</f>
        <v>SOL-10991</v>
      </c>
      <c r="D74" s="20">
        <f>SUM(Jan!D74,Feb!D74,Mar!D74)</f>
        <v>865560.97187320201</v>
      </c>
      <c r="E74" s="10">
        <f>SUM(Jan!E74,Feb!E74,Mar!E74)</f>
        <v>1332958.5</v>
      </c>
      <c r="F74" s="10">
        <f t="shared" si="6"/>
        <v>-467397.52812679799</v>
      </c>
      <c r="G74" s="11">
        <f t="shared" si="7"/>
        <v>-0.35064672165472366</v>
      </c>
      <c r="H74" s="12">
        <f>SUM(Jan!H74,Feb!H74,Mar!H74)</f>
        <v>1353538</v>
      </c>
      <c r="I74" s="12">
        <f>SUM(Jan!I74,Feb!I74,Mar!I74)</f>
        <v>-487977.02812679799</v>
      </c>
      <c r="J74" s="13">
        <f t="shared" si="8"/>
        <v>-0.36051963677916543</v>
      </c>
    </row>
    <row r="75" spans="1:10" ht="15.6">
      <c r="A75" s="26" t="str">
        <v>Sangolqui</v>
      </c>
      <c r="B75" s="27" t="str">
        <v>NY</v>
      </c>
      <c r="C75" s="27" t="str">
        <f>Sites[[#This Row],[SOL'#]]</f>
        <v>SOL-10975</v>
      </c>
      <c r="D75" s="16">
        <f>SUM(Jan!D75,Feb!D75,Mar!D75)</f>
        <v>582872</v>
      </c>
      <c r="E75" s="16">
        <f>SUM(Jan!E75,Feb!E75,Mar!E75)</f>
        <v>0</v>
      </c>
      <c r="F75" s="14">
        <f t="shared" si="6"/>
        <v>582872</v>
      </c>
      <c r="G75" s="15" t="str">
        <f t="shared" si="7"/>
        <v/>
      </c>
      <c r="H75" s="16">
        <f>SUM(Jan!H75,Feb!H75,Mar!H75)</f>
        <v>719241.46</v>
      </c>
      <c r="I75" s="16">
        <f>SUM(Jan!I75,Feb!I75,Mar!I75)</f>
        <v>-136369.46</v>
      </c>
      <c r="J75" s="15">
        <f t="shared" si="8"/>
        <v>-0.18960177851816273</v>
      </c>
    </row>
    <row r="76" spans="1:10" ht="15.6">
      <c r="A76" s="24" t="str">
        <v>State Highway 17B</v>
      </c>
      <c r="B76" s="25" t="str">
        <v>NY</v>
      </c>
      <c r="C76" s="25" t="str">
        <f>Sites[[#This Row],[SOL'#]]</f>
        <v>SOL-10988</v>
      </c>
      <c r="D76" s="20">
        <f>SUM(Jan!D76,Feb!D76,Mar!D76)</f>
        <v>1323280</v>
      </c>
      <c r="E76" s="10">
        <f>SUM(Jan!E76,Feb!E76,Mar!E76)</f>
        <v>0</v>
      </c>
      <c r="F76" s="10">
        <f t="shared" si="6"/>
        <v>1323280</v>
      </c>
      <c r="G76" s="11" t="str">
        <f t="shared" si="7"/>
        <v/>
      </c>
      <c r="H76" s="12">
        <f>SUM(Jan!H76,Feb!H76,Mar!H76)</f>
        <v>1495286.03</v>
      </c>
      <c r="I76" s="12">
        <f>SUM(Jan!I76,Feb!I76,Mar!I76)</f>
        <v>-172006.02999999997</v>
      </c>
      <c r="J76" s="13">
        <f t="shared" si="8"/>
        <v>-0.11503219220204977</v>
      </c>
    </row>
    <row r="77" spans="1:10" ht="15.6">
      <c r="A77" s="26" t="str">
        <v>State Route 14A</v>
      </c>
      <c r="B77" s="27" t="str">
        <v>NY</v>
      </c>
      <c r="C77" s="27" t="str">
        <f>Sites[[#This Row],[SOL'#]]</f>
        <v>SOL-10997</v>
      </c>
      <c r="D77" s="16">
        <f>SUM(Jan!D77,Feb!D77,Mar!D77)</f>
        <v>1472594</v>
      </c>
      <c r="E77" s="16">
        <f>SUM(Jan!E77,Feb!E77,Mar!E77)</f>
        <v>0</v>
      </c>
      <c r="F77" s="14">
        <f t="shared" si="6"/>
        <v>1472594</v>
      </c>
      <c r="G77" s="15" t="str">
        <f t="shared" si="7"/>
        <v/>
      </c>
      <c r="H77" s="16">
        <f>SUM(Jan!H77,Feb!H77,Mar!H77)</f>
        <v>1690430.9900000002</v>
      </c>
      <c r="I77" s="16">
        <f>SUM(Jan!I77,Feb!I77,Mar!I77)</f>
        <v>-217836.99000000011</v>
      </c>
      <c r="J77" s="15">
        <f t="shared" si="8"/>
        <v>-0.12886476365414956</v>
      </c>
    </row>
    <row r="78" spans="1:10" ht="15.6">
      <c r="A78" s="24" t="str">
        <v>West Creek</v>
      </c>
      <c r="B78" s="25" t="str">
        <v>NY</v>
      </c>
      <c r="C78" s="25" t="str">
        <f>Sites[[#This Row],[SOL'#]]</f>
        <v>SOL-10995</v>
      </c>
      <c r="D78" s="20">
        <f>SUM(Jan!D78,Feb!D78,Mar!D78)</f>
        <v>1608240</v>
      </c>
      <c r="E78" s="10">
        <f>SUM(Jan!E78,Feb!E78,Mar!E78)</f>
        <v>0</v>
      </c>
      <c r="F78" s="10">
        <f t="shared" si="6"/>
        <v>1608240</v>
      </c>
      <c r="G78" s="11" t="str">
        <f t="shared" si="7"/>
        <v/>
      </c>
      <c r="H78" s="12">
        <f>SUM(Jan!H78,Feb!H78,Mar!H78)</f>
        <v>1647805.14</v>
      </c>
      <c r="I78" s="12">
        <f>SUM(Jan!I78,Feb!I78,Mar!I78)</f>
        <v>-39565.139999999956</v>
      </c>
      <c r="J78" s="13">
        <f t="shared" si="8"/>
        <v>-2.4010812346416128E-2</v>
      </c>
    </row>
    <row r="79" spans="1:10" ht="15.6">
      <c r="A79" s="26" t="str">
        <v>Wildflower</v>
      </c>
      <c r="B79" s="27" t="str">
        <v>NY</v>
      </c>
      <c r="C79" s="27" t="str">
        <f>Sites[[#This Row],[SOL'#]]</f>
        <v>SOL-10982</v>
      </c>
      <c r="D79" s="16">
        <f>SUM(Jan!D79,Feb!D79,Mar!D79)</f>
        <v>1311316.8999999999</v>
      </c>
      <c r="E79" s="16">
        <f>SUM(Jan!E79,Feb!E79,Mar!E79)</f>
        <v>0</v>
      </c>
      <c r="F79" s="14">
        <f t="shared" si="6"/>
        <v>1311316.8999999999</v>
      </c>
      <c r="G79" s="15" t="str">
        <f t="shared" si="7"/>
        <v/>
      </c>
      <c r="H79" s="16">
        <f>SUM(Jan!H79,Feb!H79,Mar!H79)</f>
        <v>1786008.62</v>
      </c>
      <c r="I79" s="16">
        <f>SUM(Jan!I79,Feb!I79,Mar!I79)</f>
        <v>-474691.72000000003</v>
      </c>
      <c r="J79" s="15">
        <f t="shared" si="8"/>
        <v>-0.26578355484084953</v>
      </c>
    </row>
    <row r="80" spans="1:10" ht="15.6">
      <c r="A80" s="24" t="str">
        <v>Glen Mary 1</v>
      </c>
      <c r="B80" s="25" t="str">
        <v>NY</v>
      </c>
      <c r="C80" s="25" t="str">
        <f>Sites[[#This Row],[SOL'#]]</f>
        <v>SOL-10993</v>
      </c>
      <c r="D80" s="20">
        <f>SUM(Jan!D80,Feb!D80,Mar!D80)</f>
        <v>1658570</v>
      </c>
      <c r="E80" s="10">
        <f>SUM(Jan!E80,Feb!E80,Mar!E80)</f>
        <v>0</v>
      </c>
      <c r="F80" s="10">
        <f t="shared" si="6"/>
        <v>1658570</v>
      </c>
      <c r="G80" s="11" t="str">
        <f t="shared" si="7"/>
        <v/>
      </c>
      <c r="H80" s="12">
        <f>SUM(Jan!H80,Feb!H80,Mar!H80)</f>
        <v>1770554.53</v>
      </c>
      <c r="I80" s="12">
        <f>SUM(Jan!I80,Feb!I80,Mar!I80)</f>
        <v>-111984.52999999997</v>
      </c>
      <c r="J80" s="13">
        <f t="shared" si="8"/>
        <v>-6.3248280751906555E-2</v>
      </c>
    </row>
    <row r="81" spans="1:10" ht="15.6">
      <c r="A81" s="26" t="str">
        <v>Glen Mary 2</v>
      </c>
      <c r="B81" s="27" t="str">
        <v>NY</v>
      </c>
      <c r="C81" s="27" t="str">
        <f>Sites[[#This Row],[SOL'#]]</f>
        <v>SOL-10994</v>
      </c>
      <c r="D81" s="16">
        <f>SUM(Jan!D81,Feb!D81,Mar!D81)</f>
        <v>427230</v>
      </c>
      <c r="E81" s="16">
        <f>SUM(Jan!E81,Feb!E81,Mar!E81)</f>
        <v>0</v>
      </c>
      <c r="F81" s="14">
        <f t="shared" si="6"/>
        <v>427230</v>
      </c>
      <c r="G81" s="15" t="str">
        <f t="shared" si="7"/>
        <v/>
      </c>
      <c r="H81" s="16">
        <f>SUM(Jan!H81,Feb!H81,Mar!H81)</f>
        <v>738205.96</v>
      </c>
      <c r="I81" s="16">
        <f>SUM(Jan!I81,Feb!I81,Mar!I81)</f>
        <v>-310975.95999999996</v>
      </c>
      <c r="J81" s="15">
        <f t="shared" si="8"/>
        <v>-0.42125907517733935</v>
      </c>
    </row>
    <row r="82" spans="1:10" ht="15.6">
      <c r="A82" s="24" t="str">
        <v>Telegraph 1</v>
      </c>
      <c r="B82" s="25" t="str">
        <v>NY</v>
      </c>
      <c r="C82" s="25" t="str">
        <f>Sites[[#This Row],[SOL'#]]</f>
        <v>SOL-11003</v>
      </c>
      <c r="D82" s="20">
        <f>SUM(Jan!D82,Feb!D82,Mar!D82)</f>
        <v>908160</v>
      </c>
      <c r="E82" s="10">
        <f>SUM(Jan!E82,Feb!E82,Mar!E82)</f>
        <v>0</v>
      </c>
      <c r="F82" s="10">
        <f t="shared" ref="F82:F145" si="9">IF(AND(ISNUMBER(D82),ISNUMBER(E82)), D82-E82, "")</f>
        <v>908160</v>
      </c>
      <c r="G82" s="11" t="str">
        <f t="shared" ref="G82:G145" si="10">IFERROR(F82/E82, "")</f>
        <v/>
      </c>
      <c r="H82" s="12">
        <f>SUM(Jan!H82,Feb!H82,Mar!H82)</f>
        <v>1200362.3700000001</v>
      </c>
      <c r="I82" s="12">
        <f>SUM(Jan!I82,Feb!I82,Mar!I82)</f>
        <v>-292202.37</v>
      </c>
      <c r="J82" s="13">
        <f t="shared" ref="J82:J145" si="11">IFERROR(I82/H82, "")</f>
        <v>-0.2434284656890735</v>
      </c>
    </row>
    <row r="83" spans="1:10" ht="15.6">
      <c r="A83" s="26" t="str">
        <v>Telegraph 2</v>
      </c>
      <c r="B83" s="27" t="str">
        <v>NY</v>
      </c>
      <c r="C83" s="27" t="str">
        <f>Sites[[#This Row],[SOL'#]]</f>
        <v>SOL-11004</v>
      </c>
      <c r="D83" s="16">
        <f>SUM(Jan!D83,Feb!D83,Mar!D83)</f>
        <v>503671</v>
      </c>
      <c r="E83" s="16">
        <f>SUM(Jan!E83,Feb!E83,Mar!E83)</f>
        <v>0</v>
      </c>
      <c r="F83" s="14">
        <f t="shared" si="9"/>
        <v>503671</v>
      </c>
      <c r="G83" s="15" t="str">
        <f t="shared" si="10"/>
        <v/>
      </c>
      <c r="H83" s="16">
        <f>SUM(Jan!H83,Feb!H83,Mar!H83)</f>
        <v>620509.76</v>
      </c>
      <c r="I83" s="16">
        <f>SUM(Jan!I83,Feb!I83,Mar!I83)</f>
        <v>-116838.75999999998</v>
      </c>
      <c r="J83" s="15">
        <f t="shared" si="11"/>
        <v>-0.18829479813500433</v>
      </c>
    </row>
    <row r="84" spans="1:10" ht="15.6">
      <c r="A84" s="24" t="str">
        <v>Cafferty Hill</v>
      </c>
      <c r="B84" s="25" t="str">
        <v>NY</v>
      </c>
      <c r="C84" s="25" t="str">
        <f>Sites[[#This Row],[SOL'#]]</f>
        <v>SOL-10996</v>
      </c>
      <c r="D84" s="20">
        <f>SUM(Jan!D84,Feb!D84,Mar!D84)</f>
        <v>1545620</v>
      </c>
      <c r="E84" s="10">
        <f>SUM(Jan!E84,Feb!E84,Mar!E84)</f>
        <v>0</v>
      </c>
      <c r="F84" s="10">
        <f t="shared" si="9"/>
        <v>1545620</v>
      </c>
      <c r="G84" s="11" t="str">
        <f t="shared" si="10"/>
        <v/>
      </c>
      <c r="H84" s="12">
        <f>SUM(Jan!H84,Feb!H84,Mar!H84)</f>
        <v>1548566</v>
      </c>
      <c r="I84" s="12">
        <f>SUM(Jan!I84,Feb!I84,Mar!I84)</f>
        <v>-2946.0000000000582</v>
      </c>
      <c r="J84" s="13">
        <f t="shared" si="11"/>
        <v>-1.9024051929333707E-3</v>
      </c>
    </row>
    <row r="85" spans="1:10" ht="15.6">
      <c r="A85" s="26" t="str">
        <v>Dunkleman</v>
      </c>
      <c r="B85" s="27" t="str">
        <v>NY</v>
      </c>
      <c r="C85" s="27" t="str">
        <f>Sites[[#This Row],[SOL'#]]</f>
        <v>SOL-11008</v>
      </c>
      <c r="D85" s="16">
        <f>SUM(Jan!D85,Feb!D85,Mar!D85)</f>
        <v>1239050</v>
      </c>
      <c r="E85" s="16">
        <f>SUM(Jan!E85,Feb!E85,Mar!E85)</f>
        <v>0</v>
      </c>
      <c r="F85" s="14">
        <f t="shared" si="9"/>
        <v>1239050</v>
      </c>
      <c r="G85" s="15" t="str">
        <f t="shared" si="10"/>
        <v/>
      </c>
      <c r="H85" s="16">
        <f>SUM(Jan!H85,Feb!H85,Mar!H85)</f>
        <v>1827365.4</v>
      </c>
      <c r="I85" s="16">
        <f>SUM(Jan!I85,Feb!I85,Mar!I85)</f>
        <v>-588315.39999999991</v>
      </c>
      <c r="J85" s="15">
        <f t="shared" si="11"/>
        <v>-0.32194732372627827</v>
      </c>
    </row>
    <row r="86" spans="1:10" ht="15.6">
      <c r="A86" s="24" t="str">
        <v>Route 19 1</v>
      </c>
      <c r="B86" s="25" t="str">
        <v>NY</v>
      </c>
      <c r="C86" s="25" t="str">
        <f>Sites[[#This Row],[SOL'#]]</f>
        <v>SOL-11001</v>
      </c>
      <c r="D86" s="20">
        <f>SUM(Jan!D86,Feb!D86,Mar!D86)</f>
        <v>599580</v>
      </c>
      <c r="E86" s="10">
        <f>SUM(Jan!E86,Feb!E86,Mar!E86)</f>
        <v>0</v>
      </c>
      <c r="F86" s="10">
        <f t="shared" si="9"/>
        <v>599580</v>
      </c>
      <c r="G86" s="11" t="str">
        <f t="shared" si="10"/>
        <v/>
      </c>
      <c r="H86" s="12">
        <f>SUM(Jan!H86,Feb!H86,Mar!H86)</f>
        <v>734699.06</v>
      </c>
      <c r="I86" s="12">
        <f>SUM(Jan!I86,Feb!I86,Mar!I86)</f>
        <v>-135119.05999999997</v>
      </c>
      <c r="J86" s="13">
        <f t="shared" si="11"/>
        <v>-0.18391075660284628</v>
      </c>
    </row>
    <row r="87" spans="1:10" ht="15.6">
      <c r="A87" s="26" t="str">
        <v>Route 19 2</v>
      </c>
      <c r="B87" s="27" t="str">
        <v>NY</v>
      </c>
      <c r="C87" s="27" t="str">
        <f>Sites[[#This Row],[SOL'#]]</f>
        <v>SOL-11002</v>
      </c>
      <c r="D87" s="16">
        <f>SUM(Jan!D87,Feb!D87,Mar!D87)</f>
        <v>1508780</v>
      </c>
      <c r="E87" s="16">
        <f>SUM(Jan!E87,Feb!E87,Mar!E87)</f>
        <v>0</v>
      </c>
      <c r="F87" s="14">
        <f t="shared" si="9"/>
        <v>1508780</v>
      </c>
      <c r="G87" s="15" t="str">
        <f t="shared" si="10"/>
        <v/>
      </c>
      <c r="H87" s="16">
        <f>SUM(Jan!H87,Feb!H87,Mar!H87)</f>
        <v>1875001.22</v>
      </c>
      <c r="I87" s="16">
        <f>SUM(Jan!I87,Feb!I87,Mar!I87)</f>
        <v>-366221.22</v>
      </c>
      <c r="J87" s="15">
        <f t="shared" si="11"/>
        <v>-0.1953178569131811</v>
      </c>
    </row>
    <row r="88" spans="1:10" ht="15.6">
      <c r="A88" s="24" t="str">
        <v>Yellow Mills 1</v>
      </c>
      <c r="B88" s="25" t="str">
        <v>NY</v>
      </c>
      <c r="C88" s="25" t="str">
        <f>Sites[[#This Row],[SOL'#]]</f>
        <v>SOL-11006</v>
      </c>
      <c r="D88" s="20">
        <f>SUM(Jan!D88,Feb!D88,Mar!D88)</f>
        <v>217178</v>
      </c>
      <c r="E88" s="10">
        <f>SUM(Jan!E88,Feb!E88,Mar!E88)</f>
        <v>0</v>
      </c>
      <c r="F88" s="10">
        <f t="shared" si="9"/>
        <v>217178</v>
      </c>
      <c r="G88" s="11" t="str">
        <f t="shared" si="10"/>
        <v/>
      </c>
      <c r="H88" s="12">
        <f>SUM(Jan!H88,Feb!H88,Mar!H88)</f>
        <v>590012.82000000007</v>
      </c>
      <c r="I88" s="12">
        <f>SUM(Jan!I88,Feb!I88,Mar!I88)</f>
        <v>-372834.81999999995</v>
      </c>
      <c r="J88" s="13">
        <f t="shared" si="11"/>
        <v>-0.63190969308090617</v>
      </c>
    </row>
    <row r="89" spans="1:10" ht="15.6">
      <c r="A89" s="26" t="str">
        <v>Yellow Mills 2</v>
      </c>
      <c r="B89" s="27" t="str">
        <v>NY</v>
      </c>
      <c r="C89" s="27" t="str">
        <f>Sites[[#This Row],[SOL'#]]</f>
        <v>SOL-11005</v>
      </c>
      <c r="D89" s="16">
        <f>SUM(Jan!D89,Feb!D89,Mar!D89)</f>
        <v>536407</v>
      </c>
      <c r="E89" s="16">
        <f>SUM(Jan!E89,Feb!E89,Mar!E89)</f>
        <v>0</v>
      </c>
      <c r="F89" s="14">
        <f t="shared" si="9"/>
        <v>536407</v>
      </c>
      <c r="G89" s="15" t="str">
        <f t="shared" si="10"/>
        <v/>
      </c>
      <c r="H89" s="16">
        <f>SUM(Jan!H89,Feb!H89,Mar!H89)</f>
        <v>608233.1</v>
      </c>
      <c r="I89" s="16">
        <f>SUM(Jan!I89,Feb!I89,Mar!I89)</f>
        <v>-71826.100000000006</v>
      </c>
      <c r="J89" s="15">
        <f t="shared" si="11"/>
        <v>-0.11808975867969042</v>
      </c>
    </row>
    <row r="90" spans="1:10" ht="15.6">
      <c r="A90" s="24" t="str">
        <v>Yellow Mills 3</v>
      </c>
      <c r="B90" s="25" t="str">
        <v>NY</v>
      </c>
      <c r="C90" s="25" t="str">
        <f>Sites[[#This Row],[SOL'#]]</f>
        <v>SOL-11007</v>
      </c>
      <c r="D90" s="20">
        <f>SUM(Jan!D90,Feb!D90,Mar!D90)</f>
        <v>463994</v>
      </c>
      <c r="E90" s="10">
        <f>SUM(Jan!E90,Feb!E90,Mar!E90)</f>
        <v>0</v>
      </c>
      <c r="F90" s="10">
        <f t="shared" si="9"/>
        <v>463994</v>
      </c>
      <c r="G90" s="11" t="str">
        <f t="shared" si="10"/>
        <v/>
      </c>
      <c r="H90" s="12">
        <f>SUM(Jan!H90,Feb!H90,Mar!H90)</f>
        <v>558855.09000000008</v>
      </c>
      <c r="I90" s="12">
        <f>SUM(Jan!I90,Feb!I90,Mar!I90)</f>
        <v>-94861.09000000004</v>
      </c>
      <c r="J90" s="13">
        <f t="shared" si="11"/>
        <v>-0.16974183772755835</v>
      </c>
    </row>
    <row r="91" spans="1:10" ht="15.6">
      <c r="A91" s="26" t="str">
        <v>Catskill</v>
      </c>
      <c r="B91" s="27" t="str">
        <v>NY</v>
      </c>
      <c r="C91" s="27" t="str">
        <f>Sites[[#This Row],[SOL'#]]</f>
        <v>SOL-11021</v>
      </c>
      <c r="D91" s="16">
        <f>SUM(Jan!D91,Feb!D91,Mar!D91)</f>
        <v>1047060</v>
      </c>
      <c r="E91" s="16">
        <f>SUM(Jan!E91,Feb!E91,Mar!E91)</f>
        <v>0</v>
      </c>
      <c r="F91" s="14">
        <f t="shared" si="9"/>
        <v>1047060</v>
      </c>
      <c r="G91" s="15" t="str">
        <f t="shared" si="10"/>
        <v/>
      </c>
      <c r="H91" s="16">
        <f>SUM(Jan!H91,Feb!H91,Mar!H91)</f>
        <v>1210172.4300000002</v>
      </c>
      <c r="I91" s="16">
        <f>SUM(Jan!I91,Feb!I91,Mar!I91)</f>
        <v>-163112.43</v>
      </c>
      <c r="J91" s="15">
        <f t="shared" si="11"/>
        <v>-0.13478445381539553</v>
      </c>
    </row>
    <row r="92" spans="1:10" ht="15.6">
      <c r="A92" s="24" t="str">
        <v>Eddy Ridge</v>
      </c>
      <c r="B92" s="25" t="str">
        <v>NY</v>
      </c>
      <c r="C92" s="25" t="str">
        <f>Sites[[#This Row],[SOL'#]]</f>
        <v>SOL-11054</v>
      </c>
      <c r="D92" s="20">
        <f>SUM(Jan!D92,Feb!D92,Mar!D92)</f>
        <v>681679.5</v>
      </c>
      <c r="E92" s="10">
        <f>SUM(Jan!E92,Feb!E92,Mar!E92)</f>
        <v>0</v>
      </c>
      <c r="F92" s="10">
        <f t="shared" si="9"/>
        <v>681679.5</v>
      </c>
      <c r="G92" s="11" t="str">
        <f t="shared" si="10"/>
        <v/>
      </c>
      <c r="H92" s="12">
        <f>SUM(Jan!H92,Feb!H92,Mar!H92)</f>
        <v>848735</v>
      </c>
      <c r="I92" s="12">
        <f>SUM(Jan!I92,Feb!I92,Mar!I92)</f>
        <v>-167055.50000000003</v>
      </c>
      <c r="J92" s="13">
        <f t="shared" si="11"/>
        <v>-0.19682880993478533</v>
      </c>
    </row>
    <row r="93" spans="1:10" ht="15.6">
      <c r="A93" s="26" t="str">
        <v>Ridgeway #1</v>
      </c>
      <c r="B93" s="27" t="str">
        <v>NY</v>
      </c>
      <c r="C93" s="27" t="str">
        <f>Sites[[#This Row],[SOL'#]]</f>
        <v>SOL-11018</v>
      </c>
      <c r="D93" s="16">
        <f>SUM(Jan!D93,Feb!D93,Mar!D93)</f>
        <v>1455922</v>
      </c>
      <c r="E93" s="16">
        <f>SUM(Jan!E93,Feb!E93,Mar!E93)</f>
        <v>0</v>
      </c>
      <c r="F93" s="14">
        <f t="shared" si="9"/>
        <v>1455922</v>
      </c>
      <c r="G93" s="15" t="str">
        <f t="shared" si="10"/>
        <v/>
      </c>
      <c r="H93" s="16">
        <f>SUM(Jan!H93,Feb!H93,Mar!H93)</f>
        <v>1887846.5</v>
      </c>
      <c r="I93" s="16">
        <f>SUM(Jan!I93,Feb!I93,Mar!I93)</f>
        <v>-431924.5</v>
      </c>
      <c r="J93" s="15">
        <f t="shared" si="11"/>
        <v>-0.2287921713974097</v>
      </c>
    </row>
    <row r="94" spans="1:10" ht="15.6">
      <c r="A94" s="24" t="str">
        <v>Rivard 1</v>
      </c>
      <c r="B94" s="25" t="str">
        <v>NY</v>
      </c>
      <c r="C94" s="25" t="str">
        <f>Sites[[#This Row],[SOL'#]]</f>
        <v>SOL-11011</v>
      </c>
      <c r="D94" s="20">
        <f>SUM(Jan!D94,Feb!D94,Mar!D94)</f>
        <v>1110890</v>
      </c>
      <c r="E94" s="10">
        <f>SUM(Jan!E94,Feb!E94,Mar!E94)</f>
        <v>1333490.2000000002</v>
      </c>
      <c r="F94" s="10">
        <f t="shared" si="9"/>
        <v>-222600.20000000019</v>
      </c>
      <c r="G94" s="11">
        <f t="shared" si="10"/>
        <v>-0.16693051062542502</v>
      </c>
      <c r="H94" s="12">
        <f>SUM(Jan!H94,Feb!H94,Mar!H94)</f>
        <v>1306920.6000000001</v>
      </c>
      <c r="I94" s="12">
        <f>SUM(Jan!I94,Feb!I94,Mar!I94)</f>
        <v>-196030.59999999998</v>
      </c>
      <c r="J94" s="13">
        <f t="shared" si="11"/>
        <v>-0.14999426897089232</v>
      </c>
    </row>
    <row r="95" spans="1:10" ht="15.6">
      <c r="A95" s="26" t="str">
        <v>Rivard 2</v>
      </c>
      <c r="B95" s="27" t="str">
        <v>NY</v>
      </c>
      <c r="C95" s="27" t="str">
        <f>Sites[[#This Row],[SOL'#]]</f>
        <v>SOL-11012</v>
      </c>
      <c r="D95" s="16">
        <f>SUM(Jan!D95,Feb!D95,Mar!D95)</f>
        <v>1124733.377784444</v>
      </c>
      <c r="E95" s="16">
        <f>SUM(Jan!E95,Feb!E95,Mar!E95)</f>
        <v>1139128</v>
      </c>
      <c r="F95" s="14">
        <f t="shared" si="9"/>
        <v>-14394.622215555981</v>
      </c>
      <c r="G95" s="15">
        <f t="shared" si="10"/>
        <v>-1.2636527427607767E-2</v>
      </c>
      <c r="H95" s="16">
        <f>SUM(Jan!H95,Feb!H95,Mar!H95)</f>
        <v>1253494.8999999999</v>
      </c>
      <c r="I95" s="16">
        <f>SUM(Jan!I95,Feb!I95,Mar!I95)</f>
        <v>-128761.52221555606</v>
      </c>
      <c r="J95" s="15">
        <f t="shared" si="11"/>
        <v>-0.10272201523560733</v>
      </c>
    </row>
    <row r="96" spans="1:10" ht="15.6">
      <c r="A96" s="24" t="str">
        <v>Ridgeway #2</v>
      </c>
      <c r="B96" s="25" t="str">
        <v>NY</v>
      </c>
      <c r="C96" s="25" t="str">
        <f>Sites[[#This Row],[SOL'#]]</f>
        <v>SOL-11027</v>
      </c>
      <c r="D96" s="20">
        <f>SUM(Jan!D96,Feb!D96,Mar!D96)</f>
        <v>634923</v>
      </c>
      <c r="E96" s="10">
        <f>SUM(Jan!E96,Feb!E96,Mar!E96)</f>
        <v>0</v>
      </c>
      <c r="F96" s="10">
        <f t="shared" si="9"/>
        <v>634923</v>
      </c>
      <c r="G96" s="11" t="str">
        <f t="shared" si="10"/>
        <v/>
      </c>
      <c r="H96" s="12">
        <f>SUM(Jan!H96,Feb!H96,Mar!H96)</f>
        <v>970007.31</v>
      </c>
      <c r="I96" s="12">
        <f>SUM(Jan!I96,Feb!I96,Mar!I96)</f>
        <v>-335084.31</v>
      </c>
      <c r="J96" s="13">
        <f t="shared" si="11"/>
        <v>-0.34544513896498363</v>
      </c>
    </row>
    <row r="97" spans="1:10" ht="15.6">
      <c r="A97" s="26" t="str">
        <v>Spencer</v>
      </c>
      <c r="B97" s="27" t="str">
        <v>NY</v>
      </c>
      <c r="C97" s="27" t="str">
        <f>Sites[[#This Row],[SOL'#]]</f>
        <v>SOL-11017</v>
      </c>
      <c r="D97" s="16">
        <f>SUM(Jan!D97,Feb!D97,Mar!D97)</f>
        <v>1726882</v>
      </c>
      <c r="E97" s="16">
        <f>SUM(Jan!E97,Feb!E97,Mar!E97)</f>
        <v>0</v>
      </c>
      <c r="F97" s="14">
        <f t="shared" si="9"/>
        <v>1726882</v>
      </c>
      <c r="G97" s="15" t="str">
        <f t="shared" si="10"/>
        <v/>
      </c>
      <c r="H97" s="16">
        <f>SUM(Jan!H97,Feb!H97,Mar!H97)</f>
        <v>1768660.6</v>
      </c>
      <c r="I97" s="16">
        <f>SUM(Jan!I97,Feb!I97,Mar!I97)</f>
        <v>-41778.599999999977</v>
      </c>
      <c r="J97" s="15">
        <f t="shared" si="11"/>
        <v>-2.3621603828343309E-2</v>
      </c>
    </row>
    <row r="98" spans="1:10" ht="15.6">
      <c r="A98" s="24" t="str">
        <v>Reisender</v>
      </c>
      <c r="B98" s="25" t="str">
        <v>NY</v>
      </c>
      <c r="C98" s="25" t="str">
        <f>Sites[[#This Row],[SOL'#]]</f>
        <v>SOL-10886</v>
      </c>
      <c r="D98" s="20">
        <f>SUM(Jan!D98,Feb!D98,Mar!D98)</f>
        <v>574990</v>
      </c>
      <c r="E98" s="10">
        <f>SUM(Jan!E98,Feb!E98,Mar!E98)</f>
        <v>712210.54099999997</v>
      </c>
      <c r="F98" s="10">
        <f t="shared" si="9"/>
        <v>-137220.54099999997</v>
      </c>
      <c r="G98" s="11">
        <f t="shared" si="10"/>
        <v>-0.19266850615175038</v>
      </c>
      <c r="H98" s="12">
        <f>SUM(Jan!H98,Feb!H98,Mar!H98)</f>
        <v>659096.65999999992</v>
      </c>
      <c r="I98" s="12">
        <f>SUM(Jan!I98,Feb!I98,Mar!I98)</f>
        <v>-84106.659999999974</v>
      </c>
      <c r="J98" s="13">
        <f t="shared" si="11"/>
        <v>-0.12760899137313181</v>
      </c>
    </row>
    <row r="99" spans="1:10" ht="15.6">
      <c r="A99" s="26" t="str">
        <v>Finney</v>
      </c>
      <c r="B99" s="27" t="str">
        <v>NY</v>
      </c>
      <c r="C99" s="27" t="str">
        <f>Sites[[#This Row],[SOL'#]]</f>
        <v>SOL-10999</v>
      </c>
      <c r="D99" s="16">
        <f>SUM(Jan!D99,Feb!D99,Mar!D99)</f>
        <v>1669700</v>
      </c>
      <c r="E99" s="16">
        <f>SUM(Jan!E99,Feb!E99,Mar!E99)</f>
        <v>0</v>
      </c>
      <c r="F99" s="14">
        <f t="shared" si="9"/>
        <v>1669700</v>
      </c>
      <c r="G99" s="15" t="str">
        <f t="shared" si="10"/>
        <v/>
      </c>
      <c r="H99" s="16">
        <f>SUM(Jan!H99,Feb!H99,Mar!H99)</f>
        <v>1961662.1800000002</v>
      </c>
      <c r="I99" s="16">
        <f>SUM(Jan!I99,Feb!I99,Mar!I99)</f>
        <v>-291962.18000000005</v>
      </c>
      <c r="J99" s="15">
        <f t="shared" si="11"/>
        <v>-0.1488340770274727</v>
      </c>
    </row>
    <row r="100" spans="1:10" ht="15.6">
      <c r="A100" s="24" t="str">
        <v>Davis Solar</v>
      </c>
      <c r="B100" s="25" t="str">
        <v>NY</v>
      </c>
      <c r="C100" s="25" t="str">
        <f>Sites[[#This Row],[SOL'#]]</f>
        <v>SOL-10958</v>
      </c>
      <c r="D100" s="20">
        <f>SUM(Jan!D100,Feb!D100,Mar!D100)</f>
        <v>624204</v>
      </c>
      <c r="E100" s="10">
        <f>SUM(Jan!E100,Feb!E100,Mar!E100)</f>
        <v>824082.2</v>
      </c>
      <c r="F100" s="10">
        <f t="shared" si="9"/>
        <v>-199878.19999999995</v>
      </c>
      <c r="G100" s="11">
        <f t="shared" si="10"/>
        <v>-0.24254643529492564</v>
      </c>
      <c r="H100" s="12">
        <f>SUM(Jan!H100,Feb!H100,Mar!H100)</f>
        <v>800901</v>
      </c>
      <c r="I100" s="12">
        <f>SUM(Jan!I100,Feb!I100,Mar!I100)</f>
        <v>-176697</v>
      </c>
      <c r="J100" s="13">
        <f t="shared" si="11"/>
        <v>-0.22062277360123161</v>
      </c>
    </row>
    <row r="101" spans="1:10" ht="15.6">
      <c r="A101" s="26" t="str">
        <v>Genesee</v>
      </c>
      <c r="B101" s="27" t="str">
        <v>NY</v>
      </c>
      <c r="C101" s="27" t="str">
        <f>Sites[[#This Row],[SOL'#]]</f>
        <v>SOL-10951</v>
      </c>
      <c r="D101" s="16">
        <f>SUM(Jan!D101,Feb!D101,Mar!D101)</f>
        <v>828013.5</v>
      </c>
      <c r="E101" s="16">
        <f>SUM(Jan!E101,Feb!E101,Mar!E101)</f>
        <v>0</v>
      </c>
      <c r="F101" s="14">
        <f t="shared" si="9"/>
        <v>828013.5</v>
      </c>
      <c r="G101" s="15" t="str">
        <f t="shared" si="10"/>
        <v/>
      </c>
      <c r="H101" s="16">
        <f>SUM(Jan!H101,Feb!H101,Mar!H101)</f>
        <v>1225115.1400000001</v>
      </c>
      <c r="I101" s="16">
        <f>SUM(Jan!I101,Feb!I101,Mar!I101)</f>
        <v>-397101.64</v>
      </c>
      <c r="J101" s="15">
        <f t="shared" si="11"/>
        <v>-0.32413413811864245</v>
      </c>
    </row>
    <row r="102" spans="1:10" ht="15.6">
      <c r="A102" s="24" t="str">
        <v>Landau I</v>
      </c>
      <c r="B102" s="25" t="str">
        <v>NY</v>
      </c>
      <c r="C102" s="25" t="str">
        <f>Sites[[#This Row],[SOL'#]]</f>
        <v>SOL-10891</v>
      </c>
      <c r="D102" s="20">
        <f>SUM(Jan!D102,Feb!D102,Mar!D102)</f>
        <v>649830</v>
      </c>
      <c r="E102" s="10">
        <f>SUM(Jan!E102,Feb!E102,Mar!E102)</f>
        <v>0</v>
      </c>
      <c r="F102" s="10">
        <f t="shared" si="9"/>
        <v>649830</v>
      </c>
      <c r="G102" s="11" t="str">
        <f t="shared" si="10"/>
        <v/>
      </c>
      <c r="H102" s="12">
        <f>SUM(Jan!H102,Feb!H102,Mar!H102)</f>
        <v>786342.21</v>
      </c>
      <c r="I102" s="12">
        <f>SUM(Jan!I102,Feb!I102,Mar!I102)</f>
        <v>-136512.21000000002</v>
      </c>
      <c r="J102" s="13">
        <f t="shared" si="11"/>
        <v>-0.17360407245593495</v>
      </c>
    </row>
    <row r="103" spans="1:10" ht="15.6">
      <c r="A103" s="26" t="str">
        <v>Landau II</v>
      </c>
      <c r="B103" s="27" t="str">
        <v>NY</v>
      </c>
      <c r="C103" s="27" t="str">
        <f>Sites[[#This Row],[SOL'#]]</f>
        <v>SOL-10895</v>
      </c>
      <c r="D103" s="16">
        <f>SUM(Jan!D103,Feb!D103,Mar!D103)</f>
        <v>1104430</v>
      </c>
      <c r="E103" s="16">
        <f>SUM(Jan!E103,Feb!E103,Mar!E103)</f>
        <v>0</v>
      </c>
      <c r="F103" s="14">
        <f t="shared" si="9"/>
        <v>1104430</v>
      </c>
      <c r="G103" s="15" t="str">
        <f t="shared" si="10"/>
        <v/>
      </c>
      <c r="H103" s="16">
        <f>SUM(Jan!H103,Feb!H103,Mar!H103)</f>
        <v>1639446.05</v>
      </c>
      <c r="I103" s="16">
        <f>SUM(Jan!I103,Feb!I103,Mar!I103)</f>
        <v>-535016.05000000005</v>
      </c>
      <c r="J103" s="15">
        <f t="shared" si="11"/>
        <v>-0.32633952791554199</v>
      </c>
    </row>
    <row r="104" spans="1:10" ht="15.6">
      <c r="A104" s="24" t="str">
        <v>New Beginnings</v>
      </c>
      <c r="B104" s="25" t="str">
        <v>NY</v>
      </c>
      <c r="C104" s="25" t="str">
        <f>Sites[[#This Row],[SOL'#]]</f>
        <v>SOL-10890</v>
      </c>
      <c r="D104" s="20">
        <f>SUM(Jan!D104,Feb!D104,Mar!D104)</f>
        <v>653410</v>
      </c>
      <c r="E104" s="10">
        <f>SUM(Jan!E104,Feb!E104,Mar!E104)</f>
        <v>837518.23</v>
      </c>
      <c r="F104" s="10">
        <f t="shared" si="9"/>
        <v>-184108.22999999998</v>
      </c>
      <c r="G104" s="11">
        <f t="shared" si="10"/>
        <v>-0.21982593740078946</v>
      </c>
      <c r="H104" s="12">
        <f>SUM(Jan!H104,Feb!H104,Mar!H104)</f>
        <v>765286.75</v>
      </c>
      <c r="I104" s="12">
        <f>SUM(Jan!I104,Feb!I104,Mar!I104)</f>
        <v>-111876.75000000003</v>
      </c>
      <c r="J104" s="13">
        <f t="shared" si="11"/>
        <v>-0.14618932053900061</v>
      </c>
    </row>
    <row r="105" spans="1:10" ht="15.6">
      <c r="A105" s="26" t="str">
        <v>Bullitt Farm Solar, LLC</v>
      </c>
      <c r="B105" s="27" t="str">
        <v>NY</v>
      </c>
      <c r="C105" s="27" t="str">
        <f>Sites[[#This Row],[SOL'#]]</f>
        <v>SOL-10998</v>
      </c>
      <c r="D105" s="16">
        <f>SUM(Jan!D105,Feb!D105,Mar!D105)</f>
        <v>1198693</v>
      </c>
      <c r="E105" s="16">
        <f>SUM(Jan!E105,Feb!E105,Mar!E105)</f>
        <v>1581948.6040000001</v>
      </c>
      <c r="F105" s="14">
        <f t="shared" si="9"/>
        <v>-383255.60400000005</v>
      </c>
      <c r="G105" s="15">
        <f t="shared" si="10"/>
        <v>-0.24226805032156407</v>
      </c>
      <c r="H105" s="16">
        <f>SUM(Jan!H105,Feb!H105,Mar!H105)</f>
        <v>1772768.28</v>
      </c>
      <c r="I105" s="16">
        <f>SUM(Jan!I105,Feb!I105,Mar!I105)</f>
        <v>-574075.28</v>
      </c>
      <c r="J105" s="15">
        <f t="shared" si="11"/>
        <v>-0.32382984650424818</v>
      </c>
    </row>
    <row r="106" spans="1:10" ht="15.6">
      <c r="A106" s="24" t="str">
        <v>Brodhead Solar, LLC</v>
      </c>
      <c r="B106" s="25" t="str">
        <v>NY</v>
      </c>
      <c r="C106" s="25" t="str">
        <f>Sites[[#This Row],[SOL'#]]</f>
        <v>SOL-10899</v>
      </c>
      <c r="D106" s="20">
        <f>SUM(Jan!D106,Feb!D106,Mar!D106)</f>
        <v>823637</v>
      </c>
      <c r="E106" s="10">
        <f>SUM(Jan!E106,Feb!E106,Mar!E106)</f>
        <v>894614.64400000009</v>
      </c>
      <c r="F106" s="10">
        <f t="shared" si="9"/>
        <v>-70977.644000000088</v>
      </c>
      <c r="G106" s="11">
        <f t="shared" si="10"/>
        <v>-7.9338790702826997E-2</v>
      </c>
      <c r="H106" s="12">
        <f>SUM(Jan!H106,Feb!H106,Mar!H106)</f>
        <v>879972.47</v>
      </c>
      <c r="I106" s="12">
        <f>SUM(Jan!I106,Feb!I106,Mar!I106)</f>
        <v>-56335.47000000003</v>
      </c>
      <c r="J106" s="13">
        <f t="shared" si="11"/>
        <v>-6.401958233988847E-2</v>
      </c>
    </row>
    <row r="107" spans="1:10" ht="15.6">
      <c r="A107" s="26" t="str">
        <v>Svenski</v>
      </c>
      <c r="B107" s="27" t="str">
        <v>NY</v>
      </c>
      <c r="C107" s="27" t="str">
        <f>Sites[[#This Row],[SOL'#]]</f>
        <v>SOL-10894</v>
      </c>
      <c r="D107" s="16">
        <f>SUM(Jan!D107,Feb!D107,Mar!D107)</f>
        <v>612069</v>
      </c>
      <c r="E107" s="16">
        <f>SUM(Jan!E107,Feb!E107,Mar!E107)</f>
        <v>0</v>
      </c>
      <c r="F107" s="14">
        <f t="shared" si="9"/>
        <v>612069</v>
      </c>
      <c r="G107" s="15" t="str">
        <f t="shared" si="10"/>
        <v/>
      </c>
      <c r="H107" s="16">
        <f>SUM(Jan!H107,Feb!H107,Mar!H107)</f>
        <v>734878.49</v>
      </c>
      <c r="I107" s="16">
        <f>SUM(Jan!I107,Feb!I107,Mar!I107)</f>
        <v>-122809.48999999999</v>
      </c>
      <c r="J107" s="15">
        <f t="shared" si="11"/>
        <v>-0.16711536896392218</v>
      </c>
    </row>
    <row r="108" spans="1:10" ht="15.6">
      <c r="A108" s="24" t="str">
        <v>Bantam</v>
      </c>
      <c r="B108" s="25" t="str">
        <v>NY</v>
      </c>
      <c r="C108" s="25" t="str">
        <f>Sites[[#This Row],[SOL'#]]</f>
        <v>SOL-10986</v>
      </c>
      <c r="D108" s="20">
        <f>SUM(Jan!D108,Feb!D108,Mar!D108)</f>
        <v>888990</v>
      </c>
      <c r="E108" s="10">
        <f>SUM(Jan!E108,Feb!E108,Mar!E108)</f>
        <v>0</v>
      </c>
      <c r="F108" s="10">
        <f t="shared" si="9"/>
        <v>888990</v>
      </c>
      <c r="G108" s="11" t="str">
        <f t="shared" si="10"/>
        <v/>
      </c>
      <c r="H108" s="12">
        <f>SUM(Jan!H108,Feb!H108,Mar!H108)</f>
        <v>1462159.3</v>
      </c>
      <c r="I108" s="12">
        <f>SUM(Jan!I108,Feb!I108,Mar!I108)</f>
        <v>-679759.3</v>
      </c>
      <c r="J108" s="13">
        <f t="shared" si="11"/>
        <v>-0.46490098582281697</v>
      </c>
    </row>
    <row r="109" spans="1:10" ht="15.6">
      <c r="A109" s="26" t="str">
        <v>Bogart</v>
      </c>
      <c r="B109" s="27" t="str">
        <v>NY</v>
      </c>
      <c r="C109" s="27" t="str">
        <f>Sites[[#This Row],[SOL'#]]</f>
        <v>SOL-10887</v>
      </c>
      <c r="D109" s="16">
        <f>SUM(Jan!D109,Feb!D109,Mar!D109)</f>
        <v>691310</v>
      </c>
      <c r="E109" s="16">
        <f>SUM(Jan!E109,Feb!E109,Mar!E109)</f>
        <v>774249.43800000008</v>
      </c>
      <c r="F109" s="14">
        <f t="shared" si="9"/>
        <v>-82939.438000000082</v>
      </c>
      <c r="G109" s="15">
        <f t="shared" si="10"/>
        <v>-0.10712237417213349</v>
      </c>
      <c r="H109" s="16">
        <f>SUM(Jan!H109,Feb!H109,Mar!H109)</f>
        <v>728934.5</v>
      </c>
      <c r="I109" s="16">
        <f>SUM(Jan!I109,Feb!I109,Mar!I109)</f>
        <v>-37624.500000000029</v>
      </c>
      <c r="J109" s="15">
        <f t="shared" si="11"/>
        <v>-5.1615748740113175E-2</v>
      </c>
    </row>
    <row r="110" spans="1:10" ht="15.6">
      <c r="A110" s="24" t="str">
        <v>Dubois</v>
      </c>
      <c r="B110" s="25" t="str">
        <v>NY</v>
      </c>
      <c r="C110" s="25" t="str">
        <f>Sites[[#This Row],[SOL'#]]</f>
        <v>SOL-10892</v>
      </c>
      <c r="D110" s="20">
        <f>SUM(Jan!D110,Feb!D110,Mar!D110)</f>
        <v>629651.69999999995</v>
      </c>
      <c r="E110" s="10">
        <f>SUM(Jan!E110,Feb!E110,Mar!E110)</f>
        <v>0</v>
      </c>
      <c r="F110" s="10">
        <f t="shared" si="9"/>
        <v>629651.69999999995</v>
      </c>
      <c r="G110" s="11" t="str">
        <f t="shared" si="10"/>
        <v/>
      </c>
      <c r="H110" s="12">
        <f>SUM(Jan!H110,Feb!H110,Mar!H110)</f>
        <v>0</v>
      </c>
      <c r="I110" s="12">
        <f>SUM(Jan!I110,Feb!I110,Mar!I110)</f>
        <v>0</v>
      </c>
      <c r="J110" s="13" t="str">
        <f t="shared" si="11"/>
        <v/>
      </c>
    </row>
    <row r="111" spans="1:10" ht="15.6">
      <c r="A111" s="26" t="str">
        <v>Salt Point</v>
      </c>
      <c r="B111" s="27" t="str">
        <v>NY</v>
      </c>
      <c r="C111" s="27" t="str">
        <f>Sites[[#This Row],[SOL'#]]</f>
        <v>SOL-10888</v>
      </c>
      <c r="D111" s="16">
        <f>SUM(Jan!D111,Feb!D111,Mar!D111)</f>
        <v>705260</v>
      </c>
      <c r="E111" s="16">
        <f>SUM(Jan!E111,Feb!E111,Mar!E111)</f>
        <v>0</v>
      </c>
      <c r="F111" s="14">
        <f t="shared" si="9"/>
        <v>705260</v>
      </c>
      <c r="G111" s="15" t="str">
        <f t="shared" si="10"/>
        <v/>
      </c>
      <c r="H111" s="16">
        <f>SUM(Jan!H111,Feb!H111,Mar!H111)</f>
        <v>696169.77</v>
      </c>
      <c r="I111" s="16">
        <f>SUM(Jan!I111,Feb!I111,Mar!I111)</f>
        <v>9090.2300000000105</v>
      </c>
      <c r="J111" s="15">
        <f t="shared" si="11"/>
        <v>1.3057490272810912E-2</v>
      </c>
    </row>
    <row r="112" spans="1:10" ht="15.6">
      <c r="A112" s="24" t="str">
        <v>Wheatland 2A</v>
      </c>
      <c r="B112" s="25" t="str">
        <v>NY</v>
      </c>
      <c r="C112" s="25" t="str">
        <f>Sites[[#This Row],[SOL'#]]</f>
        <v>SOL-10971</v>
      </c>
      <c r="D112" s="20">
        <f>SUM(Jan!D112,Feb!D112,Mar!D112)</f>
        <v>1291910</v>
      </c>
      <c r="E112" s="10">
        <f>SUM(Jan!E112,Feb!E112,Mar!E112)</f>
        <v>0</v>
      </c>
      <c r="F112" s="10">
        <f t="shared" si="9"/>
        <v>1291910</v>
      </c>
      <c r="G112" s="11" t="str">
        <f t="shared" si="10"/>
        <v/>
      </c>
      <c r="H112" s="12">
        <f>SUM(Jan!H112,Feb!H112,Mar!H112)</f>
        <v>1409117.96</v>
      </c>
      <c r="I112" s="12">
        <f>SUM(Jan!I112,Feb!I112,Mar!I112)</f>
        <v>-117207.96000000002</v>
      </c>
      <c r="J112" s="13">
        <f t="shared" si="11"/>
        <v>-8.3178245772979872E-2</v>
      </c>
    </row>
    <row r="113" spans="1:10" ht="15.6">
      <c r="A113" s="26" t="str">
        <v>Wheatland 2B</v>
      </c>
      <c r="B113" s="27" t="str">
        <v>NY</v>
      </c>
      <c r="C113" s="27" t="str">
        <f>Sites[[#This Row],[SOL'#]]</f>
        <v>SOL-10961</v>
      </c>
      <c r="D113" s="16">
        <f>SUM(Jan!D113,Feb!D113,Mar!D113)</f>
        <v>1250010</v>
      </c>
      <c r="E113" s="16">
        <f>SUM(Jan!E113,Feb!E113,Mar!E113)</f>
        <v>0</v>
      </c>
      <c r="F113" s="14">
        <f t="shared" si="9"/>
        <v>1250010</v>
      </c>
      <c r="G113" s="15" t="str">
        <f t="shared" si="10"/>
        <v/>
      </c>
      <c r="H113" s="16">
        <f>SUM(Jan!H113,Feb!H113,Mar!H113)</f>
        <v>1393371.52</v>
      </c>
      <c r="I113" s="16">
        <f>SUM(Jan!I113,Feb!I113,Mar!I113)</f>
        <v>-143361.52000000002</v>
      </c>
      <c r="J113" s="15">
        <f t="shared" si="11"/>
        <v>-0.10288822323568091</v>
      </c>
    </row>
    <row r="114" spans="1:10" ht="15.6">
      <c r="A114" s="24" t="str">
        <v>Brickchurch</v>
      </c>
      <c r="B114" s="25" t="str">
        <v>NY</v>
      </c>
      <c r="C114" s="25" t="str">
        <f>Sites[[#This Row],[SOL'#]]</f>
        <v>SOL-10889</v>
      </c>
      <c r="D114" s="20">
        <f>SUM(Jan!D114,Feb!D114,Mar!D114)</f>
        <v>434840</v>
      </c>
      <c r="E114" s="10">
        <f>SUM(Jan!E114,Feb!E114,Mar!E114)</f>
        <v>527867.09</v>
      </c>
      <c r="F114" s="10">
        <f t="shared" si="9"/>
        <v>-93027.089999999967</v>
      </c>
      <c r="G114" s="11">
        <f t="shared" si="10"/>
        <v>-0.17623203219583167</v>
      </c>
      <c r="H114" s="12">
        <f>SUM(Jan!H114,Feb!H114,Mar!H114)</f>
        <v>483295.74</v>
      </c>
      <c r="I114" s="12">
        <f>SUM(Jan!I114,Feb!I114,Mar!I114)</f>
        <v>-48455.740000000005</v>
      </c>
      <c r="J114" s="13">
        <f t="shared" si="11"/>
        <v>-0.10026105340800233</v>
      </c>
    </row>
    <row r="115" spans="1:10" ht="15.6">
      <c r="A115" s="26" t="str">
        <v>McCarthy Solar</v>
      </c>
      <c r="B115" s="27" t="str">
        <v>NY</v>
      </c>
      <c r="C115" s="27" t="str">
        <f>Sites[[#This Row],[SOL'#]]</f>
        <v>SOL-10992</v>
      </c>
      <c r="D115" s="16">
        <f>SUM(Jan!D115,Feb!D115,Mar!D115)</f>
        <v>698670</v>
      </c>
      <c r="E115" s="16">
        <f>SUM(Jan!E115,Feb!E115,Mar!E115)</f>
        <v>0</v>
      </c>
      <c r="F115" s="14">
        <f t="shared" si="9"/>
        <v>698670</v>
      </c>
      <c r="G115" s="15" t="str">
        <f t="shared" si="10"/>
        <v/>
      </c>
      <c r="H115" s="16">
        <f>SUM(Jan!H115,Feb!H115,Mar!H115)</f>
        <v>774863.7</v>
      </c>
      <c r="I115" s="16">
        <f>SUM(Jan!I115,Feb!I115,Mar!I115)</f>
        <v>-76193.699999999983</v>
      </c>
      <c r="J115" s="15">
        <f t="shared" si="11"/>
        <v>-9.8331745312111002E-2</v>
      </c>
    </row>
    <row r="116" spans="1:10" ht="15.6">
      <c r="A116" s="24" t="str">
        <v>Costanza</v>
      </c>
      <c r="B116" s="25" t="str">
        <v>NY</v>
      </c>
      <c r="C116" s="25" t="str">
        <f>Sites[[#This Row],[SOL'#]]</f>
        <v>SOL-10907</v>
      </c>
      <c r="D116" s="20">
        <f>SUM(Jan!D116,Feb!D116,Mar!D116)</f>
        <v>616320</v>
      </c>
      <c r="E116" s="10">
        <f>SUM(Jan!E116,Feb!E116,Mar!E116)</f>
        <v>0</v>
      </c>
      <c r="F116" s="10">
        <f t="shared" si="9"/>
        <v>616320</v>
      </c>
      <c r="G116" s="11" t="str">
        <f t="shared" si="10"/>
        <v/>
      </c>
      <c r="H116" s="12">
        <f>SUM(Jan!H116,Feb!H116,Mar!H116)</f>
        <v>753359.09000000008</v>
      </c>
      <c r="I116" s="12">
        <f>SUM(Jan!I116,Feb!I116,Mar!I116)</f>
        <v>-137039.09000000003</v>
      </c>
      <c r="J116" s="13">
        <f t="shared" si="11"/>
        <v>-0.18190407711148746</v>
      </c>
    </row>
    <row r="117" spans="1:10" ht="15.6">
      <c r="A117" s="26" t="str">
        <v>Lockenhurst Pond</v>
      </c>
      <c r="B117" s="27" t="str">
        <v>NY</v>
      </c>
      <c r="C117" s="27" t="str">
        <f>Sites[[#This Row],[SOL'#]]</f>
        <v>SOL-11000</v>
      </c>
      <c r="D117" s="16">
        <f>SUM(Jan!D117,Feb!D117,Mar!D117)</f>
        <v>773533</v>
      </c>
      <c r="E117" s="16">
        <f>SUM(Jan!E117,Feb!E117,Mar!E117)</f>
        <v>851153.10000000009</v>
      </c>
      <c r="F117" s="14">
        <f t="shared" si="9"/>
        <v>-77620.100000000093</v>
      </c>
      <c r="G117" s="15">
        <f t="shared" si="10"/>
        <v>-9.1194051927908248E-2</v>
      </c>
      <c r="H117" s="16">
        <f>SUM(Jan!H117,Feb!H117,Mar!H117)</f>
        <v>728645</v>
      </c>
      <c r="I117" s="16">
        <f>SUM(Jan!I117,Feb!I117,Mar!I117)</f>
        <v>44888</v>
      </c>
      <c r="J117" s="15">
        <f t="shared" si="11"/>
        <v>6.1604759519381866E-2</v>
      </c>
    </row>
    <row r="118" spans="1:10" ht="15.6">
      <c r="A118" s="24" t="str">
        <v>Drinkwater</v>
      </c>
      <c r="B118" s="25" t="str">
        <v>NY</v>
      </c>
      <c r="C118" s="25" t="str">
        <f>Sites[[#This Row],[SOL'#]]</f>
        <v>SOL-10896</v>
      </c>
      <c r="D118" s="20">
        <f>SUM(Jan!D118,Feb!D118,Mar!D118)</f>
        <v>589830</v>
      </c>
      <c r="E118" s="10">
        <f>SUM(Jan!E118,Feb!E118,Mar!E118)</f>
        <v>0</v>
      </c>
      <c r="F118" s="10">
        <f t="shared" si="9"/>
        <v>589830</v>
      </c>
      <c r="G118" s="11" t="str">
        <f t="shared" si="10"/>
        <v/>
      </c>
      <c r="H118" s="12">
        <f>SUM(Jan!H118,Feb!H118,Mar!H118)</f>
        <v>738279.76</v>
      </c>
      <c r="I118" s="12">
        <f>SUM(Jan!I118,Feb!I118,Mar!I118)</f>
        <v>-148449.75999999998</v>
      </c>
      <c r="J118" s="13">
        <f t="shared" si="11"/>
        <v>-0.20107521300597483</v>
      </c>
    </row>
    <row r="119" spans="1:10" ht="15.6">
      <c r="A119" s="26" t="str">
        <v>Altamont</v>
      </c>
      <c r="B119" s="27" t="str">
        <v>NY</v>
      </c>
      <c r="C119" s="27" t="str">
        <f>Sites[[#This Row],[SOL'#]]</f>
        <v>SOL-11085</v>
      </c>
      <c r="D119" s="16">
        <f>SUM(Jan!D119,Feb!D119,Mar!D119)</f>
        <v>1326645</v>
      </c>
      <c r="E119" s="16">
        <f>SUM(Jan!E119,Feb!E119,Mar!E119)</f>
        <v>1687662.5</v>
      </c>
      <c r="F119" s="14">
        <f t="shared" si="9"/>
        <v>-361017.5</v>
      </c>
      <c r="G119" s="15">
        <f t="shared" si="10"/>
        <v>-0.2139156970069549</v>
      </c>
      <c r="H119" s="16">
        <f>SUM(Jan!H119,Feb!H119,Mar!H119)</f>
        <v>1394156.6</v>
      </c>
      <c r="I119" s="16">
        <f>SUM(Jan!I119,Feb!I119,Mar!I119)</f>
        <v>-67511.599999999977</v>
      </c>
      <c r="J119" s="15">
        <f t="shared" si="11"/>
        <v>-4.8424689163326394E-2</v>
      </c>
    </row>
    <row r="120" spans="1:10" ht="15.6">
      <c r="A120" s="24" t="str">
        <v>Krumkill North</v>
      </c>
      <c r="B120" s="25" t="str">
        <v>NY</v>
      </c>
      <c r="C120" s="25" t="str">
        <f>Sites[[#This Row],[SOL'#]]</f>
        <v>SOL-11086</v>
      </c>
      <c r="D120" s="20">
        <f>SUM(Jan!D120,Feb!D120,Mar!D120)</f>
        <v>1136190</v>
      </c>
      <c r="E120" s="10">
        <f>SUM(Jan!E120,Feb!E120,Mar!E120)</f>
        <v>1538793.4</v>
      </c>
      <c r="F120" s="10">
        <f t="shared" si="9"/>
        <v>-402603.39999999991</v>
      </c>
      <c r="G120" s="11">
        <f t="shared" si="10"/>
        <v>-0.26163577254750375</v>
      </c>
      <c r="H120" s="12">
        <f>SUM(Jan!H120,Feb!H120,Mar!H120)</f>
        <v>1729374.9</v>
      </c>
      <c r="I120" s="12">
        <f>SUM(Jan!I120,Feb!I120,Mar!I120)</f>
        <v>-593184.89999999991</v>
      </c>
      <c r="J120" s="13">
        <f t="shared" si="11"/>
        <v>-0.34300538304331812</v>
      </c>
    </row>
    <row r="121" spans="1:10" ht="15.6">
      <c r="A121" s="26" t="str">
        <v>Krumkill South</v>
      </c>
      <c r="B121" s="27" t="str">
        <v>NY</v>
      </c>
      <c r="C121" s="27" t="str">
        <f>Sites[[#This Row],[SOL'#]]</f>
        <v>SOL-11087</v>
      </c>
      <c r="D121" s="16">
        <f>SUM(Jan!D121,Feb!D121,Mar!D121)</f>
        <v>1041009</v>
      </c>
      <c r="E121" s="16">
        <f>SUM(Jan!E121,Feb!E121,Mar!E121)</f>
        <v>1307044.5</v>
      </c>
      <c r="F121" s="14">
        <f t="shared" si="9"/>
        <v>-266035.5</v>
      </c>
      <c r="G121" s="15">
        <f t="shared" si="10"/>
        <v>-0.20353974176089643</v>
      </c>
      <c r="H121" s="16">
        <f>SUM(Jan!H121,Feb!H121,Mar!H121)</f>
        <v>1355778.1</v>
      </c>
      <c r="I121" s="16">
        <f>SUM(Jan!I121,Feb!I121,Mar!I121)</f>
        <v>-314769.09999999998</v>
      </c>
      <c r="J121" s="15">
        <f t="shared" si="11"/>
        <v>-0.23216859750131674</v>
      </c>
    </row>
    <row r="122" spans="1:10" ht="15.6">
      <c r="A122" s="24" t="str">
        <v>X092</v>
      </c>
      <c r="B122" s="25" t="str">
        <v>NY</v>
      </c>
      <c r="C122" s="25" t="str">
        <f>Sites[[#This Row],[SOL'#]]</f>
        <v>SOL-11189</v>
      </c>
      <c r="D122" s="20">
        <f>SUM(Jan!D122,Feb!D122,Mar!D122)</f>
        <v>15832.4</v>
      </c>
      <c r="E122" s="10">
        <f>SUM(Jan!E122,Feb!E122,Mar!E122)</f>
        <v>15885.47</v>
      </c>
      <c r="F122" s="10">
        <f t="shared" si="9"/>
        <v>-53.069999999999709</v>
      </c>
      <c r="G122" s="11">
        <f t="shared" si="10"/>
        <v>-3.3407887837123931E-3</v>
      </c>
      <c r="H122" s="12">
        <f>SUM(Jan!H122,Feb!H122,Mar!H122)</f>
        <v>16758</v>
      </c>
      <c r="I122" s="12">
        <f>SUM(Jan!I122,Feb!I122,Mar!I122)</f>
        <v>-925.60000000000036</v>
      </c>
      <c r="J122" s="13">
        <f t="shared" si="11"/>
        <v>-5.5233321398734957E-2</v>
      </c>
    </row>
    <row r="123" spans="1:10" ht="15.6">
      <c r="A123" s="26" t="str">
        <v>X093</v>
      </c>
      <c r="B123" s="27" t="str">
        <v>NY</v>
      </c>
      <c r="C123" s="27" t="str">
        <f>Sites[[#This Row],[SOL'#]]</f>
        <v>SOL-10932</v>
      </c>
      <c r="D123" s="16">
        <f>SUM(Jan!D123,Feb!D123,Mar!D123)</f>
        <v>13436.69868164063</v>
      </c>
      <c r="E123" s="16">
        <f>SUM(Jan!E123,Feb!E123,Mar!E123)</f>
        <v>0</v>
      </c>
      <c r="F123" s="14">
        <f t="shared" si="9"/>
        <v>13436.69868164063</v>
      </c>
      <c r="G123" s="15" t="str">
        <f t="shared" si="10"/>
        <v/>
      </c>
      <c r="H123" s="16">
        <f>SUM(Jan!H123,Feb!H123,Mar!H123)</f>
        <v>11061</v>
      </c>
      <c r="I123" s="16">
        <f>SUM(Jan!I123,Feb!I123,Mar!I123)</f>
        <v>2375.6986816406297</v>
      </c>
      <c r="J123" s="15">
        <f t="shared" si="11"/>
        <v>0.21478154612066086</v>
      </c>
    </row>
    <row r="124" spans="1:10" ht="15.6">
      <c r="A124" s="24" t="str">
        <v>X095</v>
      </c>
      <c r="B124" s="25" t="str">
        <v>NY</v>
      </c>
      <c r="C124" s="25" t="str">
        <f>Sites[[#This Row],[SOL'#]]</f>
        <v>SOL-10929</v>
      </c>
      <c r="D124" s="20">
        <f>SUM(Jan!D124,Feb!D124,Mar!D124)</f>
        <v>26232.703352135759</v>
      </c>
      <c r="E124" s="10">
        <f>SUM(Jan!E124,Feb!E124,Mar!E124)</f>
        <v>0</v>
      </c>
      <c r="F124" s="10">
        <f t="shared" si="9"/>
        <v>26232.703352135759</v>
      </c>
      <c r="G124" s="11" t="str">
        <f t="shared" si="10"/>
        <v/>
      </c>
      <c r="H124" s="12">
        <f>SUM(Jan!H124,Feb!H124,Mar!H124)</f>
        <v>15084</v>
      </c>
      <c r="I124" s="12">
        <f>SUM(Jan!I124,Feb!I124,Mar!I124)</f>
        <v>11148.703352135759</v>
      </c>
      <c r="J124" s="13">
        <f t="shared" si="11"/>
        <v>0.73910788598089094</v>
      </c>
    </row>
    <row r="125" spans="1:10" ht="15.6">
      <c r="A125" s="26" t="str">
        <v>X181</v>
      </c>
      <c r="B125" s="27" t="str">
        <v>NY</v>
      </c>
      <c r="C125" s="27" t="str">
        <f>Sites[[#This Row],[SOL'#]]</f>
        <v>SOL-10428</v>
      </c>
      <c r="D125" s="16">
        <f>SUM(Jan!D125,Feb!D125,Mar!D125)</f>
        <v>46052.2811517031</v>
      </c>
      <c r="E125" s="16">
        <f>SUM(Jan!E125,Feb!E125,Mar!E125)</f>
        <v>0</v>
      </c>
      <c r="F125" s="14">
        <f t="shared" si="9"/>
        <v>46052.2811517031</v>
      </c>
      <c r="G125" s="15" t="str">
        <f t="shared" si="10"/>
        <v/>
      </c>
      <c r="H125" s="16">
        <f>SUM(Jan!H125,Feb!H125,Mar!H125)</f>
        <v>27420</v>
      </c>
      <c r="I125" s="16">
        <f>SUM(Jan!I125,Feb!I125,Mar!I125)</f>
        <v>18632.2811517031</v>
      </c>
      <c r="J125" s="15">
        <f t="shared" si="11"/>
        <v>0.67951426519704961</v>
      </c>
    </row>
    <row r="126" spans="1:10" ht="15.6">
      <c r="A126" s="24" t="str">
        <v>X415</v>
      </c>
      <c r="B126" s="25" t="str">
        <v>NY</v>
      </c>
      <c r="C126" s="25" t="str">
        <f>Sites[[#This Row],[SOL'#]]</f>
        <v>SOL-10429</v>
      </c>
      <c r="D126" s="20">
        <f>SUM(Jan!D126,Feb!D126,Mar!D126)</f>
        <v>31229.752242281298</v>
      </c>
      <c r="E126" s="10">
        <f>SUM(Jan!E126,Feb!E126,Mar!E126)</f>
        <v>0</v>
      </c>
      <c r="F126" s="10">
        <f t="shared" si="9"/>
        <v>31229.752242281298</v>
      </c>
      <c r="G126" s="11" t="str">
        <f t="shared" si="10"/>
        <v/>
      </c>
      <c r="H126" s="12">
        <f>SUM(Jan!H126,Feb!H126,Mar!H126)</f>
        <v>15528</v>
      </c>
      <c r="I126" s="12">
        <f>SUM(Jan!I126,Feb!I126,Mar!I126)</f>
        <v>15701.752242281298</v>
      </c>
      <c r="J126" s="13">
        <f t="shared" si="11"/>
        <v>1.011189608596168</v>
      </c>
    </row>
    <row r="127" spans="1:10" ht="15.6">
      <c r="A127" s="26" t="str">
        <v>K198</v>
      </c>
      <c r="B127" s="27" t="str">
        <v>NY</v>
      </c>
      <c r="C127" s="27" t="str">
        <f>Sites[[#This Row],[SOL'#]]</f>
        <v>SOL-10930</v>
      </c>
      <c r="D127" s="16">
        <f>SUM(Jan!D127,Feb!D127,Mar!D127)</f>
        <v>28011.80276367188</v>
      </c>
      <c r="E127" s="16">
        <f>SUM(Jan!E127,Feb!E127,Mar!E127)</f>
        <v>0</v>
      </c>
      <c r="F127" s="14">
        <f t="shared" si="9"/>
        <v>28011.80276367188</v>
      </c>
      <c r="G127" s="15" t="str">
        <f t="shared" si="10"/>
        <v/>
      </c>
      <c r="H127" s="16">
        <f>SUM(Jan!H127,Feb!H127,Mar!H127)</f>
        <v>12752</v>
      </c>
      <c r="I127" s="16">
        <f>SUM(Jan!I127,Feb!I127,Mar!I127)</f>
        <v>15259.80276367188</v>
      </c>
      <c r="J127" s="15">
        <f t="shared" si="11"/>
        <v>1.1966595642779079</v>
      </c>
    </row>
    <row r="128" spans="1:10" ht="15.6">
      <c r="A128" s="24" t="str">
        <v>K203</v>
      </c>
      <c r="B128" s="25" t="str">
        <v>NY</v>
      </c>
      <c r="C128" s="25" t="str">
        <f>Sites[[#This Row],[SOL'#]]</f>
        <v>SOL-11190</v>
      </c>
      <c r="D128" s="20">
        <f>SUM(Jan!D128,Feb!D128,Mar!D128)</f>
        <v>13616</v>
      </c>
      <c r="E128" s="10">
        <f>SUM(Jan!E128,Feb!E128,Mar!E128)</f>
        <v>0</v>
      </c>
      <c r="F128" s="10">
        <f t="shared" si="9"/>
        <v>13616</v>
      </c>
      <c r="G128" s="11" t="str">
        <f t="shared" si="10"/>
        <v/>
      </c>
      <c r="H128" s="12">
        <f>SUM(Jan!H128,Feb!H128,Mar!H128)</f>
        <v>0</v>
      </c>
      <c r="I128" s="12">
        <f>SUM(Jan!I128,Feb!I128,Mar!I128)</f>
        <v>13616</v>
      </c>
      <c r="J128" s="13" t="str">
        <f t="shared" si="11"/>
        <v/>
      </c>
    </row>
    <row r="129" spans="1:10" ht="15.6">
      <c r="A129" s="26" t="str">
        <v>K213</v>
      </c>
      <c r="B129" s="27" t="str">
        <v>NY</v>
      </c>
      <c r="C129" s="27" t="str">
        <f>Sites[[#This Row],[SOL'#]]</f>
        <v>SOL-11191</v>
      </c>
      <c r="D129" s="16">
        <f>SUM(Jan!D129,Feb!D129,Mar!D129)</f>
        <v>19107.2</v>
      </c>
      <c r="E129" s="16">
        <f>SUM(Jan!E129,Feb!E129,Mar!E129)</f>
        <v>20224.73</v>
      </c>
      <c r="F129" s="14">
        <f t="shared" si="9"/>
        <v>-1117.5299999999988</v>
      </c>
      <c r="G129" s="15">
        <f t="shared" si="10"/>
        <v>-5.5255620223360155E-2</v>
      </c>
      <c r="H129" s="16">
        <f>SUM(Jan!H129,Feb!H129,Mar!H129)</f>
        <v>18782</v>
      </c>
      <c r="I129" s="16">
        <f>SUM(Jan!I129,Feb!I129,Mar!I129)</f>
        <v>325.20000000000073</v>
      </c>
      <c r="J129" s="15">
        <f t="shared" si="11"/>
        <v>1.7314450005324285E-2</v>
      </c>
    </row>
    <row r="130" spans="1:10" ht="15.6">
      <c r="A130" s="24" t="str">
        <v>K217</v>
      </c>
      <c r="B130" s="25" t="str">
        <v>NY</v>
      </c>
      <c r="C130" s="25" t="str">
        <f>Sites[[#This Row],[SOL'#]]</f>
        <v>SOL-10933</v>
      </c>
      <c r="D130" s="20">
        <f>SUM(Jan!D130,Feb!D130,Mar!D130)</f>
        <v>19930.476800800869</v>
      </c>
      <c r="E130" s="10">
        <f>SUM(Jan!E130,Feb!E130,Mar!E130)</f>
        <v>0</v>
      </c>
      <c r="F130" s="10">
        <f t="shared" si="9"/>
        <v>19930.476800800869</v>
      </c>
      <c r="G130" s="11" t="str">
        <f t="shared" si="10"/>
        <v/>
      </c>
      <c r="H130" s="12">
        <f>SUM(Jan!H130,Feb!H130,Mar!H130)</f>
        <v>9298</v>
      </c>
      <c r="I130" s="12">
        <f>SUM(Jan!I130,Feb!I130,Mar!I130)</f>
        <v>10632.47680080087</v>
      </c>
      <c r="J130" s="13">
        <f t="shared" si="11"/>
        <v>1.1435229942784331</v>
      </c>
    </row>
    <row r="131" spans="1:10" ht="15.6">
      <c r="A131" s="26" t="str">
        <v>K307</v>
      </c>
      <c r="B131" s="27" t="str">
        <v>NY</v>
      </c>
      <c r="C131" s="27" t="str">
        <f>Sites[[#This Row],[SOL'#]]</f>
        <v>SOL-10876</v>
      </c>
      <c r="D131" s="16">
        <f>SUM(Jan!D131,Feb!D131,Mar!D131)</f>
        <v>41741.964064958498</v>
      </c>
      <c r="E131" s="16">
        <f>SUM(Jan!E131,Feb!E131,Mar!E131)</f>
        <v>0</v>
      </c>
      <c r="F131" s="14">
        <f t="shared" si="9"/>
        <v>41741.964064958498</v>
      </c>
      <c r="G131" s="15" t="str">
        <f t="shared" si="10"/>
        <v/>
      </c>
      <c r="H131" s="16">
        <f>SUM(Jan!H131,Feb!H131,Mar!H131)</f>
        <v>19546</v>
      </c>
      <c r="I131" s="16">
        <f>SUM(Jan!I131,Feb!I131,Mar!I131)</f>
        <v>22195.964064958498</v>
      </c>
      <c r="J131" s="15">
        <f t="shared" si="11"/>
        <v>1.1355757733018774</v>
      </c>
    </row>
    <row r="132" spans="1:10" ht="15.6">
      <c r="A132" s="24" t="str">
        <v>K610</v>
      </c>
      <c r="B132" s="25" t="str">
        <v>NY</v>
      </c>
      <c r="C132" s="25" t="str">
        <f>Sites[[#This Row],[SOL'#]]</f>
        <v>SOL-11158</v>
      </c>
      <c r="D132" s="20">
        <f>SUM(Jan!D132,Feb!D132,Mar!D132)</f>
        <v>25056.5</v>
      </c>
      <c r="E132" s="10">
        <f>SUM(Jan!E132,Feb!E132,Mar!E132)</f>
        <v>24720.240000000002</v>
      </c>
      <c r="F132" s="10">
        <f t="shared" si="9"/>
        <v>336.2599999999984</v>
      </c>
      <c r="G132" s="11">
        <f t="shared" si="10"/>
        <v>1.3602618744801764E-2</v>
      </c>
      <c r="H132" s="12">
        <f>SUM(Jan!H132,Feb!H132,Mar!H132)</f>
        <v>24582</v>
      </c>
      <c r="I132" s="12">
        <f>SUM(Jan!I132,Feb!I132,Mar!I132)</f>
        <v>474.5</v>
      </c>
      <c r="J132" s="13">
        <f t="shared" si="11"/>
        <v>1.9302741843625418E-2</v>
      </c>
    </row>
    <row r="133" spans="1:10" ht="15.6">
      <c r="A133" s="26" t="str">
        <v>M025</v>
      </c>
      <c r="B133" s="27" t="str">
        <v>NY</v>
      </c>
      <c r="C133" s="27" t="str">
        <f>Sites[[#This Row],[SOL'#]]</f>
        <v>SOL-10392</v>
      </c>
      <c r="D133" s="16">
        <f>SUM(Jan!D133,Feb!D133,Mar!D133)</f>
        <v>26784.182250499998</v>
      </c>
      <c r="E133" s="16">
        <f>SUM(Jan!E133,Feb!E133,Mar!E133)</f>
        <v>0</v>
      </c>
      <c r="F133" s="14">
        <f t="shared" si="9"/>
        <v>26784.182250499998</v>
      </c>
      <c r="G133" s="15" t="str">
        <f t="shared" si="10"/>
        <v/>
      </c>
      <c r="H133" s="16">
        <f>SUM(Jan!H133,Feb!H133,Mar!H133)</f>
        <v>21500</v>
      </c>
      <c r="I133" s="16">
        <f>SUM(Jan!I133,Feb!I133,Mar!I133)</f>
        <v>5284.1822504999982</v>
      </c>
      <c r="J133" s="15">
        <f t="shared" si="11"/>
        <v>0.2457759186279069</v>
      </c>
    </row>
    <row r="134" spans="1:10" ht="15.6">
      <c r="A134" s="24" t="str">
        <v>M028</v>
      </c>
      <c r="B134" s="25" t="str">
        <v>NY</v>
      </c>
      <c r="C134" s="25" t="str">
        <f>Sites[[#This Row],[SOL'#]]</f>
        <v>SOL-10381</v>
      </c>
      <c r="D134" s="20">
        <f>SUM(Jan!D134,Feb!D134,Mar!D134)</f>
        <v>28412.4201381723</v>
      </c>
      <c r="E134" s="10">
        <f>SUM(Jan!E134,Feb!E134,Mar!E134)</f>
        <v>0</v>
      </c>
      <c r="F134" s="10">
        <f t="shared" si="9"/>
        <v>28412.4201381723</v>
      </c>
      <c r="G134" s="11" t="str">
        <f t="shared" si="10"/>
        <v/>
      </c>
      <c r="H134" s="12">
        <f>SUM(Jan!H134,Feb!H134,Mar!H134)</f>
        <v>15744</v>
      </c>
      <c r="I134" s="12">
        <f>SUM(Jan!I134,Feb!I134,Mar!I134)</f>
        <v>12668.4201381723</v>
      </c>
      <c r="J134" s="13">
        <f t="shared" si="11"/>
        <v>0.80465066934529339</v>
      </c>
    </row>
    <row r="135" spans="1:10" ht="15.6">
      <c r="A135" s="26" t="str">
        <v>Q030</v>
      </c>
      <c r="B135" s="27" t="str">
        <v>NY</v>
      </c>
      <c r="C135" s="27" t="str">
        <f>Sites[[#This Row],[SOL'#]]</f>
        <v>SOL-10878</v>
      </c>
      <c r="D135" s="16">
        <f>SUM(Jan!D135,Feb!D135,Mar!D135)</f>
        <v>43631.752451714798</v>
      </c>
      <c r="E135" s="16">
        <f>SUM(Jan!E135,Feb!E135,Mar!E135)</f>
        <v>0</v>
      </c>
      <c r="F135" s="14">
        <f t="shared" si="9"/>
        <v>43631.752451714798</v>
      </c>
      <c r="G135" s="15" t="str">
        <f t="shared" si="10"/>
        <v/>
      </c>
      <c r="H135" s="16">
        <f>SUM(Jan!H135,Feb!H135,Mar!H135)</f>
        <v>19517</v>
      </c>
      <c r="I135" s="16">
        <f>SUM(Jan!I135,Feb!I135,Mar!I135)</f>
        <v>24114.752451714801</v>
      </c>
      <c r="J135" s="15">
        <f t="shared" si="11"/>
        <v>1.2355768023628018</v>
      </c>
    </row>
    <row r="136" spans="1:10" ht="15.6">
      <c r="A136" s="24" t="str">
        <v>Q130</v>
      </c>
      <c r="B136" s="25" t="str">
        <v>NY</v>
      </c>
      <c r="C136" s="25" t="str">
        <f>Sites[[#This Row],[SOL'#]]</f>
        <v>SOL-10877</v>
      </c>
      <c r="D136" s="20">
        <f>SUM(Jan!D136,Feb!D136,Mar!D136)</f>
        <v>22567.278566679699</v>
      </c>
      <c r="E136" s="10">
        <f>SUM(Jan!E136,Feb!E136,Mar!E136)</f>
        <v>0</v>
      </c>
      <c r="F136" s="10">
        <f t="shared" si="9"/>
        <v>22567.278566679699</v>
      </c>
      <c r="G136" s="11" t="str">
        <f t="shared" si="10"/>
        <v/>
      </c>
      <c r="H136" s="12">
        <f>SUM(Jan!H136,Feb!H136,Mar!H136)</f>
        <v>10779.37</v>
      </c>
      <c r="I136" s="12">
        <f>SUM(Jan!I136,Feb!I136,Mar!I136)</f>
        <v>11787.9085666797</v>
      </c>
      <c r="J136" s="13">
        <f t="shared" si="11"/>
        <v>1.0935619212142917</v>
      </c>
    </row>
    <row r="137" spans="1:10" ht="15.6">
      <c r="A137" s="26" t="str">
        <v>Q196</v>
      </c>
      <c r="B137" s="27" t="str">
        <v>NY</v>
      </c>
      <c r="C137" s="27" t="str">
        <f>Sites[[#This Row],[SOL'#]]</f>
        <v>SOL-10879</v>
      </c>
      <c r="D137" s="16">
        <f>SUM(Jan!D137,Feb!D137,Mar!D137)</f>
        <v>27263.4877070312</v>
      </c>
      <c r="E137" s="16">
        <f>SUM(Jan!E137,Feb!E137,Mar!E137)</f>
        <v>0</v>
      </c>
      <c r="F137" s="14">
        <f t="shared" si="9"/>
        <v>27263.4877070312</v>
      </c>
      <c r="G137" s="15" t="str">
        <f t="shared" si="10"/>
        <v/>
      </c>
      <c r="H137" s="16">
        <f>SUM(Jan!H137,Feb!H137,Mar!H137)</f>
        <v>14155</v>
      </c>
      <c r="I137" s="16">
        <f>SUM(Jan!I137,Feb!I137,Mar!I137)</f>
        <v>9872.5277070312004</v>
      </c>
      <c r="J137" s="15">
        <f t="shared" si="11"/>
        <v>0.6974586864734158</v>
      </c>
    </row>
    <row r="138" spans="1:10" ht="15.6">
      <c r="A138" s="24" t="str">
        <v>Q220</v>
      </c>
      <c r="B138" s="25" t="str">
        <v>NY</v>
      </c>
      <c r="C138" s="25" t="str">
        <f>Sites[[#This Row],[SOL'#]]</f>
        <v>SOL-10873</v>
      </c>
      <c r="D138" s="20">
        <f>SUM(Jan!D138,Feb!D138,Mar!D138)</f>
        <v>35224.906076015599</v>
      </c>
      <c r="E138" s="10">
        <f>SUM(Jan!E138,Feb!E138,Mar!E138)</f>
        <v>0</v>
      </c>
      <c r="F138" s="10">
        <f t="shared" si="9"/>
        <v>35224.906076015599</v>
      </c>
      <c r="G138" s="11" t="str">
        <f t="shared" si="10"/>
        <v/>
      </c>
      <c r="H138" s="12">
        <f>SUM(Jan!H138,Feb!H138,Mar!H138)</f>
        <v>15807</v>
      </c>
      <c r="I138" s="12">
        <f>SUM(Jan!I138,Feb!I138,Mar!I138)</f>
        <v>12948.705076015602</v>
      </c>
      <c r="J138" s="13">
        <f t="shared" si="11"/>
        <v>0.8191753701534511</v>
      </c>
    </row>
    <row r="139" spans="1:10" ht="15.6">
      <c r="A139" s="26" t="str">
        <v>Q205</v>
      </c>
      <c r="B139" s="27" t="str">
        <v>NY</v>
      </c>
      <c r="C139" s="27" t="str">
        <f>Sites[[#This Row],[SOL'#]]</f>
        <v>SOL-10922</v>
      </c>
      <c r="D139" s="16">
        <f>SUM(Jan!D139,Feb!D139,Mar!D139)</f>
        <v>22716.95703125</v>
      </c>
      <c r="E139" s="16">
        <f>SUM(Jan!E139,Feb!E139,Mar!E139)</f>
        <v>25173.09</v>
      </c>
      <c r="F139" s="14">
        <f t="shared" si="9"/>
        <v>-2456.1329687500001</v>
      </c>
      <c r="G139" s="15">
        <f t="shared" si="10"/>
        <v>-9.7569784589416717E-2</v>
      </c>
      <c r="H139" s="16">
        <f>SUM(Jan!H139,Feb!H139,Mar!H139)</f>
        <v>19352</v>
      </c>
      <c r="I139" s="16">
        <f>SUM(Jan!I139,Feb!I139,Mar!I139)</f>
        <v>3364.95703125</v>
      </c>
      <c r="J139" s="15">
        <f t="shared" si="11"/>
        <v>0.17388161591825135</v>
      </c>
    </row>
    <row r="140" spans="1:10" ht="15.6">
      <c r="A140" s="24" t="str">
        <v>Q400</v>
      </c>
      <c r="B140" s="25" t="str">
        <v>NY</v>
      </c>
      <c r="C140" s="25" t="str">
        <f>Sites[[#This Row],[SOL'#]]</f>
        <v>SOL-10871</v>
      </c>
      <c r="D140" s="20">
        <f>SUM(Jan!D140,Feb!D140,Mar!D140)</f>
        <v>40289.000000749998</v>
      </c>
      <c r="E140" s="10">
        <f>SUM(Jan!E140,Feb!E140,Mar!E140)</f>
        <v>0</v>
      </c>
      <c r="F140" s="10">
        <f t="shared" si="9"/>
        <v>40289.000000749998</v>
      </c>
      <c r="G140" s="11" t="str">
        <f t="shared" si="10"/>
        <v/>
      </c>
      <c r="H140" s="12">
        <f>SUM(Jan!H140,Feb!H140,Mar!H140)</f>
        <v>30789</v>
      </c>
      <c r="I140" s="12">
        <f>SUM(Jan!I140,Feb!I140,Mar!I140)</f>
        <v>9500.0000007500003</v>
      </c>
      <c r="J140" s="13">
        <f t="shared" si="11"/>
        <v>0.30855175552145248</v>
      </c>
    </row>
    <row r="141" spans="1:10" ht="15.6">
      <c r="A141" s="26" t="str">
        <v>R003</v>
      </c>
      <c r="B141" s="27" t="str">
        <v>NY</v>
      </c>
      <c r="C141" s="27" t="str">
        <f>Sites[[#This Row],[SOL'#]]</f>
        <v>SOL-10416</v>
      </c>
      <c r="D141" s="16">
        <f>SUM(Jan!D141,Feb!D141,Mar!D141)</f>
        <v>54609.508239687493</v>
      </c>
      <c r="E141" s="16">
        <f>SUM(Jan!E141,Feb!E141,Mar!E141)</f>
        <v>0</v>
      </c>
      <c r="F141" s="14">
        <f t="shared" si="9"/>
        <v>54609.508239687493</v>
      </c>
      <c r="G141" s="15" t="str">
        <f t="shared" si="10"/>
        <v/>
      </c>
      <c r="H141" s="16">
        <f>SUM(Jan!H141,Feb!H141,Mar!H141)</f>
        <v>29898</v>
      </c>
      <c r="I141" s="16">
        <f>SUM(Jan!I141,Feb!I141,Mar!I141)</f>
        <v>4054.8754296874977</v>
      </c>
      <c r="J141" s="15">
        <f t="shared" si="11"/>
        <v>0.13562363468083141</v>
      </c>
    </row>
    <row r="142" spans="1:10" ht="15.6">
      <c r="A142" s="24" t="str">
        <v>R007</v>
      </c>
      <c r="B142" s="25" t="str">
        <v>NY</v>
      </c>
      <c r="C142" s="25" t="str">
        <f>Sites[[#This Row],[SOL'#]]</f>
        <v>SOL-10417</v>
      </c>
      <c r="D142" s="20">
        <f>SUM(Jan!D142,Feb!D142,Mar!D142)</f>
        <v>70915.474217499999</v>
      </c>
      <c r="E142" s="10">
        <f>SUM(Jan!E142,Feb!E142,Mar!E142)</f>
        <v>0</v>
      </c>
      <c r="F142" s="10">
        <f t="shared" si="9"/>
        <v>70915.474217499999</v>
      </c>
      <c r="G142" s="11" t="str">
        <f t="shared" si="10"/>
        <v/>
      </c>
      <c r="H142" s="12">
        <f>SUM(Jan!H142,Feb!H142,Mar!H142)</f>
        <v>29854</v>
      </c>
      <c r="I142" s="12">
        <f>SUM(Jan!I142,Feb!I142,Mar!I142)</f>
        <v>41061.474217499999</v>
      </c>
      <c r="J142" s="13">
        <f t="shared" si="11"/>
        <v>1.3754094666543846</v>
      </c>
    </row>
    <row r="143" spans="1:10" ht="15.6">
      <c r="A143" s="26" t="str">
        <v>BK16</v>
      </c>
      <c r="B143" s="27" t="str">
        <v>NY</v>
      </c>
      <c r="C143" s="27" t="str">
        <f>Sites[[#This Row],[SOL'#]]</f>
        <v>SOL-11093</v>
      </c>
      <c r="D143" s="16">
        <f>SUM(Jan!D143,Feb!D143,Mar!D143)</f>
        <v>68301.647358908609</v>
      </c>
      <c r="E143" s="16">
        <f>SUM(Jan!E143,Feb!E143,Mar!E143)</f>
        <v>0</v>
      </c>
      <c r="F143" s="14">
        <f t="shared" si="9"/>
        <v>68301.647358908609</v>
      </c>
      <c r="G143" s="15" t="str">
        <f t="shared" si="10"/>
        <v/>
      </c>
      <c r="H143" s="16">
        <f>SUM(Jan!H143,Feb!H143,Mar!H143)</f>
        <v>31346</v>
      </c>
      <c r="I143" s="16">
        <f>SUM(Jan!I143,Feb!I143,Mar!I143)</f>
        <v>36955.647358908602</v>
      </c>
      <c r="J143" s="15">
        <f t="shared" si="11"/>
        <v>1.1789589535796785</v>
      </c>
    </row>
    <row r="144" spans="1:10" ht="15.6">
      <c r="A144" s="24" t="str">
        <v>Trenton - Trenton East</v>
      </c>
      <c r="B144" s="25" t="str">
        <v>IL</v>
      </c>
      <c r="C144" s="25" t="str">
        <f>Sites[[#This Row],[SOL'#]]</f>
        <v>SOL-11060</v>
      </c>
      <c r="D144" s="20">
        <f>SUM(Jan!D144,Feb!D144,Mar!D144)</f>
        <v>488927</v>
      </c>
      <c r="E144" s="10">
        <f>SUM(Jan!E144,Feb!E144,Mar!E144)</f>
        <v>498262.4</v>
      </c>
      <c r="F144" s="10">
        <f t="shared" si="9"/>
        <v>-9335.4000000000233</v>
      </c>
      <c r="G144" s="11">
        <f t="shared" si="10"/>
        <v>-1.8735911038039441E-2</v>
      </c>
      <c r="H144" s="12">
        <f>SUM(Jan!H144,Feb!H144,Mar!H144)</f>
        <v>613135</v>
      </c>
      <c r="I144" s="12">
        <f>SUM(Jan!I144,Feb!I144,Mar!I144)</f>
        <v>-124208</v>
      </c>
      <c r="J144" s="13">
        <f t="shared" si="11"/>
        <v>-0.20257855121629004</v>
      </c>
    </row>
    <row r="145" spans="1:10" ht="15.6">
      <c r="A145" s="26" t="str">
        <v>Trenton - Trenton West</v>
      </c>
      <c r="B145" s="27" t="str">
        <v>IL</v>
      </c>
      <c r="C145" s="27" t="str">
        <f>Sites[[#This Row],[SOL'#]]</f>
        <v>SOL-11061</v>
      </c>
      <c r="D145" s="16">
        <f>SUM(Jan!D145,Feb!D145,Mar!D145)</f>
        <v>511811</v>
      </c>
      <c r="E145" s="16">
        <f>SUM(Jan!E145,Feb!E145,Mar!E145)</f>
        <v>479983.1</v>
      </c>
      <c r="F145" s="14">
        <f t="shared" si="9"/>
        <v>31827.900000000023</v>
      </c>
      <c r="G145" s="15">
        <f t="shared" si="10"/>
        <v>6.6310459680767972E-2</v>
      </c>
      <c r="H145" s="16">
        <f>SUM(Jan!H145,Feb!H145,Mar!H145)</f>
        <v>616255.00399999996</v>
      </c>
      <c r="I145" s="16">
        <f>SUM(Jan!I145,Feb!I145,Mar!I145)</f>
        <v>-104444.00399999999</v>
      </c>
      <c r="J145" s="15">
        <f t="shared" si="11"/>
        <v>-0.16948179458515195</v>
      </c>
    </row>
    <row r="146" spans="1:10" ht="15.6">
      <c r="A146" s="24" t="str">
        <v>Dakota - Dakota Solar 1</v>
      </c>
      <c r="B146" s="25" t="str">
        <v>IL</v>
      </c>
      <c r="C146" s="25" t="str">
        <f>Sites[[#This Row],[SOL'#]]</f>
        <v>SOL-11113</v>
      </c>
      <c r="D146" s="20">
        <f>SUM(Jan!D146,Feb!D146,Mar!D146)</f>
        <v>910089</v>
      </c>
      <c r="E146" s="10">
        <f>SUM(Jan!E146,Feb!E146,Mar!E146)</f>
        <v>821340.26899999997</v>
      </c>
      <c r="F146" s="10">
        <f t="shared" ref="F146:F157" si="12">IF(AND(ISNUMBER(D146),ISNUMBER(E146)), D146-E146, "")</f>
        <v>88748.731000000029</v>
      </c>
      <c r="G146" s="11">
        <f t="shared" ref="G146:G157" si="13">IFERROR(F146/E146, "")</f>
        <v>0.10805354899748625</v>
      </c>
      <c r="H146" s="12">
        <f>SUM(Jan!H146,Feb!H146,Mar!H146)</f>
        <v>0</v>
      </c>
      <c r="I146" s="12">
        <f>SUM(Jan!I146,Feb!I146,Mar!I146)</f>
        <v>910089</v>
      </c>
      <c r="J146" s="13" t="str">
        <f t="shared" ref="J146:J157" si="14">IFERROR(I146/H146, "")</f>
        <v/>
      </c>
    </row>
    <row r="147" spans="1:10" ht="15.6">
      <c r="A147" s="26" t="str">
        <v>X018</v>
      </c>
      <c r="B147" s="27" t="str">
        <v>NY</v>
      </c>
      <c r="C147" s="27" t="str">
        <f>Sites[[#This Row],[SOL'#]]</f>
        <v>SOL-10418</v>
      </c>
      <c r="D147" s="16">
        <f>SUM(Jan!D147,Feb!D147,Mar!D147)</f>
        <v>26638.643984374998</v>
      </c>
      <c r="E147" s="16">
        <f>SUM(Jan!E147,Feb!E147,Mar!E147)</f>
        <v>36216.343999999997</v>
      </c>
      <c r="F147" s="14">
        <f t="shared" si="12"/>
        <v>-9577.7000156249997</v>
      </c>
      <c r="G147" s="15">
        <f t="shared" si="13"/>
        <v>-0.26445794792608002</v>
      </c>
      <c r="H147" s="16">
        <f>SUM(Jan!H147,Feb!H147,Mar!H147)</f>
        <v>15457</v>
      </c>
      <c r="I147" s="16">
        <f>SUM(Jan!I147,Feb!I147,Mar!I147)</f>
        <v>11181.643984374999</v>
      </c>
      <c r="J147" s="15">
        <f t="shared" si="14"/>
        <v>0.723403246708611</v>
      </c>
    </row>
    <row r="148" spans="1:10" ht="15.6">
      <c r="A148" s="24" t="str">
        <v>Janiak Solar</v>
      </c>
      <c r="B148" s="25" t="str">
        <v>NY</v>
      </c>
      <c r="C148" s="25" t="str">
        <f>Sites[[#This Row],[SOL'#]]</f>
        <v>SOL-10898</v>
      </c>
      <c r="D148" s="20">
        <f>SUM(Jan!D148,Feb!D148,Mar!D148)</f>
        <v>722149.00012935395</v>
      </c>
      <c r="E148" s="10">
        <f>SUM(Jan!E148,Feb!E148,Mar!E148)</f>
        <v>877484.89799999993</v>
      </c>
      <c r="F148" s="10">
        <f t="shared" si="12"/>
        <v>-155335.89787064597</v>
      </c>
      <c r="G148" s="11">
        <f t="shared" si="13"/>
        <v>-0.17702401286300654</v>
      </c>
      <c r="H148" s="12">
        <f>SUM(Jan!H148,Feb!H148,Mar!H148)</f>
        <v>812707.06900000002</v>
      </c>
      <c r="I148" s="12">
        <f>SUM(Jan!I148,Feb!I148,Mar!I148)</f>
        <v>-90558.068870646006</v>
      </c>
      <c r="J148" s="13">
        <f t="shared" si="14"/>
        <v>-0.11142768695499805</v>
      </c>
    </row>
    <row r="149" spans="1:10" ht="15.6">
      <c r="A149" s="26" t="str">
        <v>County Route 11B</v>
      </c>
      <c r="B149" s="27" t="str">
        <v>NY</v>
      </c>
      <c r="C149" s="27" t="str">
        <f>Sites[[#This Row],[SOL'#]]</f>
        <v>SOL-10983</v>
      </c>
      <c r="D149" s="16">
        <f>SUM(Jan!D149,Feb!D149,Mar!D149)</f>
        <v>1581049</v>
      </c>
      <c r="E149" s="16">
        <f>SUM(Jan!E149,Feb!E149,Mar!E149)</f>
        <v>0</v>
      </c>
      <c r="F149" s="14">
        <f t="shared" si="12"/>
        <v>1581049</v>
      </c>
      <c r="G149" s="15" t="str">
        <f t="shared" si="13"/>
        <v/>
      </c>
      <c r="H149" s="16">
        <f>SUM(Jan!H149,Feb!H149,Mar!H149)</f>
        <v>0</v>
      </c>
      <c r="I149" s="16">
        <f>SUM(Jan!I149,Feb!I149,Mar!I149)</f>
        <v>1581049</v>
      </c>
      <c r="J149" s="15" t="str">
        <f t="shared" si="14"/>
        <v/>
      </c>
    </row>
    <row r="150" spans="1:10" ht="15.6">
      <c r="A150" s="24" t="str">
        <v>Barone</v>
      </c>
      <c r="B150" s="25" t="str">
        <v>NY</v>
      </c>
      <c r="C150" s="25" t="str">
        <f>Sites[[#This Row],[SOL'#]]</f>
        <v>SOL-11034</v>
      </c>
      <c r="D150" s="20">
        <f>SUM(Jan!D150,Feb!D150,Mar!D150)</f>
        <v>1074960</v>
      </c>
      <c r="E150" s="10">
        <f>SUM(Jan!E150,Feb!E150,Mar!E150)</f>
        <v>0</v>
      </c>
      <c r="F150" s="10">
        <f t="shared" si="12"/>
        <v>1074960</v>
      </c>
      <c r="G150" s="11" t="str">
        <f t="shared" si="13"/>
        <v/>
      </c>
      <c r="H150" s="12">
        <f>SUM(Jan!H150,Feb!H150,Mar!H150)</f>
        <v>1044522.5</v>
      </c>
      <c r="I150" s="12">
        <f>SUM(Jan!I150,Feb!I150,Mar!I150)</f>
        <v>30437.5</v>
      </c>
      <c r="J150" s="13">
        <f t="shared" si="14"/>
        <v>2.914010947586098E-2</v>
      </c>
    </row>
    <row r="151" spans="1:10" ht="15.6">
      <c r="A151" s="26" t="str">
        <v>Cedarville</v>
      </c>
      <c r="B151" s="27" t="str">
        <v>IL</v>
      </c>
      <c r="C151" s="27" t="str">
        <f>Sites[[#This Row],[SOL'#]]</f>
        <v>SOL-11069</v>
      </c>
      <c r="D151" s="16">
        <f>SUM(Jan!D151,Feb!D151,Mar!D151)</f>
        <v>776639</v>
      </c>
      <c r="E151" s="16">
        <f>SUM(Jan!E151,Feb!E151,Mar!E151)</f>
        <v>842466.8</v>
      </c>
      <c r="F151" s="14">
        <f t="shared" si="12"/>
        <v>-65827.800000000047</v>
      </c>
      <c r="G151" s="15">
        <f t="shared" si="13"/>
        <v>-7.8136966346923159E-2</v>
      </c>
      <c r="H151" s="16">
        <f>SUM(Jan!H151,Feb!H151,Mar!H151)</f>
        <v>807480.9</v>
      </c>
      <c r="I151" s="16">
        <f>SUM(Jan!I151,Feb!I151,Mar!I151)</f>
        <v>-30841.899999999994</v>
      </c>
      <c r="J151" s="15">
        <f t="shared" si="14"/>
        <v>-3.819520684637865E-2</v>
      </c>
    </row>
    <row r="152" spans="1:10" ht="15.6">
      <c r="A152" s="24" t="str">
        <v xml:space="preserve"> O'Brien Hill #1</v>
      </c>
      <c r="B152" s="25" t="str">
        <v>NY</v>
      </c>
      <c r="C152" s="25" t="str">
        <f>Sites[[#This Row],[SOL'#]]</f>
        <v>SOL-11098</v>
      </c>
      <c r="D152" s="20">
        <f>SUM(Jan!D152,Feb!D152,Mar!D152)</f>
        <v>770286</v>
      </c>
      <c r="E152" s="10">
        <f>SUM(Jan!E152,Feb!E152,Mar!E152)</f>
        <v>0</v>
      </c>
      <c r="F152" s="10">
        <f t="shared" si="12"/>
        <v>770286</v>
      </c>
      <c r="G152" s="11" t="str">
        <f t="shared" si="13"/>
        <v/>
      </c>
      <c r="H152" s="12">
        <f>SUM(Jan!H152,Feb!H152,Mar!H152)</f>
        <v>0</v>
      </c>
      <c r="I152" s="12">
        <f>SUM(Jan!I152,Feb!I152,Mar!I152)</f>
        <v>770286</v>
      </c>
      <c r="J152" s="13" t="str">
        <f t="shared" si="14"/>
        <v/>
      </c>
    </row>
    <row r="153" spans="1:10" ht="15.6">
      <c r="A153" s="26" t="str">
        <v xml:space="preserve"> O'Brien Hill #2</v>
      </c>
      <c r="B153" s="27" t="str">
        <v>NY</v>
      </c>
      <c r="C153" s="27" t="str">
        <f>Sites[[#This Row],[SOL'#]]</f>
        <v>SOL-11099</v>
      </c>
      <c r="D153" s="16">
        <f>SUM(Jan!D153,Feb!D153,Mar!D153)</f>
        <v>805058</v>
      </c>
      <c r="E153" s="16">
        <f>SUM(Jan!E153,Feb!E153,Mar!E153)</f>
        <v>0</v>
      </c>
      <c r="F153" s="14">
        <f t="shared" si="12"/>
        <v>805058</v>
      </c>
      <c r="G153" s="15" t="str">
        <f t="shared" si="13"/>
        <v/>
      </c>
      <c r="H153" s="16">
        <f>SUM(Jan!H153,Feb!H153,Mar!H153)</f>
        <v>0</v>
      </c>
      <c r="I153" s="16">
        <f>SUM(Jan!I153,Feb!I153,Mar!I153)</f>
        <v>805058</v>
      </c>
      <c r="J153" s="15" t="str">
        <f t="shared" si="14"/>
        <v/>
      </c>
    </row>
    <row r="154" spans="1:10" ht="15.6">
      <c r="A154" s="24" t="str">
        <v>Trinity - Freeport</v>
      </c>
      <c r="B154" s="25" t="str">
        <v>IL</v>
      </c>
      <c r="C154" s="25" t="str">
        <f>Sites[[#This Row],[SOL'#]]</f>
        <v>SOL-11057</v>
      </c>
      <c r="D154" s="20">
        <f>SUM(Jan!D154,Feb!D154,Mar!D154)</f>
        <v>380764</v>
      </c>
      <c r="E154" s="10">
        <f>SUM(Jan!E154,Feb!E154,Mar!E154)</f>
        <v>262931.7</v>
      </c>
      <c r="F154" s="10">
        <f t="shared" si="12"/>
        <v>117832.29999999999</v>
      </c>
      <c r="G154" s="11">
        <f t="shared" si="13"/>
        <v>0.44814794108127692</v>
      </c>
      <c r="H154" s="12">
        <f>SUM(Jan!H154,Feb!H154,Mar!H154)</f>
        <v>0</v>
      </c>
      <c r="I154" s="12">
        <f>SUM(Jan!I154,Feb!I154,Mar!I154)</f>
        <v>380764</v>
      </c>
      <c r="J154" s="13" t="str">
        <f t="shared" si="14"/>
        <v/>
      </c>
    </row>
    <row r="155" spans="1:10" ht="15.6">
      <c r="A155" s="26" t="str">
        <v>Ransom</v>
      </c>
      <c r="B155" s="27" t="str">
        <v>NY</v>
      </c>
      <c r="C155" s="27" t="str">
        <f>Sites[[#This Row],[SOL'#]]</f>
        <v>SOL-11157</v>
      </c>
      <c r="D155" s="16">
        <f>SUM(Jan!D155,Feb!D155,Mar!D155)</f>
        <v>573181.69999999995</v>
      </c>
      <c r="E155" s="16">
        <f>SUM(Jan!E155,Feb!E155,Mar!E155)</f>
        <v>0</v>
      </c>
      <c r="F155" s="14">
        <f t="shared" si="12"/>
        <v>573181.69999999995</v>
      </c>
      <c r="G155" s="15" t="str">
        <f t="shared" si="13"/>
        <v/>
      </c>
      <c r="H155" s="16">
        <f>SUM(Jan!H155,Feb!H155,Mar!H155)</f>
        <v>0</v>
      </c>
      <c r="I155" s="16">
        <f>SUM(Jan!I155,Feb!I155,Mar!I155)</f>
        <v>573181.69999999995</v>
      </c>
      <c r="J155" s="15" t="str">
        <f t="shared" si="14"/>
        <v/>
      </c>
    </row>
    <row r="156" spans="1:10" ht="15.6">
      <c r="A156" s="24" t="str">
        <v>Horseheads - Wedge</v>
      </c>
      <c r="B156" s="25" t="str">
        <v>NY</v>
      </c>
      <c r="C156" s="25" t="str">
        <f>Sites[[#This Row],[SOL'#]]</f>
        <v>SOL-11160</v>
      </c>
      <c r="D156" s="20">
        <f>SUM(Jan!D156,Feb!D155,Mar!D156)</f>
        <v>351172</v>
      </c>
      <c r="E156" s="10">
        <f>SUM(Jan!E156,Feb!E156,Mar!E156)</f>
        <v>0</v>
      </c>
      <c r="F156" s="10">
        <f t="shared" si="12"/>
        <v>351172</v>
      </c>
      <c r="G156" s="11" t="str">
        <f t="shared" si="13"/>
        <v/>
      </c>
      <c r="H156" s="12">
        <f>SUM(Jan!H156,Feb!H156,Mar!H156)</f>
        <v>0</v>
      </c>
      <c r="I156" s="12">
        <f>SUM(Jan!I156,Feb!I156,Mar!I156)</f>
        <v>351172</v>
      </c>
      <c r="J156" s="13" t="str">
        <f t="shared" si="14"/>
        <v/>
      </c>
    </row>
    <row r="157" spans="1:10" ht="15.6">
      <c r="A157" s="26" t="str">
        <v>Otisville - Shoddy Hollow</v>
      </c>
      <c r="B157" s="27" t="str">
        <v>NY</v>
      </c>
      <c r="C157" s="27" t="str">
        <f>Sites[[#This Row],[SOL'#]]</f>
        <v>SOL-11185</v>
      </c>
      <c r="D157" s="16">
        <f>SUM(Jan!D157,Feb!D157,Mar!D157)</f>
        <v>770722.7</v>
      </c>
      <c r="E157" s="16">
        <f>SUM(Jan!E157,Feb!E157,Mar!E157)</f>
        <v>0</v>
      </c>
      <c r="F157" s="14">
        <f t="shared" si="12"/>
        <v>770722.7</v>
      </c>
      <c r="G157" s="15" t="str">
        <f t="shared" si="13"/>
        <v/>
      </c>
      <c r="H157" s="16">
        <f>SUM(Jan!H157,Feb!H157,Mar!H157)</f>
        <v>0</v>
      </c>
      <c r="I157" s="16">
        <f>SUM(Jan!I157,Feb!I157,Mar!I157)</f>
        <v>770722.7</v>
      </c>
      <c r="J157" s="15" t="str">
        <f t="shared" si="14"/>
        <v/>
      </c>
    </row>
    <row r="158" spans="1:10" ht="15.6">
      <c r="A158" s="24" t="str">
        <v>Wellsville - Chenunda Creek</v>
      </c>
      <c r="B158" s="25" t="str">
        <v>NY</v>
      </c>
      <c r="C158" s="25" t="str">
        <f>Sites[[#This Row],[SOL'#]]</f>
        <v>SOL-11187</v>
      </c>
      <c r="D158" s="20">
        <f>SUM(Jan!D158,Feb!D158,Mar!D158)</f>
        <v>367949.8</v>
      </c>
      <c r="E158" s="10">
        <f>SUM(Jan!E158,Feb!E158,Mar!E158)</f>
        <v>0</v>
      </c>
      <c r="F158" s="10">
        <f t="shared" ref="F158:F171" si="15">IF(AND(ISNUMBER(D158),ISNUMBER(E158)), D158-E158, "")</f>
        <v>367949.8</v>
      </c>
      <c r="G158" s="11" t="str">
        <f t="shared" ref="G158:G171" si="16">IFERROR(F158/E158, "")</f>
        <v/>
      </c>
      <c r="H158" s="12">
        <f>SUM(Jan!H158,Feb!H158,Mar!H158)</f>
        <v>0</v>
      </c>
      <c r="I158" s="12">
        <f>SUM(Jan!I158,Feb!I158,Mar!I158)</f>
        <v>367949.8</v>
      </c>
      <c r="J158" s="13" t="str">
        <f t="shared" ref="J158:J171" si="17">IFERROR(I158/H158, "")</f>
        <v/>
      </c>
    </row>
    <row r="159" spans="1:10" ht="15.6">
      <c r="A159" s="26" t="str">
        <v>DC: Washington - Essex Condominium</v>
      </c>
      <c r="B159" s="27" t="str">
        <v>DC</v>
      </c>
      <c r="C159" s="27" t="str">
        <f>Sites[[#This Row],[SOL'#]]</f>
        <v>SOL-10036</v>
      </c>
      <c r="D159" s="69">
        <f>SUM(Jan!D159,Feb!E159,Mar!D159)</f>
        <v>6661.9580000000005</v>
      </c>
      <c r="E159" s="69">
        <f>SUM(Jan!E159,Feb!E159,Mar!E159)</f>
        <v>7882.5240000000003</v>
      </c>
      <c r="F159" s="14">
        <f t="shared" si="15"/>
        <v>-1220.5659999999998</v>
      </c>
      <c r="G159" s="68">
        <f t="shared" si="16"/>
        <v>-0.15484456501496219</v>
      </c>
      <c r="H159" s="69">
        <f>SUM(Jan!H159,Feb!H159,Mar!H159)</f>
        <v>8796.3189999999995</v>
      </c>
      <c r="I159" s="69">
        <f>SUM(Jan!I159,Feb!I159,Mar!I159)</f>
        <v>-2543.319</v>
      </c>
      <c r="J159" s="68">
        <f t="shared" si="17"/>
        <v>-0.28913446636030365</v>
      </c>
    </row>
    <row r="160" spans="1:10" ht="15.6">
      <c r="A160" s="24" t="str">
        <v>HI: Waipahu - 94-246 Leoku St - E.F.G.</v>
      </c>
      <c r="B160" s="25" t="str">
        <v>HI</v>
      </c>
      <c r="C160" s="25" t="str">
        <f>Sites[[#This Row],[SOL'#]]</f>
        <v>SOL-10071</v>
      </c>
      <c r="D160" s="54">
        <f>SUM(Jan!D160,Feb!D160,Mar!D160)</f>
        <v>28914</v>
      </c>
      <c r="E160" s="10">
        <f>SUM(Jan!E160,Feb!E160,Mar!E160)</f>
        <v>29374.276000000005</v>
      </c>
      <c r="F160" s="10">
        <f t="shared" si="15"/>
        <v>-460.2760000000053</v>
      </c>
      <c r="G160" s="55">
        <f t="shared" si="16"/>
        <v>-1.5669356412393115E-2</v>
      </c>
      <c r="H160" s="67">
        <f>SUM(Jan!H160,Feb!H160,Mar!H160)</f>
        <v>32426.188000000002</v>
      </c>
      <c r="I160" s="67">
        <f>SUM(Jan!I160,Feb!I160,Mar!I160)</f>
        <v>-3512.1880000000001</v>
      </c>
      <c r="J160" s="64">
        <f t="shared" si="17"/>
        <v>-0.1083133176184632</v>
      </c>
    </row>
    <row r="161" spans="1:10" ht="15.6">
      <c r="A161" s="26" t="str">
        <v>HI: Waipahu - 94-099 Waipahu St - PV</v>
      </c>
      <c r="B161" s="27" t="str">
        <v>HI</v>
      </c>
      <c r="C161" s="27" t="str">
        <f>Sites[[#This Row],[SOL'#]]</f>
        <v>SOL-10068</v>
      </c>
      <c r="D161" s="69">
        <f>SUM(Jan!D161,Feb!D161,Mar!D161)</f>
        <v>34818</v>
      </c>
      <c r="E161" s="69">
        <f>SUM(Jan!E161,Feb!E161,Mar!E161)</f>
        <v>28134.248</v>
      </c>
      <c r="F161" s="14">
        <f t="shared" si="15"/>
        <v>6683.7520000000004</v>
      </c>
      <c r="G161" s="68">
        <f t="shared" si="16"/>
        <v>0.2375663994999973</v>
      </c>
      <c r="H161" s="69">
        <f>SUM(Jan!H161,Feb!H161,Mar!H161)</f>
        <v>32408.821000000004</v>
      </c>
      <c r="I161" s="69">
        <f>SUM(Jan!I161,Feb!I161,Mar!I161)</f>
        <v>2409.1789999999983</v>
      </c>
      <c r="J161" s="68">
        <f t="shared" si="17"/>
        <v>7.4337138027946101E-2</v>
      </c>
    </row>
    <row r="162" spans="1:10" ht="15.6">
      <c r="A162" s="24" t="str">
        <v>IL: Prophetstown - 5170 Yager Road (PW)</v>
      </c>
      <c r="B162" s="25" t="str">
        <v>IL</v>
      </c>
      <c r="C162" s="25" t="str">
        <f>Sites[[#This Row],[SOL'#]]</f>
        <v>SOL-11149</v>
      </c>
      <c r="D162" s="54">
        <f>SUM(Jan!D162,Feb!D162,Mar!D162)</f>
        <v>0</v>
      </c>
      <c r="E162" s="10">
        <f>SUM(Jan!E162,Feb!E162,Mar!E162)</f>
        <v>0</v>
      </c>
      <c r="F162" s="10">
        <f t="shared" si="15"/>
        <v>0</v>
      </c>
      <c r="G162" s="55" t="str">
        <f t="shared" si="16"/>
        <v/>
      </c>
      <c r="H162" s="67">
        <f>SUM(Jan!H162,Feb!H162,Mar!H162)</f>
        <v>0</v>
      </c>
      <c r="I162" s="67">
        <f>SUM(Jan!I162,Feb!I162,Mar!I162)</f>
        <v>0</v>
      </c>
      <c r="J162" s="64" t="str">
        <f t="shared" si="17"/>
        <v/>
      </c>
    </row>
    <row r="163" spans="1:10" ht="15.6">
      <c r="A163" s="26" t="str">
        <v>IL: Viola - Goldenrod - (PW)</v>
      </c>
      <c r="B163" s="27" t="str">
        <v>IL</v>
      </c>
      <c r="C163" s="27" t="str">
        <f>Sites[[#This Row],[SOL'#]]</f>
        <v>SOL-11132</v>
      </c>
      <c r="D163" s="69">
        <f>SUM(Jan!D163,Feb!D163,Mar!D163)</f>
        <v>0</v>
      </c>
      <c r="E163" s="69">
        <f>SUM(Jan!E163,Feb!E163,Mar!E163)</f>
        <v>0</v>
      </c>
      <c r="F163" s="14">
        <f t="shared" si="15"/>
        <v>0</v>
      </c>
      <c r="G163" s="68" t="str">
        <f t="shared" si="16"/>
        <v/>
      </c>
      <c r="H163" s="69">
        <f>SUM(Jan!H163,Feb!H163,Mar!H163)</f>
        <v>0</v>
      </c>
      <c r="I163" s="69">
        <f>SUM(Jan!I163,Feb!I163,Mar!I163)</f>
        <v>0</v>
      </c>
      <c r="J163" s="68" t="str">
        <f t="shared" si="17"/>
        <v/>
      </c>
    </row>
    <row r="164" spans="1:10" ht="15.6">
      <c r="A164" s="24" t="str">
        <v>IL: Marengo - Grant - (PW)</v>
      </c>
      <c r="B164" s="25" t="str">
        <v>IL</v>
      </c>
      <c r="C164" s="25" t="str">
        <f>Sites[[#This Row],[SOL'#]]</f>
        <v>SOL-11147</v>
      </c>
      <c r="D164" s="54">
        <f>SUM(Jan!D164,Feb!D164,Mar!D164)</f>
        <v>0</v>
      </c>
      <c r="E164" s="10">
        <f>SUM(Jan!E164,Feb!E164,Mar!E164)</f>
        <v>0</v>
      </c>
      <c r="F164" s="10">
        <f t="shared" si="15"/>
        <v>0</v>
      </c>
      <c r="G164" s="55" t="str">
        <f t="shared" si="16"/>
        <v/>
      </c>
      <c r="H164" s="67">
        <f>SUM(Jan!H164,Feb!H164,Mar!H164)</f>
        <v>0</v>
      </c>
      <c r="I164" s="67">
        <f>SUM(Jan!I164,Feb!I164,Mar!I164)</f>
        <v>0</v>
      </c>
      <c r="J164" s="64" t="str">
        <f t="shared" si="17"/>
        <v/>
      </c>
    </row>
    <row r="165" spans="1:10" ht="15.6">
      <c r="A165" s="26" t="str">
        <v>NY: Cambridge - Cambridge (PW)</v>
      </c>
      <c r="B165" s="27" t="str">
        <v>NY</v>
      </c>
      <c r="C165" s="27" t="str">
        <f>Sites[[#This Row],[SOL'#]]</f>
        <v>SOL-11126</v>
      </c>
      <c r="D165" s="69">
        <f>SUM(Jan!D165,Feb!D165,Mar!D165)</f>
        <v>0</v>
      </c>
      <c r="E165" s="69">
        <f>SUM(Jan!E165,Feb!E165,Mar!E165)</f>
        <v>0</v>
      </c>
      <c r="F165" s="14">
        <f t="shared" si="15"/>
        <v>0</v>
      </c>
      <c r="G165" s="68" t="str">
        <f t="shared" si="16"/>
        <v/>
      </c>
      <c r="H165" s="69">
        <f>SUM(Jan!H165,Feb!H165,Mar!H165)</f>
        <v>0</v>
      </c>
      <c r="I165" s="69">
        <f>SUM(Jan!I165,Feb!I165,Mar!I165)</f>
        <v>0</v>
      </c>
      <c r="J165" s="68" t="str">
        <f t="shared" si="17"/>
        <v/>
      </c>
    </row>
    <row r="166" spans="1:10" ht="15.6">
      <c r="A166" s="24" t="str">
        <v>NY: Whitesville - Independence North</v>
      </c>
      <c r="B166" s="25" t="str">
        <v>NY</v>
      </c>
      <c r="C166" s="25" t="str">
        <f>Sites[[#This Row],[SOL'#]]</f>
        <v>SOL-11186</v>
      </c>
      <c r="D166" s="54">
        <f>SUM(Jan!D166,Feb!D166,Mar!D166)</f>
        <v>0</v>
      </c>
      <c r="E166" s="10">
        <f>SUM(Jan!E166,Feb!E166,Mar!E166)</f>
        <v>0</v>
      </c>
      <c r="F166" s="10">
        <f t="shared" si="15"/>
        <v>0</v>
      </c>
      <c r="G166" s="55" t="str">
        <f t="shared" si="16"/>
        <v/>
      </c>
      <c r="H166" s="67">
        <f>SUM(Jan!H166,Feb!H166,Mar!H166)</f>
        <v>0</v>
      </c>
      <c r="I166" s="67">
        <f>SUM(Jan!I166,Feb!I166,Mar!I166)</f>
        <v>0</v>
      </c>
      <c r="J166" s="64" t="str">
        <f t="shared" si="17"/>
        <v/>
      </c>
    </row>
    <row r="167" spans="1:10" ht="15.6">
      <c r="A167" s="26" t="str">
        <v>IL: Beecher - Cottage Grove North (PW)</v>
      </c>
      <c r="B167" s="27" t="str">
        <v>IL</v>
      </c>
      <c r="C167" s="27" t="str">
        <f>Sites[[#This Row],[SOL'#]]</f>
        <v>SOL-11114</v>
      </c>
      <c r="D167" s="69">
        <f>SUM(Jan!D167,Feb!D167,Mar!D167)</f>
        <v>0</v>
      </c>
      <c r="E167" s="69">
        <f>SUM(Jan!E167,Feb!E167,Mar!E167)</f>
        <v>0</v>
      </c>
      <c r="F167" s="14">
        <f t="shared" si="15"/>
        <v>0</v>
      </c>
      <c r="G167" s="68" t="str">
        <f t="shared" si="16"/>
        <v/>
      </c>
      <c r="H167" s="69">
        <f>SUM(Jan!H167,Feb!H167,Mar!H167)</f>
        <v>0</v>
      </c>
      <c r="I167" s="69">
        <f>SUM(Jan!I167,Feb!I167,Mar!I167)</f>
        <v>0</v>
      </c>
      <c r="J167" s="68" t="str">
        <f t="shared" si="17"/>
        <v/>
      </c>
    </row>
    <row r="168" spans="1:10" ht="15.6">
      <c r="A168" s="24" t="str">
        <v>IL: Beecher - Cottage Grove South (PW)</v>
      </c>
      <c r="B168" s="25" t="str">
        <v>IL</v>
      </c>
      <c r="C168" s="25" t="str">
        <f>Sites[[#This Row],[SOL'#]]</f>
        <v>SOL-11115</v>
      </c>
      <c r="D168" s="54">
        <f>SUM(Jan!D168,Feb!D168,Mar!D168)</f>
        <v>0</v>
      </c>
      <c r="E168" s="10">
        <f>SUM(Jan!E168,Feb!E168,Mar!E168)</f>
        <v>0</v>
      </c>
      <c r="F168" s="10">
        <f t="shared" si="15"/>
        <v>0</v>
      </c>
      <c r="G168" s="55" t="str">
        <f t="shared" si="16"/>
        <v/>
      </c>
      <c r="H168" s="67">
        <f>SUM(Jan!H168,Feb!H168,Mar!H168)</f>
        <v>0</v>
      </c>
      <c r="I168" s="67">
        <f>SUM(Jan!I168,Feb!I168,Mar!I168)</f>
        <v>0</v>
      </c>
      <c r="J168" s="64" t="str">
        <f t="shared" si="17"/>
        <v/>
      </c>
    </row>
    <row r="169" spans="1:10" ht="15.6">
      <c r="A169" s="26" t="str">
        <v>IL: Harvard - 9618 US HWY 14 (PW)</v>
      </c>
      <c r="B169" s="27" t="str">
        <v>IL</v>
      </c>
      <c r="C169" s="27" t="str">
        <f>Sites[[#This Row],[SOL'#]]</f>
        <v>SOL-11110</v>
      </c>
      <c r="D169" s="69">
        <f>SUM(Jan!D169,Feb!D169,Mar!D169)</f>
        <v>0</v>
      </c>
      <c r="E169" s="69">
        <f>SUM(Jan!E169,Feb!E169,Mar!E169)</f>
        <v>0</v>
      </c>
      <c r="F169" s="14">
        <f t="shared" si="15"/>
        <v>0</v>
      </c>
      <c r="G169" s="68" t="str">
        <f t="shared" si="16"/>
        <v/>
      </c>
      <c r="H169" s="69">
        <f>SUM(Jan!H169,Feb!H169,Mar!H169)</f>
        <v>0</v>
      </c>
      <c r="I169" s="69">
        <f>SUM(Jan!I169,Feb!I169,Mar!I169)</f>
        <v>0</v>
      </c>
      <c r="J169" s="68" t="str">
        <f t="shared" si="17"/>
        <v/>
      </c>
    </row>
    <row r="170" spans="1:10" ht="15.6">
      <c r="A170" s="24" t="str">
        <v>IL: Beecher - 701 E Goodenow Rd (PW)</v>
      </c>
      <c r="B170" s="25" t="str">
        <v>IL</v>
      </c>
      <c r="C170" s="25" t="str">
        <f>Sites[[#This Row],[SOL'#]]</f>
        <v>SOL-11112</v>
      </c>
      <c r="D170" s="54">
        <f>SUM(Jan!D170,Feb!D170,Mar!D170)</f>
        <v>0</v>
      </c>
      <c r="E170" s="10">
        <f>SUM(Jan!E170,Feb!E170,Mar!E170)</f>
        <v>0</v>
      </c>
      <c r="F170" s="10">
        <f t="shared" si="15"/>
        <v>0</v>
      </c>
      <c r="G170" s="55" t="str">
        <f t="shared" si="16"/>
        <v/>
      </c>
      <c r="H170" s="67">
        <f>SUM(Jan!H170,Feb!H170,Mar!H170)</f>
        <v>0</v>
      </c>
      <c r="I170" s="67">
        <f>SUM(Jan!I170,Feb!I170,Mar!I170)</f>
        <v>0</v>
      </c>
      <c r="J170" s="64" t="str">
        <f t="shared" si="17"/>
        <v/>
      </c>
    </row>
    <row r="171" spans="1:10" ht="15.6">
      <c r="A171" s="26" t="str">
        <v>NY: Stormville - Green Haven - (IRA)</v>
      </c>
      <c r="B171" s="27" t="str">
        <v>NY</v>
      </c>
      <c r="C171" s="27" t="str">
        <f>Sites[[#This Row],[SOL'#]]</f>
        <v>SOL-11151</v>
      </c>
      <c r="D171" s="69">
        <f>SUM(Jan!D171,Feb!D171,Mar!D171)</f>
        <v>0</v>
      </c>
      <c r="E171" s="69">
        <f>SUM(Jan!E171,Feb!E171,Mar!E171)</f>
        <v>0</v>
      </c>
      <c r="F171" s="14">
        <f t="shared" si="15"/>
        <v>0</v>
      </c>
      <c r="G171" s="68" t="str">
        <f t="shared" si="16"/>
        <v/>
      </c>
      <c r="H171" s="69">
        <f>SUM(Jan!H171,Feb!H171,Mar!H171)</f>
        <v>0</v>
      </c>
      <c r="I171" s="69">
        <f>SUM(Jan!I171,Feb!I171,Mar!I171)</f>
        <v>0</v>
      </c>
      <c r="J171" s="68" t="str">
        <f t="shared" si="17"/>
        <v/>
      </c>
    </row>
    <row r="172" spans="1:10">
      <c r="A172" t="str">
        <v>IL: Hillsboro - Anacott (PW)</v>
      </c>
      <c r="B172" t="str">
        <v>IL</v>
      </c>
    </row>
  </sheetData>
  <sortState xmlns:xlrd2="http://schemas.microsoft.com/office/spreadsheetml/2017/richdata2" ref="A3:J3">
    <sortCondition ref="A3"/>
  </sortState>
  <mergeCells count="4">
    <mergeCell ref="H1:J1"/>
    <mergeCell ref="A1:D1"/>
    <mergeCell ref="E1:G1"/>
    <mergeCell ref="A2:B2"/>
  </mergeCells>
  <phoneticPr fontId="40" type="noConversion"/>
  <conditionalFormatting sqref="G2 J2">
    <cfRule type="cellIs" dxfId="54" priority="35" stopIfTrue="1" operator="lessThanOrEqual">
      <formula>-0.1</formula>
    </cfRule>
    <cfRule type="expression" dxfId="53" priority="36">
      <formula>AND(ISNUMBER(G2), G2&gt;=0.1)</formula>
    </cfRule>
  </conditionalFormatting>
  <conditionalFormatting sqref="G4:G171 J4:J171">
    <cfRule type="cellIs" dxfId="52" priority="9" stopIfTrue="1" operator="lessThanOrEqual">
      <formula>-0.1</formula>
    </cfRule>
    <cfRule type="expression" dxfId="51" priority="10">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1"/>
  <sheetViews>
    <sheetView workbookViewId="0">
      <pane xSplit="2" ySplit="3" topLeftCell="C152" activePane="bottomRight" state="frozen"/>
      <selection pane="bottomRight" activeCell="H168" sqref="H168"/>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87" t="str" cm="1">
        <f t="array" ref="A1">portfolio</f>
        <v>Generate Capital</v>
      </c>
      <c r="B1" s="187"/>
      <c r="C1" s="187"/>
      <c r="D1" s="187"/>
      <c r="E1" s="188" t="s">
        <v>13</v>
      </c>
      <c r="F1" s="188"/>
      <c r="G1" s="188"/>
      <c r="H1" s="186" t="s">
        <v>14</v>
      </c>
      <c r="I1" s="186"/>
      <c r="J1" s="186"/>
    </row>
    <row r="2" spans="1:10" ht="19.5" customHeight="1">
      <c r="A2" s="189" t="s">
        <v>2</v>
      </c>
      <c r="B2" s="189"/>
      <c r="C2" s="57"/>
      <c r="D2" s="5">
        <f>SUM(D4:D258)</f>
        <v>121005964.99212156</v>
      </c>
      <c r="E2" s="5">
        <f>SUM(E4:E260)</f>
        <v>46675281.72700002</v>
      </c>
      <c r="F2" s="5">
        <f>D2-E2</f>
        <v>74330683.265121549</v>
      </c>
      <c r="G2" s="6">
        <f>IFERROR(F2/E2, 0)</f>
        <v>1.5925063655721621</v>
      </c>
      <c r="H2" s="5">
        <f>SUM(H4:H258)</f>
        <v>141633279.18500006</v>
      </c>
      <c r="I2" s="7">
        <f>D2-H2</f>
        <v>-20627314.1928785</v>
      </c>
      <c r="J2" s="6">
        <f>IFERROR(I2/H2, 0)</f>
        <v>-0.14563889441502864</v>
      </c>
    </row>
    <row r="3" spans="1:10" ht="14.25" customHeight="1">
      <c r="A3" s="8" t="s">
        <v>3</v>
      </c>
      <c r="B3" s="8" t="s">
        <v>4</v>
      </c>
      <c r="C3" s="8" t="s">
        <v>5</v>
      </c>
      <c r="D3" s="19" t="s">
        <v>6</v>
      </c>
      <c r="E3" s="31" t="s">
        <v>7</v>
      </c>
      <c r="F3" s="31" t="s">
        <v>8</v>
      </c>
      <c r="G3" s="32" t="s">
        <v>9</v>
      </c>
      <c r="H3" s="33" t="s">
        <v>10</v>
      </c>
      <c r="I3" s="34" t="s">
        <v>8</v>
      </c>
      <c r="J3" s="35" t="s">
        <v>9</v>
      </c>
    </row>
    <row r="4" spans="1:10" ht="15.6">
      <c r="A4" s="28" t="str" cm="1">
        <f t="array" ref="A4:A172">Sites[Site]</f>
        <v>K026</v>
      </c>
      <c r="B4" s="25" t="str" cm="1">
        <f t="array" ref="B4:B172">Sites[State]</f>
        <v>NY</v>
      </c>
      <c r="C4" s="25" t="str">
        <f>Sites[[#This Row],[SOL'#]]</f>
        <v>SOL-10356</v>
      </c>
      <c r="D4" s="20">
        <f>SUM(Apr!D4,May!D4,Jun!D4)</f>
        <v>68306.500000000204</v>
      </c>
      <c r="E4" s="10">
        <f>SUM(Apr!E4,May!E4,Jun!E4)</f>
        <v>106688.98999999999</v>
      </c>
      <c r="F4" s="10">
        <f>IF(AND(ISNUMBER(D4),ISNUMBER(E4)), D4-E4, "")</f>
        <v>-38382.489999999787</v>
      </c>
      <c r="G4" s="11">
        <f>IFERROR(F4/E4, "")</f>
        <v>-0.35976055261184675</v>
      </c>
      <c r="H4" s="12">
        <f>SUM(Apr!H4,May!H4,Jun!H4)</f>
        <v>111665.88</v>
      </c>
      <c r="I4" s="12">
        <f>SUM(Apr!I4,May!I4,Jun!I4)</f>
        <v>-43359.379999999801</v>
      </c>
      <c r="J4" s="13">
        <f>IFERROR(I4/H4, "")</f>
        <v>-0.38829569068008779</v>
      </c>
    </row>
    <row r="5" spans="1:10" ht="15.6">
      <c r="A5" s="26" t="str">
        <v>K041</v>
      </c>
      <c r="B5" s="27" t="str">
        <v>NY</v>
      </c>
      <c r="C5" s="27" t="str">
        <f>Sites[[#This Row],[SOL'#]]</f>
        <v>SOL-10357</v>
      </c>
      <c r="D5" s="16">
        <f>SUM(Apr!D5,May!D5,Jun!D5)</f>
        <v>75953.40625</v>
      </c>
      <c r="E5" s="16">
        <f>SUM(Apr!E5,May!E5,Jun!E5)</f>
        <v>86786.34</v>
      </c>
      <c r="F5" s="14">
        <f t="shared" ref="F5:F15" si="0">IF(AND(ISNUMBER(D5),ISNUMBER(E5)), D5-E5, "")</f>
        <v>-10832.933749999997</v>
      </c>
      <c r="G5" s="15">
        <f>IFERROR(F5/E5, "")</f>
        <v>-0.12482302802491725</v>
      </c>
      <c r="H5" s="16">
        <f>SUM(Apr!H5,May!H5,Jun!H5)</f>
        <v>88785</v>
      </c>
      <c r="I5" s="16">
        <f>SUM(Apr!I5,May!I5,Jun!I5)</f>
        <v>-12831.59375</v>
      </c>
      <c r="J5" s="15">
        <f>IFERROR(I5/H5, "")</f>
        <v>-0.14452434251281185</v>
      </c>
    </row>
    <row r="6" spans="1:10" ht="15.6">
      <c r="A6" s="24" t="str">
        <v>K043</v>
      </c>
      <c r="B6" s="25" t="str">
        <v>NY</v>
      </c>
      <c r="C6" s="25" t="str">
        <f>Sites[[#This Row],[SOL'#]]</f>
        <v>SOL-10358</v>
      </c>
      <c r="D6" s="20">
        <f>SUM(Apr!D6,May!D6,Jun!D6)</f>
        <v>92752.250499999995</v>
      </c>
      <c r="E6" s="10">
        <f>SUM(Apr!E6,May!E6,Jun!E6)</f>
        <v>95284.616999999998</v>
      </c>
      <c r="F6" s="10">
        <f t="shared" si="0"/>
        <v>-2532.3665000000037</v>
      </c>
      <c r="G6" s="11">
        <f t="shared" ref="G6:G69" si="1">IFERROR(F6/E6, "")</f>
        <v>-2.657686602235074E-2</v>
      </c>
      <c r="H6" s="12">
        <f>SUM(Apr!H6,May!H6,Jun!H6)</f>
        <v>19497.39</v>
      </c>
      <c r="I6" s="12">
        <f>SUM(Apr!I6,May!I6,Jun!I6)</f>
        <v>73254.860499999995</v>
      </c>
      <c r="J6" s="13">
        <f t="shared" ref="J6:J69" si="2">IFERROR(I6/H6, "")</f>
        <v>3.7571623945563997</v>
      </c>
    </row>
    <row r="7" spans="1:10" ht="15.6">
      <c r="A7" s="26" t="str">
        <v>K058</v>
      </c>
      <c r="B7" s="27" t="str">
        <v>NY</v>
      </c>
      <c r="C7" s="27" t="str">
        <f>Sites[[#This Row],[SOL'#]]</f>
        <v>SOL-10360</v>
      </c>
      <c r="D7" s="16">
        <f>SUM(Apr!D7,May!D7,Jun!D7)</f>
        <v>0</v>
      </c>
      <c r="E7" s="16">
        <f>SUM(Apr!E7,May!E7,Jun!E7)</f>
        <v>0</v>
      </c>
      <c r="F7" s="14">
        <f t="shared" si="0"/>
        <v>0</v>
      </c>
      <c r="G7" s="15" t="str">
        <f t="shared" si="1"/>
        <v/>
      </c>
      <c r="H7" s="16">
        <f>SUM(Apr!H7,May!H7,Jun!H7)</f>
        <v>59563</v>
      </c>
      <c r="I7" s="16">
        <f>SUM(Apr!I7,May!I7,Jun!I7)</f>
        <v>-59563</v>
      </c>
      <c r="J7" s="15">
        <f t="shared" si="2"/>
        <v>-1</v>
      </c>
    </row>
    <row r="8" spans="1:10" ht="15.6">
      <c r="A8" s="24" t="str">
        <v>K115</v>
      </c>
      <c r="B8" s="25" t="str">
        <v>NY</v>
      </c>
      <c r="C8" s="25" t="str">
        <f>Sites[[#This Row],[SOL'#]]</f>
        <v>SOL-10361</v>
      </c>
      <c r="D8" s="20">
        <f>SUM(Apr!D8,May!D8,Jun!D8)</f>
        <v>17549.203125</v>
      </c>
      <c r="E8" s="10">
        <f>SUM(Apr!E8,May!E8,Jun!E8)</f>
        <v>33770.050000000003</v>
      </c>
      <c r="F8" s="10">
        <f t="shared" si="0"/>
        <v>-16220.846875000003</v>
      </c>
      <c r="G8" s="11">
        <f t="shared" si="1"/>
        <v>-0.48033233219968585</v>
      </c>
      <c r="H8" s="12">
        <f>SUM(Apr!H8,May!H8,Jun!H8)</f>
        <v>50850.149999999994</v>
      </c>
      <c r="I8" s="12">
        <f>SUM(Apr!I8,May!I8,Jun!I8)</f>
        <v>-33300.946874999994</v>
      </c>
      <c r="J8" s="13">
        <f t="shared" si="2"/>
        <v>-0.65488394577007147</v>
      </c>
    </row>
    <row r="9" spans="1:10" ht="15.6">
      <c r="A9" s="26" t="str">
        <v>K152</v>
      </c>
      <c r="B9" s="27" t="str">
        <v>NY</v>
      </c>
      <c r="C9" s="27" t="str">
        <f>Sites[[#This Row],[SOL'#]]</f>
        <v>SOL-10362</v>
      </c>
      <c r="D9" s="16">
        <f>SUM(Apr!D9,May!D9,Jun!D9)</f>
        <v>27928.25</v>
      </c>
      <c r="E9" s="16">
        <f>SUM(Apr!E9,May!E9,Jun!E9)</f>
        <v>29089.714</v>
      </c>
      <c r="F9" s="14">
        <f t="shared" si="0"/>
        <v>-1161.4639999999999</v>
      </c>
      <c r="G9" s="15">
        <f t="shared" si="1"/>
        <v>-3.9926965249641157E-2</v>
      </c>
      <c r="H9" s="16">
        <f>SUM(Apr!H9,May!H9,Jun!H9)</f>
        <v>32067</v>
      </c>
      <c r="I9" s="16">
        <f>SUM(Apr!I9,May!I9,Jun!I9)</f>
        <v>-4138.75</v>
      </c>
      <c r="J9" s="15">
        <f t="shared" si="2"/>
        <v>-0.12906570617769045</v>
      </c>
    </row>
    <row r="10" spans="1:10" ht="15.6">
      <c r="A10" s="24" t="str">
        <v>K166</v>
      </c>
      <c r="B10" s="25" t="str">
        <v>NY</v>
      </c>
      <c r="C10" s="25" t="str">
        <f>Sites[[#This Row],[SOL'#]]</f>
        <v>SOL-10363</v>
      </c>
      <c r="D10" s="20">
        <f>SUM(Apr!D10,May!D10,Jun!D10)</f>
        <v>102875.5</v>
      </c>
      <c r="E10" s="10">
        <f>SUM(Apr!E10,May!E10,Jun!E10)</f>
        <v>110758.06999999999</v>
      </c>
      <c r="F10" s="10">
        <f t="shared" si="0"/>
        <v>-7882.5699999999924</v>
      </c>
      <c r="G10" s="11">
        <f t="shared" si="1"/>
        <v>-7.116926107506201E-2</v>
      </c>
      <c r="H10" s="12">
        <f>SUM(Apr!H10,May!H10,Jun!H10)</f>
        <v>117571.05</v>
      </c>
      <c r="I10" s="12">
        <f>SUM(Apr!I10,May!I10,Jun!I10)</f>
        <v>-14695.550000000003</v>
      </c>
      <c r="J10" s="13">
        <f t="shared" si="2"/>
        <v>-0.12499292980712516</v>
      </c>
    </row>
    <row r="11" spans="1:10" ht="15.6">
      <c r="A11" s="26" t="str">
        <v>K206</v>
      </c>
      <c r="B11" s="27" t="str">
        <v>NY</v>
      </c>
      <c r="C11" s="27" t="str">
        <f>Sites[[#This Row],[SOL'#]]</f>
        <v>SOL-10927</v>
      </c>
      <c r="D11" s="16">
        <f>SUM(Apr!D11,May!D11,Jun!D11)</f>
        <v>60686.78125</v>
      </c>
      <c r="E11" s="16">
        <f>SUM(Apr!E11,May!E11,Jun!E11)</f>
        <v>58984.7</v>
      </c>
      <c r="F11" s="14">
        <f t="shared" si="0"/>
        <v>1702.0812500000029</v>
      </c>
      <c r="G11" s="15">
        <f t="shared" si="1"/>
        <v>2.8856317824791904E-2</v>
      </c>
      <c r="H11" s="16">
        <f>SUM(Apr!H11,May!H11,Jun!H11)</f>
        <v>65939</v>
      </c>
      <c r="I11" s="16">
        <f>SUM(Apr!I11,May!I11,Jun!I11)</f>
        <v>-5252.21875</v>
      </c>
      <c r="J11" s="15">
        <f t="shared" si="2"/>
        <v>-7.9652690365337661E-2</v>
      </c>
    </row>
    <row r="12" spans="1:10" ht="15.6">
      <c r="A12" s="24" t="str">
        <v>K251</v>
      </c>
      <c r="B12" s="25" t="str">
        <v>NY</v>
      </c>
      <c r="C12" s="25" t="str">
        <f>Sites[[#This Row],[SOL'#]]</f>
        <v>SOL-10365</v>
      </c>
      <c r="D12" s="20">
        <f>SUM(Apr!D12,May!D12,Jun!D12)</f>
        <v>55076</v>
      </c>
      <c r="E12" s="10">
        <f>SUM(Apr!E12,May!E12,Jun!E12)</f>
        <v>0</v>
      </c>
      <c r="F12" s="10">
        <f t="shared" si="0"/>
        <v>55076</v>
      </c>
      <c r="G12" s="11" t="str">
        <f t="shared" si="1"/>
        <v/>
      </c>
      <c r="H12" s="12">
        <f>SUM(Apr!H12,May!H12,Jun!H12)</f>
        <v>74161.86</v>
      </c>
      <c r="I12" s="12">
        <f>SUM(Apr!I12,May!I12,Jun!I12)</f>
        <v>-19085.86</v>
      </c>
      <c r="J12" s="13">
        <f t="shared" si="2"/>
        <v>-0.25735411706232825</v>
      </c>
    </row>
    <row r="13" spans="1:10" ht="15.6">
      <c r="A13" s="26" t="str">
        <v>K269</v>
      </c>
      <c r="B13" s="27" t="str">
        <v>NY</v>
      </c>
      <c r="C13" s="27" t="str">
        <f>Sites[[#This Row],[SOL'#]]</f>
        <v>SOL-10366</v>
      </c>
      <c r="D13" s="16">
        <f>SUM(Apr!D13,May!D13,Jun!D13)</f>
        <v>60935.25</v>
      </c>
      <c r="E13" s="16">
        <f>SUM(Apr!E13,May!E13,Jun!E13)</f>
        <v>70904.83</v>
      </c>
      <c r="F13" s="14">
        <f t="shared" si="0"/>
        <v>-9969.5800000000017</v>
      </c>
      <c r="G13" s="15">
        <f t="shared" si="1"/>
        <v>-0.14060508994944351</v>
      </c>
      <c r="H13" s="16">
        <f>SUM(Apr!H13,May!H13,Jun!H13)</f>
        <v>69988.55</v>
      </c>
      <c r="I13" s="16">
        <f>SUM(Apr!I13,May!I13,Jun!I13)</f>
        <v>-9053.2999999999993</v>
      </c>
      <c r="J13" s="15">
        <f t="shared" si="2"/>
        <v>-0.1293540157640071</v>
      </c>
    </row>
    <row r="14" spans="1:10" ht="15.6">
      <c r="A14" s="24" t="str">
        <v>K273</v>
      </c>
      <c r="B14" s="25" t="str">
        <v>NY</v>
      </c>
      <c r="C14" s="25" t="str">
        <f>Sites[[#This Row],[SOL'#]]</f>
        <v>SOL-10367</v>
      </c>
      <c r="D14" s="20">
        <f>SUM(Apr!D14,May!D14,Jun!D14)</f>
        <v>62937.1875</v>
      </c>
      <c r="E14" s="10">
        <f>SUM(Apr!E14,May!E14,Jun!E14)</f>
        <v>0</v>
      </c>
      <c r="F14" s="10">
        <f t="shared" si="0"/>
        <v>62937.1875</v>
      </c>
      <c r="G14" s="11" t="str">
        <f t="shared" si="1"/>
        <v/>
      </c>
      <c r="H14" s="12">
        <f>SUM(Apr!H14,May!H14,Jun!H14)</f>
        <v>89807</v>
      </c>
      <c r="I14" s="12">
        <f>SUM(Apr!I14,May!I14,Jun!I14)</f>
        <v>-26869.8125</v>
      </c>
      <c r="J14" s="13">
        <f t="shared" si="2"/>
        <v>-0.29919507944814994</v>
      </c>
    </row>
    <row r="15" spans="1:10" ht="15.6">
      <c r="A15" s="26" t="str">
        <v>K287</v>
      </c>
      <c r="B15" s="27" t="str">
        <v>NY</v>
      </c>
      <c r="C15" s="27" t="str">
        <f>Sites[[#This Row],[SOL'#]]</f>
        <v>SOL-10919</v>
      </c>
      <c r="D15" s="16">
        <f>SUM(Apr!D15,May!D15,Jun!D15)</f>
        <v>52962.8125</v>
      </c>
      <c r="E15" s="16">
        <f>SUM(Apr!E15,May!E15,Jun!E15)</f>
        <v>46110.94</v>
      </c>
      <c r="F15" s="14">
        <f t="shared" si="0"/>
        <v>6851.8724999999977</v>
      </c>
      <c r="G15" s="15">
        <f t="shared" si="1"/>
        <v>0.14859537671537379</v>
      </c>
      <c r="H15" s="16">
        <f>SUM(Apr!H15,May!H15,Jun!H15)</f>
        <v>61335</v>
      </c>
      <c r="I15" s="16">
        <f>SUM(Apr!I15,May!I15,Jun!I15)</f>
        <v>-8372.1875</v>
      </c>
      <c r="J15" s="15">
        <f t="shared" si="2"/>
        <v>-0.1364993478438086</v>
      </c>
    </row>
    <row r="16" spans="1:10" ht="15.6">
      <c r="A16" s="24" t="str">
        <v>K298</v>
      </c>
      <c r="B16" s="25" t="str">
        <v>NY</v>
      </c>
      <c r="C16" s="25" t="str">
        <f>Sites[[#This Row],[SOL'#]]</f>
        <v>SOL-10368</v>
      </c>
      <c r="D16" s="20">
        <f>SUM(Apr!D16,May!D16,Jun!D16)</f>
        <v>57863.90625</v>
      </c>
      <c r="E16" s="10">
        <f>SUM(Apr!E16,May!E16,Jun!E16)</f>
        <v>60971.710000000006</v>
      </c>
      <c r="F16" s="10">
        <f t="shared" ref="F16:F17" si="3">IF(AND(ISNUMBER(D16),ISNUMBER(E16)), D16-E16, "")</f>
        <v>-3107.8037500000064</v>
      </c>
      <c r="G16" s="11">
        <f t="shared" si="1"/>
        <v>-5.0971241416716148E-2</v>
      </c>
      <c r="H16" s="12">
        <f>SUM(Apr!H16,May!H16,Jun!H16)</f>
        <v>70465</v>
      </c>
      <c r="I16" s="12">
        <f>SUM(Apr!I16,May!I16,Jun!I16)</f>
        <v>-12601.09375</v>
      </c>
      <c r="J16" s="13">
        <f t="shared" si="2"/>
        <v>-0.17882769814801674</v>
      </c>
    </row>
    <row r="17" spans="1:10" ht="15.6">
      <c r="A17" s="26" t="str">
        <v>K335</v>
      </c>
      <c r="B17" s="27" t="str">
        <v>NY</v>
      </c>
      <c r="C17" s="27" t="str">
        <f>Sites[[#This Row],[SOL'#]]</f>
        <v>SOL-10370</v>
      </c>
      <c r="D17" s="16">
        <f>SUM(Apr!D17,May!D17,Jun!D17)</f>
        <v>60065.625</v>
      </c>
      <c r="E17" s="16">
        <f>SUM(Apr!E17,May!E17,Jun!E17)</f>
        <v>67653.73000000001</v>
      </c>
      <c r="F17" s="14">
        <f t="shared" si="3"/>
        <v>-7588.1050000000105</v>
      </c>
      <c r="G17" s="15">
        <f t="shared" si="1"/>
        <v>-0.11216092593859953</v>
      </c>
      <c r="H17" s="16">
        <f>SUM(Apr!H17,May!H17,Jun!H17)</f>
        <v>74490</v>
      </c>
      <c r="I17" s="16">
        <f>SUM(Apr!I17,May!I17,Jun!I17)</f>
        <v>-14424.375</v>
      </c>
      <c r="J17" s="15">
        <f t="shared" si="2"/>
        <v>-0.19364176399516714</v>
      </c>
    </row>
    <row r="18" spans="1:10" ht="12.75" customHeight="1">
      <c r="A18" s="24" t="str">
        <v>K345</v>
      </c>
      <c r="B18" s="25" t="str">
        <v>NY</v>
      </c>
      <c r="C18" s="25" t="str">
        <f>Sites[[#This Row],[SOL'#]]</f>
        <v>SOL-10920</v>
      </c>
      <c r="D18" s="20">
        <f>SUM(Apr!D18,May!D18,Jun!D18)</f>
        <v>70369.90625</v>
      </c>
      <c r="E18" s="10">
        <f>SUM(Apr!E18,May!E18,Jun!E18)</f>
        <v>41715.08</v>
      </c>
      <c r="F18" s="10">
        <f t="shared" ref="F18:F49" si="4">IF(AND(ISNUMBER(D18),ISNUMBER(E18)), D18-E18, "")</f>
        <v>28654.826249999998</v>
      </c>
      <c r="G18" s="11">
        <f t="shared" si="1"/>
        <v>0.68691768660158381</v>
      </c>
      <c r="H18" s="12">
        <f>SUM(Apr!H18,May!H18,Jun!H18)</f>
        <v>81770</v>
      </c>
      <c r="I18" s="12">
        <f>SUM(Apr!I18,May!I18,Jun!I18)</f>
        <v>-11400.09375</v>
      </c>
      <c r="J18" s="13">
        <f t="shared" si="2"/>
        <v>-0.13941658004158003</v>
      </c>
    </row>
    <row r="19" spans="1:10" ht="15.6">
      <c r="A19" s="26" t="str">
        <v>K445</v>
      </c>
      <c r="B19" s="27" t="str">
        <v>NY</v>
      </c>
      <c r="C19" s="27" t="str">
        <f>Sites[[#This Row],[SOL'#]]</f>
        <v>SOL-10373</v>
      </c>
      <c r="D19" s="16">
        <f>SUM(Apr!D19,May!D19,Jun!D19)</f>
        <v>58022.09375</v>
      </c>
      <c r="E19" s="16">
        <f>SUM(Apr!E19,May!E19,Jun!E19)</f>
        <v>63169.62999999999</v>
      </c>
      <c r="F19" s="14">
        <f t="shared" si="4"/>
        <v>-5147.5362499999901</v>
      </c>
      <c r="G19" s="15">
        <f t="shared" si="1"/>
        <v>-8.148751623208797E-2</v>
      </c>
      <c r="H19" s="16">
        <f>SUM(Apr!H19,May!H19,Jun!H19)</f>
        <v>65662.47</v>
      </c>
      <c r="I19" s="16">
        <f>SUM(Apr!I19,May!I19,Jun!I19)</f>
        <v>-7640.3762500000012</v>
      </c>
      <c r="J19" s="15">
        <f t="shared" si="2"/>
        <v>-0.11635834366267368</v>
      </c>
    </row>
    <row r="20" spans="1:10" ht="15.6">
      <c r="A20" s="24" t="str">
        <v>K495</v>
      </c>
      <c r="B20" s="25" t="str">
        <v>NY</v>
      </c>
      <c r="C20" s="25" t="str">
        <f>Sites[[#This Row],[SOL'#]]</f>
        <v>SOL-10374</v>
      </c>
      <c r="D20" s="20">
        <f>SUM(Apr!D20,May!D20,Jun!D20)</f>
        <v>199709.375</v>
      </c>
      <c r="E20" s="10">
        <f>SUM(Apr!E20,May!E20,Jun!E20)</f>
        <v>242052.37999999998</v>
      </c>
      <c r="F20" s="10">
        <f t="shared" si="4"/>
        <v>-42343.004999999976</v>
      </c>
      <c r="G20" s="11">
        <f t="shared" si="1"/>
        <v>-0.17493323139396513</v>
      </c>
      <c r="H20" s="12">
        <f>SUM(Apr!H20,May!H20,Jun!H20)</f>
        <v>283857.73</v>
      </c>
      <c r="I20" s="12">
        <f>SUM(Apr!I20,May!I20,Jun!I20)</f>
        <v>-84148.35500000001</v>
      </c>
      <c r="J20" s="13">
        <f t="shared" si="2"/>
        <v>-0.29644552924452688</v>
      </c>
    </row>
    <row r="21" spans="1:10" ht="15.6">
      <c r="A21" s="26" t="str">
        <v>M020</v>
      </c>
      <c r="B21" s="27" t="str">
        <v>NY</v>
      </c>
      <c r="C21" s="27" t="str">
        <f>Sites[[#This Row],[SOL'#]]</f>
        <v>SOL-10380</v>
      </c>
      <c r="D21" s="16">
        <f>SUM(Apr!D21,May!D21,Jun!D21)</f>
        <v>59768.0625</v>
      </c>
      <c r="E21" s="16">
        <f>SUM(Apr!E21,May!E21,Jun!E21)</f>
        <v>66545.84</v>
      </c>
      <c r="F21" s="14">
        <f t="shared" si="4"/>
        <v>-6777.7774999999965</v>
      </c>
      <c r="G21" s="15">
        <f t="shared" si="1"/>
        <v>-0.10185125771949076</v>
      </c>
      <c r="H21" s="16">
        <f>SUM(Apr!H21,May!H21,Jun!H21)</f>
        <v>76609</v>
      </c>
      <c r="I21" s="16">
        <f>SUM(Apr!I21,May!I21,Jun!I21)</f>
        <v>-16840.9375</v>
      </c>
      <c r="J21" s="15">
        <f t="shared" si="2"/>
        <v>-0.21982975237896329</v>
      </c>
    </row>
    <row r="22" spans="1:10" ht="15.6">
      <c r="A22" s="24" t="str">
        <v>M092</v>
      </c>
      <c r="B22" s="25" t="str">
        <v>NY</v>
      </c>
      <c r="C22" s="25" t="str">
        <f>Sites[[#This Row],[SOL'#]]</f>
        <v>SOL-10383</v>
      </c>
      <c r="D22" s="20">
        <f>SUM(Apr!D22,May!D22,Jun!D22)</f>
        <v>62289.5</v>
      </c>
      <c r="E22" s="10">
        <f>SUM(Apr!E22,May!E22,Jun!E22)</f>
        <v>66272.36</v>
      </c>
      <c r="F22" s="10">
        <f t="shared" si="4"/>
        <v>-3982.8600000000006</v>
      </c>
      <c r="G22" s="11">
        <f t="shared" si="1"/>
        <v>-6.0098357746728809E-2</v>
      </c>
      <c r="H22" s="12">
        <f>SUM(Apr!H22,May!H22,Jun!H22)</f>
        <v>73474.2</v>
      </c>
      <c r="I22" s="12">
        <f>SUM(Apr!I22,May!I22,Jun!I22)</f>
        <v>-11184.699999999997</v>
      </c>
      <c r="J22" s="13">
        <f t="shared" si="2"/>
        <v>-0.15222622362679686</v>
      </c>
    </row>
    <row r="23" spans="1:10" ht="15.6">
      <c r="A23" s="26" t="str">
        <v>M143</v>
      </c>
      <c r="B23" s="27" t="str">
        <v>NY</v>
      </c>
      <c r="C23" s="27" t="str">
        <f>Sites[[#This Row],[SOL'#]]</f>
        <v>SOL-10384</v>
      </c>
      <c r="D23" s="16">
        <f>SUM(Apr!D23,May!D23,Jun!D23)</f>
        <v>69756.125</v>
      </c>
      <c r="E23" s="16">
        <f>SUM(Apr!E23,May!E23,Jun!E23)</f>
        <v>82860.539999999994</v>
      </c>
      <c r="F23" s="14">
        <f t="shared" si="4"/>
        <v>-13104.414999999994</v>
      </c>
      <c r="G23" s="15">
        <f t="shared" si="1"/>
        <v>-0.15815024859842808</v>
      </c>
      <c r="H23" s="16">
        <f>SUM(Apr!H23,May!H23,Jun!H23)</f>
        <v>81619.649999999994</v>
      </c>
      <c r="I23" s="16">
        <f>SUM(Apr!I23,May!I23,Jun!I23)</f>
        <v>-11863.525000000001</v>
      </c>
      <c r="J23" s="15">
        <f t="shared" si="2"/>
        <v>-0.14535133390059871</v>
      </c>
    </row>
    <row r="24" spans="1:10" ht="15.6">
      <c r="A24" s="24" t="str">
        <v>M144</v>
      </c>
      <c r="B24" s="25" t="str">
        <v>NY</v>
      </c>
      <c r="C24" s="25" t="str">
        <f>Sites[[#This Row],[SOL'#]]</f>
        <v>SOL-10385</v>
      </c>
      <c r="D24" s="20">
        <f>SUM(Apr!D24,May!D24,Jun!D24)</f>
        <v>102563.6875</v>
      </c>
      <c r="E24" s="10">
        <f>SUM(Apr!E24,May!E24,Jun!E24)</f>
        <v>76120.709999999992</v>
      </c>
      <c r="F24" s="10">
        <f t="shared" si="4"/>
        <v>26442.977500000008</v>
      </c>
      <c r="G24" s="11">
        <f t="shared" si="1"/>
        <v>0.34738217102809488</v>
      </c>
      <c r="H24" s="12">
        <f>SUM(Apr!H24,May!H24,Jun!H24)</f>
        <v>130868.28</v>
      </c>
      <c r="I24" s="12">
        <f>SUM(Apr!I24,May!I24,Jun!I24)</f>
        <v>-28304.592499999999</v>
      </c>
      <c r="J24" s="13">
        <f t="shared" si="2"/>
        <v>-0.21628306339779202</v>
      </c>
    </row>
    <row r="25" spans="1:10" ht="15.6">
      <c r="A25" s="26" t="str">
        <v>M167</v>
      </c>
      <c r="B25" s="27" t="str">
        <v>NY</v>
      </c>
      <c r="C25" s="27" t="str">
        <f>Sites[[#This Row],[SOL'#]]</f>
        <v>SOL-10386</v>
      </c>
      <c r="D25" s="16">
        <f>SUM(Apr!D25,May!D25,Jun!D25)</f>
        <v>78928.65625</v>
      </c>
      <c r="E25" s="16">
        <f>SUM(Apr!E25,May!E25,Jun!E25)</f>
        <v>58444.630000000005</v>
      </c>
      <c r="F25" s="14">
        <f t="shared" si="4"/>
        <v>20484.026249999995</v>
      </c>
      <c r="G25" s="15">
        <f t="shared" si="1"/>
        <v>0.3504860283998717</v>
      </c>
      <c r="H25" s="16">
        <f>SUM(Apr!H25,May!H25,Jun!H25)</f>
        <v>98966.459999999992</v>
      </c>
      <c r="I25" s="16">
        <f>SUM(Apr!I25,May!I25,Jun!I25)</f>
        <v>-20037.803749999999</v>
      </c>
      <c r="J25" s="15">
        <f t="shared" si="2"/>
        <v>-0.20247065268374762</v>
      </c>
    </row>
    <row r="26" spans="1:10" ht="15.6">
      <c r="A26" s="24" t="str">
        <v>M188</v>
      </c>
      <c r="B26" s="25" t="str">
        <v>NY</v>
      </c>
      <c r="C26" s="25" t="str">
        <f>Sites[[#This Row],[SOL'#]]</f>
        <v>SOL-10387</v>
      </c>
      <c r="D26" s="20">
        <f>SUM(Apr!D26,May!D26,Jun!D26)</f>
        <v>50565.6875</v>
      </c>
      <c r="E26" s="10">
        <f>SUM(Apr!E26,May!E26,Jun!E26)</f>
        <v>38334.36</v>
      </c>
      <c r="F26" s="10">
        <f t="shared" si="4"/>
        <v>12231.327499999999</v>
      </c>
      <c r="G26" s="11">
        <f t="shared" si="1"/>
        <v>0.31906956318039481</v>
      </c>
      <c r="H26" s="12">
        <f>SUM(Apr!H26,May!H26,Jun!H26)</f>
        <v>66835.290000000008</v>
      </c>
      <c r="I26" s="12">
        <f>SUM(Apr!I26,May!I26,Jun!I26)</f>
        <v>-16269.602500000001</v>
      </c>
      <c r="J26" s="13">
        <f t="shared" si="2"/>
        <v>-0.24342832207356321</v>
      </c>
    </row>
    <row r="27" spans="1:10" ht="15.6">
      <c r="A27" s="26" t="str">
        <v>EMHC</v>
      </c>
      <c r="B27" s="27" t="str">
        <v>NY</v>
      </c>
      <c r="C27" s="27" t="str">
        <f>Sites[[#This Row],[SOL'#]]</f>
        <v>SOL-10351</v>
      </c>
      <c r="D27" s="16">
        <f>SUM(Apr!D27,May!D27,Jun!D27)</f>
        <v>22106.234375</v>
      </c>
      <c r="E27" s="16">
        <f>SUM(Apr!E27,May!E27,Jun!E27)</f>
        <v>18603.371999999999</v>
      </c>
      <c r="F27" s="14">
        <f t="shared" si="4"/>
        <v>3502.8623750000006</v>
      </c>
      <c r="G27" s="15">
        <f t="shared" si="1"/>
        <v>0.18829179865886683</v>
      </c>
      <c r="H27" s="16">
        <f>SUM(Apr!H27,May!H27,Jun!H27)</f>
        <v>32533.418999999998</v>
      </c>
      <c r="I27" s="16">
        <f>SUM(Apr!I27,May!I27,Jun!I27)</f>
        <v>-10427.184625</v>
      </c>
      <c r="J27" s="15">
        <f t="shared" si="2"/>
        <v>-0.32050688017143236</v>
      </c>
    </row>
    <row r="28" spans="1:10" ht="15.6">
      <c r="A28" s="24" t="str">
        <v>Q008</v>
      </c>
      <c r="B28" s="25" t="str">
        <v>NY</v>
      </c>
      <c r="C28" s="25" t="str">
        <f>Sites[[#This Row],[SOL'#]]</f>
        <v>SOL-10397</v>
      </c>
      <c r="D28" s="20">
        <f>SUM(Apr!D28,May!D28,Jun!D28)</f>
        <v>0</v>
      </c>
      <c r="E28" s="10">
        <f>SUM(Apr!E28,May!E28,Jun!E28)</f>
        <v>0</v>
      </c>
      <c r="F28" s="10">
        <f t="shared" si="4"/>
        <v>0</v>
      </c>
      <c r="G28" s="11" t="str">
        <f t="shared" si="1"/>
        <v/>
      </c>
      <c r="H28" s="12">
        <f>SUM(Apr!H28,May!H28,Jun!H28)</f>
        <v>69512</v>
      </c>
      <c r="I28" s="12">
        <f>SUM(Apr!I28,May!I28,Jun!I28)</f>
        <v>-69512</v>
      </c>
      <c r="J28" s="13">
        <f t="shared" si="2"/>
        <v>-1</v>
      </c>
    </row>
    <row r="29" spans="1:10" ht="15.6">
      <c r="A29" s="26" t="str">
        <v>Q018</v>
      </c>
      <c r="B29" s="27" t="str">
        <v>NY</v>
      </c>
      <c r="C29" s="27" t="str">
        <f>Sites[[#This Row],[SOL'#]]</f>
        <v>SOL-10398</v>
      </c>
      <c r="D29" s="16">
        <f>SUM(Apr!D29,May!D29,Jun!D29)</f>
        <v>56453.3125</v>
      </c>
      <c r="E29" s="16">
        <f>SUM(Apr!E29,May!E29,Jun!E29)</f>
        <v>58714.729999999996</v>
      </c>
      <c r="F29" s="14">
        <f t="shared" si="4"/>
        <v>-2261.4174999999959</v>
      </c>
      <c r="G29" s="15">
        <f t="shared" si="1"/>
        <v>-3.8515335078607979E-2</v>
      </c>
      <c r="H29" s="16">
        <f>SUM(Apr!H29,May!H29,Jun!H29)</f>
        <v>58393.53</v>
      </c>
      <c r="I29" s="16">
        <f>SUM(Apr!I29,May!I29,Jun!I29)</f>
        <v>-1940.2174999999988</v>
      </c>
      <c r="J29" s="15">
        <f t="shared" si="2"/>
        <v>-3.3226583493068479E-2</v>
      </c>
    </row>
    <row r="30" spans="1:10" ht="15.6">
      <c r="A30" s="24" t="str">
        <v>Q021</v>
      </c>
      <c r="B30" s="25" t="str">
        <v>NY</v>
      </c>
      <c r="C30" s="25" t="str">
        <f>Sites[[#This Row],[SOL'#]]</f>
        <v>SOL-10399</v>
      </c>
      <c r="D30" s="20">
        <f>SUM(Apr!D30,May!D30,Jun!D30)</f>
        <v>45110.96875</v>
      </c>
      <c r="E30" s="10">
        <f>SUM(Apr!E30,May!E30,Jun!E30)</f>
        <v>43698.71</v>
      </c>
      <c r="F30" s="10">
        <f t="shared" si="4"/>
        <v>1412.2587500000009</v>
      </c>
      <c r="G30" s="11">
        <f t="shared" si="1"/>
        <v>3.2318087879482045E-2</v>
      </c>
      <c r="H30" s="12">
        <f>SUM(Apr!H30,May!H30,Jun!H30)</f>
        <v>48862.520000000004</v>
      </c>
      <c r="I30" s="12">
        <f>SUM(Apr!I30,May!I30,Jun!I30)</f>
        <v>-3751.5512500000023</v>
      </c>
      <c r="J30" s="13">
        <f t="shared" si="2"/>
        <v>-7.6777686660450623E-2</v>
      </c>
    </row>
    <row r="31" spans="1:10" ht="15.6">
      <c r="A31" s="26" t="str">
        <v>Q025</v>
      </c>
      <c r="B31" s="27" t="str">
        <v>NY</v>
      </c>
      <c r="C31" s="27" t="str">
        <f>Sites[[#This Row],[SOL'#]]</f>
        <v>SOL-10400</v>
      </c>
      <c r="D31" s="16">
        <f>SUM(Apr!D31,May!D31,Jun!D31)</f>
        <v>77637.8125</v>
      </c>
      <c r="E31" s="16">
        <f>SUM(Apr!E31,May!E31,Jun!E31)</f>
        <v>76800.78</v>
      </c>
      <c r="F31" s="14">
        <f t="shared" si="4"/>
        <v>837.03250000000116</v>
      </c>
      <c r="G31" s="15">
        <f t="shared" si="1"/>
        <v>1.0898749986653796E-2</v>
      </c>
      <c r="H31" s="16">
        <f>SUM(Apr!H31,May!H31,Jun!H31)</f>
        <v>43488</v>
      </c>
      <c r="I31" s="16">
        <f>SUM(Apr!I31,May!I31,Jun!I31)</f>
        <v>34149.8125</v>
      </c>
      <c r="J31" s="15">
        <f t="shared" si="2"/>
        <v>0.78526978706769679</v>
      </c>
    </row>
    <row r="32" spans="1:10" ht="15.6">
      <c r="A32" s="24" t="str">
        <v>Q074</v>
      </c>
      <c r="B32" s="25" t="str">
        <v>NY</v>
      </c>
      <c r="C32" s="25" t="str">
        <f>Sites[[#This Row],[SOL'#]]</f>
        <v>SOL-10402</v>
      </c>
      <c r="D32" s="20">
        <f>SUM(Apr!D32,May!D32,Jun!D32)</f>
        <v>50738.4375</v>
      </c>
      <c r="E32" s="10">
        <f>SUM(Apr!E32,May!E32,Jun!E32)</f>
        <v>50606.16</v>
      </c>
      <c r="F32" s="10">
        <f t="shared" si="4"/>
        <v>132.27749999999651</v>
      </c>
      <c r="G32" s="11">
        <f t="shared" si="1"/>
        <v>2.6138616326549279E-3</v>
      </c>
      <c r="H32" s="12">
        <f>SUM(Apr!H32,May!H32,Jun!H32)</f>
        <v>55523.360000000001</v>
      </c>
      <c r="I32" s="12">
        <f>SUM(Apr!I32,May!I32,Jun!I32)</f>
        <v>-4784.9225000000006</v>
      </c>
      <c r="J32" s="13">
        <f t="shared" si="2"/>
        <v>-8.6178547191668523E-2</v>
      </c>
    </row>
    <row r="33" spans="1:10" ht="15.6">
      <c r="A33" s="26" t="str">
        <v>Q115</v>
      </c>
      <c r="B33" s="27" t="str">
        <v>NY</v>
      </c>
      <c r="C33" s="27" t="str">
        <f>Sites[[#This Row],[SOL'#]]</f>
        <v>SOL-10872</v>
      </c>
      <c r="D33" s="16">
        <f>SUM(Apr!D33,May!D33,Jun!D33)</f>
        <v>64576.1875</v>
      </c>
      <c r="E33" s="16">
        <f>SUM(Apr!E33,May!E33,Jun!E33)</f>
        <v>68703.72</v>
      </c>
      <c r="F33" s="14">
        <f t="shared" si="4"/>
        <v>-4127.5325000000012</v>
      </c>
      <c r="G33" s="15">
        <f t="shared" si="1"/>
        <v>-6.0077278202694137E-2</v>
      </c>
      <c r="H33" s="16">
        <f>SUM(Apr!H33,May!H33,Jun!H33)</f>
        <v>72812.27</v>
      </c>
      <c r="I33" s="16">
        <f>SUM(Apr!I33,May!I33,Jun!I33)</f>
        <v>-8236.0825000000004</v>
      </c>
      <c r="J33" s="15">
        <f t="shared" si="2"/>
        <v>-0.11311393670325071</v>
      </c>
    </row>
    <row r="34" spans="1:10" ht="15.6">
      <c r="A34" s="24" t="str">
        <v>Q139</v>
      </c>
      <c r="B34" s="25" t="str">
        <v>NY</v>
      </c>
      <c r="C34" s="25" t="str">
        <f>Sites[[#This Row],[SOL'#]]</f>
        <v>SOL-10403</v>
      </c>
      <c r="D34" s="20">
        <f>SUM(Apr!D34,May!D34,Jun!D34)</f>
        <v>39318.25</v>
      </c>
      <c r="E34" s="10">
        <f>SUM(Apr!E34,May!E34,Jun!E34)</f>
        <v>43483.78</v>
      </c>
      <c r="F34" s="10">
        <f t="shared" si="4"/>
        <v>-4165.5299999999988</v>
      </c>
      <c r="G34" s="11">
        <f t="shared" si="1"/>
        <v>-9.5795029778919835E-2</v>
      </c>
      <c r="H34" s="12">
        <f>SUM(Apr!H34,May!H34,Jun!H34)</f>
        <v>46846</v>
      </c>
      <c r="I34" s="12">
        <f>SUM(Apr!I34,May!I34,Jun!I34)</f>
        <v>-7527.75</v>
      </c>
      <c r="J34" s="13">
        <f t="shared" si="2"/>
        <v>-0.16069141442172225</v>
      </c>
    </row>
    <row r="35" spans="1:10" ht="15.6">
      <c r="A35" s="26" t="str">
        <v>Q157</v>
      </c>
      <c r="B35" s="27" t="str">
        <v>NY</v>
      </c>
      <c r="C35" s="27" t="str">
        <f>Sites[[#This Row],[SOL'#]]</f>
        <v>SOL-10404</v>
      </c>
      <c r="D35" s="16">
        <f>SUM(Apr!D35,May!D35,Jun!D35)</f>
        <v>69630.9375</v>
      </c>
      <c r="E35" s="16">
        <f>SUM(Apr!E35,May!E35,Jun!E35)</f>
        <v>74537.959999999992</v>
      </c>
      <c r="F35" s="14">
        <f t="shared" si="4"/>
        <v>-4907.0224999999919</v>
      </c>
      <c r="G35" s="15">
        <f t="shared" si="1"/>
        <v>-6.5832530163154351E-2</v>
      </c>
      <c r="H35" s="16">
        <f>SUM(Apr!H35,May!H35,Jun!H35)</f>
        <v>81748.459999999992</v>
      </c>
      <c r="I35" s="16">
        <f>SUM(Apr!I35,May!I35,Jun!I35)</f>
        <v>-12117.522499999999</v>
      </c>
      <c r="J35" s="15">
        <f t="shared" si="2"/>
        <v>-0.14822936725658195</v>
      </c>
    </row>
    <row r="36" spans="1:10" ht="15.6">
      <c r="A36" s="24" t="str">
        <v>Q192</v>
      </c>
      <c r="B36" s="25" t="str">
        <v>NY</v>
      </c>
      <c r="C36" s="25" t="str">
        <f>Sites[[#This Row],[SOL'#]]</f>
        <v>SOL-10406</v>
      </c>
      <c r="D36" s="20">
        <f>SUM(Apr!D36,May!D36,Jun!D36)</f>
        <v>107539.625</v>
      </c>
      <c r="E36" s="10">
        <f>SUM(Apr!E36,May!E36,Jun!E36)</f>
        <v>117429.03</v>
      </c>
      <c r="F36" s="10">
        <f t="shared" si="4"/>
        <v>-9889.4049999999988</v>
      </c>
      <c r="G36" s="11">
        <f t="shared" si="1"/>
        <v>-8.4216015409477527E-2</v>
      </c>
      <c r="H36" s="12">
        <f>SUM(Apr!H36,May!H36,Jun!H36)</f>
        <v>83222.399999999994</v>
      </c>
      <c r="I36" s="12">
        <f>SUM(Apr!I36,May!I36,Jun!I36)</f>
        <v>24317.224999999999</v>
      </c>
      <c r="J36" s="13">
        <f t="shared" si="2"/>
        <v>0.29219567087707154</v>
      </c>
    </row>
    <row r="37" spans="1:10" ht="15.6">
      <c r="A37" s="26" t="str">
        <v>Q210</v>
      </c>
      <c r="B37" s="27" t="str">
        <v>NY</v>
      </c>
      <c r="C37" s="27" t="str">
        <f>Sites[[#This Row],[SOL'#]]</f>
        <v>SOL-10407</v>
      </c>
      <c r="D37" s="16">
        <f>SUM(Apr!D37,May!D37,Jun!D37)</f>
        <v>86597.125</v>
      </c>
      <c r="E37" s="16">
        <f>SUM(Apr!E37,May!E37,Jun!E37)</f>
        <v>88930.450000000012</v>
      </c>
      <c r="F37" s="14">
        <f t="shared" si="4"/>
        <v>-2333.3250000000116</v>
      </c>
      <c r="G37" s="15">
        <f t="shared" si="1"/>
        <v>-2.6237638514142358E-2</v>
      </c>
      <c r="H37" s="16">
        <f>SUM(Apr!H37,May!H37,Jun!H37)</f>
        <v>100170</v>
      </c>
      <c r="I37" s="16">
        <f>SUM(Apr!I37,May!I37,Jun!I37)</f>
        <v>-13572.875</v>
      </c>
      <c r="J37" s="15">
        <f t="shared" si="2"/>
        <v>-0.13549840271538385</v>
      </c>
    </row>
    <row r="38" spans="1:10" ht="15.6">
      <c r="A38" s="24" t="str">
        <v>Q229</v>
      </c>
      <c r="B38" s="25" t="str">
        <v>NY</v>
      </c>
      <c r="C38" s="25" t="str">
        <f>Sites[[#This Row],[SOL'#]]</f>
        <v>SOL-10408</v>
      </c>
      <c r="D38" s="20">
        <f>SUM(Apr!D38,May!D38,Jun!D38)</f>
        <v>38305.3125</v>
      </c>
      <c r="E38" s="10">
        <f>SUM(Apr!E38,May!E38,Jun!E38)</f>
        <v>43180.66</v>
      </c>
      <c r="F38" s="10">
        <f t="shared" si="4"/>
        <v>-4875.3475000000035</v>
      </c>
      <c r="G38" s="11">
        <f t="shared" si="1"/>
        <v>-0.11290581246326488</v>
      </c>
      <c r="H38" s="12">
        <f>SUM(Apr!H38,May!H38,Jun!H38)</f>
        <v>43122.22</v>
      </c>
      <c r="I38" s="12">
        <f>SUM(Apr!I38,May!I38,Jun!I38)</f>
        <v>-4816.9075000000012</v>
      </c>
      <c r="J38" s="13">
        <f t="shared" si="2"/>
        <v>-0.11170360663249715</v>
      </c>
    </row>
    <row r="39" spans="1:10" ht="15.6">
      <c r="A39" s="26" t="str">
        <v>Q231</v>
      </c>
      <c r="B39" s="27" t="str">
        <v>NY</v>
      </c>
      <c r="C39" s="27" t="str">
        <f>Sites[[#This Row],[SOL'#]]</f>
        <v>SOL-10870</v>
      </c>
      <c r="D39" s="16">
        <f>SUM(Apr!D39,May!D39,Jun!D39)</f>
        <v>142266</v>
      </c>
      <c r="E39" s="16">
        <f>SUM(Apr!E39,May!E39,Jun!E39)</f>
        <v>149273.89000000001</v>
      </c>
      <c r="F39" s="14">
        <f t="shared" si="4"/>
        <v>-7007.890000000014</v>
      </c>
      <c r="G39" s="15">
        <f t="shared" si="1"/>
        <v>-4.6946522261863834E-2</v>
      </c>
      <c r="H39" s="16">
        <f>SUM(Apr!H39,May!H39,Jun!H39)</f>
        <v>164396</v>
      </c>
      <c r="I39" s="16">
        <f>SUM(Apr!I39,May!I39,Jun!I39)</f>
        <v>-22130</v>
      </c>
      <c r="J39" s="15">
        <f t="shared" si="2"/>
        <v>-0.1346139808754471</v>
      </c>
    </row>
    <row r="40" spans="1:10" ht="15.6">
      <c r="A40" s="24" t="str">
        <v>Q405</v>
      </c>
      <c r="B40" s="25" t="str">
        <v>NY</v>
      </c>
      <c r="C40" s="25" t="str">
        <f>Sites[[#This Row],[SOL'#]]</f>
        <v>SOL-10409</v>
      </c>
      <c r="D40" s="20">
        <f>SUM(Apr!D40,May!D40,Jun!D40)</f>
        <v>157165.25</v>
      </c>
      <c r="E40" s="10">
        <f>SUM(Apr!E40,May!E40,Jun!E40)</f>
        <v>179366.95</v>
      </c>
      <c r="F40" s="10">
        <f t="shared" si="4"/>
        <v>-22201.700000000012</v>
      </c>
      <c r="G40" s="11">
        <f t="shared" si="1"/>
        <v>-0.12377809847354827</v>
      </c>
      <c r="H40" s="12">
        <f>SUM(Apr!H40,May!H40,Jun!H40)</f>
        <v>179263.26</v>
      </c>
      <c r="I40" s="12">
        <f>SUM(Apr!I40,May!I40,Jun!I40)</f>
        <v>-22098.010000000002</v>
      </c>
      <c r="J40" s="13">
        <f t="shared" si="2"/>
        <v>-0.12327127153662162</v>
      </c>
    </row>
    <row r="41" spans="1:10" ht="15.6">
      <c r="A41" s="26" t="str">
        <v>Q435</v>
      </c>
      <c r="B41" s="27" t="str">
        <v>NY</v>
      </c>
      <c r="C41" s="27" t="str">
        <f>Sites[[#This Row],[SOL'#]]</f>
        <v>SOL-10923</v>
      </c>
      <c r="D41" s="16">
        <f>SUM(Apr!D41,May!D41,Jun!D41)</f>
        <v>194191.125</v>
      </c>
      <c r="E41" s="16">
        <f>SUM(Apr!E41,May!E41,Jun!E41)</f>
        <v>168797.9</v>
      </c>
      <c r="F41" s="14">
        <f t="shared" si="4"/>
        <v>25393.225000000006</v>
      </c>
      <c r="G41" s="15">
        <f t="shared" si="1"/>
        <v>0.15043566892716087</v>
      </c>
      <c r="H41" s="16">
        <f>SUM(Apr!H41,May!H41,Jun!H41)</f>
        <v>234476</v>
      </c>
      <c r="I41" s="16">
        <f>SUM(Apr!I41,May!I41,Jun!I41)</f>
        <v>-40284.875</v>
      </c>
      <c r="J41" s="15">
        <f t="shared" si="2"/>
        <v>-0.17180809549804671</v>
      </c>
    </row>
    <row r="42" spans="1:10" ht="15.6">
      <c r="A42" s="24" t="str">
        <v>Q485</v>
      </c>
      <c r="B42" s="25" t="str">
        <v>NY</v>
      </c>
      <c r="C42" s="25" t="str">
        <f>Sites[[#This Row],[SOL'#]]</f>
        <v>SOL-10869</v>
      </c>
      <c r="D42" s="20">
        <f>SUM(Apr!D42,May!D42,Jun!D42)</f>
        <v>190327.125</v>
      </c>
      <c r="E42" s="10">
        <f>SUM(Apr!E42,May!E42,Jun!E42)</f>
        <v>151661.1</v>
      </c>
      <c r="F42" s="10">
        <f t="shared" si="4"/>
        <v>38666.024999999994</v>
      </c>
      <c r="G42" s="11">
        <f t="shared" si="1"/>
        <v>0.25495018168798717</v>
      </c>
      <c r="H42" s="12">
        <f>SUM(Apr!H42,May!H42,Jun!H42)</f>
        <v>221354.92</v>
      </c>
      <c r="I42" s="12">
        <f>SUM(Apr!I42,May!I42,Jun!I42)</f>
        <v>-31027.795000000013</v>
      </c>
      <c r="J42" s="13">
        <f t="shared" si="2"/>
        <v>-0.14017214977647666</v>
      </c>
    </row>
    <row r="43" spans="1:10" ht="15.6">
      <c r="A43" s="26" t="str">
        <v>Q490</v>
      </c>
      <c r="B43" s="27" t="str">
        <v>NY</v>
      </c>
      <c r="C43" s="27" t="str">
        <f>Sites[[#This Row],[SOL'#]]</f>
        <v>SOL-10411</v>
      </c>
      <c r="D43" s="16">
        <f>SUM(Apr!D43,May!D43,Jun!D43)</f>
        <v>138378.9862500001</v>
      </c>
      <c r="E43" s="16">
        <f>SUM(Apr!E43,May!E43,Jun!E43)</f>
        <v>0</v>
      </c>
      <c r="F43" s="14">
        <f t="shared" si="4"/>
        <v>138378.9862500001</v>
      </c>
      <c r="G43" s="15" t="str">
        <f t="shared" si="1"/>
        <v/>
      </c>
      <c r="H43" s="16">
        <f>SUM(Apr!H43,May!H43,Jun!H43)</f>
        <v>155428.01</v>
      </c>
      <c r="I43" s="16">
        <f>SUM(Apr!I43,May!I43,Jun!I43)</f>
        <v>-17049.023749999898</v>
      </c>
      <c r="J43" s="15">
        <f t="shared" si="2"/>
        <v>-0.10969080637395986</v>
      </c>
    </row>
    <row r="44" spans="1:10" ht="15.6">
      <c r="A44" s="24" t="str">
        <v>Q620</v>
      </c>
      <c r="B44" s="25" t="str">
        <v>NY</v>
      </c>
      <c r="C44" s="25" t="str">
        <f>Sites[[#This Row],[SOL'#]]</f>
        <v>SOL-10867</v>
      </c>
      <c r="D44" s="20">
        <f>SUM(Apr!D44,May!D44,Jun!D44)</f>
        <v>209633.25</v>
      </c>
      <c r="E44" s="10">
        <f>SUM(Apr!E44,May!E44,Jun!E44)</f>
        <v>211811.96999999997</v>
      </c>
      <c r="F44" s="10">
        <f t="shared" si="4"/>
        <v>-2178.7199999999721</v>
      </c>
      <c r="G44" s="11">
        <f t="shared" si="1"/>
        <v>-1.0286104227253881E-2</v>
      </c>
      <c r="H44" s="12">
        <f>SUM(Apr!H44,May!H44,Jun!H44)</f>
        <v>232489.78</v>
      </c>
      <c r="I44" s="12">
        <f>SUM(Apr!I44,May!I44,Jun!I44)</f>
        <v>-22856.53</v>
      </c>
      <c r="J44" s="13">
        <f t="shared" si="2"/>
        <v>-9.8311977412512491E-2</v>
      </c>
    </row>
    <row r="45" spans="1:10" ht="15.6">
      <c r="A45" s="26" t="str">
        <v>QMOA</v>
      </c>
      <c r="B45" s="27" t="str">
        <v>NY</v>
      </c>
      <c r="C45" s="27" t="str">
        <f>Sites[[#This Row],[SOL'#]]</f>
        <v>SOL-10415</v>
      </c>
      <c r="D45" s="16">
        <f>SUM(Apr!D45,May!D45,Jun!D45)</f>
        <v>17694.400000000001</v>
      </c>
      <c r="E45" s="16">
        <f>SUM(Apr!E45,May!E45,Jun!E45)</f>
        <v>0</v>
      </c>
      <c r="F45" s="14">
        <f t="shared" si="4"/>
        <v>17694.400000000001</v>
      </c>
      <c r="G45" s="15" t="str">
        <f t="shared" si="1"/>
        <v/>
      </c>
      <c r="H45" s="16">
        <f>SUM(Apr!H45,May!H45,Jun!H45)</f>
        <v>20735.358</v>
      </c>
      <c r="I45" s="16">
        <f>SUM(Apr!I45,May!I45,Jun!I45)</f>
        <v>-3040.9579999999987</v>
      </c>
      <c r="J45" s="15">
        <f t="shared" si="2"/>
        <v>-0.14665567867215018</v>
      </c>
    </row>
    <row r="46" spans="1:10" ht="15.6">
      <c r="A46" s="24" t="str">
        <v>X024</v>
      </c>
      <c r="B46" s="25" t="str">
        <v>NY</v>
      </c>
      <c r="C46" s="25" t="str">
        <f>Sites[[#This Row],[SOL'#]]</f>
        <v>SOL-10419</v>
      </c>
      <c r="D46" s="20">
        <f>SUM(Apr!D46,May!D46,Jun!D46)</f>
        <v>78479</v>
      </c>
      <c r="E46" s="10">
        <f>SUM(Apr!E46,May!E46,Jun!E46)</f>
        <v>81024.990000000005</v>
      </c>
      <c r="F46" s="10">
        <f t="shared" si="4"/>
        <v>-2545.9900000000052</v>
      </c>
      <c r="G46" s="11">
        <f t="shared" si="1"/>
        <v>-3.1422280953073922E-2</v>
      </c>
      <c r="H46" s="12">
        <f>SUM(Apr!H46,May!H46,Jun!H46)</f>
        <v>83775</v>
      </c>
      <c r="I46" s="12">
        <f>SUM(Apr!I46,May!I46,Jun!I46)</f>
        <v>-5296</v>
      </c>
      <c r="J46" s="13">
        <f t="shared" si="2"/>
        <v>-6.3216950164130106E-2</v>
      </c>
    </row>
    <row r="47" spans="1:10" ht="15.6">
      <c r="A47" s="26" t="str">
        <v>X026</v>
      </c>
      <c r="B47" s="27" t="str">
        <v>NY</v>
      </c>
      <c r="C47" s="27" t="str">
        <f>Sites[[#This Row],[SOL'#]]</f>
        <v>SOL-10420</v>
      </c>
      <c r="D47" s="16">
        <f>SUM(Apr!D47,May!D47,Jun!D47)</f>
        <v>71029.3</v>
      </c>
      <c r="E47" s="16">
        <f>SUM(Apr!E47,May!E47,Jun!E47)</f>
        <v>65342.1</v>
      </c>
      <c r="F47" s="14">
        <f t="shared" si="4"/>
        <v>5687.2000000000044</v>
      </c>
      <c r="G47" s="15">
        <f t="shared" si="1"/>
        <v>8.7037300607112483E-2</v>
      </c>
      <c r="H47" s="16">
        <f>SUM(Apr!H47,May!H47,Jun!H47)</f>
        <v>110781.07699999999</v>
      </c>
      <c r="I47" s="16">
        <f>SUM(Apr!I47,May!I47,Jun!I47)</f>
        <v>-39751.776999999995</v>
      </c>
      <c r="J47" s="15">
        <f t="shared" si="2"/>
        <v>-0.35883183370748417</v>
      </c>
    </row>
    <row r="48" spans="1:10" ht="15.6">
      <c r="A48" s="24" t="str">
        <v>X090</v>
      </c>
      <c r="B48" s="25" t="str">
        <v>NY</v>
      </c>
      <c r="C48" s="25" t="str">
        <f>Sites[[#This Row],[SOL'#]]</f>
        <v>SOL-10925</v>
      </c>
      <c r="D48" s="20">
        <f>SUM(Apr!D48,May!D48,Jun!D48)</f>
        <v>58577.9375</v>
      </c>
      <c r="E48" s="10">
        <f>SUM(Apr!E48,May!E48,Jun!E48)</f>
        <v>53198.493999999999</v>
      </c>
      <c r="F48" s="10">
        <f t="shared" si="4"/>
        <v>5379.4435000000012</v>
      </c>
      <c r="G48" s="11">
        <f t="shared" si="1"/>
        <v>0.10112022156115925</v>
      </c>
      <c r="H48" s="12">
        <f>SUM(Apr!H48,May!H48,Jun!H48)</f>
        <v>67723.741999999998</v>
      </c>
      <c r="I48" s="12">
        <f>SUM(Apr!I48,May!I48,Jun!I48)</f>
        <v>-9145.8044999999984</v>
      </c>
      <c r="J48" s="13">
        <f t="shared" si="2"/>
        <v>-0.13504576430522694</v>
      </c>
    </row>
    <row r="49" spans="1:10" ht="15.6">
      <c r="A49" s="26" t="str">
        <v>X117</v>
      </c>
      <c r="B49" s="27" t="str">
        <v>NY</v>
      </c>
      <c r="C49" s="27" t="str">
        <f>Sites[[#This Row],[SOL'#]]</f>
        <v>SOL-10422</v>
      </c>
      <c r="D49" s="16">
        <f>SUM(Apr!D49,May!D49,Jun!D49)</f>
        <v>50060.5</v>
      </c>
      <c r="E49" s="16">
        <f>SUM(Apr!E49,May!E49,Jun!E49)</f>
        <v>55935.623000000007</v>
      </c>
      <c r="F49" s="14">
        <f t="shared" si="4"/>
        <v>-5875.1230000000069</v>
      </c>
      <c r="G49" s="15">
        <f t="shared" si="1"/>
        <v>-0.10503365628018492</v>
      </c>
      <c r="H49" s="16">
        <f>SUM(Apr!H49,May!H49,Jun!H49)</f>
        <v>59437.063000000002</v>
      </c>
      <c r="I49" s="16">
        <f>SUM(Apr!I49,May!I49,Jun!I49)</f>
        <v>-9376.5630000000037</v>
      </c>
      <c r="J49" s="15">
        <f t="shared" si="2"/>
        <v>-0.15775616301902406</v>
      </c>
    </row>
    <row r="50" spans="1:10" ht="15.6">
      <c r="A50" s="24" t="str">
        <v>X125</v>
      </c>
      <c r="B50" s="25" t="str">
        <v>NY</v>
      </c>
      <c r="C50" s="25" t="str">
        <f>Sites[[#This Row],[SOL'#]]</f>
        <v>SOL-10423</v>
      </c>
      <c r="D50" s="20">
        <f>SUM(Apr!D50,May!D50,Jun!D50)</f>
        <v>93232.5</v>
      </c>
      <c r="E50" s="10">
        <f>SUM(Apr!E50,May!E50,Jun!E50)</f>
        <v>96324.144</v>
      </c>
      <c r="F50" s="10">
        <f t="shared" ref="F50:F81" si="5">IF(AND(ISNUMBER(D50),ISNUMBER(E50)), D50-E50, "")</f>
        <v>-3091.6440000000002</v>
      </c>
      <c r="G50" s="11">
        <f t="shared" si="1"/>
        <v>-3.209625200510477E-2</v>
      </c>
      <c r="H50" s="12">
        <f>SUM(Apr!H50,May!H50,Jun!H50)</f>
        <v>104531.344</v>
      </c>
      <c r="I50" s="12">
        <f>SUM(Apr!I50,May!I50,Jun!I50)</f>
        <v>-11298.843999999997</v>
      </c>
      <c r="J50" s="13">
        <f t="shared" si="2"/>
        <v>-0.10809048815061631</v>
      </c>
    </row>
    <row r="51" spans="1:10" ht="15.6">
      <c r="A51" s="26" t="str">
        <v>X134</v>
      </c>
      <c r="B51" s="27" t="str">
        <v>NY</v>
      </c>
      <c r="C51" s="27" t="str">
        <f>Sites[[#This Row],[SOL'#]]</f>
        <v>SOL-10424</v>
      </c>
      <c r="D51" s="16">
        <f>SUM(Apr!D51,May!D51,Jun!D51)</f>
        <v>90271.125249999997</v>
      </c>
      <c r="E51" s="16">
        <f>SUM(Apr!E51,May!E51,Jun!E51)</f>
        <v>63524.796000000002</v>
      </c>
      <c r="F51" s="14">
        <f t="shared" si="5"/>
        <v>26746.329249999995</v>
      </c>
      <c r="G51" s="15">
        <f t="shared" si="1"/>
        <v>0.42103762521331034</v>
      </c>
      <c r="H51" s="16">
        <f>SUM(Apr!H51,May!H51,Jun!H51)</f>
        <v>104673.35399999999</v>
      </c>
      <c r="I51" s="16">
        <f>SUM(Apr!I51,May!I51,Jun!I51)</f>
        <v>-14402.228749999998</v>
      </c>
      <c r="J51" s="15">
        <f t="shared" si="2"/>
        <v>-0.13759212062699355</v>
      </c>
    </row>
    <row r="52" spans="1:10" ht="15.6">
      <c r="A52" s="24" t="str">
        <v>X135</v>
      </c>
      <c r="B52" s="25" t="str">
        <v>NY</v>
      </c>
      <c r="C52" s="25" t="str">
        <f>Sites[[#This Row],[SOL'#]]</f>
        <v>SOL-10425</v>
      </c>
      <c r="D52" s="20">
        <f>SUM(Apr!D52,May!D52,Jun!D52)</f>
        <v>72376.156000000003</v>
      </c>
      <c r="E52" s="10">
        <f>SUM(Apr!E52,May!E52,Jun!E52)</f>
        <v>76175.456000000006</v>
      </c>
      <c r="F52" s="10">
        <f t="shared" si="5"/>
        <v>-3799.3000000000029</v>
      </c>
      <c r="G52" s="11">
        <f t="shared" si="1"/>
        <v>-4.9875644984652308E-2</v>
      </c>
      <c r="H52" s="12">
        <f>SUM(Apr!H52,May!H52,Jun!H52)</f>
        <v>83456.516999999993</v>
      </c>
      <c r="I52" s="12">
        <f>SUM(Apr!I52,May!I52,Jun!I52)</f>
        <v>-11080.361000000001</v>
      </c>
      <c r="J52" s="13">
        <f t="shared" si="2"/>
        <v>-0.13276807370238086</v>
      </c>
    </row>
    <row r="53" spans="1:10" ht="15.6">
      <c r="A53" s="26" t="str">
        <v>X139 JHS 222</v>
      </c>
      <c r="B53" s="27" t="str">
        <v>NY</v>
      </c>
      <c r="C53" s="27" t="str">
        <f>Sites[[#This Row],[SOL'#]]</f>
        <v>SOL-10426</v>
      </c>
      <c r="D53" s="16">
        <f>SUM(Apr!D53,May!D53,Jun!D53)</f>
        <v>112599.00860999999</v>
      </c>
      <c r="E53" s="16">
        <f>SUM(Apr!E53,May!E53,Jun!E53)</f>
        <v>121367.306</v>
      </c>
      <c r="F53" s="14">
        <f t="shared" si="5"/>
        <v>-8768.297390000007</v>
      </c>
      <c r="G53" s="15">
        <f t="shared" si="1"/>
        <v>-7.2245958808709224E-2</v>
      </c>
      <c r="H53" s="16">
        <f>SUM(Apr!H53,May!H53,Jun!H53)</f>
        <v>130387.114</v>
      </c>
      <c r="I53" s="16">
        <f>SUM(Apr!I53,May!I53,Jun!I53)</f>
        <v>-17788.105390000004</v>
      </c>
      <c r="J53" s="15">
        <f t="shared" si="2"/>
        <v>-0.13642533256775669</v>
      </c>
    </row>
    <row r="54" spans="1:10" ht="15.6">
      <c r="A54" s="24" t="str">
        <v>X140</v>
      </c>
      <c r="B54" s="25" t="str">
        <v>NY</v>
      </c>
      <c r="C54" s="25" t="str">
        <f>Sites[[#This Row],[SOL'#]]</f>
        <v>SOL-10926</v>
      </c>
      <c r="D54" s="20">
        <f>SUM(Apr!D54,May!D54,Jun!D54)</f>
        <v>64471.390625</v>
      </c>
      <c r="E54" s="10">
        <f>SUM(Apr!E54,May!E54,Jun!E54)</f>
        <v>53511.729999999996</v>
      </c>
      <c r="F54" s="10">
        <f t="shared" si="5"/>
        <v>10959.660625000004</v>
      </c>
      <c r="G54" s="11">
        <f t="shared" si="1"/>
        <v>0.20480856486979593</v>
      </c>
      <c r="H54" s="12">
        <f>SUM(Apr!H54,May!H54,Jun!H54)</f>
        <v>70176</v>
      </c>
      <c r="I54" s="12">
        <f>SUM(Apr!I54,May!I54,Jun!I54)</f>
        <v>-5704.609375</v>
      </c>
      <c r="J54" s="13">
        <f t="shared" si="2"/>
        <v>-8.1290033273483817E-2</v>
      </c>
    </row>
    <row r="55" spans="1:10" ht="15.6">
      <c r="A55" s="26" t="str">
        <v>X166</v>
      </c>
      <c r="B55" s="27" t="str">
        <v>NY</v>
      </c>
      <c r="C55" s="27" t="str">
        <f>Sites[[#This Row],[SOL'#]]</f>
        <v>SOL-10427</v>
      </c>
      <c r="D55" s="16">
        <f>SUM(Apr!D55,May!D55,Jun!D55)</f>
        <v>66122.7</v>
      </c>
      <c r="E55" s="16">
        <f>SUM(Apr!E55,May!E55,Jun!E55)</f>
        <v>64563.846000000005</v>
      </c>
      <c r="F55" s="14">
        <f t="shared" si="5"/>
        <v>1558.8539999999921</v>
      </c>
      <c r="G55" s="15">
        <f t="shared" si="1"/>
        <v>2.414437950304249E-2</v>
      </c>
      <c r="H55" s="16">
        <f>SUM(Apr!H55,May!H55,Jun!H55)</f>
        <v>77757.807000000001</v>
      </c>
      <c r="I55" s="16">
        <f>SUM(Apr!I55,May!I55,Jun!I55)</f>
        <v>-11635.107</v>
      </c>
      <c r="J55" s="15">
        <f t="shared" si="2"/>
        <v>-0.14963265360608743</v>
      </c>
    </row>
    <row r="56" spans="1:10" ht="15.6">
      <c r="A56" s="24" t="str">
        <v>Murphy</v>
      </c>
      <c r="B56" s="25" t="str">
        <v>MN</v>
      </c>
      <c r="C56" s="25" t="str">
        <f>Sites[[#This Row],[SOL'#]]</f>
        <v>SOL-10094</v>
      </c>
      <c r="D56" s="20">
        <f>SUM(Apr!D56,May!D56,Jun!D56)</f>
        <v>2562470</v>
      </c>
      <c r="E56" s="10">
        <f>SUM(Apr!E56,May!E56,Jun!E56)</f>
        <v>2787532</v>
      </c>
      <c r="F56" s="10">
        <f t="shared" si="5"/>
        <v>-225062</v>
      </c>
      <c r="G56" s="11">
        <f t="shared" si="1"/>
        <v>-8.0738804074715551E-2</v>
      </c>
      <c r="H56" s="12">
        <f>SUM(Apr!H56,May!H56,Jun!H56)</f>
        <v>2767309.7</v>
      </c>
      <c r="I56" s="12">
        <f>SUM(Apr!I56,May!I56,Jun!I56)</f>
        <v>-204839.70000000007</v>
      </c>
      <c r="J56" s="13">
        <f t="shared" si="2"/>
        <v>-7.4021241641295171E-2</v>
      </c>
    </row>
    <row r="57" spans="1:10" ht="15.6">
      <c r="A57" s="26" t="str">
        <v>Terning</v>
      </c>
      <c r="B57" s="27" t="str">
        <v>MN</v>
      </c>
      <c r="C57" s="27" t="str">
        <f>Sites[[#This Row],[SOL'#]]</f>
        <v>SOL-10093</v>
      </c>
      <c r="D57" s="16">
        <f>SUM(Apr!D57,May!D57,Jun!D57)</f>
        <v>2794457.9999999981</v>
      </c>
      <c r="E57" s="16">
        <f>SUM(Apr!E57,May!E57,Jun!E57)</f>
        <v>2901092</v>
      </c>
      <c r="F57" s="14">
        <f t="shared" si="5"/>
        <v>-106634.00000000186</v>
      </c>
      <c r="G57" s="15">
        <f t="shared" si="1"/>
        <v>-3.6756504102593734E-2</v>
      </c>
      <c r="H57" s="16">
        <f>SUM(Apr!H57,May!H57,Jun!H57)</f>
        <v>2789624.4</v>
      </c>
      <c r="I57" s="16">
        <f>SUM(Apr!I57,May!I57,Jun!I57)</f>
        <v>4833.5999999981141</v>
      </c>
      <c r="J57" s="15">
        <f t="shared" si="2"/>
        <v>1.7327063815466032E-3</v>
      </c>
    </row>
    <row r="58" spans="1:10" ht="15.6">
      <c r="A58" s="24" t="str">
        <v>Boas Road 04</v>
      </c>
      <c r="B58" s="25" t="str">
        <v>NY</v>
      </c>
      <c r="C58" s="25" t="str">
        <f>Sites[[#This Row],[SOL'#]]</f>
        <v>SOL-10908</v>
      </c>
      <c r="D58" s="20">
        <f>SUM(Apr!D58,May!D58,Jun!D58)</f>
        <v>0</v>
      </c>
      <c r="E58" s="10">
        <f>SUM(Apr!E58,May!E58,Jun!E58)</f>
        <v>1034656.96</v>
      </c>
      <c r="F58" s="10">
        <f t="shared" si="5"/>
        <v>-1034656.96</v>
      </c>
      <c r="G58" s="11">
        <f t="shared" si="1"/>
        <v>-1</v>
      </c>
      <c r="H58" s="12">
        <f>SUM(Apr!H58,May!H58,Jun!H58)</f>
        <v>1093253.5900000001</v>
      </c>
      <c r="I58" s="12">
        <f>SUM(Apr!I58,May!I58,Jun!I58)</f>
        <v>-711931.59000000008</v>
      </c>
      <c r="J58" s="13">
        <f t="shared" si="2"/>
        <v>-0.65120443830419983</v>
      </c>
    </row>
    <row r="59" spans="1:10" ht="15.6">
      <c r="A59" s="26" t="str">
        <v>Kelly Bridge Farm</v>
      </c>
      <c r="B59" s="27" t="str">
        <v>NY</v>
      </c>
      <c r="C59" s="27" t="str">
        <f>Sites[[#This Row],[SOL'#]]</f>
        <v>SOL-10911</v>
      </c>
      <c r="D59" s="16">
        <f>SUM(Apr!D59,May!D59,Jun!D59)</f>
        <v>66233</v>
      </c>
      <c r="E59" s="16">
        <f>SUM(Apr!E59,May!E59,Jun!E59)</f>
        <v>980629.51</v>
      </c>
      <c r="F59" s="14">
        <f t="shared" si="5"/>
        <v>-914396.51</v>
      </c>
      <c r="G59" s="15">
        <f t="shared" si="1"/>
        <v>-0.93245869176423213</v>
      </c>
      <c r="H59" s="16">
        <f>SUM(Apr!H59,May!H59,Jun!H59)</f>
        <v>1094228.83</v>
      </c>
      <c r="I59" s="16">
        <f>SUM(Apr!I59,May!I59,Jun!I59)</f>
        <v>-1027995.8300000001</v>
      </c>
      <c r="J59" s="15">
        <f t="shared" si="2"/>
        <v>-0.93947061329027493</v>
      </c>
    </row>
    <row r="60" spans="1:10" ht="15.6">
      <c r="A60" s="24" t="str">
        <v>Pool Brook Road</v>
      </c>
      <c r="B60" s="25" t="str">
        <v>NY</v>
      </c>
      <c r="C60" s="25" t="str">
        <f>Sites[[#This Row],[SOL'#]]</f>
        <v>SOL-10909</v>
      </c>
      <c r="D60" s="20">
        <f>SUM(Apr!D60,May!D60,Jun!D60)</f>
        <v>768176</v>
      </c>
      <c r="E60" s="10">
        <f>SUM(Apr!E60,May!E60,Jun!E60)</f>
        <v>816663.44</v>
      </c>
      <c r="F60" s="10">
        <f t="shared" si="5"/>
        <v>-48487.439999999944</v>
      </c>
      <c r="G60" s="11">
        <f t="shared" si="1"/>
        <v>-5.9372610092598178E-2</v>
      </c>
      <c r="H60" s="12">
        <f>SUM(Apr!H60,May!H60,Jun!H60)</f>
        <v>1053072.03</v>
      </c>
      <c r="I60" s="12">
        <f>SUM(Apr!I60,May!I60,Jun!I60)</f>
        <v>-284896.02999999997</v>
      </c>
      <c r="J60" s="13">
        <f t="shared" si="2"/>
        <v>-0.27053802767888535</v>
      </c>
    </row>
    <row r="61" spans="1:10" ht="15.6">
      <c r="A61" s="26" t="str">
        <v>Sackett Lake</v>
      </c>
      <c r="B61" s="27" t="str">
        <v>NY</v>
      </c>
      <c r="C61" s="27" t="str">
        <f>Sites[[#This Row],[SOL'#]]</f>
        <v>SOL-10910</v>
      </c>
      <c r="D61" s="16">
        <f>SUM(Apr!D61,May!D61,Jun!D61)</f>
        <v>584699</v>
      </c>
      <c r="E61" s="16">
        <f>SUM(Apr!E61,May!E61,Jun!E61)</f>
        <v>957255.1100000001</v>
      </c>
      <c r="F61" s="14">
        <f t="shared" si="5"/>
        <v>-372556.1100000001</v>
      </c>
      <c r="G61" s="15">
        <f t="shared" si="1"/>
        <v>-0.38919208276673506</v>
      </c>
      <c r="H61" s="16">
        <f>SUM(Apr!H61,May!H61,Jun!H61)</f>
        <v>1074743.93</v>
      </c>
      <c r="I61" s="16">
        <f>SUM(Apr!I61,May!I61,Jun!I61)</f>
        <v>-490044.93</v>
      </c>
      <c r="J61" s="15">
        <f t="shared" si="2"/>
        <v>-0.45596436166892335</v>
      </c>
    </row>
    <row r="62" spans="1:10" ht="15.6">
      <c r="A62" s="24" t="str">
        <v>Burritt Road</v>
      </c>
      <c r="B62" s="25" t="str">
        <v>NY</v>
      </c>
      <c r="C62" s="25" t="str">
        <f>Sites[[#This Row],[SOL'#]]</f>
        <v>SOL-10913</v>
      </c>
      <c r="D62" s="20">
        <f>SUM(Apr!D62,May!D62,Jun!D62)</f>
        <v>1000340</v>
      </c>
      <c r="E62" s="10">
        <f>SUM(Apr!E62,May!E62,Jun!E62)</f>
        <v>889574.24</v>
      </c>
      <c r="F62" s="10">
        <f t="shared" si="5"/>
        <v>110765.76000000001</v>
      </c>
      <c r="G62" s="11">
        <f t="shared" si="1"/>
        <v>0.12451547607763463</v>
      </c>
      <c r="H62" s="12">
        <f>SUM(Apr!H62,May!H62,Jun!H62)</f>
        <v>1130199.97</v>
      </c>
      <c r="I62" s="12">
        <f>SUM(Apr!I62,May!I62,Jun!I62)</f>
        <v>-129859.96999999997</v>
      </c>
      <c r="J62" s="13">
        <f t="shared" si="2"/>
        <v>-0.11489999420191099</v>
      </c>
    </row>
    <row r="63" spans="1:10" ht="15.6">
      <c r="A63" s="26" t="str">
        <v>Villa Roma 1</v>
      </c>
      <c r="B63" s="27" t="str">
        <v>NY</v>
      </c>
      <c r="C63" s="27" t="str">
        <f>Sites[[#This Row],[SOL'#]]</f>
        <v>SOL-10914</v>
      </c>
      <c r="D63" s="16">
        <f>SUM(Apr!D63,May!D63,Jun!D63)</f>
        <v>860376</v>
      </c>
      <c r="E63" s="16">
        <f>SUM(Apr!E63,May!E63,Jun!E63)</f>
        <v>2453.08</v>
      </c>
      <c r="F63" s="14">
        <f t="shared" si="5"/>
        <v>857922.92</v>
      </c>
      <c r="G63" s="15">
        <f t="shared" si="1"/>
        <v>349.732956120469</v>
      </c>
      <c r="H63" s="16">
        <f>SUM(Apr!H63,May!H63,Jun!H63)</f>
        <v>1007756.83</v>
      </c>
      <c r="I63" s="16">
        <f>SUM(Apr!I63,May!I63,Jun!I63)</f>
        <v>-147380.82999999996</v>
      </c>
      <c r="J63" s="15">
        <f t="shared" si="2"/>
        <v>-0.1462464213713143</v>
      </c>
    </row>
    <row r="64" spans="1:10" ht="15.6">
      <c r="A64" s="24" t="str">
        <v>Villa Roma 2</v>
      </c>
      <c r="B64" s="25" t="str">
        <v>NY</v>
      </c>
      <c r="C64" s="25" t="str">
        <f>Sites[[#This Row],[SOL'#]]</f>
        <v>SOL-10915</v>
      </c>
      <c r="D64" s="20">
        <f>SUM(Apr!D64,May!D64,Jun!D64)</f>
        <v>847564</v>
      </c>
      <c r="E64" s="10">
        <f>SUM(Apr!E64,May!E64,Jun!E64)</f>
        <v>879081.29</v>
      </c>
      <c r="F64" s="10">
        <f t="shared" si="5"/>
        <v>-31517.290000000037</v>
      </c>
      <c r="G64" s="11">
        <f t="shared" si="1"/>
        <v>-3.585253190862478E-2</v>
      </c>
      <c r="H64" s="12">
        <f>SUM(Apr!H64,May!H64,Jun!H64)</f>
        <v>978203.94</v>
      </c>
      <c r="I64" s="12">
        <f>SUM(Apr!I64,May!I64,Jun!I64)</f>
        <v>-130639.94</v>
      </c>
      <c r="J64" s="13">
        <f t="shared" si="2"/>
        <v>-0.13355082172333105</v>
      </c>
    </row>
    <row r="65" spans="1:10" ht="15.6">
      <c r="A65" s="26" t="str">
        <v>Washington 1</v>
      </c>
      <c r="B65" s="27" t="str">
        <v>NY</v>
      </c>
      <c r="C65" s="27" t="str">
        <f>Sites[[#This Row],[SOL'#]]</f>
        <v>SOL-10912</v>
      </c>
      <c r="D65" s="16">
        <f>SUM(Apr!D65,May!D65,Jun!D65)</f>
        <v>1055700</v>
      </c>
      <c r="E65" s="16">
        <f>SUM(Apr!E65,May!E65,Jun!E65)</f>
        <v>1099413.6200000001</v>
      </c>
      <c r="F65" s="14">
        <f t="shared" si="5"/>
        <v>-43713.620000000112</v>
      </c>
      <c r="G65" s="15">
        <f t="shared" si="1"/>
        <v>-3.9760849970186932E-2</v>
      </c>
      <c r="H65" s="16">
        <f>SUM(Apr!H65,May!H65,Jun!H65)</f>
        <v>1118087.82</v>
      </c>
      <c r="I65" s="16">
        <f>SUM(Apr!I65,May!I65,Jun!I65)</f>
        <v>-62387.820000000007</v>
      </c>
      <c r="J65" s="15">
        <f t="shared" si="2"/>
        <v>-5.5798675993089707E-2</v>
      </c>
    </row>
    <row r="66" spans="1:10" ht="15.6">
      <c r="A66" s="24" t="str">
        <v>Washington 3</v>
      </c>
      <c r="B66" s="25" t="str">
        <v>NY</v>
      </c>
      <c r="C66" s="25" t="str">
        <f>Sites[[#This Row],[SOL'#]]</f>
        <v>SOL-10828</v>
      </c>
      <c r="D66" s="20">
        <f>SUM(Apr!D66,May!D66,Jun!D66)</f>
        <v>1190650</v>
      </c>
      <c r="E66" s="10">
        <f>SUM(Apr!E66,May!E66,Jun!E66)</f>
        <v>730330.59</v>
      </c>
      <c r="F66" s="10">
        <f t="shared" si="5"/>
        <v>460319.41000000003</v>
      </c>
      <c r="G66" s="11">
        <f t="shared" si="1"/>
        <v>0.63028909962541768</v>
      </c>
      <c r="H66" s="12">
        <f>SUM(Apr!H66,May!H66,Jun!H66)</f>
        <v>1367659.88</v>
      </c>
      <c r="I66" s="12">
        <f>SUM(Apr!I66,May!I66,Jun!I66)</f>
        <v>-177009.88</v>
      </c>
      <c r="J66" s="13">
        <f t="shared" si="2"/>
        <v>-0.12942536561063706</v>
      </c>
    </row>
    <row r="67" spans="1:10" ht="15.6">
      <c r="A67" s="26" t="str">
        <v>Washington 4</v>
      </c>
      <c r="B67" s="27" t="str">
        <v>NY</v>
      </c>
      <c r="C67" s="27" t="str">
        <f>Sites[[#This Row],[SOL'#]]</f>
        <v>SOL-10829</v>
      </c>
      <c r="D67" s="16">
        <f>SUM(Apr!D67,May!D67,Jun!D67)</f>
        <v>1121567.5</v>
      </c>
      <c r="E67" s="16">
        <f>SUM(Apr!E67,May!E67,Jun!E67)</f>
        <v>1314711.3999999999</v>
      </c>
      <c r="F67" s="14">
        <f t="shared" si="5"/>
        <v>-193143.89999999991</v>
      </c>
      <c r="G67" s="15">
        <f t="shared" si="1"/>
        <v>-0.14690973243253228</v>
      </c>
      <c r="H67" s="16">
        <f>SUM(Apr!H67,May!H67,Jun!H67)</f>
        <v>1370606.37</v>
      </c>
      <c r="I67" s="16">
        <f>SUM(Apr!I67,May!I67,Jun!I67)</f>
        <v>-249038.87</v>
      </c>
      <c r="J67" s="15">
        <f t="shared" si="2"/>
        <v>-0.1816997756985472</v>
      </c>
    </row>
    <row r="68" spans="1:10" ht="15.6">
      <c r="A68" s="24" t="str">
        <v>Big Tree</v>
      </c>
      <c r="B68" s="25" t="str">
        <v>NY</v>
      </c>
      <c r="C68" s="25" t="str">
        <f>Sites[[#This Row],[SOL'#]]</f>
        <v>SOL-10966</v>
      </c>
      <c r="D68" s="20">
        <f>SUM(Apr!D68,May!D68,Jun!D68)</f>
        <v>1060842</v>
      </c>
      <c r="E68" s="10">
        <f>SUM(Apr!E68,May!E68,Jun!E68)</f>
        <v>0</v>
      </c>
      <c r="F68" s="10">
        <f t="shared" si="5"/>
        <v>1060842</v>
      </c>
      <c r="G68" s="11" t="str">
        <f t="shared" si="1"/>
        <v/>
      </c>
      <c r="H68" s="12">
        <f>SUM(Apr!H68,May!H68,Jun!H68)</f>
        <v>1149448.3500000001</v>
      </c>
      <c r="I68" s="12">
        <f>SUM(Apr!I68,May!I68,Jun!I68)</f>
        <v>-88606.349999999977</v>
      </c>
      <c r="J68" s="13">
        <f t="shared" si="2"/>
        <v>-7.7085977808398237E-2</v>
      </c>
    </row>
    <row r="69" spans="1:10" ht="15.6">
      <c r="A69" s="26" t="str">
        <v>Canoga</v>
      </c>
      <c r="B69" s="27" t="str">
        <v>NY</v>
      </c>
      <c r="C69" s="27" t="str">
        <f>Sites[[#This Row],[SOL'#]]</f>
        <v>SOL-10965</v>
      </c>
      <c r="D69" s="16">
        <f>SUM(Apr!D69,May!D69,Jun!D69)</f>
        <v>0</v>
      </c>
      <c r="E69" s="16">
        <f>SUM(Apr!E69,May!E69,Jun!E69)</f>
        <v>0</v>
      </c>
      <c r="F69" s="14">
        <f t="shared" si="5"/>
        <v>0</v>
      </c>
      <c r="G69" s="15" t="str">
        <f t="shared" si="1"/>
        <v/>
      </c>
      <c r="H69" s="16">
        <f>SUM(Apr!H69,May!H69,Jun!H69)</f>
        <v>0</v>
      </c>
      <c r="I69" s="16">
        <f>SUM(Apr!I69,May!I69,Jun!I69)</f>
        <v>0</v>
      </c>
      <c r="J69" s="15" t="str">
        <f t="shared" si="2"/>
        <v/>
      </c>
    </row>
    <row r="70" spans="1:10" ht="15.6">
      <c r="A70" s="24" t="str">
        <v>County Route 84</v>
      </c>
      <c r="B70" s="25" t="str">
        <v>NY</v>
      </c>
      <c r="C70" s="25" t="str">
        <f>Sites[[#This Row],[SOL'#]]</f>
        <v>SOL-10967</v>
      </c>
      <c r="D70" s="20">
        <f>SUM(Apr!D70,May!D70,Jun!D70)</f>
        <v>2509160</v>
      </c>
      <c r="E70" s="10">
        <f>SUM(Apr!E70,May!E70,Jun!E70)</f>
        <v>0</v>
      </c>
      <c r="F70" s="10">
        <f t="shared" si="5"/>
        <v>2509160</v>
      </c>
      <c r="G70" s="11" t="str">
        <f t="shared" ref="G70:G133" si="6">IFERROR(F70/E70, "")</f>
        <v/>
      </c>
      <c r="H70" s="12">
        <f>SUM(Apr!H70,May!H70,Jun!H70)</f>
        <v>2783810.4699999997</v>
      </c>
      <c r="I70" s="12">
        <f>SUM(Apr!I70,May!I70,Jun!I70)</f>
        <v>-274650.46999999997</v>
      </c>
      <c r="J70" s="13">
        <f t="shared" ref="J70:J133" si="7">IFERROR(I70/H70, "")</f>
        <v>-9.8659902662123405E-2</v>
      </c>
    </row>
    <row r="71" spans="1:10" ht="15.6">
      <c r="A71" s="26" t="str">
        <v>Donati</v>
      </c>
      <c r="B71" s="27" t="str">
        <v>NY</v>
      </c>
      <c r="C71" s="27" t="str">
        <f>Sites[[#This Row],[SOL'#]]</f>
        <v>SOL-10968</v>
      </c>
      <c r="D71" s="16">
        <f>SUM(Apr!D71,May!D71,Jun!D71)</f>
        <v>1170726</v>
      </c>
      <c r="E71" s="16">
        <f>SUM(Apr!E71,May!E71,Jun!E71)</f>
        <v>0</v>
      </c>
      <c r="F71" s="14">
        <f t="shared" si="5"/>
        <v>1170726</v>
      </c>
      <c r="G71" s="15" t="str">
        <f t="shared" si="6"/>
        <v/>
      </c>
      <c r="H71" s="16">
        <f>SUM(Apr!H71,May!H71,Jun!H71)</f>
        <v>1456005.45</v>
      </c>
      <c r="I71" s="16">
        <f>SUM(Apr!I71,May!I71,Jun!I71)</f>
        <v>-285279.45</v>
      </c>
      <c r="J71" s="15">
        <f t="shared" si="7"/>
        <v>-0.19593295478392614</v>
      </c>
    </row>
    <row r="72" spans="1:10" ht="15.6">
      <c r="A72" s="24" t="str">
        <v>Henrietta</v>
      </c>
      <c r="B72" s="25" t="str">
        <v>NY</v>
      </c>
      <c r="C72" s="25" t="str">
        <f>Sites[[#This Row],[SOL'#]]</f>
        <v>SOL-10972</v>
      </c>
      <c r="D72" s="20">
        <f>SUM(Apr!D72,May!D72,Jun!D72)</f>
        <v>2129630</v>
      </c>
      <c r="E72" s="10">
        <f>SUM(Apr!E72,May!E72,Jun!E72)</f>
        <v>0</v>
      </c>
      <c r="F72" s="10">
        <f t="shared" si="5"/>
        <v>2129630</v>
      </c>
      <c r="G72" s="11" t="str">
        <f t="shared" si="6"/>
        <v/>
      </c>
      <c r="H72" s="12">
        <f>SUM(Apr!H72,May!H72,Jun!H72)</f>
        <v>3085254.41</v>
      </c>
      <c r="I72" s="12">
        <f>SUM(Apr!I72,May!I72,Jun!I72)</f>
        <v>-955624.41000000015</v>
      </c>
      <c r="J72" s="13">
        <f t="shared" si="7"/>
        <v>-0.30973925745073322</v>
      </c>
    </row>
    <row r="73" spans="1:10" ht="15.6">
      <c r="A73" s="26" t="str">
        <v>NY 70</v>
      </c>
      <c r="B73" s="27" t="str">
        <v>NY</v>
      </c>
      <c r="C73" s="27" t="str">
        <f>Sites[[#This Row],[SOL'#]]</f>
        <v>SOL-10970</v>
      </c>
      <c r="D73" s="16">
        <f>SUM(Apr!D73,May!D73,Jun!D73)</f>
        <v>2785990</v>
      </c>
      <c r="E73" s="16">
        <f>SUM(Apr!E73,May!E73,Jun!E73)</f>
        <v>0</v>
      </c>
      <c r="F73" s="14">
        <f t="shared" si="5"/>
        <v>2785990</v>
      </c>
      <c r="G73" s="15" t="str">
        <f t="shared" si="6"/>
        <v/>
      </c>
      <c r="H73" s="16">
        <f>SUM(Apr!H73,May!H73,Jun!H73)</f>
        <v>3424830.79</v>
      </c>
      <c r="I73" s="16">
        <f>SUM(Apr!I73,May!I73,Jun!I73)</f>
        <v>-638840.79</v>
      </c>
      <c r="J73" s="15">
        <f t="shared" si="7"/>
        <v>-0.18653207389553983</v>
      </c>
    </row>
    <row r="74" spans="1:10" ht="15.6">
      <c r="A74" s="24" t="str">
        <v>Reid</v>
      </c>
      <c r="B74" s="25" t="str">
        <v>NY</v>
      </c>
      <c r="C74" s="25" t="str">
        <f>Sites[[#This Row],[SOL'#]]</f>
        <v>SOL-10991</v>
      </c>
      <c r="D74" s="20">
        <f>SUM(Apr!D74,May!D74,Jun!D74)</f>
        <v>1878330.1785332998</v>
      </c>
      <c r="E74" s="10">
        <f>SUM(Apr!E74,May!E74,Jun!E74)</f>
        <v>1851091.6</v>
      </c>
      <c r="F74" s="10">
        <f t="shared" si="5"/>
        <v>27238.578533299733</v>
      </c>
      <c r="G74" s="11">
        <f t="shared" si="6"/>
        <v>1.4714873393245224E-2</v>
      </c>
      <c r="H74" s="12">
        <f>SUM(Apr!H74,May!H74,Jun!H74)</f>
        <v>2654719</v>
      </c>
      <c r="I74" s="12">
        <f>SUM(Apr!I74,May!I74,Jun!I74)</f>
        <v>-776388.82146670006</v>
      </c>
      <c r="J74" s="13">
        <f t="shared" si="7"/>
        <v>-0.29245612114378211</v>
      </c>
    </row>
    <row r="75" spans="1:10" ht="15.6">
      <c r="A75" s="26" t="str">
        <v>Sangolqui</v>
      </c>
      <c r="B75" s="27" t="str">
        <v>NY</v>
      </c>
      <c r="C75" s="27" t="str">
        <f>Sites[[#This Row],[SOL'#]]</f>
        <v>SOL-10975</v>
      </c>
      <c r="D75" s="16">
        <f>SUM(Apr!D75,May!D75,Jun!D75)</f>
        <v>1143520</v>
      </c>
      <c r="E75" s="16">
        <f>SUM(Apr!E75,May!E75,Jun!E75)</f>
        <v>0</v>
      </c>
      <c r="F75" s="14">
        <f t="shared" si="5"/>
        <v>1143520</v>
      </c>
      <c r="G75" s="15" t="str">
        <f t="shared" si="6"/>
        <v/>
      </c>
      <c r="H75" s="16">
        <f>SUM(Apr!H75,May!H75,Jun!H75)</f>
        <v>1424648.06</v>
      </c>
      <c r="I75" s="16">
        <f>SUM(Apr!I75,May!I75,Jun!I75)</f>
        <v>-281128.06</v>
      </c>
      <c r="J75" s="15">
        <f t="shared" si="7"/>
        <v>-0.19733158517760518</v>
      </c>
    </row>
    <row r="76" spans="1:10" ht="15.6">
      <c r="A76" s="24" t="str">
        <v>State Highway 17B</v>
      </c>
      <c r="B76" s="25" t="str">
        <v>NY</v>
      </c>
      <c r="C76" s="25" t="str">
        <f>Sites[[#This Row],[SOL'#]]</f>
        <v>SOL-10988</v>
      </c>
      <c r="D76" s="20">
        <f>SUM(Apr!D76,May!D76,Jun!D76)</f>
        <v>2093120</v>
      </c>
      <c r="E76" s="10">
        <f>SUM(Apr!E76,May!E76,Jun!E76)</f>
        <v>0</v>
      </c>
      <c r="F76" s="10">
        <f t="shared" si="5"/>
        <v>2093120</v>
      </c>
      <c r="G76" s="11" t="str">
        <f t="shared" si="6"/>
        <v/>
      </c>
      <c r="H76" s="12">
        <f>SUM(Apr!H76,May!H76,Jun!H76)</f>
        <v>1506419.65</v>
      </c>
      <c r="I76" s="12">
        <f>SUM(Apr!I76,May!I76,Jun!I76)</f>
        <v>-132629.65000000002</v>
      </c>
      <c r="J76" s="13">
        <f t="shared" si="7"/>
        <v>-8.8042963326985302E-2</v>
      </c>
    </row>
    <row r="77" spans="1:10" ht="15.6">
      <c r="A77" s="26" t="str">
        <v>State Route 14A</v>
      </c>
      <c r="B77" s="27" t="str">
        <v>NY</v>
      </c>
      <c r="C77" s="27" t="str">
        <f>Sites[[#This Row],[SOL'#]]</f>
        <v>SOL-10997</v>
      </c>
      <c r="D77" s="16">
        <f>SUM(Apr!D77,May!D77,Jun!D77)</f>
        <v>234308</v>
      </c>
      <c r="E77" s="16">
        <f>SUM(Apr!E77,May!E77,Jun!E77)</f>
        <v>0</v>
      </c>
      <c r="F77" s="14">
        <f t="shared" si="5"/>
        <v>234308</v>
      </c>
      <c r="G77" s="15" t="str">
        <f t="shared" si="6"/>
        <v/>
      </c>
      <c r="H77" s="16">
        <f>SUM(Apr!H77,May!H77,Jun!H77)</f>
        <v>2783106.86</v>
      </c>
      <c r="I77" s="16">
        <f>SUM(Apr!I77,May!I77,Jun!I77)</f>
        <v>-1581150.8599999999</v>
      </c>
      <c r="J77" s="15">
        <f t="shared" si="7"/>
        <v>-0.56812438024747636</v>
      </c>
    </row>
    <row r="78" spans="1:10" ht="15.6">
      <c r="A78" s="24" t="str">
        <v>West Creek</v>
      </c>
      <c r="B78" s="25" t="str">
        <v>NY</v>
      </c>
      <c r="C78" s="25" t="str">
        <f>Sites[[#This Row],[SOL'#]]</f>
        <v>SOL-10995</v>
      </c>
      <c r="D78" s="20">
        <f>SUM(Apr!D78,May!D78,Jun!D78)</f>
        <v>2178780</v>
      </c>
      <c r="E78" s="10">
        <f>SUM(Apr!E78,May!E78,Jun!E78)</f>
        <v>0</v>
      </c>
      <c r="F78" s="10">
        <f t="shared" si="5"/>
        <v>2178780</v>
      </c>
      <c r="G78" s="11" t="str">
        <f t="shared" si="6"/>
        <v/>
      </c>
      <c r="H78" s="12">
        <f>SUM(Apr!H78,May!H78,Jun!H78)</f>
        <v>2774419.17</v>
      </c>
      <c r="I78" s="12">
        <f>SUM(Apr!I78,May!I78,Jun!I78)</f>
        <v>-595639.17000000004</v>
      </c>
      <c r="J78" s="13">
        <f t="shared" si="7"/>
        <v>-0.21468968223716536</v>
      </c>
    </row>
    <row r="79" spans="1:10" ht="15.6">
      <c r="A79" s="26" t="str">
        <v>Wildflower</v>
      </c>
      <c r="B79" s="27" t="str">
        <v>NY</v>
      </c>
      <c r="C79" s="27" t="str">
        <f>Sites[[#This Row],[SOL'#]]</f>
        <v>SOL-10982</v>
      </c>
      <c r="D79" s="16">
        <f>SUM(Apr!D79,May!D79,Jun!D79)</f>
        <v>2174278</v>
      </c>
      <c r="E79" s="16">
        <f>SUM(Apr!E79,May!E79,Jun!E79)</f>
        <v>0</v>
      </c>
      <c r="F79" s="14">
        <f t="shared" si="5"/>
        <v>2174278</v>
      </c>
      <c r="G79" s="15" t="str">
        <f t="shared" si="6"/>
        <v/>
      </c>
      <c r="H79" s="16">
        <f>SUM(Apr!H79,May!H79,Jun!H79)</f>
        <v>2806017.95</v>
      </c>
      <c r="I79" s="16">
        <f>SUM(Apr!I79,May!I79,Jun!I79)</f>
        <v>-631739.95000000007</v>
      </c>
      <c r="J79" s="15">
        <f t="shared" si="7"/>
        <v>-0.22513752985792554</v>
      </c>
    </row>
    <row r="80" spans="1:10" ht="15.6">
      <c r="A80" s="24" t="str">
        <v>Glen Mary 1</v>
      </c>
      <c r="B80" s="25" t="str">
        <v>NY</v>
      </c>
      <c r="C80" s="25" t="str">
        <f>Sites[[#This Row],[SOL'#]]</f>
        <v>SOL-10993</v>
      </c>
      <c r="D80" s="20">
        <f>SUM(Apr!D80,May!D80,Jun!D80)</f>
        <v>2254140</v>
      </c>
      <c r="E80" s="10">
        <f>SUM(Apr!E80,May!E80,Jun!E80)</f>
        <v>0</v>
      </c>
      <c r="F80" s="10">
        <f t="shared" si="5"/>
        <v>2254140</v>
      </c>
      <c r="G80" s="11" t="str">
        <f t="shared" si="6"/>
        <v/>
      </c>
      <c r="H80" s="12">
        <f>SUM(Apr!H80,May!H80,Jun!H80)</f>
        <v>2879976.84</v>
      </c>
      <c r="I80" s="12">
        <f>SUM(Apr!I80,May!I80,Jun!I80)</f>
        <v>-625836.84</v>
      </c>
      <c r="J80" s="13">
        <f t="shared" si="7"/>
        <v>-0.21730620583740529</v>
      </c>
    </row>
    <row r="81" spans="1:10" ht="15.6">
      <c r="A81" s="26" t="str">
        <v>Glen Mary 2</v>
      </c>
      <c r="B81" s="27" t="str">
        <v>NY</v>
      </c>
      <c r="C81" s="27" t="str">
        <f>Sites[[#This Row],[SOL'#]]</f>
        <v>SOL-10994</v>
      </c>
      <c r="D81" s="16">
        <f>SUM(Apr!D81,May!D81,Jun!D81)</f>
        <v>997420</v>
      </c>
      <c r="E81" s="16">
        <f>SUM(Apr!E81,May!E81,Jun!E81)</f>
        <v>0</v>
      </c>
      <c r="F81" s="14">
        <f t="shared" si="5"/>
        <v>997420</v>
      </c>
      <c r="G81" s="15" t="str">
        <f t="shared" si="6"/>
        <v/>
      </c>
      <c r="H81" s="16">
        <f>SUM(Apr!H81,May!H81,Jun!H81)</f>
        <v>1228364.3700000001</v>
      </c>
      <c r="I81" s="16">
        <f>SUM(Apr!I81,May!I81,Jun!I81)</f>
        <v>-230944.37</v>
      </c>
      <c r="J81" s="15">
        <f t="shared" si="7"/>
        <v>-0.18800966198653252</v>
      </c>
    </row>
    <row r="82" spans="1:10" ht="15.6">
      <c r="A82" s="24" t="str">
        <v>Telegraph 1</v>
      </c>
      <c r="B82" s="25" t="str">
        <v>NY</v>
      </c>
      <c r="C82" s="25" t="str">
        <f>Sites[[#This Row],[SOL'#]]</f>
        <v>SOL-11003</v>
      </c>
      <c r="D82" s="20">
        <f>SUM(Apr!D82,May!D82,Jun!D82)</f>
        <v>1943527</v>
      </c>
      <c r="E82" s="10">
        <f>SUM(Apr!E82,May!E82,Jun!E82)</f>
        <v>0</v>
      </c>
      <c r="F82" s="10">
        <f t="shared" ref="F82:F113" si="8">IF(AND(ISNUMBER(D82),ISNUMBER(E82)), D82-E82, "")</f>
        <v>1943527</v>
      </c>
      <c r="G82" s="11" t="str">
        <f t="shared" si="6"/>
        <v/>
      </c>
      <c r="H82" s="12">
        <f>SUM(Apr!H82,May!H82,Jun!H82)</f>
        <v>2080730.6400000001</v>
      </c>
      <c r="I82" s="12">
        <f>SUM(Apr!I82,May!I82,Jun!I82)</f>
        <v>-137203.64000000001</v>
      </c>
      <c r="J82" s="13">
        <f t="shared" si="7"/>
        <v>-6.5940125724298457E-2</v>
      </c>
    </row>
    <row r="83" spans="1:10" ht="15.6">
      <c r="A83" s="26" t="str">
        <v>Telegraph 2</v>
      </c>
      <c r="B83" s="27" t="str">
        <v>NY</v>
      </c>
      <c r="C83" s="27" t="str">
        <f>Sites[[#This Row],[SOL'#]]</f>
        <v>SOL-11004</v>
      </c>
      <c r="D83" s="16">
        <f>SUM(Apr!D83,May!D83,Jun!D83)</f>
        <v>1028696</v>
      </c>
      <c r="E83" s="16">
        <f>SUM(Apr!E83,May!E83,Jun!E83)</f>
        <v>0</v>
      </c>
      <c r="F83" s="14">
        <f t="shared" si="8"/>
        <v>1028696</v>
      </c>
      <c r="G83" s="15" t="str">
        <f t="shared" si="6"/>
        <v/>
      </c>
      <c r="H83" s="16">
        <f>SUM(Apr!H83,May!H83,Jun!H83)</f>
        <v>1084004.8500000001</v>
      </c>
      <c r="I83" s="16">
        <f>SUM(Apr!I83,May!I83,Jun!I83)</f>
        <v>-55308.849999999977</v>
      </c>
      <c r="J83" s="15">
        <f t="shared" si="7"/>
        <v>-5.1022696070040618E-2</v>
      </c>
    </row>
    <row r="84" spans="1:10" ht="15.6">
      <c r="A84" s="24" t="str">
        <v>Cafferty Hill</v>
      </c>
      <c r="B84" s="25" t="str">
        <v>NY</v>
      </c>
      <c r="C84" s="25" t="str">
        <f>Sites[[#This Row],[SOL'#]]</f>
        <v>SOL-10996</v>
      </c>
      <c r="D84" s="20">
        <f>SUM(Apr!D84,May!D84,Jun!D84)</f>
        <v>2354210</v>
      </c>
      <c r="E84" s="10">
        <f>SUM(Apr!E84,May!E84,Jun!E84)</f>
        <v>0</v>
      </c>
      <c r="F84" s="10">
        <f t="shared" si="8"/>
        <v>2354210</v>
      </c>
      <c r="G84" s="11" t="str">
        <f t="shared" si="6"/>
        <v/>
      </c>
      <c r="H84" s="12">
        <f>SUM(Apr!H84,May!H84,Jun!H84)</f>
        <v>2678023.65</v>
      </c>
      <c r="I84" s="12">
        <f>SUM(Apr!I84,May!I84,Jun!I84)</f>
        <v>-323813.65000000002</v>
      </c>
      <c r="J84" s="13">
        <f t="shared" si="7"/>
        <v>-0.12091515696659365</v>
      </c>
    </row>
    <row r="85" spans="1:10" ht="15.6">
      <c r="A85" s="26" t="str">
        <v>Dunkleman</v>
      </c>
      <c r="B85" s="27" t="str">
        <v>NY</v>
      </c>
      <c r="C85" s="27" t="str">
        <f>Sites[[#This Row],[SOL'#]]</f>
        <v>SOL-11008</v>
      </c>
      <c r="D85" s="16">
        <f>SUM(Apr!D85,May!D85,Jun!D85)</f>
        <v>2988490</v>
      </c>
      <c r="E85" s="16">
        <f>SUM(Apr!E85,May!E85,Jun!E85)</f>
        <v>0</v>
      </c>
      <c r="F85" s="14">
        <f t="shared" si="8"/>
        <v>2988490</v>
      </c>
      <c r="G85" s="15" t="str">
        <f t="shared" si="6"/>
        <v/>
      </c>
      <c r="H85" s="16">
        <f>SUM(Apr!H85,May!H85,Jun!H85)</f>
        <v>3534522.39</v>
      </c>
      <c r="I85" s="16">
        <f>SUM(Apr!I85,May!I85,Jun!I85)</f>
        <v>-546032.39</v>
      </c>
      <c r="J85" s="15">
        <f t="shared" si="7"/>
        <v>-0.15448548056870565</v>
      </c>
    </row>
    <row r="86" spans="1:10" ht="15.6">
      <c r="A86" s="24" t="str">
        <v>Route 19 1</v>
      </c>
      <c r="B86" s="25" t="str">
        <v>NY</v>
      </c>
      <c r="C86" s="25" t="str">
        <f>Sites[[#This Row],[SOL'#]]</f>
        <v>SOL-11001</v>
      </c>
      <c r="D86" s="20">
        <f>SUM(Apr!D86,May!D86,Jun!D86)</f>
        <v>1247000</v>
      </c>
      <c r="E86" s="10">
        <f>SUM(Apr!E86,May!E86,Jun!E86)</f>
        <v>0</v>
      </c>
      <c r="F86" s="10">
        <f t="shared" si="8"/>
        <v>1247000</v>
      </c>
      <c r="G86" s="11" t="str">
        <f t="shared" si="6"/>
        <v/>
      </c>
      <c r="H86" s="12">
        <f>SUM(Apr!H86,May!H86,Jun!H86)</f>
        <v>1438654.94</v>
      </c>
      <c r="I86" s="12">
        <f>SUM(Apr!I86,May!I86,Jun!I86)</f>
        <v>-191654.94</v>
      </c>
      <c r="J86" s="13">
        <f t="shared" si="7"/>
        <v>-0.13321814333046395</v>
      </c>
    </row>
    <row r="87" spans="1:10" ht="15.6">
      <c r="A87" s="26" t="str">
        <v>Route 19 2</v>
      </c>
      <c r="B87" s="27" t="str">
        <v>NY</v>
      </c>
      <c r="C87" s="27" t="str">
        <f>Sites[[#This Row],[SOL'#]]</f>
        <v>SOL-11002</v>
      </c>
      <c r="D87" s="16">
        <f>SUM(Apr!D87,May!D87,Jun!D87)</f>
        <v>3022000</v>
      </c>
      <c r="E87" s="16">
        <f>SUM(Apr!E87,May!E87,Jun!E87)</f>
        <v>0</v>
      </c>
      <c r="F87" s="14">
        <f t="shared" si="8"/>
        <v>3022000</v>
      </c>
      <c r="G87" s="15" t="str">
        <f t="shared" si="6"/>
        <v/>
      </c>
      <c r="H87" s="16">
        <f>SUM(Apr!H87,May!H87,Jun!H87)</f>
        <v>3557550.3899999997</v>
      </c>
      <c r="I87" s="16">
        <f>SUM(Apr!I87,May!I87,Jun!I87)</f>
        <v>-535550.3899999999</v>
      </c>
      <c r="J87" s="15">
        <f t="shared" si="7"/>
        <v>-0.15053908765576191</v>
      </c>
    </row>
    <row r="88" spans="1:10" ht="15.6">
      <c r="A88" s="24" t="str">
        <v>Yellow Mills 1</v>
      </c>
      <c r="B88" s="25" t="str">
        <v>NY</v>
      </c>
      <c r="C88" s="25" t="str">
        <f>Sites[[#This Row],[SOL'#]]</f>
        <v>SOL-11006</v>
      </c>
      <c r="D88" s="20">
        <f>SUM(Apr!D88,May!D88,Jun!D88)</f>
        <v>925214</v>
      </c>
      <c r="E88" s="10">
        <f>SUM(Apr!E88,May!E88,Jun!E88)</f>
        <v>0</v>
      </c>
      <c r="F88" s="10">
        <f t="shared" si="8"/>
        <v>925214</v>
      </c>
      <c r="G88" s="11" t="str">
        <f t="shared" si="6"/>
        <v/>
      </c>
      <c r="H88" s="12">
        <f>SUM(Apr!H88,May!H88,Jun!H88)</f>
        <v>1174204.58</v>
      </c>
      <c r="I88" s="12">
        <f>SUM(Apr!I88,May!I88,Jun!I88)</f>
        <v>-248990.57999999996</v>
      </c>
      <c r="J88" s="13">
        <f t="shared" si="7"/>
        <v>-0.2120504248075748</v>
      </c>
    </row>
    <row r="89" spans="1:10" ht="15.6">
      <c r="A89" s="26" t="str">
        <v>Yellow Mills 2</v>
      </c>
      <c r="B89" s="27" t="str">
        <v>NY</v>
      </c>
      <c r="C89" s="27" t="str">
        <f>Sites[[#This Row],[SOL'#]]</f>
        <v>SOL-11005</v>
      </c>
      <c r="D89" s="16">
        <f>SUM(Apr!D89,May!D89,Jun!D89)</f>
        <v>1033612</v>
      </c>
      <c r="E89" s="16">
        <f>SUM(Apr!E89,May!E89,Jun!E89)</f>
        <v>0</v>
      </c>
      <c r="F89" s="14">
        <f t="shared" si="8"/>
        <v>1033612</v>
      </c>
      <c r="G89" s="15" t="str">
        <f t="shared" si="6"/>
        <v/>
      </c>
      <c r="H89" s="16">
        <f>SUM(Apr!H89,May!H89,Jun!H89)</f>
        <v>1211761.03</v>
      </c>
      <c r="I89" s="16">
        <f>SUM(Apr!I89,May!I89,Jun!I89)</f>
        <v>-178149.03000000003</v>
      </c>
      <c r="J89" s="15">
        <f t="shared" si="7"/>
        <v>-0.14701663578007623</v>
      </c>
    </row>
    <row r="90" spans="1:10" ht="15.6">
      <c r="A90" s="24" t="str">
        <v>Yellow Mills 3</v>
      </c>
      <c r="B90" s="25" t="str">
        <v>NY</v>
      </c>
      <c r="C90" s="25" t="str">
        <f>Sites[[#This Row],[SOL'#]]</f>
        <v>SOL-11007</v>
      </c>
      <c r="D90" s="20">
        <f>SUM(Apr!D90,May!D90,Jun!D90)</f>
        <v>1006313</v>
      </c>
      <c r="E90" s="10">
        <f>SUM(Apr!E90,May!E90,Jun!E90)</f>
        <v>0</v>
      </c>
      <c r="F90" s="10">
        <f t="shared" si="8"/>
        <v>1006313</v>
      </c>
      <c r="G90" s="11" t="str">
        <f t="shared" si="6"/>
        <v/>
      </c>
      <c r="H90" s="12">
        <f>SUM(Apr!H90,May!H90,Jun!H90)</f>
        <v>1158289.18</v>
      </c>
      <c r="I90" s="12">
        <f>SUM(Apr!I90,May!I90,Jun!I90)</f>
        <v>-151976.18</v>
      </c>
      <c r="J90" s="13">
        <f t="shared" si="7"/>
        <v>-0.13120745891798799</v>
      </c>
    </row>
    <row r="91" spans="1:10" ht="15.6">
      <c r="A91" s="26" t="str">
        <v>Catskill</v>
      </c>
      <c r="B91" s="27" t="str">
        <v>NY</v>
      </c>
      <c r="C91" s="27" t="str">
        <f>Sites[[#This Row],[SOL'#]]</f>
        <v>SOL-11021</v>
      </c>
      <c r="D91" s="16">
        <f>SUM(Apr!D91,May!D91,Jun!D91)</f>
        <v>1851707</v>
      </c>
      <c r="E91" s="16">
        <f>SUM(Apr!E91,May!E91,Jun!E91)</f>
        <v>0</v>
      </c>
      <c r="F91" s="14">
        <f t="shared" si="8"/>
        <v>1851707</v>
      </c>
      <c r="G91" s="15" t="str">
        <f t="shared" si="6"/>
        <v/>
      </c>
      <c r="H91" s="16">
        <f>SUM(Apr!H91,May!H91,Jun!H91)</f>
        <v>2063982.3599999999</v>
      </c>
      <c r="I91" s="16">
        <f>SUM(Apr!I91,May!I91,Jun!I91)</f>
        <v>-212275.36</v>
      </c>
      <c r="J91" s="15">
        <f t="shared" si="7"/>
        <v>-0.10284746813436914</v>
      </c>
    </row>
    <row r="92" spans="1:10" ht="15.6">
      <c r="A92" s="24" t="str">
        <v>Eddy Ridge</v>
      </c>
      <c r="B92" s="25" t="str">
        <v>NY</v>
      </c>
      <c r="C92" s="25" t="str">
        <f>Sites[[#This Row],[SOL'#]]</f>
        <v>SOL-11054</v>
      </c>
      <c r="D92" s="20">
        <f>SUM(Apr!D92,May!D92,Jun!D92)</f>
        <v>1516274</v>
      </c>
      <c r="E92" s="10">
        <f>SUM(Apr!E92,May!E92,Jun!E92)</f>
        <v>0</v>
      </c>
      <c r="F92" s="10">
        <f t="shared" si="8"/>
        <v>1516274</v>
      </c>
      <c r="G92" s="11" t="str">
        <f t="shared" si="6"/>
        <v/>
      </c>
      <c r="H92" s="12">
        <f>SUM(Apr!H92,May!H92,Jun!H92)</f>
        <v>1690505</v>
      </c>
      <c r="I92" s="12">
        <f>SUM(Apr!I92,May!I92,Jun!I92)</f>
        <v>-174231</v>
      </c>
      <c r="J92" s="13">
        <f t="shared" si="7"/>
        <v>-0.10306446890130463</v>
      </c>
    </row>
    <row r="93" spans="1:10" ht="15.6">
      <c r="A93" s="26" t="str">
        <v>Ridgeway #1</v>
      </c>
      <c r="B93" s="27" t="str">
        <v>NY</v>
      </c>
      <c r="C93" s="27" t="str">
        <f>Sites[[#This Row],[SOL'#]]</f>
        <v>SOL-11018</v>
      </c>
      <c r="D93" s="16">
        <f>SUM(Apr!D93,May!D93,Jun!D93)</f>
        <v>3266522</v>
      </c>
      <c r="E93" s="16">
        <f>SUM(Apr!E93,May!E93,Jun!E93)</f>
        <v>0</v>
      </c>
      <c r="F93" s="14">
        <f t="shared" si="8"/>
        <v>3266522</v>
      </c>
      <c r="G93" s="15" t="str">
        <f t="shared" si="6"/>
        <v/>
      </c>
      <c r="H93" s="16">
        <f>SUM(Apr!H93,May!H93,Jun!H93)</f>
        <v>3549511.6499999994</v>
      </c>
      <c r="I93" s="16">
        <f>SUM(Apr!I93,May!I93,Jun!I93)</f>
        <v>-282989.64999999979</v>
      </c>
      <c r="J93" s="15">
        <f t="shared" si="7"/>
        <v>-7.9726361794023079E-2</v>
      </c>
    </row>
    <row r="94" spans="1:10" ht="15.6">
      <c r="A94" s="24" t="str">
        <v>Rivard 1</v>
      </c>
      <c r="B94" s="25" t="str">
        <v>NY</v>
      </c>
      <c r="C94" s="25" t="str">
        <f>Sites[[#This Row],[SOL'#]]</f>
        <v>SOL-11011</v>
      </c>
      <c r="D94" s="20">
        <f>SUM(Apr!D94,May!D94,Jun!D94)</f>
        <v>2562808.298215379</v>
      </c>
      <c r="E94" s="10">
        <f>SUM(Apr!E94,May!E94,Jun!E94)</f>
        <v>103072.2</v>
      </c>
      <c r="F94" s="10">
        <f t="shared" si="8"/>
        <v>2459736.0982153788</v>
      </c>
      <c r="G94" s="11">
        <f t="shared" si="6"/>
        <v>23.864204879835484</v>
      </c>
      <c r="H94" s="12">
        <f>SUM(Apr!H94,May!H94,Jun!H94)</f>
        <v>1874854.45</v>
      </c>
      <c r="I94" s="12">
        <f>SUM(Apr!I94,May!I94,Jun!I94)</f>
        <v>687953.84821537905</v>
      </c>
      <c r="J94" s="13">
        <f t="shared" si="7"/>
        <v>0.36693720316015949</v>
      </c>
    </row>
    <row r="95" spans="1:10" ht="15.6">
      <c r="A95" s="26" t="str">
        <v>Rivard 2</v>
      </c>
      <c r="B95" s="27" t="str">
        <v>NY</v>
      </c>
      <c r="C95" s="27" t="str">
        <f>Sites[[#This Row],[SOL'#]]</f>
        <v>SOL-11012</v>
      </c>
      <c r="D95" s="16">
        <f>SUM(Apr!D95,May!D95,Jun!D95)</f>
        <v>2622973.08955224</v>
      </c>
      <c r="E95" s="16">
        <f>SUM(Apr!E95,May!E95,Jun!E95)</f>
        <v>2586631.7999999998</v>
      </c>
      <c r="F95" s="14">
        <f t="shared" si="8"/>
        <v>36341.289552240167</v>
      </c>
      <c r="G95" s="15">
        <f t="shared" si="6"/>
        <v>1.4049656991087858E-2</v>
      </c>
      <c r="H95" s="16">
        <f>SUM(Apr!H95,May!H95,Jun!H95)</f>
        <v>2905297.4</v>
      </c>
      <c r="I95" s="16">
        <f>SUM(Apr!I95,May!I95,Jun!I95)</f>
        <v>-282324.31044776004</v>
      </c>
      <c r="J95" s="15">
        <f t="shared" si="7"/>
        <v>-9.7175700652112257E-2</v>
      </c>
    </row>
    <row r="96" spans="1:10" ht="15.6">
      <c r="A96" s="24" t="str">
        <v>Ridgeway #2</v>
      </c>
      <c r="B96" s="25" t="str">
        <v>NY</v>
      </c>
      <c r="C96" s="25" t="str">
        <f>Sites[[#This Row],[SOL'#]]</f>
        <v>SOL-11027</v>
      </c>
      <c r="D96" s="20">
        <f>SUM(Apr!D96,May!D96,Jun!D96)</f>
        <v>1592692</v>
      </c>
      <c r="E96" s="10">
        <f>SUM(Apr!E96,May!E96,Jun!E96)</f>
        <v>0</v>
      </c>
      <c r="F96" s="10">
        <f t="shared" si="8"/>
        <v>1592692</v>
      </c>
      <c r="G96" s="11" t="str">
        <f t="shared" si="6"/>
        <v/>
      </c>
      <c r="H96" s="12">
        <f>SUM(Apr!H96,May!H96,Jun!H96)</f>
        <v>1804344.26</v>
      </c>
      <c r="I96" s="12">
        <f>SUM(Apr!I96,May!I96,Jun!I96)</f>
        <v>-211652.26</v>
      </c>
      <c r="J96" s="13">
        <f t="shared" si="7"/>
        <v>-0.11730148436307826</v>
      </c>
    </row>
    <row r="97" spans="1:10" ht="15.6">
      <c r="A97" s="26" t="str">
        <v>Spencer</v>
      </c>
      <c r="B97" s="27" t="str">
        <v>NY</v>
      </c>
      <c r="C97" s="27" t="str">
        <f>Sites[[#This Row],[SOL'#]]</f>
        <v>SOL-11017</v>
      </c>
      <c r="D97" s="16">
        <f>SUM(Apr!D97,May!D97,Jun!D97)</f>
        <v>2826576</v>
      </c>
      <c r="E97" s="16">
        <f>SUM(Apr!E97,May!E97,Jun!E97)</f>
        <v>0</v>
      </c>
      <c r="F97" s="14">
        <f t="shared" si="8"/>
        <v>2826576</v>
      </c>
      <c r="G97" s="15" t="str">
        <f t="shared" si="6"/>
        <v/>
      </c>
      <c r="H97" s="16">
        <f>SUM(Apr!H97,May!H97,Jun!H97)</f>
        <v>3451655</v>
      </c>
      <c r="I97" s="16">
        <f>SUM(Apr!I97,May!I97,Jun!I97)</f>
        <v>-625079</v>
      </c>
      <c r="J97" s="15">
        <f t="shared" si="7"/>
        <v>-0.18109544551816448</v>
      </c>
    </row>
    <row r="98" spans="1:10" ht="15.6">
      <c r="A98" s="24" t="str">
        <v>Reisender</v>
      </c>
      <c r="B98" s="25" t="str">
        <v>NY</v>
      </c>
      <c r="C98" s="25" t="str">
        <f>Sites[[#This Row],[SOL'#]]</f>
        <v>SOL-10886</v>
      </c>
      <c r="D98" s="20">
        <f>SUM(Apr!D98,May!D98,Jun!D98)</f>
        <v>945850</v>
      </c>
      <c r="E98" s="10">
        <f>SUM(Apr!E98,May!E98,Jun!E98)</f>
        <v>960944.12</v>
      </c>
      <c r="F98" s="10">
        <f t="shared" si="8"/>
        <v>-15094.119999999995</v>
      </c>
      <c r="G98" s="11">
        <f t="shared" si="6"/>
        <v>-1.5707593902546585E-2</v>
      </c>
      <c r="H98" s="12">
        <f>SUM(Apr!H98,May!H98,Jun!H98)</f>
        <v>1116329.75</v>
      </c>
      <c r="I98" s="12">
        <f>SUM(Apr!I98,May!I98,Jun!I98)</f>
        <v>-170479.75</v>
      </c>
      <c r="J98" s="13">
        <f t="shared" si="7"/>
        <v>-0.15271450931053301</v>
      </c>
    </row>
    <row r="99" spans="1:10" ht="15.6">
      <c r="A99" s="26" t="str">
        <v>Finney</v>
      </c>
      <c r="B99" s="27" t="str">
        <v>NY</v>
      </c>
      <c r="C99" s="27" t="str">
        <f>Sites[[#This Row],[SOL'#]]</f>
        <v>SOL-10999</v>
      </c>
      <c r="D99" s="16">
        <f>SUM(Apr!D99,May!D99,Jun!D99)</f>
        <v>2875000</v>
      </c>
      <c r="E99" s="16">
        <f>SUM(Apr!E99,May!E99,Jun!E99)</f>
        <v>0</v>
      </c>
      <c r="F99" s="14">
        <f t="shared" si="8"/>
        <v>2875000</v>
      </c>
      <c r="G99" s="15" t="str">
        <f t="shared" si="6"/>
        <v/>
      </c>
      <c r="H99" s="16">
        <f>SUM(Apr!H99,May!H99,Jun!H99)</f>
        <v>3412414.59</v>
      </c>
      <c r="I99" s="16">
        <f>SUM(Apr!I99,May!I99,Jun!I99)</f>
        <v>-537414.59</v>
      </c>
      <c r="J99" s="15">
        <f t="shared" si="7"/>
        <v>-0.15748807063915407</v>
      </c>
    </row>
    <row r="100" spans="1:10" ht="15.6">
      <c r="A100" s="24" t="str">
        <v>Davis Solar</v>
      </c>
      <c r="B100" s="25" t="str">
        <v>NY</v>
      </c>
      <c r="C100" s="25" t="str">
        <f>Sites[[#This Row],[SOL'#]]</f>
        <v>SOL-10958</v>
      </c>
      <c r="D100" s="20">
        <f>SUM(Apr!D100,May!D100,Jun!D100)</f>
        <v>878311</v>
      </c>
      <c r="E100" s="10">
        <f>SUM(Apr!E100,May!E100,Jun!E100)</f>
        <v>1055845.3</v>
      </c>
      <c r="F100" s="10">
        <f t="shared" si="8"/>
        <v>-177534.30000000005</v>
      </c>
      <c r="G100" s="11">
        <f t="shared" si="6"/>
        <v>-0.16814423476621057</v>
      </c>
      <c r="H100" s="12">
        <f>SUM(Apr!H100,May!H100,Jun!H100)</f>
        <v>1305424</v>
      </c>
      <c r="I100" s="12">
        <f>SUM(Apr!I100,May!I100,Jun!I100)</f>
        <v>-427113</v>
      </c>
      <c r="J100" s="13">
        <f t="shared" si="7"/>
        <v>-0.32718335192244052</v>
      </c>
    </row>
    <row r="101" spans="1:10" ht="15.6">
      <c r="A101" s="26" t="str">
        <v>Genesee</v>
      </c>
      <c r="B101" s="27" t="str">
        <v>NY</v>
      </c>
      <c r="C101" s="27" t="str">
        <f>Sites[[#This Row],[SOL'#]]</f>
        <v>SOL-10951</v>
      </c>
      <c r="D101" s="16">
        <f>SUM(Apr!D101,May!D101,Jun!D101)</f>
        <v>1060616</v>
      </c>
      <c r="E101" s="16">
        <f>SUM(Apr!E101,May!E101,Jun!E101)</f>
        <v>0</v>
      </c>
      <c r="F101" s="14">
        <f t="shared" si="8"/>
        <v>1060616</v>
      </c>
      <c r="G101" s="15" t="str">
        <f t="shared" si="6"/>
        <v/>
      </c>
      <c r="H101" s="16">
        <f>SUM(Apr!H101,May!H101,Jun!H101)</f>
        <v>2666907.12</v>
      </c>
      <c r="I101" s="16">
        <f>SUM(Apr!I101,May!I101,Jun!I101)</f>
        <v>-1606291.12</v>
      </c>
      <c r="J101" s="15">
        <f t="shared" si="7"/>
        <v>-0.60230486017075846</v>
      </c>
    </row>
    <row r="102" spans="1:10" ht="15.6">
      <c r="A102" s="24" t="str">
        <v>Landau I</v>
      </c>
      <c r="B102" s="25" t="str">
        <v>NY</v>
      </c>
      <c r="C102" s="25" t="str">
        <f>Sites[[#This Row],[SOL'#]]</f>
        <v>SOL-10891</v>
      </c>
      <c r="D102" s="20">
        <f>SUM(Apr!D102,May!D102,Jun!D102)</f>
        <v>1053070</v>
      </c>
      <c r="E102" s="10">
        <f>SUM(Apr!E102,May!E102,Jun!E102)</f>
        <v>0</v>
      </c>
      <c r="F102" s="10">
        <f t="shared" si="8"/>
        <v>1053070</v>
      </c>
      <c r="G102" s="11" t="str">
        <f t="shared" si="6"/>
        <v/>
      </c>
      <c r="H102" s="12">
        <f>SUM(Apr!H102,May!H102,Jun!H102)</f>
        <v>1193405.57</v>
      </c>
      <c r="I102" s="12">
        <f>SUM(Apr!I102,May!I102,Jun!I102)</f>
        <v>-140335.57</v>
      </c>
      <c r="J102" s="13">
        <f t="shared" si="7"/>
        <v>-0.11759252137561248</v>
      </c>
    </row>
    <row r="103" spans="1:10" ht="15.6">
      <c r="A103" s="26" t="str">
        <v>Landau II</v>
      </c>
      <c r="B103" s="27" t="str">
        <v>NY</v>
      </c>
      <c r="C103" s="27" t="str">
        <f>Sites[[#This Row],[SOL'#]]</f>
        <v>SOL-10895</v>
      </c>
      <c r="D103" s="16">
        <f>SUM(Apr!D103,May!D103,Jun!D103)</f>
        <v>758420</v>
      </c>
      <c r="E103" s="16">
        <f>SUM(Apr!E103,May!E103,Jun!E103)</f>
        <v>0</v>
      </c>
      <c r="F103" s="14">
        <f t="shared" si="8"/>
        <v>758420</v>
      </c>
      <c r="G103" s="15" t="str">
        <f t="shared" si="6"/>
        <v/>
      </c>
      <c r="H103" s="16">
        <f>SUM(Apr!H103,May!H103,Jun!H103)</f>
        <v>1715293.48</v>
      </c>
      <c r="I103" s="16">
        <f>SUM(Apr!I103,May!I103,Jun!I103)</f>
        <v>-979333.48</v>
      </c>
      <c r="J103" s="15">
        <f t="shared" si="7"/>
        <v>-0.57094222733243294</v>
      </c>
    </row>
    <row r="104" spans="1:10" ht="15.6">
      <c r="A104" s="24" t="str">
        <v>New Beginnings</v>
      </c>
      <c r="B104" s="25" t="str">
        <v>NY</v>
      </c>
      <c r="C104" s="25" t="str">
        <f>Sites[[#This Row],[SOL'#]]</f>
        <v>SOL-10890</v>
      </c>
      <c r="D104" s="20">
        <f>SUM(Apr!D104,May!D104,Jun!D104)</f>
        <v>651810</v>
      </c>
      <c r="E104" s="10">
        <f>SUM(Apr!E104,May!E104,Jun!E104)</f>
        <v>1055750.54</v>
      </c>
      <c r="F104" s="10">
        <f t="shared" si="8"/>
        <v>-403940.54000000004</v>
      </c>
      <c r="G104" s="11">
        <f t="shared" si="6"/>
        <v>-0.38260983508471613</v>
      </c>
      <c r="H104" s="12">
        <f>SUM(Apr!H104,May!H104,Jun!H104)</f>
        <v>1163083.22</v>
      </c>
      <c r="I104" s="12">
        <f>SUM(Apr!I104,May!I104,Jun!I104)</f>
        <v>-511273.22</v>
      </c>
      <c r="J104" s="13">
        <f t="shared" si="7"/>
        <v>-0.43958438330835858</v>
      </c>
    </row>
    <row r="105" spans="1:10" ht="15.6">
      <c r="A105" s="26" t="str">
        <v>Bullitt Farm Solar, LLC</v>
      </c>
      <c r="B105" s="27" t="str">
        <v>NY</v>
      </c>
      <c r="C105" s="27" t="str">
        <f>Sites[[#This Row],[SOL'#]]</f>
        <v>SOL-10998</v>
      </c>
      <c r="D105" s="16">
        <f>SUM(Apr!D105,May!D105,Jun!D105)</f>
        <v>2684223</v>
      </c>
      <c r="E105" s="16">
        <f>SUM(Apr!E105,May!E105,Jun!E105)</f>
        <v>2695710.7069999999</v>
      </c>
      <c r="F105" s="14">
        <f t="shared" si="8"/>
        <v>-11487.706999999937</v>
      </c>
      <c r="G105" s="15">
        <f t="shared" si="6"/>
        <v>-4.2614761925935168E-3</v>
      </c>
      <c r="H105" s="16">
        <f>SUM(Apr!H105,May!H105,Jun!H105)</f>
        <v>3286795.4</v>
      </c>
      <c r="I105" s="16">
        <f>SUM(Apr!I105,May!I105,Jun!I105)</f>
        <v>-602572.4</v>
      </c>
      <c r="J105" s="15">
        <f t="shared" si="7"/>
        <v>-0.18333127763291868</v>
      </c>
    </row>
    <row r="106" spans="1:10" ht="15.6">
      <c r="A106" s="24" t="str">
        <v>Brodhead Solar, LLC</v>
      </c>
      <c r="B106" s="25" t="str">
        <v>NY</v>
      </c>
      <c r="C106" s="25" t="str">
        <f>Sites[[#This Row],[SOL'#]]</f>
        <v>SOL-10899</v>
      </c>
      <c r="D106" s="20">
        <f>SUM(Apr!D106,May!D106,Jun!D106)</f>
        <v>1140529</v>
      </c>
      <c r="E106" s="10">
        <f>SUM(Apr!E106,May!E106,Jun!E106)</f>
        <v>1249481.0190000001</v>
      </c>
      <c r="F106" s="10">
        <f t="shared" si="8"/>
        <v>-108952.01900000009</v>
      </c>
      <c r="G106" s="11">
        <f t="shared" si="6"/>
        <v>-8.7197818408796562E-2</v>
      </c>
      <c r="H106" s="12">
        <f>SUM(Apr!H106,May!H106,Jun!H106)</f>
        <v>1489472.9</v>
      </c>
      <c r="I106" s="12">
        <f>SUM(Apr!I106,May!I106,Jun!I106)</f>
        <v>-348943.9</v>
      </c>
      <c r="J106" s="13">
        <f t="shared" si="7"/>
        <v>-0.23427341309801611</v>
      </c>
    </row>
    <row r="107" spans="1:10" ht="15.6">
      <c r="A107" s="26" t="str">
        <v>Svenski</v>
      </c>
      <c r="B107" s="27" t="str">
        <v>NY</v>
      </c>
      <c r="C107" s="27" t="str">
        <f>Sites[[#This Row],[SOL'#]]</f>
        <v>SOL-10894</v>
      </c>
      <c r="D107" s="16">
        <f>SUM(Apr!D107,May!D107,Jun!D107)</f>
        <v>972265</v>
      </c>
      <c r="E107" s="16">
        <f>SUM(Apr!E107,May!E107,Jun!E107)</f>
        <v>0</v>
      </c>
      <c r="F107" s="14">
        <f t="shared" si="8"/>
        <v>972265</v>
      </c>
      <c r="G107" s="15" t="str">
        <f t="shared" si="6"/>
        <v/>
      </c>
      <c r="H107" s="16">
        <f>SUM(Apr!H107,May!H107,Jun!H107)</f>
        <v>1270425.0900000001</v>
      </c>
      <c r="I107" s="16">
        <f>SUM(Apr!I107,May!I107,Jun!I107)</f>
        <v>-298160.09000000003</v>
      </c>
      <c r="J107" s="15">
        <f t="shared" si="7"/>
        <v>-0.23469316872512333</v>
      </c>
    </row>
    <row r="108" spans="1:10" ht="15.6">
      <c r="A108" s="24" t="str">
        <v>Bantam</v>
      </c>
      <c r="B108" s="25" t="str">
        <v>NY</v>
      </c>
      <c r="C108" s="25" t="str">
        <f>Sites[[#This Row],[SOL'#]]</f>
        <v>SOL-10986</v>
      </c>
      <c r="D108" s="20">
        <f>SUM(Apr!D108,May!D108,Jun!D108)</f>
        <v>250520</v>
      </c>
      <c r="E108" s="10">
        <f>SUM(Apr!E108,May!E108,Jun!E108)</f>
        <v>0</v>
      </c>
      <c r="F108" s="10">
        <f t="shared" si="8"/>
        <v>250520</v>
      </c>
      <c r="G108" s="11" t="str">
        <f t="shared" si="6"/>
        <v/>
      </c>
      <c r="H108" s="12">
        <f>SUM(Apr!H108,May!H108,Jun!H108)</f>
        <v>3314779.1</v>
      </c>
      <c r="I108" s="12">
        <f>SUM(Apr!I108,May!I108,Jun!I108)</f>
        <v>-3064259.1</v>
      </c>
      <c r="J108" s="13">
        <f t="shared" si="7"/>
        <v>-0.92442331979226011</v>
      </c>
    </row>
    <row r="109" spans="1:10" ht="15.6">
      <c r="A109" s="26" t="str">
        <v>Bogart</v>
      </c>
      <c r="B109" s="27" t="str">
        <v>NY</v>
      </c>
      <c r="C109" s="27" t="str">
        <f>Sites[[#This Row],[SOL'#]]</f>
        <v>SOL-10887</v>
      </c>
      <c r="D109" s="16">
        <f>SUM(Apr!D109,May!D109,Jun!D109)</f>
        <v>984420</v>
      </c>
      <c r="E109" s="16">
        <f>SUM(Apr!E109,May!E109,Jun!E109)</f>
        <v>1035523.6</v>
      </c>
      <c r="F109" s="14">
        <f t="shared" si="8"/>
        <v>-51103.599999999977</v>
      </c>
      <c r="G109" s="15">
        <f t="shared" si="6"/>
        <v>-4.9350492832804564E-2</v>
      </c>
      <c r="H109" s="16">
        <f>SUM(Apr!H109,May!H109,Jun!H109)</f>
        <v>1146534.17</v>
      </c>
      <c r="I109" s="16">
        <f>SUM(Apr!I109,May!I109,Jun!I109)</f>
        <v>-162114.16999999998</v>
      </c>
      <c r="J109" s="15">
        <f t="shared" si="7"/>
        <v>-0.14139497473503124</v>
      </c>
    </row>
    <row r="110" spans="1:10" ht="15.6">
      <c r="A110" s="24" t="str">
        <v>Dubois</v>
      </c>
      <c r="B110" s="25" t="str">
        <v>NY</v>
      </c>
      <c r="C110" s="25" t="str">
        <f>Sites[[#This Row],[SOL'#]]</f>
        <v>SOL-10892</v>
      </c>
      <c r="D110" s="20">
        <f>SUM(Apr!D110,May!D110,Jun!D110)</f>
        <v>606490</v>
      </c>
      <c r="E110" s="10">
        <f>SUM(Apr!E110,May!E110,Jun!E110)</f>
        <v>0</v>
      </c>
      <c r="F110" s="10">
        <f t="shared" si="8"/>
        <v>606490</v>
      </c>
      <c r="G110" s="11" t="str">
        <f t="shared" si="6"/>
        <v/>
      </c>
      <c r="H110" s="12">
        <f>SUM(Apr!H110,May!H110,Jun!H110)</f>
        <v>0</v>
      </c>
      <c r="I110" s="12">
        <f>SUM(Apr!I110,May!I110,Jun!I110)</f>
        <v>0</v>
      </c>
      <c r="J110" s="13" t="str">
        <f t="shared" si="7"/>
        <v/>
      </c>
    </row>
    <row r="111" spans="1:10" ht="15.6">
      <c r="A111" s="26" t="str">
        <v>Salt Point</v>
      </c>
      <c r="B111" s="27" t="str">
        <v>NY</v>
      </c>
      <c r="C111" s="27" t="str">
        <f>Sites[[#This Row],[SOL'#]]</f>
        <v>SOL-10888</v>
      </c>
      <c r="D111" s="16">
        <f>SUM(Apr!D111,May!D111,Jun!D111)</f>
        <v>1054770</v>
      </c>
      <c r="E111" s="16">
        <f>SUM(Apr!E111,May!E111,Jun!E111)</f>
        <v>0</v>
      </c>
      <c r="F111" s="14">
        <f t="shared" si="8"/>
        <v>1054770</v>
      </c>
      <c r="G111" s="15" t="str">
        <f t="shared" si="6"/>
        <v/>
      </c>
      <c r="H111" s="16">
        <f>SUM(Apr!H111,May!H111,Jun!H111)</f>
        <v>1384848.74</v>
      </c>
      <c r="I111" s="16">
        <f>SUM(Apr!I111,May!I111,Jun!I111)</f>
        <v>-330078.74</v>
      </c>
      <c r="J111" s="15">
        <f t="shared" si="7"/>
        <v>-0.23835003092106652</v>
      </c>
    </row>
    <row r="112" spans="1:10" ht="15.6">
      <c r="A112" s="24" t="str">
        <v>Wheatland 2A</v>
      </c>
      <c r="B112" s="25" t="str">
        <v>NY</v>
      </c>
      <c r="C112" s="25" t="str">
        <f>Sites[[#This Row],[SOL'#]]</f>
        <v>SOL-10971</v>
      </c>
      <c r="D112" s="20">
        <f>SUM(Apr!D112,May!D112,Jun!D112)</f>
        <v>2324430</v>
      </c>
      <c r="E112" s="10">
        <f>SUM(Apr!E112,May!E112,Jun!E112)</f>
        <v>0</v>
      </c>
      <c r="F112" s="10">
        <f t="shared" si="8"/>
        <v>2324430</v>
      </c>
      <c r="G112" s="11" t="str">
        <f t="shared" si="6"/>
        <v/>
      </c>
      <c r="H112" s="12">
        <f>SUM(Apr!H112,May!H112,Jun!H112)</f>
        <v>2988271.6</v>
      </c>
      <c r="I112" s="12">
        <f>SUM(Apr!I112,May!I112,Jun!I112)</f>
        <v>-663841.6</v>
      </c>
      <c r="J112" s="13">
        <f t="shared" si="7"/>
        <v>-0.22214901751233052</v>
      </c>
    </row>
    <row r="113" spans="1:10" ht="15.6">
      <c r="A113" s="26" t="str">
        <v>Wheatland 2B</v>
      </c>
      <c r="B113" s="27" t="str">
        <v>NY</v>
      </c>
      <c r="C113" s="27" t="str">
        <f>Sites[[#This Row],[SOL'#]]</f>
        <v>SOL-10961</v>
      </c>
      <c r="D113" s="16">
        <f>SUM(Apr!D113,May!D113,Jun!D113)</f>
        <v>2624810</v>
      </c>
      <c r="E113" s="16">
        <f>SUM(Apr!E113,May!E113,Jun!E113)</f>
        <v>0</v>
      </c>
      <c r="F113" s="14">
        <f t="shared" si="8"/>
        <v>2624810</v>
      </c>
      <c r="G113" s="15" t="str">
        <f t="shared" si="6"/>
        <v/>
      </c>
      <c r="H113" s="16">
        <f>SUM(Apr!H113,May!H113,Jun!H113)</f>
        <v>2967972.63</v>
      </c>
      <c r="I113" s="16">
        <f>SUM(Apr!I113,May!I113,Jun!I113)</f>
        <v>-343162.63</v>
      </c>
      <c r="J113" s="15">
        <f t="shared" si="7"/>
        <v>-0.11562189844048529</v>
      </c>
    </row>
    <row r="114" spans="1:10" ht="15.6">
      <c r="A114" s="24" t="str">
        <v>Brickchurch</v>
      </c>
      <c r="B114" s="25" t="str">
        <v>NY</v>
      </c>
      <c r="C114" s="25" t="str">
        <f>Sites[[#This Row],[SOL'#]]</f>
        <v>SOL-10889</v>
      </c>
      <c r="D114" s="20">
        <f>SUM(Apr!D114,May!D114,Jun!D114)</f>
        <v>1099100</v>
      </c>
      <c r="E114" s="10">
        <f>SUM(Apr!E114,May!E114,Jun!E114)</f>
        <v>1072782.29</v>
      </c>
      <c r="F114" s="10">
        <f t="shared" ref="F114:F158" si="9">IF(AND(ISNUMBER(D114),ISNUMBER(E114)), D114-E114, "")</f>
        <v>26317.709999999963</v>
      </c>
      <c r="G114" s="11">
        <f t="shared" si="6"/>
        <v>2.4532200284551643E-2</v>
      </c>
      <c r="H114" s="12">
        <f>SUM(Apr!H114,May!H114,Jun!H114)</f>
        <v>1414015.08</v>
      </c>
      <c r="I114" s="12">
        <f>SUM(Apr!I114,May!I114,Jun!I114)</f>
        <v>-314915.08</v>
      </c>
      <c r="J114" s="13">
        <f t="shared" si="7"/>
        <v>-0.22270984549896031</v>
      </c>
    </row>
    <row r="115" spans="1:10" ht="15.6">
      <c r="A115" s="26" t="str">
        <v>McCarthy Solar</v>
      </c>
      <c r="B115" s="27" t="str">
        <v>NY</v>
      </c>
      <c r="C115" s="27" t="str">
        <f>Sites[[#This Row],[SOL'#]]</f>
        <v>SOL-10992</v>
      </c>
      <c r="D115" s="16">
        <f>SUM(Apr!D115,May!D115,Jun!D115)</f>
        <v>959780</v>
      </c>
      <c r="E115" s="16">
        <f>SUM(Apr!E115,May!E115,Jun!E115)</f>
        <v>0</v>
      </c>
      <c r="F115" s="14">
        <f t="shared" si="9"/>
        <v>959780</v>
      </c>
      <c r="G115" s="15" t="str">
        <f t="shared" si="6"/>
        <v/>
      </c>
      <c r="H115" s="16">
        <f>SUM(Apr!H115,May!H115,Jun!H115)</f>
        <v>1182855.18</v>
      </c>
      <c r="I115" s="16">
        <f>SUM(Apr!I115,May!I115,Jun!I115)</f>
        <v>-223075.18</v>
      </c>
      <c r="J115" s="15">
        <f t="shared" si="7"/>
        <v>-0.18859044097012789</v>
      </c>
    </row>
    <row r="116" spans="1:10" ht="15.6">
      <c r="A116" s="24" t="str">
        <v>Costanza</v>
      </c>
      <c r="B116" s="25" t="str">
        <v>NY</v>
      </c>
      <c r="C116" s="25" t="str">
        <f>Sites[[#This Row],[SOL'#]]</f>
        <v>SOL-10907</v>
      </c>
      <c r="D116" s="20">
        <f>SUM(Apr!D116,May!D116,Jun!D116)</f>
        <v>1006080</v>
      </c>
      <c r="E116" s="10">
        <f>SUM(Apr!E116,May!E116,Jun!E116)</f>
        <v>0</v>
      </c>
      <c r="F116" s="10">
        <f t="shared" si="9"/>
        <v>1006080</v>
      </c>
      <c r="G116" s="11" t="str">
        <f t="shared" si="6"/>
        <v/>
      </c>
      <c r="H116" s="12">
        <f>SUM(Apr!H116,May!H116,Jun!H116)</f>
        <v>1201762.6299999999</v>
      </c>
      <c r="I116" s="12">
        <f>SUM(Apr!I116,May!I116,Jun!I116)</f>
        <v>-195682.63</v>
      </c>
      <c r="J116" s="13">
        <f t="shared" si="7"/>
        <v>-0.16282968459420311</v>
      </c>
    </row>
    <row r="117" spans="1:10" ht="15.6">
      <c r="A117" s="26" t="str">
        <v>Lockenhurst Pond</v>
      </c>
      <c r="B117" s="27" t="str">
        <v>NY</v>
      </c>
      <c r="C117" s="27" t="str">
        <f>Sites[[#This Row],[SOL'#]]</f>
        <v>SOL-11000</v>
      </c>
      <c r="D117" s="16">
        <f>SUM(Apr!D117,May!D117,Jun!D117)</f>
        <v>1129440</v>
      </c>
      <c r="E117" s="16">
        <f>SUM(Apr!E117,May!E117,Jun!E117)</f>
        <v>1207206.1000000001</v>
      </c>
      <c r="F117" s="14">
        <f t="shared" si="9"/>
        <v>-77766.100000000093</v>
      </c>
      <c r="G117" s="15">
        <f t="shared" si="6"/>
        <v>-6.4418246395540987E-2</v>
      </c>
      <c r="H117" s="16">
        <f>SUM(Apr!H117,May!H117,Jun!H117)</f>
        <v>1369272</v>
      </c>
      <c r="I117" s="16">
        <f>SUM(Apr!I117,May!I117,Jun!I117)</f>
        <v>-239832</v>
      </c>
      <c r="J117" s="15">
        <f t="shared" si="7"/>
        <v>-0.17515292797924736</v>
      </c>
    </row>
    <row r="118" spans="1:10" ht="15.6">
      <c r="A118" s="24" t="str">
        <v>Drinkwater</v>
      </c>
      <c r="B118" s="25" t="str">
        <v>NY</v>
      </c>
      <c r="C118" s="25" t="str">
        <f>Sites[[#This Row],[SOL'#]]</f>
        <v>SOL-10896</v>
      </c>
      <c r="D118" s="20">
        <f>SUM(Apr!D118,May!D118,Jun!D118)</f>
        <v>1062410</v>
      </c>
      <c r="E118" s="10">
        <f>SUM(Apr!E118,May!E118,Jun!E118)</f>
        <v>0</v>
      </c>
      <c r="F118" s="10">
        <f t="shared" si="9"/>
        <v>1062410</v>
      </c>
      <c r="G118" s="11" t="str">
        <f t="shared" si="6"/>
        <v/>
      </c>
      <c r="H118" s="12">
        <f>SUM(Apr!H118,May!H118,Jun!H118)</f>
        <v>1199836.77</v>
      </c>
      <c r="I118" s="12">
        <f>SUM(Apr!I118,May!I118,Jun!I118)</f>
        <v>-137426.77000000002</v>
      </c>
      <c r="J118" s="13">
        <f t="shared" si="7"/>
        <v>-0.11453788834959611</v>
      </c>
    </row>
    <row r="119" spans="1:10" ht="15.6">
      <c r="A119" s="26" t="str">
        <v>Altamont</v>
      </c>
      <c r="B119" s="27" t="str">
        <v>NY</v>
      </c>
      <c r="C119" s="27" t="str">
        <f>Sites[[#This Row],[SOL'#]]</f>
        <v>SOL-11085</v>
      </c>
      <c r="D119" s="16">
        <f>SUM(Apr!D119,May!D119,Jun!D119)</f>
        <v>2084313</v>
      </c>
      <c r="E119" s="16">
        <f>SUM(Apr!E119,May!E119,Jun!E119)</f>
        <v>2143289</v>
      </c>
      <c r="F119" s="14">
        <f t="shared" si="9"/>
        <v>-58976</v>
      </c>
      <c r="G119" s="15">
        <f t="shared" si="6"/>
        <v>-2.7516587823667272E-2</v>
      </c>
      <c r="H119" s="16">
        <f>SUM(Apr!H119,May!H119,Jun!H119)</f>
        <v>2071550</v>
      </c>
      <c r="I119" s="16">
        <f>SUM(Apr!I119,May!I119,Jun!I119)</f>
        <v>12763</v>
      </c>
      <c r="J119" s="15">
        <f t="shared" si="7"/>
        <v>6.1610871086867323E-3</v>
      </c>
    </row>
    <row r="120" spans="1:10" ht="15.6">
      <c r="A120" s="24" t="str">
        <v>Krumkill North</v>
      </c>
      <c r="B120" s="25" t="str">
        <v>NY</v>
      </c>
      <c r="C120" s="25" t="str">
        <f>Sites[[#This Row],[SOL'#]]</f>
        <v>SOL-11086</v>
      </c>
      <c r="D120" s="20">
        <f>SUM(Apr!D120,May!D120,Jun!D120)</f>
        <v>2025116</v>
      </c>
      <c r="E120" s="10">
        <f>SUM(Apr!E120,May!E120,Jun!E120)</f>
        <v>2236316.2000000002</v>
      </c>
      <c r="F120" s="10">
        <f t="shared" si="9"/>
        <v>-211200.20000000019</v>
      </c>
      <c r="G120" s="11">
        <f t="shared" si="6"/>
        <v>-9.4441117047759246E-2</v>
      </c>
      <c r="H120" s="12">
        <f>SUM(Apr!H120,May!H120,Jun!H120)</f>
        <v>2340825</v>
      </c>
      <c r="I120" s="12">
        <f>SUM(Apr!I120,May!I120,Jun!I120)</f>
        <v>-315709</v>
      </c>
      <c r="J120" s="13">
        <f t="shared" si="7"/>
        <v>-0.13487082545683679</v>
      </c>
    </row>
    <row r="121" spans="1:10" ht="15.6">
      <c r="A121" s="26" t="str">
        <v>Krumkill South</v>
      </c>
      <c r="B121" s="27" t="str">
        <v>NY</v>
      </c>
      <c r="C121" s="27" t="str">
        <f>Sites[[#This Row],[SOL'#]]</f>
        <v>SOL-11087</v>
      </c>
      <c r="D121" s="16">
        <f>SUM(Apr!D121,May!D121,Jun!D121)</f>
        <v>1677481</v>
      </c>
      <c r="E121" s="16">
        <f>SUM(Apr!E121,May!E121,Jun!E121)</f>
        <v>1771167.5</v>
      </c>
      <c r="F121" s="14">
        <f t="shared" si="9"/>
        <v>-93686.5</v>
      </c>
      <c r="G121" s="15">
        <f t="shared" si="6"/>
        <v>-5.2895335986009227E-2</v>
      </c>
      <c r="H121" s="16">
        <f>SUM(Apr!H121,May!H121,Jun!H121)</f>
        <v>1835137.2000000002</v>
      </c>
      <c r="I121" s="16">
        <f>SUM(Apr!I121,May!I121,Jun!I121)</f>
        <v>-157656.19999999995</v>
      </c>
      <c r="J121" s="15">
        <f t="shared" si="7"/>
        <v>-8.5909761951313474E-2</v>
      </c>
    </row>
    <row r="122" spans="1:10" ht="15.6">
      <c r="A122" s="24" t="str">
        <v>X092</v>
      </c>
      <c r="B122" s="25" t="str">
        <v>NY</v>
      </c>
      <c r="C122" s="25" t="str">
        <f>Sites[[#This Row],[SOL'#]]</f>
        <v>SOL-11189</v>
      </c>
      <c r="D122" s="20">
        <f>SUM(Apr!D122,May!D122,Jun!D122)</f>
        <v>54707</v>
      </c>
      <c r="E122" s="10">
        <f>SUM(Apr!E122,May!E122,Jun!E122)</f>
        <v>55248.52</v>
      </c>
      <c r="F122" s="10">
        <f t="shared" si="9"/>
        <v>-541.5199999999968</v>
      </c>
      <c r="G122" s="11">
        <f t="shared" si="6"/>
        <v>-9.8015295251347341E-3</v>
      </c>
      <c r="H122" s="12">
        <f>SUM(Apr!H122,May!H122,Jun!H122)</f>
        <v>64283</v>
      </c>
      <c r="I122" s="12">
        <f>SUM(Apr!I122,May!I122,Jun!I122)</f>
        <v>-9575.9999999999964</v>
      </c>
      <c r="J122" s="13">
        <f t="shared" si="7"/>
        <v>-0.14896628968778677</v>
      </c>
    </row>
    <row r="123" spans="1:10" ht="15.6">
      <c r="A123" s="26" t="str">
        <v>X093</v>
      </c>
      <c r="B123" s="27" t="str">
        <v>NY</v>
      </c>
      <c r="C123" s="27" t="str">
        <f>Sites[[#This Row],[SOL'#]]</f>
        <v>SOL-10932</v>
      </c>
      <c r="D123" s="16">
        <f>SUM(Apr!D123,May!D123,Jun!D123)</f>
        <v>15614.109443359352</v>
      </c>
      <c r="E123" s="16">
        <f>SUM(Apr!E123,May!E123,Jun!E123)</f>
        <v>25777.97</v>
      </c>
      <c r="F123" s="14">
        <f t="shared" si="9"/>
        <v>-10163.86055664065</v>
      </c>
      <c r="G123" s="15">
        <f t="shared" si="6"/>
        <v>-0.39428475386698986</v>
      </c>
      <c r="H123" s="16">
        <f>SUM(Apr!H123,May!H123,Jun!H123)</f>
        <v>45364</v>
      </c>
      <c r="I123" s="16">
        <f>SUM(Apr!I123,May!I123,Jun!I123)</f>
        <v>-29749.890556640647</v>
      </c>
      <c r="J123" s="15">
        <f t="shared" si="7"/>
        <v>-0.65580395372190825</v>
      </c>
    </row>
    <row r="124" spans="1:10" ht="15.6">
      <c r="A124" s="24" t="str">
        <v>X095</v>
      </c>
      <c r="B124" s="25" t="str">
        <v>NY</v>
      </c>
      <c r="C124" s="25" t="str">
        <f>Sites[[#This Row],[SOL'#]]</f>
        <v>SOL-10929</v>
      </c>
      <c r="D124" s="20">
        <f>SUM(Apr!D124,May!D124,Jun!D124)</f>
        <v>54487.625</v>
      </c>
      <c r="E124" s="10">
        <f>SUM(Apr!E124,May!E124,Jun!E124)</f>
        <v>0</v>
      </c>
      <c r="F124" s="10">
        <f t="shared" si="9"/>
        <v>54487.625</v>
      </c>
      <c r="G124" s="11" t="str">
        <f t="shared" si="6"/>
        <v/>
      </c>
      <c r="H124" s="12">
        <f>SUM(Apr!H124,May!H124,Jun!H124)</f>
        <v>61390</v>
      </c>
      <c r="I124" s="12">
        <f>SUM(Apr!I124,May!I124,Jun!I124)</f>
        <v>-6902.375</v>
      </c>
      <c r="J124" s="13">
        <f t="shared" si="7"/>
        <v>-0.11243484280827497</v>
      </c>
    </row>
    <row r="125" spans="1:10" ht="15.6">
      <c r="A125" s="26" t="str">
        <v>X181</v>
      </c>
      <c r="B125" s="27" t="str">
        <v>NY</v>
      </c>
      <c r="C125" s="27" t="str">
        <f>Sites[[#This Row],[SOL'#]]</f>
        <v>SOL-10428</v>
      </c>
      <c r="D125" s="16">
        <f>SUM(Apr!D125,May!D125,Jun!D125)</f>
        <v>96280.41796875</v>
      </c>
      <c r="E125" s="16">
        <f>SUM(Apr!E125,May!E125,Jun!E125)</f>
        <v>0</v>
      </c>
      <c r="F125" s="14">
        <f t="shared" si="9"/>
        <v>96280.41796875</v>
      </c>
      <c r="G125" s="15" t="str">
        <f t="shared" si="6"/>
        <v/>
      </c>
      <c r="H125" s="16">
        <f>SUM(Apr!H125,May!H125,Jun!H125)</f>
        <v>113233</v>
      </c>
      <c r="I125" s="16">
        <f>SUM(Apr!I125,May!I125,Jun!I125)</f>
        <v>-16952.58203125</v>
      </c>
      <c r="J125" s="15">
        <f t="shared" si="7"/>
        <v>-0.14971414721194351</v>
      </c>
    </row>
    <row r="126" spans="1:10" ht="15.6">
      <c r="A126" s="24" t="str">
        <v>X415</v>
      </c>
      <c r="B126" s="25" t="str">
        <v>NY</v>
      </c>
      <c r="C126" s="25" t="str">
        <f>Sites[[#This Row],[SOL'#]]</f>
        <v>SOL-10429</v>
      </c>
      <c r="D126" s="20">
        <f>SUM(Apr!D126,May!D126,Jun!D126)</f>
        <v>63644.390625</v>
      </c>
      <c r="E126" s="10">
        <f>SUM(Apr!E126,May!E126,Jun!E126)</f>
        <v>0</v>
      </c>
      <c r="F126" s="10">
        <f t="shared" si="9"/>
        <v>63644.390625</v>
      </c>
      <c r="G126" s="11" t="str">
        <f t="shared" si="6"/>
        <v/>
      </c>
      <c r="H126" s="12">
        <f>SUM(Apr!H126,May!H126,Jun!H126)</f>
        <v>66105</v>
      </c>
      <c r="I126" s="12">
        <f>SUM(Apr!I126,May!I126,Jun!I126)</f>
        <v>-2460.609375</v>
      </c>
      <c r="J126" s="13">
        <f t="shared" si="7"/>
        <v>-3.7222742228273202E-2</v>
      </c>
    </row>
    <row r="127" spans="1:10" ht="15.6">
      <c r="A127" s="26" t="str">
        <v>K198</v>
      </c>
      <c r="B127" s="27" t="str">
        <v>NY</v>
      </c>
      <c r="C127" s="27" t="str">
        <f>Sites[[#This Row],[SOL'#]]</f>
        <v>SOL-10930</v>
      </c>
      <c r="D127" s="16">
        <f>SUM(Apr!D127,May!D127,Jun!D127)</f>
        <v>46883.62109375</v>
      </c>
      <c r="E127" s="16">
        <f>SUM(Apr!E127,May!E127,Jun!E127)</f>
        <v>30962.55</v>
      </c>
      <c r="F127" s="14">
        <f t="shared" si="9"/>
        <v>15921.071093750001</v>
      </c>
      <c r="G127" s="15">
        <f t="shared" si="6"/>
        <v>0.51420413027189305</v>
      </c>
      <c r="H127" s="16">
        <f>SUM(Apr!H127,May!H127,Jun!H127)</f>
        <v>50588</v>
      </c>
      <c r="I127" s="16">
        <f>SUM(Apr!I127,May!I127,Jun!I127)</f>
        <v>-3704.37890625</v>
      </c>
      <c r="J127" s="15">
        <f t="shared" si="7"/>
        <v>-7.3226435246501145E-2</v>
      </c>
    </row>
    <row r="128" spans="1:10" ht="15.6">
      <c r="A128" s="24" t="str">
        <v>K203</v>
      </c>
      <c r="B128" s="25" t="str">
        <v>NY</v>
      </c>
      <c r="C128" s="25" t="str">
        <f>Sites[[#This Row],[SOL'#]]</f>
        <v>SOL-11190</v>
      </c>
      <c r="D128" s="20">
        <f>SUM(Apr!D128,May!D128,Jun!D128)</f>
        <v>59019.9</v>
      </c>
      <c r="E128" s="10">
        <f>SUM(Apr!E128,May!E128,Jun!E128)</f>
        <v>53425.020000000004</v>
      </c>
      <c r="F128" s="10">
        <f t="shared" si="9"/>
        <v>5594.8799999999974</v>
      </c>
      <c r="G128" s="11">
        <f t="shared" si="6"/>
        <v>0.10472396641124321</v>
      </c>
      <c r="H128" s="12">
        <f>SUM(Apr!H128,May!H128,Jun!H128)</f>
        <v>68891</v>
      </c>
      <c r="I128" s="12">
        <f>SUM(Apr!I128,May!I128,Jun!I128)</f>
        <v>-9871.1000000000022</v>
      </c>
      <c r="J128" s="13">
        <f t="shared" si="7"/>
        <v>-0.14328577027478193</v>
      </c>
    </row>
    <row r="129" spans="1:10" ht="15.6">
      <c r="A129" s="26" t="str">
        <v>K213</v>
      </c>
      <c r="B129" s="27" t="str">
        <v>NY</v>
      </c>
      <c r="C129" s="27" t="str">
        <f>Sites[[#This Row],[SOL'#]]</f>
        <v>SOL-11191</v>
      </c>
      <c r="D129" s="16">
        <f>SUM(Apr!D129,May!D129,Jun!D129)</f>
        <v>61858.5</v>
      </c>
      <c r="E129" s="16">
        <f>SUM(Apr!E129,May!E129,Jun!E129)</f>
        <v>69739.38</v>
      </c>
      <c r="F129" s="14">
        <f t="shared" si="9"/>
        <v>-7880.8800000000047</v>
      </c>
      <c r="G129" s="15">
        <f t="shared" si="6"/>
        <v>-0.11300473276361224</v>
      </c>
      <c r="H129" s="16">
        <f>SUM(Apr!H129,May!H129,Jun!H129)</f>
        <v>72319</v>
      </c>
      <c r="I129" s="16">
        <f>SUM(Apr!I129,May!I129,Jun!I129)</f>
        <v>-10460.5</v>
      </c>
      <c r="J129" s="15">
        <f t="shared" si="7"/>
        <v>-0.14464386952253211</v>
      </c>
    </row>
    <row r="130" spans="1:10" ht="15.6">
      <c r="A130" s="24" t="str">
        <v>K217</v>
      </c>
      <c r="B130" s="25" t="str">
        <v>NY</v>
      </c>
      <c r="C130" s="25" t="str">
        <f>Sites[[#This Row],[SOL'#]]</f>
        <v>SOL-10933</v>
      </c>
      <c r="D130" s="20">
        <f>SUM(Apr!D130,May!D130,Jun!D130)</f>
        <v>35164.4296875</v>
      </c>
      <c r="E130" s="10">
        <f>SUM(Apr!E130,May!E130,Jun!E130)</f>
        <v>0</v>
      </c>
      <c r="F130" s="10">
        <f t="shared" si="9"/>
        <v>35164.4296875</v>
      </c>
      <c r="G130" s="11" t="str">
        <f t="shared" si="6"/>
        <v/>
      </c>
      <c r="H130" s="12">
        <f>SUM(Apr!H130,May!H130,Jun!H130)</f>
        <v>39839</v>
      </c>
      <c r="I130" s="12">
        <f>SUM(Apr!I130,May!I130,Jun!I130)</f>
        <v>-4674.5703125</v>
      </c>
      <c r="J130" s="13">
        <f t="shared" si="7"/>
        <v>-0.11733653737543613</v>
      </c>
    </row>
    <row r="131" spans="1:10" ht="15.6">
      <c r="A131" s="26" t="str">
        <v>K307</v>
      </c>
      <c r="B131" s="27" t="str">
        <v>NY</v>
      </c>
      <c r="C131" s="27" t="str">
        <f>Sites[[#This Row],[SOL'#]]</f>
        <v>SOL-10876</v>
      </c>
      <c r="D131" s="16">
        <f>SUM(Apr!D131,May!D131,Jun!D131)</f>
        <v>74822.0859375</v>
      </c>
      <c r="E131" s="16">
        <f>SUM(Apr!E131,May!E131,Jun!E131)</f>
        <v>0</v>
      </c>
      <c r="F131" s="14">
        <f t="shared" si="9"/>
        <v>74822.0859375</v>
      </c>
      <c r="G131" s="15" t="str">
        <f t="shared" si="6"/>
        <v/>
      </c>
      <c r="H131" s="16">
        <f>SUM(Apr!H131,May!H131,Jun!H131)</f>
        <v>83519</v>
      </c>
      <c r="I131" s="16">
        <f>SUM(Apr!I131,May!I131,Jun!I131)</f>
        <v>-8696.9140625</v>
      </c>
      <c r="J131" s="15">
        <f t="shared" si="7"/>
        <v>-0.10413096496006896</v>
      </c>
    </row>
    <row r="132" spans="1:10" ht="15.6">
      <c r="A132" s="24" t="str">
        <v>K610</v>
      </c>
      <c r="B132" s="25" t="str">
        <v>NY</v>
      </c>
      <c r="C132" s="25" t="str">
        <f>Sites[[#This Row],[SOL'#]]</f>
        <v>SOL-11158</v>
      </c>
      <c r="D132" s="20">
        <f>SUM(Apr!D132,May!D132,Jun!D132)</f>
        <v>84591.9</v>
      </c>
      <c r="E132" s="10">
        <f>SUM(Apr!E132,May!E132,Jun!E132)</f>
        <v>85211.290000000008</v>
      </c>
      <c r="F132" s="10">
        <f t="shared" si="9"/>
        <v>-619.39000000001397</v>
      </c>
      <c r="G132" s="11">
        <f t="shared" si="6"/>
        <v>-7.2688724698336798E-3</v>
      </c>
      <c r="H132" s="12">
        <f>SUM(Apr!H132,May!H132,Jun!H132)</f>
        <v>96940</v>
      </c>
      <c r="I132" s="12">
        <f>SUM(Apr!I132,May!I132,Jun!I132)</f>
        <v>-12348.100000000002</v>
      </c>
      <c r="J132" s="13">
        <f t="shared" si="7"/>
        <v>-0.12737879100474522</v>
      </c>
    </row>
    <row r="133" spans="1:10" ht="15.6">
      <c r="A133" s="26" t="str">
        <v>M025</v>
      </c>
      <c r="B133" s="27" t="str">
        <v>NY</v>
      </c>
      <c r="C133" s="27" t="str">
        <f>Sites[[#This Row],[SOL'#]]</f>
        <v>SOL-10392</v>
      </c>
      <c r="D133" s="16">
        <f>SUM(Apr!D133,May!D133,Jun!D133)</f>
        <v>36596.947265625</v>
      </c>
      <c r="E133" s="16">
        <f>SUM(Apr!E133,May!E133,Jun!E133)</f>
        <v>52975.839999999997</v>
      </c>
      <c r="F133" s="14">
        <f t="shared" si="9"/>
        <v>-16378.892734374997</v>
      </c>
      <c r="G133" s="15">
        <f t="shared" si="6"/>
        <v>-0.30917664985349919</v>
      </c>
      <c r="H133" s="16">
        <f>SUM(Apr!H133,May!H133,Jun!H133)</f>
        <v>83454</v>
      </c>
      <c r="I133" s="16">
        <f>SUM(Apr!I133,May!I133,Jun!I133)</f>
        <v>-46857.052734375</v>
      </c>
      <c r="J133" s="15">
        <f t="shared" si="7"/>
        <v>-0.56147162190398303</v>
      </c>
    </row>
    <row r="134" spans="1:10" ht="15.6">
      <c r="A134" s="24" t="str">
        <v>M028</v>
      </c>
      <c r="B134" s="25" t="str">
        <v>NY</v>
      </c>
      <c r="C134" s="25" t="str">
        <f>Sites[[#This Row],[SOL'#]]</f>
        <v>SOL-10381</v>
      </c>
      <c r="D134" s="20">
        <f>SUM(Apr!D134,May!D134,Jun!D134)</f>
        <v>59667.626778218299</v>
      </c>
      <c r="E134" s="10">
        <f>SUM(Apr!E134,May!E134,Jun!E134)</f>
        <v>38868.58</v>
      </c>
      <c r="F134" s="10">
        <f t="shared" si="9"/>
        <v>20799.046778218297</v>
      </c>
      <c r="G134" s="11">
        <f t="shared" ref="G134:G158" si="10">IFERROR(F134/E134, "")</f>
        <v>0.53511208225817086</v>
      </c>
      <c r="H134" s="12">
        <f>SUM(Apr!H134,May!H134,Jun!H134)</f>
        <v>65636</v>
      </c>
      <c r="I134" s="12">
        <f>SUM(Apr!I134,May!I134,Jun!I134)</f>
        <v>-5968.3732217817014</v>
      </c>
      <c r="J134" s="13">
        <f t="shared" ref="J134:J158" si="11">IFERROR(I134/H134, "")</f>
        <v>-9.0931397735719746E-2</v>
      </c>
    </row>
    <row r="135" spans="1:10" ht="15.6">
      <c r="A135" s="26" t="str">
        <v>Q030</v>
      </c>
      <c r="B135" s="27" t="str">
        <v>NY</v>
      </c>
      <c r="C135" s="27" t="str">
        <f>Sites[[#This Row],[SOL'#]]</f>
        <v>SOL-10878</v>
      </c>
      <c r="D135" s="16">
        <f>SUM(Apr!D135,May!D135,Jun!D135)</f>
        <v>72570.492344535203</v>
      </c>
      <c r="E135" s="16">
        <f>SUM(Apr!E135,May!E135,Jun!E135)</f>
        <v>0</v>
      </c>
      <c r="F135" s="14">
        <f t="shared" si="9"/>
        <v>72570.492344535203</v>
      </c>
      <c r="G135" s="15" t="str">
        <f t="shared" si="10"/>
        <v/>
      </c>
      <c r="H135" s="16">
        <f>SUM(Apr!H135,May!H135,Jun!H135)</f>
        <v>78882</v>
      </c>
      <c r="I135" s="16">
        <f>SUM(Apr!I135,May!I135,Jun!I135)</f>
        <v>-6311.5076554648003</v>
      </c>
      <c r="J135" s="15">
        <f t="shared" si="11"/>
        <v>-8.0012013583134312E-2</v>
      </c>
    </row>
    <row r="136" spans="1:10" ht="15.6">
      <c r="A136" s="24" t="str">
        <v>Q130</v>
      </c>
      <c r="B136" s="25" t="str">
        <v>NY</v>
      </c>
      <c r="C136" s="25" t="str">
        <f>Sites[[#This Row],[SOL'#]]</f>
        <v>SOL-10877</v>
      </c>
      <c r="D136" s="20">
        <f>SUM(Apr!D136,May!D136,Jun!D136)</f>
        <v>41552.80859375</v>
      </c>
      <c r="E136" s="10">
        <f>SUM(Apr!E136,May!E136,Jun!E136)</f>
        <v>0</v>
      </c>
      <c r="F136" s="10">
        <f t="shared" si="9"/>
        <v>41552.80859375</v>
      </c>
      <c r="G136" s="11" t="str">
        <f t="shared" si="10"/>
        <v/>
      </c>
      <c r="H136" s="12">
        <f>SUM(Apr!H136,May!H136,Jun!H136)</f>
        <v>44793.53</v>
      </c>
      <c r="I136" s="12">
        <f>SUM(Apr!I136,May!I136,Jun!I136)</f>
        <v>-3240.7214062499988</v>
      </c>
      <c r="J136" s="13">
        <f t="shared" si="11"/>
        <v>-7.2347979858921566E-2</v>
      </c>
    </row>
    <row r="137" spans="1:10" ht="15.6">
      <c r="A137" s="26" t="str">
        <v>Q196</v>
      </c>
      <c r="B137" s="27" t="str">
        <v>NY</v>
      </c>
      <c r="C137" s="27" t="str">
        <f>Sites[[#This Row],[SOL'#]]</f>
        <v>SOL-10879</v>
      </c>
      <c r="D137" s="16">
        <f>SUM(Apr!D137,May!D137,Jun!D137)</f>
        <v>54201.852656250005</v>
      </c>
      <c r="E137" s="16">
        <f>SUM(Apr!E137,May!E137,Jun!E137)</f>
        <v>0</v>
      </c>
      <c r="F137" s="14">
        <f t="shared" si="9"/>
        <v>54201.852656250005</v>
      </c>
      <c r="G137" s="15" t="str">
        <f t="shared" si="10"/>
        <v/>
      </c>
      <c r="H137" s="16">
        <f>SUM(Apr!H137,May!H137,Jun!H137)</f>
        <v>58065</v>
      </c>
      <c r="I137" s="16">
        <f>SUM(Apr!I137,May!I137,Jun!I137)</f>
        <v>-3863.1473437500026</v>
      </c>
      <c r="J137" s="15">
        <f t="shared" si="11"/>
        <v>-6.6531427602686696E-2</v>
      </c>
    </row>
    <row r="138" spans="1:10" ht="15.6">
      <c r="A138" s="24" t="str">
        <v>Q220</v>
      </c>
      <c r="B138" s="25" t="str">
        <v>NY</v>
      </c>
      <c r="C138" s="25" t="str">
        <f>Sites[[#This Row],[SOL'#]]</f>
        <v>SOL-10873</v>
      </c>
      <c r="D138" s="20">
        <f>SUM(Apr!D138,May!D138,Jun!D138)</f>
        <v>63817.4453125</v>
      </c>
      <c r="E138" s="10">
        <f>SUM(Apr!E138,May!E138,Jun!E138)</f>
        <v>0</v>
      </c>
      <c r="F138" s="10">
        <f t="shared" si="9"/>
        <v>63817.4453125</v>
      </c>
      <c r="G138" s="11" t="str">
        <f t="shared" si="10"/>
        <v/>
      </c>
      <c r="H138" s="12">
        <f>SUM(Apr!H138,May!H138,Jun!H138)</f>
        <v>67422</v>
      </c>
      <c r="I138" s="12">
        <f>SUM(Apr!I138,May!I138,Jun!I138)</f>
        <v>-3604.5546875</v>
      </c>
      <c r="J138" s="13">
        <f t="shared" si="11"/>
        <v>-5.3462589177123196E-2</v>
      </c>
    </row>
    <row r="139" spans="1:10" ht="15.6">
      <c r="A139" s="26" t="str">
        <v>Q205</v>
      </c>
      <c r="B139" s="27" t="str">
        <v>NY</v>
      </c>
      <c r="C139" s="27" t="str">
        <f>Sites[[#This Row],[SOL'#]]</f>
        <v>SOL-10922</v>
      </c>
      <c r="D139" s="16">
        <f>SUM(Apr!D139,May!D139,Jun!D139)</f>
        <v>75330.9453125</v>
      </c>
      <c r="E139" s="16">
        <f>SUM(Apr!E139,May!E139,Jun!E139)</f>
        <v>86255.98</v>
      </c>
      <c r="F139" s="14">
        <f t="shared" si="9"/>
        <v>-10925.034687499996</v>
      </c>
      <c r="G139" s="15">
        <f t="shared" si="10"/>
        <v>-0.12665828719933384</v>
      </c>
      <c r="H139" s="16">
        <f>SUM(Apr!H139,May!H139,Jun!H139)</f>
        <v>80611</v>
      </c>
      <c r="I139" s="16">
        <f>SUM(Apr!I139,May!I139,Jun!I139)</f>
        <v>-5280.0546875</v>
      </c>
      <c r="J139" s="15">
        <f t="shared" si="11"/>
        <v>-6.5500424104650734E-2</v>
      </c>
    </row>
    <row r="140" spans="1:10" ht="15.6">
      <c r="A140" s="24" t="str">
        <v>Q400</v>
      </c>
      <c r="B140" s="25" t="str">
        <v>NY</v>
      </c>
      <c r="C140" s="25" t="str">
        <f>Sites[[#This Row],[SOL'#]]</f>
        <v>SOL-10871</v>
      </c>
      <c r="D140" s="20">
        <f>SUM(Apr!D140,May!D140,Jun!D140)</f>
        <v>89219.3515625</v>
      </c>
      <c r="E140" s="10">
        <f>SUM(Apr!E140,May!E140,Jun!E140)</f>
        <v>0</v>
      </c>
      <c r="F140" s="10">
        <f t="shared" si="9"/>
        <v>89219.3515625</v>
      </c>
      <c r="G140" s="11" t="str">
        <f t="shared" si="10"/>
        <v/>
      </c>
      <c r="H140" s="12">
        <f>SUM(Apr!H140,May!H140,Jun!H140)</f>
        <v>130238</v>
      </c>
      <c r="I140" s="12">
        <f>SUM(Apr!I140,May!I140,Jun!I140)</f>
        <v>-41018.6484375</v>
      </c>
      <c r="J140" s="13">
        <f t="shared" si="11"/>
        <v>-0.3149514614590212</v>
      </c>
    </row>
    <row r="141" spans="1:10" ht="15.6">
      <c r="A141" s="26" t="str">
        <v>R003</v>
      </c>
      <c r="B141" s="27" t="str">
        <v>NY</v>
      </c>
      <c r="C141" s="27" t="str">
        <f>Sites[[#This Row],[SOL'#]]</f>
        <v>SOL-10416</v>
      </c>
      <c r="D141" s="16">
        <f>SUM(Apr!D141,May!D141,Jun!D141)</f>
        <v>105423.6480078125</v>
      </c>
      <c r="E141" s="16">
        <f>SUM(Apr!E141,May!E141,Jun!E141)</f>
        <v>31288</v>
      </c>
      <c r="F141" s="14">
        <f t="shared" si="9"/>
        <v>74135.648007812502</v>
      </c>
      <c r="G141" s="15">
        <f t="shared" si="10"/>
        <v>2.3694594735301875</v>
      </c>
      <c r="H141" s="16">
        <f>SUM(Apr!H141,May!H141,Jun!H141)</f>
        <v>118413</v>
      </c>
      <c r="I141" s="16">
        <f>SUM(Apr!I141,May!I141,Jun!I141)</f>
        <v>-12989.351992187498</v>
      </c>
      <c r="J141" s="15">
        <f t="shared" si="11"/>
        <v>-0.10969532054915844</v>
      </c>
    </row>
    <row r="142" spans="1:10" ht="15.6">
      <c r="A142" s="24" t="str">
        <v>R007</v>
      </c>
      <c r="B142" s="25" t="str">
        <v>NY</v>
      </c>
      <c r="C142" s="25" t="str">
        <f>Sites[[#This Row],[SOL'#]]</f>
        <v>SOL-10417</v>
      </c>
      <c r="D142" s="20">
        <f>SUM(Apr!D142,May!D142,Jun!D142)</f>
        <v>113058.1796875</v>
      </c>
      <c r="E142" s="10">
        <f>SUM(Apr!E142,May!E142,Jun!E142)</f>
        <v>77141.240000000005</v>
      </c>
      <c r="F142" s="10">
        <f t="shared" si="9"/>
        <v>35916.939687499995</v>
      </c>
      <c r="G142" s="11">
        <f t="shared" si="10"/>
        <v>0.4655997192617074</v>
      </c>
      <c r="H142" s="12">
        <f>SUM(Apr!H142,May!H142,Jun!H142)</f>
        <v>127251.59</v>
      </c>
      <c r="I142" s="12">
        <f>SUM(Apr!I142,May!I142,Jun!I142)</f>
        <v>-14193.410312499997</v>
      </c>
      <c r="J142" s="13">
        <f t="shared" si="11"/>
        <v>-0.11153817655637935</v>
      </c>
    </row>
    <row r="143" spans="1:10" ht="15.6">
      <c r="A143" s="26" t="str">
        <v>BK16</v>
      </c>
      <c r="B143" s="27" t="str">
        <v>NY</v>
      </c>
      <c r="C143" s="27" t="str">
        <f>Sites[[#This Row],[SOL'#]]</f>
        <v>SOL-11093</v>
      </c>
      <c r="D143" s="16">
        <f>SUM(Apr!D143,May!D143,Jun!D143)</f>
        <v>117349.5859375</v>
      </c>
      <c r="E143" s="16">
        <f>SUM(Apr!E143,May!E143,Jun!E143)</f>
        <v>0</v>
      </c>
      <c r="F143" s="14">
        <f t="shared" si="9"/>
        <v>117349.5859375</v>
      </c>
      <c r="G143" s="15" t="str">
        <f t="shared" si="10"/>
        <v/>
      </c>
      <c r="H143" s="16">
        <f>SUM(Apr!H143,May!H143,Jun!H143)</f>
        <v>126541</v>
      </c>
      <c r="I143" s="16">
        <f>SUM(Apr!I143,May!I143,Jun!I143)</f>
        <v>-9191.4140625</v>
      </c>
      <c r="J143" s="15">
        <f t="shared" si="11"/>
        <v>-7.2635857646928662E-2</v>
      </c>
    </row>
    <row r="144" spans="1:10" ht="15.6">
      <c r="A144" s="24" t="str">
        <v>Trenton - Trenton East</v>
      </c>
      <c r="B144" s="25" t="str">
        <v>IL</v>
      </c>
      <c r="C144" s="25" t="str">
        <f>Sites[[#This Row],[SOL'#]]</f>
        <v>SOL-11060</v>
      </c>
      <c r="D144" s="20">
        <f>SUM(Apr!D144,May!D144,Jun!D144)</f>
        <v>906995.49976528797</v>
      </c>
      <c r="E144" s="10">
        <f>SUM(Apr!E144,May!E144,Jun!E144)</f>
        <v>991887.2</v>
      </c>
      <c r="F144" s="10">
        <f t="shared" si="9"/>
        <v>-84891.700234711985</v>
      </c>
      <c r="G144" s="11">
        <f t="shared" si="10"/>
        <v>-8.5586042681780744E-2</v>
      </c>
      <c r="H144" s="12">
        <f>SUM(Apr!H144,May!H144,Jun!H144)</f>
        <v>1462562</v>
      </c>
      <c r="I144" s="12">
        <f>SUM(Apr!I144,May!I144,Jun!I144)</f>
        <v>-555566.50023471203</v>
      </c>
      <c r="J144" s="13">
        <f t="shared" si="11"/>
        <v>-0.37985842667504832</v>
      </c>
    </row>
    <row r="145" spans="1:10" ht="15.6">
      <c r="A145" s="26" t="str">
        <v>Trenton - Trenton West</v>
      </c>
      <c r="B145" s="27" t="str">
        <v>IL</v>
      </c>
      <c r="C145" s="27" t="str">
        <f>Sites[[#This Row],[SOL'#]]</f>
        <v>SOL-11061</v>
      </c>
      <c r="D145" s="16">
        <f>SUM(Apr!D145,May!D145,Jun!D145)</f>
        <v>359754.05244172999</v>
      </c>
      <c r="E145" s="16">
        <f>SUM(Apr!E145,May!E145,Jun!E145)</f>
        <v>586747.88</v>
      </c>
      <c r="F145" s="14">
        <f t="shared" si="9"/>
        <v>-226993.82755827002</v>
      </c>
      <c r="G145" s="15">
        <f t="shared" si="10"/>
        <v>-0.38686774216937947</v>
      </c>
      <c r="H145" s="16">
        <f>SUM(Apr!H145,May!H145,Jun!H145)</f>
        <v>1461120</v>
      </c>
      <c r="I145" s="16">
        <f>SUM(Apr!I145,May!I145,Jun!I145)</f>
        <v>-1101365.9475582701</v>
      </c>
      <c r="J145" s="15">
        <f t="shared" si="11"/>
        <v>-0.75378199433193038</v>
      </c>
    </row>
    <row r="146" spans="1:10" ht="15.6">
      <c r="A146" s="24" t="str">
        <v>Dakota - Dakota Solar 1</v>
      </c>
      <c r="B146" s="25" t="str">
        <v>IL</v>
      </c>
      <c r="C146" s="25" t="str">
        <f>Sites[[#This Row],[SOL'#]]</f>
        <v>SOL-11113</v>
      </c>
      <c r="D146" s="20">
        <f>SUM(Apr!D146,May!D146,Jun!D146)</f>
        <v>1442059</v>
      </c>
      <c r="E146" s="10">
        <f>SUM(Apr!E146,May!E146,Jun!E146)</f>
        <v>1730745.9</v>
      </c>
      <c r="F146" s="10">
        <f t="shared" si="9"/>
        <v>-288686.89999999991</v>
      </c>
      <c r="G146" s="11">
        <f t="shared" si="10"/>
        <v>-0.16679912400774713</v>
      </c>
      <c r="H146" s="12">
        <f>SUM(Apr!H146,May!H146,Jun!H146)</f>
        <v>0</v>
      </c>
      <c r="I146" s="12">
        <f>SUM(Apr!I146,May!I146,Jun!I146)</f>
        <v>1037600</v>
      </c>
      <c r="J146" s="13" t="str">
        <f t="shared" si="11"/>
        <v/>
      </c>
    </row>
    <row r="147" spans="1:10" ht="15.6">
      <c r="A147" s="26" t="str">
        <v>X018</v>
      </c>
      <c r="B147" s="27" t="str">
        <v>NY</v>
      </c>
      <c r="C147" s="27" t="str">
        <f>Sites[[#This Row],[SOL'#]]</f>
        <v>SOL-10418</v>
      </c>
      <c r="D147" s="16">
        <f>SUM(Apr!D147,May!D147,Jun!D147)</f>
        <v>39969.926914062497</v>
      </c>
      <c r="E147" s="16">
        <f>SUM(Apr!E147,May!E147,Jun!E147)</f>
        <v>34623.619999999995</v>
      </c>
      <c r="F147" s="14">
        <f t="shared" si="9"/>
        <v>5346.3069140625012</v>
      </c>
      <c r="G147" s="15">
        <f t="shared" si="10"/>
        <v>0.15441213004482207</v>
      </c>
      <c r="H147" s="16">
        <f>SUM(Apr!H147,May!H147,Jun!H147)</f>
        <v>64694</v>
      </c>
      <c r="I147" s="16">
        <f>SUM(Apr!I147,May!I147,Jun!I147)</f>
        <v>-24724.0730859375</v>
      </c>
      <c r="J147" s="15">
        <f t="shared" si="11"/>
        <v>-0.38216949154384489</v>
      </c>
    </row>
    <row r="148" spans="1:10" ht="15.6">
      <c r="A148" s="24" t="str">
        <v>Janiak Solar</v>
      </c>
      <c r="B148" s="25" t="str">
        <v>NY</v>
      </c>
      <c r="C148" s="25" t="str">
        <f>Sites[[#This Row],[SOL'#]]</f>
        <v>SOL-10898</v>
      </c>
      <c r="D148" s="20">
        <f>SUM(Apr!D148,May!D148,Jun!D148)</f>
        <v>1002214</v>
      </c>
      <c r="E148" s="10">
        <f>SUM(Apr!E148,May!E148,Jun!E148)</f>
        <v>1056635.7</v>
      </c>
      <c r="F148" s="10">
        <f t="shared" si="9"/>
        <v>-54421.699999999953</v>
      </c>
      <c r="G148" s="11">
        <f t="shared" si="10"/>
        <v>-5.1504695516155621E-2</v>
      </c>
      <c r="H148" s="12">
        <f>SUM(Apr!H148,May!H148,Jun!H148)</f>
        <v>1201725</v>
      </c>
      <c r="I148" s="12">
        <f>SUM(Apr!I148,May!I148,Jun!I148)</f>
        <v>-199511</v>
      </c>
      <c r="J148" s="13">
        <f t="shared" si="11"/>
        <v>-0.16602051218040734</v>
      </c>
    </row>
    <row r="149" spans="1:10" ht="15.6">
      <c r="A149" s="26" t="str">
        <v>County Route 11B</v>
      </c>
      <c r="B149" s="27" t="str">
        <v>NY</v>
      </c>
      <c r="C149" s="27" t="str">
        <f>Sites[[#This Row],[SOL'#]]</f>
        <v>SOL-10983</v>
      </c>
      <c r="D149" s="16">
        <f>SUM(Apr!D149,May!D149,Jun!D149)</f>
        <v>1411312</v>
      </c>
      <c r="E149" s="16">
        <f>SUM(Apr!E149,May!E149,Jun!E149)</f>
        <v>0</v>
      </c>
      <c r="F149" s="14">
        <f t="shared" si="9"/>
        <v>1411312</v>
      </c>
      <c r="G149" s="15" t="str">
        <f t="shared" si="10"/>
        <v/>
      </c>
      <c r="H149" s="16">
        <f>SUM(Apr!H149,May!H149,Jun!H149)</f>
        <v>0</v>
      </c>
      <c r="I149" s="16">
        <f>SUM(Apr!I149,May!I149,Jun!I149)</f>
        <v>0</v>
      </c>
      <c r="J149" s="15" t="str">
        <f t="shared" si="11"/>
        <v/>
      </c>
    </row>
    <row r="150" spans="1:10" ht="15.6">
      <c r="A150" s="24" t="str">
        <v>Barone</v>
      </c>
      <c r="B150" s="25" t="str">
        <v>NY</v>
      </c>
      <c r="C150" s="25" t="str">
        <f>Sites[[#This Row],[SOL'#]]</f>
        <v>SOL-11034</v>
      </c>
      <c r="D150" s="20">
        <f>SUM(Apr!D150,May!D150,Jun!D150)</f>
        <v>1246549</v>
      </c>
      <c r="E150" s="10">
        <f>SUM(Apr!E150,May!E150,Jun!E150)</f>
        <v>0</v>
      </c>
      <c r="F150" s="10">
        <f t="shared" si="9"/>
        <v>1246549</v>
      </c>
      <c r="G150" s="11" t="str">
        <f t="shared" si="10"/>
        <v/>
      </c>
      <c r="H150" s="12">
        <f>SUM(Apr!H150,May!H150,Jun!H150)</f>
        <v>1467985.7</v>
      </c>
      <c r="I150" s="12">
        <f>SUM(Apr!I150,May!I150,Jun!I150)</f>
        <v>-221436.69999999995</v>
      </c>
      <c r="J150" s="13">
        <f t="shared" si="11"/>
        <v>-0.15084390808439072</v>
      </c>
    </row>
    <row r="151" spans="1:10" ht="15.6">
      <c r="A151" s="26" t="str">
        <v>Cedarville</v>
      </c>
      <c r="B151" s="27" t="str">
        <v>IL</v>
      </c>
      <c r="C151" s="27" t="str">
        <f>Sites[[#This Row],[SOL'#]]</f>
        <v>SOL-11069</v>
      </c>
      <c r="D151" s="16">
        <f>SUM(Apr!D151,May!D151,Jun!D151)</f>
        <v>1244661</v>
      </c>
      <c r="E151" s="16">
        <f>SUM(Apr!E151,May!E151,Jun!E151)</f>
        <v>1224082.1000000001</v>
      </c>
      <c r="F151" s="14">
        <f t="shared" si="9"/>
        <v>20578.899999999907</v>
      </c>
      <c r="G151" s="15">
        <f t="shared" si="10"/>
        <v>1.6811699149918053E-2</v>
      </c>
      <c r="H151" s="16">
        <f>SUM(Apr!H151,May!H151,Jun!H151)</f>
        <v>1487656.7999999998</v>
      </c>
      <c r="I151" s="16">
        <f>SUM(Apr!I151,May!I151,Jun!I151)</f>
        <v>-242995.8</v>
      </c>
      <c r="J151" s="15">
        <f t="shared" si="11"/>
        <v>-0.16334130291341392</v>
      </c>
    </row>
    <row r="152" spans="1:10" ht="15.6">
      <c r="A152" s="24" t="str">
        <v xml:space="preserve"> O'Brien Hill #1</v>
      </c>
      <c r="B152" s="25" t="str">
        <v>NY</v>
      </c>
      <c r="C152" s="25" t="str">
        <f>Sites[[#This Row],[SOL'#]]</f>
        <v>SOL-11098</v>
      </c>
      <c r="D152" s="20">
        <f>SUM(Apr!D152,May!D152,Jun!D152)</f>
        <v>68017</v>
      </c>
      <c r="E152" s="10">
        <f>SUM(Apr!E152,May!E152,Jun!E152)</f>
        <v>0</v>
      </c>
      <c r="F152" s="10">
        <f t="shared" si="9"/>
        <v>68017</v>
      </c>
      <c r="G152" s="11" t="str">
        <f t="shared" si="10"/>
        <v/>
      </c>
      <c r="H152" s="12">
        <f>SUM(Apr!H152,May!H152,Jun!H152)</f>
        <v>0</v>
      </c>
      <c r="I152" s="12">
        <f>SUM(Apr!I152,May!I152,Jun!I152)</f>
        <v>0</v>
      </c>
      <c r="J152" s="13" t="str">
        <f t="shared" si="11"/>
        <v/>
      </c>
    </row>
    <row r="153" spans="1:10" ht="15.6">
      <c r="A153" s="26" t="str">
        <v xml:space="preserve"> O'Brien Hill #2</v>
      </c>
      <c r="B153" s="27" t="str">
        <v>NY</v>
      </c>
      <c r="C153" s="27" t="str">
        <f>Sites[[#This Row],[SOL'#]]</f>
        <v>SOL-11099</v>
      </c>
      <c r="D153" s="16">
        <f>SUM(Apr!D153,May!D153,Jun!D153)</f>
        <v>1533876.06</v>
      </c>
      <c r="E153" s="16">
        <f>SUM(Apr!E153,May!E153,Jun!E153)</f>
        <v>0</v>
      </c>
      <c r="F153" s="14">
        <f t="shared" si="9"/>
        <v>1533876.06</v>
      </c>
      <c r="G153" s="15" t="str">
        <f t="shared" si="10"/>
        <v/>
      </c>
      <c r="H153" s="16">
        <f>SUM(Apr!H153,May!H153,Jun!H153)</f>
        <v>288848</v>
      </c>
      <c r="I153" s="16">
        <f>SUM(Apr!I153,May!I153,Jun!I153)</f>
        <v>-148179</v>
      </c>
      <c r="J153" s="15">
        <f t="shared" si="11"/>
        <v>-0.51299991691131663</v>
      </c>
    </row>
    <row r="154" spans="1:10" ht="15.6">
      <c r="A154" s="24" t="str">
        <v>Trinity - Freeport</v>
      </c>
      <c r="B154" s="25" t="str">
        <v>IL</v>
      </c>
      <c r="C154" s="25" t="str">
        <f>Sites[[#This Row],[SOL'#]]</f>
        <v>SOL-11057</v>
      </c>
      <c r="D154" s="20">
        <f>SUM(Apr!D154,May!D154,Jun!D154)</f>
        <v>1352828</v>
      </c>
      <c r="E154" s="10">
        <f>SUM(Apr!E154,May!E154,Jun!E154)</f>
        <v>1162840.7</v>
      </c>
      <c r="F154" s="10">
        <f t="shared" si="9"/>
        <v>189987.30000000005</v>
      </c>
      <c r="G154" s="11">
        <f t="shared" si="10"/>
        <v>0.16338205224498942</v>
      </c>
      <c r="H154" s="12">
        <f>SUM(Apr!H154,May!H154,Jun!H154)</f>
        <v>1066336</v>
      </c>
      <c r="I154" s="12">
        <f>SUM(Apr!I154,May!I154,Jun!I154)</f>
        <v>-105450</v>
      </c>
      <c r="J154" s="13">
        <f t="shared" si="11"/>
        <v>-9.8890030909581969E-2</v>
      </c>
    </row>
    <row r="155" spans="1:10" ht="15.6">
      <c r="A155" s="26" t="str">
        <v>Ransom</v>
      </c>
      <c r="B155" s="27" t="str">
        <v>NY</v>
      </c>
      <c r="C155" s="27" t="str">
        <f>Sites[[#This Row],[SOL'#]]</f>
        <v>SOL-11157</v>
      </c>
      <c r="D155" s="16">
        <f>SUM(Apr!D155,May!D155,Jun!D155)</f>
        <v>1662379.8</v>
      </c>
      <c r="E155" s="16">
        <f>SUM(Apr!E155,May!E155,Jun!E155)</f>
        <v>0</v>
      </c>
      <c r="F155" s="14">
        <f t="shared" si="9"/>
        <v>1662379.8</v>
      </c>
      <c r="G155" s="15" t="str">
        <f t="shared" si="10"/>
        <v/>
      </c>
      <c r="H155" s="16">
        <f>SUM(Apr!H155,May!H155,Jun!H155)</f>
        <v>326042</v>
      </c>
      <c r="I155" s="16">
        <f>SUM(Apr!I155,May!I155,Jun!I155)</f>
        <v>-169111</v>
      </c>
      <c r="J155" s="15">
        <f t="shared" si="11"/>
        <v>-0.51867857515289439</v>
      </c>
    </row>
    <row r="156" spans="1:10" ht="15.6">
      <c r="A156" s="24" t="str">
        <v>Horseheads - Wedge</v>
      </c>
      <c r="B156" s="25" t="str">
        <v>NY</v>
      </c>
      <c r="C156" s="25" t="str">
        <f>Sites[[#This Row],[SOL'#]]</f>
        <v>SOL-11160</v>
      </c>
      <c r="D156" s="20">
        <f>SUM(Apr!D156,May!D156,Jun!D156)</f>
        <v>1193377</v>
      </c>
      <c r="E156" s="10">
        <f>SUM(Apr!E156,May!E156,Jun!E156)</f>
        <v>0</v>
      </c>
      <c r="F156" s="10">
        <f t="shared" si="9"/>
        <v>1193377</v>
      </c>
      <c r="G156" s="11" t="str">
        <f t="shared" si="10"/>
        <v/>
      </c>
      <c r="H156" s="12">
        <f>SUM(Apr!H156,May!H156,Jun!H156)</f>
        <v>344639</v>
      </c>
      <c r="I156" s="12">
        <f>SUM(Apr!I156,May!I156,Jun!I156)</f>
        <v>-179578</v>
      </c>
      <c r="J156" s="13">
        <f t="shared" si="11"/>
        <v>-0.52106116835297223</v>
      </c>
    </row>
    <row r="157" spans="1:10" ht="15.6">
      <c r="A157" s="26" t="str">
        <v>Otisville - Shoddy Hollow</v>
      </c>
      <c r="B157" s="27" t="str">
        <v>NY</v>
      </c>
      <c r="C157" s="27" t="str">
        <f>Sites[[#This Row],[SOL'#]]</f>
        <v>SOL-11185</v>
      </c>
      <c r="D157" s="16">
        <f>SUM(Apr!D157,May!D157,Jun!D157)</f>
        <v>1814688.1</v>
      </c>
      <c r="E157" s="16">
        <f>SUM(Apr!E157,May!E157,Jun!E157)</f>
        <v>0</v>
      </c>
      <c r="F157" s="14">
        <f t="shared" si="9"/>
        <v>1814688.1</v>
      </c>
      <c r="G157" s="15" t="str">
        <f t="shared" si="10"/>
        <v/>
      </c>
      <c r="H157" s="16">
        <f>SUM(Apr!H157,May!H157,Jun!H157)</f>
        <v>363236</v>
      </c>
      <c r="I157" s="16">
        <f>SUM(Apr!I157,May!I157,Jun!I157)</f>
        <v>-190044</v>
      </c>
      <c r="J157" s="15">
        <f t="shared" si="11"/>
        <v>-0.52319703994097499</v>
      </c>
    </row>
    <row r="158" spans="1:10" ht="15.6">
      <c r="A158" s="24" t="str">
        <v>Wellsville - Chenunda Creek</v>
      </c>
      <c r="B158" s="25" t="str">
        <v>NY</v>
      </c>
      <c r="C158" s="25" t="str">
        <f>Sites[[#This Row],[SOL'#]]</f>
        <v>SOL-11187</v>
      </c>
      <c r="D158" s="20">
        <f>SUM(Apr!D158,May!D158,Jun!D158)</f>
        <v>1001224.9</v>
      </c>
      <c r="E158" s="10">
        <f>SUM(Apr!E158,May!E158,Jun!E158)</f>
        <v>0</v>
      </c>
      <c r="F158" s="10">
        <f t="shared" si="9"/>
        <v>1001224.9</v>
      </c>
      <c r="G158" s="11" t="str">
        <f t="shared" si="10"/>
        <v/>
      </c>
      <c r="H158" s="12">
        <f>SUM(Apr!H158,May!H158,Jun!H158)</f>
        <v>381833</v>
      </c>
      <c r="I158" s="12">
        <f>SUM(Apr!I158,May!I158,Jun!I158)</f>
        <v>-200510</v>
      </c>
      <c r="J158" s="13">
        <f t="shared" si="11"/>
        <v>-0.52512485824954891</v>
      </c>
    </row>
    <row r="159" spans="1:10" ht="15.6">
      <c r="A159" s="26" t="str">
        <v>DC: Washington - Essex Condominium</v>
      </c>
      <c r="B159" s="27" t="str">
        <v>DC</v>
      </c>
      <c r="C159" s="27" t="str">
        <f>Sites[[#This Row],[SOL'#]]</f>
        <v>SOL-10036</v>
      </c>
      <c r="D159" s="16">
        <f>SUM(Apr!D159,May!D159,Jun!D159)</f>
        <v>12238</v>
      </c>
      <c r="E159" s="16">
        <f>SUM(Apr!E159,May!E159,Jun!E159)</f>
        <v>15626.204000000002</v>
      </c>
      <c r="F159" s="14">
        <f t="shared" ref="F159:F171" si="12">IF(AND(ISNUMBER(D159),ISNUMBER(E159)), D159-E159, "")</f>
        <v>-3388.2040000000015</v>
      </c>
      <c r="G159" s="15">
        <f t="shared" ref="G159:G171" si="13">IFERROR(F159/E159, "")</f>
        <v>-0.21682834807481083</v>
      </c>
      <c r="H159" s="16">
        <f>SUM(Apr!H159,May!H159,Jun!H159)</f>
        <v>15173.213</v>
      </c>
      <c r="I159" s="16">
        <f>SUM(Apr!I159,May!I159,Jun!I159)</f>
        <v>-2935.2130000000006</v>
      </c>
      <c r="J159" s="15">
        <f t="shared" ref="J159:J171" si="14">IFERROR(I159/H159, "")</f>
        <v>-0.19344703063220695</v>
      </c>
    </row>
    <row r="160" spans="1:10" ht="15.6">
      <c r="A160" s="24" t="str">
        <v>HI: Waipahu - 94-246 Leoku St - E.F.G.</v>
      </c>
      <c r="B160" s="25" t="str">
        <v>HI</v>
      </c>
      <c r="C160" s="25" t="str">
        <f>Sites[[#This Row],[SOL'#]]</f>
        <v>SOL-10071</v>
      </c>
      <c r="D160" s="20">
        <f>SUM(Apr!D160,May!D160,Jun!D160)</f>
        <v>24365</v>
      </c>
      <c r="E160" s="10">
        <f>SUM(Apr!E160,May!E160,Jun!E160)</f>
        <v>35826.979999999996</v>
      </c>
      <c r="F160" s="10">
        <f t="shared" si="12"/>
        <v>-11461.979999999996</v>
      </c>
      <c r="G160" s="11">
        <f t="shared" si="13"/>
        <v>-0.31992593291424498</v>
      </c>
      <c r="H160" s="12">
        <f>SUM(Apr!H160,May!H160,Jun!H160)</f>
        <v>38937.006999999998</v>
      </c>
      <c r="I160" s="12">
        <f>SUM(Apr!I160,May!I160,Jun!I160)</f>
        <v>-14572.007</v>
      </c>
      <c r="J160" s="13">
        <f t="shared" si="14"/>
        <v>-0.37424568868377583</v>
      </c>
    </row>
    <row r="161" spans="1:10" ht="15.6">
      <c r="A161" s="26" t="str">
        <v>HI: Waipahu - 94-099 Waipahu St - PV</v>
      </c>
      <c r="B161" s="27" t="str">
        <v>HI</v>
      </c>
      <c r="C161" s="27" t="str">
        <f>Sites[[#This Row],[SOL'#]]</f>
        <v>SOL-10068</v>
      </c>
      <c r="D161" s="16">
        <f>SUM(Apr!D161,May!D161,Jun!D161)</f>
        <v>40492</v>
      </c>
      <c r="E161" s="16">
        <f>SUM(Apr!E161,May!E161,Jun!E161)</f>
        <v>32076.989000000001</v>
      </c>
      <c r="F161" s="14">
        <f t="shared" si="12"/>
        <v>8415.0109999999986</v>
      </c>
      <c r="G161" s="15">
        <f t="shared" si="13"/>
        <v>0.26233793327671739</v>
      </c>
      <c r="H161" s="16">
        <f>SUM(Apr!H161,May!H161,Jun!H161)</f>
        <v>38916.21</v>
      </c>
      <c r="I161" s="16">
        <f>SUM(Apr!I161,May!I161,Jun!I161)</f>
        <v>1575.7900000000009</v>
      </c>
      <c r="J161" s="15">
        <f t="shared" si="14"/>
        <v>4.0491867013771408E-2</v>
      </c>
    </row>
    <row r="162" spans="1:10" ht="15.6">
      <c r="A162" s="24" t="str">
        <v>IL: Prophetstown - 5170 Yager Road (PW)</v>
      </c>
      <c r="B162" s="25" t="str">
        <v>IL</v>
      </c>
      <c r="C162" s="25" t="str">
        <f>Sites[[#This Row],[SOL'#]]</f>
        <v>SOL-11149</v>
      </c>
      <c r="D162" s="20">
        <f>SUM(Apr!D162,May!D162,Jun!D162)</f>
        <v>0</v>
      </c>
      <c r="E162" s="10">
        <f>SUM(Apr!E162,May!E162,Jun!E162)</f>
        <v>0</v>
      </c>
      <c r="F162" s="10">
        <f t="shared" si="12"/>
        <v>0</v>
      </c>
      <c r="G162" s="11" t="str">
        <f t="shared" si="13"/>
        <v/>
      </c>
      <c r="H162" s="12">
        <f>SUM(Apr!H162,May!H162,Jun!H162)</f>
        <v>0</v>
      </c>
      <c r="I162" s="12">
        <f>SUM(Apr!I162,May!I162,Jun!I162)</f>
        <v>0</v>
      </c>
      <c r="J162" s="13" t="str">
        <f t="shared" si="14"/>
        <v/>
      </c>
    </row>
    <row r="163" spans="1:10" ht="15.6">
      <c r="A163" s="26" t="str">
        <v>IL: Viola - Goldenrod - (PW)</v>
      </c>
      <c r="B163" s="27" t="str">
        <v>IL</v>
      </c>
      <c r="C163" s="27" t="str">
        <f>Sites[[#This Row],[SOL'#]]</f>
        <v>SOL-11132</v>
      </c>
      <c r="D163" s="16">
        <f>SUM(Apr!D163,May!D163,Jun!D163)</f>
        <v>0</v>
      </c>
      <c r="E163" s="16">
        <f>SUM(Apr!E163,May!E163,Jun!E163)</f>
        <v>0</v>
      </c>
      <c r="F163" s="14">
        <f t="shared" si="12"/>
        <v>0</v>
      </c>
      <c r="G163" s="15" t="str">
        <f t="shared" si="13"/>
        <v/>
      </c>
      <c r="H163" s="16">
        <f>SUM(Apr!H163,May!H163,Jun!H163)</f>
        <v>0</v>
      </c>
      <c r="I163" s="16">
        <f>SUM(Apr!I163,May!I163,Jun!I163)</f>
        <v>0</v>
      </c>
      <c r="J163" s="15" t="str">
        <f t="shared" si="14"/>
        <v/>
      </c>
    </row>
    <row r="164" spans="1:10" ht="15.6">
      <c r="A164" s="24" t="str">
        <v>IL: Marengo - Grant - (PW)</v>
      </c>
      <c r="B164" s="25" t="str">
        <v>IL</v>
      </c>
      <c r="C164" s="25" t="str">
        <f>Sites[[#This Row],[SOL'#]]</f>
        <v>SOL-11147</v>
      </c>
      <c r="D164" s="20">
        <f>SUM(Apr!D164,May!D164,Jun!D164)</f>
        <v>0</v>
      </c>
      <c r="E164" s="10">
        <f>SUM(Apr!E164,May!E164,Jun!E164)</f>
        <v>0</v>
      </c>
      <c r="F164" s="10">
        <f t="shared" si="12"/>
        <v>0</v>
      </c>
      <c r="G164" s="11" t="str">
        <f t="shared" si="13"/>
        <v/>
      </c>
      <c r="H164" s="12">
        <f>SUM(Apr!H164,May!H164,Jun!H164)</f>
        <v>0</v>
      </c>
      <c r="I164" s="12">
        <f>SUM(Apr!I164,May!I164,Jun!I164)</f>
        <v>0</v>
      </c>
      <c r="J164" s="13" t="str">
        <f t="shared" si="14"/>
        <v/>
      </c>
    </row>
    <row r="165" spans="1:10" ht="15.6">
      <c r="A165" s="26" t="str">
        <v>NY: Cambridge - Cambridge (PW)</v>
      </c>
      <c r="B165" s="27" t="str">
        <v>NY</v>
      </c>
      <c r="C165" s="27" t="str">
        <f>Sites[[#This Row],[SOL'#]]</f>
        <v>SOL-11126</v>
      </c>
      <c r="D165" s="16">
        <f>SUM(Apr!D165,May!D165,Jun!D165)</f>
        <v>0</v>
      </c>
      <c r="E165" s="16">
        <f>SUM(Apr!E165,May!E165,Jun!E165)</f>
        <v>0</v>
      </c>
      <c r="F165" s="14">
        <f t="shared" si="12"/>
        <v>0</v>
      </c>
      <c r="G165" s="15" t="str">
        <f t="shared" si="13"/>
        <v/>
      </c>
      <c r="H165" s="16">
        <f>SUM(Apr!H165,May!H165,Jun!H165)</f>
        <v>0</v>
      </c>
      <c r="I165" s="16">
        <f>SUM(Apr!I165,May!I165,Jun!I165)</f>
        <v>0</v>
      </c>
      <c r="J165" s="15" t="str">
        <f t="shared" si="14"/>
        <v/>
      </c>
    </row>
    <row r="166" spans="1:10" ht="15.6">
      <c r="A166" s="24" t="str">
        <v>NY: Whitesville - Independence North</v>
      </c>
      <c r="B166" s="25" t="str">
        <v>NY</v>
      </c>
      <c r="C166" s="25" t="str">
        <f>Sites[[#This Row],[SOL'#]]</f>
        <v>SOL-11186</v>
      </c>
      <c r="D166" s="20">
        <f>SUM(Apr!D166,May!D166,Jun!D166)</f>
        <v>0</v>
      </c>
      <c r="E166" s="10">
        <f>SUM(Apr!E166,May!E166,Jun!E166)</f>
        <v>0</v>
      </c>
      <c r="F166" s="10">
        <f t="shared" si="12"/>
        <v>0</v>
      </c>
      <c r="G166" s="11" t="str">
        <f t="shared" si="13"/>
        <v/>
      </c>
      <c r="H166" s="12">
        <f>SUM(Apr!H166,May!H166,Jun!H166)</f>
        <v>0</v>
      </c>
      <c r="I166" s="12">
        <f>SUM(Apr!I166,May!I166,Jun!I166)</f>
        <v>0</v>
      </c>
      <c r="J166" s="13" t="str">
        <f t="shared" si="14"/>
        <v/>
      </c>
    </row>
    <row r="167" spans="1:10" ht="15.6">
      <c r="A167" s="26" t="str">
        <v>IL: Beecher - Cottage Grove North (PW)</v>
      </c>
      <c r="B167" s="27" t="str">
        <v>IL</v>
      </c>
      <c r="C167" s="27" t="str">
        <f>Sites[[#This Row],[SOL'#]]</f>
        <v>SOL-11114</v>
      </c>
      <c r="D167" s="16">
        <f>SUM(Apr!D167,May!D167,Jun!D167)</f>
        <v>0</v>
      </c>
      <c r="E167" s="16">
        <f>SUM(Apr!E167,May!E167,Jun!E167)</f>
        <v>0</v>
      </c>
      <c r="F167" s="14">
        <f t="shared" si="12"/>
        <v>0</v>
      </c>
      <c r="G167" s="15" t="str">
        <f t="shared" si="13"/>
        <v/>
      </c>
      <c r="H167" s="16">
        <f>SUM(Apr!H167,May!H167,Jun!H167)</f>
        <v>0</v>
      </c>
      <c r="I167" s="16">
        <f>SUM(Apr!I167,May!I167,Jun!I167)</f>
        <v>0</v>
      </c>
      <c r="J167" s="15" t="str">
        <f t="shared" si="14"/>
        <v/>
      </c>
    </row>
    <row r="168" spans="1:10" ht="15.6">
      <c r="A168" s="24" t="str">
        <v>IL: Beecher - Cottage Grove South (PW)</v>
      </c>
      <c r="B168" s="25" t="str">
        <v>IL</v>
      </c>
      <c r="C168" s="25" t="str">
        <f>Sites[[#This Row],[SOL'#]]</f>
        <v>SOL-11115</v>
      </c>
      <c r="D168" s="20">
        <f>SUM(Apr!D168,May!D168,Jun!D168)</f>
        <v>0</v>
      </c>
      <c r="E168" s="10">
        <f>SUM(Apr!E168,May!E168,Jun!E168)</f>
        <v>0</v>
      </c>
      <c r="F168" s="10">
        <f t="shared" si="12"/>
        <v>0</v>
      </c>
      <c r="G168" s="11" t="str">
        <f t="shared" si="13"/>
        <v/>
      </c>
      <c r="H168" s="12">
        <f>SUM(Apr!H168,May!H168,Jun!H168)</f>
        <v>0</v>
      </c>
      <c r="I168" s="12">
        <f>SUM(Apr!I168,May!I168,Jun!I168)</f>
        <v>0</v>
      </c>
      <c r="J168" s="13" t="str">
        <f t="shared" si="14"/>
        <v/>
      </c>
    </row>
    <row r="169" spans="1:10" ht="15.6">
      <c r="A169" s="26" t="str">
        <v>IL: Harvard - 9618 US HWY 14 (PW)</v>
      </c>
      <c r="B169" s="27" t="str">
        <v>IL</v>
      </c>
      <c r="C169" s="27" t="str">
        <f>Sites[[#This Row],[SOL'#]]</f>
        <v>SOL-11110</v>
      </c>
      <c r="D169" s="16">
        <f>SUM(Apr!D169,May!D169,Jun!D169)</f>
        <v>0</v>
      </c>
      <c r="E169" s="16">
        <f>SUM(Apr!E169,May!E169,Jun!E169)</f>
        <v>0</v>
      </c>
      <c r="F169" s="14">
        <f t="shared" si="12"/>
        <v>0</v>
      </c>
      <c r="G169" s="15" t="str">
        <f t="shared" si="13"/>
        <v/>
      </c>
      <c r="H169" s="16">
        <f>SUM(Apr!H169,May!H169,Jun!H169)</f>
        <v>0</v>
      </c>
      <c r="I169" s="16">
        <f>SUM(Apr!I169,May!I169,Jun!I169)</f>
        <v>0</v>
      </c>
      <c r="J169" s="15" t="str">
        <f t="shared" si="14"/>
        <v/>
      </c>
    </row>
    <row r="170" spans="1:10" ht="15.6">
      <c r="A170" s="24" t="str">
        <v>IL: Beecher - 701 E Goodenow Rd (PW)</v>
      </c>
      <c r="B170" s="25" t="str">
        <v>IL</v>
      </c>
      <c r="C170" s="25" t="str">
        <f>Sites[[#This Row],[SOL'#]]</f>
        <v>SOL-11112</v>
      </c>
      <c r="D170" s="20">
        <f>SUM(Apr!D170,May!D170,Jun!D170)</f>
        <v>0</v>
      </c>
      <c r="E170" s="10">
        <f>SUM(Apr!E170,May!E170,Jun!E170)</f>
        <v>0</v>
      </c>
      <c r="F170" s="10">
        <f t="shared" si="12"/>
        <v>0</v>
      </c>
      <c r="G170" s="11" t="str">
        <f t="shared" si="13"/>
        <v/>
      </c>
      <c r="H170" s="12">
        <f>SUM(Apr!H170,May!H170,Jun!H170)</f>
        <v>0</v>
      </c>
      <c r="I170" s="12">
        <f>SUM(Apr!I170,May!I170,Jun!I170)</f>
        <v>0</v>
      </c>
      <c r="J170" s="13" t="str">
        <f t="shared" si="14"/>
        <v/>
      </c>
    </row>
    <row r="171" spans="1:10" ht="15.6">
      <c r="A171" s="26" t="str">
        <v>NY: Stormville - Green Haven - (IRA)</v>
      </c>
      <c r="B171" s="27" t="str">
        <v>NY</v>
      </c>
      <c r="C171" s="27" t="str">
        <f>Sites[[#This Row],[SOL'#]]</f>
        <v>SOL-11151</v>
      </c>
      <c r="D171" s="16">
        <f>SUM(Apr!D171,May!D171,Jun!D171)</f>
        <v>0</v>
      </c>
      <c r="E171" s="16">
        <f>SUM(Apr!E171,May!E171,Jun!E171)</f>
        <v>0</v>
      </c>
      <c r="F171" s="14">
        <f t="shared" si="12"/>
        <v>0</v>
      </c>
      <c r="G171" s="15" t="str">
        <f t="shared" si="13"/>
        <v/>
      </c>
      <c r="H171" s="16">
        <f>SUM(Apr!H171,May!H171,Jun!H171)</f>
        <v>0</v>
      </c>
      <c r="I171" s="16">
        <f>SUM(Apr!I171,May!I171,Jun!I171)</f>
        <v>0</v>
      </c>
      <c r="J171" s="15" t="str">
        <f t="shared" si="14"/>
        <v/>
      </c>
    </row>
    <row r="172" spans="1:10">
      <c r="A172" t="str">
        <v>IL: Hillsboro - Anacott (PW)</v>
      </c>
      <c r="B172" t="str">
        <v>IL</v>
      </c>
      <c r="G172"/>
      <c r="J172"/>
    </row>
    <row r="173" spans="1:10">
      <c r="G173"/>
      <c r="J173"/>
    </row>
    <row r="174" spans="1:10">
      <c r="G174"/>
      <c r="J174"/>
    </row>
    <row r="175" spans="1:10">
      <c r="G175"/>
      <c r="J175"/>
    </row>
    <row r="176" spans="1:10">
      <c r="G176"/>
      <c r="J176"/>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ht="14.45">
      <c r="J201" s="15" t="str">
        <f t="shared" ref="J201" si="15">IFERROR(I201/H201, "")</f>
        <v/>
      </c>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50" priority="23" stopIfTrue="1" operator="lessThanOrEqual">
      <formula>-0.1</formula>
    </cfRule>
    <cfRule type="expression" dxfId="49" priority="24">
      <formula>AND(ISNUMBER(G2), G2&gt;=0.1)</formula>
    </cfRule>
  </conditionalFormatting>
  <conditionalFormatting sqref="G4:G171 J4:J201">
    <cfRule type="cellIs" dxfId="48" priority="1" stopIfTrue="1" operator="lessThanOrEqual">
      <formula>-0.1</formula>
    </cfRule>
    <cfRule type="expression" dxfId="47"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250"/>
  <sheetViews>
    <sheetView workbookViewId="0">
      <pane xSplit="2" ySplit="3" topLeftCell="C148" activePane="bottomRight" state="frozen"/>
      <selection pane="bottomRight" activeCell="D178" sqref="D178"/>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3.7109375" customWidth="1"/>
    <col min="5" max="6" width="13.28515625" customWidth="1"/>
    <col min="7" max="7" width="13.28515625" style="1" customWidth="1"/>
    <col min="8" max="9" width="13.28515625" customWidth="1"/>
    <col min="10" max="10" width="13.28515625" style="1" customWidth="1"/>
  </cols>
  <sheetData>
    <row r="1" spans="1:10" ht="19.5" customHeight="1">
      <c r="A1" s="187" t="str" cm="1">
        <f t="array" ref="A1">portfolio</f>
        <v>Generate Capital</v>
      </c>
      <c r="B1" s="187"/>
      <c r="C1" s="187"/>
      <c r="D1" s="187"/>
      <c r="E1" s="188" t="s">
        <v>15</v>
      </c>
      <c r="F1" s="188"/>
      <c r="G1" s="188"/>
      <c r="H1" s="186" t="s">
        <v>16</v>
      </c>
      <c r="I1" s="186"/>
      <c r="J1" s="186"/>
    </row>
    <row r="2" spans="1:10" ht="19.5" customHeight="1">
      <c r="A2" s="189" t="s">
        <v>2</v>
      </c>
      <c r="B2" s="189"/>
      <c r="C2" s="57"/>
      <c r="D2" s="5">
        <f>SUM(D4:D158)</f>
        <v>148800211.5185301</v>
      </c>
      <c r="E2" s="5">
        <f>SUM(E4:E183)</f>
        <v>142263992.33500001</v>
      </c>
      <c r="F2" s="5">
        <f>D2-E2</f>
        <v>6536219.1835300922</v>
      </c>
      <c r="G2" s="6">
        <f>IFERROR(F2/E2, 0)</f>
        <v>4.5944297472959653E-2</v>
      </c>
      <c r="H2" s="5">
        <f>SUM(H4:H158)</f>
        <v>136473606.38980007</v>
      </c>
      <c r="I2" s="7">
        <f>D2-H2</f>
        <v>12326605.128730029</v>
      </c>
      <c r="J2" s="6">
        <f>IFERROR(I2/H2, 0)</f>
        <v>9.0322264171157046E-2</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72">Sites[Site]</f>
        <v>K026</v>
      </c>
      <c r="B4" s="27" t="str" cm="1">
        <f t="array" ref="B4:B172">Sites[State]</f>
        <v>NY</v>
      </c>
      <c r="C4" s="27" t="str">
        <f>Sites[[#This Row],[SOL'#]]</f>
        <v>SOL-10356</v>
      </c>
      <c r="D4" s="9">
        <f>SUM(Jul!D4, Aug!D4, Sep!D4)</f>
        <v>67502.625</v>
      </c>
      <c r="E4" s="14">
        <f>SUM(Jul!E4, Aug!E4, Sep!E4)</f>
        <v>116340.78400000001</v>
      </c>
      <c r="F4" s="14">
        <f t="shared" ref="F4:F5" si="0">IF(AND(ISNUMBER(D4),ISNUMBER(E4)), D4-E4, "")</f>
        <v>-48838.159000000014</v>
      </c>
      <c r="G4" s="15">
        <f t="shared" ref="G4:G63" si="1">IFERROR(F4/E4, "")</f>
        <v>-0.41978536950550382</v>
      </c>
      <c r="H4" s="16">
        <f>SUM(Jul!H4,Aug!H4,Sep!H4)</f>
        <v>105071.80499999999</v>
      </c>
      <c r="I4" s="16">
        <f>SUM(Jul!I4, Aug!I4, Sep!I4)</f>
        <v>-37569.179999999993</v>
      </c>
      <c r="J4" s="15">
        <f t="shared" ref="J4:J67" si="2">IFERROR(I4/H4, "")</f>
        <v>-0.35755719624308346</v>
      </c>
    </row>
    <row r="5" spans="1:10" ht="15.6">
      <c r="A5" s="24" t="str">
        <v>K041</v>
      </c>
      <c r="B5" s="25" t="str">
        <v>NY</v>
      </c>
      <c r="C5" s="25" t="str">
        <f>Sites[[#This Row],[SOL'#]]</f>
        <v>SOL-10357</v>
      </c>
      <c r="D5" s="20">
        <f>SUM(Jul!D5, Aug!D5, Sep!D5)</f>
        <v>83369.3125</v>
      </c>
      <c r="E5" s="10">
        <f>SUM(Jul!E5, Aug!E5, Sep!E5)</f>
        <v>94700.345000000001</v>
      </c>
      <c r="F5" s="10">
        <f t="shared" si="0"/>
        <v>-11331.032500000001</v>
      </c>
      <c r="G5" s="11">
        <f t="shared" si="1"/>
        <v>-0.11965143843984941</v>
      </c>
      <c r="H5" s="12">
        <f>SUM(Jul!H5,Aug!H5,Sep!H5)</f>
        <v>84647</v>
      </c>
      <c r="I5" s="12">
        <f>SUM(Jul!I5, Aug!I5, Sep!I5)</f>
        <v>-1277.6875</v>
      </c>
      <c r="J5" s="13">
        <f t="shared" si="2"/>
        <v>-1.5094303401183739E-2</v>
      </c>
    </row>
    <row r="6" spans="1:10" ht="15.6">
      <c r="A6" s="26" t="str">
        <v>K043</v>
      </c>
      <c r="B6" s="27" t="str">
        <v>NY</v>
      </c>
      <c r="C6" s="27" t="str">
        <f>Sites[[#This Row],[SOL'#]]</f>
        <v>SOL-10358</v>
      </c>
      <c r="D6" s="9">
        <f>SUM(Jul!D6, Aug!D6, Sep!D6)</f>
        <v>100275.625</v>
      </c>
      <c r="E6" s="14">
        <f>SUM(Jul!E6, Aug!E6, Sep!E6)</f>
        <v>105766.011</v>
      </c>
      <c r="F6" s="14">
        <f t="shared" ref="F6:F37" si="3">IF(AND(ISNUMBER(D6),ISNUMBER(E6)), D6-E6, "")</f>
        <v>-5490.3859999999986</v>
      </c>
      <c r="G6" s="15">
        <f t="shared" si="1"/>
        <v>-5.1910684236734603E-2</v>
      </c>
      <c r="H6" s="16">
        <f>SUM(Jul!H6,Aug!H6,Sep!H6)</f>
        <v>18422.887999999999</v>
      </c>
      <c r="I6" s="16">
        <f>SUM(Jul!I6, Aug!I6, Sep!I6)</f>
        <v>81852.736999999994</v>
      </c>
      <c r="J6" s="15">
        <f t="shared" si="2"/>
        <v>4.4429916199892219</v>
      </c>
    </row>
    <row r="7" spans="1:10" ht="15.6">
      <c r="A7" s="24" t="str">
        <v>K058</v>
      </c>
      <c r="B7" s="25" t="str">
        <v>NY</v>
      </c>
      <c r="C7" s="25" t="str">
        <f>Sites[[#This Row],[SOL'#]]</f>
        <v>SOL-10360</v>
      </c>
      <c r="D7" s="20">
        <f>SUM(Jul!D7, Aug!D7, Sep!D7)</f>
        <v>47810.750481878902</v>
      </c>
      <c r="E7" s="10">
        <f>SUM(Jul!E7, Aug!E7, Sep!E7)</f>
        <v>49255.903999999995</v>
      </c>
      <c r="F7" s="10">
        <f t="shared" si="3"/>
        <v>-1445.1535181210929</v>
      </c>
      <c r="G7" s="11">
        <f t="shared" si="1"/>
        <v>-2.9339701452258251E-2</v>
      </c>
      <c r="H7" s="12">
        <f>SUM(Jul!H7,Aug!H7,Sep!H7)</f>
        <v>79064.713000000003</v>
      </c>
      <c r="I7" s="12">
        <f>SUM(Jul!I7, Aug!I7, Sep!I7)</f>
        <v>-31253.962518121101</v>
      </c>
      <c r="J7" s="13">
        <f t="shared" si="2"/>
        <v>-0.39529597126497001</v>
      </c>
    </row>
    <row r="8" spans="1:10" ht="15.6">
      <c r="A8" s="26" t="str">
        <v>K115</v>
      </c>
      <c r="B8" s="27" t="str">
        <v>NY</v>
      </c>
      <c r="C8" s="27" t="str">
        <f>Sites[[#This Row],[SOL'#]]</f>
        <v>SOL-10361</v>
      </c>
      <c r="D8" s="9">
        <f>SUM(Jul!D8, Aug!D8, Sep!D8)</f>
        <v>23853.328000000001</v>
      </c>
      <c r="E8" s="14">
        <f>SUM(Jul!E8, Aug!E8, Sep!E8)</f>
        <v>45857.462</v>
      </c>
      <c r="F8" s="14">
        <f t="shared" si="3"/>
        <v>-22004.133999999998</v>
      </c>
      <c r="G8" s="15">
        <f t="shared" si="1"/>
        <v>-0.47983758891846212</v>
      </c>
      <c r="H8" s="16">
        <f>SUM(Jul!H8,Aug!H8,Sep!H8)</f>
        <v>48263.555</v>
      </c>
      <c r="I8" s="16">
        <f>SUM(Jul!I8, Aug!I8, Sep!I8)</f>
        <v>-24410.227000000003</v>
      </c>
      <c r="J8" s="15">
        <f t="shared" si="2"/>
        <v>-0.50576935329359807</v>
      </c>
    </row>
    <row r="9" spans="1:10" ht="15.6">
      <c r="A9" s="24" t="str">
        <v>K152</v>
      </c>
      <c r="B9" s="25" t="str">
        <v>NY</v>
      </c>
      <c r="C9" s="25" t="str">
        <f>Sites[[#This Row],[SOL'#]]</f>
        <v>SOL-10362</v>
      </c>
      <c r="D9" s="20">
        <f>SUM(Jul!D9, Aug!D9, Sep!D9)</f>
        <v>30753.563000000002</v>
      </c>
      <c r="E9" s="10">
        <f>SUM(Jul!E9, Aug!E9, Sep!E9)</f>
        <v>31815.94</v>
      </c>
      <c r="F9" s="10">
        <f t="shared" si="3"/>
        <v>-1062.3769999999968</v>
      </c>
      <c r="G9" s="11">
        <f t="shared" si="1"/>
        <v>-3.3391344087271881E-2</v>
      </c>
      <c r="H9" s="12">
        <f>SUM(Jul!H9,Aug!H9,Sep!H9)</f>
        <v>30294</v>
      </c>
      <c r="I9" s="12">
        <f>SUM(Jul!I9, Aug!I9, Sep!I9)</f>
        <v>459.5630000000001</v>
      </c>
      <c r="J9" s="13">
        <f t="shared" si="2"/>
        <v>1.5170099689707537E-2</v>
      </c>
    </row>
    <row r="10" spans="1:10" ht="15.6">
      <c r="A10" s="26" t="str">
        <v>K166</v>
      </c>
      <c r="B10" s="27" t="str">
        <v>NY</v>
      </c>
      <c r="C10" s="27" t="str">
        <f>Sites[[#This Row],[SOL'#]]</f>
        <v>SOL-10363</v>
      </c>
      <c r="D10" s="9">
        <f>SUM(Jul!D10, Aug!D10, Sep!D10)</f>
        <v>108447.875</v>
      </c>
      <c r="E10" s="14">
        <f>SUM(Jul!E10, Aug!E10, Sep!E10)</f>
        <v>121781.59100000001</v>
      </c>
      <c r="F10" s="14">
        <f t="shared" si="3"/>
        <v>-13333.716000000015</v>
      </c>
      <c r="G10" s="15">
        <f t="shared" si="1"/>
        <v>-0.10948876501375329</v>
      </c>
      <c r="H10" s="16">
        <f>SUM(Jul!H10,Aug!H10,Sep!H10)</f>
        <v>111255.98700000001</v>
      </c>
      <c r="I10" s="16">
        <f>SUM(Jul!I10, Aug!I10, Sep!I10)</f>
        <v>-2808.1119999999974</v>
      </c>
      <c r="J10" s="15">
        <f t="shared" si="2"/>
        <v>-2.5240097865474844E-2</v>
      </c>
    </row>
    <row r="11" spans="1:10" ht="15.6">
      <c r="A11" s="24" t="str">
        <v>K206</v>
      </c>
      <c r="B11" s="25" t="str">
        <v>NY</v>
      </c>
      <c r="C11" s="25" t="str">
        <f>Sites[[#This Row],[SOL'#]]</f>
        <v>SOL-10927</v>
      </c>
      <c r="D11" s="20">
        <f>SUM(Jul!D11, Aug!D11, Sep!D11)</f>
        <v>68533.984375</v>
      </c>
      <c r="E11" s="10">
        <f>SUM(Jul!E11, Aug!E11, Sep!E11)</f>
        <v>63397.64</v>
      </c>
      <c r="F11" s="10">
        <f t="shared" si="3"/>
        <v>5136.3443750000006</v>
      </c>
      <c r="G11" s="11">
        <f t="shared" si="1"/>
        <v>8.1017911313417984E-2</v>
      </c>
      <c r="H11" s="12">
        <f>SUM(Jul!H11,Aug!H11,Sep!H11)</f>
        <v>63283</v>
      </c>
      <c r="I11" s="12">
        <f>SUM(Jul!I11, Aug!I11, Sep!I11)</f>
        <v>5250.984375</v>
      </c>
      <c r="J11" s="13">
        <f t="shared" si="2"/>
        <v>8.2976223867389343E-2</v>
      </c>
    </row>
    <row r="12" spans="1:10" ht="15.6">
      <c r="A12" s="26" t="str">
        <v>K251</v>
      </c>
      <c r="B12" s="27" t="str">
        <v>NY</v>
      </c>
      <c r="C12" s="27" t="str">
        <f>Sites[[#This Row],[SOL'#]]</f>
        <v>SOL-10365</v>
      </c>
      <c r="D12" s="9">
        <f>SUM(Jul!D12, Aug!D12, Sep!D12)</f>
        <v>65859.812499999898</v>
      </c>
      <c r="E12" s="14">
        <f>SUM(Jul!E12, Aug!E12, Sep!E12)</f>
        <v>0</v>
      </c>
      <c r="F12" s="14">
        <f t="shared" si="3"/>
        <v>65859.812499999898</v>
      </c>
      <c r="G12" s="15" t="str">
        <f t="shared" si="1"/>
        <v/>
      </c>
      <c r="H12" s="16">
        <f>SUM(Jul!H12,Aug!H12,Sep!H12)</f>
        <v>70866.956999999995</v>
      </c>
      <c r="I12" s="16">
        <f>SUM(Jul!I12, Aug!I12, Sep!I12)</f>
        <v>-5007.1445000001004</v>
      </c>
      <c r="J12" s="15">
        <f t="shared" si="2"/>
        <v>-7.0655559543781471E-2</v>
      </c>
    </row>
    <row r="13" spans="1:10" ht="15.6">
      <c r="A13" s="24" t="str">
        <v>K269</v>
      </c>
      <c r="B13" s="25" t="str">
        <v>NY</v>
      </c>
      <c r="C13" s="25" t="str">
        <f>Sites[[#This Row],[SOL'#]]</f>
        <v>SOL-10366</v>
      </c>
      <c r="D13" s="20">
        <f>SUM(Jul!D13, Aug!D13, Sep!D13)</f>
        <v>67163.000499999995</v>
      </c>
      <c r="E13" s="10">
        <f>SUM(Jul!E13, Aug!E13, Sep!E13)</f>
        <v>78829.963000000003</v>
      </c>
      <c r="F13" s="10">
        <f t="shared" si="3"/>
        <v>-11666.962500000009</v>
      </c>
      <c r="G13" s="11">
        <f t="shared" si="1"/>
        <v>-0.14800162344361381</v>
      </c>
      <c r="H13" s="12">
        <f>SUM(Jul!H13,Aug!H13,Sep!H13)</f>
        <v>67148.255000000005</v>
      </c>
      <c r="I13" s="12">
        <f>SUM(Jul!I13, Aug!I13, Sep!I13)</f>
        <v>14.745499999997264</v>
      </c>
      <c r="J13" s="13">
        <f t="shared" si="2"/>
        <v>2.1959617565634823E-4</v>
      </c>
    </row>
    <row r="14" spans="1:10" ht="15.6">
      <c r="A14" s="26" t="str">
        <v>K273</v>
      </c>
      <c r="B14" s="27" t="str">
        <v>NY</v>
      </c>
      <c r="C14" s="27" t="str">
        <f>Sites[[#This Row],[SOL'#]]</f>
        <v>SOL-10367</v>
      </c>
      <c r="D14" s="9">
        <f>SUM(Jul!D14, Aug!D14, Sep!D14)</f>
        <v>47901.5625</v>
      </c>
      <c r="E14" s="14">
        <f>SUM(Jul!E14, Aug!E14, Sep!E14)</f>
        <v>0</v>
      </c>
      <c r="F14" s="14">
        <f t="shared" si="3"/>
        <v>47901.5625</v>
      </c>
      <c r="G14" s="15" t="str">
        <f t="shared" si="1"/>
        <v/>
      </c>
      <c r="H14" s="16">
        <f>SUM(Jul!H14,Aug!H14,Sep!H14)</f>
        <v>61742</v>
      </c>
      <c r="I14" s="16">
        <f>SUM(Jul!I14, Aug!I14, Sep!I14)</f>
        <v>-25931.4375</v>
      </c>
      <c r="J14" s="15">
        <f t="shared" si="2"/>
        <v>-0.41999672022286288</v>
      </c>
    </row>
    <row r="15" spans="1:10" ht="15.6">
      <c r="A15" s="24" t="str">
        <v>K287</v>
      </c>
      <c r="B15" s="25" t="str">
        <v>NY</v>
      </c>
      <c r="C15" s="25" t="str">
        <f>Sites[[#This Row],[SOL'#]]</f>
        <v>SOL-10919</v>
      </c>
      <c r="D15" s="20">
        <f>SUM(Jul!D15, Aug!D15, Sep!D15)</f>
        <v>57940.531750000002</v>
      </c>
      <c r="E15" s="10">
        <f>SUM(Jul!E15, Aug!E15, Sep!E15)</f>
        <v>50076.435999999994</v>
      </c>
      <c r="F15" s="10">
        <f t="shared" si="3"/>
        <v>7864.0957500000077</v>
      </c>
      <c r="G15" s="11">
        <f t="shared" si="1"/>
        <v>0.1570418419953051</v>
      </c>
      <c r="H15" s="12">
        <f>SUM(Jul!H15,Aug!H15,Sep!H15)</f>
        <v>57858</v>
      </c>
      <c r="I15" s="12">
        <f>SUM(Jul!I15, Aug!I15, Sep!I15)</f>
        <v>82.531750000000102</v>
      </c>
      <c r="J15" s="13">
        <f t="shared" si="2"/>
        <v>1.4264535587127122E-3</v>
      </c>
    </row>
    <row r="16" spans="1:10" ht="15.6">
      <c r="A16" s="26" t="str">
        <v>K298</v>
      </c>
      <c r="B16" s="27" t="str">
        <v>NY</v>
      </c>
      <c r="C16" s="27" t="str">
        <f>Sites[[#This Row],[SOL'#]]</f>
        <v>SOL-10368</v>
      </c>
      <c r="D16" s="9">
        <f>SUM(Jul!D16, Aug!D16, Sep!D16)</f>
        <v>63226.187999999995</v>
      </c>
      <c r="E16" s="14">
        <f>SUM(Jul!E16, Aug!E16, Sep!E16)</f>
        <v>67072.087999999989</v>
      </c>
      <c r="F16" s="14">
        <f t="shared" si="3"/>
        <v>-3845.8999999999942</v>
      </c>
      <c r="G16" s="15">
        <f t="shared" si="1"/>
        <v>-5.7339798337573668E-2</v>
      </c>
      <c r="H16" s="16">
        <f>SUM(Jul!H16,Aug!H16,Sep!H16)</f>
        <v>66523</v>
      </c>
      <c r="I16" s="16">
        <f>SUM(Jul!I16, Aug!I16, Sep!I16)</f>
        <v>-3296.8120000000017</v>
      </c>
      <c r="J16" s="15">
        <f t="shared" si="2"/>
        <v>-4.9558979601040269E-2</v>
      </c>
    </row>
    <row r="17" spans="1:10" ht="15.6">
      <c r="A17" s="24" t="str">
        <v>K335</v>
      </c>
      <c r="B17" s="25" t="str">
        <v>NY</v>
      </c>
      <c r="C17" s="25" t="str">
        <f>Sites[[#This Row],[SOL'#]]</f>
        <v>SOL-10370</v>
      </c>
      <c r="D17" s="20">
        <f>SUM(Jul!D17, Aug!D17, Sep!D17)</f>
        <v>65936.625</v>
      </c>
      <c r="E17" s="10">
        <f>SUM(Jul!E17, Aug!E17, Sep!E17)</f>
        <v>74000.683999999994</v>
      </c>
      <c r="F17" s="10">
        <f t="shared" si="3"/>
        <v>-8064.0589999999938</v>
      </c>
      <c r="G17" s="11">
        <f t="shared" si="1"/>
        <v>-0.10897276300851481</v>
      </c>
      <c r="H17" s="12">
        <f>SUM(Jul!H17,Aug!H17,Sep!H17)</f>
        <v>52227.097000000002</v>
      </c>
      <c r="I17" s="12">
        <f>SUM(Jul!I17, Aug!I17, Sep!I17)</f>
        <v>13709.527999999998</v>
      </c>
      <c r="J17" s="13">
        <f t="shared" si="2"/>
        <v>0.26249837321036623</v>
      </c>
    </row>
    <row r="18" spans="1:10" ht="15.6">
      <c r="A18" s="26" t="str">
        <v>K345</v>
      </c>
      <c r="B18" s="27" t="str">
        <v>NY</v>
      </c>
      <c r="C18" s="27" t="str">
        <f>Sites[[#This Row],[SOL'#]]</f>
        <v>SOL-10920</v>
      </c>
      <c r="D18" s="9">
        <f>SUM(Jul!D18, Aug!D18, Sep!D18)</f>
        <v>77640.75</v>
      </c>
      <c r="E18" s="14">
        <f>SUM(Jul!E18, Aug!E18, Sep!E18)</f>
        <v>45360.697</v>
      </c>
      <c r="F18" s="14">
        <f t="shared" si="3"/>
        <v>32280.053</v>
      </c>
      <c r="G18" s="15">
        <f t="shared" si="1"/>
        <v>0.71163044518473784</v>
      </c>
      <c r="H18" s="16">
        <f>SUM(Jul!H18,Aug!H18,Sep!H18)</f>
        <v>76681.5</v>
      </c>
      <c r="I18" s="16">
        <f>SUM(Jul!I18, Aug!I18, Sep!I18)</f>
        <v>959.25</v>
      </c>
      <c r="J18" s="15">
        <f t="shared" si="2"/>
        <v>1.2509536198431172E-2</v>
      </c>
    </row>
    <row r="19" spans="1:10" ht="15.6">
      <c r="A19" s="24" t="str">
        <v>K445</v>
      </c>
      <c r="B19" s="25" t="str">
        <v>NY</v>
      </c>
      <c r="C19" s="25" t="str">
        <f>Sites[[#This Row],[SOL'#]]</f>
        <v>SOL-10373</v>
      </c>
      <c r="D19" s="20">
        <f>SUM(Jul!D19, Aug!D19, Sep!D19)</f>
        <v>63606.093999999895</v>
      </c>
      <c r="E19" s="10">
        <f>SUM(Jul!E19, Aug!E19, Sep!E19)</f>
        <v>70248.956000000006</v>
      </c>
      <c r="F19" s="10">
        <f t="shared" si="3"/>
        <v>-6642.8620000001101</v>
      </c>
      <c r="G19" s="11">
        <f t="shared" si="1"/>
        <v>-9.4561718468814102E-2</v>
      </c>
      <c r="H19" s="12">
        <f>SUM(Jul!H19,Aug!H19,Sep!H19)</f>
        <v>63005.58</v>
      </c>
      <c r="I19" s="12">
        <f>SUM(Jul!I19, Aug!I19, Sep!I19)</f>
        <v>600.51399999990463</v>
      </c>
      <c r="J19" s="13">
        <f t="shared" si="2"/>
        <v>9.5311240686920835E-3</v>
      </c>
    </row>
    <row r="20" spans="1:10" ht="15.6">
      <c r="A20" s="26" t="str">
        <v>K495</v>
      </c>
      <c r="B20" s="27" t="str">
        <v>NY</v>
      </c>
      <c r="C20" s="27" t="str">
        <f>Sites[[#This Row],[SOL'#]]</f>
        <v>SOL-10374</v>
      </c>
      <c r="D20" s="9">
        <f>SUM(Jul!D20, Aug!D20, Sep!D20)</f>
        <v>265274.00000000023</v>
      </c>
      <c r="E20" s="14">
        <f>SUM(Jul!E20, Aug!E20, Sep!E20)</f>
        <v>273026.19</v>
      </c>
      <c r="F20" s="14">
        <f t="shared" si="3"/>
        <v>-7752.1899999997695</v>
      </c>
      <c r="G20" s="15">
        <f t="shared" si="1"/>
        <v>-2.8393576455063779E-2</v>
      </c>
      <c r="H20" s="16">
        <f>SUM(Jul!H20,Aug!H20,Sep!H20)</f>
        <v>276632.59600000002</v>
      </c>
      <c r="I20" s="16">
        <f>SUM(Jul!I20, Aug!I20, Sep!I20)</f>
        <v>-11358.595999999801</v>
      </c>
      <c r="J20" s="15">
        <f t="shared" si="2"/>
        <v>-4.1060222707810616E-2</v>
      </c>
    </row>
    <row r="21" spans="1:10" ht="15.6">
      <c r="A21" s="24" t="str">
        <v>M020</v>
      </c>
      <c r="B21" s="25" t="str">
        <v>NY</v>
      </c>
      <c r="C21" s="25" t="str">
        <f>Sites[[#This Row],[SOL'#]]</f>
        <v>SOL-10380</v>
      </c>
      <c r="D21" s="20">
        <f>SUM(Jul!D21, Aug!D21, Sep!D21)</f>
        <v>71058.093500000003</v>
      </c>
      <c r="E21" s="10">
        <f>SUM(Jul!E21, Aug!E21, Sep!E21)</f>
        <v>72481.082999999999</v>
      </c>
      <c r="F21" s="10">
        <f t="shared" si="3"/>
        <v>-1422.989499999996</v>
      </c>
      <c r="G21" s="11">
        <f t="shared" si="1"/>
        <v>-1.9632563989144532E-2</v>
      </c>
      <c r="H21" s="12">
        <f>SUM(Jul!H21,Aug!H21,Sep!H21)</f>
        <v>72379.5</v>
      </c>
      <c r="I21" s="12">
        <f>SUM(Jul!I21, Aug!I21, Sep!I21)</f>
        <v>-1321.406500000001</v>
      </c>
      <c r="J21" s="13">
        <f t="shared" si="2"/>
        <v>-1.8256640347059608E-2</v>
      </c>
    </row>
    <row r="22" spans="1:10" ht="15.6">
      <c r="A22" s="26" t="str">
        <v>M092</v>
      </c>
      <c r="B22" s="27" t="str">
        <v>NY</v>
      </c>
      <c r="C22" s="27" t="str">
        <f>Sites[[#This Row],[SOL'#]]</f>
        <v>SOL-10383</v>
      </c>
      <c r="D22" s="9">
        <f>SUM(Jul!D22, Aug!D22, Sep!D22)</f>
        <v>69569</v>
      </c>
      <c r="E22" s="14">
        <f>SUM(Jul!E22, Aug!E22, Sep!E22)</f>
        <v>73855.491999999998</v>
      </c>
      <c r="F22" s="14">
        <f t="shared" si="3"/>
        <v>-4286.4919999999984</v>
      </c>
      <c r="G22" s="15">
        <f t="shared" si="1"/>
        <v>-5.8038906571768537E-2</v>
      </c>
      <c r="H22" s="16">
        <f>SUM(Jul!H22,Aug!H22,Sep!H22)</f>
        <v>69176.449000000008</v>
      </c>
      <c r="I22" s="16">
        <f>SUM(Jul!I22, Aug!I22, Sep!I22)</f>
        <v>392.55099999999948</v>
      </c>
      <c r="J22" s="15">
        <f t="shared" si="2"/>
        <v>5.6746335736313873E-3</v>
      </c>
    </row>
    <row r="23" spans="1:10" ht="15.6">
      <c r="A23" s="24" t="str">
        <v>M143</v>
      </c>
      <c r="B23" s="25" t="str">
        <v>NY</v>
      </c>
      <c r="C23" s="25" t="str">
        <f>Sites[[#This Row],[SOL'#]]</f>
        <v>SOL-10384</v>
      </c>
      <c r="D23" s="20">
        <f>SUM(Jul!D23, Aug!D23, Sep!D23)</f>
        <v>74840.125499999893</v>
      </c>
      <c r="E23" s="10">
        <f>SUM(Jul!E23, Aug!E23, Sep!E23)</f>
        <v>90753.038</v>
      </c>
      <c r="F23" s="10">
        <f t="shared" si="3"/>
        <v>-15912.912500000108</v>
      </c>
      <c r="G23" s="11">
        <f t="shared" si="1"/>
        <v>-0.17534302818601077</v>
      </c>
      <c r="H23" s="12">
        <f>SUM(Jul!H23,Aug!H23,Sep!H23)</f>
        <v>75396.104999999996</v>
      </c>
      <c r="I23" s="12">
        <f>SUM(Jul!I23, Aug!I23, Sep!I23)</f>
        <v>-555.97950000009951</v>
      </c>
      <c r="J23" s="13">
        <f t="shared" si="2"/>
        <v>-7.3741143524602435E-3</v>
      </c>
    </row>
    <row r="24" spans="1:10" ht="15.6">
      <c r="A24" s="26" t="str">
        <v>M144</v>
      </c>
      <c r="B24" s="27" t="str">
        <v>NY</v>
      </c>
      <c r="C24" s="27" t="str">
        <f>Sites[[#This Row],[SOL'#]]</f>
        <v>SOL-10385</v>
      </c>
      <c r="D24" s="9">
        <f>SUM(Jul!D24, Aug!D24, Sep!D24)</f>
        <v>114122.375</v>
      </c>
      <c r="E24" s="14">
        <f>SUM(Jul!E24, Aug!E24, Sep!E24)</f>
        <v>124493.74500000001</v>
      </c>
      <c r="F24" s="14">
        <f t="shared" si="3"/>
        <v>-10371.37000000001</v>
      </c>
      <c r="G24" s="15">
        <f t="shared" si="1"/>
        <v>-8.3308362199241495E-2</v>
      </c>
      <c r="H24" s="16">
        <f>SUM(Jul!H24,Aug!H24,Sep!H24)</f>
        <v>129978.84100000001</v>
      </c>
      <c r="I24" s="16">
        <f>SUM(Jul!I24, Aug!I24, Sep!I24)</f>
        <v>-15856.466000000008</v>
      </c>
      <c r="J24" s="15">
        <f t="shared" si="2"/>
        <v>-0.1219926710994446</v>
      </c>
    </row>
    <row r="25" spans="1:10" ht="15.6">
      <c r="A25" s="24" t="str">
        <v>M167</v>
      </c>
      <c r="B25" s="25" t="str">
        <v>NY</v>
      </c>
      <c r="C25" s="25" t="str">
        <f>Sites[[#This Row],[SOL'#]]</f>
        <v>SOL-10386</v>
      </c>
      <c r="D25" s="20">
        <f>SUM(Jul!D25, Aug!D25, Sep!D25)</f>
        <v>84940.531749999995</v>
      </c>
      <c r="E25" s="10">
        <f>SUM(Jul!E25, Aug!E25, Sep!E25)</f>
        <v>64544.728000000003</v>
      </c>
      <c r="F25" s="10">
        <f t="shared" si="3"/>
        <v>20395.803749999992</v>
      </c>
      <c r="G25" s="11">
        <f t="shared" si="1"/>
        <v>0.31599488264943948</v>
      </c>
      <c r="H25" s="12">
        <f>SUM(Jul!H25,Aug!H25,Sep!H25)</f>
        <v>92900.013999999996</v>
      </c>
      <c r="I25" s="12">
        <f>SUM(Jul!I25, Aug!I25, Sep!I25)</f>
        <v>-7959.4822500000046</v>
      </c>
      <c r="J25" s="13">
        <f t="shared" si="2"/>
        <v>-8.5677944569524017E-2</v>
      </c>
    </row>
    <row r="26" spans="1:10" ht="15.6">
      <c r="A26" s="26" t="str">
        <v>M188</v>
      </c>
      <c r="B26" s="27" t="str">
        <v>NY</v>
      </c>
      <c r="C26" s="27" t="str">
        <f>Sites[[#This Row],[SOL'#]]</f>
        <v>SOL-10387</v>
      </c>
      <c r="D26" s="9">
        <f>SUM(Jul!D26, Aug!D26, Sep!D26)</f>
        <v>59380.59375</v>
      </c>
      <c r="E26" s="14">
        <f>SUM(Jul!E26, Aug!E26, Sep!E26)</f>
        <v>61299.342999999993</v>
      </c>
      <c r="F26" s="14">
        <f t="shared" si="3"/>
        <v>-1918.7492499999935</v>
      </c>
      <c r="G26" s="15">
        <f t="shared" si="1"/>
        <v>-3.1301302038424683E-2</v>
      </c>
      <c r="H26" s="16">
        <f>SUM(Jul!H26,Aug!H26,Sep!H26)</f>
        <v>66314.489000000001</v>
      </c>
      <c r="I26" s="16">
        <f>SUM(Jul!I26, Aug!I26, Sep!I26)</f>
        <v>-6933.8952499999978</v>
      </c>
      <c r="J26" s="15">
        <f t="shared" si="2"/>
        <v>-0.10456078836707915</v>
      </c>
    </row>
    <row r="27" spans="1:10" ht="15.6">
      <c r="A27" s="24" t="str">
        <v>EMHC</v>
      </c>
      <c r="B27" s="25" t="str">
        <v>NY</v>
      </c>
      <c r="C27" s="25" t="str">
        <f>Sites[[#This Row],[SOL'#]]</f>
        <v>SOL-10351</v>
      </c>
      <c r="D27" s="20">
        <f>SUM(Jul!D27, Aug!D27, Sep!D27)</f>
        <v>25153.648312500001</v>
      </c>
      <c r="E27" s="10">
        <f>SUM(Jul!E27, Aug!E27, Sep!E27)</f>
        <v>19554.665000000001</v>
      </c>
      <c r="F27" s="10">
        <f t="shared" si="3"/>
        <v>5598.9833125000005</v>
      </c>
      <c r="G27" s="11">
        <f t="shared" si="1"/>
        <v>0.28632468582305043</v>
      </c>
      <c r="H27" s="12">
        <f>SUM(Jul!H27,Aug!H27,Sep!H27)</f>
        <v>30192.233</v>
      </c>
      <c r="I27" s="12">
        <f>SUM(Jul!I27, Aug!I27, Sep!I27)</f>
        <v>-5038.5846874999988</v>
      </c>
      <c r="J27" s="13">
        <f t="shared" si="2"/>
        <v>-0.16688347256395375</v>
      </c>
    </row>
    <row r="28" spans="1:10" ht="15.6">
      <c r="A28" s="26" t="str">
        <v>Q008</v>
      </c>
      <c r="B28" s="27" t="str">
        <v>NY</v>
      </c>
      <c r="C28" s="27" t="str">
        <f>Sites[[#This Row],[SOL'#]]</f>
        <v>SOL-10397</v>
      </c>
      <c r="D28" s="9">
        <f>SUM(Jul!D28, Aug!D28, Sep!D28)</f>
        <v>26542.030640330959</v>
      </c>
      <c r="E28" s="14">
        <f>SUM(Jul!E28, Aug!E28, Sep!E28)</f>
        <v>31294.699000000001</v>
      </c>
      <c r="F28" s="14">
        <f t="shared" si="3"/>
        <v>-4752.6683596690418</v>
      </c>
      <c r="G28" s="15">
        <f t="shared" si="1"/>
        <v>-0.15186816015290774</v>
      </c>
      <c r="H28" s="16">
        <f>SUM(Jul!H28,Aug!H28,Sep!H28)</f>
        <v>92935</v>
      </c>
      <c r="I28" s="16">
        <f>SUM(Jul!I28, Aug!I28, Sep!I28)</f>
        <v>-66392.969359669034</v>
      </c>
      <c r="J28" s="15">
        <f t="shared" si="2"/>
        <v>-0.71440220971290724</v>
      </c>
    </row>
    <row r="29" spans="1:10" ht="15.6">
      <c r="A29" s="24" t="str">
        <v>Q018</v>
      </c>
      <c r="B29" s="25" t="str">
        <v>NY</v>
      </c>
      <c r="C29" s="25" t="str">
        <f>Sites[[#This Row],[SOL'#]]</f>
        <v>SOL-10398</v>
      </c>
      <c r="D29" s="20">
        <f>SUM(Jul!D29, Aug!D29, Sep!D29)</f>
        <v>61128.5625</v>
      </c>
      <c r="E29" s="10">
        <f>SUM(Jul!E29, Aug!E29, Sep!E29)</f>
        <v>66556.276000000013</v>
      </c>
      <c r="F29" s="10">
        <f t="shared" si="3"/>
        <v>-5427.7135000000126</v>
      </c>
      <c r="G29" s="11">
        <f t="shared" si="1"/>
        <v>-8.1550739106857659E-2</v>
      </c>
      <c r="H29" s="12">
        <f>SUM(Jul!H29,Aug!H29,Sep!H29)</f>
        <v>50883.92</v>
      </c>
      <c r="I29" s="12">
        <f>SUM(Jul!I29, Aug!I29, Sep!I29)</f>
        <v>10244.642499999998</v>
      </c>
      <c r="J29" s="13">
        <f t="shared" si="2"/>
        <v>0.20133359418849803</v>
      </c>
    </row>
    <row r="30" spans="1:10" ht="15.6">
      <c r="A30" s="26" t="str">
        <v>Q021</v>
      </c>
      <c r="B30" s="27" t="str">
        <v>NY</v>
      </c>
      <c r="C30" s="27" t="str">
        <f>Sites[[#This Row],[SOL'#]]</f>
        <v>SOL-10399</v>
      </c>
      <c r="D30" s="9">
        <f>SUM(Jul!D30, Aug!D30, Sep!D30)</f>
        <v>49071.563000000002</v>
      </c>
      <c r="E30" s="14">
        <f>SUM(Jul!E30, Aug!E30, Sep!E30)</f>
        <v>48793.34599999999</v>
      </c>
      <c r="F30" s="14">
        <f t="shared" si="3"/>
        <v>278.21700000001147</v>
      </c>
      <c r="G30" s="15">
        <f t="shared" si="1"/>
        <v>5.7019455070781893E-3</v>
      </c>
      <c r="H30" s="16">
        <f>SUM(Jul!H30,Aug!H30,Sep!H30)</f>
        <v>46463.823999999993</v>
      </c>
      <c r="I30" s="16">
        <f>SUM(Jul!I30, Aug!I30, Sep!I30)</f>
        <v>2607.7389999999996</v>
      </c>
      <c r="J30" s="15">
        <f t="shared" si="2"/>
        <v>5.6124071923137446E-2</v>
      </c>
    </row>
    <row r="31" spans="1:10" ht="15.6">
      <c r="A31" s="24" t="str">
        <v>Q025</v>
      </c>
      <c r="B31" s="25" t="str">
        <v>NY</v>
      </c>
      <c r="C31" s="25" t="str">
        <f>Sites[[#This Row],[SOL'#]]</f>
        <v>SOL-10400</v>
      </c>
      <c r="D31" s="20">
        <f>SUM(Jul!D31, Aug!D31, Sep!D31)</f>
        <v>83921.75</v>
      </c>
      <c r="E31" s="10">
        <f>SUM(Jul!E31, Aug!E31, Sep!E31)</f>
        <v>82790.903000000006</v>
      </c>
      <c r="F31" s="10">
        <f t="shared" si="3"/>
        <v>1130.8469999999943</v>
      </c>
      <c r="G31" s="11">
        <f t="shared" si="1"/>
        <v>1.3659073147203072E-2</v>
      </c>
      <c r="H31" s="12">
        <f>SUM(Jul!H31,Aug!H31,Sep!H31)</f>
        <v>42188.5</v>
      </c>
      <c r="I31" s="12">
        <f>SUM(Jul!I31, Aug!I31, Sep!I31)</f>
        <v>41733.25</v>
      </c>
      <c r="J31" s="13">
        <f t="shared" si="2"/>
        <v>0.98920914467212628</v>
      </c>
    </row>
    <row r="32" spans="1:10" ht="15.6">
      <c r="A32" s="26" t="str">
        <v>Q074</v>
      </c>
      <c r="B32" s="27" t="str">
        <v>NY</v>
      </c>
      <c r="C32" s="27" t="str">
        <f>Sites[[#This Row],[SOL'#]]</f>
        <v>SOL-10402</v>
      </c>
      <c r="D32" s="9">
        <f>SUM(Jul!D32, Aug!D32, Sep!D32)</f>
        <v>51157.4375</v>
      </c>
      <c r="E32" s="14">
        <f>SUM(Jul!E32, Aug!E32, Sep!E32)</f>
        <v>50633.337</v>
      </c>
      <c r="F32" s="14">
        <f t="shared" si="3"/>
        <v>524.10050000000047</v>
      </c>
      <c r="G32" s="15">
        <f t="shared" si="1"/>
        <v>1.0350897867940256E-2</v>
      </c>
      <c r="H32" s="16">
        <f>SUM(Jul!H32,Aug!H32,Sep!H32)</f>
        <v>52420.514999999999</v>
      </c>
      <c r="I32" s="16">
        <f>SUM(Jul!I32, Aug!I32, Sep!I32)</f>
        <v>-1263.0774999999976</v>
      </c>
      <c r="J32" s="15">
        <f t="shared" si="2"/>
        <v>-2.4095099027546706E-2</v>
      </c>
    </row>
    <row r="33" spans="1:10" ht="15.6">
      <c r="A33" s="24" t="str">
        <v>Q115</v>
      </c>
      <c r="B33" s="25" t="str">
        <v>NY</v>
      </c>
      <c r="C33" s="25" t="str">
        <f>Sites[[#This Row],[SOL'#]]</f>
        <v>SOL-10872</v>
      </c>
      <c r="D33" s="20">
        <f>SUM(Jul!D33, Aug!D33, Sep!D33)</f>
        <v>70737.187999999995</v>
      </c>
      <c r="E33" s="10">
        <f>SUM(Jul!E33, Aug!E33, Sep!E33)</f>
        <v>75838.467999999993</v>
      </c>
      <c r="F33" s="10">
        <f t="shared" si="3"/>
        <v>-5101.2799999999988</v>
      </c>
      <c r="G33" s="11">
        <f t="shared" si="1"/>
        <v>-6.726507186300229E-2</v>
      </c>
      <c r="H33" s="12">
        <f>SUM(Jul!H33,Aug!H33,Sep!H33)</f>
        <v>69710.339000000007</v>
      </c>
      <c r="I33" s="12">
        <f>SUM(Jul!I33, Aug!I33, Sep!I33)</f>
        <v>1026.8489999999983</v>
      </c>
      <c r="J33" s="13">
        <f t="shared" si="2"/>
        <v>1.4730225311341525E-2</v>
      </c>
    </row>
    <row r="34" spans="1:10" ht="15.6">
      <c r="A34" s="26" t="str">
        <v>Q139</v>
      </c>
      <c r="B34" s="27" t="str">
        <v>NY</v>
      </c>
      <c r="C34" s="27" t="str">
        <f>Sites[[#This Row],[SOL'#]]</f>
        <v>SOL-10403</v>
      </c>
      <c r="D34" s="9">
        <f>SUM(Jul!D34, Aug!D34, Sep!D34)</f>
        <v>42470.71875</v>
      </c>
      <c r="E34" s="14">
        <f>SUM(Jul!E34, Aug!E34, Sep!E34)</f>
        <v>45742.152000000002</v>
      </c>
      <c r="F34" s="14">
        <f t="shared" si="3"/>
        <v>-3271.4332500000019</v>
      </c>
      <c r="G34" s="15">
        <f t="shared" si="1"/>
        <v>-7.1519006145578851E-2</v>
      </c>
      <c r="H34" s="16">
        <f>SUM(Jul!H34,Aug!H34,Sep!H34)</f>
        <v>44081</v>
      </c>
      <c r="I34" s="16">
        <f>SUM(Jul!I34, Aug!I34, Sep!I34)</f>
        <v>-1610.28125</v>
      </c>
      <c r="J34" s="15">
        <f t="shared" si="2"/>
        <v>-3.6530052630384974E-2</v>
      </c>
    </row>
    <row r="35" spans="1:10" ht="15.6">
      <c r="A35" s="24" t="str">
        <v>Q157</v>
      </c>
      <c r="B35" s="25" t="str">
        <v>NY</v>
      </c>
      <c r="C35" s="25" t="str">
        <f>Sites[[#This Row],[SOL'#]]</f>
        <v>SOL-10404</v>
      </c>
      <c r="D35" s="20">
        <f>SUM(Jul!D35, Aug!D35, Sep!D35)</f>
        <v>70272.562999999995</v>
      </c>
      <c r="E35" s="10">
        <f>SUM(Jul!E35, Aug!E35, Sep!E35)</f>
        <v>86302.056000000011</v>
      </c>
      <c r="F35" s="10">
        <f t="shared" si="3"/>
        <v>-16029.493000000017</v>
      </c>
      <c r="G35" s="11">
        <f t="shared" si="1"/>
        <v>-0.1857370929842044</v>
      </c>
      <c r="H35" s="12">
        <f>SUM(Jul!H35,Aug!H35,Sep!H35)</f>
        <v>75192.887999999992</v>
      </c>
      <c r="I35" s="12">
        <f>SUM(Jul!I35, Aug!I35, Sep!I35)</f>
        <v>-4920.3250000000007</v>
      </c>
      <c r="J35" s="13">
        <f t="shared" si="2"/>
        <v>-6.5436042302298603E-2</v>
      </c>
    </row>
    <row r="36" spans="1:10" ht="15.6">
      <c r="A36" s="26" t="str">
        <v>Q192</v>
      </c>
      <c r="B36" s="27" t="str">
        <v>NY</v>
      </c>
      <c r="C36" s="27" t="str">
        <f>Sites[[#This Row],[SOL'#]]</f>
        <v>SOL-10406</v>
      </c>
      <c r="D36" s="9">
        <f>SUM(Jul!D36, Aug!D36, Sep!D36)</f>
        <v>116700.125</v>
      </c>
      <c r="E36" s="14">
        <f>SUM(Jul!E36, Aug!E36, Sep!E36)</f>
        <v>128995.25200000001</v>
      </c>
      <c r="F36" s="14">
        <f t="shared" si="3"/>
        <v>-12295.127000000008</v>
      </c>
      <c r="G36" s="15">
        <f t="shared" si="1"/>
        <v>-9.5314570182784761E-2</v>
      </c>
      <c r="H36" s="16">
        <f>SUM(Jul!H36,Aug!H36,Sep!H36)</f>
        <v>73423.073799999998</v>
      </c>
      <c r="I36" s="16">
        <f>SUM(Jul!I36, Aug!I36, Sep!I36)</f>
        <v>43277.051200000002</v>
      </c>
      <c r="J36" s="15">
        <f t="shared" si="2"/>
        <v>0.58942031380876347</v>
      </c>
    </row>
    <row r="37" spans="1:10" ht="15.6">
      <c r="A37" s="24" t="str">
        <v>Q210</v>
      </c>
      <c r="B37" s="25" t="str">
        <v>NY</v>
      </c>
      <c r="C37" s="25" t="str">
        <f>Sites[[#This Row],[SOL'#]]</f>
        <v>SOL-10407</v>
      </c>
      <c r="D37" s="20">
        <f>SUM(Jul!D37, Aug!D37, Sep!D37)</f>
        <v>91265</v>
      </c>
      <c r="E37" s="10">
        <f>SUM(Jul!E37, Aug!E37, Sep!E37)</f>
        <v>96334.688999999998</v>
      </c>
      <c r="F37" s="10">
        <f t="shared" si="3"/>
        <v>-5069.6889999999985</v>
      </c>
      <c r="G37" s="11">
        <f t="shared" si="1"/>
        <v>-5.2625788826701859E-2</v>
      </c>
      <c r="H37" s="12">
        <f>SUM(Jul!H37,Aug!H37,Sep!H37)</f>
        <v>94829</v>
      </c>
      <c r="I37" s="12">
        <f>SUM(Jul!I37, Aug!I37, Sep!I37)</f>
        <v>-3564</v>
      </c>
      <c r="J37" s="13">
        <f t="shared" si="2"/>
        <v>-3.7583439665081354E-2</v>
      </c>
    </row>
    <row r="38" spans="1:10" ht="15.6">
      <c r="A38" s="26" t="str">
        <v>Q229</v>
      </c>
      <c r="B38" s="27" t="str">
        <v>NY</v>
      </c>
      <c r="C38" s="27" t="str">
        <f>Sites[[#This Row],[SOL'#]]</f>
        <v>SOL-10408</v>
      </c>
      <c r="D38" s="9">
        <f>SUM(Jul!D38, Aug!D38, Sep!D38)</f>
        <v>41357.5625</v>
      </c>
      <c r="E38" s="14">
        <f>SUM(Jul!E38, Aug!E38, Sep!E38)</f>
        <v>47038.144</v>
      </c>
      <c r="F38" s="14">
        <f t="shared" ref="F38:F69" si="4">IF(AND(ISNUMBER(D38),ISNUMBER(E38)), D38-E38, "")</f>
        <v>-5680.5815000000002</v>
      </c>
      <c r="G38" s="15">
        <f t="shared" si="1"/>
        <v>-0.12076542603381631</v>
      </c>
      <c r="H38" s="16">
        <f>SUM(Jul!H38,Aug!H38,Sep!H38)</f>
        <v>39172.506999999998</v>
      </c>
      <c r="I38" s="16">
        <f>SUM(Jul!I38, Aug!I38, Sep!I38)</f>
        <v>2185.0555000000004</v>
      </c>
      <c r="J38" s="15">
        <f t="shared" si="2"/>
        <v>5.578033338535112E-2</v>
      </c>
    </row>
    <row r="39" spans="1:10" ht="15.6">
      <c r="A39" s="24" t="str">
        <v>Q231</v>
      </c>
      <c r="B39" s="25" t="str">
        <v>NY</v>
      </c>
      <c r="C39" s="25" t="str">
        <f>Sites[[#This Row],[SOL'#]]</f>
        <v>SOL-10870</v>
      </c>
      <c r="D39" s="20">
        <f>SUM(Jul!D39, Aug!D39, Sep!D39)</f>
        <v>149443</v>
      </c>
      <c r="E39" s="10">
        <f>SUM(Jul!E39, Aug!E39, Sep!E39)</f>
        <v>165122.90100000001</v>
      </c>
      <c r="F39" s="10">
        <f t="shared" si="4"/>
        <v>-15679.901000000013</v>
      </c>
      <c r="G39" s="11">
        <f t="shared" si="1"/>
        <v>-9.4958972408073258E-2</v>
      </c>
      <c r="H39" s="12">
        <f>SUM(Jul!H39,Aug!H39,Sep!H39)</f>
        <v>158130.5</v>
      </c>
      <c r="I39" s="12">
        <f>SUM(Jul!I39, Aug!I39, Sep!I39)</f>
        <v>-8687.5</v>
      </c>
      <c r="J39" s="13">
        <f t="shared" si="2"/>
        <v>-5.4938800547648936E-2</v>
      </c>
    </row>
    <row r="40" spans="1:10" ht="15.6">
      <c r="A40" s="26" t="str">
        <v>Q405</v>
      </c>
      <c r="B40" s="27" t="str">
        <v>NY</v>
      </c>
      <c r="C40" s="27" t="str">
        <f>Sites[[#This Row],[SOL'#]]</f>
        <v>SOL-10409</v>
      </c>
      <c r="D40" s="9">
        <f>SUM(Jul!D40, Aug!D40, Sep!D40)</f>
        <v>175885.5</v>
      </c>
      <c r="E40" s="14">
        <f>SUM(Jul!E40, Aug!E40, Sep!E40)</f>
        <v>195128.26500000001</v>
      </c>
      <c r="F40" s="14">
        <f t="shared" si="4"/>
        <v>-19242.765000000014</v>
      </c>
      <c r="G40" s="15">
        <f t="shared" si="1"/>
        <v>-9.8615979596805278E-2</v>
      </c>
      <c r="H40" s="16">
        <f>SUM(Jul!H40,Aug!H40,Sep!H40)</f>
        <v>169322.10200000001</v>
      </c>
      <c r="I40" s="16">
        <f>SUM(Jul!I40, Aug!I40, Sep!I40)</f>
        <v>6563.398000000001</v>
      </c>
      <c r="J40" s="15">
        <f t="shared" si="2"/>
        <v>3.8762795420529329E-2</v>
      </c>
    </row>
    <row r="41" spans="1:10" ht="15.6">
      <c r="A41" s="24" t="str">
        <v>Q435</v>
      </c>
      <c r="B41" s="25" t="str">
        <v>NY</v>
      </c>
      <c r="C41" s="25" t="str">
        <f>Sites[[#This Row],[SOL'#]]</f>
        <v>SOL-10923</v>
      </c>
      <c r="D41" s="20">
        <f>SUM(Jul!D41, Aug!D41, Sep!D41)</f>
        <v>174837.25</v>
      </c>
      <c r="E41" s="10">
        <f>SUM(Jul!E41, Aug!E41, Sep!E41)</f>
        <v>179471.69699999999</v>
      </c>
      <c r="F41" s="10">
        <f t="shared" si="4"/>
        <v>-4634.4469999999856</v>
      </c>
      <c r="G41" s="11">
        <f t="shared" si="1"/>
        <v>-2.5822717885149244E-2</v>
      </c>
      <c r="H41" s="12">
        <f>SUM(Jul!H41,Aug!H41,Sep!H41)</f>
        <v>220244.5</v>
      </c>
      <c r="I41" s="12">
        <f>SUM(Jul!I41, Aug!I41, Sep!I41)</f>
        <v>-45407.25</v>
      </c>
      <c r="J41" s="13">
        <f t="shared" si="2"/>
        <v>-0.20616746388672588</v>
      </c>
    </row>
    <row r="42" spans="1:10" ht="15.6">
      <c r="A42" s="26" t="str">
        <v>Q485</v>
      </c>
      <c r="B42" s="27" t="str">
        <v>NY</v>
      </c>
      <c r="C42" s="27" t="str">
        <f>Sites[[#This Row],[SOL'#]]</f>
        <v>SOL-10869</v>
      </c>
      <c r="D42" s="9">
        <f>SUM(Jul!D42, Aug!D42, Sep!D42)</f>
        <v>209581.4375</v>
      </c>
      <c r="E42" s="14">
        <f>SUM(Jul!E42, Aug!E42, Sep!E42)</f>
        <v>168001.17600000001</v>
      </c>
      <c r="F42" s="14">
        <f t="shared" si="4"/>
        <v>41580.261499999993</v>
      </c>
      <c r="G42" s="15">
        <f t="shared" si="1"/>
        <v>0.24749982404885065</v>
      </c>
      <c r="H42" s="16">
        <f>SUM(Jul!H42,Aug!H42,Sep!H42)</f>
        <v>208686.769</v>
      </c>
      <c r="I42" s="16">
        <f>SUM(Jul!I42, Aug!I42, Sep!I42)</f>
        <v>894.66849999999249</v>
      </c>
      <c r="J42" s="15">
        <f t="shared" si="2"/>
        <v>4.2871357119913652E-3</v>
      </c>
    </row>
    <row r="43" spans="1:10" ht="15.6">
      <c r="A43" s="24" t="str">
        <v>Q490</v>
      </c>
      <c r="B43" s="25" t="str">
        <v>NY</v>
      </c>
      <c r="C43" s="25" t="str">
        <f>Sites[[#This Row],[SOL'#]]</f>
        <v>SOL-10411</v>
      </c>
      <c r="D43" s="20">
        <f>SUM(Jul!D43, Aug!D43, Sep!D43)</f>
        <v>146882.1387499999</v>
      </c>
      <c r="E43" s="10">
        <f>SUM(Jul!E43, Aug!E43, Sep!E43)</f>
        <v>0</v>
      </c>
      <c r="F43" s="10">
        <f t="shared" si="4"/>
        <v>146882.1387499999</v>
      </c>
      <c r="G43" s="11" t="str">
        <f t="shared" si="1"/>
        <v/>
      </c>
      <c r="H43" s="12">
        <f>SUM(Jul!H43,Aug!H43,Sep!H43)</f>
        <v>146984.13500000001</v>
      </c>
      <c r="I43" s="12">
        <f>SUM(Jul!I43, Aug!I43, Sep!I43)</f>
        <v>-101.99625000010565</v>
      </c>
      <c r="J43" s="13">
        <f t="shared" si="2"/>
        <v>-6.9392693299930388E-4</v>
      </c>
    </row>
    <row r="44" spans="1:10" ht="15.6">
      <c r="A44" s="26" t="str">
        <v>Q620</v>
      </c>
      <c r="B44" s="27" t="str">
        <v>NY</v>
      </c>
      <c r="C44" s="27" t="str">
        <f>Sites[[#This Row],[SOL'#]]</f>
        <v>SOL-10867</v>
      </c>
      <c r="D44" s="9">
        <f>SUM(Jul!D44, Aug!D44, Sep!D44)</f>
        <v>228427.74980676328</v>
      </c>
      <c r="E44" s="14">
        <f>SUM(Jul!E44, Aug!E44, Sep!E44)</f>
        <v>232227.80300000001</v>
      </c>
      <c r="F44" s="14">
        <f t="shared" si="4"/>
        <v>-3800.0531932367303</v>
      </c>
      <c r="G44" s="15">
        <f t="shared" si="1"/>
        <v>-1.6363472177518427E-2</v>
      </c>
      <c r="H44" s="16">
        <f>SUM(Jul!H44,Aug!H44,Sep!H44)</f>
        <v>220518.30299999999</v>
      </c>
      <c r="I44" s="16">
        <f>SUM(Jul!I44, Aug!I44, Sep!I44)</f>
        <v>7909.4468067633061</v>
      </c>
      <c r="J44" s="15">
        <f t="shared" si="2"/>
        <v>3.5867529811179924E-2</v>
      </c>
    </row>
    <row r="45" spans="1:10" ht="15.6">
      <c r="A45" s="24" t="str">
        <v>QMOA</v>
      </c>
      <c r="B45" s="25" t="str">
        <v>NY</v>
      </c>
      <c r="C45" s="25" t="str">
        <f>Sites[[#This Row],[SOL'#]]</f>
        <v>SOL-10415</v>
      </c>
      <c r="D45" s="20">
        <f>SUM(Jul!D45, Aug!D45, Sep!D45)</f>
        <v>19343.5</v>
      </c>
      <c r="E45" s="10">
        <f>SUM(Jul!E45, Aug!E45, Sep!E45)</f>
        <v>0</v>
      </c>
      <c r="F45" s="10">
        <f t="shared" si="4"/>
        <v>19343.5</v>
      </c>
      <c r="G45" s="11" t="str">
        <f t="shared" si="1"/>
        <v/>
      </c>
      <c r="H45" s="12">
        <f>SUM(Jul!H45,Aug!H45,Sep!H45)</f>
        <v>19960.398000000001</v>
      </c>
      <c r="I45" s="12">
        <f>SUM(Jul!I45, Aug!I45, Sep!I45)</f>
        <v>-616.89800000000014</v>
      </c>
      <c r="J45" s="13">
        <f t="shared" si="2"/>
        <v>-3.0906097162992446E-2</v>
      </c>
    </row>
    <row r="46" spans="1:10" ht="15.6">
      <c r="A46" s="26" t="str">
        <v>X024</v>
      </c>
      <c r="B46" s="27" t="str">
        <v>NY</v>
      </c>
      <c r="C46" s="27" t="str">
        <f>Sites[[#This Row],[SOL'#]]</f>
        <v>SOL-10419</v>
      </c>
      <c r="D46" s="9">
        <f>SUM(Jul!D46, Aug!D46, Sep!D46)</f>
        <v>88103.687249999901</v>
      </c>
      <c r="E46" s="14">
        <f>SUM(Jul!E46, Aug!E46, Sep!E46)</f>
        <v>88458.057000000001</v>
      </c>
      <c r="F46" s="14">
        <f t="shared" si="4"/>
        <v>-354.36975000009988</v>
      </c>
      <c r="G46" s="15">
        <f t="shared" si="1"/>
        <v>-4.0060765748008674E-3</v>
      </c>
      <c r="H46" s="16">
        <f>SUM(Jul!H46,Aug!H46,Sep!H46)</f>
        <v>78887</v>
      </c>
      <c r="I46" s="16">
        <f>SUM(Jul!I46, Aug!I46, Sep!I46)</f>
        <v>9216.6872499999008</v>
      </c>
      <c r="J46" s="15">
        <f t="shared" si="2"/>
        <v>0.11683404426584736</v>
      </c>
    </row>
    <row r="47" spans="1:10" ht="15.6">
      <c r="A47" s="24" t="str">
        <v>X026</v>
      </c>
      <c r="B47" s="25" t="str">
        <v>NY</v>
      </c>
      <c r="C47" s="25" t="str">
        <f>Sites[[#This Row],[SOL'#]]</f>
        <v>SOL-10420</v>
      </c>
      <c r="D47" s="20">
        <f>SUM(Jul!D47, Aug!D47, Sep!D47)</f>
        <v>77426.5</v>
      </c>
      <c r="E47" s="10">
        <f>SUM(Jul!E47, Aug!E47, Sep!E47)</f>
        <v>72581.792000000001</v>
      </c>
      <c r="F47" s="10">
        <f t="shared" si="4"/>
        <v>4844.7079999999987</v>
      </c>
      <c r="G47" s="11">
        <f t="shared" si="1"/>
        <v>6.6748255540452883E-2</v>
      </c>
      <c r="H47" s="12">
        <f>SUM(Jul!H47,Aug!H47,Sep!H47)</f>
        <v>106017.776</v>
      </c>
      <c r="I47" s="12">
        <f>SUM(Jul!I47, Aug!I47, Sep!I47)</f>
        <v>-28591.276000000002</v>
      </c>
      <c r="J47" s="13">
        <f t="shared" si="2"/>
        <v>-0.26968379340460796</v>
      </c>
    </row>
    <row r="48" spans="1:10" ht="15.6">
      <c r="A48" s="26" t="str">
        <v>X090</v>
      </c>
      <c r="B48" s="27" t="str">
        <v>NY</v>
      </c>
      <c r="C48" s="27" t="str">
        <f>Sites[[#This Row],[SOL'#]]</f>
        <v>SOL-10925</v>
      </c>
      <c r="D48" s="9">
        <f>SUM(Jul!D48, Aug!D48, Sep!D48)</f>
        <v>62442.406499999997</v>
      </c>
      <c r="E48" s="14">
        <f>SUM(Jul!E48, Aug!E48, Sep!E48)</f>
        <v>57426.805</v>
      </c>
      <c r="F48" s="14">
        <f t="shared" si="4"/>
        <v>5015.601499999997</v>
      </c>
      <c r="G48" s="15">
        <f t="shared" si="1"/>
        <v>8.7339030962979694E-2</v>
      </c>
      <c r="H48" s="16">
        <f>SUM(Jul!H48,Aug!H48,Sep!H48)</f>
        <v>64862</v>
      </c>
      <c r="I48" s="16">
        <f>SUM(Jul!I48, Aug!I48, Sep!I48)</f>
        <v>-2419.5935000000027</v>
      </c>
      <c r="J48" s="15">
        <f t="shared" si="2"/>
        <v>-3.7303714039036769E-2</v>
      </c>
    </row>
    <row r="49" spans="1:10" ht="15.6">
      <c r="A49" s="24" t="str">
        <v>X117</v>
      </c>
      <c r="B49" s="25" t="str">
        <v>NY</v>
      </c>
      <c r="C49" s="25" t="str">
        <f>Sites[[#This Row],[SOL'#]]</f>
        <v>SOL-10422</v>
      </c>
      <c r="D49" s="20">
        <f>SUM(Jul!D49, Aug!D49, Sep!D49)</f>
        <v>56000.799999999996</v>
      </c>
      <c r="E49" s="10">
        <f>SUM(Jul!E49, Aug!E49, Sep!E49)</f>
        <v>61264.91</v>
      </c>
      <c r="F49" s="10">
        <f t="shared" si="4"/>
        <v>-5264.1100000000079</v>
      </c>
      <c r="G49" s="11">
        <f t="shared" si="1"/>
        <v>-8.592373676873119E-2</v>
      </c>
      <c r="H49" s="12">
        <f>SUM(Jul!H49,Aug!H49,Sep!H49)</f>
        <v>57083.040000000001</v>
      </c>
      <c r="I49" s="12">
        <f>SUM(Jul!I49, Aug!I49, Sep!I49)</f>
        <v>-1082.239999999998</v>
      </c>
      <c r="J49" s="13">
        <f t="shared" si="2"/>
        <v>-1.8959046329697891E-2</v>
      </c>
    </row>
    <row r="50" spans="1:10" ht="15.6">
      <c r="A50" s="26" t="str">
        <v>X125</v>
      </c>
      <c r="B50" s="27" t="str">
        <v>NY</v>
      </c>
      <c r="C50" s="27" t="str">
        <f>Sites[[#This Row],[SOL'#]]</f>
        <v>SOL-10423</v>
      </c>
      <c r="D50" s="9">
        <f>SUM(Jul!D50, Aug!D50, Sep!D50)</f>
        <v>103474.8125</v>
      </c>
      <c r="E50" s="14">
        <f>SUM(Jul!E50, Aug!E50, Sep!E50)</f>
        <v>106407.30799999999</v>
      </c>
      <c r="F50" s="14">
        <f t="shared" si="4"/>
        <v>-2932.49549999999</v>
      </c>
      <c r="G50" s="15">
        <f t="shared" si="1"/>
        <v>-2.7559155053523111E-2</v>
      </c>
      <c r="H50" s="16">
        <f>SUM(Jul!H50,Aug!H50,Sep!H50)</f>
        <v>98306.009000000005</v>
      </c>
      <c r="I50" s="16">
        <f>SUM(Jul!I50, Aug!I50, Sep!I50)</f>
        <v>5168.8034999999982</v>
      </c>
      <c r="J50" s="15">
        <f t="shared" si="2"/>
        <v>5.257871367761454E-2</v>
      </c>
    </row>
    <row r="51" spans="1:10" ht="15.6">
      <c r="A51" s="24" t="str">
        <v>X134</v>
      </c>
      <c r="B51" s="25" t="str">
        <v>NY</v>
      </c>
      <c r="C51" s="25" t="str">
        <f>Sites[[#This Row],[SOL'#]]</f>
        <v>SOL-10424</v>
      </c>
      <c r="D51" s="20">
        <f>SUM(Jul!D51, Aug!D51, Sep!D51)</f>
        <v>99947.750999999989</v>
      </c>
      <c r="E51" s="10">
        <f>SUM(Jul!E51, Aug!E51, Sep!E51)</f>
        <v>41349.813999999998</v>
      </c>
      <c r="F51" s="10">
        <f t="shared" si="4"/>
        <v>58597.936999999991</v>
      </c>
      <c r="G51" s="11">
        <f t="shared" si="1"/>
        <v>1.4171269790959637</v>
      </c>
      <c r="H51" s="12">
        <f>SUM(Jul!H51,Aug!H51,Sep!H51)</f>
        <v>98297</v>
      </c>
      <c r="I51" s="12">
        <f>SUM(Jul!I51, Aug!I51, Sep!I51)</f>
        <v>1650.7510000000002</v>
      </c>
      <c r="J51" s="13">
        <f t="shared" si="2"/>
        <v>1.6793503362259276E-2</v>
      </c>
    </row>
    <row r="52" spans="1:10" ht="15.6">
      <c r="A52" s="26" t="str">
        <v>X135</v>
      </c>
      <c r="B52" s="27" t="str">
        <v>NY</v>
      </c>
      <c r="C52" s="27" t="str">
        <f>Sites[[#This Row],[SOL'#]]</f>
        <v>SOL-10425</v>
      </c>
      <c r="D52" s="9">
        <f>SUM(Jul!D52, Aug!D52, Sep!D52)</f>
        <v>77905.250499999995</v>
      </c>
      <c r="E52" s="14">
        <f>SUM(Jul!E52, Aug!E52, Sep!E52)</f>
        <v>95760.584000000003</v>
      </c>
      <c r="F52" s="14">
        <f t="shared" si="4"/>
        <v>-17855.333500000008</v>
      </c>
      <c r="G52" s="15">
        <f t="shared" si="1"/>
        <v>-0.18645806817552416</v>
      </c>
      <c r="H52" s="16">
        <f>SUM(Jul!H52,Aug!H52,Sep!H52)</f>
        <v>78460</v>
      </c>
      <c r="I52" s="16">
        <f>SUM(Jul!I52, Aug!I52, Sep!I52)</f>
        <v>-554.74950000000172</v>
      </c>
      <c r="J52" s="15">
        <f t="shared" si="2"/>
        <v>-7.0704754014784821E-3</v>
      </c>
    </row>
    <row r="53" spans="1:10" ht="15.6">
      <c r="A53" s="24" t="str">
        <v>X139 JHS 222</v>
      </c>
      <c r="B53" s="25" t="str">
        <v>NY</v>
      </c>
      <c r="C53" s="25" t="str">
        <f>Sites[[#This Row],[SOL'#]]</f>
        <v>SOL-10426</v>
      </c>
      <c r="D53" s="20">
        <f>SUM(Jul!D53, Aug!D53, Sep!D53)</f>
        <v>116507.12145999999</v>
      </c>
      <c r="E53" s="10">
        <f>SUM(Jul!E53, Aug!E53, Sep!E53)</f>
        <v>133106.13099999999</v>
      </c>
      <c r="F53" s="10">
        <f t="shared" si="4"/>
        <v>-16599.009539999999</v>
      </c>
      <c r="G53" s="11">
        <f t="shared" si="1"/>
        <v>-0.12470507117361859</v>
      </c>
      <c r="H53" s="12">
        <f>SUM(Jul!H53,Aug!H53,Sep!H53)</f>
        <v>124378.5</v>
      </c>
      <c r="I53" s="12">
        <f>SUM(Jul!I53, Aug!I53, Sep!I53)</f>
        <v>-7871.3785399999979</v>
      </c>
      <c r="J53" s="13">
        <f t="shared" si="2"/>
        <v>-6.3285684744549889E-2</v>
      </c>
    </row>
    <row r="54" spans="1:10" ht="15.6">
      <c r="A54" s="26" t="str">
        <v>X140</v>
      </c>
      <c r="B54" s="27" t="str">
        <v>NY</v>
      </c>
      <c r="C54" s="27" t="str">
        <f>Sites[[#This Row],[SOL'#]]</f>
        <v>SOL-10926</v>
      </c>
      <c r="D54" s="9">
        <f>SUM(Jul!D54, Aug!D54, Sep!D54)</f>
        <v>69917.031749999995</v>
      </c>
      <c r="E54" s="14">
        <f>SUM(Jul!E54, Aug!E54, Sep!E54)</f>
        <v>58796.187999999995</v>
      </c>
      <c r="F54" s="14">
        <f t="shared" si="4"/>
        <v>11120.84375</v>
      </c>
      <c r="G54" s="15">
        <f t="shared" si="1"/>
        <v>0.1891422578280075</v>
      </c>
      <c r="H54" s="16">
        <f>SUM(Jul!H54,Aug!H54,Sep!H54)</f>
        <v>66691</v>
      </c>
      <c r="I54" s="16">
        <f>SUM(Jul!I54, Aug!I54, Sep!I54)</f>
        <v>3226.0317499999983</v>
      </c>
      <c r="J54" s="15">
        <f t="shared" si="2"/>
        <v>4.8372820170637688E-2</v>
      </c>
    </row>
    <row r="55" spans="1:10" ht="15.6">
      <c r="A55" s="24" t="str">
        <v>X166</v>
      </c>
      <c r="B55" s="25" t="str">
        <v>NY</v>
      </c>
      <c r="C55" s="25" t="str">
        <f>Sites[[#This Row],[SOL'#]]</f>
        <v>SOL-10427</v>
      </c>
      <c r="D55" s="20">
        <f>SUM(Jul!D55, Aug!D55, Sep!D55)</f>
        <v>72747.5</v>
      </c>
      <c r="E55" s="10">
        <f>SUM(Jul!E55, Aug!E55, Sep!E55)</f>
        <v>72761.210999999996</v>
      </c>
      <c r="F55" s="10">
        <f t="shared" si="4"/>
        <v>-13.710999999995693</v>
      </c>
      <c r="G55" s="11">
        <f t="shared" si="1"/>
        <v>-1.8843831502468662E-4</v>
      </c>
      <c r="H55" s="12">
        <f>SUM(Jul!H55,Aug!H55,Sep!H55)</f>
        <v>73891</v>
      </c>
      <c r="I55" s="12">
        <f>SUM(Jul!I55, Aug!I55, Sep!I55)</f>
        <v>-1143.5</v>
      </c>
      <c r="J55" s="13">
        <f t="shared" si="2"/>
        <v>-1.547549769254713E-2</v>
      </c>
    </row>
    <row r="56" spans="1:10" ht="15.6">
      <c r="A56" s="26" t="str">
        <v>Murphy</v>
      </c>
      <c r="B56" s="27" t="str">
        <v>MN</v>
      </c>
      <c r="C56" s="27" t="str">
        <f>Sites[[#This Row],[SOL'#]]</f>
        <v>SOL-10094</v>
      </c>
      <c r="D56" s="9">
        <f>SUM(Jul!D56, Aug!D56, Sep!D56)</f>
        <v>2759660</v>
      </c>
      <c r="E56" s="14">
        <f>SUM(Jul!E56, Aug!E56, Sep!E56)</f>
        <v>3005254.034</v>
      </c>
      <c r="F56" s="14">
        <f t="shared" si="4"/>
        <v>-245594.03399999999</v>
      </c>
      <c r="G56" s="15">
        <f t="shared" si="1"/>
        <v>-8.1721555389816333E-2</v>
      </c>
      <c r="H56" s="16">
        <f>SUM(Jul!H56,Aug!H56,Sep!H56)</f>
        <v>2882979.8</v>
      </c>
      <c r="I56" s="16">
        <f>SUM(Jul!I56, Aug!I56, Sep!I56)</f>
        <v>-123319.79999999993</v>
      </c>
      <c r="J56" s="15">
        <f t="shared" si="2"/>
        <v>-4.2775117605749417E-2</v>
      </c>
    </row>
    <row r="57" spans="1:10" ht="15.6">
      <c r="A57" s="24" t="str">
        <v>Terning</v>
      </c>
      <c r="B57" s="25" t="str">
        <v>MN</v>
      </c>
      <c r="C57" s="25" t="str">
        <f>Sites[[#This Row],[SOL'#]]</f>
        <v>SOL-10093</v>
      </c>
      <c r="D57" s="20">
        <f>SUM(Jul!D57, Aug!D57, Sep!D57)</f>
        <v>2923783.9999999972</v>
      </c>
      <c r="E57" s="10">
        <f>SUM(Jul!E57, Aug!E57, Sep!E57)</f>
        <v>3119352.6669999999</v>
      </c>
      <c r="F57" s="10">
        <f t="shared" si="4"/>
        <v>-195568.66700000269</v>
      </c>
      <c r="G57" s="11">
        <f t="shared" si="1"/>
        <v>-6.2695272986907413E-2</v>
      </c>
      <c r="H57" s="12">
        <f>SUM(Jul!H57,Aug!H57,Sep!H57)</f>
        <v>2845764.85</v>
      </c>
      <c r="I57" s="12">
        <f>SUM(Jul!I57, Aug!I57, Sep!I57)</f>
        <v>78019.149999996996</v>
      </c>
      <c r="J57" s="13">
        <f t="shared" si="2"/>
        <v>2.7415880830771028E-2</v>
      </c>
    </row>
    <row r="58" spans="1:10" ht="15.6">
      <c r="A58" s="26" t="str">
        <v>Boas Road 04</v>
      </c>
      <c r="B58" s="27" t="str">
        <v>NY</v>
      </c>
      <c r="C58" s="27" t="str">
        <f>Sites[[#This Row],[SOL'#]]</f>
        <v>SOL-10908</v>
      </c>
      <c r="D58" s="9">
        <f>SUM(Jul!D58, Aug!D58, Sep!D58)</f>
        <v>0</v>
      </c>
      <c r="E58" s="14">
        <f>SUM(Jul!E58, Aug!E58, Sep!E58)</f>
        <v>418860.46</v>
      </c>
      <c r="F58" s="14">
        <f t="shared" si="4"/>
        <v>-418860.46</v>
      </c>
      <c r="G58" s="15">
        <f t="shared" si="1"/>
        <v>-1</v>
      </c>
      <c r="H58" s="16">
        <f>SUM(Jul!H58,Aug!H58,Sep!H58)</f>
        <v>1106907.3330000001</v>
      </c>
      <c r="I58" s="16">
        <f>SUM(Jul!I58, Aug!I58, Sep!I58)</f>
        <v>-1106907.3330000001</v>
      </c>
      <c r="J58" s="15">
        <f t="shared" si="2"/>
        <v>-1</v>
      </c>
    </row>
    <row r="59" spans="1:10" ht="15.6">
      <c r="A59" s="24" t="str">
        <v>Kelly Bridge Farm</v>
      </c>
      <c r="B59" s="25" t="str">
        <v>NY</v>
      </c>
      <c r="C59" s="25" t="str">
        <f>Sites[[#This Row],[SOL'#]]</f>
        <v>SOL-10911</v>
      </c>
      <c r="D59" s="20">
        <f>SUM(Jul!D59, Aug!D59, Sep!D59)</f>
        <v>636925</v>
      </c>
      <c r="E59" s="10">
        <f>SUM(Jul!E59, Aug!E59, Sep!E59)</f>
        <v>687272.60000000009</v>
      </c>
      <c r="F59" s="10">
        <f t="shared" si="4"/>
        <v>-50347.600000000093</v>
      </c>
      <c r="G59" s="11">
        <f t="shared" si="1"/>
        <v>-7.3257103513220359E-2</v>
      </c>
      <c r="H59" s="12">
        <f>SUM(Jul!H59,Aug!H59,Sep!H59)</f>
        <v>1099105.3489999999</v>
      </c>
      <c r="I59" s="12">
        <f>SUM(Jul!I59, Aug!I59, Sep!I59)</f>
        <v>-462180.34899999999</v>
      </c>
      <c r="J59" s="13">
        <f t="shared" si="2"/>
        <v>-0.42050595916079014</v>
      </c>
    </row>
    <row r="60" spans="1:10" ht="15.6">
      <c r="A60" s="26" t="str">
        <v>Pool Brook Road</v>
      </c>
      <c r="B60" s="27" t="str">
        <v>NY</v>
      </c>
      <c r="C60" s="27" t="str">
        <f>Sites[[#This Row],[SOL'#]]</f>
        <v>SOL-10909</v>
      </c>
      <c r="D60" s="9">
        <f>SUM(Jul!D60, Aug!D60, Sep!D60)</f>
        <v>888544</v>
      </c>
      <c r="E60" s="14">
        <f>SUM(Jul!E60, Aug!E60, Sep!E60)</f>
        <v>975500.40999999992</v>
      </c>
      <c r="F60" s="14">
        <f t="shared" si="4"/>
        <v>-86956.409999999916</v>
      </c>
      <c r="G60" s="15">
        <f t="shared" si="1"/>
        <v>-8.9140311073779996E-2</v>
      </c>
      <c r="H60" s="16">
        <f>SUM(Jul!H60,Aug!H60,Sep!H60)</f>
        <v>1061937.5290000001</v>
      </c>
      <c r="I60" s="16">
        <f>SUM(Jul!I60, Aug!I60, Sep!I60)</f>
        <v>-173393.52899999998</v>
      </c>
      <c r="J60" s="15">
        <f t="shared" si="2"/>
        <v>-0.16328034772749797</v>
      </c>
    </row>
    <row r="61" spans="1:10" ht="15.6">
      <c r="A61" s="24" t="str">
        <v>Sackett Lake</v>
      </c>
      <c r="B61" s="25" t="str">
        <v>NY</v>
      </c>
      <c r="C61" s="25" t="str">
        <f>Sites[[#This Row],[SOL'#]]</f>
        <v>SOL-10910</v>
      </c>
      <c r="D61" s="20">
        <f>SUM(Jul!D61, Aug!D61, Sep!D61)</f>
        <v>1087983</v>
      </c>
      <c r="E61" s="10">
        <f>SUM(Jul!E61, Aug!E61, Sep!E61)</f>
        <v>182350.26</v>
      </c>
      <c r="F61" s="10">
        <f t="shared" si="4"/>
        <v>905632.74</v>
      </c>
      <c r="G61" s="11">
        <f t="shared" si="1"/>
        <v>4.9664461131012372</v>
      </c>
      <c r="H61" s="12">
        <f>SUM(Jul!H61,Aug!H61,Sep!H61)</f>
        <v>1088535.226</v>
      </c>
      <c r="I61" s="12">
        <f>SUM(Jul!I61, Aug!I61, Sep!I61)</f>
        <v>-552.22599999996601</v>
      </c>
      <c r="J61" s="13">
        <f t="shared" si="2"/>
        <v>-5.0731109734428203E-4</v>
      </c>
    </row>
    <row r="62" spans="1:10" ht="15.6">
      <c r="A62" s="26" t="str">
        <v>Burritt Road</v>
      </c>
      <c r="B62" s="27" t="str">
        <v>NY</v>
      </c>
      <c r="C62" s="27" t="str">
        <f>Sites[[#This Row],[SOL'#]]</f>
        <v>SOL-10913</v>
      </c>
      <c r="D62" s="9">
        <f>SUM(Jul!D62, Aug!D62, Sep!D62)</f>
        <v>1198010</v>
      </c>
      <c r="E62" s="14">
        <f>SUM(Jul!E62, Aug!E62, Sep!E62)</f>
        <v>890877.67</v>
      </c>
      <c r="F62" s="14">
        <f t="shared" si="4"/>
        <v>307132.32999999996</v>
      </c>
      <c r="G62" s="15">
        <f t="shared" si="1"/>
        <v>0.34475252926700917</v>
      </c>
      <c r="H62" s="16">
        <f>SUM(Jul!H62,Aug!H62,Sep!H62)</f>
        <v>1121561.463</v>
      </c>
      <c r="I62" s="16">
        <f>SUM(Jul!I62, Aug!I62, Sep!I62)</f>
        <v>76448.537000000011</v>
      </c>
      <c r="J62" s="15">
        <f t="shared" si="2"/>
        <v>6.8162592530160798E-2</v>
      </c>
    </row>
    <row r="63" spans="1:10" ht="15.6">
      <c r="A63" s="24" t="str">
        <v>Villa Roma 1</v>
      </c>
      <c r="B63" s="25" t="str">
        <v>NY</v>
      </c>
      <c r="C63" s="25" t="str">
        <f>Sites[[#This Row],[SOL'#]]</f>
        <v>SOL-10914</v>
      </c>
      <c r="D63" s="20">
        <f>SUM(Jul!D63, Aug!D63, Sep!D63)</f>
        <v>979565</v>
      </c>
      <c r="E63" s="10">
        <f>SUM(Jul!E63, Aug!E63, Sep!E63)</f>
        <v>4117.1499999999996</v>
      </c>
      <c r="F63" s="10">
        <f t="shared" si="4"/>
        <v>975447.85</v>
      </c>
      <c r="G63" s="11">
        <f t="shared" si="1"/>
        <v>236.92307785725563</v>
      </c>
      <c r="H63" s="12">
        <f>SUM(Jul!H63,Aug!H63,Sep!H63)</f>
        <v>972293.45500000007</v>
      </c>
      <c r="I63" s="12">
        <f>SUM(Jul!I63, Aug!I63, Sep!I63)</f>
        <v>7271.5449999999837</v>
      </c>
      <c r="J63" s="13">
        <f t="shared" si="2"/>
        <v>7.4787554751152606E-3</v>
      </c>
    </row>
    <row r="64" spans="1:10" ht="15.6">
      <c r="A64" s="26" t="str">
        <v>Villa Roma 2</v>
      </c>
      <c r="B64" s="27" t="str">
        <v>NY</v>
      </c>
      <c r="C64" s="27" t="str">
        <f>Sites[[#This Row],[SOL'#]]</f>
        <v>SOL-10915</v>
      </c>
      <c r="D64" s="9">
        <f>SUM(Jul!D64, Aug!D64, Sep!D64)</f>
        <v>931050</v>
      </c>
      <c r="E64" s="14">
        <f>SUM(Jul!E64, Aug!E64, Sep!E64)</f>
        <v>1031329.21</v>
      </c>
      <c r="F64" s="14">
        <f t="shared" si="4"/>
        <v>-100279.20999999996</v>
      </c>
      <c r="G64" s="15">
        <f t="shared" ref="G64:G95" si="5">IFERROR(F64/E64, "")</f>
        <v>-9.7232977625059183E-2</v>
      </c>
      <c r="H64" s="16">
        <f>SUM(Jul!H64,Aug!H64,Sep!H64)</f>
        <v>942740.46</v>
      </c>
      <c r="I64" s="16">
        <f>SUM(Jul!I64, Aug!I64, Sep!I64)</f>
        <v>-11690.459999999963</v>
      </c>
      <c r="J64" s="15">
        <f t="shared" si="2"/>
        <v>-1.240050734642275E-2</v>
      </c>
    </row>
    <row r="65" spans="1:10" ht="15.6">
      <c r="A65" s="24" t="str">
        <v>Washington 1</v>
      </c>
      <c r="B65" s="25" t="str">
        <v>NY</v>
      </c>
      <c r="C65" s="25" t="str">
        <f>Sites[[#This Row],[SOL'#]]</f>
        <v>SOL-10912</v>
      </c>
      <c r="D65" s="20">
        <f>SUM(Jul!D65, Aug!D65, Sep!D65)</f>
        <v>1113540</v>
      </c>
      <c r="E65" s="10">
        <f>SUM(Jul!E65, Aug!E65, Sep!E65)</f>
        <v>1257149.1599999999</v>
      </c>
      <c r="F65" s="10">
        <f t="shared" si="4"/>
        <v>-143609.15999999992</v>
      </c>
      <c r="G65" s="11">
        <f t="shared" si="5"/>
        <v>-0.11423398636324104</v>
      </c>
      <c r="H65" s="12">
        <f>SUM(Jul!H65,Aug!H65,Sep!H65)</f>
        <v>1107252.122</v>
      </c>
      <c r="I65" s="12">
        <f>SUM(Jul!I65, Aug!I65, Sep!I65)</f>
        <v>6287.8779999999679</v>
      </c>
      <c r="J65" s="13">
        <f t="shared" si="2"/>
        <v>5.678813230578725E-3</v>
      </c>
    </row>
    <row r="66" spans="1:10" ht="15.6">
      <c r="A66" s="26" t="str">
        <v>Washington 3</v>
      </c>
      <c r="B66" s="27" t="str">
        <v>NY</v>
      </c>
      <c r="C66" s="27" t="str">
        <f>Sites[[#This Row],[SOL'#]]</f>
        <v>SOL-10828</v>
      </c>
      <c r="D66" s="9">
        <f>SUM(Jul!D66, Aug!D66, Sep!D66)</f>
        <v>1133007</v>
      </c>
      <c r="E66" s="14">
        <f>SUM(Jul!E66, Aug!E66, Sep!E66)</f>
        <v>3115074.42</v>
      </c>
      <c r="F66" s="14">
        <f t="shared" si="4"/>
        <v>-1982067.42</v>
      </c>
      <c r="G66" s="15">
        <f t="shared" si="5"/>
        <v>-0.63628252579596478</v>
      </c>
      <c r="H66" s="16">
        <f>SUM(Jul!H66,Aug!H66,Sep!H66)</f>
        <v>1352995.1089999999</v>
      </c>
      <c r="I66" s="16">
        <f>SUM(Jul!I66, Aug!I66, Sep!I66)</f>
        <v>-219988.10900000005</v>
      </c>
      <c r="J66" s="15">
        <f t="shared" si="2"/>
        <v>-0.16259342516218961</v>
      </c>
    </row>
    <row r="67" spans="1:10" ht="15.6">
      <c r="A67" s="24" t="str">
        <v>Washington 4</v>
      </c>
      <c r="B67" s="25" t="str">
        <v>NY</v>
      </c>
      <c r="C67" s="25" t="str">
        <f>Sites[[#This Row],[SOL'#]]</f>
        <v>SOL-10829</v>
      </c>
      <c r="D67" s="20">
        <f>SUM(Jul!D67, Aug!D67, Sep!D67)</f>
        <v>1339173</v>
      </c>
      <c r="E67" s="10">
        <f>SUM(Jul!E67, Aug!E67, Sep!E67)</f>
        <v>1444615.63</v>
      </c>
      <c r="F67" s="10">
        <f t="shared" si="4"/>
        <v>-105442.62999999989</v>
      </c>
      <c r="G67" s="11">
        <f t="shared" si="5"/>
        <v>-7.2990093565580408E-2</v>
      </c>
      <c r="H67" s="12">
        <f>SUM(Jul!H67,Aug!H67,Sep!H67)</f>
        <v>1356039.0649999999</v>
      </c>
      <c r="I67" s="12">
        <f>SUM(Jul!I67, Aug!I67, Sep!I67)</f>
        <v>-16866.065000000002</v>
      </c>
      <c r="J67" s="13">
        <f t="shared" si="2"/>
        <v>-1.2437742713555234E-2</v>
      </c>
    </row>
    <row r="68" spans="1:10" ht="15.6">
      <c r="A68" s="26" t="str">
        <v>Big Tree</v>
      </c>
      <c r="B68" s="27" t="str">
        <v>NY</v>
      </c>
      <c r="C68" s="27" t="str">
        <f>Sites[[#This Row],[SOL'#]]</f>
        <v>SOL-10966</v>
      </c>
      <c r="D68" s="9">
        <f>SUM(Jul!D68, Aug!D68, Sep!D68)</f>
        <v>1209050</v>
      </c>
      <c r="E68" s="14">
        <f>SUM(Jul!E68, Aug!E68, Sep!E68)</f>
        <v>1206230</v>
      </c>
      <c r="F68" s="14">
        <f t="shared" si="4"/>
        <v>2820</v>
      </c>
      <c r="G68" s="15">
        <f t="shared" si="5"/>
        <v>2.3378625966855408E-3</v>
      </c>
      <c r="H68" s="16">
        <f>SUM(Jul!H68,Aug!H68,Sep!H68)</f>
        <v>1103905.75</v>
      </c>
      <c r="I68" s="16">
        <f>SUM(Jul!I68, Aug!I68, Sep!I68)</f>
        <v>105144.25000000006</v>
      </c>
      <c r="J68" s="15">
        <f t="shared" ref="J68:J95" si="6">IFERROR(I68/H68, "")</f>
        <v>9.5247488293271468E-2</v>
      </c>
    </row>
    <row r="69" spans="1:10" ht="15.6">
      <c r="A69" s="24" t="str">
        <v>Canoga</v>
      </c>
      <c r="B69" s="25" t="str">
        <v>NY</v>
      </c>
      <c r="C69" s="25" t="str">
        <f>Sites[[#This Row],[SOL'#]]</f>
        <v>SOL-10965</v>
      </c>
      <c r="D69" s="20">
        <f>SUM(Jul!D69, Aug!D69, Sep!D69)</f>
        <v>2558980</v>
      </c>
      <c r="E69" s="10">
        <f>SUM(Jul!E69, Aug!E69, Sep!E69)</f>
        <v>0</v>
      </c>
      <c r="F69" s="10">
        <f t="shared" si="4"/>
        <v>2558980</v>
      </c>
      <c r="G69" s="11" t="str">
        <f t="shared" si="5"/>
        <v/>
      </c>
      <c r="H69" s="12">
        <f>SUM(Jul!H69,Aug!H69,Sep!H69)</f>
        <v>0</v>
      </c>
      <c r="I69" s="12">
        <f>SUM(Jul!I69, Aug!I69, Sep!I69)</f>
        <v>2558980</v>
      </c>
      <c r="J69" s="13" t="str">
        <f t="shared" si="6"/>
        <v/>
      </c>
    </row>
    <row r="70" spans="1:10" ht="15.6">
      <c r="A70" s="26" t="str">
        <v>County Route 84</v>
      </c>
      <c r="B70" s="27" t="str">
        <v>NY</v>
      </c>
      <c r="C70" s="27" t="str">
        <f>Sites[[#This Row],[SOL'#]]</f>
        <v>SOL-10967</v>
      </c>
      <c r="D70" s="9">
        <f>SUM(Jul!D70, Aug!D70, Sep!D70)</f>
        <v>2886740</v>
      </c>
      <c r="E70" s="14">
        <f>SUM(Jul!E70, Aug!E70, Sep!E70)</f>
        <v>2782690</v>
      </c>
      <c r="F70" s="14">
        <f t="shared" ref="F70:F97" si="7">IF(AND(ISNUMBER(D70),ISNUMBER(E70)), D70-E70, "")</f>
        <v>104050</v>
      </c>
      <c r="G70" s="15">
        <f t="shared" si="5"/>
        <v>3.73918762061171E-2</v>
      </c>
      <c r="H70" s="16">
        <f>SUM(Jul!H70,Aug!H70,Sep!H70)</f>
        <v>2824365.9979999997</v>
      </c>
      <c r="I70" s="16">
        <f>SUM(Jul!I70, Aug!I70, Sep!I70)</f>
        <v>62374.002000000095</v>
      </c>
      <c r="J70" s="15">
        <f t="shared" si="6"/>
        <v>2.208424901169629E-2</v>
      </c>
    </row>
    <row r="71" spans="1:10" ht="15.6">
      <c r="A71" s="24" t="str">
        <v>Donati</v>
      </c>
      <c r="B71" s="25" t="str">
        <v>NY</v>
      </c>
      <c r="C71" s="25" t="str">
        <f>Sites[[#This Row],[SOL'#]]</f>
        <v>SOL-10968</v>
      </c>
      <c r="D71" s="20">
        <f>SUM(Jul!D71, Aug!D71, Sep!D71)</f>
        <v>1356620</v>
      </c>
      <c r="E71" s="10">
        <f>SUM(Jul!E71, Aug!E71, Sep!E71)</f>
        <v>0</v>
      </c>
      <c r="F71" s="10">
        <f t="shared" si="7"/>
        <v>1356620</v>
      </c>
      <c r="G71" s="11" t="str">
        <f t="shared" si="5"/>
        <v/>
      </c>
      <c r="H71" s="12">
        <f>SUM(Jul!H71,Aug!H71,Sep!H71)</f>
        <v>1425547.787</v>
      </c>
      <c r="I71" s="12">
        <f>SUM(Jul!I71, Aug!I71, Sep!I71)</f>
        <v>-68927.787000000011</v>
      </c>
      <c r="J71" s="13">
        <f t="shared" si="6"/>
        <v>-4.8351789837263459E-2</v>
      </c>
    </row>
    <row r="72" spans="1:10" ht="15.6">
      <c r="A72" s="26" t="str">
        <v>Henrietta</v>
      </c>
      <c r="B72" s="27" t="str">
        <v>NY</v>
      </c>
      <c r="C72" s="27" t="str">
        <f>Sites[[#This Row],[SOL'#]]</f>
        <v>SOL-10972</v>
      </c>
      <c r="D72" s="9">
        <f>SUM(Jul!D72, Aug!D72, Sep!D72)</f>
        <v>3055530</v>
      </c>
      <c r="E72" s="14">
        <f>SUM(Jul!E72, Aug!E72, Sep!E72)</f>
        <v>3010270</v>
      </c>
      <c r="F72" s="14">
        <f t="shared" si="7"/>
        <v>45260</v>
      </c>
      <c r="G72" s="15">
        <f t="shared" si="5"/>
        <v>1.503519617841589E-2</v>
      </c>
      <c r="H72" s="16">
        <f>SUM(Jul!H72,Aug!H72,Sep!H72)</f>
        <v>2951284.3220000002</v>
      </c>
      <c r="I72" s="16">
        <f>SUM(Jul!I72, Aug!I72, Sep!I72)</f>
        <v>104245.67799999984</v>
      </c>
      <c r="J72" s="15">
        <f t="shared" si="6"/>
        <v>3.5322139999495392E-2</v>
      </c>
    </row>
    <row r="73" spans="1:10" ht="15.6">
      <c r="A73" s="24" t="str">
        <v>NY 70</v>
      </c>
      <c r="B73" s="25" t="str">
        <v>NY</v>
      </c>
      <c r="C73" s="25" t="str">
        <f>Sites[[#This Row],[SOL'#]]</f>
        <v>SOL-10970</v>
      </c>
      <c r="D73" s="20">
        <f>SUM(Jul!D73, Aug!D73, Sep!D73)</f>
        <v>3307430</v>
      </c>
      <c r="E73" s="10">
        <f>SUM(Jul!E73, Aug!E73, Sep!E73)</f>
        <v>3299630</v>
      </c>
      <c r="F73" s="10">
        <f t="shared" si="7"/>
        <v>7800</v>
      </c>
      <c r="G73" s="11">
        <f t="shared" si="5"/>
        <v>2.3639014071274657E-3</v>
      </c>
      <c r="H73" s="12">
        <f>SUM(Jul!H73,Aug!H73,Sep!H73)</f>
        <v>3181543.8760000002</v>
      </c>
      <c r="I73" s="12">
        <f>SUM(Jul!I73, Aug!I73, Sep!I73)</f>
        <v>125886.12399999995</v>
      </c>
      <c r="J73" s="13">
        <f t="shared" si="6"/>
        <v>3.9567621540480033E-2</v>
      </c>
    </row>
    <row r="74" spans="1:10" ht="15.6">
      <c r="A74" s="26" t="str">
        <v>Reid</v>
      </c>
      <c r="B74" s="27" t="str">
        <v>NY</v>
      </c>
      <c r="C74" s="27" t="str">
        <f>Sites[[#This Row],[SOL'#]]</f>
        <v>SOL-10991</v>
      </c>
      <c r="D74" s="9">
        <f>SUM(Jul!D74, Aug!D74, Sep!D74)</f>
        <v>2475451.845227642</v>
      </c>
      <c r="E74" s="14">
        <f>SUM(Jul!E74, Aug!E74, Sep!E74)</f>
        <v>2211093.4240000001</v>
      </c>
      <c r="F74" s="14">
        <f t="shared" si="7"/>
        <v>264358.42122764187</v>
      </c>
      <c r="G74" s="15">
        <f t="shared" si="5"/>
        <v>0.11956004136152767</v>
      </c>
      <c r="H74" s="16">
        <f>SUM(Jul!H74,Aug!H74,Sep!H74)</f>
        <v>1675506.5</v>
      </c>
      <c r="I74" s="16">
        <f>SUM(Jul!I74, Aug!I74, Sep!I74)</f>
        <v>799945.34522764198</v>
      </c>
      <c r="J74" s="15">
        <f t="shared" si="6"/>
        <v>0.47743493995853908</v>
      </c>
    </row>
    <row r="75" spans="1:10" ht="15.6">
      <c r="A75" s="24" t="str">
        <v>Sangolqui</v>
      </c>
      <c r="B75" s="25" t="str">
        <v>NY</v>
      </c>
      <c r="C75" s="25" t="str">
        <f>Sites[[#This Row],[SOL'#]]</f>
        <v>SOL-10975</v>
      </c>
      <c r="D75" s="20">
        <f>SUM(Jul!D75, Aug!D75, Sep!D75)</f>
        <v>1139710</v>
      </c>
      <c r="E75" s="10">
        <f>SUM(Jul!E75, Aug!E75, Sep!E75)</f>
        <v>1068400</v>
      </c>
      <c r="F75" s="10">
        <f t="shared" si="7"/>
        <v>71310</v>
      </c>
      <c r="G75" s="11">
        <f t="shared" si="5"/>
        <v>6.67446649195058E-2</v>
      </c>
      <c r="H75" s="12">
        <f>SUM(Jul!H75,Aug!H75,Sep!H75)</f>
        <v>1392778.811</v>
      </c>
      <c r="I75" s="12">
        <f>SUM(Jul!I75, Aug!I75, Sep!I75)</f>
        <v>-253068.81099999999</v>
      </c>
      <c r="J75" s="13">
        <f t="shared" si="6"/>
        <v>-0.18170064693782881</v>
      </c>
    </row>
    <row r="76" spans="1:10" ht="15.6">
      <c r="A76" s="26" t="str">
        <v>State Highway 17B</v>
      </c>
      <c r="B76" s="27" t="str">
        <v>NY</v>
      </c>
      <c r="C76" s="27" t="str">
        <f>Sites[[#This Row],[SOL'#]]</f>
        <v>SOL-10988</v>
      </c>
      <c r="D76" s="9">
        <f>SUM(Jul!D76, Aug!D76, Sep!D76)</f>
        <v>2485060</v>
      </c>
      <c r="E76" s="14">
        <f>SUM(Jul!E76, Aug!E76, Sep!E76)</f>
        <v>1556820</v>
      </c>
      <c r="F76" s="14">
        <f t="shared" si="7"/>
        <v>928240</v>
      </c>
      <c r="G76" s="15">
        <f t="shared" si="5"/>
        <v>0.5962410554848987</v>
      </c>
      <c r="H76" s="16">
        <f>SUM(Jul!H76,Aug!H76,Sep!H76)</f>
        <v>0</v>
      </c>
      <c r="I76" s="16">
        <f>SUM(Jul!I76, Aug!I76, Sep!I76)</f>
        <v>0</v>
      </c>
      <c r="J76" s="15" t="str">
        <f t="shared" si="6"/>
        <v/>
      </c>
    </row>
    <row r="77" spans="1:10" ht="15.6">
      <c r="A77" s="24" t="str">
        <v>State Route 14A</v>
      </c>
      <c r="B77" s="25" t="str">
        <v>NY</v>
      </c>
      <c r="C77" s="25" t="str">
        <f>Sites[[#This Row],[SOL'#]]</f>
        <v>SOL-10997</v>
      </c>
      <c r="D77" s="20">
        <f>SUM(Jul!D77, Aug!D77, Sep!D77)</f>
        <v>0</v>
      </c>
      <c r="E77" s="10">
        <f>SUM(Jul!E77, Aug!E77, Sep!E77)</f>
        <v>0</v>
      </c>
      <c r="F77" s="10">
        <f t="shared" si="7"/>
        <v>0</v>
      </c>
      <c r="G77" s="11" t="str">
        <f t="shared" si="5"/>
        <v/>
      </c>
      <c r="H77" s="12">
        <f>SUM(Jul!H77,Aug!H77,Sep!H77)</f>
        <v>2839019.4210000001</v>
      </c>
      <c r="I77" s="12">
        <f>SUM(Jul!I77, Aug!I77, Sep!I77)</f>
        <v>-2839019.4210000001</v>
      </c>
      <c r="J77" s="13">
        <f t="shared" si="6"/>
        <v>-1</v>
      </c>
    </row>
    <row r="78" spans="1:10" ht="15.6">
      <c r="A78" s="26" t="str">
        <v>West Creek</v>
      </c>
      <c r="B78" s="27" t="str">
        <v>NY</v>
      </c>
      <c r="C78" s="27" t="str">
        <f>Sites[[#This Row],[SOL'#]]</f>
        <v>SOL-10995</v>
      </c>
      <c r="D78" s="9">
        <f>SUM(Jul!D78, Aug!D78, Sep!D78)</f>
        <v>2901170</v>
      </c>
      <c r="E78" s="14">
        <f>SUM(Jul!E78, Aug!E78, Sep!E78)</f>
        <v>2543560</v>
      </c>
      <c r="F78" s="14">
        <f t="shared" si="7"/>
        <v>357610</v>
      </c>
      <c r="G78" s="15">
        <f t="shared" si="5"/>
        <v>0.14059428517510891</v>
      </c>
      <c r="H78" s="16">
        <f>SUM(Jul!H78,Aug!H78,Sep!H78)</f>
        <v>2835607.7949999999</v>
      </c>
      <c r="I78" s="16">
        <f>SUM(Jul!I78, Aug!I78, Sep!I78)</f>
        <v>65562.205000000075</v>
      </c>
      <c r="J78" s="15">
        <f t="shared" si="6"/>
        <v>2.3121041321583782E-2</v>
      </c>
    </row>
    <row r="79" spans="1:10" ht="15.6">
      <c r="A79" s="24" t="str">
        <v>Wildflower</v>
      </c>
      <c r="B79" s="25" t="str">
        <v>NY</v>
      </c>
      <c r="C79" s="25" t="str">
        <f>Sites[[#This Row],[SOL'#]]</f>
        <v>SOL-10982</v>
      </c>
      <c r="D79" s="20">
        <f>SUM(Jul!D79, Aug!D79, Sep!D79)</f>
        <v>2517103</v>
      </c>
      <c r="E79" s="10">
        <f>SUM(Jul!E79, Aug!E79, Sep!E79)</f>
        <v>2510655</v>
      </c>
      <c r="F79" s="10">
        <f t="shared" si="7"/>
        <v>6448</v>
      </c>
      <c r="G79" s="11">
        <f t="shared" si="5"/>
        <v>2.5682541010214467E-3</v>
      </c>
      <c r="H79" s="12">
        <f>SUM(Jul!H79,Aug!H79,Sep!H79)</f>
        <v>2711596.06</v>
      </c>
      <c r="I79" s="12">
        <f>SUM(Jul!I79, Aug!I79, Sep!I79)</f>
        <v>-194493.06000000006</v>
      </c>
      <c r="J79" s="13">
        <f t="shared" si="6"/>
        <v>-7.1726413409820361E-2</v>
      </c>
    </row>
    <row r="80" spans="1:10" ht="15.6">
      <c r="A80" s="26" t="str">
        <v>Glen Mary 1</v>
      </c>
      <c r="B80" s="27" t="str">
        <v>NY</v>
      </c>
      <c r="C80" s="27" t="str">
        <f>Sites[[#This Row],[SOL'#]]</f>
        <v>SOL-10993</v>
      </c>
      <c r="D80" s="9">
        <f>SUM(Jul!D80, Aug!D80, Sep!D80)</f>
        <v>2885780</v>
      </c>
      <c r="E80" s="14">
        <f>SUM(Jul!E80, Aug!E80, Sep!E80)</f>
        <v>2874200</v>
      </c>
      <c r="F80" s="14">
        <f t="shared" si="7"/>
        <v>11580</v>
      </c>
      <c r="G80" s="15">
        <f t="shared" si="5"/>
        <v>4.0289471853037365E-3</v>
      </c>
      <c r="H80" s="16">
        <f>SUM(Jul!H80,Aug!H80,Sep!H80)</f>
        <v>2793945.6060000001</v>
      </c>
      <c r="I80" s="16">
        <f>SUM(Jul!I80, Aug!I80, Sep!I80)</f>
        <v>91834.394000000088</v>
      </c>
      <c r="J80" s="15">
        <f t="shared" si="6"/>
        <v>3.2869070107444345E-2</v>
      </c>
    </row>
    <row r="81" spans="1:10" ht="15.6">
      <c r="A81" s="24" t="str">
        <v>Glen Mary 2</v>
      </c>
      <c r="B81" s="25" t="str">
        <v>NY</v>
      </c>
      <c r="C81" s="25" t="str">
        <f>Sites[[#This Row],[SOL'#]]</f>
        <v>SOL-10994</v>
      </c>
      <c r="D81" s="20">
        <f>SUM(Jul!D81, Aug!D81, Sep!D81)</f>
        <v>1264540</v>
      </c>
      <c r="E81" s="10">
        <f>SUM(Jul!E81, Aug!E81, Sep!E81)</f>
        <v>473050</v>
      </c>
      <c r="F81" s="10">
        <f t="shared" si="7"/>
        <v>791490</v>
      </c>
      <c r="G81" s="11">
        <f t="shared" si="5"/>
        <v>1.6731635133706797</v>
      </c>
      <c r="H81" s="12">
        <f>SUM(Jul!H81,Aug!H81,Sep!H81)</f>
        <v>1188326.8059999999</v>
      </c>
      <c r="I81" s="12">
        <f>SUM(Jul!I81, Aug!I81, Sep!I81)</f>
        <v>76213.193999999959</v>
      </c>
      <c r="J81" s="13">
        <f t="shared" si="6"/>
        <v>6.4134877388266176E-2</v>
      </c>
    </row>
    <row r="82" spans="1:10" ht="15.6">
      <c r="A82" s="26" t="str">
        <v>Telegraph 1</v>
      </c>
      <c r="B82" s="27" t="str">
        <v>NY</v>
      </c>
      <c r="C82" s="27" t="str">
        <f>Sites[[#This Row],[SOL'#]]</f>
        <v>SOL-11003</v>
      </c>
      <c r="D82" s="9">
        <f>SUM(Jul!D82, Aug!D82, Sep!D82)</f>
        <v>2147619</v>
      </c>
      <c r="E82" s="14">
        <f>SUM(Jul!E82, Aug!E82, Sep!E82)</f>
        <v>0</v>
      </c>
      <c r="F82" s="14">
        <f t="shared" si="7"/>
        <v>2147619</v>
      </c>
      <c r="G82" s="15" t="str">
        <f t="shared" si="5"/>
        <v/>
      </c>
      <c r="H82" s="16">
        <f>SUM(Jul!H82,Aug!H82,Sep!H82)</f>
        <v>1995786.2740000002</v>
      </c>
      <c r="I82" s="16">
        <f>SUM(Jul!I82, Aug!I82, Sep!I82)</f>
        <v>151832.72600000002</v>
      </c>
      <c r="J82" s="15">
        <f t="shared" si="6"/>
        <v>7.6076646070770609E-2</v>
      </c>
    </row>
    <row r="83" spans="1:10" ht="15.6">
      <c r="A83" s="24" t="str">
        <v>Telegraph 2</v>
      </c>
      <c r="B83" s="25" t="str">
        <v>NY</v>
      </c>
      <c r="C83" s="25" t="str">
        <f>Sites[[#This Row],[SOL'#]]</f>
        <v>SOL-11004</v>
      </c>
      <c r="D83" s="20">
        <f>SUM(Jul!D83, Aug!D83, Sep!D83)</f>
        <v>1111130</v>
      </c>
      <c r="E83" s="10">
        <f>SUM(Jul!E83, Aug!E83, Sep!E83)</f>
        <v>0</v>
      </c>
      <c r="F83" s="10">
        <f t="shared" si="7"/>
        <v>1111130</v>
      </c>
      <c r="G83" s="11" t="str">
        <f t="shared" si="5"/>
        <v/>
      </c>
      <c r="H83" s="12">
        <f>SUM(Jul!H83,Aug!H83,Sep!H83)</f>
        <v>1039062.1229999999</v>
      </c>
      <c r="I83" s="12">
        <f>SUM(Jul!I83, Aug!I83, Sep!I83)</f>
        <v>72067.876999999979</v>
      </c>
      <c r="J83" s="13">
        <f t="shared" si="6"/>
        <v>6.9358583480960925E-2</v>
      </c>
    </row>
    <row r="84" spans="1:10" ht="15.6">
      <c r="A84" s="26" t="str">
        <v>Cafferty Hill</v>
      </c>
      <c r="B84" s="27" t="str">
        <v>NY</v>
      </c>
      <c r="C84" s="27" t="str">
        <f>Sites[[#This Row],[SOL'#]]</f>
        <v>SOL-10996</v>
      </c>
      <c r="D84" s="9">
        <f>SUM(Jul!D84, Aug!D84, Sep!D84)</f>
        <v>2982310</v>
      </c>
      <c r="E84" s="14">
        <f>SUM(Jul!E84, Aug!E84, Sep!E84)</f>
        <v>3076673.9499999997</v>
      </c>
      <c r="F84" s="14">
        <f t="shared" si="7"/>
        <v>-94363.949999999721</v>
      </c>
      <c r="G84" s="15">
        <f t="shared" si="5"/>
        <v>-3.0670767046992332E-2</v>
      </c>
      <c r="H84" s="16">
        <f>SUM(Jul!H84,Aug!H84,Sep!H84)</f>
        <v>2742218.6030000001</v>
      </c>
      <c r="I84" s="16">
        <f>SUM(Jul!I84, Aug!I84, Sep!I84)</f>
        <v>240091.39700000011</v>
      </c>
      <c r="J84" s="15">
        <f t="shared" si="6"/>
        <v>8.7553704411945488E-2</v>
      </c>
    </row>
    <row r="85" spans="1:10" ht="15.6">
      <c r="A85" s="24" t="str">
        <v>Dunkleman</v>
      </c>
      <c r="B85" s="25" t="str">
        <v>NY</v>
      </c>
      <c r="C85" s="25" t="str">
        <f>Sites[[#This Row],[SOL'#]]</f>
        <v>SOL-11008</v>
      </c>
      <c r="D85" s="20">
        <f>SUM(Jul!D85, Aug!D85, Sep!D85)</f>
        <v>3618040</v>
      </c>
      <c r="E85" s="10">
        <f>SUM(Jul!E85, Aug!E85, Sep!E85)</f>
        <v>3609080</v>
      </c>
      <c r="F85" s="10">
        <f t="shared" si="7"/>
        <v>8960</v>
      </c>
      <c r="G85" s="11">
        <f t="shared" si="5"/>
        <v>2.4826271515178385E-3</v>
      </c>
      <c r="H85" s="12">
        <f>SUM(Jul!H85,Aug!H85,Sep!H85)</f>
        <v>3338553.3029999998</v>
      </c>
      <c r="I85" s="12">
        <f>SUM(Jul!I85, Aug!I85, Sep!I85)</f>
        <v>279486.69700000004</v>
      </c>
      <c r="J85" s="13">
        <f t="shared" si="6"/>
        <v>8.3714912309129627E-2</v>
      </c>
    </row>
    <row r="86" spans="1:10" ht="15.6">
      <c r="A86" s="26" t="str">
        <v>Route 19 1</v>
      </c>
      <c r="B86" s="27" t="str">
        <v>NY</v>
      </c>
      <c r="C86" s="27" t="str">
        <f>Sites[[#This Row],[SOL'#]]</f>
        <v>SOL-11001</v>
      </c>
      <c r="D86" s="9">
        <f>SUM(Jul!D86, Aug!D86, Sep!D86)</f>
        <v>1230240</v>
      </c>
      <c r="E86" s="14">
        <f>SUM(Jul!E86, Aug!E86, Sep!E86)</f>
        <v>1225300</v>
      </c>
      <c r="F86" s="14">
        <f t="shared" si="7"/>
        <v>4940</v>
      </c>
      <c r="G86" s="15">
        <f t="shared" si="5"/>
        <v>4.0316657145188931E-3</v>
      </c>
      <c r="H86" s="16">
        <f>SUM(Jul!H86,Aug!H86,Sep!H86)</f>
        <v>1356278.6440000001</v>
      </c>
      <c r="I86" s="16">
        <f>SUM(Jul!I86, Aug!I86, Sep!I86)</f>
        <v>-126038.64400000003</v>
      </c>
      <c r="J86" s="15">
        <f t="shared" si="6"/>
        <v>-9.2929756401885819E-2</v>
      </c>
    </row>
    <row r="87" spans="1:10" ht="15.6">
      <c r="A87" s="24" t="str">
        <v>Route 19 2</v>
      </c>
      <c r="B87" s="25" t="str">
        <v>NY</v>
      </c>
      <c r="C87" s="25" t="str">
        <f>Sites[[#This Row],[SOL'#]]</f>
        <v>SOL-11002</v>
      </c>
      <c r="D87" s="20">
        <f>SUM(Jul!D87, Aug!D87, Sep!D87)</f>
        <v>3520420</v>
      </c>
      <c r="E87" s="10">
        <f>SUM(Jul!E87, Aug!E87, Sep!E87)</f>
        <v>3509420</v>
      </c>
      <c r="F87" s="10">
        <f t="shared" si="7"/>
        <v>11000</v>
      </c>
      <c r="G87" s="11">
        <f t="shared" si="5"/>
        <v>3.1344210724279227E-3</v>
      </c>
      <c r="H87" s="12">
        <f>SUM(Jul!H87,Aug!H87,Sep!H87)</f>
        <v>3352274.0379999997</v>
      </c>
      <c r="I87" s="12">
        <f>SUM(Jul!I87, Aug!I87, Sep!I87)</f>
        <v>168145.96200000006</v>
      </c>
      <c r="J87" s="13">
        <f t="shared" si="6"/>
        <v>5.0158775832156499E-2</v>
      </c>
    </row>
    <row r="88" spans="1:10" ht="15.6">
      <c r="A88" s="26" t="str">
        <v>Yellow Mills 1</v>
      </c>
      <c r="B88" s="27" t="str">
        <v>NY</v>
      </c>
      <c r="C88" s="27" t="str">
        <f>Sites[[#This Row],[SOL'#]]</f>
        <v>SOL-11006</v>
      </c>
      <c r="D88" s="9">
        <f>SUM(Jul!D88, Aug!D88, Sep!D88)</f>
        <v>1010411</v>
      </c>
      <c r="E88" s="14">
        <f>SUM(Jul!E88, Aug!E88, Sep!E88)</f>
        <v>1005252</v>
      </c>
      <c r="F88" s="14">
        <f t="shared" si="7"/>
        <v>5159</v>
      </c>
      <c r="G88" s="15">
        <f t="shared" si="5"/>
        <v>5.1320464918249353E-3</v>
      </c>
      <c r="H88" s="16">
        <f>SUM(Jul!H88,Aug!H88,Sep!H88)</f>
        <v>1162592.176</v>
      </c>
      <c r="I88" s="16">
        <f>SUM(Jul!I88, Aug!I88, Sep!I88)</f>
        <v>-152181.17599999998</v>
      </c>
      <c r="J88" s="15">
        <f t="shared" si="6"/>
        <v>-0.13089815942473707</v>
      </c>
    </row>
    <row r="89" spans="1:10" ht="15.6">
      <c r="A89" s="24" t="str">
        <v>Yellow Mills 2</v>
      </c>
      <c r="B89" s="25" t="str">
        <v>NY</v>
      </c>
      <c r="C89" s="25" t="str">
        <f>Sites[[#This Row],[SOL'#]]</f>
        <v>SOL-11005</v>
      </c>
      <c r="D89" s="20">
        <f>SUM(Jul!D89, Aug!D89, Sep!D89)</f>
        <v>998560</v>
      </c>
      <c r="E89" s="10">
        <f>SUM(Jul!E89, Aug!E89, Sep!E89)</f>
        <v>0</v>
      </c>
      <c r="F89" s="10">
        <f t="shared" si="7"/>
        <v>998560</v>
      </c>
      <c r="G89" s="11" t="str">
        <f t="shared" si="5"/>
        <v/>
      </c>
      <c r="H89" s="12">
        <f>SUM(Jul!H89,Aug!H89,Sep!H89)</f>
        <v>1206340.466</v>
      </c>
      <c r="I89" s="12">
        <f>SUM(Jul!I89, Aug!I89, Sep!I89)</f>
        <v>-207780.46600000001</v>
      </c>
      <c r="J89" s="13">
        <f t="shared" si="6"/>
        <v>-0.17224031843096607</v>
      </c>
    </row>
    <row r="90" spans="1:10" ht="15.6">
      <c r="A90" s="26" t="str">
        <v>Yellow Mills 3</v>
      </c>
      <c r="B90" s="27" t="str">
        <v>NY</v>
      </c>
      <c r="C90" s="27" t="str">
        <f>Sites[[#This Row],[SOL'#]]</f>
        <v>SOL-11007</v>
      </c>
      <c r="D90" s="9">
        <f>SUM(Jul!D90, Aug!D90, Sep!D90)</f>
        <v>950025</v>
      </c>
      <c r="E90" s="14">
        <f>SUM(Jul!E90, Aug!E90, Sep!E90)</f>
        <v>930142</v>
      </c>
      <c r="F90" s="14">
        <f t="shared" si="7"/>
        <v>19883</v>
      </c>
      <c r="G90" s="15">
        <f t="shared" si="5"/>
        <v>2.1376305983387484E-2</v>
      </c>
      <c r="H90" s="16">
        <f>SUM(Jul!H90,Aug!H90,Sep!H90)</f>
        <v>1148258.9909999999</v>
      </c>
      <c r="I90" s="16">
        <f>SUM(Jul!I90, Aug!I90, Sep!I90)</f>
        <v>-198233.99100000004</v>
      </c>
      <c r="J90" s="15">
        <f t="shared" si="6"/>
        <v>-0.1726387448770258</v>
      </c>
    </row>
    <row r="91" spans="1:10" ht="15.6">
      <c r="A91" s="24" t="str">
        <v>Catskill</v>
      </c>
      <c r="B91" s="25" t="str">
        <v>NY</v>
      </c>
      <c r="C91" s="25" t="str">
        <f>Sites[[#This Row],[SOL'#]]</f>
        <v>SOL-11021</v>
      </c>
      <c r="D91" s="20">
        <f>SUM(Jul!D91, Aug!D91, Sep!D91)</f>
        <v>1275409</v>
      </c>
      <c r="E91" s="10">
        <f>SUM(Jul!E91, Aug!E91, Sep!E91)</f>
        <v>358236</v>
      </c>
      <c r="F91" s="10">
        <f t="shared" si="7"/>
        <v>917173</v>
      </c>
      <c r="G91" s="11">
        <f t="shared" si="5"/>
        <v>2.5602479929431996</v>
      </c>
      <c r="H91" s="12">
        <f>SUM(Jul!H91,Aug!H91,Sep!H91)</f>
        <v>2134906.8119999999</v>
      </c>
      <c r="I91" s="12">
        <f>SUM(Jul!I91, Aug!I91, Sep!I91)</f>
        <v>-859497.81199999992</v>
      </c>
      <c r="J91" s="13">
        <f t="shared" si="6"/>
        <v>-0.40259265986172699</v>
      </c>
    </row>
    <row r="92" spans="1:10" ht="15.6">
      <c r="A92" s="26" t="str">
        <v>Eddy Ridge</v>
      </c>
      <c r="B92" s="27" t="str">
        <v>NY</v>
      </c>
      <c r="C92" s="27" t="str">
        <f>Sites[[#This Row],[SOL'#]]</f>
        <v>SOL-11054</v>
      </c>
      <c r="D92" s="9">
        <f>SUM(Jul!D92, Aug!D92, Sep!D92)</f>
        <v>1621025</v>
      </c>
      <c r="E92" s="14">
        <f>SUM(Jul!E92, Aug!E92, Sep!E92)</f>
        <v>1615367</v>
      </c>
      <c r="F92" s="14">
        <f t="shared" si="7"/>
        <v>5658</v>
      </c>
      <c r="G92" s="15">
        <f t="shared" si="5"/>
        <v>3.5026096236954202E-3</v>
      </c>
      <c r="H92" s="16">
        <f>SUM(Jul!H92,Aug!H92,Sep!H92)</f>
        <v>1665630</v>
      </c>
      <c r="I92" s="16">
        <f>SUM(Jul!I92, Aug!I92, Sep!I92)</f>
        <v>-44605</v>
      </c>
      <c r="J92" s="15">
        <f t="shared" si="6"/>
        <v>-2.6779656946620798E-2</v>
      </c>
    </row>
    <row r="93" spans="1:10" ht="15.6">
      <c r="A93" s="24" t="str">
        <v>Ridgeway #1</v>
      </c>
      <c r="B93" s="25" t="str">
        <v>NY</v>
      </c>
      <c r="C93" s="25" t="str">
        <f>Sites[[#This Row],[SOL'#]]</f>
        <v>SOL-11018</v>
      </c>
      <c r="D93" s="20">
        <f>SUM(Jul!D93, Aug!D93, Sep!D93)</f>
        <v>3897796</v>
      </c>
      <c r="E93" s="10">
        <f>SUM(Jul!E93, Aug!E93, Sep!E93)</f>
        <v>3884735</v>
      </c>
      <c r="F93" s="10">
        <f t="shared" si="7"/>
        <v>13061</v>
      </c>
      <c r="G93" s="11">
        <f t="shared" si="5"/>
        <v>3.3621340966629642E-3</v>
      </c>
      <c r="H93" s="12">
        <f>SUM(Jul!H93,Aug!H93,Sep!H93)</f>
        <v>3692237.6399999997</v>
      </c>
      <c r="I93" s="12">
        <f>SUM(Jul!I93, Aug!I93, Sep!I93)</f>
        <v>205558.3600000001</v>
      </c>
      <c r="J93" s="13">
        <f t="shared" si="6"/>
        <v>5.5673112091452523E-2</v>
      </c>
    </row>
    <row r="94" spans="1:10" ht="15.6">
      <c r="A94" s="26" t="str">
        <v>Rivard 1</v>
      </c>
      <c r="B94" s="27" t="str">
        <v>NY</v>
      </c>
      <c r="C94" s="27" t="str">
        <f>Sites[[#This Row],[SOL'#]]</f>
        <v>SOL-11011</v>
      </c>
      <c r="D94" s="9">
        <f>SUM(Jul!D94, Aug!D94, Sep!D94)</f>
        <v>2948952.1042654002</v>
      </c>
      <c r="E94" s="14">
        <f>SUM(Jul!E94, Aug!E94, Sep!E94)</f>
        <v>3133096.68</v>
      </c>
      <c r="F94" s="14">
        <f t="shared" si="7"/>
        <v>-184144.57573459996</v>
      </c>
      <c r="G94" s="15">
        <f t="shared" si="5"/>
        <v>-5.8773984508706557E-2</v>
      </c>
      <c r="H94" s="16">
        <f>SUM(Jul!H94,Aug!H94,Sep!H94)</f>
        <v>2775918.31</v>
      </c>
      <c r="I94" s="16">
        <f>SUM(Jul!I94, Aug!I94, Sep!I94)</f>
        <v>173033.79426539992</v>
      </c>
      <c r="J94" s="15">
        <f t="shared" si="6"/>
        <v>6.2333892766966874E-2</v>
      </c>
    </row>
    <row r="95" spans="1:10" ht="15.6">
      <c r="A95" s="24" t="str">
        <v>Rivard 2</v>
      </c>
      <c r="B95" s="25" t="str">
        <v>NY</v>
      </c>
      <c r="C95" s="25" t="str">
        <f>Sites[[#This Row],[SOL'#]]</f>
        <v>SOL-11012</v>
      </c>
      <c r="D95" s="20">
        <f>SUM(Jul!D95, Aug!D95, Sep!D95)</f>
        <v>3083382</v>
      </c>
      <c r="E95" s="10">
        <f>SUM(Jul!E95, Aug!E95, Sep!E95)</f>
        <v>3020007.84</v>
      </c>
      <c r="F95" s="10">
        <f t="shared" si="7"/>
        <v>63374.160000000149</v>
      </c>
      <c r="G95" s="11">
        <f t="shared" si="5"/>
        <v>2.0984766715042749E-2</v>
      </c>
      <c r="H95" s="12">
        <f>SUM(Jul!H95,Aug!H95,Sep!H95)</f>
        <v>2669049.41</v>
      </c>
      <c r="I95" s="12">
        <f>SUM(Jul!I95, Aug!I95, Sep!I95)</f>
        <v>414332.58999999997</v>
      </c>
      <c r="J95" s="13">
        <f t="shared" si="6"/>
        <v>0.15523601340898366</v>
      </c>
    </row>
    <row r="96" spans="1:10" ht="15.6">
      <c r="A96" s="26" t="str">
        <v>Ridgeway #2</v>
      </c>
      <c r="B96" s="27" t="str">
        <v>NY</v>
      </c>
      <c r="C96" s="27" t="str">
        <f>Sites[[#This Row],[SOL'#]]</f>
        <v>SOL-11027</v>
      </c>
      <c r="D96" s="9">
        <f>SUM(Jul!D96, Aug!D96, Sep!D96)</f>
        <v>1241274</v>
      </c>
      <c r="E96" s="14">
        <f>SUM(Jul!E96, Aug!E96, Sep!E96)</f>
        <v>1237054</v>
      </c>
      <c r="F96" s="14">
        <f t="shared" si="7"/>
        <v>4220</v>
      </c>
      <c r="G96" s="15">
        <f t="shared" ref="G96:G97" si="8">IFERROR(F96/E96, "")</f>
        <v>3.4113304673846091E-3</v>
      </c>
      <c r="H96" s="16">
        <f>SUM(Jul!H96,Aug!H96,Sep!H96)</f>
        <v>1107137.51</v>
      </c>
      <c r="I96" s="16">
        <f>SUM(Jul!I96, Aug!I96, Sep!I96)</f>
        <v>134136.49000000005</v>
      </c>
      <c r="J96" s="15">
        <f t="shared" ref="J96:J97" si="9">IFERROR(I96/H96, "")</f>
        <v>0.12115612449983747</v>
      </c>
    </row>
    <row r="97" spans="1:10" ht="15.6">
      <c r="A97" s="24" t="str">
        <v>Spencer</v>
      </c>
      <c r="B97" s="25" t="str">
        <v>NY</v>
      </c>
      <c r="C97" s="25" t="str">
        <f>Sites[[#This Row],[SOL'#]]</f>
        <v>SOL-11017</v>
      </c>
      <c r="D97" s="20">
        <f>SUM(Jul!D97, Aug!D97, Sep!D97)</f>
        <v>3371243.05</v>
      </c>
      <c r="E97" s="10">
        <f>SUM(Jul!E97, Aug!E97, Sep!E97)</f>
        <v>3361661.15</v>
      </c>
      <c r="F97" s="10">
        <f t="shared" si="7"/>
        <v>9581.8999999999069</v>
      </c>
      <c r="G97" s="11">
        <f t="shared" si="8"/>
        <v>2.8503467697807397E-3</v>
      </c>
      <c r="H97" s="12">
        <f>SUM(Jul!H97,Aug!H97,Sep!H97)</f>
        <v>3433745</v>
      </c>
      <c r="I97" s="12">
        <f>SUM(Jul!I97, Aug!I97, Sep!I97)</f>
        <v>-62501.949999999953</v>
      </c>
      <c r="J97" s="13">
        <f t="shared" si="9"/>
        <v>-1.8202268951247096E-2</v>
      </c>
    </row>
    <row r="98" spans="1:10" ht="15.6">
      <c r="A98" s="26" t="str">
        <v>Reisender</v>
      </c>
      <c r="B98" s="27" t="str">
        <v>NY</v>
      </c>
      <c r="C98" s="27" t="str">
        <f>Sites[[#This Row],[SOL'#]]</f>
        <v>SOL-10886</v>
      </c>
      <c r="D98" s="9">
        <f>SUM(Jul!D98, Aug!D98, Sep!D98)</f>
        <v>1122430</v>
      </c>
      <c r="E98" s="14">
        <f>SUM(Jul!E98, Aug!E98, Sep!E98)</f>
        <v>1130183</v>
      </c>
      <c r="F98" s="14">
        <f t="shared" ref="F98:F158" si="10">IF(AND(ISNUMBER(D98),ISNUMBER(E98)), D98-E98, "")</f>
        <v>-7753</v>
      </c>
      <c r="G98" s="15">
        <f t="shared" ref="G98:G158" si="11">IFERROR(F98/E98, "")</f>
        <v>-6.8599509990859885E-3</v>
      </c>
      <c r="H98" s="16">
        <f>SUM(Jul!H98,Aug!H98,Sep!H98)</f>
        <v>1116783.077</v>
      </c>
      <c r="I98" s="16">
        <f>SUM(Jul!I98, Aug!I98, Sep!I98)</f>
        <v>5646.9229999999516</v>
      </c>
      <c r="J98" s="15">
        <f t="shared" ref="J98:J154" si="12">IFERROR(I98/H98, "")</f>
        <v>5.056418848295237E-3</v>
      </c>
    </row>
    <row r="99" spans="1:10" ht="15.6">
      <c r="A99" s="24" t="str">
        <v>Finney</v>
      </c>
      <c r="B99" s="25" t="str">
        <v>NY</v>
      </c>
      <c r="C99" s="25" t="str">
        <f>Sites[[#This Row],[SOL'#]]</f>
        <v>SOL-10999</v>
      </c>
      <c r="D99" s="20">
        <f>SUM(Jul!D99, Aug!D99, Sep!D99)</f>
        <v>2276510</v>
      </c>
      <c r="E99" s="10">
        <f>SUM(Jul!E99, Aug!E99, Sep!E99)</f>
        <v>2261080</v>
      </c>
      <c r="F99" s="10">
        <f t="shared" si="10"/>
        <v>15430</v>
      </c>
      <c r="G99" s="11">
        <f t="shared" si="11"/>
        <v>6.8241725193270474E-3</v>
      </c>
      <c r="H99" s="12">
        <f>SUM(Jul!H99,Aug!H99,Sep!H99)</f>
        <v>3489900.2309999997</v>
      </c>
      <c r="I99" s="12">
        <f>SUM(Jul!I99, Aug!I99, Sep!I99)</f>
        <v>-1213390.2309999999</v>
      </c>
      <c r="J99" s="13">
        <f t="shared" si="12"/>
        <v>-0.34768622329708082</v>
      </c>
    </row>
    <row r="100" spans="1:10" ht="15.6">
      <c r="A100" s="26" t="str">
        <v>Davis Solar</v>
      </c>
      <c r="B100" s="27" t="str">
        <v>NY</v>
      </c>
      <c r="C100" s="27" t="str">
        <f>Sites[[#This Row],[SOL'#]]</f>
        <v>SOL-10958</v>
      </c>
      <c r="D100" s="9">
        <f>SUM(Jul!D100, Aug!D100, Sep!D100)</f>
        <v>1158562</v>
      </c>
      <c r="E100" s="14">
        <f>SUM(Jul!E100, Aug!E100, Sep!E100)</f>
        <v>1260227.83</v>
      </c>
      <c r="F100" s="14">
        <f t="shared" si="10"/>
        <v>-101665.83000000007</v>
      </c>
      <c r="G100" s="15">
        <f t="shared" si="11"/>
        <v>-8.0672579655696117E-2</v>
      </c>
      <c r="H100" s="16">
        <f>SUM(Jul!H100,Aug!H100,Sep!H100)</f>
        <v>1282123</v>
      </c>
      <c r="I100" s="16">
        <f>SUM(Jul!I100, Aug!I100, Sep!I100)</f>
        <v>-123561</v>
      </c>
      <c r="J100" s="15">
        <f t="shared" si="12"/>
        <v>-9.6372188939750705E-2</v>
      </c>
    </row>
    <row r="101" spans="1:10" ht="15.6">
      <c r="A101" s="24" t="str">
        <v>Genesee</v>
      </c>
      <c r="B101" s="25" t="str">
        <v>NY</v>
      </c>
      <c r="C101" s="25" t="str">
        <f>Sites[[#This Row],[SOL'#]]</f>
        <v>SOL-10951</v>
      </c>
      <c r="D101" s="20">
        <f>SUM(Jul!D101, Aug!D101, Sep!D101)</f>
        <v>2560299.2999999998</v>
      </c>
      <c r="E101" s="10">
        <f>SUM(Jul!E101, Aug!E101, Sep!E101)</f>
        <v>2224787.8899999997</v>
      </c>
      <c r="F101" s="10">
        <f t="shared" si="10"/>
        <v>335511.41000000015</v>
      </c>
      <c r="G101" s="11">
        <f t="shared" si="11"/>
        <v>0.15080602133266746</v>
      </c>
      <c r="H101" s="12">
        <f>SUM(Jul!H101,Aug!H101,Sep!H101)</f>
        <v>2663980.3480000002</v>
      </c>
      <c r="I101" s="12">
        <f>SUM(Jul!I101, Aug!I101, Sep!I101)</f>
        <v>-103681.04799999995</v>
      </c>
      <c r="J101" s="13">
        <f t="shared" si="12"/>
        <v>-3.891959941740529E-2</v>
      </c>
    </row>
    <row r="102" spans="1:10" ht="15.6">
      <c r="A102" s="26" t="str">
        <v>Landau I</v>
      </c>
      <c r="B102" s="27" t="str">
        <v>NY</v>
      </c>
      <c r="C102" s="27" t="str">
        <f>Sites[[#This Row],[SOL'#]]</f>
        <v>SOL-10891</v>
      </c>
      <c r="D102" s="9">
        <f>SUM(Jul!D102, Aug!D102, Sep!D102)</f>
        <v>1207510</v>
      </c>
      <c r="E102" s="14">
        <f>SUM(Jul!E102, Aug!E102, Sep!E102)</f>
        <v>0</v>
      </c>
      <c r="F102" s="14">
        <f t="shared" si="10"/>
        <v>1207510</v>
      </c>
      <c r="G102" s="15" t="str">
        <f t="shared" si="11"/>
        <v/>
      </c>
      <c r="H102" s="16">
        <f>SUM(Jul!H102,Aug!H102,Sep!H102)</f>
        <v>1208529.0900000001</v>
      </c>
      <c r="I102" s="16">
        <f>SUM(Jul!I102, Aug!I102, Sep!I102)</f>
        <v>-1019.0900000000256</v>
      </c>
      <c r="J102" s="15">
        <f t="shared" si="12"/>
        <v>-8.4324821672271497E-4</v>
      </c>
    </row>
    <row r="103" spans="1:10" ht="15.6">
      <c r="A103" s="24" t="str">
        <v>Landau II</v>
      </c>
      <c r="B103" s="25" t="str">
        <v>NY</v>
      </c>
      <c r="C103" s="25" t="str">
        <f>Sites[[#This Row],[SOL'#]]</f>
        <v>SOL-10895</v>
      </c>
      <c r="D103" s="20">
        <f>SUM(Jul!D103, Aug!D103, Sep!D103)</f>
        <v>1645320</v>
      </c>
      <c r="E103" s="10">
        <f>SUM(Jul!E103, Aug!E103, Sep!E103)</f>
        <v>0</v>
      </c>
      <c r="F103" s="10">
        <f t="shared" si="10"/>
        <v>1645320</v>
      </c>
      <c r="G103" s="11" t="str">
        <f t="shared" si="11"/>
        <v/>
      </c>
      <c r="H103" s="12">
        <f>SUM(Jul!H103,Aug!H103,Sep!H103)</f>
        <v>0</v>
      </c>
      <c r="I103" s="12">
        <f>SUM(Jul!I103, Aug!I103, Sep!I103)</f>
        <v>0</v>
      </c>
      <c r="J103" s="13" t="str">
        <f t="shared" si="12"/>
        <v/>
      </c>
    </row>
    <row r="104" spans="1:10" ht="15.6">
      <c r="A104" s="26" t="str">
        <v>New Beginnings</v>
      </c>
      <c r="B104" s="27" t="str">
        <v>NY</v>
      </c>
      <c r="C104" s="27" t="str">
        <f>Sites[[#This Row],[SOL'#]]</f>
        <v>SOL-10890</v>
      </c>
      <c r="D104" s="9">
        <f>SUM(Jul!D104, Aug!D104, Sep!D104)</f>
        <v>1193220</v>
      </c>
      <c r="E104" s="14">
        <f>SUM(Jul!E104, Aug!E104, Sep!E104)</f>
        <v>1208310.8900000001</v>
      </c>
      <c r="F104" s="14">
        <f t="shared" si="10"/>
        <v>-15090.89000000013</v>
      </c>
      <c r="G104" s="15">
        <f t="shared" si="11"/>
        <v>-1.2489244386434463E-2</v>
      </c>
      <c r="H104" s="16">
        <f>SUM(Jul!H104,Aug!H104,Sep!H104)</f>
        <v>1169690.2150000001</v>
      </c>
      <c r="I104" s="16">
        <f>SUM(Jul!I104, Aug!I104, Sep!I104)</f>
        <v>23529.785000000033</v>
      </c>
      <c r="J104" s="15">
        <f t="shared" si="12"/>
        <v>2.0116253601386271E-2</v>
      </c>
    </row>
    <row r="105" spans="1:10" ht="15.6">
      <c r="A105" s="24" t="str">
        <v>Bullitt Farm Solar, LLC</v>
      </c>
      <c r="B105" s="25" t="str">
        <v>NY</v>
      </c>
      <c r="C105" s="25" t="str">
        <f>Sites[[#This Row],[SOL'#]]</f>
        <v>SOL-10998</v>
      </c>
      <c r="D105" s="20">
        <f>SUM(Jul!D105, Aug!D105, Sep!D105)</f>
        <v>2698101</v>
      </c>
      <c r="E105" s="10">
        <f>SUM(Jul!E105, Aug!E105, Sep!E105)</f>
        <v>2805159.111</v>
      </c>
      <c r="F105" s="10">
        <f t="shared" si="10"/>
        <v>-107058.11100000003</v>
      </c>
      <c r="G105" s="11">
        <f t="shared" si="11"/>
        <v>-3.8164719633973034E-2</v>
      </c>
      <c r="H105" s="12">
        <f>SUM(Jul!H105,Aug!H105,Sep!H105)</f>
        <v>2782056.12</v>
      </c>
      <c r="I105" s="12">
        <f>SUM(Jul!I105, Aug!I105, Sep!I105)</f>
        <v>-83955.120000000112</v>
      </c>
      <c r="J105" s="13">
        <f t="shared" si="12"/>
        <v>-3.017736392751132E-2</v>
      </c>
    </row>
    <row r="106" spans="1:10" ht="15.6">
      <c r="A106" s="26" t="str">
        <v>Brodhead Solar, LLC</v>
      </c>
      <c r="B106" s="27" t="str">
        <v>NY</v>
      </c>
      <c r="C106" s="27" t="str">
        <f>Sites[[#This Row],[SOL'#]]</f>
        <v>SOL-10899</v>
      </c>
      <c r="D106" s="9">
        <f>SUM(Jul!D106, Aug!D106, Sep!D106)</f>
        <v>1878949</v>
      </c>
      <c r="E106" s="14">
        <f>SUM(Jul!E106, Aug!E106, Sep!E106)</f>
        <v>1958582.325</v>
      </c>
      <c r="F106" s="14">
        <f t="shared" si="10"/>
        <v>-79633.324999999953</v>
      </c>
      <c r="G106" s="15">
        <f t="shared" si="11"/>
        <v>-4.0658656000073908E-2</v>
      </c>
      <c r="H106" s="16">
        <f>SUM(Jul!H106,Aug!H106,Sep!H106)</f>
        <v>1905468.15</v>
      </c>
      <c r="I106" s="16">
        <f>SUM(Jul!I106, Aug!I106, Sep!I106)</f>
        <v>-26519.150000000023</v>
      </c>
      <c r="J106" s="15">
        <f t="shared" si="12"/>
        <v>-1.3917393476243633E-2</v>
      </c>
    </row>
    <row r="107" spans="1:10" ht="15.6">
      <c r="A107" s="24" t="str">
        <v>Svenski</v>
      </c>
      <c r="B107" s="25" t="str">
        <v>NY</v>
      </c>
      <c r="C107" s="25" t="str">
        <f>Sites[[#This Row],[SOL'#]]</f>
        <v>SOL-10894</v>
      </c>
      <c r="D107" s="20">
        <f>SUM(Jul!D107, Aug!D107, Sep!D107)</f>
        <v>1194178</v>
      </c>
      <c r="E107" s="10">
        <f>SUM(Jul!E107, Aug!E107, Sep!E107)</f>
        <v>0</v>
      </c>
      <c r="F107" s="10">
        <f t="shared" si="10"/>
        <v>1194178</v>
      </c>
      <c r="G107" s="11" t="str">
        <f t="shared" si="11"/>
        <v/>
      </c>
      <c r="H107" s="12">
        <f>SUM(Jul!H107,Aug!H107,Sep!H107)</f>
        <v>1219673.6059999999</v>
      </c>
      <c r="I107" s="12">
        <f>SUM(Jul!I107, Aug!I107, Sep!I107)</f>
        <v>-25495.605999999971</v>
      </c>
      <c r="J107" s="13">
        <f t="shared" si="12"/>
        <v>-2.0903630179892548E-2</v>
      </c>
    </row>
    <row r="108" spans="1:10" ht="15.6">
      <c r="A108" s="26" t="str">
        <v>Bantam</v>
      </c>
      <c r="B108" s="27" t="str">
        <v>NY</v>
      </c>
      <c r="C108" s="27" t="str">
        <f>Sites[[#This Row],[SOL'#]]</f>
        <v>SOL-10986</v>
      </c>
      <c r="D108" s="9">
        <f>SUM(Jul!D108, Aug!D108, Sep!D108)</f>
        <v>200870</v>
      </c>
      <c r="E108" s="14">
        <f>SUM(Jul!E108, Aug!E108, Sep!E108)</f>
        <v>1574600</v>
      </c>
      <c r="F108" s="14">
        <f t="shared" si="10"/>
        <v>-1373730</v>
      </c>
      <c r="G108" s="15">
        <f t="shared" si="11"/>
        <v>-0.87243109361107585</v>
      </c>
      <c r="H108" s="16">
        <f>SUM(Jul!H108,Aug!H108,Sep!H108)</f>
        <v>3392222.8830000004</v>
      </c>
      <c r="I108" s="16">
        <f>SUM(Jul!I108, Aug!I108, Sep!I108)</f>
        <v>-3191352.8830000004</v>
      </c>
      <c r="J108" s="15">
        <f t="shared" si="12"/>
        <v>-0.94078514091551813</v>
      </c>
    </row>
    <row r="109" spans="1:10" ht="15.6">
      <c r="A109" s="24" t="str">
        <v>Bogart</v>
      </c>
      <c r="B109" s="25" t="str">
        <v>NY</v>
      </c>
      <c r="C109" s="25" t="str">
        <f>Sites[[#This Row],[SOL'#]]</f>
        <v>SOL-10887</v>
      </c>
      <c r="D109" s="20">
        <f>SUM(Jul!D109, Aug!D109, Sep!D109)</f>
        <v>678890</v>
      </c>
      <c r="E109" s="10">
        <f>SUM(Jul!E109, Aug!E109, Sep!E109)</f>
        <v>1074976.1599999999</v>
      </c>
      <c r="F109" s="10">
        <f t="shared" si="10"/>
        <v>-396086.15999999992</v>
      </c>
      <c r="G109" s="11">
        <f t="shared" si="11"/>
        <v>-0.36846041311278938</v>
      </c>
      <c r="H109" s="12">
        <f>SUM(Jul!H109,Aug!H109,Sep!H109)</f>
        <v>1149750.3489999999</v>
      </c>
      <c r="I109" s="12">
        <f>SUM(Jul!I109, Aug!I109, Sep!I109)</f>
        <v>-470860.34899999999</v>
      </c>
      <c r="J109" s="13">
        <f t="shared" si="12"/>
        <v>-0.40953268629971079</v>
      </c>
    </row>
    <row r="110" spans="1:10" ht="15.6">
      <c r="A110" s="26" t="str">
        <v>Dubois</v>
      </c>
      <c r="B110" s="27" t="str">
        <v>NY</v>
      </c>
      <c r="C110" s="27" t="str">
        <f>Sites[[#This Row],[SOL'#]]</f>
        <v>SOL-10892</v>
      </c>
      <c r="D110" s="9">
        <f>SUM(Jul!D110, Aug!D110, Sep!D110)</f>
        <v>515980</v>
      </c>
      <c r="E110" s="14">
        <f>SUM(Jul!E110, Aug!E110, Sep!E110)</f>
        <v>515924.51</v>
      </c>
      <c r="F110" s="14">
        <f t="shared" si="10"/>
        <v>55.489999999990687</v>
      </c>
      <c r="G110" s="15">
        <f t="shared" si="11"/>
        <v>1.0755449474573458E-4</v>
      </c>
      <c r="H110" s="16">
        <f>SUM(Jul!H110,Aug!H110,Sep!H110)</f>
        <v>0</v>
      </c>
      <c r="I110" s="16">
        <f>SUM(Jul!I110, Aug!I110, Sep!I110)</f>
        <v>0</v>
      </c>
      <c r="J110" s="15" t="str">
        <f t="shared" si="12"/>
        <v/>
      </c>
    </row>
    <row r="111" spans="1:10" ht="15.6">
      <c r="A111" s="24" t="str">
        <v>Salt Point</v>
      </c>
      <c r="B111" s="25" t="str">
        <v>NY</v>
      </c>
      <c r="C111" s="25" t="str">
        <f>Sites[[#This Row],[SOL'#]]</f>
        <v>SOL-10888</v>
      </c>
      <c r="D111" s="20">
        <f>SUM(Jul!D111, Aug!D111, Sep!D111)</f>
        <v>1113070</v>
      </c>
      <c r="E111" s="10">
        <f>SUM(Jul!E111, Aug!E111, Sep!E111)</f>
        <v>1113070</v>
      </c>
      <c r="F111" s="10">
        <f t="shared" si="10"/>
        <v>0</v>
      </c>
      <c r="G111" s="11">
        <f t="shared" si="11"/>
        <v>0</v>
      </c>
      <c r="H111" s="12">
        <f>SUM(Jul!H111,Aug!H111,Sep!H111)</f>
        <v>1341684.9509999999</v>
      </c>
      <c r="I111" s="12">
        <f>SUM(Jul!I111, Aug!I111, Sep!I111)</f>
        <v>-228614.951</v>
      </c>
      <c r="J111" s="13">
        <f t="shared" si="12"/>
        <v>-0.17039391462921763</v>
      </c>
    </row>
    <row r="112" spans="1:10" ht="15.6">
      <c r="A112" s="26" t="str">
        <v>Wheatland 2A</v>
      </c>
      <c r="B112" s="27" t="str">
        <v>NY</v>
      </c>
      <c r="C112" s="27" t="str">
        <f>Sites[[#This Row],[SOL'#]]</f>
        <v>SOL-10971</v>
      </c>
      <c r="D112" s="9">
        <f>SUM(Jul!D112, Aug!D112, Sep!D112)</f>
        <v>2920400</v>
      </c>
      <c r="E112" s="14">
        <f>SUM(Jul!E112, Aug!E112, Sep!E112)</f>
        <v>2914370</v>
      </c>
      <c r="F112" s="14">
        <f t="shared" si="10"/>
        <v>6030</v>
      </c>
      <c r="G112" s="15">
        <f t="shared" si="11"/>
        <v>2.0690578066614742E-3</v>
      </c>
      <c r="H112" s="16">
        <f>SUM(Jul!H112,Aug!H112,Sep!H112)</f>
        <v>3022697.8420000002</v>
      </c>
      <c r="I112" s="16">
        <f>SUM(Jul!I112, Aug!I112, Sep!I112)</f>
        <v>-102297.84200000006</v>
      </c>
      <c r="J112" s="15">
        <f t="shared" si="12"/>
        <v>-3.3843224611664662E-2</v>
      </c>
    </row>
    <row r="113" spans="1:10" ht="15.6">
      <c r="A113" s="24" t="str">
        <v>Wheatland 2B</v>
      </c>
      <c r="B113" s="25" t="str">
        <v>NY</v>
      </c>
      <c r="C113" s="25" t="str">
        <f>Sites[[#This Row],[SOL'#]]</f>
        <v>SOL-10961</v>
      </c>
      <c r="D113" s="20">
        <f>SUM(Jul!D113, Aug!D113, Sep!D113)</f>
        <v>3079390</v>
      </c>
      <c r="E113" s="10">
        <f>SUM(Jul!E113, Aug!E113, Sep!E113)</f>
        <v>3073160</v>
      </c>
      <c r="F113" s="10">
        <f t="shared" si="10"/>
        <v>6230</v>
      </c>
      <c r="G113" s="11">
        <f t="shared" si="11"/>
        <v>2.0272293014356557E-3</v>
      </c>
      <c r="H113" s="12">
        <f>SUM(Jul!H113,Aug!H113,Sep!H113)</f>
        <v>2991938.2689999999</v>
      </c>
      <c r="I113" s="12">
        <f>SUM(Jul!I113, Aug!I113, Sep!I113)</f>
        <v>87451.731000000029</v>
      </c>
      <c r="J113" s="13">
        <f t="shared" si="12"/>
        <v>2.9229122775059513E-2</v>
      </c>
    </row>
    <row r="114" spans="1:10" ht="15.6">
      <c r="A114" s="26" t="str">
        <v>Brickchurch</v>
      </c>
      <c r="B114" s="27" t="str">
        <v>NY</v>
      </c>
      <c r="C114" s="27" t="str">
        <f>Sites[[#This Row],[SOL'#]]</f>
        <v>SOL-10889</v>
      </c>
      <c r="D114" s="9">
        <f>SUM(Jul!D114, Aug!D114, Sep!D114)</f>
        <v>0</v>
      </c>
      <c r="E114" s="14">
        <f>SUM(Jul!E114, Aug!E114, Sep!E114)</f>
        <v>519962.55</v>
      </c>
      <c r="F114" s="14">
        <f t="shared" si="10"/>
        <v>-519962.55</v>
      </c>
      <c r="G114" s="15">
        <f t="shared" si="11"/>
        <v>-1</v>
      </c>
      <c r="H114" s="16">
        <f>SUM(Jul!H114,Aug!H114,Sep!H114)</f>
        <v>1381198.446</v>
      </c>
      <c r="I114" s="16">
        <f>SUM(Jul!I114, Aug!I114, Sep!I114)</f>
        <v>-1381198.446</v>
      </c>
      <c r="J114" s="15">
        <f t="shared" si="12"/>
        <v>-1</v>
      </c>
    </row>
    <row r="115" spans="1:10" ht="15.6">
      <c r="A115" s="24" t="str">
        <v>McCarthy Solar</v>
      </c>
      <c r="B115" s="25" t="str">
        <v>NY</v>
      </c>
      <c r="C115" s="25" t="str">
        <f>Sites[[#This Row],[SOL'#]]</f>
        <v>SOL-10992</v>
      </c>
      <c r="D115" s="20">
        <f>SUM(Jul!D115, Aug!D115, Sep!D115)</f>
        <v>628760</v>
      </c>
      <c r="E115" s="10">
        <f>SUM(Jul!E115, Aug!E115, Sep!E115)</f>
        <v>0</v>
      </c>
      <c r="F115" s="10">
        <f t="shared" si="10"/>
        <v>628760</v>
      </c>
      <c r="G115" s="11" t="str">
        <f t="shared" si="11"/>
        <v/>
      </c>
      <c r="H115" s="12">
        <f>SUM(Jul!H115,Aug!H115,Sep!H115)</f>
        <v>1210292.02</v>
      </c>
      <c r="I115" s="12">
        <f>SUM(Jul!I115, Aug!I115, Sep!I115)</f>
        <v>-581532.0199999999</v>
      </c>
      <c r="J115" s="13">
        <f t="shared" si="12"/>
        <v>-0.48048901454377918</v>
      </c>
    </row>
    <row r="116" spans="1:10" ht="15.6">
      <c r="A116" s="26" t="str">
        <v>Costanza</v>
      </c>
      <c r="B116" s="27" t="str">
        <v>NY</v>
      </c>
      <c r="C116" s="27" t="str">
        <f>Sites[[#This Row],[SOL'#]]</f>
        <v>SOL-10907</v>
      </c>
      <c r="D116" s="9">
        <f>SUM(Jul!D116, Aug!D116, Sep!D116)</f>
        <v>1184650</v>
      </c>
      <c r="E116" s="14">
        <f>SUM(Jul!E116, Aug!E116, Sep!E116)</f>
        <v>1169904.6300000001</v>
      </c>
      <c r="F116" s="14">
        <f t="shared" si="10"/>
        <v>14745.369999999879</v>
      </c>
      <c r="G116" s="15">
        <f t="shared" si="11"/>
        <v>1.2603907721948136E-2</v>
      </c>
      <c r="H116" s="16">
        <f>SUM(Jul!H116,Aug!H116,Sep!H116)</f>
        <v>1203943.061</v>
      </c>
      <c r="I116" s="16">
        <f>SUM(Jul!I116, Aug!I116, Sep!I116)</f>
        <v>-19293.061000000045</v>
      </c>
      <c r="J116" s="15">
        <f t="shared" si="12"/>
        <v>-1.6024894884958389E-2</v>
      </c>
    </row>
    <row r="117" spans="1:10" ht="15.6">
      <c r="A117" s="24" t="str">
        <v>Lockenhurst Pond</v>
      </c>
      <c r="B117" s="25" t="str">
        <v>NY</v>
      </c>
      <c r="C117" s="25" t="str">
        <f>Sites[[#This Row],[SOL'#]]</f>
        <v>SOL-11000</v>
      </c>
      <c r="D117" s="20">
        <f>SUM(Jul!D117, Aug!D117, Sep!D117)</f>
        <v>1340895</v>
      </c>
      <c r="E117" s="10">
        <f>SUM(Jul!E117, Aug!E117, Sep!E117)</f>
        <v>1463999.6780000001</v>
      </c>
      <c r="F117" s="10">
        <f t="shared" si="10"/>
        <v>-123104.67800000007</v>
      </c>
      <c r="G117" s="11">
        <f t="shared" si="11"/>
        <v>-8.4087913303489178E-2</v>
      </c>
      <c r="H117" s="12">
        <f>SUM(Jul!H117,Aug!H117,Sep!H117)</f>
        <v>1405318</v>
      </c>
      <c r="I117" s="12">
        <f>SUM(Jul!I117, Aug!I117, Sep!I117)</f>
        <v>-64423</v>
      </c>
      <c r="J117" s="13">
        <f t="shared" si="12"/>
        <v>-4.5842293345705387E-2</v>
      </c>
    </row>
    <row r="118" spans="1:10" ht="15.6">
      <c r="A118" s="26" t="str">
        <v>Drinkwater</v>
      </c>
      <c r="B118" s="27" t="str">
        <v>NY</v>
      </c>
      <c r="C118" s="27" t="str">
        <f>Sites[[#This Row],[SOL'#]]</f>
        <v>SOL-10896</v>
      </c>
      <c r="D118" s="9">
        <f>SUM(Jul!D118, Aug!D118, Sep!D118)</f>
        <v>1340940</v>
      </c>
      <c r="E118" s="14">
        <f>SUM(Jul!E118, Aug!E118, Sep!E118)</f>
        <v>1326560</v>
      </c>
      <c r="F118" s="14">
        <f t="shared" si="10"/>
        <v>14380</v>
      </c>
      <c r="G118" s="15">
        <f t="shared" si="11"/>
        <v>1.0840067543119045E-2</v>
      </c>
      <c r="H118" s="16">
        <f>SUM(Jul!H118,Aug!H118,Sep!H118)</f>
        <v>1238976.3370000001</v>
      </c>
      <c r="I118" s="16">
        <f>SUM(Jul!I118, Aug!I118, Sep!I118)</f>
        <v>101963.66300000006</v>
      </c>
      <c r="J118" s="15">
        <f t="shared" si="12"/>
        <v>8.2296699262949732E-2</v>
      </c>
    </row>
    <row r="119" spans="1:10" ht="15.6">
      <c r="A119" s="24" t="str">
        <v>Altamont</v>
      </c>
      <c r="B119" s="25" t="str">
        <v>NY</v>
      </c>
      <c r="C119" s="25" t="str">
        <f>Sites[[#This Row],[SOL'#]]</f>
        <v>SOL-11085</v>
      </c>
      <c r="D119" s="20">
        <f>SUM(Jul!D119, Aug!D119, Sep!D119)</f>
        <v>2551005</v>
      </c>
      <c r="E119" s="10">
        <f>SUM(Jul!E119, Aug!E119, Sep!E119)</f>
        <v>2642654.4730000002</v>
      </c>
      <c r="F119" s="10">
        <f t="shared" si="10"/>
        <v>-91649.473000000231</v>
      </c>
      <c r="G119" s="11">
        <f t="shared" si="11"/>
        <v>-3.4680838504005294E-2</v>
      </c>
      <c r="H119" s="12">
        <f>SUM(Jul!H119,Aug!H119,Sep!H119)</f>
        <v>1995490.53</v>
      </c>
      <c r="I119" s="12">
        <f>SUM(Jul!I119, Aug!I119, Sep!I119)</f>
        <v>555514.47</v>
      </c>
      <c r="J119" s="13">
        <f t="shared" si="12"/>
        <v>0.27838491922083936</v>
      </c>
    </row>
    <row r="120" spans="1:10" ht="15.6">
      <c r="A120" s="26" t="str">
        <v>Krumkill North</v>
      </c>
      <c r="B120" s="27" t="str">
        <v>NY</v>
      </c>
      <c r="C120" s="27" t="str">
        <f>Sites[[#This Row],[SOL'#]]</f>
        <v>SOL-11086</v>
      </c>
      <c r="D120" s="9">
        <f>SUM(Jul!D120, Aug!D120, Sep!D120)</f>
        <v>2295506</v>
      </c>
      <c r="E120" s="14">
        <f>SUM(Jul!E120, Aug!E120, Sep!E120)</f>
        <v>2676349.7400000002</v>
      </c>
      <c r="F120" s="14">
        <f t="shared" si="10"/>
        <v>-380843.74000000022</v>
      </c>
      <c r="G120" s="15">
        <f t="shared" si="11"/>
        <v>-0.14229969062264641</v>
      </c>
      <c r="H120" s="16">
        <f>SUM(Jul!H120,Aug!H120,Sep!H120)</f>
        <v>2293853.94</v>
      </c>
      <c r="I120" s="16">
        <f>SUM(Jul!I120, Aug!I120, Sep!I120)</f>
        <v>1652.0599999999395</v>
      </c>
      <c r="J120" s="15">
        <f t="shared" si="12"/>
        <v>7.2021150570726383E-4</v>
      </c>
    </row>
    <row r="121" spans="1:10" ht="15.6">
      <c r="A121" s="24" t="str">
        <v>Krumkill South</v>
      </c>
      <c r="B121" s="25" t="str">
        <v>NY</v>
      </c>
      <c r="C121" s="25" t="str">
        <f>Sites[[#This Row],[SOL'#]]</f>
        <v>SOL-11087</v>
      </c>
      <c r="D121" s="20">
        <f>SUM(Jul!D121, Aug!D121, Sep!D121)</f>
        <v>1945802</v>
      </c>
      <c r="E121" s="10">
        <f>SUM(Jul!E121, Aug!E121, Sep!E121)</f>
        <v>2121566.9610000001</v>
      </c>
      <c r="F121" s="10">
        <f t="shared" si="10"/>
        <v>-175764.96100000013</v>
      </c>
      <c r="G121" s="11">
        <f t="shared" si="11"/>
        <v>-8.2846765730718835E-2</v>
      </c>
      <c r="H121" s="12">
        <f>SUM(Jul!H121,Aug!H121,Sep!H121)</f>
        <v>1798301.75</v>
      </c>
      <c r="I121" s="12">
        <f>SUM(Jul!I121, Aug!I121, Sep!I121)</f>
        <v>147500.25</v>
      </c>
      <c r="J121" s="13">
        <f t="shared" si="12"/>
        <v>8.2021968782491586E-2</v>
      </c>
    </row>
    <row r="122" spans="1:10" ht="15.6">
      <c r="A122" s="26" t="str">
        <v>X092</v>
      </c>
      <c r="B122" s="27" t="str">
        <v>NY</v>
      </c>
      <c r="C122" s="27" t="str">
        <f>Sites[[#This Row],[SOL'#]]</f>
        <v>SOL-11189</v>
      </c>
      <c r="D122" s="9">
        <f>SUM(Jul!D122, Aug!D122, Sep!D122)</f>
        <v>60146.2</v>
      </c>
      <c r="E122" s="14">
        <f>SUM(Jul!E122, Aug!E122, Sep!E122)</f>
        <v>60576.127999999997</v>
      </c>
      <c r="F122" s="14">
        <f t="shared" si="10"/>
        <v>-429.92799999999988</v>
      </c>
      <c r="G122" s="15">
        <f t="shared" si="11"/>
        <v>-7.0973172798367021E-3</v>
      </c>
      <c r="H122" s="16">
        <f>SUM(Jul!H122,Aug!H122,Sep!H122)</f>
        <v>60080.5</v>
      </c>
      <c r="I122" s="16">
        <f>SUM(Jul!I122, Aug!I122, Sep!I122)</f>
        <v>65.700000000000728</v>
      </c>
      <c r="J122" s="15">
        <f t="shared" si="12"/>
        <v>1.09353284343507E-3</v>
      </c>
    </row>
    <row r="123" spans="1:10" ht="15.6">
      <c r="A123" s="24" t="str">
        <v>X093</v>
      </c>
      <c r="B123" s="25" t="str">
        <v>NY</v>
      </c>
      <c r="C123" s="25" t="str">
        <f>Sites[[#This Row],[SOL'#]]</f>
        <v>SOL-10932</v>
      </c>
      <c r="D123" s="20">
        <f>SUM(Jul!D123, Aug!D123, Sep!D123)</f>
        <v>40591.697625000001</v>
      </c>
      <c r="E123" s="10">
        <f>SUM(Jul!E123, Aug!E123, Sep!E123)</f>
        <v>42694.315000000002</v>
      </c>
      <c r="F123" s="10">
        <f t="shared" si="10"/>
        <v>-2102.6173750000016</v>
      </c>
      <c r="G123" s="11">
        <f t="shared" si="11"/>
        <v>-4.9248181520186035E-2</v>
      </c>
      <c r="H123" s="12">
        <f>SUM(Jul!H123,Aug!H123,Sep!H123)</f>
        <v>42464</v>
      </c>
      <c r="I123" s="12">
        <f>SUM(Jul!I123, Aug!I123, Sep!I123)</f>
        <v>-1872.3023749999993</v>
      </c>
      <c r="J123" s="13">
        <f t="shared" si="12"/>
        <v>-4.4091521641861323E-2</v>
      </c>
    </row>
    <row r="124" spans="1:10" ht="15.6">
      <c r="A124" s="26" t="str">
        <v>X095</v>
      </c>
      <c r="B124" s="27" t="str">
        <v>NY</v>
      </c>
      <c r="C124" s="27" t="str">
        <f>Sites[[#This Row],[SOL'#]]</f>
        <v>SOL-10929</v>
      </c>
      <c r="D124" s="9">
        <f>SUM(Jul!D124, Aug!D124, Sep!D124)</f>
        <v>59575.875499999995</v>
      </c>
      <c r="E124" s="14">
        <f>SUM(Jul!E124, Aug!E124, Sep!E124)</f>
        <v>57040.892999999996</v>
      </c>
      <c r="F124" s="14">
        <f t="shared" si="10"/>
        <v>2534.9824999999983</v>
      </c>
      <c r="G124" s="15">
        <f t="shared" si="11"/>
        <v>4.4441493929626916E-2</v>
      </c>
      <c r="H124" s="16">
        <f>SUM(Jul!H124,Aug!H124,Sep!H124)</f>
        <v>57702</v>
      </c>
      <c r="I124" s="16">
        <f>SUM(Jul!I124, Aug!I124, Sep!I124)</f>
        <v>1873.8754999999983</v>
      </c>
      <c r="J124" s="15">
        <f t="shared" si="12"/>
        <v>3.2475052857786527E-2</v>
      </c>
    </row>
    <row r="125" spans="1:10" ht="15.6">
      <c r="A125" s="24" t="str">
        <v>X181</v>
      </c>
      <c r="B125" s="25" t="str">
        <v>NY</v>
      </c>
      <c r="C125" s="25" t="str">
        <f>Sites[[#This Row],[SOL'#]]</f>
        <v>SOL-10428</v>
      </c>
      <c r="D125" s="20">
        <f>SUM(Jul!D125, Aug!D125, Sep!D125)</f>
        <v>111198.18775</v>
      </c>
      <c r="E125" s="10">
        <f>SUM(Jul!E125, Aug!E125, Sep!E125)</f>
        <v>95831.209999999992</v>
      </c>
      <c r="F125" s="10">
        <f t="shared" si="10"/>
        <v>15366.977750000005</v>
      </c>
      <c r="G125" s="11">
        <f t="shared" si="11"/>
        <v>0.16035462507464954</v>
      </c>
      <c r="H125" s="12">
        <f>SUM(Jul!H125,Aug!H125,Sep!H125)</f>
        <v>106859</v>
      </c>
      <c r="I125" s="12">
        <f>SUM(Jul!I125, Aug!I125, Sep!I125)</f>
        <v>4339.187750000001</v>
      </c>
      <c r="J125" s="13">
        <f t="shared" si="12"/>
        <v>4.0606666261147874E-2</v>
      </c>
    </row>
    <row r="126" spans="1:10" ht="15.6">
      <c r="A126" s="26" t="str">
        <v>X415</v>
      </c>
      <c r="B126" s="27" t="str">
        <v>NY</v>
      </c>
      <c r="C126" s="27" t="str">
        <f>Sites[[#This Row],[SOL'#]]</f>
        <v>SOL-10429</v>
      </c>
      <c r="D126" s="9">
        <f>SUM(Jul!D126, Aug!D126, Sep!D126)</f>
        <v>70480.593874999991</v>
      </c>
      <c r="E126" s="14">
        <f>SUM(Jul!E126, Aug!E126, Sep!E126)</f>
        <v>60472.819000000003</v>
      </c>
      <c r="F126" s="14">
        <f t="shared" si="10"/>
        <v>10007.774874999988</v>
      </c>
      <c r="G126" s="15">
        <f t="shared" si="11"/>
        <v>0.16549211762395247</v>
      </c>
      <c r="H126" s="16">
        <f>SUM(Jul!H126,Aug!H126,Sep!H126)</f>
        <v>62182.5</v>
      </c>
      <c r="I126" s="16">
        <f>SUM(Jul!I126, Aug!I126, Sep!I126)</f>
        <v>8298.0938749999987</v>
      </c>
      <c r="J126" s="15">
        <f t="shared" si="12"/>
        <v>0.13344741486752701</v>
      </c>
    </row>
    <row r="127" spans="1:10" ht="15.6">
      <c r="A127" s="24" t="str">
        <v>K198</v>
      </c>
      <c r="B127" s="25" t="str">
        <v>NY</v>
      </c>
      <c r="C127" s="25" t="str">
        <f>Sites[[#This Row],[SOL'#]]</f>
        <v>SOL-10930</v>
      </c>
      <c r="D127" s="20">
        <f>SUM(Jul!D127, Aug!D127, Sep!D127)</f>
        <v>50674.757750000004</v>
      </c>
      <c r="E127" s="10">
        <f>SUM(Jul!E127, Aug!E127, Sep!E127)</f>
        <v>49440.792000000001</v>
      </c>
      <c r="F127" s="10">
        <f t="shared" si="10"/>
        <v>1233.965750000003</v>
      </c>
      <c r="G127" s="11">
        <f t="shared" si="11"/>
        <v>2.4958454346766999E-2</v>
      </c>
      <c r="H127" s="12">
        <f>SUM(Jul!H127,Aug!H127,Sep!H127)</f>
        <v>49230.5</v>
      </c>
      <c r="I127" s="12">
        <f>SUM(Jul!I127, Aug!I127, Sep!I127)</f>
        <v>1444.2577500000007</v>
      </c>
      <c r="J127" s="13">
        <f t="shared" si="12"/>
        <v>2.9336645981657725E-2</v>
      </c>
    </row>
    <row r="128" spans="1:10" ht="15.6">
      <c r="A128" s="26" t="str">
        <v>K203</v>
      </c>
      <c r="B128" s="27" t="str">
        <v>NY</v>
      </c>
      <c r="C128" s="27" t="str">
        <f>Sites[[#This Row],[SOL'#]]</f>
        <v>SOL-11190</v>
      </c>
      <c r="D128" s="9">
        <f>SUM(Jul!D128, Aug!D128, Sep!D128)</f>
        <v>66025.5</v>
      </c>
      <c r="E128" s="14">
        <f>SUM(Jul!E128, Aug!E128, Sep!E128)</f>
        <v>59001.54</v>
      </c>
      <c r="F128" s="14">
        <f t="shared" si="10"/>
        <v>7023.9599999999991</v>
      </c>
      <c r="G128" s="15">
        <f t="shared" si="11"/>
        <v>0.11904706216142831</v>
      </c>
      <c r="H128" s="16">
        <f>SUM(Jul!H128,Aug!H128,Sep!H128)</f>
        <v>66093.5</v>
      </c>
      <c r="I128" s="16">
        <f>SUM(Jul!I128, Aug!I128, Sep!I128)</f>
        <v>-68</v>
      </c>
      <c r="J128" s="15">
        <f t="shared" si="12"/>
        <v>-1.028845499179193E-3</v>
      </c>
    </row>
    <row r="129" spans="1:10" ht="15.6">
      <c r="A129" s="24" t="str">
        <v>K213</v>
      </c>
      <c r="B129" s="25" t="str">
        <v>NY</v>
      </c>
      <c r="C129" s="25" t="str">
        <f>Sites[[#This Row],[SOL'#]]</f>
        <v>SOL-11191</v>
      </c>
      <c r="D129" s="20">
        <f>SUM(Jul!D129, Aug!D129, Sep!D129)</f>
        <v>74538</v>
      </c>
      <c r="E129" s="10">
        <f>SUM(Jul!E129, Aug!E129, Sep!E129)</f>
        <v>79135.171999999991</v>
      </c>
      <c r="F129" s="10">
        <f t="shared" si="10"/>
        <v>-4597.1719999999914</v>
      </c>
      <c r="G129" s="11">
        <f t="shared" si="11"/>
        <v>-5.8092651899461237E-2</v>
      </c>
      <c r="H129" s="12">
        <f>SUM(Jul!H129,Aug!H129,Sep!H129)</f>
        <v>69685.5</v>
      </c>
      <c r="I129" s="12">
        <f>SUM(Jul!I129, Aug!I129, Sep!I129)</f>
        <v>4852.5</v>
      </c>
      <c r="J129" s="13">
        <f t="shared" si="12"/>
        <v>6.96342854682825E-2</v>
      </c>
    </row>
    <row r="130" spans="1:10" ht="15.6">
      <c r="A130" s="26" t="str">
        <v>K217</v>
      </c>
      <c r="B130" s="27" t="str">
        <v>NY</v>
      </c>
      <c r="C130" s="27" t="str">
        <f>Sites[[#This Row],[SOL'#]]</f>
        <v>SOL-10933</v>
      </c>
      <c r="D130" s="9">
        <f>SUM(Jul!D130, Aug!D130, Sep!D130)</f>
        <v>39628.414499999999</v>
      </c>
      <c r="E130" s="14">
        <f>SUM(Jul!E130, Aug!E130, Sep!E130)</f>
        <v>37568.987999999998</v>
      </c>
      <c r="F130" s="14">
        <f t="shared" si="10"/>
        <v>2059.4265000000014</v>
      </c>
      <c r="G130" s="15">
        <f t="shared" si="11"/>
        <v>5.4817193904717412E-2</v>
      </c>
      <c r="H130" s="16">
        <f>SUM(Jul!H130,Aug!H130,Sep!H130)</f>
        <v>37715.5</v>
      </c>
      <c r="I130" s="16">
        <f>SUM(Jul!I130, Aug!I130, Sep!I130)</f>
        <v>1912.9145000000008</v>
      </c>
      <c r="J130" s="15">
        <f t="shared" si="12"/>
        <v>5.0719584786095923E-2</v>
      </c>
    </row>
    <row r="131" spans="1:10" ht="15.6">
      <c r="A131" s="24" t="str">
        <v>K307</v>
      </c>
      <c r="B131" s="25" t="str">
        <v>NY</v>
      </c>
      <c r="C131" s="25" t="str">
        <f>Sites[[#This Row],[SOL'#]]</f>
        <v>SOL-10876</v>
      </c>
      <c r="D131" s="20">
        <f>SUM(Jul!D131, Aug!D131, Sep!D131)</f>
        <v>81938.422250000003</v>
      </c>
      <c r="E131" s="10">
        <f>SUM(Jul!E131, Aug!E131, Sep!E131)</f>
        <v>84461.912000000011</v>
      </c>
      <c r="F131" s="10">
        <f t="shared" si="10"/>
        <v>-2523.4897500000079</v>
      </c>
      <c r="G131" s="11">
        <f t="shared" si="11"/>
        <v>-2.9877251061993571E-2</v>
      </c>
      <c r="H131" s="12">
        <f>SUM(Jul!H131,Aug!H131,Sep!H131)</f>
        <v>78543</v>
      </c>
      <c r="I131" s="12">
        <f>SUM(Jul!I131, Aug!I131, Sep!I131)</f>
        <v>3395.4222499999996</v>
      </c>
      <c r="J131" s="13">
        <f t="shared" si="12"/>
        <v>4.3230106438511384E-2</v>
      </c>
    </row>
    <row r="132" spans="1:10" ht="15.6">
      <c r="A132" s="26" t="str">
        <v>K610</v>
      </c>
      <c r="B132" s="27" t="str">
        <v>NY</v>
      </c>
      <c r="C132" s="27" t="str">
        <f>Sites[[#This Row],[SOL'#]]</f>
        <v>SOL-11158</v>
      </c>
      <c r="D132" s="9">
        <f>SUM(Jul!D132, Aug!D132, Sep!D132)</f>
        <v>70866.100000000006</v>
      </c>
      <c r="E132" s="14">
        <f>SUM(Jul!E132, Aug!E132, Sep!E132)</f>
        <v>94164.542000000001</v>
      </c>
      <c r="F132" s="14">
        <f t="shared" si="10"/>
        <v>-23298.441999999995</v>
      </c>
      <c r="G132" s="15">
        <f t="shared" si="11"/>
        <v>-0.24742266574184574</v>
      </c>
      <c r="H132" s="16">
        <f>SUM(Jul!H132,Aug!H132,Sep!H132)</f>
        <v>92738</v>
      </c>
      <c r="I132" s="16">
        <f>SUM(Jul!I132, Aug!I132, Sep!I132)</f>
        <v>-21871.9</v>
      </c>
      <c r="J132" s="15">
        <f t="shared" si="12"/>
        <v>-0.23584614721042077</v>
      </c>
    </row>
    <row r="133" spans="1:10" ht="15.6">
      <c r="A133" s="24" t="str">
        <v>M025</v>
      </c>
      <c r="B133" s="25" t="str">
        <v>NY</v>
      </c>
      <c r="C133" s="25" t="str">
        <f>Sites[[#This Row],[SOL'#]]</f>
        <v>SOL-10392</v>
      </c>
      <c r="D133" s="20">
        <f>SUM(Jul!D133, Aug!D133, Sep!D133)</f>
        <v>63842.023062499997</v>
      </c>
      <c r="E133" s="10">
        <f>SUM(Jul!E133, Aug!E133, Sep!E133)</f>
        <v>87869.323000000004</v>
      </c>
      <c r="F133" s="10">
        <f t="shared" si="10"/>
        <v>-24027.299937500007</v>
      </c>
      <c r="G133" s="11">
        <f t="shared" si="11"/>
        <v>-0.27344355364499628</v>
      </c>
      <c r="H133" s="12">
        <f>SUM(Jul!H133,Aug!H133,Sep!H133)</f>
        <v>81637.5</v>
      </c>
      <c r="I133" s="12">
        <f>SUM(Jul!I133, Aug!I133, Sep!I133)</f>
        <v>-17795.4769375</v>
      </c>
      <c r="J133" s="13">
        <f t="shared" si="12"/>
        <v>-0.21798164982391671</v>
      </c>
    </row>
    <row r="134" spans="1:10" ht="15.6">
      <c r="A134" s="26" t="str">
        <v>M028</v>
      </c>
      <c r="B134" s="27" t="str">
        <v>NY</v>
      </c>
      <c r="C134" s="27" t="str">
        <f>Sites[[#This Row],[SOL'#]]</f>
        <v>SOL-10381</v>
      </c>
      <c r="D134" s="9">
        <f>SUM(Jul!D134, Aug!D134, Sep!D134)</f>
        <v>67025.021359375009</v>
      </c>
      <c r="E134" s="14">
        <f>SUM(Jul!E134, Aug!E134, Sep!E134)</f>
        <v>64202.36</v>
      </c>
      <c r="F134" s="14">
        <f t="shared" si="10"/>
        <v>2822.661359375008</v>
      </c>
      <c r="G134" s="15">
        <f t="shared" si="11"/>
        <v>4.3965071679218773E-2</v>
      </c>
      <c r="H134" s="16">
        <f>SUM(Jul!H134,Aug!H134,Sep!H134)</f>
        <v>62213.5</v>
      </c>
      <c r="I134" s="16">
        <f>SUM(Jul!I134, Aug!I134, Sep!I134)</f>
        <v>4811.5213593750013</v>
      </c>
      <c r="J134" s="15">
        <f t="shared" si="12"/>
        <v>7.7338863098443289E-2</v>
      </c>
    </row>
    <row r="135" spans="1:10" ht="15.6">
      <c r="A135" s="24" t="str">
        <v>Q030</v>
      </c>
      <c r="B135" s="25" t="str">
        <v>NY</v>
      </c>
      <c r="C135" s="25" t="str">
        <f>Sites[[#This Row],[SOL'#]]</f>
        <v>SOL-10878</v>
      </c>
      <c r="D135" s="20">
        <f>SUM(Jul!D135, Aug!D135, Sep!D135)</f>
        <v>78967.195062500003</v>
      </c>
      <c r="E135" s="10">
        <f>SUM(Jul!E135, Aug!E135, Sep!E135)</f>
        <v>78003.445000000007</v>
      </c>
      <c r="F135" s="10">
        <f t="shared" si="10"/>
        <v>963.75006249999569</v>
      </c>
      <c r="G135" s="11">
        <f t="shared" si="11"/>
        <v>1.2355224342976078E-2</v>
      </c>
      <c r="H135" s="12">
        <f>SUM(Jul!H135,Aug!H135,Sep!H135)</f>
        <v>74861</v>
      </c>
      <c r="I135" s="12">
        <f>SUM(Jul!I135, Aug!I135, Sep!I135)</f>
        <v>4106.195062499999</v>
      </c>
      <c r="J135" s="13">
        <f t="shared" si="12"/>
        <v>5.4850924546826774E-2</v>
      </c>
    </row>
    <row r="136" spans="1:10" ht="15.6">
      <c r="A136" s="26" t="str">
        <v>Q130</v>
      </c>
      <c r="B136" s="27" t="str">
        <v>NY</v>
      </c>
      <c r="C136" s="27" t="str">
        <f>Sites[[#This Row],[SOL'#]]</f>
        <v>SOL-10877</v>
      </c>
      <c r="D136" s="9">
        <f>SUM(Jul!D136, Aug!D136, Sep!D136)</f>
        <v>44386.8825</v>
      </c>
      <c r="E136" s="14">
        <f>SUM(Jul!E136, Aug!E136, Sep!E136)</f>
        <v>41472.133000000002</v>
      </c>
      <c r="F136" s="14">
        <f t="shared" si="10"/>
        <v>2914.7494999999981</v>
      </c>
      <c r="G136" s="15">
        <f t="shared" si="11"/>
        <v>7.028212173220022E-2</v>
      </c>
      <c r="H136" s="16">
        <f>SUM(Jul!H136,Aug!H136,Sep!H136)</f>
        <v>42914.892</v>
      </c>
      <c r="I136" s="16">
        <f>SUM(Jul!I136, Aug!I136, Sep!I136)</f>
        <v>1471.9904999999981</v>
      </c>
      <c r="J136" s="15">
        <f t="shared" si="12"/>
        <v>3.4300226131292563E-2</v>
      </c>
    </row>
    <row r="137" spans="1:10" ht="15.6">
      <c r="A137" s="24" t="str">
        <v>Q196</v>
      </c>
      <c r="B137" s="25" t="str">
        <v>NY</v>
      </c>
      <c r="C137" s="25" t="str">
        <f>Sites[[#This Row],[SOL'#]]</f>
        <v>SOL-10879</v>
      </c>
      <c r="D137" s="20">
        <f>SUM(Jul!D137, Aug!D137, Sep!D137)</f>
        <v>58232.200624653597</v>
      </c>
      <c r="E137" s="10">
        <f>SUM(Jul!E137, Aug!E137, Sep!E137)</f>
        <v>59693.25</v>
      </c>
      <c r="F137" s="10">
        <f t="shared" si="10"/>
        <v>-1461.0493753464034</v>
      </c>
      <c r="G137" s="11">
        <f t="shared" si="11"/>
        <v>-2.4475956248761851E-2</v>
      </c>
      <c r="H137" s="12">
        <f>SUM(Jul!H137,Aug!H137,Sep!H137)</f>
        <v>55529</v>
      </c>
      <c r="I137" s="12">
        <f>SUM(Jul!I137, Aug!I137, Sep!I137)</f>
        <v>2703.2006246536021</v>
      </c>
      <c r="J137" s="13">
        <f t="shared" si="12"/>
        <v>4.8680880704741705E-2</v>
      </c>
    </row>
    <row r="138" spans="1:10" ht="15.6">
      <c r="A138" s="26" t="str">
        <v>Q220</v>
      </c>
      <c r="B138" s="27" t="str">
        <v>NY</v>
      </c>
      <c r="C138" s="27" t="str">
        <f>Sites[[#This Row],[SOL'#]]</f>
        <v>SOL-10873</v>
      </c>
      <c r="D138" s="9">
        <f>SUM(Jul!D138, Aug!D138, Sep!D138)</f>
        <v>69023.296625000003</v>
      </c>
      <c r="E138" s="14">
        <f>SUM(Jul!E138, Aug!E138, Sep!E138)</f>
        <v>79109.393000000011</v>
      </c>
      <c r="F138" s="14">
        <f t="shared" si="10"/>
        <v>-10086.096375000008</v>
      </c>
      <c r="G138" s="15">
        <f t="shared" si="11"/>
        <v>-0.12749556016691985</v>
      </c>
      <c r="H138" s="16">
        <f>SUM(Jul!H138,Aug!H138,Sep!H138)</f>
        <v>63784</v>
      </c>
      <c r="I138" s="16">
        <f>SUM(Jul!I138, Aug!I138, Sep!I138)</f>
        <v>5239.296624999999</v>
      </c>
      <c r="J138" s="15">
        <f t="shared" si="12"/>
        <v>8.2141236438605283E-2</v>
      </c>
    </row>
    <row r="139" spans="1:10" ht="15.6">
      <c r="A139" s="24" t="str">
        <v>Q205</v>
      </c>
      <c r="B139" s="25" t="str">
        <v>NY</v>
      </c>
      <c r="C139" s="25" t="str">
        <f>Sites[[#This Row],[SOL'#]]</f>
        <v>SOL-10922</v>
      </c>
      <c r="D139" s="20">
        <f>SUM(Jul!D139, Aug!D139, Sep!D139)</f>
        <v>75602.718500000003</v>
      </c>
      <c r="E139" s="10">
        <f>SUM(Jul!E139, Aug!E139, Sep!E139)</f>
        <v>97699.793000000005</v>
      </c>
      <c r="F139" s="10">
        <f t="shared" si="10"/>
        <v>-22097.074500000002</v>
      </c>
      <c r="G139" s="11">
        <f t="shared" si="11"/>
        <v>-0.2261731967026788</v>
      </c>
      <c r="H139" s="12">
        <f>SUM(Jul!H139,Aug!H139,Sep!H139)</f>
        <v>76269</v>
      </c>
      <c r="I139" s="12">
        <f>SUM(Jul!I139, Aug!I139, Sep!I139)</f>
        <v>-666.28150000000096</v>
      </c>
      <c r="J139" s="13">
        <f t="shared" si="12"/>
        <v>-8.7359412080924223E-3</v>
      </c>
    </row>
    <row r="140" spans="1:10" ht="15.6">
      <c r="A140" s="26" t="str">
        <v>Q400</v>
      </c>
      <c r="B140" s="27" t="str">
        <v>NY</v>
      </c>
      <c r="C140" s="27" t="str">
        <f>Sites[[#This Row],[SOL'#]]</f>
        <v>SOL-10871</v>
      </c>
      <c r="D140" s="9">
        <f>SUM(Jul!D140, Aug!D140, Sep!D140)</f>
        <v>81220.765249999997</v>
      </c>
      <c r="E140" s="14">
        <f>SUM(Jul!E140, Aug!E140, Sep!E140)</f>
        <v>0</v>
      </c>
      <c r="F140" s="14">
        <f t="shared" si="10"/>
        <v>81220.765249999997</v>
      </c>
      <c r="G140" s="15" t="str">
        <f t="shared" si="11"/>
        <v/>
      </c>
      <c r="H140" s="16">
        <f>SUM(Jul!H140,Aug!H140,Sep!H140)</f>
        <v>123657</v>
      </c>
      <c r="I140" s="16">
        <f>SUM(Jul!I140, Aug!I140, Sep!I140)</f>
        <v>-42436.234750000003</v>
      </c>
      <c r="J140" s="15">
        <f t="shared" si="12"/>
        <v>-0.34317697138051223</v>
      </c>
    </row>
    <row r="141" spans="1:10" ht="15.6">
      <c r="A141" s="24" t="str">
        <v>R003</v>
      </c>
      <c r="B141" s="25" t="str">
        <v>NY</v>
      </c>
      <c r="C141" s="25" t="str">
        <f>Sites[[#This Row],[SOL'#]]</f>
        <v>SOL-10416</v>
      </c>
      <c r="D141" s="20">
        <f>SUM(Jul!D141, Aug!D141, Sep!D141)</f>
        <v>105505.965125</v>
      </c>
      <c r="E141" s="10">
        <f>SUM(Jul!E141, Aug!E141, Sep!E141)</f>
        <v>117887.20699999999</v>
      </c>
      <c r="F141" s="10">
        <f t="shared" si="10"/>
        <v>-12381.241874999992</v>
      </c>
      <c r="G141" s="11">
        <f t="shared" si="11"/>
        <v>-0.10502617026968832</v>
      </c>
      <c r="H141" s="12">
        <f>SUM(Jul!H141,Aug!H141,Sep!H141)</f>
        <v>114638</v>
      </c>
      <c r="I141" s="12">
        <f>SUM(Jul!I141, Aug!I141, Sep!I141)</f>
        <v>-9132.0348750000012</v>
      </c>
      <c r="J141" s="13">
        <f t="shared" si="12"/>
        <v>-7.9659753964653968E-2</v>
      </c>
    </row>
    <row r="142" spans="1:10" ht="15.6">
      <c r="A142" s="26" t="str">
        <v>R007</v>
      </c>
      <c r="B142" s="27" t="str">
        <v>NY</v>
      </c>
      <c r="C142" s="27" t="str">
        <f>Sites[[#This Row],[SOL'#]]</f>
        <v>SOL-10417</v>
      </c>
      <c r="D142" s="9">
        <f>SUM(Jul!D142, Aug!D142, Sep!D142)</f>
        <v>126316.844</v>
      </c>
      <c r="E142" s="14">
        <f>SUM(Jul!E142, Aug!E142, Sep!E142)</f>
        <v>127802.52600000001</v>
      </c>
      <c r="F142" s="14">
        <f t="shared" si="10"/>
        <v>-1485.6820000000153</v>
      </c>
      <c r="G142" s="15">
        <f t="shared" si="11"/>
        <v>-1.1624825005415113E-2</v>
      </c>
      <c r="H142" s="16">
        <f>SUM(Jul!H142,Aug!H142,Sep!H142)</f>
        <v>128528.88699999999</v>
      </c>
      <c r="I142" s="16">
        <f>SUM(Jul!I142, Aug!I142, Sep!I142)</f>
        <v>-2212.0429999999978</v>
      </c>
      <c r="J142" s="15">
        <f t="shared" si="12"/>
        <v>-1.7210473471228286E-2</v>
      </c>
    </row>
    <row r="143" spans="1:10" ht="15.6">
      <c r="A143" s="24" t="str">
        <v>BK16</v>
      </c>
      <c r="B143" s="25" t="str">
        <v>NY</v>
      </c>
      <c r="C143" s="25" t="str">
        <f>Sites[[#This Row],[SOL'#]]</f>
        <v>SOL-11093</v>
      </c>
      <c r="D143" s="20">
        <f>SUM(Jul!D143, Aug!D143, Sep!D143)</f>
        <v>128771.31225</v>
      </c>
      <c r="E143" s="10">
        <f>SUM(Jul!E143, Aug!E143, Sep!E143)</f>
        <v>127834.13200000001</v>
      </c>
      <c r="F143" s="10">
        <f t="shared" si="10"/>
        <v>937.18024999999034</v>
      </c>
      <c r="G143" s="11">
        <f t="shared" si="11"/>
        <v>7.3312208198041372E-3</v>
      </c>
      <c r="H143" s="12">
        <f>SUM(Jul!H143,Aug!H143,Sep!H143)</f>
        <v>122483</v>
      </c>
      <c r="I143" s="12">
        <f>SUM(Jul!I143, Aug!I143, Sep!I143)</f>
        <v>6288.3122500000027</v>
      </c>
      <c r="J143" s="13">
        <f t="shared" si="12"/>
        <v>5.1340285998873338E-2</v>
      </c>
    </row>
    <row r="144" spans="1:10" ht="15.6">
      <c r="A144" s="26" t="str">
        <v>Trenton - Trenton East</v>
      </c>
      <c r="B144" s="27" t="str">
        <v>IL</v>
      </c>
      <c r="C144" s="27" t="str">
        <f>Sites[[#This Row],[SOL'#]]</f>
        <v>SOL-11060</v>
      </c>
      <c r="D144" s="9">
        <f>SUM(Jul!D144, Aug!D144, Sep!D144)</f>
        <v>1231604</v>
      </c>
      <c r="E144" s="14">
        <f>SUM(Jul!E144, Aug!E144, Sep!E144)</f>
        <v>1309024.2919999999</v>
      </c>
      <c r="F144" s="14">
        <f t="shared" si="10"/>
        <v>-77420.291999999899</v>
      </c>
      <c r="G144" s="15">
        <f t="shared" si="11"/>
        <v>-5.9143510531582941E-2</v>
      </c>
      <c r="H144" s="16">
        <f>SUM(Jul!H144,Aug!H144,Sep!H144)</f>
        <v>1476898</v>
      </c>
      <c r="I144" s="16">
        <f>SUM(Jul!I144, Aug!I144, Sep!I144)</f>
        <v>-215809</v>
      </c>
      <c r="J144" s="15">
        <f t="shared" si="12"/>
        <v>-0.14612315813278912</v>
      </c>
    </row>
    <row r="145" spans="1:10" ht="15.6">
      <c r="A145" s="24" t="str">
        <v>Trenton - Trenton West</v>
      </c>
      <c r="B145" s="25" t="str">
        <v>IL</v>
      </c>
      <c r="C145" s="25" t="str">
        <f>Sites[[#This Row],[SOL'#]]</f>
        <v>SOL-11061</v>
      </c>
      <c r="D145" s="20">
        <f>SUM(Jul!D145, Aug!D145, Sep!D145)</f>
        <v>757332</v>
      </c>
      <c r="E145" s="10">
        <f>SUM(Jul!E145, Aug!E145, Sep!E145)</f>
        <v>1112799.898</v>
      </c>
      <c r="F145" s="10">
        <f t="shared" si="10"/>
        <v>-355467.89800000004</v>
      </c>
      <c r="G145" s="11">
        <f t="shared" si="11"/>
        <v>-0.31943559541915056</v>
      </c>
      <c r="H145" s="12">
        <f>SUM(Jul!H145,Aug!H145,Sep!H145)</f>
        <v>1483031.5</v>
      </c>
      <c r="I145" s="12">
        <f>SUM(Jul!I145, Aug!I145, Sep!I145)</f>
        <v>-725699.5</v>
      </c>
      <c r="J145" s="13">
        <f t="shared" si="12"/>
        <v>-0.48933518944135712</v>
      </c>
    </row>
    <row r="146" spans="1:10" ht="15.6">
      <c r="A146" s="26" t="str">
        <v>Dakota - Dakota Solar 1</v>
      </c>
      <c r="B146" s="27" t="str">
        <v>IL</v>
      </c>
      <c r="C146" s="27" t="str">
        <f>Sites[[#This Row],[SOL'#]]</f>
        <v>SOL-11113</v>
      </c>
      <c r="D146" s="9">
        <f>SUM(Jul!D146, Aug!D146, Sep!D146)</f>
        <v>1450176</v>
      </c>
      <c r="E146" s="14">
        <f>SUM(Jul!E146, Aug!E146, Sep!E146)</f>
        <v>1521136.7590000001</v>
      </c>
      <c r="F146" s="14">
        <f t="shared" si="10"/>
        <v>-70960.759000000078</v>
      </c>
      <c r="G146" s="15">
        <f t="shared" si="11"/>
        <v>-4.6649821970412376E-2</v>
      </c>
      <c r="H146" s="16">
        <f>SUM(Jul!H146,Aug!H146,Sep!H146)</f>
        <v>1122135</v>
      </c>
      <c r="I146" s="16">
        <f>SUM(Jul!I146, Aug!I146, Sep!I146)</f>
        <v>328041</v>
      </c>
      <c r="J146" s="15">
        <f t="shared" si="12"/>
        <v>0.2923364835781791</v>
      </c>
    </row>
    <row r="147" spans="1:10" ht="15.6">
      <c r="A147" s="24" t="str">
        <v>X018</v>
      </c>
      <c r="B147" s="25" t="str">
        <v>NY</v>
      </c>
      <c r="C147" s="25" t="str">
        <f>Sites[[#This Row],[SOL'#]]</f>
        <v>SOL-10418</v>
      </c>
      <c r="D147" s="20">
        <f>SUM(Jul!D147, Aug!D147, Sep!D147)</f>
        <v>61231.302101562498</v>
      </c>
      <c r="E147" s="10">
        <f>SUM(Jul!E147, Aug!E147, Sep!E147)</f>
        <v>43932.800000000003</v>
      </c>
      <c r="F147" s="10">
        <f t="shared" si="10"/>
        <v>17298.502101562495</v>
      </c>
      <c r="G147" s="11">
        <f t="shared" si="11"/>
        <v>0.39374913735437972</v>
      </c>
      <c r="H147" s="12">
        <f>SUM(Jul!H147,Aug!H147,Sep!H147)</f>
        <v>63163.5</v>
      </c>
      <c r="I147" s="12">
        <f>SUM(Jul!I147, Aug!I147, Sep!I147)</f>
        <v>-1932.1978984375019</v>
      </c>
      <c r="J147" s="13">
        <f t="shared" si="12"/>
        <v>-3.0590418492285922E-2</v>
      </c>
    </row>
    <row r="148" spans="1:10" ht="15.6">
      <c r="A148" s="26" t="str">
        <v>Janiak Solar</v>
      </c>
      <c r="B148" s="27" t="str">
        <v>NY</v>
      </c>
      <c r="C148" s="27" t="str">
        <f>Sites[[#This Row],[SOL'#]]</f>
        <v>SOL-10898</v>
      </c>
      <c r="D148" s="9">
        <f>SUM(Jul!D148, Aug!D148, Sep!D148)</f>
        <v>1173266</v>
      </c>
      <c r="E148" s="14">
        <f>SUM(Jul!E148, Aug!E148, Sep!E148)</f>
        <v>1246179.6229999999</v>
      </c>
      <c r="F148" s="14">
        <f t="shared" si="10"/>
        <v>-72913.622999999905</v>
      </c>
      <c r="G148" s="15">
        <f t="shared" si="11"/>
        <v>-5.8509721756219019E-2</v>
      </c>
      <c r="H148" s="16">
        <f>SUM(Jul!H148,Aug!H148,Sep!H148)</f>
        <v>1219570</v>
      </c>
      <c r="I148" s="16">
        <f>SUM(Jul!I148, Aug!I148, Sep!I148)</f>
        <v>-46304</v>
      </c>
      <c r="J148" s="15">
        <f t="shared" si="12"/>
        <v>-3.7967480341431818E-2</v>
      </c>
    </row>
    <row r="149" spans="1:10" ht="15.6">
      <c r="A149" s="24" t="str">
        <v>County Route 11B</v>
      </c>
      <c r="B149" s="25" t="str">
        <v>NY</v>
      </c>
      <c r="C149" s="25" t="str">
        <f>Sites[[#This Row],[SOL'#]]</f>
        <v>SOL-10983</v>
      </c>
      <c r="D149" s="20">
        <f>SUM(Jul!D149, Aug!D149, Sep!D149)</f>
        <v>3974507.01</v>
      </c>
      <c r="E149" s="10">
        <f>SUM(Jul!E149, Aug!E149, Sep!E149)</f>
        <v>3962885.09</v>
      </c>
      <c r="F149" s="10">
        <f t="shared" si="10"/>
        <v>11621.919999999925</v>
      </c>
      <c r="G149" s="11">
        <f t="shared" si="11"/>
        <v>2.9326916466305931E-3</v>
      </c>
      <c r="H149" s="12">
        <f>SUM(Jul!H149,Aug!H149,Sep!H149)</f>
        <v>0</v>
      </c>
      <c r="I149" s="12">
        <f>SUM(Jul!I149, Aug!I149, Sep!I149)</f>
        <v>0</v>
      </c>
      <c r="J149" s="13" t="str">
        <f t="shared" si="12"/>
        <v/>
      </c>
    </row>
    <row r="150" spans="1:10" ht="15.6">
      <c r="A150" s="26" t="str">
        <v>Barone</v>
      </c>
      <c r="B150" s="27" t="str">
        <v>NY</v>
      </c>
      <c r="C150" s="27" t="str">
        <f>Sites[[#This Row],[SOL'#]]</f>
        <v>SOL-11034</v>
      </c>
      <c r="D150" s="9">
        <f>SUM(Jul!D150, Aug!D150, Sep!D150)</f>
        <v>1923823</v>
      </c>
      <c r="E150" s="14">
        <f>SUM(Jul!E150, Aug!E150, Sep!E150)</f>
        <v>1915815</v>
      </c>
      <c r="F150" s="14">
        <f t="shared" si="10"/>
        <v>8008</v>
      </c>
      <c r="G150" s="15">
        <f t="shared" si="11"/>
        <v>4.1799443056871359E-3</v>
      </c>
      <c r="H150" s="16">
        <f>SUM(Jul!H150,Aug!H150,Sep!H150)</f>
        <v>1986020</v>
      </c>
      <c r="I150" s="16">
        <f>SUM(Jul!I150, Aug!I150, Sep!I150)</f>
        <v>-62197</v>
      </c>
      <c r="J150" s="15">
        <f t="shared" si="12"/>
        <v>-3.1317408686720172E-2</v>
      </c>
    </row>
    <row r="151" spans="1:10" ht="15.6">
      <c r="A151" s="24" t="str">
        <v>Cedarville</v>
      </c>
      <c r="B151" s="25" t="str">
        <v>IL</v>
      </c>
      <c r="C151" s="25" t="str">
        <f>Sites[[#This Row],[SOL'#]]</f>
        <v>SOL-11069</v>
      </c>
      <c r="D151" s="20">
        <f>SUM(Jul!D151, Aug!D151, Sep!D151)</f>
        <v>1231957</v>
      </c>
      <c r="E151" s="10">
        <f>SUM(Jul!E151, Aug!E151, Sep!E151)</f>
        <v>1207022.139</v>
      </c>
      <c r="F151" s="10">
        <f t="shared" si="10"/>
        <v>24934.861000000034</v>
      </c>
      <c r="G151" s="11">
        <f t="shared" si="11"/>
        <v>2.0658163752206068E-2</v>
      </c>
      <c r="H151" s="12">
        <f>SUM(Jul!H151,Aug!H151,Sep!H151)</f>
        <v>1468286.94</v>
      </c>
      <c r="I151" s="12">
        <f>SUM(Jul!I151, Aug!I151, Sep!I151)</f>
        <v>-236329.94</v>
      </c>
      <c r="J151" s="13">
        <f t="shared" si="12"/>
        <v>-0.16095623652417695</v>
      </c>
    </row>
    <row r="152" spans="1:10" ht="15.6">
      <c r="A152" s="26" t="str">
        <v xml:space="preserve"> O'Brien Hill #1</v>
      </c>
      <c r="B152" s="27" t="str">
        <v>NY</v>
      </c>
      <c r="C152" s="27" t="str">
        <f>Sites[[#This Row],[SOL'#]]</f>
        <v>SOL-11098</v>
      </c>
      <c r="D152" s="9">
        <f>SUM(Jul!D152, Aug!D152, Sep!D152)</f>
        <v>0</v>
      </c>
      <c r="E152" s="14">
        <f>SUM(Jul!E152, Aug!E152, Sep!E152)</f>
        <v>0</v>
      </c>
      <c r="F152" s="14">
        <f t="shared" si="10"/>
        <v>0</v>
      </c>
      <c r="G152" s="15" t="str">
        <f t="shared" si="11"/>
        <v/>
      </c>
      <c r="H152" s="16">
        <f>SUM(Jul!H152,Aug!H152,Sep!H152)</f>
        <v>0</v>
      </c>
      <c r="I152" s="16">
        <f>SUM(Jul!I152, Aug!I152, Sep!I152)</f>
        <v>0</v>
      </c>
      <c r="J152" s="15" t="str">
        <f t="shared" si="12"/>
        <v/>
      </c>
    </row>
    <row r="153" spans="1:10" ht="15.6">
      <c r="A153" s="24" t="str">
        <v xml:space="preserve"> O'Brien Hill #2</v>
      </c>
      <c r="B153" s="25" t="str">
        <v>NY</v>
      </c>
      <c r="C153" s="25" t="str">
        <f>Sites[[#This Row],[SOL'#]]</f>
        <v>SOL-11099</v>
      </c>
      <c r="D153" s="20">
        <f>SUM(Jul!D153, Aug!D153, Sep!D153)</f>
        <v>3136487</v>
      </c>
      <c r="E153" s="10">
        <f>SUM(Jul!E153, Aug!E153, Sep!E153)</f>
        <v>3136145</v>
      </c>
      <c r="F153" s="10">
        <f t="shared" si="10"/>
        <v>342</v>
      </c>
      <c r="G153" s="11">
        <f t="shared" si="11"/>
        <v>1.0905108022747673E-4</v>
      </c>
      <c r="H153" s="12">
        <f>SUM(Jul!H153,Aug!H153,Sep!H153)</f>
        <v>0</v>
      </c>
      <c r="I153" s="12">
        <f>SUM(Jul!I153, Aug!I153, Sep!I153)</f>
        <v>0</v>
      </c>
      <c r="J153" s="13" t="str">
        <f t="shared" si="12"/>
        <v/>
      </c>
    </row>
    <row r="154" spans="1:10" ht="15.6">
      <c r="A154" s="26" t="str">
        <v>Trinity - Freeport</v>
      </c>
      <c r="B154" s="27" t="str">
        <v>IL</v>
      </c>
      <c r="C154" s="27" t="str">
        <f>Sites[[#This Row],[SOL'#]]</f>
        <v>SOL-11057</v>
      </c>
      <c r="D154" s="9">
        <f>SUM(Jul!D154, Aug!D154, Sep!D154)</f>
        <v>1359928</v>
      </c>
      <c r="E154" s="14">
        <f>SUM(Jul!E154, Aug!E154, Sep!E154)</f>
        <v>1546158.5279999999</v>
      </c>
      <c r="F154" s="14">
        <f t="shared" si="10"/>
        <v>-186230.52799999993</v>
      </c>
      <c r="G154" s="15">
        <f t="shared" si="11"/>
        <v>-0.12044724045269434</v>
      </c>
      <c r="H154" s="16">
        <f>SUM(Jul!H154,Aug!H154,Sep!H154)</f>
        <v>1497943.5</v>
      </c>
      <c r="I154" s="16">
        <f>SUM(Jul!I154, Aug!I154, Sep!I154)</f>
        <v>-138015.5</v>
      </c>
      <c r="J154" s="15">
        <f t="shared" si="12"/>
        <v>-9.2136652684163323E-2</v>
      </c>
    </row>
    <row r="155" spans="1:10" ht="15.6">
      <c r="A155" s="24" t="str">
        <v>Ransom</v>
      </c>
      <c r="B155" s="25" t="str">
        <v>NY</v>
      </c>
      <c r="C155" s="25" t="str">
        <f>Sites[[#This Row],[SOL'#]]</f>
        <v>SOL-11157</v>
      </c>
      <c r="D155" s="20">
        <f>SUM(Jul!D155, Aug!D155, Sep!D155)</f>
        <v>2884283</v>
      </c>
      <c r="E155" s="10">
        <f>SUM(Jul!E155, Aug!E155, Sep!E155)</f>
        <v>2873176</v>
      </c>
      <c r="F155" s="10">
        <f t="shared" si="10"/>
        <v>11107</v>
      </c>
      <c r="G155" s="11">
        <f t="shared" si="11"/>
        <v>3.8657569184762787E-3</v>
      </c>
      <c r="H155" s="12">
        <f>SUM(Jul!H155,Aug!H155,Sep!H155)</f>
        <v>0</v>
      </c>
      <c r="I155" s="12">
        <f>SUM(Jul!I155, Aug!I155, Sep!I155)</f>
        <v>0</v>
      </c>
      <c r="J155" s="13" t="str">
        <f t="shared" ref="J155:J164" si="13">IFERROR(I155/H155, "")</f>
        <v/>
      </c>
    </row>
    <row r="156" spans="1:10" ht="15.6">
      <c r="A156" s="26" t="str">
        <v>Horseheads - Wedge</v>
      </c>
      <c r="B156" s="27" t="str">
        <v>NY</v>
      </c>
      <c r="C156" s="27" t="str">
        <f>Sites[[#This Row],[SOL'#]]</f>
        <v>SOL-11160</v>
      </c>
      <c r="D156" s="9">
        <f>SUM(Jul!D156, Aug!D156, Sep!D156)</f>
        <v>1975316</v>
      </c>
      <c r="E156" s="14">
        <f>SUM(Jul!E156, Aug!E156, Sep!E156)</f>
        <v>1969790</v>
      </c>
      <c r="F156" s="14">
        <f t="shared" si="10"/>
        <v>5526</v>
      </c>
      <c r="G156" s="15">
        <f t="shared" si="11"/>
        <v>2.8053751922793801E-3</v>
      </c>
      <c r="H156" s="16">
        <f>SUM(Jul!H156,Aug!H156,Sep!H156)</f>
        <v>0</v>
      </c>
      <c r="I156" s="16">
        <f>SUM(Jul!I156, Aug!I156, Sep!I156)</f>
        <v>0</v>
      </c>
      <c r="J156" s="15" t="str">
        <f t="shared" si="13"/>
        <v/>
      </c>
    </row>
    <row r="157" spans="1:10" ht="15.6">
      <c r="A157" s="24" t="str">
        <v>Otisville - Shoddy Hollow</v>
      </c>
      <c r="B157" s="25" t="str">
        <v>NY</v>
      </c>
      <c r="C157" s="25" t="str">
        <f>Sites[[#This Row],[SOL'#]]</f>
        <v>SOL-11185</v>
      </c>
      <c r="D157" s="20">
        <f>SUM(Jul!D157, Aug!D157, Sep!D157)</f>
        <v>3246989</v>
      </c>
      <c r="E157" s="10">
        <f>SUM(Jul!E157, Aug!E157, Sep!E157)</f>
        <v>3233839</v>
      </c>
      <c r="F157" s="10">
        <f t="shared" si="10"/>
        <v>13150</v>
      </c>
      <c r="G157" s="11">
        <f t="shared" si="11"/>
        <v>4.0663743618652628E-3</v>
      </c>
      <c r="H157" s="12">
        <f>SUM(Jul!H157,Aug!H157,Sep!H157)</f>
        <v>0</v>
      </c>
      <c r="I157" s="12">
        <f>SUM(Jul!I157, Aug!I157, Sep!I157)</f>
        <v>0</v>
      </c>
      <c r="J157" s="13" t="str">
        <f t="shared" si="13"/>
        <v/>
      </c>
    </row>
    <row r="158" spans="1:10" ht="15.6">
      <c r="A158" s="26" t="str">
        <v>Wellsville - Chenunda Creek</v>
      </c>
      <c r="B158" s="27" t="str">
        <v>NY</v>
      </c>
      <c r="C158" s="27" t="str">
        <f>Sites[[#This Row],[SOL'#]]</f>
        <v>SOL-11187</v>
      </c>
      <c r="D158" s="9">
        <f>SUM(Jul!D158, Aug!D158, Sep!D158)</f>
        <v>1557617</v>
      </c>
      <c r="E158" s="14">
        <f>SUM(Jul!E158, Aug!E158, Sep!E158)</f>
        <v>1553497</v>
      </c>
      <c r="F158" s="14">
        <f t="shared" si="10"/>
        <v>4120</v>
      </c>
      <c r="G158" s="15">
        <f t="shared" si="11"/>
        <v>2.6520810790107738E-3</v>
      </c>
      <c r="H158" s="16">
        <f>SUM(Jul!H158,Aug!H158,Sep!H158)</f>
        <v>0</v>
      </c>
      <c r="I158" s="16">
        <f>SUM(Jul!I158, Aug!I158, Sep!I158)</f>
        <v>0</v>
      </c>
      <c r="J158" s="15" t="str">
        <f t="shared" si="13"/>
        <v/>
      </c>
    </row>
    <row r="159" spans="1:10" ht="15.6">
      <c r="A159" s="24" t="str">
        <v>DC: Washington - Essex Condominium</v>
      </c>
      <c r="B159" s="25" t="str">
        <v>DC</v>
      </c>
      <c r="C159" s="25" t="str">
        <f>Sites[[#This Row],[SOL'#]]</f>
        <v>SOL-10036</v>
      </c>
      <c r="D159" s="54">
        <f>SUM(Jul!D159, Aug!D159, Sep!D159)</f>
        <v>11672</v>
      </c>
      <c r="E159" s="10">
        <f>SUM(Jul!E159, Aug!E159, Sep!E159)</f>
        <v>14990.373</v>
      </c>
      <c r="F159" s="10">
        <f t="shared" ref="F159:F164" si="14">IF(AND(ISNUMBER(D159),ISNUMBER(E159)), D159-E159, "")</f>
        <v>-3318.3729999999996</v>
      </c>
      <c r="G159" s="55">
        <f t="shared" ref="G159:G164" si="15">IFERROR(F159/E159, "")</f>
        <v>-0.22136693996873857</v>
      </c>
      <c r="H159" s="67">
        <f>SUM(Jul!H159,Aug!H159,Sep!H159)</f>
        <v>14303.385</v>
      </c>
      <c r="I159" s="67">
        <f>SUM(Jul!I159, Aug!I159, Sep!I159)</f>
        <v>-2631.3849999999998</v>
      </c>
      <c r="J159" s="64">
        <f t="shared" si="13"/>
        <v>-0.18396938906419702</v>
      </c>
    </row>
    <row r="160" spans="1:10" ht="15.6">
      <c r="A160" s="26" t="str">
        <v>HI: Waipahu - 94-246 Leoku St - E.F.G.</v>
      </c>
      <c r="B160" s="27" t="str">
        <v>HI</v>
      </c>
      <c r="C160" s="27" t="str">
        <f>Sites[[#This Row],[SOL'#]]</f>
        <v>SOL-10071</v>
      </c>
      <c r="D160" s="66">
        <f>SUM(Jul!D160, Aug!D160, Sep!D160)</f>
        <v>30106</v>
      </c>
      <c r="E160" s="14">
        <f>SUM(Jul!E160, Aug!E160, Sep!E160)</f>
        <v>36357.664000000004</v>
      </c>
      <c r="F160" s="14">
        <f t="shared" si="14"/>
        <v>-6251.6640000000043</v>
      </c>
      <c r="G160" s="68">
        <f t="shared" si="15"/>
        <v>-0.17194900090390855</v>
      </c>
      <c r="H160" s="69">
        <f>SUM(Jul!H160,Aug!H160,Sep!H160)</f>
        <v>38737.241000000002</v>
      </c>
      <c r="I160" s="69">
        <f>SUM(Jul!I160, Aug!I160, Sep!I160)</f>
        <v>-8631.241</v>
      </c>
      <c r="J160" s="68">
        <f t="shared" si="13"/>
        <v>-0.22281506832146356</v>
      </c>
    </row>
    <row r="161" spans="1:10" ht="15.6">
      <c r="A161" s="24" t="str">
        <v>HI: Waipahu - 94-099 Waipahu St - PV</v>
      </c>
      <c r="B161" s="25" t="str">
        <v>HI</v>
      </c>
      <c r="C161" s="25" t="str">
        <f>Sites[[#This Row],[SOL'#]]</f>
        <v>SOL-10068</v>
      </c>
      <c r="D161" s="54">
        <f>SUM(Jul!D161, Aug!D161, Sep!D161)</f>
        <v>41700</v>
      </c>
      <c r="E161" s="10">
        <f>SUM(Jul!E161, Aug!E161, Sep!E161)</f>
        <v>32614.072</v>
      </c>
      <c r="F161" s="10">
        <f t="shared" si="14"/>
        <v>9085.9279999999999</v>
      </c>
      <c r="G161" s="55">
        <f t="shared" si="15"/>
        <v>0.27858919303299506</v>
      </c>
      <c r="H161" s="67">
        <f>SUM(Jul!H161,Aug!H161,Sep!H161)</f>
        <v>38722.739000000001</v>
      </c>
      <c r="I161" s="67">
        <f>SUM(Jul!I161, Aug!I161, Sep!I161)</f>
        <v>2977.2610000000004</v>
      </c>
      <c r="J161" s="64">
        <f t="shared" si="13"/>
        <v>7.6886632425459372E-2</v>
      </c>
    </row>
    <row r="162" spans="1:10" ht="15.6">
      <c r="A162" s="26" t="str">
        <v>IL: Prophetstown - 5170 Yager Road (PW)</v>
      </c>
      <c r="B162" s="27" t="str">
        <v>IL</v>
      </c>
      <c r="C162" s="27" t="str">
        <f>Sites[[#This Row],[SOL'#]]</f>
        <v>SOL-11149</v>
      </c>
      <c r="D162" s="66">
        <f>SUM(Jul!D162, Aug!D162, Sep!D162)</f>
        <v>884463</v>
      </c>
      <c r="E162" s="14">
        <f>SUM(Jul!E162, Aug!E162, Sep!E162)</f>
        <v>994557.32899999991</v>
      </c>
      <c r="F162" s="14">
        <f t="shared" si="14"/>
        <v>-110094.32899999991</v>
      </c>
      <c r="G162" s="68">
        <f t="shared" si="15"/>
        <v>-0.11069681534667965</v>
      </c>
      <c r="H162" s="69">
        <f>SUM(Jul!H162,Aug!H162,Sep!H162)</f>
        <v>1028639.56</v>
      </c>
      <c r="I162" s="69">
        <f>SUM(Jul!I162, Aug!I162, Sep!I162)</f>
        <v>-144176.56</v>
      </c>
      <c r="J162" s="68">
        <f t="shared" si="13"/>
        <v>-0.14016237135581291</v>
      </c>
    </row>
    <row r="163" spans="1:10" ht="15.6">
      <c r="A163" s="24" t="str">
        <v>IL: Viola - Goldenrod - (PW)</v>
      </c>
      <c r="B163" s="25" t="str">
        <v>IL</v>
      </c>
      <c r="C163" s="25" t="str">
        <f>Sites[[#This Row],[SOL'#]]</f>
        <v>SOL-11132</v>
      </c>
      <c r="D163" s="54">
        <f>SUM(Jul!D163, Aug!D163, Sep!D163)</f>
        <v>2107273</v>
      </c>
      <c r="E163" s="10">
        <f>SUM(Jul!E163, Aug!E163, Sep!E163)</f>
        <v>2269947.4299999997</v>
      </c>
      <c r="F163" s="10">
        <f t="shared" si="14"/>
        <v>-162674.4299999997</v>
      </c>
      <c r="G163" s="55">
        <f t="shared" si="15"/>
        <v>-7.1664404139967122E-2</v>
      </c>
      <c r="H163" s="67">
        <f>SUM(Jul!H163,Aug!H163,Sep!H163)</f>
        <v>2460717.7000000002</v>
      </c>
      <c r="I163" s="67">
        <f>SUM(Jul!I163, Aug!I163, Sep!I163)</f>
        <v>-353444.69999999995</v>
      </c>
      <c r="J163" s="64">
        <f t="shared" si="13"/>
        <v>-0.14363480215548494</v>
      </c>
    </row>
    <row r="164" spans="1:10" ht="15.6">
      <c r="A164" s="26" t="str">
        <v>IL: Marengo - Grant - (PW)</v>
      </c>
      <c r="B164" s="27" t="str">
        <v>IL</v>
      </c>
      <c r="C164" s="27" t="str">
        <f>Sites[[#This Row],[SOL'#]]</f>
        <v>SOL-11147</v>
      </c>
      <c r="D164" s="66">
        <f>SUM(Jul!D164, Aug!D164, Sep!D164)</f>
        <v>940486</v>
      </c>
      <c r="E164" s="14">
        <f>SUM(Jul!E164, Aug!E164, Sep!E164)</f>
        <v>846354.67299999995</v>
      </c>
      <c r="F164" s="14">
        <f t="shared" si="14"/>
        <v>94131.327000000048</v>
      </c>
      <c r="G164" s="68">
        <f t="shared" si="15"/>
        <v>0.11121971674870171</v>
      </c>
      <c r="H164" s="69">
        <f>SUM(Jul!H164,Aug!H164,Sep!H164)</f>
        <v>1026101.38</v>
      </c>
      <c r="I164" s="69">
        <f>SUM(Jul!I164, Aug!I164, Sep!I164)</f>
        <v>-85615.38</v>
      </c>
      <c r="J164" s="68">
        <f t="shared" si="13"/>
        <v>-8.3437544933425589E-2</v>
      </c>
    </row>
    <row r="165" spans="1:10" ht="15.6">
      <c r="A165" s="24" t="str">
        <v>NY: Cambridge - Cambridge (PW)</v>
      </c>
      <c r="B165" s="25" t="str">
        <v>NY</v>
      </c>
      <c r="C165" s="25" t="str">
        <f>Sites[[#This Row],[SOL'#]]</f>
        <v>SOL-11126</v>
      </c>
      <c r="D165" s="54">
        <f>SUM(Jul!D165, Aug!D165, Sep!D165)</f>
        <v>859803.23</v>
      </c>
      <c r="E165" s="10">
        <f>SUM(Jul!E165, Aug!E165, Sep!E165)</f>
        <v>883303.58</v>
      </c>
      <c r="F165" s="10">
        <f t="shared" ref="F165:F166" si="16">IF(AND(ISNUMBER(D165),ISNUMBER(E165)), D165-E165, "")</f>
        <v>-23500.349999999977</v>
      </c>
      <c r="G165" s="55">
        <f t="shared" ref="G165:G166" si="17">IFERROR(F165/E165, "")</f>
        <v>-2.6605065950259115E-2</v>
      </c>
      <c r="H165" s="67">
        <f>SUM(Jul!H165,Aug!H165,Sep!H165)</f>
        <v>839014.5</v>
      </c>
      <c r="I165" s="67">
        <f>SUM(Jul!I165, Aug!I165, Sep!I165)</f>
        <v>0</v>
      </c>
      <c r="J165" s="64">
        <f t="shared" ref="J165" si="18">IFERROR(I165/H165, "")</f>
        <v>0</v>
      </c>
    </row>
    <row r="166" spans="1:10" ht="15.6">
      <c r="A166" s="26" t="str">
        <v>NY: Whitesville - Independence North</v>
      </c>
      <c r="B166" s="27" t="str">
        <v>NY</v>
      </c>
      <c r="C166" s="27" t="str">
        <f>Sites[[#This Row],[SOL'#]]</f>
        <v>SOL-11186</v>
      </c>
      <c r="D166" s="66">
        <f>SUM(Jul!D166, Aug!D166, Sep!D166)</f>
        <v>765233</v>
      </c>
      <c r="E166" s="14">
        <f>SUM(Jul!E166, Aug!E166, Sep!E166)</f>
        <v>0</v>
      </c>
      <c r="F166" s="14">
        <f t="shared" si="16"/>
        <v>765233</v>
      </c>
      <c r="G166" s="68" t="str">
        <f t="shared" si="17"/>
        <v/>
      </c>
      <c r="H166" s="69">
        <f>SUM(Jul!H166,Aug!H166,Sep!H166)</f>
        <v>0</v>
      </c>
      <c r="I166" s="69">
        <f>SUM(Jul!I166, Aug!I166, Sep!I166)</f>
        <v>0</v>
      </c>
      <c r="J166" s="68" t="str">
        <f t="shared" ref="J166:J171" si="19">IFERROR(I166/H166, "")</f>
        <v/>
      </c>
    </row>
    <row r="167" spans="1:10" ht="15.6">
      <c r="A167" s="24" t="str">
        <v>IL: Beecher - Cottage Grove North (PW)</v>
      </c>
      <c r="B167" s="25" t="str">
        <v>IL</v>
      </c>
      <c r="C167" s="25" t="str">
        <f>Sites[[#This Row],[SOL'#]]</f>
        <v>SOL-11114</v>
      </c>
      <c r="D167" s="54">
        <f>SUM(Jul!D167, Aug!D167, Sep!D167)</f>
        <v>0</v>
      </c>
      <c r="E167" s="10">
        <f>SUM(Jul!E167, Aug!E167, Sep!E167)</f>
        <v>0</v>
      </c>
      <c r="F167" s="10">
        <f>IF(AND(ISNUMBER(D167),ISNUMBER(E167)), D167-E167, "")</f>
        <v>0</v>
      </c>
      <c r="G167" s="55" t="str">
        <f>IFERROR(F167/E167, "")</f>
        <v/>
      </c>
      <c r="H167" s="67">
        <f>SUM(Jul!H167,Aug!H167,Sep!H167)</f>
        <v>0</v>
      </c>
      <c r="I167" s="67">
        <f>SUM(Jul!I167, Aug!I167, Sep!I167)</f>
        <v>0</v>
      </c>
      <c r="J167" s="64" t="str">
        <f t="shared" si="19"/>
        <v/>
      </c>
    </row>
    <row r="168" spans="1:10" ht="15.6">
      <c r="A168" s="26" t="str">
        <v>IL: Beecher - Cottage Grove South (PW)</v>
      </c>
      <c r="B168" s="27" t="str">
        <v>IL</v>
      </c>
      <c r="C168" s="27" t="str">
        <f>Sites[[#This Row],[SOL'#]]</f>
        <v>SOL-11115</v>
      </c>
      <c r="D168" s="66">
        <f>SUM(Jul!D168, Aug!D168, Sep!D168)</f>
        <v>0</v>
      </c>
      <c r="E168" s="14">
        <f>SUM(Jul!E168, Aug!E168, Sep!E168)</f>
        <v>0</v>
      </c>
      <c r="F168" s="14">
        <f>IF(AND(ISNUMBER(D168),ISNUMBER(E168)), D168-E168, "")</f>
        <v>0</v>
      </c>
      <c r="G168" s="68" t="str">
        <f>IFERROR(F168/E168, "")</f>
        <v/>
      </c>
      <c r="H168" s="69">
        <f>SUM(Jul!H168,Aug!H168,Sep!H168)</f>
        <v>0</v>
      </c>
      <c r="I168" s="69">
        <f>SUM(Jul!I168, Aug!I168, Sep!I168)</f>
        <v>0</v>
      </c>
      <c r="J168" s="68" t="str">
        <f t="shared" si="19"/>
        <v/>
      </c>
    </row>
    <row r="169" spans="1:10" ht="15.6">
      <c r="A169" s="24" t="str">
        <v>IL: Harvard - 9618 US HWY 14 (PW)</v>
      </c>
      <c r="B169" s="25" t="str">
        <v>IL</v>
      </c>
      <c r="C169" s="25" t="str">
        <f>Sites[[#This Row],[SOL'#]]</f>
        <v>SOL-11110</v>
      </c>
      <c r="D169" s="54">
        <f>SUM(Jul!D169, Aug!D169, Sep!D169)</f>
        <v>0</v>
      </c>
      <c r="E169" s="10">
        <f>SUM(Jul!E169, Aug!E169, Sep!E169)</f>
        <v>0</v>
      </c>
      <c r="F169" s="10">
        <f>IF(AND(ISNUMBER(D169),ISNUMBER(E169)), D169-E169, "")</f>
        <v>0</v>
      </c>
      <c r="G169" s="55" t="str">
        <f>IFERROR(F169/E169, "")</f>
        <v/>
      </c>
      <c r="H169" s="67">
        <f>SUM(Jul!H169,Aug!H169,Sep!H169)</f>
        <v>0</v>
      </c>
      <c r="I169" s="67">
        <f>SUM(Jul!I169, Aug!I169, Sep!I169)</f>
        <v>0</v>
      </c>
      <c r="J169" s="64" t="str">
        <f t="shared" si="19"/>
        <v/>
      </c>
    </row>
    <row r="170" spans="1:10" ht="15.6">
      <c r="A170" s="26" t="str">
        <v>IL: Beecher - 701 E Goodenow Rd (PW)</v>
      </c>
      <c r="B170" s="27" t="str">
        <v>IL</v>
      </c>
      <c r="C170" s="27" t="str">
        <f>Sites[[#This Row],[SOL'#]]</f>
        <v>SOL-11112</v>
      </c>
      <c r="D170" s="66">
        <f>SUM(Jul!D170, Aug!D170, Sep!D170)</f>
        <v>0</v>
      </c>
      <c r="E170" s="14">
        <f>SUM(Jul!E170, Aug!E170, Sep!E170)</f>
        <v>0</v>
      </c>
      <c r="F170" s="14">
        <f>IF(AND(ISNUMBER(D170),ISNUMBER(E170)), D170-E170, "")</f>
        <v>0</v>
      </c>
      <c r="G170" s="68" t="str">
        <f>IFERROR(F170/E170, "")</f>
        <v/>
      </c>
      <c r="H170" s="69">
        <f>SUM(Jul!H170,Aug!H170,Sep!H170)</f>
        <v>0</v>
      </c>
      <c r="I170" s="69">
        <f>SUM(Jul!I170, Aug!I170, Sep!I170)</f>
        <v>0</v>
      </c>
      <c r="J170" s="68" t="str">
        <f t="shared" si="19"/>
        <v/>
      </c>
    </row>
    <row r="171" spans="1:10" ht="15.6">
      <c r="A171" s="24" t="str">
        <v>NY: Stormville - Green Haven - (IRA)</v>
      </c>
      <c r="B171" s="25" t="str">
        <v>NY</v>
      </c>
      <c r="C171" s="25" t="str">
        <f>Sites[[#This Row],[SOL'#]]</f>
        <v>SOL-11151</v>
      </c>
      <c r="D171" s="54">
        <f>SUM(Jul!D171, Aug!D171, Sep!D171)</f>
        <v>0</v>
      </c>
      <c r="E171" s="10">
        <f>SUM(Jul!E171, Aug!E171, Sep!E171)</f>
        <v>0</v>
      </c>
      <c r="F171" s="10">
        <f>IF(AND(ISNUMBER(D171),ISNUMBER(E171)), D171-E171, "")</f>
        <v>0</v>
      </c>
      <c r="G171" s="55" t="str">
        <f>IFERROR(F171/E171, "")</f>
        <v/>
      </c>
      <c r="H171" s="67">
        <f>SUM(Jul!H171,Aug!H171,Sep!H171)</f>
        <v>0</v>
      </c>
      <c r="I171" s="67">
        <f>SUM(Jul!I171, Aug!I171, Sep!I171)</f>
        <v>0</v>
      </c>
      <c r="J171" s="64" t="str">
        <f t="shared" si="19"/>
        <v/>
      </c>
    </row>
    <row r="172" spans="1:10">
      <c r="A172" t="str">
        <v>IL: Hillsboro - Anacott (PW)</v>
      </c>
      <c r="B172" t="str">
        <v>IL</v>
      </c>
      <c r="G172"/>
      <c r="J172"/>
    </row>
    <row r="173" spans="1:10">
      <c r="G173"/>
      <c r="J173"/>
    </row>
    <row r="174" spans="1:10">
      <c r="G174"/>
      <c r="J174"/>
    </row>
    <row r="175" spans="1:10">
      <c r="G175"/>
      <c r="J175"/>
    </row>
    <row r="176" spans="1:10">
      <c r="G176"/>
      <c r="J176"/>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c r="G201"/>
      <c r="J201"/>
    </row>
    <row r="202" spans="7:10">
      <c r="G202"/>
      <c r="J202"/>
    </row>
    <row r="203" spans="7:10">
      <c r="G203"/>
      <c r="J203"/>
    </row>
    <row r="204" spans="7:10">
      <c r="G204"/>
      <c r="J204"/>
    </row>
    <row r="205" spans="7:10">
      <c r="G205"/>
      <c r="J205"/>
    </row>
    <row r="206" spans="7:10">
      <c r="G206"/>
      <c r="J206"/>
    </row>
    <row r="207" spans="7:10">
      <c r="G207"/>
      <c r="J207"/>
    </row>
    <row r="208" spans="7:10">
      <c r="G208"/>
      <c r="J208"/>
    </row>
    <row r="209" spans="7:10">
      <c r="G209"/>
      <c r="J209"/>
    </row>
    <row r="210" spans="7:10">
      <c r="G210"/>
      <c r="J210"/>
    </row>
    <row r="211" spans="7:10">
      <c r="G211"/>
      <c r="J211"/>
    </row>
    <row r="212" spans="7:10">
      <c r="G212"/>
      <c r="J212"/>
    </row>
    <row r="213" spans="7:10">
      <c r="G213"/>
      <c r="J213"/>
    </row>
    <row r="214" spans="7:10">
      <c r="G214"/>
      <c r="J214"/>
    </row>
    <row r="215" spans="7:10">
      <c r="G215"/>
      <c r="J215"/>
    </row>
    <row r="216" spans="7:10">
      <c r="G216"/>
      <c r="J216"/>
    </row>
    <row r="217" spans="7:10">
      <c r="G217"/>
      <c r="J217"/>
    </row>
    <row r="218" spans="7:10">
      <c r="G218"/>
      <c r="J218"/>
    </row>
    <row r="219" spans="7:10">
      <c r="G219"/>
      <c r="J219"/>
    </row>
    <row r="220" spans="7:10">
      <c r="G220"/>
      <c r="J220"/>
    </row>
    <row r="221" spans="7:10">
      <c r="G221"/>
      <c r="J221"/>
    </row>
    <row r="222" spans="7:10">
      <c r="G222"/>
      <c r="J222"/>
    </row>
    <row r="223" spans="7:10">
      <c r="G223"/>
      <c r="J223"/>
    </row>
    <row r="224" spans="7:10">
      <c r="G224"/>
      <c r="J224"/>
    </row>
    <row r="225" spans="7:10">
      <c r="G225"/>
      <c r="J225"/>
    </row>
    <row r="226" spans="7:10">
      <c r="G226"/>
      <c r="J226"/>
    </row>
    <row r="227" spans="7:10">
      <c r="G227"/>
      <c r="J227"/>
    </row>
    <row r="228" spans="7:10">
      <c r="G228"/>
      <c r="J228"/>
    </row>
    <row r="229" spans="7:10">
      <c r="G229"/>
      <c r="J229"/>
    </row>
    <row r="230" spans="7:10">
      <c r="G230"/>
      <c r="J230"/>
    </row>
    <row r="231" spans="7:10">
      <c r="G231"/>
      <c r="J231"/>
    </row>
    <row r="232" spans="7:10">
      <c r="G232"/>
      <c r="J232"/>
    </row>
    <row r="233" spans="7:10">
      <c r="G233"/>
      <c r="J233"/>
    </row>
    <row r="234" spans="7:10">
      <c r="G234"/>
      <c r="J234"/>
    </row>
    <row r="235" spans="7:10">
      <c r="G235"/>
      <c r="J235"/>
    </row>
    <row r="236" spans="7:10">
      <c r="G236"/>
      <c r="J236"/>
    </row>
    <row r="237" spans="7:10">
      <c r="G237"/>
      <c r="J237"/>
    </row>
    <row r="238" spans="7:10">
      <c r="G238"/>
      <c r="J238"/>
    </row>
    <row r="239" spans="7:10">
      <c r="G239"/>
      <c r="J239"/>
    </row>
    <row r="240" spans="7:10">
      <c r="G240"/>
      <c r="J240"/>
    </row>
    <row r="241" spans="7:10">
      <c r="G241"/>
      <c r="J241"/>
    </row>
    <row r="242" spans="7:10">
      <c r="G242"/>
      <c r="J242"/>
    </row>
    <row r="243" spans="7:10">
      <c r="G243"/>
      <c r="J243"/>
    </row>
    <row r="244" spans="7:10">
      <c r="G244"/>
      <c r="J244"/>
    </row>
    <row r="245" spans="7:10">
      <c r="G245"/>
      <c r="J245"/>
    </row>
    <row r="246" spans="7:10">
      <c r="G246"/>
      <c r="J246"/>
    </row>
    <row r="247" spans="7:10">
      <c r="G247"/>
      <c r="J247"/>
    </row>
    <row r="248" spans="7:10">
      <c r="G248"/>
      <c r="J248"/>
    </row>
    <row r="249" spans="7:10">
      <c r="G249"/>
      <c r="J249"/>
    </row>
    <row r="250" spans="7:10">
      <c r="G250"/>
      <c r="J250"/>
    </row>
  </sheetData>
  <mergeCells count="4">
    <mergeCell ref="H1:J1"/>
    <mergeCell ref="A1:D1"/>
    <mergeCell ref="E1:G1"/>
    <mergeCell ref="A2:B2"/>
  </mergeCells>
  <conditionalFormatting sqref="G2 J2 G4:G171 J4:J171">
    <cfRule type="cellIs" dxfId="46" priority="21" stopIfTrue="1" operator="lessThanOrEqual">
      <formula>-0.1</formula>
    </cfRule>
    <cfRule type="expression" dxfId="45" priority="22">
      <formula>AND(ISNUMBER(G2), G2&gt;=0.1)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172"/>
  <sheetViews>
    <sheetView workbookViewId="0">
      <pane xSplit="2" ySplit="3" topLeftCell="C155" activePane="bottomRight" state="frozen"/>
      <selection pane="bottomRight" activeCell="I174" sqref="I174"/>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87" t="str" cm="1">
        <f t="array" ref="A1">portfolio</f>
        <v>Generate Capital</v>
      </c>
      <c r="B1" s="187"/>
      <c r="C1" s="187"/>
      <c r="D1" s="187"/>
      <c r="E1" s="188" t="s">
        <v>17</v>
      </c>
      <c r="F1" s="188"/>
      <c r="G1" s="188"/>
      <c r="H1" s="186" t="s">
        <v>18</v>
      </c>
      <c r="I1" s="186"/>
      <c r="J1" s="186"/>
    </row>
    <row r="2" spans="1:10" ht="19.5" customHeight="1">
      <c r="A2" s="189" t="s">
        <v>2</v>
      </c>
      <c r="B2" s="189"/>
      <c r="C2" s="57"/>
      <c r="D2" s="5">
        <f>SUM(D4:D258)</f>
        <v>58386469.922002375</v>
      </c>
      <c r="E2" s="5">
        <f>SUM(E4:E283)</f>
        <v>47343335.490999989</v>
      </c>
      <c r="F2" s="5">
        <f>D2-E2</f>
        <v>11043134.431002386</v>
      </c>
      <c r="G2" s="6">
        <f>IFERROR(F2/E2, 0)</f>
        <v>0.23325636684600931</v>
      </c>
      <c r="H2" s="5">
        <f>SUM(H4:H258)</f>
        <v>53679447.778999992</v>
      </c>
      <c r="I2" s="7">
        <f>D2-H2</f>
        <v>4707022.1430023834</v>
      </c>
      <c r="J2" s="6">
        <f>IFERROR(I2/H2, 0)</f>
        <v>8.7687603687380405E-2</v>
      </c>
    </row>
    <row r="3" spans="1:10" ht="14.25" customHeight="1">
      <c r="A3" s="8" t="s">
        <v>3</v>
      </c>
      <c r="B3" s="8" t="s">
        <v>4</v>
      </c>
      <c r="C3" s="8" t="s">
        <v>5</v>
      </c>
      <c r="D3" s="19" t="s">
        <v>6</v>
      </c>
      <c r="E3" s="31" t="s">
        <v>7</v>
      </c>
      <c r="F3" s="31" t="s">
        <v>8</v>
      </c>
      <c r="G3" s="32" t="s">
        <v>9</v>
      </c>
      <c r="H3" s="33" t="s">
        <v>10</v>
      </c>
      <c r="I3" s="34" t="s">
        <v>8</v>
      </c>
      <c r="J3" s="35" t="s">
        <v>9</v>
      </c>
    </row>
    <row r="4" spans="1:10" ht="15.6">
      <c r="A4" s="26" t="str" cm="1">
        <f t="array" ref="A4:A172">Sites[Site]</f>
        <v>K026</v>
      </c>
      <c r="B4" s="27" t="str" cm="1">
        <f t="array" ref="B4:B172">Sites[State]</f>
        <v>NY</v>
      </c>
      <c r="C4" s="27" t="str">
        <f>Sites[[#This Row],[SOL'#]]</f>
        <v>SOL-10356</v>
      </c>
      <c r="D4" s="9">
        <f>SUM(Oct!D4, Nov!D4, Dec!D4)</f>
        <v>24638.125</v>
      </c>
      <c r="E4" s="14">
        <f>SUM(Oct!E4, Nov!E4, Dec!E4)</f>
        <v>42372.46</v>
      </c>
      <c r="F4" s="14">
        <f t="shared" ref="F4:F62" si="0">IF(AND(ISNUMBER(D4),ISNUMBER(E4)), D4-E4, "")</f>
        <v>-17734.334999999999</v>
      </c>
      <c r="G4" s="15">
        <f t="shared" ref="G4:G62" si="1">IFERROR(F4/E4, "")</f>
        <v>-0.41853446790674886</v>
      </c>
      <c r="H4" s="16">
        <f>SUM(Oct!H4,Nov!H4,Dec!H4)</f>
        <v>36859.339999999997</v>
      </c>
      <c r="I4" s="16">
        <f>SUM(Oct!I4, Nov!I4, Dec!I4)</f>
        <v>-12221.215</v>
      </c>
      <c r="J4" s="15">
        <f t="shared" ref="J4:J67" si="2">IFERROR(I4/H4, "")</f>
        <v>-0.33156358741095204</v>
      </c>
    </row>
    <row r="5" spans="1:10" ht="15.6">
      <c r="A5" s="24" t="str">
        <v>K041</v>
      </c>
      <c r="B5" s="25" t="str">
        <v>NY</v>
      </c>
      <c r="C5" s="25" t="str">
        <f>Sites[[#This Row],[SOL'#]]</f>
        <v>SOL-10357</v>
      </c>
      <c r="D5" s="20">
        <f>SUM(Oct!D5, Nov!D5, Dec!D5)</f>
        <v>28200.375</v>
      </c>
      <c r="E5" s="10">
        <f>SUM(Oct!E5, Nov!E5, Dec!E5)</f>
        <v>33332.89</v>
      </c>
      <c r="F5" s="10">
        <f t="shared" si="0"/>
        <v>-5132.5149999999994</v>
      </c>
      <c r="G5" s="11">
        <f t="shared" si="1"/>
        <v>-0.15397749790072207</v>
      </c>
      <c r="H5" s="12">
        <f>SUM(Oct!H5,Nov!H5,Dec!H5)</f>
        <v>29576</v>
      </c>
      <c r="I5" s="12">
        <f>SUM(Oct!I5, Nov!I5, Dec!I5)</f>
        <v>-1375.625</v>
      </c>
      <c r="J5" s="13">
        <f t="shared" si="2"/>
        <v>-4.651152961860968E-2</v>
      </c>
    </row>
    <row r="6" spans="1:10" ht="15.6">
      <c r="A6" s="26" t="str">
        <v>K043</v>
      </c>
      <c r="B6" s="27" t="str">
        <v>NY</v>
      </c>
      <c r="C6" s="27" t="str">
        <f>Sites[[#This Row],[SOL'#]]</f>
        <v>SOL-10358</v>
      </c>
      <c r="D6" s="9">
        <f>SUM(Oct!D6, Nov!D6, Dec!D6)</f>
        <v>33441.5625</v>
      </c>
      <c r="E6" s="14">
        <f>SUM(Oct!E6, Nov!E6, Dec!E6)</f>
        <v>36524.479999999996</v>
      </c>
      <c r="F6" s="14">
        <f t="shared" si="0"/>
        <v>-3082.9174999999959</v>
      </c>
      <c r="G6" s="15">
        <f t="shared" si="1"/>
        <v>-8.4406882726324822E-2</v>
      </c>
      <c r="H6" s="16">
        <f>SUM(Oct!H6,Nov!H6,Dec!H6)</f>
        <v>6597</v>
      </c>
      <c r="I6" s="16">
        <f>SUM(Oct!I6, Nov!I6, Dec!I6)</f>
        <v>26844.5625</v>
      </c>
      <c r="J6" s="15">
        <f t="shared" si="2"/>
        <v>4.0692075943610728</v>
      </c>
    </row>
    <row r="7" spans="1:10" ht="15.6">
      <c r="A7" s="24" t="str">
        <v>K058</v>
      </c>
      <c r="B7" s="25" t="str">
        <v>NY</v>
      </c>
      <c r="C7" s="25" t="str">
        <f>Sites[[#This Row],[SOL'#]]</f>
        <v>SOL-10360</v>
      </c>
      <c r="D7" s="20">
        <f>SUM(Oct!D7, Nov!D7, Dec!D7)</f>
        <v>27630.9375</v>
      </c>
      <c r="E7" s="10">
        <f>SUM(Oct!E7, Nov!E7, Dec!E7)</f>
        <v>29612.89</v>
      </c>
      <c r="F7" s="10">
        <f t="shared" si="0"/>
        <v>-1981.9524999999994</v>
      </c>
      <c r="G7" s="11">
        <f t="shared" si="1"/>
        <v>-6.6928709085806878E-2</v>
      </c>
      <c r="H7" s="12">
        <f>SUM(Oct!H7,Nov!H7,Dec!H7)</f>
        <v>29003.326999999997</v>
      </c>
      <c r="I7" s="12">
        <f>SUM(Oct!I7, Nov!I7, Dec!I7)</f>
        <v>-1372.3894999999993</v>
      </c>
      <c r="J7" s="13">
        <f t="shared" si="2"/>
        <v>-4.7318347305466003E-2</v>
      </c>
    </row>
    <row r="8" spans="1:10" ht="15.6">
      <c r="A8" s="26" t="str">
        <v>K115</v>
      </c>
      <c r="B8" s="27" t="str">
        <v>NY</v>
      </c>
      <c r="C8" s="27" t="str">
        <f>Sites[[#This Row],[SOL'#]]</f>
        <v>SOL-10361</v>
      </c>
      <c r="D8" s="9">
        <f>SUM(Oct!D8, Nov!D8, Dec!D8)</f>
        <v>16205.417031250021</v>
      </c>
      <c r="E8" s="14">
        <f>SUM(Oct!E8, Nov!E8, Dec!E8)</f>
        <v>18422.746999999999</v>
      </c>
      <c r="F8" s="14">
        <f t="shared" si="0"/>
        <v>-2217.3299687499784</v>
      </c>
      <c r="G8" s="15">
        <f t="shared" si="1"/>
        <v>-0.12035827060698269</v>
      </c>
      <c r="H8" s="16">
        <f>SUM(Oct!H8,Nov!H8,Dec!H8)</f>
        <v>16163.898999999999</v>
      </c>
      <c r="I8" s="16">
        <f>SUM(Oct!I8, Nov!I8, Dec!I8)</f>
        <v>41.518031250020613</v>
      </c>
      <c r="J8" s="15">
        <f t="shared" si="2"/>
        <v>2.5685653721308588E-3</v>
      </c>
    </row>
    <row r="9" spans="1:10" ht="15.6">
      <c r="A9" s="24" t="str">
        <v>K152</v>
      </c>
      <c r="B9" s="25" t="str">
        <v>NY</v>
      </c>
      <c r="C9" s="25" t="str">
        <f>Sites[[#This Row],[SOL'#]]</f>
        <v>SOL-10362</v>
      </c>
      <c r="D9" s="20">
        <f>SUM(Oct!D9, Nov!D9, Dec!D9)</f>
        <v>10297.34375</v>
      </c>
      <c r="E9" s="10">
        <f>SUM(Oct!E9, Nov!E9, Dec!E9)</f>
        <v>11155.083999999999</v>
      </c>
      <c r="F9" s="10">
        <f t="shared" si="0"/>
        <v>-857.74024999999892</v>
      </c>
      <c r="G9" s="11">
        <f t="shared" si="1"/>
        <v>-7.689231654373907E-2</v>
      </c>
      <c r="H9" s="12">
        <f>SUM(Oct!H9,Nov!H9,Dec!H9)</f>
        <v>11312</v>
      </c>
      <c r="I9" s="12">
        <f>SUM(Oct!I9, Nov!I9, Dec!I9)</f>
        <v>-1014.65625</v>
      </c>
      <c r="J9" s="13">
        <f t="shared" si="2"/>
        <v>-8.9697334688826028E-2</v>
      </c>
    </row>
    <row r="10" spans="1:10" ht="15.6">
      <c r="A10" s="26" t="str">
        <v>K166</v>
      </c>
      <c r="B10" s="27" t="str">
        <v>NY</v>
      </c>
      <c r="C10" s="27" t="str">
        <f>Sites[[#This Row],[SOL'#]]</f>
        <v>SOL-10363</v>
      </c>
      <c r="D10" s="9">
        <f>SUM(Oct!D10, Nov!D10, Dec!D10)</f>
        <v>31004.25</v>
      </c>
      <c r="E10" s="14">
        <f>SUM(Oct!E10, Nov!E10, Dec!E10)</f>
        <v>41270.11</v>
      </c>
      <c r="F10" s="14">
        <f t="shared" si="0"/>
        <v>-10265.86</v>
      </c>
      <c r="G10" s="15">
        <f t="shared" si="1"/>
        <v>-0.24874806488279291</v>
      </c>
      <c r="H10" s="16">
        <f>SUM(Oct!H10,Nov!H10,Dec!H10)</f>
        <v>39747.54</v>
      </c>
      <c r="I10" s="16">
        <f>SUM(Oct!I10, Nov!I10, Dec!I10)</f>
        <v>-8743.2899999999991</v>
      </c>
      <c r="J10" s="15">
        <f t="shared" si="2"/>
        <v>-0.21997059440659722</v>
      </c>
    </row>
    <row r="11" spans="1:10" ht="15.6">
      <c r="A11" s="24" t="str">
        <v>K206</v>
      </c>
      <c r="B11" s="25" t="str">
        <v>NY</v>
      </c>
      <c r="C11" s="25" t="str">
        <f>Sites[[#This Row],[SOL'#]]</f>
        <v>SOL-10927</v>
      </c>
      <c r="D11" s="20">
        <f>SUM(Oct!D11, Nov!D11, Dec!D11)</f>
        <v>21446.375</v>
      </c>
      <c r="E11" s="10">
        <f>SUM(Oct!E11, Nov!E11, Dec!E11)</f>
        <v>19740.947</v>
      </c>
      <c r="F11" s="10">
        <f t="shared" si="0"/>
        <v>1705.4279999999999</v>
      </c>
      <c r="G11" s="11">
        <f t="shared" si="1"/>
        <v>8.6390384412662669E-2</v>
      </c>
      <c r="H11" s="12">
        <f>SUM(Oct!H11,Nov!H11,Dec!H11)</f>
        <v>20770</v>
      </c>
      <c r="I11" s="12">
        <f>SUM(Oct!I11, Nov!I11, Dec!I11)</f>
        <v>676.375</v>
      </c>
      <c r="J11" s="13">
        <f t="shared" si="2"/>
        <v>3.2564997592681749E-2</v>
      </c>
    </row>
    <row r="12" spans="1:10" ht="15.6">
      <c r="A12" s="26" t="str">
        <v>K251</v>
      </c>
      <c r="B12" s="27" t="str">
        <v>NY</v>
      </c>
      <c r="C12" s="27" t="str">
        <f>Sites[[#This Row],[SOL'#]]</f>
        <v>SOL-10365</v>
      </c>
      <c r="D12" s="9">
        <f>SUM(Oct!D12, Nov!D12, Dec!D12)</f>
        <v>24542</v>
      </c>
      <c r="E12" s="14">
        <f>SUM(Oct!E12, Nov!E12, Dec!E12)</f>
        <v>0</v>
      </c>
      <c r="F12" s="14">
        <f t="shared" si="0"/>
        <v>24542</v>
      </c>
      <c r="G12" s="15" t="str">
        <f t="shared" si="1"/>
        <v/>
      </c>
      <c r="H12" s="16">
        <f>SUM(Oct!H12,Nov!H12,Dec!H12)</f>
        <v>26604.161999999997</v>
      </c>
      <c r="I12" s="16">
        <f>SUM(Oct!I12, Nov!I12, Dec!I12)</f>
        <v>-2062.1619999999984</v>
      </c>
      <c r="J12" s="15">
        <f t="shared" si="2"/>
        <v>-7.7512759093859018E-2</v>
      </c>
    </row>
    <row r="13" spans="1:10" ht="15.6">
      <c r="A13" s="24" t="str">
        <v>K269</v>
      </c>
      <c r="B13" s="25" t="str">
        <v>NY</v>
      </c>
      <c r="C13" s="25" t="str">
        <f>Sites[[#This Row],[SOL'#]]</f>
        <v>SOL-10366</v>
      </c>
      <c r="D13" s="20">
        <f>SUM(Oct!D13, Nov!D13, Dec!D13)</f>
        <v>22438.161324786262</v>
      </c>
      <c r="E13" s="10">
        <f>SUM(Oct!E13, Nov!E13, Dec!E13)</f>
        <v>27984.129999999997</v>
      </c>
      <c r="F13" s="10">
        <f t="shared" si="0"/>
        <v>-5545.968675213735</v>
      </c>
      <c r="G13" s="11">
        <f t="shared" si="1"/>
        <v>-0.19818263691648572</v>
      </c>
      <c r="H13" s="12">
        <f>SUM(Oct!H13,Nov!H13,Dec!H13)</f>
        <v>22884.190999999999</v>
      </c>
      <c r="I13" s="12">
        <f>SUM(Oct!I13, Nov!I13, Dec!I13)</f>
        <v>-446.02967521374012</v>
      </c>
      <c r="J13" s="13">
        <f t="shared" si="2"/>
        <v>-1.9490733808931245E-2</v>
      </c>
    </row>
    <row r="14" spans="1:10" ht="15.6">
      <c r="A14" s="26" t="str">
        <v>K273</v>
      </c>
      <c r="B14" s="27" t="str">
        <v>NY</v>
      </c>
      <c r="C14" s="27" t="str">
        <f>Sites[[#This Row],[SOL'#]]</f>
        <v>SOL-10367</v>
      </c>
      <c r="D14" s="9">
        <f>SUM(Oct!D14, Nov!D14, Dec!D14)</f>
        <v>19231.25</v>
      </c>
      <c r="E14" s="14">
        <f>SUM(Oct!E14, Nov!E14, Dec!E14)</f>
        <v>0</v>
      </c>
      <c r="F14" s="14">
        <f t="shared" si="0"/>
        <v>19231.25</v>
      </c>
      <c r="G14" s="15" t="str">
        <f t="shared" si="1"/>
        <v/>
      </c>
      <c r="H14" s="16">
        <f>SUM(Oct!H14,Nov!H14,Dec!H14)</f>
        <v>30986</v>
      </c>
      <c r="I14" s="16">
        <f>SUM(Oct!I14, Nov!I14, Dec!I14)</f>
        <v>-11754.75</v>
      </c>
      <c r="J14" s="15">
        <f t="shared" si="2"/>
        <v>-0.37935680629961921</v>
      </c>
    </row>
    <row r="15" spans="1:10" ht="15.6">
      <c r="A15" s="24" t="str">
        <v>K287</v>
      </c>
      <c r="B15" s="25" t="str">
        <v>NY</v>
      </c>
      <c r="C15" s="25" t="str">
        <f>Sites[[#This Row],[SOL'#]]</f>
        <v>SOL-10919</v>
      </c>
      <c r="D15" s="20">
        <f>SUM(Oct!D15, Nov!D15, Dec!D15)</f>
        <v>20218.53125</v>
      </c>
      <c r="E15" s="10">
        <f>SUM(Oct!E15, Nov!E15, Dec!E15)</f>
        <v>18605.056</v>
      </c>
      <c r="F15" s="10">
        <f t="shared" si="0"/>
        <v>1613.4752499999995</v>
      </c>
      <c r="G15" s="11">
        <f t="shared" si="1"/>
        <v>8.6722407607910418E-2</v>
      </c>
      <c r="H15" s="12">
        <f>SUM(Oct!H15,Nov!H15,Dec!H15)</f>
        <v>20217</v>
      </c>
      <c r="I15" s="12">
        <f>SUM(Oct!I15, Nov!I15, Dec!I15)</f>
        <v>1.53125</v>
      </c>
      <c r="J15" s="13">
        <f t="shared" si="2"/>
        <v>7.574071326111688E-5</v>
      </c>
    </row>
    <row r="16" spans="1:10" ht="15.6">
      <c r="A16" s="26" t="str">
        <v>K298</v>
      </c>
      <c r="B16" s="27" t="str">
        <v>NY</v>
      </c>
      <c r="C16" s="27" t="str">
        <f>Sites[[#This Row],[SOL'#]]</f>
        <v>SOL-10368</v>
      </c>
      <c r="D16" s="9">
        <f>SUM(Oct!D16, Nov!D16, Dec!D16)</f>
        <v>19784.8125</v>
      </c>
      <c r="E16" s="14">
        <f>SUM(Oct!E16, Nov!E16, Dec!E16)</f>
        <v>24193.917999999998</v>
      </c>
      <c r="F16" s="14">
        <f t="shared" si="0"/>
        <v>-4409.1054999999978</v>
      </c>
      <c r="G16" s="15">
        <f t="shared" si="1"/>
        <v>-0.18224024318839133</v>
      </c>
      <c r="H16" s="16">
        <f>SUM(Oct!H16,Nov!H16,Dec!H16)</f>
        <v>19900</v>
      </c>
      <c r="I16" s="16">
        <f>SUM(Oct!I16, Nov!I16, Dec!I16)</f>
        <v>-115.1875</v>
      </c>
      <c r="J16" s="15">
        <f t="shared" si="2"/>
        <v>-5.7883165829145725E-3</v>
      </c>
    </row>
    <row r="17" spans="1:10" ht="15.6">
      <c r="A17" s="24" t="str">
        <v>K335</v>
      </c>
      <c r="B17" s="25" t="str">
        <v>NY</v>
      </c>
      <c r="C17" s="25" t="str">
        <f>Sites[[#This Row],[SOL'#]]</f>
        <v>SOL-10370</v>
      </c>
      <c r="D17" s="20">
        <f>SUM(Oct!D17, Nov!D17, Dec!D17)</f>
        <v>21478.1875</v>
      </c>
      <c r="E17" s="10">
        <f>SUM(Oct!E17, Nov!E17, Dec!E17)</f>
        <v>25842.018</v>
      </c>
      <c r="F17" s="10">
        <f t="shared" si="0"/>
        <v>-4363.8305</v>
      </c>
      <c r="G17" s="11">
        <f t="shared" si="1"/>
        <v>-0.16886570158723674</v>
      </c>
      <c r="H17" s="12">
        <f>SUM(Oct!H17,Nov!H17,Dec!H17)</f>
        <v>26282</v>
      </c>
      <c r="I17" s="12">
        <f>SUM(Oct!I17, Nov!I17, Dec!I17)</f>
        <v>-4803.8125</v>
      </c>
      <c r="J17" s="13">
        <f t="shared" si="2"/>
        <v>-0.18277956396012479</v>
      </c>
    </row>
    <row r="18" spans="1:10" ht="15.6">
      <c r="A18" s="26" t="str">
        <v>K345</v>
      </c>
      <c r="B18" s="27" t="str">
        <v>NY</v>
      </c>
      <c r="C18" s="27" t="str">
        <f>Sites[[#This Row],[SOL'#]]</f>
        <v>SOL-10920</v>
      </c>
      <c r="D18" s="9">
        <f>SUM(Oct!D18, Nov!D18, Dec!D18)</f>
        <v>25672.1875</v>
      </c>
      <c r="E18" s="14">
        <f>SUM(Oct!E18, Nov!E18, Dec!E18)</f>
        <v>17607.072</v>
      </c>
      <c r="F18" s="14">
        <f t="shared" si="0"/>
        <v>8065.1154999999999</v>
      </c>
      <c r="G18" s="15">
        <f t="shared" si="1"/>
        <v>0.4580611415685697</v>
      </c>
      <c r="H18" s="16">
        <f>SUM(Oct!H18,Nov!H18,Dec!H18)</f>
        <v>23826</v>
      </c>
      <c r="I18" s="16">
        <f>SUM(Oct!I18, Nov!I18, Dec!I18)</f>
        <v>1846.1875</v>
      </c>
      <c r="J18" s="15">
        <f t="shared" si="2"/>
        <v>7.7486254511877781E-2</v>
      </c>
    </row>
    <row r="19" spans="1:10" ht="15.6">
      <c r="A19" s="24" t="str">
        <v>K445</v>
      </c>
      <c r="B19" s="25" t="str">
        <v>NY</v>
      </c>
      <c r="C19" s="25" t="str">
        <f>Sites[[#This Row],[SOL'#]]</f>
        <v>SOL-10373</v>
      </c>
      <c r="D19" s="20">
        <f>SUM(Oct!D19, Nov!D19, Dec!D19)</f>
        <v>16637.78125</v>
      </c>
      <c r="E19" s="10">
        <f>SUM(Oct!E19, Nov!E19, Dec!E19)</f>
        <v>25813.832000000002</v>
      </c>
      <c r="F19" s="10">
        <f t="shared" si="0"/>
        <v>-9176.0507500000022</v>
      </c>
      <c r="G19" s="11">
        <f t="shared" si="1"/>
        <v>-0.3554703056097987</v>
      </c>
      <c r="H19" s="12">
        <f>SUM(Oct!H19,Nov!H19,Dec!H19)</f>
        <v>20618.805999999997</v>
      </c>
      <c r="I19" s="12">
        <f>SUM(Oct!I19, Nov!I19, Dec!I19)</f>
        <v>-3981.0247499999978</v>
      </c>
      <c r="J19" s="13">
        <f t="shared" si="2"/>
        <v>-0.1930773658765691</v>
      </c>
    </row>
    <row r="20" spans="1:10" ht="15.6">
      <c r="A20" s="26" t="str">
        <v>K495</v>
      </c>
      <c r="B20" s="27" t="str">
        <v>NY</v>
      </c>
      <c r="C20" s="27" t="str">
        <f>Sites[[#This Row],[SOL'#]]</f>
        <v>SOL-10374</v>
      </c>
      <c r="D20" s="9">
        <f>SUM(Oct!D20, Nov!D20, Dec!D20)</f>
        <v>91509.125</v>
      </c>
      <c r="E20" s="14">
        <f>SUM(Oct!E20, Nov!E20, Dec!E20)</f>
        <v>101519.56</v>
      </c>
      <c r="F20" s="14">
        <f t="shared" si="0"/>
        <v>-10010.434999999998</v>
      </c>
      <c r="G20" s="15">
        <f t="shared" si="1"/>
        <v>-9.8605973075533399E-2</v>
      </c>
      <c r="H20" s="16">
        <f>SUM(Oct!H20,Nov!H20,Dec!H20)</f>
        <v>111975.16</v>
      </c>
      <c r="I20" s="16">
        <f>SUM(Oct!I20, Nov!I20, Dec!I20)</f>
        <v>-20466.034999999996</v>
      </c>
      <c r="J20" s="15">
        <f t="shared" si="2"/>
        <v>-0.18277299179568035</v>
      </c>
    </row>
    <row r="21" spans="1:10" ht="15.6">
      <c r="A21" s="24" t="str">
        <v>M020</v>
      </c>
      <c r="B21" s="25" t="str">
        <v>NY</v>
      </c>
      <c r="C21" s="25" t="str">
        <f>Sites[[#This Row],[SOL'#]]</f>
        <v>SOL-10380</v>
      </c>
      <c r="D21" s="20">
        <f>SUM(Oct!D21, Nov!D21, Dec!D21)</f>
        <v>23539.5625</v>
      </c>
      <c r="E21" s="10">
        <f>SUM(Oct!E21, Nov!E21, Dec!E21)</f>
        <v>25049.974999999999</v>
      </c>
      <c r="F21" s="10">
        <f t="shared" si="0"/>
        <v>-1510.4124999999985</v>
      </c>
      <c r="G21" s="11">
        <f t="shared" si="1"/>
        <v>-6.0295968359249802E-2</v>
      </c>
      <c r="H21" s="12">
        <f>SUM(Oct!H21,Nov!H21,Dec!H21)</f>
        <v>25319</v>
      </c>
      <c r="I21" s="12">
        <f>SUM(Oct!I21, Nov!I21, Dec!I21)</f>
        <v>-1779.4375</v>
      </c>
      <c r="J21" s="13">
        <f t="shared" si="2"/>
        <v>-7.0280718037837198E-2</v>
      </c>
    </row>
    <row r="22" spans="1:10" ht="15.6">
      <c r="A22" s="26" t="str">
        <v>M092</v>
      </c>
      <c r="B22" s="27" t="str">
        <v>NY</v>
      </c>
      <c r="C22" s="27" t="str">
        <f>Sites[[#This Row],[SOL'#]]</f>
        <v>SOL-10383</v>
      </c>
      <c r="D22" s="9">
        <f>SUM(Oct!D22, Nov!D22, Dec!D22)</f>
        <v>22309.374999999978</v>
      </c>
      <c r="E22" s="14">
        <f>SUM(Oct!E22, Nov!E22, Dec!E22)</f>
        <v>25739.489999999998</v>
      </c>
      <c r="F22" s="14">
        <f t="shared" si="0"/>
        <v>-3430.1150000000198</v>
      </c>
      <c r="G22" s="15">
        <f t="shared" si="1"/>
        <v>-0.13326274141406921</v>
      </c>
      <c r="H22" s="16">
        <f>SUM(Oct!H22,Nov!H22,Dec!H22)</f>
        <v>22778.620999999999</v>
      </c>
      <c r="I22" s="16">
        <f>SUM(Oct!I22, Nov!I22, Dec!I22)</f>
        <v>-469.24600000002101</v>
      </c>
      <c r="J22" s="15">
        <f t="shared" si="2"/>
        <v>-2.0600281290075507E-2</v>
      </c>
    </row>
    <row r="23" spans="1:10" ht="15.6">
      <c r="A23" s="24" t="str">
        <v>M143</v>
      </c>
      <c r="B23" s="25" t="str">
        <v>NY</v>
      </c>
      <c r="C23" s="25" t="str">
        <f>Sites[[#This Row],[SOL'#]]</f>
        <v>SOL-10384</v>
      </c>
      <c r="D23" s="20">
        <f>SUM(Oct!D23, Nov!D23, Dec!D23)</f>
        <v>25689.875</v>
      </c>
      <c r="E23" s="10">
        <f>SUM(Oct!E23, Nov!E23, Dec!E23)</f>
        <v>29065.05</v>
      </c>
      <c r="F23" s="10">
        <f t="shared" si="0"/>
        <v>-3375.1749999999993</v>
      </c>
      <c r="G23" s="11">
        <f t="shared" si="1"/>
        <v>-0.11612486474305048</v>
      </c>
      <c r="H23" s="12">
        <f>SUM(Oct!H23,Nov!H23,Dec!H23)</f>
        <v>25229.989999999998</v>
      </c>
      <c r="I23" s="12">
        <f>SUM(Oct!I23, Nov!I23, Dec!I23)</f>
        <v>459.88500000000022</v>
      </c>
      <c r="J23" s="13">
        <f t="shared" si="2"/>
        <v>1.8227712337579218E-2</v>
      </c>
    </row>
    <row r="24" spans="1:10" ht="15.6">
      <c r="A24" s="26" t="str">
        <v>M144</v>
      </c>
      <c r="B24" s="27" t="str">
        <v>NY</v>
      </c>
      <c r="C24" s="27" t="str">
        <f>Sites[[#This Row],[SOL'#]]</f>
        <v>SOL-10385</v>
      </c>
      <c r="D24" s="9">
        <f>SUM(Oct!D24, Nov!D24, Dec!D24)</f>
        <v>37468.687500000102</v>
      </c>
      <c r="E24" s="14">
        <f>SUM(Oct!E24, Nov!E24, Dec!E24)</f>
        <v>44503.9</v>
      </c>
      <c r="F24" s="14">
        <f t="shared" si="0"/>
        <v>-7035.2124999998996</v>
      </c>
      <c r="G24" s="15">
        <f t="shared" si="1"/>
        <v>-0.15808080864822857</v>
      </c>
      <c r="H24" s="16">
        <f>SUM(Oct!H24,Nov!H24,Dec!H24)</f>
        <v>54026.19</v>
      </c>
      <c r="I24" s="16">
        <f>SUM(Oct!I24, Nov!I24, Dec!I24)</f>
        <v>-16557.502499999904</v>
      </c>
      <c r="J24" s="15">
        <f t="shared" si="2"/>
        <v>-0.30647177785440549</v>
      </c>
    </row>
    <row r="25" spans="1:10" ht="15.6">
      <c r="A25" s="24" t="str">
        <v>M167</v>
      </c>
      <c r="B25" s="25" t="str">
        <v>NY</v>
      </c>
      <c r="C25" s="25" t="str">
        <f>Sites[[#This Row],[SOL'#]]</f>
        <v>SOL-10386</v>
      </c>
      <c r="D25" s="20">
        <f>SUM(Oct!D25, Nov!D25, Dec!D25)</f>
        <v>24837.062499999942</v>
      </c>
      <c r="E25" s="10">
        <f>SUM(Oct!E25, Nov!E25, Dec!E25)</f>
        <v>22664.339</v>
      </c>
      <c r="F25" s="10">
        <f t="shared" si="0"/>
        <v>2172.7234999999419</v>
      </c>
      <c r="G25" s="11">
        <f t="shared" si="1"/>
        <v>9.5865293049135117E-2</v>
      </c>
      <c r="H25" s="12">
        <f>SUM(Oct!H25,Nov!H25,Dec!H25)</f>
        <v>27839.919999999998</v>
      </c>
      <c r="I25" s="12">
        <f>SUM(Oct!I25, Nov!I25, Dec!I25)</f>
        <v>-3002.8575000000601</v>
      </c>
      <c r="J25" s="13">
        <f t="shared" si="2"/>
        <v>-0.10786157072290654</v>
      </c>
    </row>
    <row r="26" spans="1:10" ht="15.6">
      <c r="A26" s="26" t="str">
        <v>M188</v>
      </c>
      <c r="B26" s="27" t="str">
        <v>NY</v>
      </c>
      <c r="C26" s="27" t="str">
        <f>Sites[[#This Row],[SOL'#]]</f>
        <v>SOL-10387</v>
      </c>
      <c r="D26" s="9">
        <f>SUM(Oct!D26, Nov!D26, Dec!D26)</f>
        <v>19755.03125</v>
      </c>
      <c r="E26" s="14">
        <f>SUM(Oct!E26, Nov!E26, Dec!E26)</f>
        <v>22441.566999999999</v>
      </c>
      <c r="F26" s="14">
        <f t="shared" si="0"/>
        <v>-2686.5357499999991</v>
      </c>
      <c r="G26" s="15">
        <f t="shared" si="1"/>
        <v>-0.11971248487237987</v>
      </c>
      <c r="H26" s="16">
        <f>SUM(Oct!H26,Nov!H26,Dec!H26)</f>
        <v>28650.230000000003</v>
      </c>
      <c r="I26" s="16">
        <f>SUM(Oct!I26, Nov!I26, Dec!I26)</f>
        <v>-8895.1987500000014</v>
      </c>
      <c r="J26" s="15">
        <f t="shared" si="2"/>
        <v>-0.31047564888658835</v>
      </c>
    </row>
    <row r="27" spans="1:10" ht="15.6">
      <c r="A27" s="24" t="str">
        <v>EMHC</v>
      </c>
      <c r="B27" s="25" t="str">
        <v>NY</v>
      </c>
      <c r="C27" s="25" t="str">
        <f>Sites[[#This Row],[SOL'#]]</f>
        <v>SOL-10351</v>
      </c>
      <c r="D27" s="20">
        <f>SUM(Oct!D27, Nov!D27, Dec!D27)</f>
        <v>7737.34375</v>
      </c>
      <c r="E27" s="10">
        <f>SUM(Oct!E27, Nov!E27, Dec!E27)</f>
        <v>5843.3009999999995</v>
      </c>
      <c r="F27" s="10">
        <f t="shared" si="0"/>
        <v>1894.0427500000005</v>
      </c>
      <c r="G27" s="11">
        <f t="shared" si="1"/>
        <v>0.3241391723616498</v>
      </c>
      <c r="H27" s="12">
        <f>SUM(Oct!H27,Nov!H27,Dec!H27)</f>
        <v>7690.357</v>
      </c>
      <c r="I27" s="12">
        <f>SUM(Oct!I27, Nov!I27, Dec!I27)</f>
        <v>46.986750000000484</v>
      </c>
      <c r="J27" s="13">
        <f t="shared" si="2"/>
        <v>6.1098268910013522E-3</v>
      </c>
    </row>
    <row r="28" spans="1:10" ht="15.6">
      <c r="A28" s="26" t="str">
        <v>Q008</v>
      </c>
      <c r="B28" s="27" t="str">
        <v>NY</v>
      </c>
      <c r="C28" s="27" t="str">
        <f>Sites[[#This Row],[SOL'#]]</f>
        <v>SOL-10397</v>
      </c>
      <c r="D28" s="9">
        <f>SUM(Oct!D28, Nov!D28, Dec!D28)</f>
        <v>30847.03125</v>
      </c>
      <c r="E28" s="14">
        <f>SUM(Oct!E28, Nov!E28, Dec!E28)</f>
        <v>35283.199999999997</v>
      </c>
      <c r="F28" s="14">
        <f t="shared" si="0"/>
        <v>-4436.1687499999971</v>
      </c>
      <c r="G28" s="15">
        <f t="shared" si="1"/>
        <v>-0.12573034050199522</v>
      </c>
      <c r="H28" s="16">
        <f>SUM(Oct!H28,Nov!H28,Dec!H28)</f>
        <v>31821</v>
      </c>
      <c r="I28" s="16">
        <f>SUM(Oct!I28, Nov!I28, Dec!I28)</f>
        <v>-973.96875</v>
      </c>
      <c r="J28" s="15">
        <f t="shared" si="2"/>
        <v>-3.0607735457716601E-2</v>
      </c>
    </row>
    <row r="29" spans="1:10" ht="15.6">
      <c r="A29" s="24" t="str">
        <v>Q018</v>
      </c>
      <c r="B29" s="25" t="str">
        <v>NY</v>
      </c>
      <c r="C29" s="25" t="str">
        <f>Sites[[#This Row],[SOL'#]]</f>
        <v>SOL-10398</v>
      </c>
      <c r="D29" s="20">
        <f>SUM(Oct!D29, Nov!D29, Dec!D29)</f>
        <v>21573.125</v>
      </c>
      <c r="E29" s="10">
        <f>SUM(Oct!E29, Nov!E29, Dec!E29)</f>
        <v>23716.517</v>
      </c>
      <c r="F29" s="10">
        <f t="shared" si="0"/>
        <v>-2143.3919999999998</v>
      </c>
      <c r="G29" s="11">
        <f t="shared" si="1"/>
        <v>-9.0375496536864997E-2</v>
      </c>
      <c r="H29" s="12">
        <f>SUM(Oct!H29,Nov!H29,Dec!H29)</f>
        <v>20792.118999999999</v>
      </c>
      <c r="I29" s="12">
        <f>SUM(Oct!I29, Nov!I29, Dec!I29)</f>
        <v>781.0059999999994</v>
      </c>
      <c r="J29" s="13">
        <f t="shared" si="2"/>
        <v>3.7562597636152405E-2</v>
      </c>
    </row>
    <row r="30" spans="1:10" ht="15.6">
      <c r="A30" s="26" t="str">
        <v>Q021</v>
      </c>
      <c r="B30" s="27" t="str">
        <v>NY</v>
      </c>
      <c r="C30" s="27" t="str">
        <f>Sites[[#This Row],[SOL'#]]</f>
        <v>SOL-10399</v>
      </c>
      <c r="D30" s="9">
        <f>SUM(Oct!D30, Nov!D30, Dec!D30)</f>
        <v>16626.625</v>
      </c>
      <c r="E30" s="14">
        <f>SUM(Oct!E30, Nov!E30, Dec!E30)</f>
        <v>19175.540999999997</v>
      </c>
      <c r="F30" s="14">
        <f t="shared" si="0"/>
        <v>-2548.9159999999974</v>
      </c>
      <c r="G30" s="15">
        <f t="shared" si="1"/>
        <v>-0.1329253761341074</v>
      </c>
      <c r="H30" s="16">
        <f>SUM(Oct!H30,Nov!H30,Dec!H30)</f>
        <v>17042.021000000001</v>
      </c>
      <c r="I30" s="16">
        <f>SUM(Oct!I30, Nov!I30, Dec!I30)</f>
        <v>-415.39599999999973</v>
      </c>
      <c r="J30" s="15">
        <f t="shared" si="2"/>
        <v>-2.4374808598111676E-2</v>
      </c>
    </row>
    <row r="31" spans="1:10" ht="15.6">
      <c r="A31" s="24" t="str">
        <v>Q025</v>
      </c>
      <c r="B31" s="25" t="str">
        <v>NY</v>
      </c>
      <c r="C31" s="25" t="str">
        <f>Sites[[#This Row],[SOL'#]]</f>
        <v>SOL-10400</v>
      </c>
      <c r="D31" s="20">
        <f>SUM(Oct!D31, Nov!D31, Dec!D31)</f>
        <v>28691.375</v>
      </c>
      <c r="E31" s="10">
        <f>SUM(Oct!E31, Nov!E31, Dec!E31)</f>
        <v>30083.39</v>
      </c>
      <c r="F31" s="10">
        <f t="shared" si="0"/>
        <v>-1392.0149999999994</v>
      </c>
      <c r="G31" s="11">
        <f t="shared" si="1"/>
        <v>-4.6271879598675528E-2</v>
      </c>
      <c r="H31" s="12">
        <f>SUM(Oct!H31,Nov!H31,Dec!H31)</f>
        <v>17409</v>
      </c>
      <c r="I31" s="12">
        <f>SUM(Oct!I31, Nov!I31, Dec!I31)</f>
        <v>11282.375</v>
      </c>
      <c r="J31" s="13">
        <f t="shared" si="2"/>
        <v>0.64807714400597394</v>
      </c>
    </row>
    <row r="32" spans="1:10" ht="15.6">
      <c r="A32" s="26" t="str">
        <v>Q074</v>
      </c>
      <c r="B32" s="27" t="str">
        <v>NY</v>
      </c>
      <c r="C32" s="27" t="str">
        <f>Sites[[#This Row],[SOL'#]]</f>
        <v>SOL-10402</v>
      </c>
      <c r="D32" s="9">
        <f>SUM(Oct!D32, Nov!D32, Dec!D32)</f>
        <v>0</v>
      </c>
      <c r="E32" s="14">
        <f>SUM(Oct!E32, Nov!E32, Dec!E32)</f>
        <v>0</v>
      </c>
      <c r="F32" s="14">
        <f t="shared" si="0"/>
        <v>0</v>
      </c>
      <c r="G32" s="15" t="str">
        <f t="shared" si="1"/>
        <v/>
      </c>
      <c r="H32" s="16">
        <f>SUM(Oct!H32,Nov!H32,Dec!H32)</f>
        <v>13063</v>
      </c>
      <c r="I32" s="16">
        <f>SUM(Oct!I32, Nov!I32, Dec!I32)</f>
        <v>-13063</v>
      </c>
      <c r="J32" s="15">
        <f t="shared" si="2"/>
        <v>-1</v>
      </c>
    </row>
    <row r="33" spans="1:10" ht="15.6">
      <c r="A33" s="24" t="str">
        <v>Q115</v>
      </c>
      <c r="B33" s="25" t="str">
        <v>NY</v>
      </c>
      <c r="C33" s="25" t="str">
        <f>Sites[[#This Row],[SOL'#]]</f>
        <v>SOL-10872</v>
      </c>
      <c r="D33" s="20">
        <f>SUM(Oct!D33, Nov!D33, Dec!D33)</f>
        <v>22048</v>
      </c>
      <c r="E33" s="10">
        <f>SUM(Oct!E33, Nov!E33, Dec!E33)</f>
        <v>27832.89</v>
      </c>
      <c r="F33" s="10">
        <f t="shared" si="0"/>
        <v>-5784.8899999999994</v>
      </c>
      <c r="G33" s="11">
        <f t="shared" si="1"/>
        <v>-0.20784366984528016</v>
      </c>
      <c r="H33" s="12">
        <f>SUM(Oct!H33,Nov!H33,Dec!H33)</f>
        <v>25933.47</v>
      </c>
      <c r="I33" s="12">
        <f>SUM(Oct!I33, Nov!I33, Dec!I33)</f>
        <v>-3885.4699999999993</v>
      </c>
      <c r="J33" s="13">
        <f t="shared" si="2"/>
        <v>-0.14982453177303304</v>
      </c>
    </row>
    <row r="34" spans="1:10" ht="15.6">
      <c r="A34" s="26" t="str">
        <v>Q139</v>
      </c>
      <c r="B34" s="27" t="str">
        <v>NY</v>
      </c>
      <c r="C34" s="27" t="str">
        <f>Sites[[#This Row],[SOL'#]]</f>
        <v>SOL-10403</v>
      </c>
      <c r="D34" s="9">
        <f>SUM(Oct!D34, Nov!D34, Dec!D34)</f>
        <v>14233.0625</v>
      </c>
      <c r="E34" s="14">
        <f>SUM(Oct!E34, Nov!E34, Dec!E34)</f>
        <v>15083.41</v>
      </c>
      <c r="F34" s="14">
        <f t="shared" si="0"/>
        <v>-850.34749999999985</v>
      </c>
      <c r="G34" s="15">
        <f t="shared" si="1"/>
        <v>-5.6376343280465084E-2</v>
      </c>
      <c r="H34" s="16">
        <f>SUM(Oct!H34,Nov!H34,Dec!H34)</f>
        <v>16254</v>
      </c>
      <c r="I34" s="16">
        <f>SUM(Oct!I34, Nov!I34, Dec!I34)</f>
        <v>-2020.9375</v>
      </c>
      <c r="J34" s="15">
        <f t="shared" si="2"/>
        <v>-0.12433477913129076</v>
      </c>
    </row>
    <row r="35" spans="1:10" ht="15.6">
      <c r="A35" s="24" t="str">
        <v>Q157</v>
      </c>
      <c r="B35" s="25" t="str">
        <v>NY</v>
      </c>
      <c r="C35" s="25" t="str">
        <f>Sites[[#This Row],[SOL'#]]</f>
        <v>SOL-10404</v>
      </c>
      <c r="D35" s="20">
        <f>SUM(Oct!D35, Nov!D35, Dec!D35)</f>
        <v>25386.8125</v>
      </c>
      <c r="E35" s="10">
        <f>SUM(Oct!E35, Nov!E35, Dec!E35)</f>
        <v>32695.190000000002</v>
      </c>
      <c r="F35" s="10">
        <f t="shared" si="0"/>
        <v>-7308.3775000000023</v>
      </c>
      <c r="G35" s="11">
        <f t="shared" si="1"/>
        <v>-0.22353066307306982</v>
      </c>
      <c r="H35" s="12">
        <f>SUM(Oct!H35,Nov!H35,Dec!H35)</f>
        <v>28898.425999999999</v>
      </c>
      <c r="I35" s="12">
        <f>SUM(Oct!I35, Nov!I35, Dec!I35)</f>
        <v>-3511.6134999999995</v>
      </c>
      <c r="J35" s="13">
        <f t="shared" si="2"/>
        <v>-0.12151573583973049</v>
      </c>
    </row>
    <row r="36" spans="1:10" ht="15.6">
      <c r="A36" s="26" t="str">
        <v>Q192</v>
      </c>
      <c r="B36" s="27" t="str">
        <v>NY</v>
      </c>
      <c r="C36" s="27" t="str">
        <f>Sites[[#This Row],[SOL'#]]</f>
        <v>SOL-10406</v>
      </c>
      <c r="D36" s="9">
        <f>SUM(Oct!D36, Nov!D36, Dec!D36)</f>
        <v>31967.625</v>
      </c>
      <c r="E36" s="14">
        <f>SUM(Oct!E36, Nov!E36, Dec!E36)</f>
        <v>45471.360000000001</v>
      </c>
      <c r="F36" s="14">
        <f t="shared" si="0"/>
        <v>-13503.735000000001</v>
      </c>
      <c r="G36" s="15">
        <f t="shared" si="1"/>
        <v>-0.29697231400160451</v>
      </c>
      <c r="H36" s="16">
        <f>SUM(Oct!H36,Nov!H36,Dec!H36)</f>
        <v>42856.43</v>
      </c>
      <c r="I36" s="16">
        <f>SUM(Oct!I36, Nov!I36, Dec!I36)</f>
        <v>-10888.804999999998</v>
      </c>
      <c r="J36" s="15">
        <f t="shared" si="2"/>
        <v>-0.2540763428031686</v>
      </c>
    </row>
    <row r="37" spans="1:10" ht="15.6">
      <c r="A37" s="24" t="str">
        <v>Q210</v>
      </c>
      <c r="B37" s="25" t="str">
        <v>NY</v>
      </c>
      <c r="C37" s="25" t="str">
        <f>Sites[[#This Row],[SOL'#]]</f>
        <v>SOL-10407</v>
      </c>
      <c r="D37" s="20">
        <f>SUM(Oct!D37, Nov!D37, Dec!D37)</f>
        <v>33249.625</v>
      </c>
      <c r="E37" s="10">
        <f>SUM(Oct!E37, Nov!E37, Dec!E37)</f>
        <v>33348.979999999996</v>
      </c>
      <c r="F37" s="10">
        <f t="shared" si="0"/>
        <v>-99.354999999995925</v>
      </c>
      <c r="G37" s="11">
        <f t="shared" si="1"/>
        <v>-2.9792515393273181E-3</v>
      </c>
      <c r="H37" s="12">
        <f>SUM(Oct!H37,Nov!H37,Dec!H37)</f>
        <v>35873</v>
      </c>
      <c r="I37" s="12">
        <f>SUM(Oct!I37, Nov!I37, Dec!I37)</f>
        <v>-2623.375</v>
      </c>
      <c r="J37" s="13">
        <f t="shared" si="2"/>
        <v>-7.3129512446686917E-2</v>
      </c>
    </row>
    <row r="38" spans="1:10" ht="15.6">
      <c r="A38" s="26" t="str">
        <v>Q229</v>
      </c>
      <c r="B38" s="27" t="str">
        <v>NY</v>
      </c>
      <c r="C38" s="27" t="str">
        <f>Sites[[#This Row],[SOL'#]]</f>
        <v>SOL-10408</v>
      </c>
      <c r="D38" s="9">
        <f>SUM(Oct!D38, Nov!D38, Dec!D38)</f>
        <v>12949.375</v>
      </c>
      <c r="E38" s="14">
        <f>SUM(Oct!E38, Nov!E38, Dec!E38)</f>
        <v>16371.919000000002</v>
      </c>
      <c r="F38" s="14">
        <f t="shared" si="0"/>
        <v>-3422.5440000000017</v>
      </c>
      <c r="G38" s="15">
        <f t="shared" si="1"/>
        <v>-0.20904965386159077</v>
      </c>
      <c r="H38" s="16">
        <f>SUM(Oct!H38,Nov!H38,Dec!H38)</f>
        <v>12827.438</v>
      </c>
      <c r="I38" s="16">
        <f>SUM(Oct!I38, Nov!I38, Dec!I38)</f>
        <v>121.9369999999999</v>
      </c>
      <c r="J38" s="15">
        <f t="shared" si="2"/>
        <v>9.5059512273612153E-3</v>
      </c>
    </row>
    <row r="39" spans="1:10" ht="15.6">
      <c r="A39" s="24" t="str">
        <v>Q231</v>
      </c>
      <c r="B39" s="25" t="str">
        <v>NY</v>
      </c>
      <c r="C39" s="25" t="str">
        <f>Sites[[#This Row],[SOL'#]]</f>
        <v>SOL-10870</v>
      </c>
      <c r="D39" s="20">
        <f>SUM(Oct!D39, Nov!D39, Dec!D39)</f>
        <v>53365.625</v>
      </c>
      <c r="E39" s="10">
        <f>SUM(Oct!E39, Nov!E39, Dec!E39)</f>
        <v>65647.62</v>
      </c>
      <c r="F39" s="10">
        <f t="shared" si="0"/>
        <v>-12281.994999999995</v>
      </c>
      <c r="G39" s="11">
        <f t="shared" si="1"/>
        <v>-0.18708972236921911</v>
      </c>
      <c r="H39" s="12">
        <f>SUM(Oct!H39,Nov!H39,Dec!H39)</f>
        <v>50598</v>
      </c>
      <c r="I39" s="12">
        <f>SUM(Oct!I39, Nov!I39, Dec!I39)</f>
        <v>2767.625</v>
      </c>
      <c r="J39" s="13">
        <f t="shared" si="2"/>
        <v>5.4698308233527018E-2</v>
      </c>
    </row>
    <row r="40" spans="1:10" ht="15.6">
      <c r="A40" s="26" t="str">
        <v>Q405</v>
      </c>
      <c r="B40" s="27" t="str">
        <v>NY</v>
      </c>
      <c r="C40" s="27" t="str">
        <f>Sites[[#This Row],[SOL'#]]</f>
        <v>SOL-10409</v>
      </c>
      <c r="D40" s="9">
        <f>SUM(Oct!D40, Nov!D40, Dec!D40)</f>
        <v>62078.5</v>
      </c>
      <c r="E40" s="14">
        <f>SUM(Oct!E40, Nov!E40, Dec!E40)</f>
        <v>71129.67</v>
      </c>
      <c r="F40" s="14">
        <f t="shared" si="0"/>
        <v>-9051.1699999999983</v>
      </c>
      <c r="G40" s="15">
        <f t="shared" si="1"/>
        <v>-0.12724886815867412</v>
      </c>
      <c r="H40" s="16">
        <f>SUM(Oct!H40,Nov!H40,Dec!H40)</f>
        <v>63920.600000000006</v>
      </c>
      <c r="I40" s="16">
        <f>SUM(Oct!I40, Nov!I40, Dec!I40)</f>
        <v>-1842.1000000000022</v>
      </c>
      <c r="J40" s="15">
        <f t="shared" si="2"/>
        <v>-2.881856553286424E-2</v>
      </c>
    </row>
    <row r="41" spans="1:10" ht="15.6">
      <c r="A41" s="24" t="str">
        <v>Q435</v>
      </c>
      <c r="B41" s="25" t="str">
        <v>NY</v>
      </c>
      <c r="C41" s="25" t="str">
        <f>Sites[[#This Row],[SOL'#]]</f>
        <v>SOL-10923</v>
      </c>
      <c r="D41" s="20">
        <f>SUM(Oct!D41, Nov!D41, Dec!D41)</f>
        <v>81410</v>
      </c>
      <c r="E41" s="10">
        <f>SUM(Oct!E41, Nov!E41, Dec!E41)</f>
        <v>59364.11</v>
      </c>
      <c r="F41" s="10">
        <f t="shared" si="0"/>
        <v>22045.89</v>
      </c>
      <c r="G41" s="11">
        <f t="shared" si="1"/>
        <v>0.37136731267427403</v>
      </c>
      <c r="H41" s="12">
        <f>SUM(Oct!H41,Nov!H41,Dec!H41)</f>
        <v>75596</v>
      </c>
      <c r="I41" s="12">
        <f>SUM(Oct!I41, Nov!I41, Dec!I41)</f>
        <v>5814</v>
      </c>
      <c r="J41" s="13">
        <f t="shared" si="2"/>
        <v>7.6908831155087565E-2</v>
      </c>
    </row>
    <row r="42" spans="1:10" ht="15.6">
      <c r="A42" s="26" t="str">
        <v>Q485</v>
      </c>
      <c r="B42" s="27" t="str">
        <v>NY</v>
      </c>
      <c r="C42" s="27" t="str">
        <f>Sites[[#This Row],[SOL'#]]</f>
        <v>SOL-10869</v>
      </c>
      <c r="D42" s="9">
        <f>SUM(Oct!D42, Nov!D42, Dec!D42)</f>
        <v>67516.875</v>
      </c>
      <c r="E42" s="14">
        <f>SUM(Oct!E42, Nov!E42, Dec!E42)</f>
        <v>62400.639999999999</v>
      </c>
      <c r="F42" s="14">
        <f t="shared" si="0"/>
        <v>5116.2350000000006</v>
      </c>
      <c r="G42" s="15">
        <f t="shared" si="1"/>
        <v>8.1990104588670898E-2</v>
      </c>
      <c r="H42" s="16">
        <f>SUM(Oct!H42,Nov!H42,Dec!H42)</f>
        <v>71458.83</v>
      </c>
      <c r="I42" s="16">
        <f>SUM(Oct!I42, Nov!I42, Dec!I42)</f>
        <v>-3941.9550000000017</v>
      </c>
      <c r="J42" s="15">
        <f t="shared" si="2"/>
        <v>-5.5164001425716064E-2</v>
      </c>
    </row>
    <row r="43" spans="1:10" ht="15.6">
      <c r="A43" s="24" t="str">
        <v>Q490</v>
      </c>
      <c r="B43" s="25" t="str">
        <v>NY</v>
      </c>
      <c r="C43" s="25" t="str">
        <f>Sites[[#This Row],[SOL'#]]</f>
        <v>SOL-10411</v>
      </c>
      <c r="D43" s="20">
        <f>SUM(Oct!D43, Nov!D43, Dec!D43)</f>
        <v>49233.25</v>
      </c>
      <c r="E43" s="10">
        <f>SUM(Oct!E43, Nov!E43, Dec!E43)</f>
        <v>0</v>
      </c>
      <c r="F43" s="10">
        <f t="shared" si="0"/>
        <v>49233.25</v>
      </c>
      <c r="G43" s="11" t="str">
        <f t="shared" si="1"/>
        <v/>
      </c>
      <c r="H43" s="12">
        <f>SUM(Oct!H43,Nov!H43,Dec!H43)</f>
        <v>54486.289999999994</v>
      </c>
      <c r="I43" s="12">
        <f>SUM(Oct!I43, Nov!I43, Dec!I43)</f>
        <v>-5253.0399999999972</v>
      </c>
      <c r="J43" s="13">
        <f t="shared" si="2"/>
        <v>-9.6410307987568944E-2</v>
      </c>
    </row>
    <row r="44" spans="1:10" ht="15.6">
      <c r="A44" s="26" t="str">
        <v>Q620</v>
      </c>
      <c r="B44" s="27" t="str">
        <v>NY</v>
      </c>
      <c r="C44" s="27" t="str">
        <f>Sites[[#This Row],[SOL'#]]</f>
        <v>SOL-10867</v>
      </c>
      <c r="D44" s="9">
        <f>SUM(Oct!D44, Nov!D44, Dec!D44)</f>
        <v>78094.5</v>
      </c>
      <c r="E44" s="14">
        <f>SUM(Oct!E44, Nov!E44, Dec!E44)</f>
        <v>80964.100000000006</v>
      </c>
      <c r="F44" s="14">
        <f t="shared" si="0"/>
        <v>-2869.6000000000058</v>
      </c>
      <c r="G44" s="15">
        <f t="shared" si="1"/>
        <v>-3.544286912347578E-2</v>
      </c>
      <c r="H44" s="16">
        <f>SUM(Oct!H44,Nov!H44,Dec!H44)</f>
        <v>78430.97</v>
      </c>
      <c r="I44" s="16">
        <f>SUM(Oct!I44, Nov!I44, Dec!I44)</f>
        <v>-336.47000000000116</v>
      </c>
      <c r="J44" s="15">
        <f t="shared" si="2"/>
        <v>-4.2900145184995306E-3</v>
      </c>
    </row>
    <row r="45" spans="1:10" ht="15.6">
      <c r="A45" s="24" t="str">
        <v>QMOA</v>
      </c>
      <c r="B45" s="25" t="str">
        <v>NY</v>
      </c>
      <c r="C45" s="25" t="str">
        <f>Sites[[#This Row],[SOL'#]]</f>
        <v>SOL-10415</v>
      </c>
      <c r="D45" s="20">
        <f>SUM(Oct!D45, Nov!D45, Dec!D45)</f>
        <v>7034.5</v>
      </c>
      <c r="E45" s="10">
        <f>SUM(Oct!E45, Nov!E45, Dec!E45)</f>
        <v>0</v>
      </c>
      <c r="F45" s="10">
        <f t="shared" si="0"/>
        <v>7034.5</v>
      </c>
      <c r="G45" s="11" t="str">
        <f t="shared" si="1"/>
        <v/>
      </c>
      <c r="H45" s="12">
        <f>SUM(Oct!H45,Nov!H45,Dec!H45)</f>
        <v>7167.24</v>
      </c>
      <c r="I45" s="12">
        <f>SUM(Oct!I45, Nov!I45, Dec!I45)</f>
        <v>-132.74000000000024</v>
      </c>
      <c r="J45" s="13">
        <f t="shared" si="2"/>
        <v>-1.8520378834809528E-2</v>
      </c>
    </row>
    <row r="46" spans="1:10" ht="15.6">
      <c r="A46" s="26" t="str">
        <v>X024</v>
      </c>
      <c r="B46" s="27" t="str">
        <v>NY</v>
      </c>
      <c r="C46" s="27" t="str">
        <f>Sites[[#This Row],[SOL'#]]</f>
        <v>SOL-10419</v>
      </c>
      <c r="D46" s="9">
        <f>SUM(Oct!D46, Nov!D46, Dec!D46)</f>
        <v>29586.21875</v>
      </c>
      <c r="E46" s="14">
        <f>SUM(Oct!E46, Nov!E46, Dec!E46)</f>
        <v>31707.37</v>
      </c>
      <c r="F46" s="14">
        <f t="shared" si="0"/>
        <v>-2121.151249999999</v>
      </c>
      <c r="G46" s="15">
        <f t="shared" si="1"/>
        <v>-6.6897735447626186E-2</v>
      </c>
      <c r="H46" s="16">
        <f>SUM(Oct!H46,Nov!H46,Dec!H46)</f>
        <v>28076</v>
      </c>
      <c r="I46" s="16">
        <f>SUM(Oct!I46, Nov!I46, Dec!I46)</f>
        <v>1510.21875</v>
      </c>
      <c r="J46" s="15">
        <f t="shared" si="2"/>
        <v>5.3790381464596096E-2</v>
      </c>
    </row>
    <row r="47" spans="1:10" ht="15.6">
      <c r="A47" s="24" t="str">
        <v>X026</v>
      </c>
      <c r="B47" s="25" t="str">
        <v>NY</v>
      </c>
      <c r="C47" s="25" t="str">
        <f>Sites[[#This Row],[SOL'#]]</f>
        <v>SOL-10420</v>
      </c>
      <c r="D47" s="20">
        <f>SUM(Oct!D47, Nov!D47, Dec!D47)</f>
        <v>23868.300000000003</v>
      </c>
      <c r="E47" s="10">
        <f>SUM(Oct!E47, Nov!E47, Dec!E47)</f>
        <v>26373.040000000001</v>
      </c>
      <c r="F47" s="10">
        <f t="shared" si="0"/>
        <v>-2504.739999999998</v>
      </c>
      <c r="G47" s="11">
        <f t="shared" si="1"/>
        <v>-9.4973503244222046E-2</v>
      </c>
      <c r="H47" s="12">
        <f>SUM(Oct!H47,Nov!H47,Dec!H47)</f>
        <v>36912.49</v>
      </c>
      <c r="I47" s="12">
        <f>SUM(Oct!I47, Nov!I47, Dec!I47)</f>
        <v>-13044.189999999999</v>
      </c>
      <c r="J47" s="13">
        <f t="shared" si="2"/>
        <v>-0.35338147060791619</v>
      </c>
    </row>
    <row r="48" spans="1:10" ht="15.6">
      <c r="A48" s="26" t="str">
        <v>X090</v>
      </c>
      <c r="B48" s="27" t="str">
        <v>NY</v>
      </c>
      <c r="C48" s="27" t="str">
        <f>Sites[[#This Row],[SOL'#]]</f>
        <v>SOL-10925</v>
      </c>
      <c r="D48" s="9">
        <f>SUM(Oct!D48, Nov!D48, Dec!D48)</f>
        <v>13758.6875</v>
      </c>
      <c r="E48" s="14">
        <f>SUM(Oct!E48, Nov!E48, Dec!E48)</f>
        <v>17110.427</v>
      </c>
      <c r="F48" s="14">
        <f t="shared" si="0"/>
        <v>-3351.7394999999997</v>
      </c>
      <c r="G48" s="15">
        <f t="shared" si="1"/>
        <v>-0.19588871160258009</v>
      </c>
      <c r="H48" s="16">
        <f>SUM(Oct!H48,Nov!H48,Dec!H48)</f>
        <v>21502</v>
      </c>
      <c r="I48" s="16">
        <f>SUM(Oct!I48, Nov!I48, Dec!I48)</f>
        <v>-7743.3125</v>
      </c>
      <c r="J48" s="15">
        <f t="shared" si="2"/>
        <v>-0.36012057017951821</v>
      </c>
    </row>
    <row r="49" spans="1:10" ht="15.6">
      <c r="A49" s="24" t="str">
        <v>X117</v>
      </c>
      <c r="B49" s="25" t="str">
        <v>NY</v>
      </c>
      <c r="C49" s="25" t="str">
        <f>Sites[[#This Row],[SOL'#]]</f>
        <v>SOL-10422</v>
      </c>
      <c r="D49" s="20">
        <f>SUM(Oct!D49, Nov!D49, Dec!D49)</f>
        <v>17478.300000000003</v>
      </c>
      <c r="E49" s="10">
        <f>SUM(Oct!E49, Nov!E49, Dec!E49)</f>
        <v>22022.277999999998</v>
      </c>
      <c r="F49" s="10">
        <f t="shared" si="0"/>
        <v>-4543.9779999999955</v>
      </c>
      <c r="G49" s="11">
        <f t="shared" si="1"/>
        <v>-0.2063355117031942</v>
      </c>
      <c r="H49" s="12">
        <f>SUM(Oct!H49,Nov!H49,Dec!H49)</f>
        <v>20907.934999999998</v>
      </c>
      <c r="I49" s="12">
        <f>SUM(Oct!I49, Nov!I49, Dec!I49)</f>
        <v>-3429.6349999999984</v>
      </c>
      <c r="J49" s="13">
        <f t="shared" si="2"/>
        <v>-0.16403509002682468</v>
      </c>
    </row>
    <row r="50" spans="1:10" ht="15.6">
      <c r="A50" s="26" t="str">
        <v>X125</v>
      </c>
      <c r="B50" s="27" t="str">
        <v>NY</v>
      </c>
      <c r="C50" s="27" t="str">
        <f>Sites[[#This Row],[SOL'#]]</f>
        <v>SOL-10423</v>
      </c>
      <c r="D50" s="9">
        <f>SUM(Oct!D50, Nov!D50, Dec!D50)</f>
        <v>34824</v>
      </c>
      <c r="E50" s="14">
        <f>SUM(Oct!E50, Nov!E50, Dec!E50)</f>
        <v>38838.959999999999</v>
      </c>
      <c r="F50" s="14">
        <f t="shared" si="0"/>
        <v>-4014.9599999999991</v>
      </c>
      <c r="G50" s="15">
        <f t="shared" si="1"/>
        <v>-0.10337454967898212</v>
      </c>
      <c r="H50" s="16">
        <f>SUM(Oct!H50,Nov!H50,Dec!H50)</f>
        <v>34388.79</v>
      </c>
      <c r="I50" s="16">
        <f>SUM(Oct!I50, Nov!I50, Dec!I50)</f>
        <v>435.20999999999913</v>
      </c>
      <c r="J50" s="15">
        <f t="shared" si="2"/>
        <v>1.2655577587929064E-2</v>
      </c>
    </row>
    <row r="51" spans="1:10" ht="15.6">
      <c r="A51" s="24" t="str">
        <v>X134</v>
      </c>
      <c r="B51" s="25" t="str">
        <v>NY</v>
      </c>
      <c r="C51" s="25" t="str">
        <f>Sites[[#This Row],[SOL'#]]</f>
        <v>SOL-10424</v>
      </c>
      <c r="D51" s="20">
        <f>SUM(Oct!D51, Nov!D51, Dec!D51)</f>
        <v>32212.0625</v>
      </c>
      <c r="E51" s="10">
        <f>SUM(Oct!E51, Nov!E51, Dec!E51)</f>
        <v>30934.16</v>
      </c>
      <c r="F51" s="10">
        <f t="shared" si="0"/>
        <v>1277.9025000000001</v>
      </c>
      <c r="G51" s="11">
        <f t="shared" si="1"/>
        <v>4.1310399247951136E-2</v>
      </c>
      <c r="H51" s="12">
        <f>SUM(Oct!H51,Nov!H51,Dec!H51)</f>
        <v>32368</v>
      </c>
      <c r="I51" s="12">
        <f>SUM(Oct!I51, Nov!I51, Dec!I51)</f>
        <v>-155.9375</v>
      </c>
      <c r="J51" s="13">
        <f t="shared" si="2"/>
        <v>-4.8176439693524472E-3</v>
      </c>
    </row>
    <row r="52" spans="1:10" ht="15.6">
      <c r="A52" s="26" t="str">
        <v>X135</v>
      </c>
      <c r="B52" s="27" t="str">
        <v>NY</v>
      </c>
      <c r="C52" s="27" t="str">
        <f>Sites[[#This Row],[SOL'#]]</f>
        <v>SOL-10425</v>
      </c>
      <c r="D52" s="9">
        <f>SUM(Oct!D52, Nov!D52, Dec!D52)</f>
        <v>28034.875</v>
      </c>
      <c r="E52" s="14">
        <f>SUM(Oct!E52, Nov!E52, Dec!E52)</f>
        <v>36011.32</v>
      </c>
      <c r="F52" s="14">
        <f t="shared" si="0"/>
        <v>-7976.4449999999997</v>
      </c>
      <c r="G52" s="15">
        <f t="shared" si="1"/>
        <v>-0.22149826776691328</v>
      </c>
      <c r="H52" s="16">
        <f>SUM(Oct!H52,Nov!H52,Dec!H52)</f>
        <v>27873</v>
      </c>
      <c r="I52" s="16">
        <f>SUM(Oct!I52, Nov!I52, Dec!I52)</f>
        <v>161.875</v>
      </c>
      <c r="J52" s="15">
        <f t="shared" si="2"/>
        <v>5.8075915760772076E-3</v>
      </c>
    </row>
    <row r="53" spans="1:10" ht="15.6">
      <c r="A53" s="24" t="str">
        <v>X139 JHS 222</v>
      </c>
      <c r="B53" s="25" t="str">
        <v>NY</v>
      </c>
      <c r="C53" s="25" t="str">
        <f>Sites[[#This Row],[SOL'#]]</f>
        <v>SOL-10426</v>
      </c>
      <c r="D53" s="20">
        <f>SUM(Oct!D53, Nov!D53, Dec!D53)</f>
        <v>41188.22307</v>
      </c>
      <c r="E53" s="10">
        <f>SUM(Oct!E53, Nov!E53, Dec!E53)</f>
        <v>42359.99</v>
      </c>
      <c r="F53" s="10">
        <f t="shared" si="0"/>
        <v>-1171.766929999998</v>
      </c>
      <c r="G53" s="11">
        <f t="shared" si="1"/>
        <v>-2.7662115359328415E-2</v>
      </c>
      <c r="H53" s="12">
        <f>SUM(Oct!H53,Nov!H53,Dec!H53)</f>
        <v>38288</v>
      </c>
      <c r="I53" s="12">
        <f>SUM(Oct!I53, Nov!I53, Dec!I53)</f>
        <v>2900.22307</v>
      </c>
      <c r="J53" s="13">
        <f t="shared" si="2"/>
        <v>7.5747572868783947E-2</v>
      </c>
    </row>
    <row r="54" spans="1:10" ht="15.6">
      <c r="A54" s="26" t="str">
        <v>X140</v>
      </c>
      <c r="B54" s="27" t="str">
        <v>NY</v>
      </c>
      <c r="C54" s="27" t="str">
        <f>Sites[[#This Row],[SOL'#]]</f>
        <v>SOL-10926</v>
      </c>
      <c r="D54" s="9">
        <f>SUM(Oct!D54, Nov!D54, Dec!D54)</f>
        <v>24556.7012130802</v>
      </c>
      <c r="E54" s="14">
        <f>SUM(Oct!E54, Nov!E54, Dec!E54)</f>
        <v>20277.334999999999</v>
      </c>
      <c r="F54" s="14">
        <f t="shared" si="0"/>
        <v>4279.3662130802004</v>
      </c>
      <c r="G54" s="15">
        <f t="shared" si="1"/>
        <v>0.21104184613412957</v>
      </c>
      <c r="H54" s="16">
        <f>SUM(Oct!H54,Nov!H54,Dec!H54)</f>
        <v>23241</v>
      </c>
      <c r="I54" s="16">
        <f>SUM(Oct!I54, Nov!I54, Dec!I54)</f>
        <v>1315.7012130801995</v>
      </c>
      <c r="J54" s="15">
        <f t="shared" si="2"/>
        <v>5.6611213505451549E-2</v>
      </c>
    </row>
    <row r="55" spans="1:10" ht="15.6">
      <c r="A55" s="24" t="str">
        <v>X166</v>
      </c>
      <c r="B55" s="25" t="str">
        <v>NY</v>
      </c>
      <c r="C55" s="25" t="str">
        <f>Sites[[#This Row],[SOL'#]]</f>
        <v>SOL-10427</v>
      </c>
      <c r="D55" s="20">
        <f>SUM(Oct!D55, Nov!D55, Dec!D55)</f>
        <v>24204.1</v>
      </c>
      <c r="E55" s="10">
        <f>SUM(Oct!E55, Nov!E55, Dec!E55)</f>
        <v>28691.9</v>
      </c>
      <c r="F55" s="10">
        <f t="shared" si="0"/>
        <v>-4487.8000000000029</v>
      </c>
      <c r="G55" s="11">
        <f t="shared" si="1"/>
        <v>-0.15641348255082455</v>
      </c>
      <c r="H55" s="12">
        <f>SUM(Oct!H55,Nov!H55,Dec!H55)</f>
        <v>23455</v>
      </c>
      <c r="I55" s="12">
        <f>SUM(Oct!I55, Nov!I55, Dec!I55)</f>
        <v>749.10000000000036</v>
      </c>
      <c r="J55" s="13">
        <f t="shared" si="2"/>
        <v>3.1937753144318924E-2</v>
      </c>
    </row>
    <row r="56" spans="1:10" ht="15.6">
      <c r="A56" s="26" t="str">
        <v>Murphy</v>
      </c>
      <c r="B56" s="27" t="str">
        <v>MN</v>
      </c>
      <c r="C56" s="27" t="str">
        <f>Sites[[#This Row],[SOL'#]]</f>
        <v>SOL-10094</v>
      </c>
      <c r="D56" s="9">
        <f>SUM(Oct!D56, Nov!D56, Dec!D56)</f>
        <v>962670</v>
      </c>
      <c r="E56" s="14">
        <f>SUM(Oct!E56, Nov!E56, Dec!E56)</f>
        <v>1218315.3</v>
      </c>
      <c r="F56" s="14">
        <f t="shared" si="0"/>
        <v>-255645.30000000005</v>
      </c>
      <c r="G56" s="15">
        <f t="shared" si="1"/>
        <v>-0.20983508948791832</v>
      </c>
      <c r="H56" s="16">
        <f>SUM(Oct!H56,Nov!H56,Dec!H56)</f>
        <v>1154789.3</v>
      </c>
      <c r="I56" s="16">
        <f>SUM(Oct!I56, Nov!I56, Dec!I56)</f>
        <v>-192119.30000000005</v>
      </c>
      <c r="J56" s="15">
        <f t="shared" si="2"/>
        <v>-0.16636740572500977</v>
      </c>
    </row>
    <row r="57" spans="1:10" ht="15.6">
      <c r="A57" s="24" t="str">
        <v>Terning</v>
      </c>
      <c r="B57" s="25" t="str">
        <v>MN</v>
      </c>
      <c r="C57" s="25" t="str">
        <f>Sites[[#This Row],[SOL'#]]</f>
        <v>SOL-10093</v>
      </c>
      <c r="D57" s="20">
        <f>SUM(Oct!D57, Nov!D57, Dec!D57)</f>
        <v>1086817.4825870621</v>
      </c>
      <c r="E57" s="10">
        <f>SUM(Oct!E57, Nov!E57, Dec!E57)</f>
        <v>1204203.8999999999</v>
      </c>
      <c r="F57" s="10">
        <f t="shared" si="0"/>
        <v>-117386.41741293785</v>
      </c>
      <c r="G57" s="11">
        <f t="shared" si="1"/>
        <v>-9.7480515893477726E-2</v>
      </c>
      <c r="H57" s="12">
        <f>SUM(Oct!H57,Nov!H57,Dec!H57)</f>
        <v>1093422.2</v>
      </c>
      <c r="I57" s="12">
        <f>SUM(Oct!I57, Nov!I57, Dec!I57)</f>
        <v>-6604.7174129379564</v>
      </c>
      <c r="J57" s="13">
        <f t="shared" si="2"/>
        <v>-6.0404091054104781E-3</v>
      </c>
    </row>
    <row r="58" spans="1:10" ht="15.6">
      <c r="A58" s="26" t="str">
        <v>Boas Road 04</v>
      </c>
      <c r="B58" s="27" t="str">
        <v>NY</v>
      </c>
      <c r="C58" s="27" t="str">
        <f>Sites[[#This Row],[SOL'#]]</f>
        <v>SOL-10908</v>
      </c>
      <c r="D58" s="9">
        <f>SUM(Oct!D58, Nov!D58, Dec!D58)</f>
        <v>39623</v>
      </c>
      <c r="E58" s="14">
        <f>SUM(Oct!E58, Nov!E58, Dec!E58)</f>
        <v>39623</v>
      </c>
      <c r="F58" s="14">
        <f t="shared" si="0"/>
        <v>0</v>
      </c>
      <c r="G58" s="15">
        <f t="shared" si="1"/>
        <v>0</v>
      </c>
      <c r="H58" s="16">
        <f>SUM(Oct!H58,Nov!H58,Dec!H58)</f>
        <v>383272.76</v>
      </c>
      <c r="I58" s="16">
        <f>SUM(Oct!I58, Nov!I58, Dec!I58)</f>
        <v>-343649.76</v>
      </c>
      <c r="J58" s="15">
        <f t="shared" si="2"/>
        <v>-0.8966193162279521</v>
      </c>
    </row>
    <row r="59" spans="1:10" ht="15.6">
      <c r="A59" s="24" t="str">
        <v>Kelly Bridge Farm</v>
      </c>
      <c r="B59" s="25" t="str">
        <v>NY</v>
      </c>
      <c r="C59" s="25" t="str">
        <f>Sites[[#This Row],[SOL'#]]</f>
        <v>SOL-10911</v>
      </c>
      <c r="D59" s="20">
        <f>SUM(Oct!D59, Nov!D59, Dec!D59)</f>
        <v>241718</v>
      </c>
      <c r="E59" s="10">
        <f>SUM(Oct!E59, Nov!E59, Dec!E59)</f>
        <v>0</v>
      </c>
      <c r="F59" s="10">
        <f t="shared" si="0"/>
        <v>241718</v>
      </c>
      <c r="G59" s="11" t="str">
        <f t="shared" si="1"/>
        <v/>
      </c>
      <c r="H59" s="12">
        <f>SUM(Oct!H59,Nov!H59,Dec!H59)</f>
        <v>425208.45699999999</v>
      </c>
      <c r="I59" s="12">
        <f>SUM(Oct!I59, Nov!I59, Dec!I59)</f>
        <v>-183490.45699999999</v>
      </c>
      <c r="J59" s="13">
        <f t="shared" si="2"/>
        <v>-0.43153059159404256</v>
      </c>
    </row>
    <row r="60" spans="1:10" ht="15.6">
      <c r="A60" s="26" t="str">
        <v>Pool Brook Road</v>
      </c>
      <c r="B60" s="27" t="str">
        <v>NY</v>
      </c>
      <c r="C60" s="27" t="str">
        <f>Sites[[#This Row],[SOL'#]]</f>
        <v>SOL-10909</v>
      </c>
      <c r="D60" s="9">
        <f>SUM(Oct!D60, Nov!D60, Dec!D60)</f>
        <v>330821</v>
      </c>
      <c r="E60" s="14">
        <f>SUM(Oct!E60, Nov!E60, Dec!E60)</f>
        <v>330824</v>
      </c>
      <c r="F60" s="14">
        <f t="shared" si="0"/>
        <v>-3</v>
      </c>
      <c r="G60" s="15">
        <f t="shared" si="1"/>
        <v>-9.0682659057383988E-6</v>
      </c>
      <c r="H60" s="16">
        <f>SUM(Oct!H60,Nov!H60,Dec!H60)</f>
        <v>404875.99800000002</v>
      </c>
      <c r="I60" s="16">
        <f>SUM(Oct!I60, Nov!I60, Dec!I60)</f>
        <v>-74054.998000000021</v>
      </c>
      <c r="J60" s="15">
        <f t="shared" si="2"/>
        <v>-0.18290784923239639</v>
      </c>
    </row>
    <row r="61" spans="1:10" ht="15.6">
      <c r="A61" s="24" t="str">
        <v>Sackett Lake</v>
      </c>
      <c r="B61" s="25" t="str">
        <v>NY</v>
      </c>
      <c r="C61" s="25" t="str">
        <f>Sites[[#This Row],[SOL'#]]</f>
        <v>SOL-10910</v>
      </c>
      <c r="D61" s="20">
        <f>SUM(Oct!D61, Nov!D61, Dec!D61)</f>
        <v>418965</v>
      </c>
      <c r="E61" s="10">
        <f>SUM(Oct!E61, Nov!E61, Dec!E61)</f>
        <v>0</v>
      </c>
      <c r="F61" s="10">
        <f t="shared" si="0"/>
        <v>418965</v>
      </c>
      <c r="G61" s="11" t="str">
        <f t="shared" si="1"/>
        <v/>
      </c>
      <c r="H61" s="12">
        <f>SUM(Oct!H61,Nov!H61,Dec!H61)</f>
        <v>443294.88699999999</v>
      </c>
      <c r="I61" s="12">
        <f>SUM(Oct!I61, Nov!I61, Dec!I61)</f>
        <v>-24329.886999999988</v>
      </c>
      <c r="J61" s="13">
        <f t="shared" si="2"/>
        <v>-5.4884203976843945E-2</v>
      </c>
    </row>
    <row r="62" spans="1:10" ht="15.6">
      <c r="A62" s="26" t="str">
        <v>Burritt Road</v>
      </c>
      <c r="B62" s="27" t="str">
        <v>NY</v>
      </c>
      <c r="C62" s="27" t="str">
        <f>Sites[[#This Row],[SOL'#]]</f>
        <v>SOL-10913</v>
      </c>
      <c r="D62" s="9">
        <f>SUM(Oct!D62, Nov!D62, Dec!D62)</f>
        <v>382740</v>
      </c>
      <c r="E62" s="14">
        <f>SUM(Oct!E62, Nov!E62, Dec!E62)</f>
        <v>0</v>
      </c>
      <c r="F62" s="14">
        <f t="shared" si="0"/>
        <v>382740</v>
      </c>
      <c r="G62" s="15" t="str">
        <f t="shared" si="1"/>
        <v/>
      </c>
      <c r="H62" s="16">
        <f>SUM(Oct!H62,Nov!H62,Dec!H62)</f>
        <v>382712.58499999996</v>
      </c>
      <c r="I62" s="16">
        <f>SUM(Oct!I62, Nov!I62, Dec!I62)</f>
        <v>27.415000000008149</v>
      </c>
      <c r="J62" s="15">
        <f t="shared" si="2"/>
        <v>7.1633390367887046E-5</v>
      </c>
    </row>
    <row r="63" spans="1:10" ht="15.6">
      <c r="A63" s="24" t="str">
        <v>Villa Roma 1</v>
      </c>
      <c r="B63" s="25" t="str">
        <v>NY</v>
      </c>
      <c r="C63" s="25" t="str">
        <f>Sites[[#This Row],[SOL'#]]</f>
        <v>SOL-10914</v>
      </c>
      <c r="D63" s="20">
        <f>SUM(Oct!D63, Nov!D63, Dec!D63)</f>
        <v>381749</v>
      </c>
      <c r="E63" s="10">
        <f>SUM(Oct!E63, Nov!E63, Dec!E63)</f>
        <v>0</v>
      </c>
      <c r="F63" s="10">
        <f t="shared" ref="F63:F101" si="3">IF(AND(ISNUMBER(D63),ISNUMBER(E63)), D63-E63, "")</f>
        <v>381749</v>
      </c>
      <c r="G63" s="11" t="str">
        <f t="shared" ref="G63:G101" si="4">IFERROR(F63/E63, "")</f>
        <v/>
      </c>
      <c r="H63" s="12">
        <f>SUM(Oct!H63,Nov!H63,Dec!H63)</f>
        <v>366457.10800000001</v>
      </c>
      <c r="I63" s="12">
        <f>SUM(Oct!I63, Nov!I63, Dec!I63)</f>
        <v>15291.891999999993</v>
      </c>
      <c r="J63" s="13">
        <f t="shared" si="2"/>
        <v>4.1729009115031253E-2</v>
      </c>
    </row>
    <row r="64" spans="1:10" ht="15.6">
      <c r="A64" s="26" t="str">
        <v>Villa Roma 2</v>
      </c>
      <c r="B64" s="27" t="str">
        <v>NY</v>
      </c>
      <c r="C64" s="27" t="str">
        <f>Sites[[#This Row],[SOL'#]]</f>
        <v>SOL-10915</v>
      </c>
      <c r="D64" s="9">
        <f>SUM(Oct!D64, Nov!D64, Dec!D64)</f>
        <v>354625</v>
      </c>
      <c r="E64" s="14">
        <f>SUM(Oct!E64, Nov!E64, Dec!E64)</f>
        <v>0</v>
      </c>
      <c r="F64" s="14">
        <f t="shared" si="3"/>
        <v>354625</v>
      </c>
      <c r="G64" s="15" t="str">
        <f t="shared" si="4"/>
        <v/>
      </c>
      <c r="H64" s="16">
        <f>SUM(Oct!H64,Nov!H64,Dec!H64)</f>
        <v>354635.91100000002</v>
      </c>
      <c r="I64" s="16">
        <f>SUM(Oct!I64, Nov!I64, Dec!I64)</f>
        <v>-10.911000000007334</v>
      </c>
      <c r="J64" s="15">
        <f t="shared" si="2"/>
        <v>-3.0766765749245666E-5</v>
      </c>
    </row>
    <row r="65" spans="1:10" ht="15.6">
      <c r="A65" s="24" t="str">
        <v>Washington 1</v>
      </c>
      <c r="B65" s="25" t="str">
        <v>NY</v>
      </c>
      <c r="C65" s="25" t="str">
        <f>Sites[[#This Row],[SOL'#]]</f>
        <v>SOL-10912</v>
      </c>
      <c r="D65" s="20">
        <f>SUM(Oct!D65, Nov!D65, Dec!D65)</f>
        <v>384670</v>
      </c>
      <c r="E65" s="10">
        <f>SUM(Oct!E65, Nov!E65, Dec!E65)</f>
        <v>0</v>
      </c>
      <c r="F65" s="10">
        <f t="shared" si="3"/>
        <v>384670</v>
      </c>
      <c r="G65" s="11" t="str">
        <f t="shared" si="4"/>
        <v/>
      </c>
      <c r="H65" s="12">
        <f>SUM(Oct!H65,Nov!H65,Dec!H65)</f>
        <v>373352.80499999999</v>
      </c>
      <c r="I65" s="12">
        <f>SUM(Oct!I65, Nov!I65, Dec!I65)</f>
        <v>11317.195000000007</v>
      </c>
      <c r="J65" s="13">
        <f t="shared" si="2"/>
        <v>3.0312334200890783E-2</v>
      </c>
    </row>
    <row r="66" spans="1:10" ht="15.6">
      <c r="A66" s="26" t="str">
        <v>Washington 3</v>
      </c>
      <c r="B66" s="27" t="str">
        <v>NY</v>
      </c>
      <c r="C66" s="27" t="str">
        <f>Sites[[#This Row],[SOL'#]]</f>
        <v>SOL-10828</v>
      </c>
      <c r="D66" s="9">
        <f>SUM(Oct!D66, Nov!D66, Dec!D66)</f>
        <v>0</v>
      </c>
      <c r="E66" s="14">
        <f>SUM(Oct!E66, Nov!E66, Dec!E66)</f>
        <v>0</v>
      </c>
      <c r="F66" s="14">
        <f t="shared" si="3"/>
        <v>0</v>
      </c>
      <c r="G66" s="15" t="str">
        <f t="shared" si="4"/>
        <v/>
      </c>
      <c r="H66" s="16">
        <f>SUM(Oct!H66,Nov!H66,Dec!H66)</f>
        <v>456446.95500000002</v>
      </c>
      <c r="I66" s="16">
        <f>SUM(Oct!I66, Nov!I66, Dec!I66)</f>
        <v>-456446.95500000002</v>
      </c>
      <c r="J66" s="15">
        <f t="shared" si="2"/>
        <v>-1</v>
      </c>
    </row>
    <row r="67" spans="1:10" ht="15.6">
      <c r="A67" s="24" t="str">
        <v>Washington 4</v>
      </c>
      <c r="B67" s="25" t="str">
        <v>NY</v>
      </c>
      <c r="C67" s="25" t="str">
        <f>Sites[[#This Row],[SOL'#]]</f>
        <v>SOL-10829</v>
      </c>
      <c r="D67" s="20">
        <f>SUM(Oct!D67, Nov!D67, Dec!D67)</f>
        <v>453438</v>
      </c>
      <c r="E67" s="10">
        <f>SUM(Oct!E67, Nov!E67, Dec!E67)</f>
        <v>0</v>
      </c>
      <c r="F67" s="10">
        <f t="shared" si="3"/>
        <v>453438</v>
      </c>
      <c r="G67" s="11" t="str">
        <f t="shared" si="4"/>
        <v/>
      </c>
      <c r="H67" s="12">
        <f>SUM(Oct!H67,Nov!H67,Dec!H67)</f>
        <v>457364.08199999994</v>
      </c>
      <c r="I67" s="12">
        <f>SUM(Oct!I67, Nov!I67, Dec!I67)</f>
        <v>-3926.0819999999658</v>
      </c>
      <c r="J67" s="13">
        <f t="shared" si="2"/>
        <v>-8.5841502525333124E-3</v>
      </c>
    </row>
    <row r="68" spans="1:10" ht="15.6">
      <c r="A68" s="26" t="str">
        <v>Big Tree</v>
      </c>
      <c r="B68" s="27" t="str">
        <v>NY</v>
      </c>
      <c r="C68" s="27" t="str">
        <f>Sites[[#This Row],[SOL'#]]</f>
        <v>SOL-10966</v>
      </c>
      <c r="D68" s="9">
        <f>SUM(Oct!D68, Nov!D68, Dec!D68)</f>
        <v>413740</v>
      </c>
      <c r="E68" s="14">
        <f>SUM(Oct!E68, Nov!E68, Dec!E68)</f>
        <v>410890</v>
      </c>
      <c r="F68" s="14">
        <f t="shared" si="3"/>
        <v>2850</v>
      </c>
      <c r="G68" s="15">
        <f t="shared" si="4"/>
        <v>6.9361629633235174E-3</v>
      </c>
      <c r="H68" s="16">
        <f>SUM(Oct!H68,Nov!H68,Dec!H68)</f>
        <v>367308.55</v>
      </c>
      <c r="I68" s="16">
        <f>SUM(Oct!I68, Nov!I68, Dec!I68)</f>
        <v>46431.450000000012</v>
      </c>
      <c r="J68" s="15">
        <f t="shared" ref="J68:J131" si="5">IFERROR(I68/H68, "")</f>
        <v>0.12640993518936602</v>
      </c>
    </row>
    <row r="69" spans="1:10" ht="15.6">
      <c r="A69" s="24" t="str">
        <v>Canoga</v>
      </c>
      <c r="B69" s="25" t="str">
        <v>NY</v>
      </c>
      <c r="C69" s="25" t="str">
        <f>Sites[[#This Row],[SOL'#]]</f>
        <v>SOL-10965</v>
      </c>
      <c r="D69" s="20">
        <f>SUM(Oct!D69, Nov!D69, Dec!D69)</f>
        <v>932600</v>
      </c>
      <c r="E69" s="10">
        <f>SUM(Oct!E69, Nov!E69, Dec!E69)</f>
        <v>0</v>
      </c>
      <c r="F69" s="10">
        <f t="shared" si="3"/>
        <v>932600</v>
      </c>
      <c r="G69" s="11" t="str">
        <f t="shared" si="4"/>
        <v/>
      </c>
      <c r="H69" s="12">
        <f>SUM(Oct!H69,Nov!H69,Dec!H69)</f>
        <v>368801.4</v>
      </c>
      <c r="I69" s="12">
        <f>SUM(Oct!I69, Nov!I69, Dec!I69)</f>
        <v>-150111.40000000002</v>
      </c>
      <c r="J69" s="13">
        <f t="shared" si="5"/>
        <v>-0.40702502756225983</v>
      </c>
    </row>
    <row r="70" spans="1:10" ht="15.6">
      <c r="A70" s="26" t="str">
        <v>County Route 84</v>
      </c>
      <c r="B70" s="27" t="str">
        <v>NY</v>
      </c>
      <c r="C70" s="27" t="str">
        <f>Sites[[#This Row],[SOL'#]]</f>
        <v>SOL-10967</v>
      </c>
      <c r="D70" s="9">
        <f>SUM(Oct!D70, Nov!D70, Dec!D70)</f>
        <v>1078780</v>
      </c>
      <c r="E70" s="14">
        <f>SUM(Oct!E70, Nov!E70, Dec!E70)</f>
        <v>1060850</v>
      </c>
      <c r="F70" s="14">
        <f t="shared" si="3"/>
        <v>17930</v>
      </c>
      <c r="G70" s="15">
        <f t="shared" si="4"/>
        <v>1.6901541216948673E-2</v>
      </c>
      <c r="H70" s="16">
        <f>SUM(Oct!H70,Nov!H70,Dec!H70)</f>
        <v>1039826.442</v>
      </c>
      <c r="I70" s="16">
        <f>SUM(Oct!I70, Nov!I70, Dec!I70)</f>
        <v>38953.557999999961</v>
      </c>
      <c r="J70" s="15">
        <f t="shared" si="5"/>
        <v>3.7461595922754921E-2</v>
      </c>
    </row>
    <row r="71" spans="1:10" ht="15.6">
      <c r="A71" s="24" t="str">
        <v>Donati</v>
      </c>
      <c r="B71" s="25" t="str">
        <v>NY</v>
      </c>
      <c r="C71" s="25" t="str">
        <f>Sites[[#This Row],[SOL'#]]</f>
        <v>SOL-10968</v>
      </c>
      <c r="D71" s="20">
        <f>SUM(Oct!D71, Nov!D71, Dec!D71)</f>
        <v>397470</v>
      </c>
      <c r="E71" s="10">
        <f>SUM(Oct!E71, Nov!E71, Dec!E71)</f>
        <v>376380</v>
      </c>
      <c r="F71" s="10">
        <f t="shared" si="3"/>
        <v>21090</v>
      </c>
      <c r="G71" s="11">
        <f t="shared" si="4"/>
        <v>5.6033795632073967E-2</v>
      </c>
      <c r="H71" s="12">
        <f>SUM(Oct!H71,Nov!H71,Dec!H71)</f>
        <v>398334.25099999999</v>
      </c>
      <c r="I71" s="12">
        <f>SUM(Oct!I71, Nov!I71, Dec!I71)</f>
        <v>-864.25099999998929</v>
      </c>
      <c r="J71" s="13">
        <f t="shared" si="5"/>
        <v>-2.1696627840320699E-3</v>
      </c>
    </row>
    <row r="72" spans="1:10" ht="15.6">
      <c r="A72" s="26" t="str">
        <v>Henrietta</v>
      </c>
      <c r="B72" s="27" t="str">
        <v>NY</v>
      </c>
      <c r="C72" s="27" t="str">
        <f>Sites[[#This Row],[SOL'#]]</f>
        <v>SOL-10972</v>
      </c>
      <c r="D72" s="9">
        <f>SUM(Oct!D72, Nov!D72, Dec!D72)</f>
        <v>810990</v>
      </c>
      <c r="E72" s="14">
        <f>SUM(Oct!E72, Nov!E72, Dec!E72)</f>
        <v>796530</v>
      </c>
      <c r="F72" s="14">
        <f t="shared" si="3"/>
        <v>14460</v>
      </c>
      <c r="G72" s="15">
        <f t="shared" si="4"/>
        <v>1.8153741855297351E-2</v>
      </c>
      <c r="H72" s="16">
        <f>SUM(Oct!H72,Nov!H72,Dec!H72)</f>
        <v>776239.00099999993</v>
      </c>
      <c r="I72" s="16">
        <f>SUM(Oct!I72, Nov!I72, Dec!I72)</f>
        <v>34750.999000000011</v>
      </c>
      <c r="J72" s="15">
        <f t="shared" si="5"/>
        <v>4.4768426934528656E-2</v>
      </c>
    </row>
    <row r="73" spans="1:10" ht="15.6">
      <c r="A73" s="24" t="str">
        <v>NY 70</v>
      </c>
      <c r="B73" s="25" t="str">
        <v>NY</v>
      </c>
      <c r="C73" s="25" t="str">
        <f>Sites[[#This Row],[SOL'#]]</f>
        <v>SOL-10970</v>
      </c>
      <c r="D73" s="20">
        <f>SUM(Oct!D73, Nov!D73, Dec!D73)</f>
        <v>765130</v>
      </c>
      <c r="E73" s="10">
        <f>SUM(Oct!E73, Nov!E73, Dec!E73)</f>
        <v>758680</v>
      </c>
      <c r="F73" s="10">
        <f t="shared" si="3"/>
        <v>6450</v>
      </c>
      <c r="G73" s="11">
        <f t="shared" si="4"/>
        <v>8.501608056097433E-3</v>
      </c>
      <c r="H73" s="12">
        <f>SUM(Oct!H73,Nov!H73,Dec!H73)</f>
        <v>976831.62300000002</v>
      </c>
      <c r="I73" s="12">
        <f>SUM(Oct!I73, Nov!I73, Dec!I73)</f>
        <v>-211701.62300000002</v>
      </c>
      <c r="J73" s="13">
        <f t="shared" si="5"/>
        <v>-0.21672273707707354</v>
      </c>
    </row>
    <row r="74" spans="1:10" ht="15.6">
      <c r="A74" s="26" t="str">
        <v>Reid</v>
      </c>
      <c r="B74" s="27" t="str">
        <v>NY</v>
      </c>
      <c r="C74" s="27" t="str">
        <f>Sites[[#This Row],[SOL'#]]</f>
        <v>SOL-10991</v>
      </c>
      <c r="D74" s="9">
        <f>SUM(Oct!D74, Nov!D74, Dec!D74)</f>
        <v>840821.05304896389</v>
      </c>
      <c r="E74" s="14">
        <f>SUM(Oct!E74, Nov!E74, Dec!E74)</f>
        <v>918385.3</v>
      </c>
      <c r="F74" s="14">
        <f t="shared" si="3"/>
        <v>-77564.246951036155</v>
      </c>
      <c r="G74" s="15">
        <f t="shared" si="4"/>
        <v>-8.4457195635683796E-2</v>
      </c>
      <c r="H74" s="16">
        <f>SUM(Oct!H74,Nov!H74,Dec!H74)</f>
        <v>855960</v>
      </c>
      <c r="I74" s="16">
        <f>SUM(Oct!I74, Nov!I74, Dec!I74)</f>
        <v>-15138.94695103605</v>
      </c>
      <c r="J74" s="15">
        <f t="shared" si="5"/>
        <v>-1.7686512162993658E-2</v>
      </c>
    </row>
    <row r="75" spans="1:10" ht="15.6">
      <c r="A75" s="24" t="str">
        <v>Sangolqui</v>
      </c>
      <c r="B75" s="25" t="str">
        <v>NY</v>
      </c>
      <c r="C75" s="25" t="str">
        <f>Sites[[#This Row],[SOL'#]]</f>
        <v>SOL-10975</v>
      </c>
      <c r="D75" s="20">
        <f>SUM(Oct!D75, Nov!D75, Dec!D75)</f>
        <v>311720</v>
      </c>
      <c r="E75" s="10">
        <f>SUM(Oct!E75, Nov!E75, Dec!E75)</f>
        <v>183080</v>
      </c>
      <c r="F75" s="10">
        <f t="shared" si="3"/>
        <v>128640</v>
      </c>
      <c r="G75" s="11">
        <f t="shared" si="4"/>
        <v>0.70264365304784793</v>
      </c>
      <c r="H75" s="12">
        <f>SUM(Oct!H75,Nov!H75,Dec!H75)</f>
        <v>384843.75400000002</v>
      </c>
      <c r="I75" s="12">
        <f>SUM(Oct!I75, Nov!I75, Dec!I75)</f>
        <v>-73123.754000000015</v>
      </c>
      <c r="J75" s="13">
        <f t="shared" si="5"/>
        <v>-0.19000894061541665</v>
      </c>
    </row>
    <row r="76" spans="1:10" ht="15.6">
      <c r="A76" s="26" t="str">
        <v>State Highway 17B</v>
      </c>
      <c r="B76" s="27" t="str">
        <v>NY</v>
      </c>
      <c r="C76" s="27" t="str">
        <f>Sites[[#This Row],[SOL'#]]</f>
        <v>SOL-10988</v>
      </c>
      <c r="D76" s="9">
        <f>SUM(Oct!D76, Nov!D76, Dec!D76)</f>
        <v>1054040</v>
      </c>
      <c r="E76" s="14">
        <f>SUM(Oct!E76, Nov!E76, Dec!E76)</f>
        <v>1037580</v>
      </c>
      <c r="F76" s="14">
        <f t="shared" si="3"/>
        <v>16460</v>
      </c>
      <c r="G76" s="15">
        <f t="shared" si="4"/>
        <v>1.5863837005339346E-2</v>
      </c>
      <c r="H76" s="16">
        <f>SUM(Oct!H76,Nov!H76,Dec!H76)</f>
        <v>984919.07000000007</v>
      </c>
      <c r="I76" s="16">
        <f>SUM(Oct!I76, Nov!I76, Dec!I76)</f>
        <v>69120.929999999993</v>
      </c>
      <c r="J76" s="15">
        <f t="shared" si="5"/>
        <v>7.0179299097132913E-2</v>
      </c>
    </row>
    <row r="77" spans="1:10" ht="15.6">
      <c r="A77" s="24" t="str">
        <v>State Route 14A</v>
      </c>
      <c r="B77" s="25" t="str">
        <v>NY</v>
      </c>
      <c r="C77" s="25" t="str">
        <f>Sites[[#This Row],[SOL'#]]</f>
        <v>SOL-10997</v>
      </c>
      <c r="D77" s="20">
        <f>SUM(Oct!D77, Nov!D77, Dec!D77)</f>
        <v>0</v>
      </c>
      <c r="E77" s="10">
        <f>SUM(Oct!E77, Nov!E77, Dec!E77)</f>
        <v>0</v>
      </c>
      <c r="F77" s="10">
        <f t="shared" si="3"/>
        <v>0</v>
      </c>
      <c r="G77" s="11" t="str">
        <f t="shared" si="4"/>
        <v/>
      </c>
      <c r="H77" s="12">
        <f>SUM(Oct!H77,Nov!H77,Dec!H77)</f>
        <v>1059537.879</v>
      </c>
      <c r="I77" s="12">
        <f>SUM(Oct!I77, Nov!I77, Dec!I77)</f>
        <v>-1059537.879</v>
      </c>
      <c r="J77" s="13">
        <f t="shared" si="5"/>
        <v>-1</v>
      </c>
    </row>
    <row r="78" spans="1:10" ht="15.6">
      <c r="A78" s="26" t="str">
        <v>West Creek</v>
      </c>
      <c r="B78" s="27" t="str">
        <v>NY</v>
      </c>
      <c r="C78" s="27" t="str">
        <f>Sites[[#This Row],[SOL'#]]</f>
        <v>SOL-10995</v>
      </c>
      <c r="D78" s="9">
        <f>SUM(Oct!D78, Nov!D78, Dec!D78)</f>
        <v>1120380</v>
      </c>
      <c r="E78" s="14">
        <f>SUM(Oct!E78, Nov!E78, Dec!E78)</f>
        <v>1081260</v>
      </c>
      <c r="F78" s="14">
        <f t="shared" si="3"/>
        <v>39120</v>
      </c>
      <c r="G78" s="15">
        <f t="shared" si="4"/>
        <v>3.6180012207979582E-2</v>
      </c>
      <c r="H78" s="16">
        <f>SUM(Oct!H78,Nov!H78,Dec!H78)</f>
        <v>1001693.9879999999</v>
      </c>
      <c r="I78" s="16">
        <f>SUM(Oct!I78, Nov!I78, Dec!I78)</f>
        <v>118686.01200000005</v>
      </c>
      <c r="J78" s="15">
        <f t="shared" si="5"/>
        <v>0.11848529932476749</v>
      </c>
    </row>
    <row r="79" spans="1:10" ht="15.6">
      <c r="A79" s="24" t="str">
        <v>Wildflower</v>
      </c>
      <c r="B79" s="25" t="str">
        <v>NY</v>
      </c>
      <c r="C79" s="25" t="str">
        <f>Sites[[#This Row],[SOL'#]]</f>
        <v>SOL-10982</v>
      </c>
      <c r="D79" s="20">
        <f>SUM(Oct!D79, Nov!D79, Dec!D79)</f>
        <v>845898</v>
      </c>
      <c r="E79" s="10">
        <f>SUM(Oct!E79, Nov!E79, Dec!E79)</f>
        <v>734468</v>
      </c>
      <c r="F79" s="10">
        <f t="shared" si="3"/>
        <v>111430</v>
      </c>
      <c r="G79" s="11">
        <f t="shared" si="4"/>
        <v>0.15171525512343628</v>
      </c>
      <c r="H79" s="12">
        <f>SUM(Oct!H79,Nov!H79,Dec!H79)</f>
        <v>1056859.83</v>
      </c>
      <c r="I79" s="12">
        <f>SUM(Oct!I79, Nov!I79, Dec!I79)</f>
        <v>-210961.83000000002</v>
      </c>
      <c r="J79" s="13">
        <f t="shared" si="5"/>
        <v>-0.19961192961605892</v>
      </c>
    </row>
    <row r="80" spans="1:10" ht="15.6">
      <c r="A80" s="26" t="str">
        <v>Glen Mary 1</v>
      </c>
      <c r="B80" s="27" t="str">
        <v>NY</v>
      </c>
      <c r="C80" s="27" t="str">
        <f>Sites[[#This Row],[SOL'#]]</f>
        <v>SOL-10993</v>
      </c>
      <c r="D80" s="9">
        <f>SUM(Oct!D80, Nov!D80, Dec!D80)</f>
        <v>978490</v>
      </c>
      <c r="E80" s="14">
        <f>SUM(Oct!E80, Nov!E80, Dec!E80)</f>
        <v>937110</v>
      </c>
      <c r="F80" s="14">
        <f t="shared" si="3"/>
        <v>41380</v>
      </c>
      <c r="G80" s="15">
        <f t="shared" si="4"/>
        <v>4.4157035993640022E-2</v>
      </c>
      <c r="H80" s="16">
        <f>SUM(Oct!H80,Nov!H80,Dec!H80)</f>
        <v>1138103.25</v>
      </c>
      <c r="I80" s="16">
        <f>SUM(Oct!I80, Nov!I80, Dec!I80)</f>
        <v>-159613.24999999994</v>
      </c>
      <c r="J80" s="15">
        <f t="shared" si="5"/>
        <v>-0.14024496459350233</v>
      </c>
    </row>
    <row r="81" spans="1:10" ht="15.6">
      <c r="A81" s="24" t="str">
        <v>Glen Mary 2</v>
      </c>
      <c r="B81" s="25" t="str">
        <v>NY</v>
      </c>
      <c r="C81" s="25" t="str">
        <f>Sites[[#This Row],[SOL'#]]</f>
        <v>SOL-10994</v>
      </c>
      <c r="D81" s="20">
        <f>SUM(Oct!D81, Nov!D81, Dec!D81)</f>
        <v>501730</v>
      </c>
      <c r="E81" s="10">
        <f>SUM(Oct!E81, Nov!E81, Dec!E81)</f>
        <v>0</v>
      </c>
      <c r="F81" s="10">
        <f t="shared" si="3"/>
        <v>501730</v>
      </c>
      <c r="G81" s="11" t="str">
        <f t="shared" si="4"/>
        <v/>
      </c>
      <c r="H81" s="12">
        <f>SUM(Oct!H81,Nov!H81,Dec!H81)</f>
        <v>475545.63900000002</v>
      </c>
      <c r="I81" s="12">
        <f>SUM(Oct!I81, Nov!I81, Dec!I81)</f>
        <v>26184.360999999975</v>
      </c>
      <c r="J81" s="13">
        <f t="shared" si="5"/>
        <v>5.5061720374645205E-2</v>
      </c>
    </row>
    <row r="82" spans="1:10" ht="15.6">
      <c r="A82" s="26" t="str">
        <v>Telegraph 1</v>
      </c>
      <c r="B82" s="27" t="str">
        <v>NY</v>
      </c>
      <c r="C82" s="27" t="str">
        <f>Sites[[#This Row],[SOL'#]]</f>
        <v>SOL-11003</v>
      </c>
      <c r="D82" s="9">
        <f>SUM(Oct!D82, Nov!D82, Dec!D82)</f>
        <v>729080</v>
      </c>
      <c r="E82" s="14">
        <f>SUM(Oct!E82, Nov!E82, Dec!E82)</f>
        <v>0</v>
      </c>
      <c r="F82" s="14">
        <f t="shared" si="3"/>
        <v>729080</v>
      </c>
      <c r="G82" s="15" t="str">
        <f t="shared" si="4"/>
        <v/>
      </c>
      <c r="H82" s="16">
        <f>SUM(Oct!H82,Nov!H82,Dec!H82)</f>
        <v>712350.54</v>
      </c>
      <c r="I82" s="16">
        <f>SUM(Oct!I82, Nov!I82, Dec!I82)</f>
        <v>16729.460000000021</v>
      </c>
      <c r="J82" s="15">
        <f t="shared" si="5"/>
        <v>2.3484870243798819E-2</v>
      </c>
    </row>
    <row r="83" spans="1:10" ht="15.6">
      <c r="A83" s="24" t="str">
        <v>Telegraph 2</v>
      </c>
      <c r="B83" s="25" t="str">
        <v>NY</v>
      </c>
      <c r="C83" s="25" t="str">
        <f>Sites[[#This Row],[SOL'#]]</f>
        <v>SOL-11004</v>
      </c>
      <c r="D83" s="20">
        <f>SUM(Oct!D83, Nov!D83, Dec!D83)</f>
        <v>384120</v>
      </c>
      <c r="E83" s="10">
        <f>SUM(Oct!E83, Nov!E83, Dec!E83)</f>
        <v>0</v>
      </c>
      <c r="F83" s="10">
        <f t="shared" si="3"/>
        <v>384120</v>
      </c>
      <c r="G83" s="11" t="str">
        <f t="shared" si="4"/>
        <v/>
      </c>
      <c r="H83" s="12">
        <f>SUM(Oct!H83,Nov!H83,Dec!H83)</f>
        <v>368707.59299999999</v>
      </c>
      <c r="I83" s="12">
        <f>SUM(Oct!I83, Nov!I83, Dec!I83)</f>
        <v>15412.406999999977</v>
      </c>
      <c r="J83" s="13">
        <f t="shared" si="5"/>
        <v>4.1801165185117242E-2</v>
      </c>
    </row>
    <row r="84" spans="1:10" ht="15.6">
      <c r="A84" s="26" t="str">
        <v>Cafferty Hill</v>
      </c>
      <c r="B84" s="27" t="str">
        <v>NY</v>
      </c>
      <c r="C84" s="27" t="str">
        <f>Sites[[#This Row],[SOL'#]]</f>
        <v>SOL-10996</v>
      </c>
      <c r="D84" s="9">
        <f>SUM(Oct!D84, Nov!D84, Dec!D84)</f>
        <v>1105130</v>
      </c>
      <c r="E84" s="14">
        <f>SUM(Oct!E84, Nov!E84, Dec!E84)</f>
        <v>1118384.6200000001</v>
      </c>
      <c r="F84" s="14">
        <f t="shared" si="3"/>
        <v>-13254.620000000112</v>
      </c>
      <c r="G84" s="15">
        <f t="shared" si="4"/>
        <v>-1.1851575712834919E-2</v>
      </c>
      <c r="H84" s="16">
        <f>SUM(Oct!H84,Nov!H84,Dec!H84)</f>
        <v>1033507.723</v>
      </c>
      <c r="I84" s="16">
        <f>SUM(Oct!I84, Nov!I84, Dec!I84)</f>
        <v>71622.27700000006</v>
      </c>
      <c r="J84" s="15">
        <f t="shared" si="5"/>
        <v>6.9300185577810203E-2</v>
      </c>
    </row>
    <row r="85" spans="1:10" ht="15.6">
      <c r="A85" s="24" t="str">
        <v>Dunkleman</v>
      </c>
      <c r="B85" s="25" t="str">
        <v>NY</v>
      </c>
      <c r="C85" s="25" t="str">
        <f>Sites[[#This Row],[SOL'#]]</f>
        <v>SOL-11008</v>
      </c>
      <c r="D85" s="20">
        <f>SUM(Oct!D85, Nov!D85, Dec!D85)</f>
        <v>1076430</v>
      </c>
      <c r="E85" s="10">
        <f>SUM(Oct!E85, Nov!E85, Dec!E85)</f>
        <v>285870</v>
      </c>
      <c r="F85" s="10">
        <f t="shared" si="3"/>
        <v>790560</v>
      </c>
      <c r="G85" s="11">
        <f t="shared" si="4"/>
        <v>2.7654528282086264</v>
      </c>
      <c r="H85" s="12">
        <f>SUM(Oct!H85,Nov!H85,Dec!H85)</f>
        <v>1064700.5079999999</v>
      </c>
      <c r="I85" s="12">
        <f>SUM(Oct!I85, Nov!I85, Dec!I85)</f>
        <v>11729.491999999969</v>
      </c>
      <c r="J85" s="13">
        <f t="shared" si="5"/>
        <v>1.1016705554159434E-2</v>
      </c>
    </row>
    <row r="86" spans="1:10" ht="15.6">
      <c r="A86" s="26" t="str">
        <v>Route 19 1</v>
      </c>
      <c r="B86" s="27" t="str">
        <v>NY</v>
      </c>
      <c r="C86" s="27" t="str">
        <f>Sites[[#This Row],[SOL'#]]</f>
        <v>SOL-11001</v>
      </c>
      <c r="D86" s="9">
        <f>SUM(Oct!D86, Nov!D86, Dec!D86)</f>
        <v>208038.3</v>
      </c>
      <c r="E86" s="14">
        <f>SUM(Oct!E86, Nov!E86, Dec!E86)</f>
        <v>204419.77000000002</v>
      </c>
      <c r="F86" s="14">
        <f t="shared" si="3"/>
        <v>3618.5299999999697</v>
      </c>
      <c r="G86" s="15">
        <f t="shared" si="4"/>
        <v>1.7701467915749877E-2</v>
      </c>
      <c r="H86" s="16">
        <f>SUM(Oct!H86,Nov!H86,Dec!H86)</f>
        <v>385941.05599999998</v>
      </c>
      <c r="I86" s="16">
        <f>SUM(Oct!I86, Nov!I86, Dec!I86)</f>
        <v>-177902.75599999999</v>
      </c>
      <c r="J86" s="15">
        <f t="shared" si="5"/>
        <v>-0.46095835940294466</v>
      </c>
    </row>
    <row r="87" spans="1:10" ht="15.6">
      <c r="A87" s="24" t="str">
        <v>Route 19 2</v>
      </c>
      <c r="B87" s="25" t="str">
        <v>NY</v>
      </c>
      <c r="C87" s="25" t="str">
        <f>Sites[[#This Row],[SOL'#]]</f>
        <v>SOL-11002</v>
      </c>
      <c r="D87" s="20">
        <f>SUM(Oct!D87, Nov!D87, Dec!D87)</f>
        <v>995440</v>
      </c>
      <c r="E87" s="10">
        <f>SUM(Oct!E87, Nov!E87, Dec!E87)</f>
        <v>986100</v>
      </c>
      <c r="F87" s="10">
        <f t="shared" si="3"/>
        <v>9340</v>
      </c>
      <c r="G87" s="11">
        <f t="shared" si="4"/>
        <v>9.4716560186593659E-3</v>
      </c>
      <c r="H87" s="12">
        <f>SUM(Oct!H87,Nov!H87,Dec!H87)</f>
        <v>987848.54399999999</v>
      </c>
      <c r="I87" s="12">
        <f>SUM(Oct!I87, Nov!I87, Dec!I87)</f>
        <v>7591.4560000000056</v>
      </c>
      <c r="J87" s="13">
        <f t="shared" si="5"/>
        <v>7.6848379704652437E-3</v>
      </c>
    </row>
    <row r="88" spans="1:10" ht="15.6">
      <c r="A88" s="26" t="str">
        <v>Yellow Mills 1</v>
      </c>
      <c r="B88" s="27" t="str">
        <v>NY</v>
      </c>
      <c r="C88" s="27" t="str">
        <f>Sites[[#This Row],[SOL'#]]</f>
        <v>SOL-11006</v>
      </c>
      <c r="D88" s="9">
        <f>SUM(Oct!D88, Nov!D88, Dec!D88)</f>
        <v>388582</v>
      </c>
      <c r="E88" s="14">
        <f>SUM(Oct!E88, Nov!E88, Dec!E88)</f>
        <v>383633</v>
      </c>
      <c r="F88" s="14">
        <f t="shared" si="3"/>
        <v>4949</v>
      </c>
      <c r="G88" s="15">
        <f t="shared" si="4"/>
        <v>1.2900350074159418E-2</v>
      </c>
      <c r="H88" s="16">
        <f>SUM(Oct!H88,Nov!H88,Dec!H88)</f>
        <v>386424.83299999998</v>
      </c>
      <c r="I88" s="16">
        <f>SUM(Oct!I88, Nov!I88, Dec!I88)</f>
        <v>2157.1670000000158</v>
      </c>
      <c r="J88" s="15">
        <f t="shared" si="5"/>
        <v>5.5823715656493945E-3</v>
      </c>
    </row>
    <row r="89" spans="1:10" ht="15.6">
      <c r="A89" s="24" t="str">
        <v>Yellow Mills 2</v>
      </c>
      <c r="B89" s="25" t="str">
        <v>NY</v>
      </c>
      <c r="C89" s="25" t="str">
        <f>Sites[[#This Row],[SOL'#]]</f>
        <v>SOL-11005</v>
      </c>
      <c r="D89" s="20">
        <f>SUM(Oct!D89, Nov!D89, Dec!D89)</f>
        <v>295280</v>
      </c>
      <c r="E89" s="10">
        <f>SUM(Oct!E89, Nov!E89, Dec!E89)</f>
        <v>0</v>
      </c>
      <c r="F89" s="10">
        <f t="shared" si="3"/>
        <v>295280</v>
      </c>
      <c r="G89" s="11" t="str">
        <f t="shared" si="4"/>
        <v/>
      </c>
      <c r="H89" s="12">
        <f>SUM(Oct!H89,Nov!H89,Dec!H89)</f>
        <v>400070.10199999996</v>
      </c>
      <c r="I89" s="12">
        <f>SUM(Oct!I89, Nov!I89, Dec!I89)</f>
        <v>-104790.10199999998</v>
      </c>
      <c r="J89" s="13">
        <f t="shared" si="5"/>
        <v>-0.26192935057166555</v>
      </c>
    </row>
    <row r="90" spans="1:10" ht="15.6">
      <c r="A90" s="26" t="str">
        <v>Yellow Mills 3</v>
      </c>
      <c r="B90" s="27" t="str">
        <v>NY</v>
      </c>
      <c r="C90" s="27" t="str">
        <f>Sites[[#This Row],[SOL'#]]</f>
        <v>SOL-11007</v>
      </c>
      <c r="D90" s="9">
        <f>SUM(Oct!D90, Nov!D90, Dec!D90)</f>
        <v>367730</v>
      </c>
      <c r="E90" s="14">
        <f>SUM(Oct!E90, Nov!E90, Dec!E90)</f>
        <v>363196</v>
      </c>
      <c r="F90" s="14">
        <f t="shared" si="3"/>
        <v>4534</v>
      </c>
      <c r="G90" s="15">
        <f t="shared" si="4"/>
        <v>1.2483617660987456E-2</v>
      </c>
      <c r="H90" s="16">
        <f>SUM(Oct!H90,Nov!H90,Dec!H90)</f>
        <v>378194.55</v>
      </c>
      <c r="I90" s="16">
        <f>SUM(Oct!I90, Nov!I90, Dec!I90)</f>
        <v>-10464.549999999988</v>
      </c>
      <c r="J90" s="15">
        <f t="shared" si="5"/>
        <v>-2.7669753569954905E-2</v>
      </c>
    </row>
    <row r="91" spans="1:10" ht="15.6">
      <c r="A91" s="24" t="str">
        <v>Catskill</v>
      </c>
      <c r="B91" s="25" t="str">
        <v>NY</v>
      </c>
      <c r="C91" s="25" t="str">
        <f>Sites[[#This Row],[SOL'#]]</f>
        <v>SOL-11021</v>
      </c>
      <c r="D91" s="20">
        <f>SUM(Oct!D91, Nov!D91, Dec!D91)</f>
        <v>753793</v>
      </c>
      <c r="E91" s="10">
        <f>SUM(Oct!E91, Nov!E91, Dec!E91)</f>
        <v>0</v>
      </c>
      <c r="F91" s="10">
        <f t="shared" si="3"/>
        <v>753793</v>
      </c>
      <c r="G91" s="11" t="str">
        <f t="shared" si="4"/>
        <v/>
      </c>
      <c r="H91" s="12">
        <f>SUM(Oct!H91,Nov!H91,Dec!H91)</f>
        <v>798275.98099999991</v>
      </c>
      <c r="I91" s="12">
        <f>SUM(Oct!I91, Nov!I91, Dec!I91)</f>
        <v>-44482.980999999971</v>
      </c>
      <c r="J91" s="13">
        <f t="shared" si="5"/>
        <v>-5.5723812389139107E-2</v>
      </c>
    </row>
    <row r="92" spans="1:10" ht="15.6">
      <c r="A92" s="26" t="str">
        <v>Eddy Ridge</v>
      </c>
      <c r="B92" s="27" t="str">
        <v>NY</v>
      </c>
      <c r="C92" s="27" t="str">
        <f>Sites[[#This Row],[SOL'#]]</f>
        <v>SOL-11054</v>
      </c>
      <c r="D92" s="9">
        <f>SUM(Oct!D92, Nov!D92, Dec!D92)</f>
        <v>414754</v>
      </c>
      <c r="E92" s="14">
        <f>SUM(Oct!E92, Nov!E92, Dec!E92)</f>
        <v>409588</v>
      </c>
      <c r="F92" s="14">
        <f t="shared" si="3"/>
        <v>5166</v>
      </c>
      <c r="G92" s="15">
        <f t="shared" si="4"/>
        <v>1.2612674199439436E-2</v>
      </c>
      <c r="H92" s="16">
        <f>SUM(Oct!H92,Nov!H92,Dec!H92)</f>
        <v>472769.27500000002</v>
      </c>
      <c r="I92" s="16">
        <f>SUM(Oct!I92, Nov!I92, Dec!I92)</f>
        <v>-58015.274999999994</v>
      </c>
      <c r="J92" s="15">
        <f t="shared" si="5"/>
        <v>-0.12271371696056177</v>
      </c>
    </row>
    <row r="93" spans="1:10" ht="15.6">
      <c r="A93" s="24" t="str">
        <v>Ridgeway #1</v>
      </c>
      <c r="B93" s="25" t="str">
        <v>NY</v>
      </c>
      <c r="C93" s="25" t="str">
        <f>Sites[[#This Row],[SOL'#]]</f>
        <v>SOL-11018</v>
      </c>
      <c r="D93" s="20">
        <f>SUM(Oct!D93, Nov!D93, Dec!D93)</f>
        <v>1121741</v>
      </c>
      <c r="E93" s="10">
        <f>SUM(Oct!E93, Nov!E93, Dec!E93)</f>
        <v>1105375</v>
      </c>
      <c r="F93" s="10">
        <f t="shared" si="3"/>
        <v>16366</v>
      </c>
      <c r="G93" s="11">
        <f t="shared" si="4"/>
        <v>1.4805835123826756E-2</v>
      </c>
      <c r="H93" s="12">
        <f>SUM(Oct!H93,Nov!H93,Dec!H93)</f>
        <v>1049744.4300000002</v>
      </c>
      <c r="I93" s="12">
        <f>SUM(Oct!I93, Nov!I93, Dec!I93)</f>
        <v>71996.569999999949</v>
      </c>
      <c r="J93" s="13">
        <f t="shared" si="5"/>
        <v>6.8584855458580465E-2</v>
      </c>
    </row>
    <row r="94" spans="1:10" ht="15.6">
      <c r="A94" s="26" t="str">
        <v>Rivard 1</v>
      </c>
      <c r="B94" s="27" t="str">
        <v>NY</v>
      </c>
      <c r="C94" s="27" t="str">
        <f>Sites[[#This Row],[SOL'#]]</f>
        <v>SOL-11011</v>
      </c>
      <c r="D94" s="9">
        <f>SUM(Oct!D94, Nov!D94, Dec!D94)</f>
        <v>830806</v>
      </c>
      <c r="E94" s="14">
        <f>SUM(Oct!E94, Nov!E94, Dec!E94)</f>
        <v>875083.6</v>
      </c>
      <c r="F94" s="14">
        <f t="shared" si="3"/>
        <v>-44277.599999999977</v>
      </c>
      <c r="G94" s="15">
        <f t="shared" si="4"/>
        <v>-5.0598137137983133E-2</v>
      </c>
      <c r="H94" s="16">
        <f>SUM(Oct!H94,Nov!H94,Dec!H94)</f>
        <v>789799.89999999991</v>
      </c>
      <c r="I94" s="16">
        <f>SUM(Oct!I94, Nov!I94, Dec!I94)</f>
        <v>41006.100000000006</v>
      </c>
      <c r="J94" s="15">
        <f t="shared" si="5"/>
        <v>5.1919606472474879E-2</v>
      </c>
    </row>
    <row r="95" spans="1:10" ht="15.6">
      <c r="A95" s="24" t="str">
        <v>Rivard 2</v>
      </c>
      <c r="B95" s="25" t="str">
        <v>NY</v>
      </c>
      <c r="C95" s="25" t="str">
        <f>Sites[[#This Row],[SOL'#]]</f>
        <v>SOL-11012</v>
      </c>
      <c r="D95" s="20">
        <f>SUM(Oct!D95, Nov!D95, Dec!D95)</f>
        <v>797261</v>
      </c>
      <c r="E95" s="10">
        <f>SUM(Oct!E95, Nov!E95, Dec!E95)</f>
        <v>788083.1</v>
      </c>
      <c r="F95" s="10">
        <f t="shared" si="3"/>
        <v>9177.9000000000233</v>
      </c>
      <c r="G95" s="11">
        <f t="shared" si="4"/>
        <v>1.1645853083259904E-2</v>
      </c>
      <c r="H95" s="12">
        <f>SUM(Oct!H95,Nov!H95,Dec!H95)</f>
        <v>752331.5</v>
      </c>
      <c r="I95" s="12">
        <f>SUM(Oct!I95, Nov!I95, Dec!I95)</f>
        <v>44929.500000000029</v>
      </c>
      <c r="J95" s="13">
        <f t="shared" si="5"/>
        <v>5.9720349340682967E-2</v>
      </c>
    </row>
    <row r="96" spans="1:10" ht="15.6">
      <c r="A96" s="24" t="str">
        <v>Ridgeway #2</v>
      </c>
      <c r="B96" s="25" t="str">
        <v>NY</v>
      </c>
      <c r="C96" s="25" t="str">
        <f>Sites[[#This Row],[SOL'#]]</f>
        <v>SOL-11027</v>
      </c>
      <c r="D96" s="20">
        <f>SUM(Oct!D96, Nov!D96, Dec!D96)</f>
        <v>565002</v>
      </c>
      <c r="E96" s="10">
        <f>SUM(Oct!E96, Nov!E96, Dec!E96)</f>
        <v>558577</v>
      </c>
      <c r="F96" s="10">
        <f t="shared" si="3"/>
        <v>6425</v>
      </c>
      <c r="G96" s="11">
        <f t="shared" si="4"/>
        <v>1.150244281450901E-2</v>
      </c>
      <c r="H96" s="12">
        <f>SUM(Oct!H96,Nov!H96,Dec!H96)</f>
        <v>543466.99</v>
      </c>
      <c r="I96" s="12">
        <f>SUM(Oct!I96, Nov!I96, Dec!I96)</f>
        <v>21535.00999999998</v>
      </c>
      <c r="J96" s="13">
        <f t="shared" si="5"/>
        <v>3.9625240164080582E-2</v>
      </c>
    </row>
    <row r="97" spans="1:10" ht="15.6">
      <c r="A97" s="26" t="str">
        <v>Spencer</v>
      </c>
      <c r="B97" s="27" t="str">
        <v>NY</v>
      </c>
      <c r="C97" s="27" t="str">
        <f>Sites[[#This Row],[SOL'#]]</f>
        <v>SOL-11017</v>
      </c>
      <c r="D97" s="9">
        <f>SUM(Oct!D97, Nov!D97, Dec!D97)</f>
        <v>1131270.9300000002</v>
      </c>
      <c r="E97" s="14">
        <f>SUM(Oct!E97, Nov!E97, Dec!E97)</f>
        <v>1099878.24</v>
      </c>
      <c r="F97" s="14">
        <f t="shared" si="3"/>
        <v>31392.690000000177</v>
      </c>
      <c r="G97" s="15">
        <f t="shared" si="4"/>
        <v>2.8541968427341718E-2</v>
      </c>
      <c r="H97" s="16">
        <f>SUM(Oct!H97,Nov!H97,Dec!H97)</f>
        <v>1070620</v>
      </c>
      <c r="I97" s="16">
        <f>SUM(Oct!I97, Nov!I97, Dec!I97)</f>
        <v>60650.930000000051</v>
      </c>
      <c r="J97" s="15">
        <f t="shared" si="5"/>
        <v>5.6650286749733846E-2</v>
      </c>
    </row>
    <row r="98" spans="1:10" ht="15.6">
      <c r="A98" s="24" t="str">
        <v>Reisender</v>
      </c>
      <c r="B98" s="25" t="str">
        <v>NY</v>
      </c>
      <c r="C98" s="25" t="str">
        <f>Sites[[#This Row],[SOL'#]]</f>
        <v>SOL-10886</v>
      </c>
      <c r="D98" s="20">
        <f>SUM(Oct!D98, Nov!D98, Dec!D98)</f>
        <v>380150</v>
      </c>
      <c r="E98" s="10">
        <f>SUM(Oct!E98, Nov!E98, Dec!E98)</f>
        <v>379920</v>
      </c>
      <c r="F98" s="10">
        <f t="shared" si="3"/>
        <v>230</v>
      </c>
      <c r="G98" s="11">
        <f t="shared" si="4"/>
        <v>6.0539060854916823E-4</v>
      </c>
      <c r="H98" s="12">
        <f>SUM(Oct!H98,Nov!H98,Dec!H98)</f>
        <v>439219.68599999999</v>
      </c>
      <c r="I98" s="12">
        <f>SUM(Oct!I98, Nov!I98, Dec!I98)</f>
        <v>-59069.686000000016</v>
      </c>
      <c r="J98" s="13">
        <f t="shared" si="5"/>
        <v>-0.13448779251665877</v>
      </c>
    </row>
    <row r="99" spans="1:10" ht="15.6">
      <c r="A99" s="26" t="str">
        <v>Finney</v>
      </c>
      <c r="B99" s="27" t="str">
        <v>NY</v>
      </c>
      <c r="C99" s="27" t="str">
        <f>Sites[[#This Row],[SOL'#]]</f>
        <v>SOL-10999</v>
      </c>
      <c r="D99" s="9">
        <f>SUM(Oct!D99, Nov!D99, Dec!D99)</f>
        <v>859620</v>
      </c>
      <c r="E99" s="14">
        <f>SUM(Oct!E99, Nov!E99, Dec!E99)</f>
        <v>855300</v>
      </c>
      <c r="F99" s="14">
        <f t="shared" si="3"/>
        <v>4320</v>
      </c>
      <c r="G99" s="15">
        <f t="shared" si="4"/>
        <v>5.0508593475973342E-3</v>
      </c>
      <c r="H99" s="16">
        <f>SUM(Oct!H99,Nov!H99,Dec!H99)</f>
        <v>1053775.767</v>
      </c>
      <c r="I99" s="16">
        <f>SUM(Oct!I99, Nov!I99, Dec!I99)</f>
        <v>-194155.76699999999</v>
      </c>
      <c r="J99" s="15">
        <f t="shared" si="5"/>
        <v>-0.18424770532799697</v>
      </c>
    </row>
    <row r="100" spans="1:10" ht="15.6">
      <c r="A100" s="24" t="str">
        <v>Davis Solar</v>
      </c>
      <c r="B100" s="25" t="str">
        <v>NY</v>
      </c>
      <c r="C100" s="25" t="str">
        <f>Sites[[#This Row],[SOL'#]]</f>
        <v>SOL-10958</v>
      </c>
      <c r="D100" s="20">
        <f>SUM(Oct!D100, Nov!D100, Dec!D100)</f>
        <v>458102</v>
      </c>
      <c r="E100" s="10">
        <f>SUM(Oct!E100, Nov!E100, Dec!E100)</f>
        <v>512422.69999999995</v>
      </c>
      <c r="F100" s="10">
        <f t="shared" si="3"/>
        <v>-54320.699999999953</v>
      </c>
      <c r="G100" s="11">
        <f t="shared" si="4"/>
        <v>-0.10600759880465865</v>
      </c>
      <c r="H100" s="12">
        <f>SUM(Oct!H100,Nov!H100,Dec!H100)</f>
        <v>496583</v>
      </c>
      <c r="I100" s="12">
        <f>SUM(Oct!I100, Nov!I100, Dec!I100)</f>
        <v>-38481</v>
      </c>
      <c r="J100" s="13">
        <f t="shared" si="5"/>
        <v>-7.7491577440226514E-2</v>
      </c>
    </row>
    <row r="101" spans="1:10" ht="15.6">
      <c r="A101" s="26" t="str">
        <v>Genesee</v>
      </c>
      <c r="B101" s="27" t="str">
        <v>NY</v>
      </c>
      <c r="C101" s="27" t="str">
        <f>Sites[[#This Row],[SOL'#]]</f>
        <v>SOL-10951</v>
      </c>
      <c r="D101" s="9">
        <f>SUM(Oct!D101, Nov!D101, Dec!D101)</f>
        <v>525934.5</v>
      </c>
      <c r="E101" s="14">
        <f>SUM(Oct!E101, Nov!E101, Dec!E101)</f>
        <v>511194.23</v>
      </c>
      <c r="F101" s="14">
        <f t="shared" si="3"/>
        <v>14740.270000000019</v>
      </c>
      <c r="G101" s="15">
        <f t="shared" si="4"/>
        <v>2.8834969440089377E-2</v>
      </c>
      <c r="H101" s="16">
        <f>SUM(Oct!H101,Nov!H101,Dec!H101)</f>
        <v>682176.60800000001</v>
      </c>
      <c r="I101" s="16">
        <f>SUM(Oct!I101, Nov!I101, Dec!I101)</f>
        <v>-156242.10799999998</v>
      </c>
      <c r="J101" s="15">
        <f t="shared" si="5"/>
        <v>-0.22903469009010638</v>
      </c>
    </row>
    <row r="102" spans="1:10" ht="15.6">
      <c r="A102" s="24" t="str">
        <v>Landau I</v>
      </c>
      <c r="B102" s="25" t="str">
        <v>NY</v>
      </c>
      <c r="C102" s="25" t="str">
        <f>Sites[[#This Row],[SOL'#]]</f>
        <v>SOL-10891</v>
      </c>
      <c r="D102" s="20">
        <f>SUM(Oct!D102, Nov!D102, Dec!D102)</f>
        <v>423680</v>
      </c>
      <c r="E102" s="10">
        <f>SUM(Oct!E102, Nov!E102, Dec!E102)</f>
        <v>0</v>
      </c>
      <c r="F102" s="10">
        <f t="shared" ref="F102:F119" si="6">IF(AND(ISNUMBER(D102),ISNUMBER(E102)), D102-E102, "")</f>
        <v>423680</v>
      </c>
      <c r="G102" s="11" t="str">
        <f t="shared" ref="G102:G119" si="7">IFERROR(F102/E102, "")</f>
        <v/>
      </c>
      <c r="H102" s="12">
        <f>SUM(Oct!H102,Nov!H102,Dec!H102)</f>
        <v>476726.50900000002</v>
      </c>
      <c r="I102" s="12">
        <f>SUM(Oct!I102, Nov!I102, Dec!I102)</f>
        <v>-53046.50900000002</v>
      </c>
      <c r="J102" s="13">
        <f t="shared" si="5"/>
        <v>-0.11127241300525206</v>
      </c>
    </row>
    <row r="103" spans="1:10" ht="15.6">
      <c r="A103" s="26" t="str">
        <v>Landau II</v>
      </c>
      <c r="B103" s="27" t="str">
        <v>NY</v>
      </c>
      <c r="C103" s="27" t="str">
        <f>Sites[[#This Row],[SOL'#]]</f>
        <v>SOL-10895</v>
      </c>
      <c r="D103" s="9">
        <f>SUM(Oct!D103, Nov!D103, Dec!D103)</f>
        <v>843530</v>
      </c>
      <c r="E103" s="14">
        <f>SUM(Oct!E103, Nov!E103, Dec!E103)</f>
        <v>0</v>
      </c>
      <c r="F103" s="14">
        <f t="shared" si="6"/>
        <v>843530</v>
      </c>
      <c r="G103" s="15" t="str">
        <f t="shared" si="7"/>
        <v/>
      </c>
      <c r="H103" s="16">
        <f>SUM(Oct!H103,Nov!H103,Dec!H103)</f>
        <v>0</v>
      </c>
      <c r="I103" s="16">
        <f>SUM(Oct!I103, Nov!I103, Dec!I103)</f>
        <v>0</v>
      </c>
      <c r="J103" s="15" t="str">
        <f t="shared" si="5"/>
        <v/>
      </c>
    </row>
    <row r="104" spans="1:10" ht="15.6">
      <c r="A104" s="24" t="str">
        <v>New Beginnings</v>
      </c>
      <c r="B104" s="25" t="str">
        <v>NY</v>
      </c>
      <c r="C104" s="25" t="str">
        <f>Sites[[#This Row],[SOL'#]]</f>
        <v>SOL-10890</v>
      </c>
      <c r="D104" s="20">
        <f>SUM(Oct!D104, Nov!D104, Dec!D104)</f>
        <v>246230</v>
      </c>
      <c r="E104" s="10">
        <f>SUM(Oct!E104, Nov!E104, Dec!E104)</f>
        <v>246200</v>
      </c>
      <c r="F104" s="10">
        <f t="shared" si="6"/>
        <v>30</v>
      </c>
      <c r="G104" s="11">
        <f t="shared" si="7"/>
        <v>1.2185215272136474E-4</v>
      </c>
      <c r="H104" s="12">
        <f>SUM(Oct!H104,Nov!H104,Dec!H104)</f>
        <v>488465.136</v>
      </c>
      <c r="I104" s="12">
        <f>SUM(Oct!I104, Nov!I104, Dec!I104)</f>
        <v>-242235.136</v>
      </c>
      <c r="J104" s="13">
        <f t="shared" si="5"/>
        <v>-0.49591079925098275</v>
      </c>
    </row>
    <row r="105" spans="1:10" ht="15.6">
      <c r="A105" s="26" t="str">
        <v>Bullitt Farm Solar, LLC</v>
      </c>
      <c r="B105" s="27" t="str">
        <v>NY</v>
      </c>
      <c r="C105" s="27" t="str">
        <f>Sites[[#This Row],[SOL'#]]</f>
        <v>SOL-10998</v>
      </c>
      <c r="D105" s="9">
        <f>SUM(Oct!D105, Nov!D105, Dec!D105)</f>
        <v>899311</v>
      </c>
      <c r="E105" s="14">
        <f>SUM(Oct!E105, Nov!E105, Dec!E105)</f>
        <v>1006827.4</v>
      </c>
      <c r="F105" s="14">
        <f t="shared" si="6"/>
        <v>-107516.40000000002</v>
      </c>
      <c r="G105" s="15">
        <f t="shared" si="7"/>
        <v>-0.10678732024972704</v>
      </c>
      <c r="H105" s="16">
        <f>SUM(Oct!H105,Nov!H105,Dec!H105)</f>
        <v>897408.4</v>
      </c>
      <c r="I105" s="16">
        <f>SUM(Oct!I105, Nov!I105, Dec!I105)</f>
        <v>1902.5999999999185</v>
      </c>
      <c r="J105" s="15">
        <f t="shared" si="5"/>
        <v>2.1201049600158839E-3</v>
      </c>
    </row>
    <row r="106" spans="1:10" ht="15.6">
      <c r="A106" s="24" t="str">
        <v>Brodhead Solar, LLC</v>
      </c>
      <c r="B106" s="25" t="str">
        <v>NY</v>
      </c>
      <c r="C106" s="25" t="str">
        <f>Sites[[#This Row],[SOL'#]]</f>
        <v>SOL-10899</v>
      </c>
      <c r="D106" s="20">
        <f>SUM(Oct!D106, Nov!D106, Dec!D106)</f>
        <v>487454</v>
      </c>
      <c r="E106" s="10">
        <f>SUM(Oct!E106, Nov!E106, Dec!E106)</f>
        <v>541761.80000000005</v>
      </c>
      <c r="F106" s="10">
        <f t="shared" si="6"/>
        <v>-54307.800000000047</v>
      </c>
      <c r="G106" s="11">
        <f t="shared" si="7"/>
        <v>-0.10024294810006915</v>
      </c>
      <c r="H106" s="12">
        <f>SUM(Oct!H106,Nov!H106,Dec!H106)</f>
        <v>519537.9</v>
      </c>
      <c r="I106" s="12">
        <f>SUM(Oct!I106, Nov!I106, Dec!I106)</f>
        <v>-32083.900000000023</v>
      </c>
      <c r="J106" s="13">
        <f t="shared" si="5"/>
        <v>-6.1754686231745598E-2</v>
      </c>
    </row>
    <row r="107" spans="1:10" ht="15.6">
      <c r="A107" s="26" t="str">
        <v>Svenski</v>
      </c>
      <c r="B107" s="27" t="str">
        <v>NY</v>
      </c>
      <c r="C107" s="27" t="str">
        <f>Sites[[#This Row],[SOL'#]]</f>
        <v>SOL-10894</v>
      </c>
      <c r="D107" s="9">
        <f>SUM(Oct!D107, Nov!D107, Dec!D107)</f>
        <v>420966</v>
      </c>
      <c r="E107" s="14">
        <f>SUM(Oct!E107, Nov!E107, Dec!E107)</f>
        <v>0</v>
      </c>
      <c r="F107" s="14">
        <f t="shared" si="6"/>
        <v>420966</v>
      </c>
      <c r="G107" s="15" t="str">
        <f t="shared" si="7"/>
        <v/>
      </c>
      <c r="H107" s="16">
        <f>SUM(Oct!H107,Nov!H107,Dec!H107)</f>
        <v>455551.83999999997</v>
      </c>
      <c r="I107" s="16">
        <f>SUM(Oct!I107, Nov!I107, Dec!I107)</f>
        <v>-34585.839999999997</v>
      </c>
      <c r="J107" s="15">
        <f t="shared" si="5"/>
        <v>-7.5920755802457079E-2</v>
      </c>
    </row>
    <row r="108" spans="1:10" ht="15.6">
      <c r="A108" s="24" t="str">
        <v>Bantam</v>
      </c>
      <c r="B108" s="25" t="str">
        <v>NY</v>
      </c>
      <c r="C108" s="25" t="str">
        <f>Sites[[#This Row],[SOL'#]]</f>
        <v>SOL-10986</v>
      </c>
      <c r="D108" s="20">
        <f>SUM(Oct!D108, Nov!D108, Dec!D108)</f>
        <v>174480</v>
      </c>
      <c r="E108" s="10">
        <f>SUM(Oct!E108, Nov!E108, Dec!E108)</f>
        <v>668220</v>
      </c>
      <c r="F108" s="10">
        <f t="shared" si="6"/>
        <v>-493740</v>
      </c>
      <c r="G108" s="11">
        <f t="shared" si="7"/>
        <v>-0.73888839005118079</v>
      </c>
      <c r="H108" s="12">
        <f>SUM(Oct!H108,Nov!H108,Dec!H108)</f>
        <v>957483.55900000001</v>
      </c>
      <c r="I108" s="12">
        <f>SUM(Oct!I108, Nov!I108, Dec!I108)</f>
        <v>-783003.55900000001</v>
      </c>
      <c r="J108" s="13">
        <f t="shared" si="5"/>
        <v>-0.81777232793195143</v>
      </c>
    </row>
    <row r="109" spans="1:10" ht="15.6">
      <c r="A109" s="26" t="str">
        <v>Bogart</v>
      </c>
      <c r="B109" s="27" t="str">
        <v>NY</v>
      </c>
      <c r="C109" s="27" t="str">
        <f>Sites[[#This Row],[SOL'#]]</f>
        <v>SOL-10887</v>
      </c>
      <c r="D109" s="9">
        <f>SUM(Oct!D109, Nov!D109, Dec!D109)</f>
        <v>445180</v>
      </c>
      <c r="E109" s="14">
        <f>SUM(Oct!E109, Nov!E109, Dec!E109)</f>
        <v>371480</v>
      </c>
      <c r="F109" s="14">
        <f t="shared" si="6"/>
        <v>73700</v>
      </c>
      <c r="G109" s="15">
        <f t="shared" si="7"/>
        <v>0.19839560676214063</v>
      </c>
      <c r="H109" s="16">
        <f>SUM(Oct!H109,Nov!H109,Dec!H109)</f>
        <v>465152.68200000003</v>
      </c>
      <c r="I109" s="16">
        <f>SUM(Oct!I109, Nov!I109, Dec!I109)</f>
        <v>-19972.682000000001</v>
      </c>
      <c r="J109" s="15">
        <f t="shared" si="5"/>
        <v>-4.2937905708990406E-2</v>
      </c>
    </row>
    <row r="110" spans="1:10" ht="15.6">
      <c r="A110" s="24" t="str">
        <v>Dubois</v>
      </c>
      <c r="B110" s="25" t="str">
        <v>NY</v>
      </c>
      <c r="C110" s="25" t="str">
        <f>Sites[[#This Row],[SOL'#]]</f>
        <v>SOL-10892</v>
      </c>
      <c r="D110" s="20">
        <f>SUM(Oct!D110, Nov!D110, Dec!D110)</f>
        <v>0</v>
      </c>
      <c r="E110" s="10">
        <f>SUM(Oct!E110, Nov!E110, Dec!E110)</f>
        <v>0</v>
      </c>
      <c r="F110" s="10">
        <f t="shared" si="6"/>
        <v>0</v>
      </c>
      <c r="G110" s="11" t="str">
        <f t="shared" si="7"/>
        <v/>
      </c>
      <c r="H110" s="12">
        <f>SUM(Oct!H110,Nov!H110,Dec!H110)</f>
        <v>0</v>
      </c>
      <c r="I110" s="12">
        <f>SUM(Oct!I110, Nov!I110, Dec!I110)</f>
        <v>0</v>
      </c>
      <c r="J110" s="13" t="str">
        <f t="shared" si="5"/>
        <v/>
      </c>
    </row>
    <row r="111" spans="1:10" ht="15.6">
      <c r="A111" s="26" t="str">
        <v>Salt Point</v>
      </c>
      <c r="B111" s="27" t="str">
        <v>NY</v>
      </c>
      <c r="C111" s="27" t="str">
        <f>Sites[[#This Row],[SOL'#]]</f>
        <v>SOL-10888</v>
      </c>
      <c r="D111" s="9">
        <f>SUM(Oct!D111, Nov!D111, Dec!D111)</f>
        <v>411030</v>
      </c>
      <c r="E111" s="14">
        <f>SUM(Oct!E111, Nov!E111, Dec!E111)</f>
        <v>403070</v>
      </c>
      <c r="F111" s="14">
        <f t="shared" si="6"/>
        <v>7960</v>
      </c>
      <c r="G111" s="15">
        <f t="shared" si="7"/>
        <v>1.9748430793658671E-2</v>
      </c>
      <c r="H111" s="16">
        <f>SUM(Oct!H111,Nov!H111,Dec!H111)</f>
        <v>430763.59399999998</v>
      </c>
      <c r="I111" s="16">
        <f>SUM(Oct!I111, Nov!I111, Dec!I111)</f>
        <v>-19733.593999999983</v>
      </c>
      <c r="J111" s="15">
        <f t="shared" si="5"/>
        <v>-4.5810728378313195E-2</v>
      </c>
    </row>
    <row r="112" spans="1:10" ht="15.6">
      <c r="A112" s="24" t="str">
        <v>Wheatland 2A</v>
      </c>
      <c r="B112" s="25" t="str">
        <v>NY</v>
      </c>
      <c r="C112" s="25" t="str">
        <f>Sites[[#This Row],[SOL'#]]</f>
        <v>SOL-10971</v>
      </c>
      <c r="D112" s="20">
        <f>SUM(Oct!D112, Nov!D112, Dec!D112)</f>
        <v>836480</v>
      </c>
      <c r="E112" s="10">
        <f>SUM(Oct!E112, Nov!E112, Dec!E112)</f>
        <v>832410</v>
      </c>
      <c r="F112" s="10">
        <f t="shared" si="6"/>
        <v>4070</v>
      </c>
      <c r="G112" s="11">
        <f t="shared" si="7"/>
        <v>4.8894174745618144E-3</v>
      </c>
      <c r="H112" s="12">
        <f>SUM(Oct!H112,Nov!H112,Dec!H112)</f>
        <v>813106.56200000003</v>
      </c>
      <c r="I112" s="12">
        <f>SUM(Oct!I112, Nov!I112, Dec!I112)</f>
        <v>23373.437999999966</v>
      </c>
      <c r="J112" s="13">
        <f t="shared" si="5"/>
        <v>2.8745848443909084E-2</v>
      </c>
    </row>
    <row r="113" spans="1:10" ht="15.6">
      <c r="A113" s="26" t="str">
        <v>Wheatland 2B</v>
      </c>
      <c r="B113" s="27" t="str">
        <v>NY</v>
      </c>
      <c r="C113" s="27" t="str">
        <f>Sites[[#This Row],[SOL'#]]</f>
        <v>SOL-10961</v>
      </c>
      <c r="D113" s="9">
        <f>SUM(Oct!D113, Nov!D113, Dec!D113)</f>
        <v>872140</v>
      </c>
      <c r="E113" s="14">
        <f>SUM(Oct!E113, Nov!E113, Dec!E113)</f>
        <v>686950</v>
      </c>
      <c r="F113" s="14">
        <f t="shared" si="6"/>
        <v>185190</v>
      </c>
      <c r="G113" s="15">
        <f t="shared" si="7"/>
        <v>0.26958293907853553</v>
      </c>
      <c r="H113" s="16">
        <f>SUM(Oct!H113,Nov!H113,Dec!H113)</f>
        <v>802378.85499999998</v>
      </c>
      <c r="I113" s="16">
        <f>SUM(Oct!I113, Nov!I113, Dec!I113)</f>
        <v>69761.14499999996</v>
      </c>
      <c r="J113" s="15">
        <f t="shared" si="5"/>
        <v>8.6942900557866729E-2</v>
      </c>
    </row>
    <row r="114" spans="1:10" ht="15.6">
      <c r="A114" s="24" t="str">
        <v>Brickchurch</v>
      </c>
      <c r="B114" s="25" t="str">
        <v>NY</v>
      </c>
      <c r="C114" s="25" t="str">
        <f>Sites[[#This Row],[SOL'#]]</f>
        <v>SOL-10889</v>
      </c>
      <c r="D114" s="20">
        <f>SUM(Oct!D114, Nov!D114, Dec!D114)</f>
        <v>121220</v>
      </c>
      <c r="E114" s="10">
        <f>SUM(Oct!E114, Nov!E114, Dec!E114)</f>
        <v>121970</v>
      </c>
      <c r="F114" s="10">
        <f t="shared" si="6"/>
        <v>-750</v>
      </c>
      <c r="G114" s="11">
        <f t="shared" si="7"/>
        <v>-6.1490530458309422E-3</v>
      </c>
      <c r="H114" s="12">
        <f>SUM(Oct!H114,Nov!H114,Dec!H114)</f>
        <v>348660.24099999998</v>
      </c>
      <c r="I114" s="12">
        <f>SUM(Oct!I114, Nov!I114, Dec!I114)</f>
        <v>-227440.24099999998</v>
      </c>
      <c r="J114" s="13">
        <f t="shared" si="5"/>
        <v>-0.65232628861746234</v>
      </c>
    </row>
    <row r="115" spans="1:10" ht="15.6">
      <c r="A115" s="26" t="str">
        <v>McCarthy Solar</v>
      </c>
      <c r="B115" s="27" t="str">
        <v>NY</v>
      </c>
      <c r="C115" s="27" t="str">
        <f>Sites[[#This Row],[SOL'#]]</f>
        <v>SOL-10992</v>
      </c>
      <c r="D115" s="9">
        <f>SUM(Oct!D115, Nov!D115, Dec!D115)</f>
        <v>116560</v>
      </c>
      <c r="E115" s="14">
        <f>SUM(Oct!E115, Nov!E115, Dec!E115)</f>
        <v>0</v>
      </c>
      <c r="F115" s="14">
        <f t="shared" si="6"/>
        <v>116560</v>
      </c>
      <c r="G115" s="15" t="str">
        <f t="shared" si="7"/>
        <v/>
      </c>
      <c r="H115" s="16">
        <f>SUM(Oct!H115,Nov!H115,Dec!H115)</f>
        <v>484236.33</v>
      </c>
      <c r="I115" s="16">
        <f>SUM(Oct!I115, Nov!I115, Dec!I115)</f>
        <v>-367676.33</v>
      </c>
      <c r="J115" s="15">
        <f t="shared" si="5"/>
        <v>-0.75929108829979775</v>
      </c>
    </row>
    <row r="116" spans="1:10" ht="15.6">
      <c r="A116" s="24" t="str">
        <v>Costanza</v>
      </c>
      <c r="B116" s="25" t="str">
        <v>NY</v>
      </c>
      <c r="C116" s="25" t="str">
        <f>Sites[[#This Row],[SOL'#]]</f>
        <v>SOL-10907</v>
      </c>
      <c r="D116" s="20">
        <f>SUM(Oct!D116, Nov!D116, Dec!D116)</f>
        <v>450300</v>
      </c>
      <c r="E116" s="10">
        <f>SUM(Oct!E116, Nov!E116, Dec!E116)</f>
        <v>450420.95</v>
      </c>
      <c r="F116" s="10">
        <f t="shared" si="6"/>
        <v>-120.95000000001164</v>
      </c>
      <c r="G116" s="11">
        <f t="shared" si="7"/>
        <v>-2.6852658607467447E-4</v>
      </c>
      <c r="H116" s="12">
        <f>SUM(Oct!H116,Nov!H116,Dec!H116)</f>
        <v>450040.80099999998</v>
      </c>
      <c r="I116" s="12">
        <f>SUM(Oct!I116, Nov!I116, Dec!I116)</f>
        <v>259.19899999999325</v>
      </c>
      <c r="J116" s="13">
        <f t="shared" si="5"/>
        <v>5.7594555743400977E-4</v>
      </c>
    </row>
    <row r="117" spans="1:10" ht="15.6">
      <c r="A117" s="26" t="str">
        <v>Lockenhurst Pond</v>
      </c>
      <c r="B117" s="27" t="str">
        <v>NY</v>
      </c>
      <c r="C117" s="27" t="str">
        <f>Sites[[#This Row],[SOL'#]]</f>
        <v>SOL-11000</v>
      </c>
      <c r="D117" s="9">
        <f>SUM(Oct!D117, Nov!D117, Dec!D117)</f>
        <v>481199</v>
      </c>
      <c r="E117" s="14">
        <f>SUM(Oct!E117, Nov!E117, Dec!E117)</f>
        <v>523450.10000000003</v>
      </c>
      <c r="F117" s="14">
        <f t="shared" si="6"/>
        <v>-42251.100000000035</v>
      </c>
      <c r="G117" s="15">
        <f t="shared" si="7"/>
        <v>-8.071657642247089E-2</v>
      </c>
      <c r="H117" s="16">
        <f>SUM(Oct!H117,Nov!H117,Dec!H117)</f>
        <v>474036</v>
      </c>
      <c r="I117" s="16">
        <f>SUM(Oct!I117, Nov!I117, Dec!I117)</f>
        <v>7163</v>
      </c>
      <c r="J117" s="15">
        <f t="shared" si="5"/>
        <v>1.5110666700419377E-2</v>
      </c>
    </row>
    <row r="118" spans="1:10" ht="15.6">
      <c r="A118" s="24" t="str">
        <v>Drinkwater</v>
      </c>
      <c r="B118" s="25" t="str">
        <v>NY</v>
      </c>
      <c r="C118" s="25" t="str">
        <f>Sites[[#This Row],[SOL'#]]</f>
        <v>SOL-10896</v>
      </c>
      <c r="D118" s="20">
        <f>SUM(Oct!D118, Nov!D118, Dec!D118)</f>
        <v>471510</v>
      </c>
      <c r="E118" s="10">
        <f>SUM(Oct!E118, Nov!E118, Dec!E118)</f>
        <v>469120</v>
      </c>
      <c r="F118" s="10">
        <f t="shared" si="6"/>
        <v>2390</v>
      </c>
      <c r="G118" s="11">
        <f t="shared" si="7"/>
        <v>5.0946452933151431E-3</v>
      </c>
      <c r="H118" s="12">
        <f>SUM(Oct!H118,Nov!H118,Dec!H118)</f>
        <v>436074.84499999997</v>
      </c>
      <c r="I118" s="12">
        <f>SUM(Oct!I118, Nov!I118, Dec!I118)</f>
        <v>35435.154999999999</v>
      </c>
      <c r="J118" s="13">
        <f t="shared" si="5"/>
        <v>8.1259342074638585E-2</v>
      </c>
    </row>
    <row r="119" spans="1:10" ht="15.6">
      <c r="A119" s="26" t="str">
        <v>Altamont</v>
      </c>
      <c r="B119" s="27" t="str">
        <v>NY</v>
      </c>
      <c r="C119" s="27" t="str">
        <f>Sites[[#This Row],[SOL'#]]</f>
        <v>SOL-11085</v>
      </c>
      <c r="D119" s="9">
        <f>SUM(Oct!D119, Nov!D119, Dec!D119)</f>
        <v>933593</v>
      </c>
      <c r="E119" s="14">
        <f>SUM(Oct!E119, Nov!E119, Dec!E119)</f>
        <v>1049543</v>
      </c>
      <c r="F119" s="14">
        <f t="shared" si="6"/>
        <v>-115950</v>
      </c>
      <c r="G119" s="15">
        <f t="shared" si="7"/>
        <v>-0.11047665507749563</v>
      </c>
      <c r="H119" s="16">
        <f>SUM(Oct!H119,Nov!H119,Dec!H119)</f>
        <v>755863.5</v>
      </c>
      <c r="I119" s="16">
        <f>SUM(Oct!I119, Nov!I119, Dec!I119)</f>
        <v>177729.5</v>
      </c>
      <c r="J119" s="15">
        <f t="shared" si="5"/>
        <v>0.23513438603663228</v>
      </c>
    </row>
    <row r="120" spans="1:10" ht="15.6">
      <c r="A120" s="24" t="str">
        <v>Krumkill North</v>
      </c>
      <c r="B120" s="25" t="str">
        <v>NY</v>
      </c>
      <c r="C120" s="25" t="str">
        <f>Sites[[#This Row],[SOL'#]]</f>
        <v>SOL-11086</v>
      </c>
      <c r="D120" s="20">
        <f>SUM(Oct!D120, Nov!D120, Dec!D120)</f>
        <v>747798</v>
      </c>
      <c r="E120" s="10">
        <f>SUM(Oct!E120, Nov!E120, Dec!E120)</f>
        <v>935498</v>
      </c>
      <c r="F120" s="10">
        <f t="shared" ref="F120:F143" si="8">IF(AND(ISNUMBER(D120),ISNUMBER(E120)), D120-E120, "")</f>
        <v>-187700</v>
      </c>
      <c r="G120" s="11">
        <f t="shared" ref="G120:G171" si="9">IFERROR(F120/E120, "")</f>
        <v>-0.20064179720320086</v>
      </c>
      <c r="H120" s="12">
        <f>SUM(Oct!H120,Nov!H120,Dec!H120)</f>
        <v>950194.10000000009</v>
      </c>
      <c r="I120" s="12">
        <f>SUM(Oct!I120, Nov!I120, Dec!I120)</f>
        <v>-202396.10000000003</v>
      </c>
      <c r="J120" s="13">
        <f t="shared" si="5"/>
        <v>-0.21300500602982067</v>
      </c>
    </row>
    <row r="121" spans="1:10" ht="15.6">
      <c r="A121" s="26" t="str">
        <v>Krumkill South</v>
      </c>
      <c r="B121" s="27" t="str">
        <v>NY</v>
      </c>
      <c r="C121" s="27" t="str">
        <f>Sites[[#This Row],[SOL'#]]</f>
        <v>SOL-11087</v>
      </c>
      <c r="D121" s="9">
        <f>SUM(Oct!D121, Nov!D121, Dec!D121)</f>
        <v>685705</v>
      </c>
      <c r="E121" s="14">
        <f>SUM(Oct!E121, Nov!E121, Dec!E121)</f>
        <v>783814.4</v>
      </c>
      <c r="F121" s="14">
        <f t="shared" si="8"/>
        <v>-98109.400000000023</v>
      </c>
      <c r="G121" s="15">
        <f t="shared" si="9"/>
        <v>-0.12516917270210909</v>
      </c>
      <c r="H121" s="16">
        <f>SUM(Oct!H121,Nov!H121,Dec!H121)</f>
        <v>744922.5</v>
      </c>
      <c r="I121" s="16">
        <f>SUM(Oct!I121, Nov!I121, Dec!I121)</f>
        <v>-59217.5</v>
      </c>
      <c r="J121" s="15">
        <f t="shared" si="5"/>
        <v>-7.9494846779362957E-2</v>
      </c>
    </row>
    <row r="122" spans="1:10" ht="15.6">
      <c r="A122" s="24" t="str">
        <v>X092</v>
      </c>
      <c r="B122" s="25" t="str">
        <v>NY</v>
      </c>
      <c r="C122" s="25" t="str">
        <f>Sites[[#This Row],[SOL'#]]</f>
        <v>SOL-11189</v>
      </c>
      <c r="D122" s="20">
        <f>SUM(Oct!D122, Nov!D122, Dec!D122)</f>
        <v>19922.499999999989</v>
      </c>
      <c r="E122" s="10">
        <f>SUM(Oct!E122, Nov!E122, Dec!E122)</f>
        <v>20772.510999999999</v>
      </c>
      <c r="F122" s="10">
        <f t="shared" si="8"/>
        <v>-850.01100000000952</v>
      </c>
      <c r="G122" s="11">
        <f t="shared" si="9"/>
        <v>-4.0919992773141851E-2</v>
      </c>
      <c r="H122" s="12">
        <f>SUM(Oct!H122,Nov!H122,Dec!H122)</f>
        <v>20982</v>
      </c>
      <c r="I122" s="12">
        <f>SUM(Oct!I122, Nov!I122, Dec!I122)</f>
        <v>-1059.50000000001</v>
      </c>
      <c r="J122" s="13">
        <f t="shared" si="5"/>
        <v>-5.0495662949195025E-2</v>
      </c>
    </row>
    <row r="123" spans="1:10" ht="15.6">
      <c r="A123" s="26" t="str">
        <v>X093</v>
      </c>
      <c r="B123" s="27" t="str">
        <v>NY</v>
      </c>
      <c r="C123" s="27" t="str">
        <f>Sites[[#This Row],[SOL'#]]</f>
        <v>SOL-10932</v>
      </c>
      <c r="D123" s="9">
        <f>SUM(Oct!D123, Nov!D123, Dec!D123)</f>
        <v>15118.1171875</v>
      </c>
      <c r="E123" s="14">
        <f>SUM(Oct!E123, Nov!E123, Dec!E123)</f>
        <v>15232.619999999999</v>
      </c>
      <c r="F123" s="14">
        <f t="shared" si="8"/>
        <v>-114.50281249999898</v>
      </c>
      <c r="G123" s="15">
        <f t="shared" si="9"/>
        <v>-7.5169480036920101E-3</v>
      </c>
      <c r="H123" s="16">
        <f>SUM(Oct!H123,Nov!H123,Dec!H123)</f>
        <v>14607</v>
      </c>
      <c r="I123" s="16">
        <f>SUM(Oct!I123, Nov!I123, Dec!I123)</f>
        <v>511.1171875</v>
      </c>
      <c r="J123" s="15">
        <f t="shared" si="5"/>
        <v>3.4991249914424594E-2</v>
      </c>
    </row>
    <row r="124" spans="1:10" ht="15.6">
      <c r="A124" s="24" t="str">
        <v>X095</v>
      </c>
      <c r="B124" s="25" t="str">
        <v>NY</v>
      </c>
      <c r="C124" s="25" t="str">
        <f>Sites[[#This Row],[SOL'#]]</f>
        <v>SOL-10929</v>
      </c>
      <c r="D124" s="20">
        <f>SUM(Oct!D124, Nov!D124, Dec!D124)</f>
        <v>20019.328125</v>
      </c>
      <c r="E124" s="10">
        <f>SUM(Oct!E124, Nov!E124, Dec!E124)</f>
        <v>24627.184999999998</v>
      </c>
      <c r="F124" s="10">
        <f t="shared" si="8"/>
        <v>-4607.8568749999977</v>
      </c>
      <c r="G124" s="11">
        <f t="shared" si="9"/>
        <v>-0.18710448940875696</v>
      </c>
      <c r="H124" s="12">
        <f>SUM(Oct!H124,Nov!H124,Dec!H124)</f>
        <v>20031</v>
      </c>
      <c r="I124" s="12">
        <f>SUM(Oct!I124, Nov!I124, Dec!I124)</f>
        <v>-11.671875</v>
      </c>
      <c r="J124" s="13">
        <f t="shared" si="5"/>
        <v>-5.8269057960161753E-4</v>
      </c>
    </row>
    <row r="125" spans="1:10" ht="15.6">
      <c r="A125" s="26" t="str">
        <v>X181</v>
      </c>
      <c r="B125" s="27" t="str">
        <v>NY</v>
      </c>
      <c r="C125" s="27" t="str">
        <f>Sites[[#This Row],[SOL'#]]</f>
        <v>SOL-10428</v>
      </c>
      <c r="D125" s="9">
        <f>SUM(Oct!D125, Nov!D125, Dec!D125)</f>
        <v>37315.484375</v>
      </c>
      <c r="E125" s="14">
        <f>SUM(Oct!E125, Nov!E125, Dec!E125)</f>
        <v>36385.899999999994</v>
      </c>
      <c r="F125" s="14">
        <f t="shared" si="8"/>
        <v>929.58437500000582</v>
      </c>
      <c r="G125" s="15">
        <f t="shared" si="9"/>
        <v>2.5547928593218965E-2</v>
      </c>
      <c r="H125" s="16">
        <f>SUM(Oct!H125,Nov!H125,Dec!H125)</f>
        <v>34957</v>
      </c>
      <c r="I125" s="16">
        <f>SUM(Oct!I125, Nov!I125, Dec!I125)</f>
        <v>2358.484375</v>
      </c>
      <c r="J125" s="15">
        <f t="shared" si="5"/>
        <v>6.7468157307549279E-2</v>
      </c>
    </row>
    <row r="126" spans="1:10" ht="15.6">
      <c r="A126" s="24" t="str">
        <v>X415</v>
      </c>
      <c r="B126" s="25" t="str">
        <v>NY</v>
      </c>
      <c r="C126" s="25" t="str">
        <f>Sites[[#This Row],[SOL'#]]</f>
        <v>SOL-10429</v>
      </c>
      <c r="D126" s="20">
        <f>SUM(Oct!D126, Nov!D126, Dec!D126)</f>
        <v>22904.40625</v>
      </c>
      <c r="E126" s="10">
        <f>SUM(Oct!E126, Nov!E126, Dec!E126)</f>
        <v>20318.206999999999</v>
      </c>
      <c r="F126" s="10">
        <f t="shared" si="8"/>
        <v>2586.1992500000015</v>
      </c>
      <c r="G126" s="11">
        <f t="shared" si="9"/>
        <v>0.12728481651948922</v>
      </c>
      <c r="H126" s="12">
        <f>SUM(Oct!H126,Nov!H126,Dec!H126)</f>
        <v>19220</v>
      </c>
      <c r="I126" s="12">
        <f>SUM(Oct!I126, Nov!I126, Dec!I126)</f>
        <v>3684.40625</v>
      </c>
      <c r="J126" s="13">
        <f t="shared" si="5"/>
        <v>0.19169647502601456</v>
      </c>
    </row>
    <row r="127" spans="1:10" ht="15.6">
      <c r="A127" s="26" t="str">
        <v>K198</v>
      </c>
      <c r="B127" s="27" t="str">
        <v>NY</v>
      </c>
      <c r="C127" s="27" t="str">
        <f>Sites[[#This Row],[SOL'#]]</f>
        <v>SOL-10930</v>
      </c>
      <c r="D127" s="9">
        <f>SUM(Oct!D127, Nov!D127, Dec!D127)</f>
        <v>17506.71875</v>
      </c>
      <c r="E127" s="14">
        <f>SUM(Oct!E127, Nov!E127, Dec!E127)</f>
        <v>18306.188000000002</v>
      </c>
      <c r="F127" s="14">
        <f t="shared" si="8"/>
        <v>-799.46925000000192</v>
      </c>
      <c r="G127" s="15">
        <f t="shared" si="9"/>
        <v>-4.3672076895528544E-2</v>
      </c>
      <c r="H127" s="16">
        <f>SUM(Oct!H127,Nov!H127,Dec!H127)</f>
        <v>17567</v>
      </c>
      <c r="I127" s="16">
        <f>SUM(Oct!I127, Nov!I127, Dec!I127)</f>
        <v>-60.28125</v>
      </c>
      <c r="J127" s="15">
        <f t="shared" si="5"/>
        <v>-3.4315050947799851E-3</v>
      </c>
    </row>
    <row r="128" spans="1:10" ht="15.6">
      <c r="A128" s="24" t="str">
        <v>K203</v>
      </c>
      <c r="B128" s="25" t="str">
        <v>NY</v>
      </c>
      <c r="C128" s="25" t="str">
        <f>Sites[[#This Row],[SOL'#]]</f>
        <v>SOL-11190</v>
      </c>
      <c r="D128" s="20">
        <f>SUM(Oct!D128, Nov!D128, Dec!D128)</f>
        <v>22429.899999999991</v>
      </c>
      <c r="E128" s="10">
        <f>SUM(Oct!E128, Nov!E128, Dec!E128)</f>
        <v>20295.646999999997</v>
      </c>
      <c r="F128" s="10">
        <f t="shared" si="8"/>
        <v>2134.2529999999933</v>
      </c>
      <c r="G128" s="11">
        <f t="shared" si="9"/>
        <v>0.10515816519670418</v>
      </c>
      <c r="H128" s="12">
        <f>SUM(Oct!H128,Nov!H128,Dec!H128)</f>
        <v>23865</v>
      </c>
      <c r="I128" s="12">
        <f>SUM(Oct!I128, Nov!I128, Dec!I128)</f>
        <v>-1435.1000000000095</v>
      </c>
      <c r="J128" s="13">
        <f t="shared" si="5"/>
        <v>-6.0134087575948438E-2</v>
      </c>
    </row>
    <row r="129" spans="1:10" ht="15.6">
      <c r="A129" s="26" t="str">
        <v>K213</v>
      </c>
      <c r="B129" s="27" t="str">
        <v>NY</v>
      </c>
      <c r="C129" s="27" t="str">
        <f>Sites[[#This Row],[SOL'#]]</f>
        <v>SOL-11191</v>
      </c>
      <c r="D129" s="9">
        <f>SUM(Oct!D129, Nov!D129, Dec!D129)</f>
        <v>24163.000000000022</v>
      </c>
      <c r="E129" s="14">
        <f>SUM(Oct!E129, Nov!E129, Dec!E129)</f>
        <v>28239.58</v>
      </c>
      <c r="F129" s="14">
        <f t="shared" si="8"/>
        <v>-4076.5799999999799</v>
      </c>
      <c r="G129" s="15">
        <f t="shared" si="9"/>
        <v>-0.14435696281601851</v>
      </c>
      <c r="H129" s="16">
        <f>SUM(Oct!H129,Nov!H129,Dec!H129)</f>
        <v>25004</v>
      </c>
      <c r="I129" s="16">
        <f>SUM(Oct!I129, Nov!I129, Dec!I129)</f>
        <v>-840.99999999997999</v>
      </c>
      <c r="J129" s="15">
        <f t="shared" si="5"/>
        <v>-3.3634618461045429E-2</v>
      </c>
    </row>
    <row r="130" spans="1:10" ht="15.6">
      <c r="A130" s="24" t="str">
        <v>K217</v>
      </c>
      <c r="B130" s="25" t="str">
        <v>NY</v>
      </c>
      <c r="C130" s="25" t="str">
        <f>Sites[[#This Row],[SOL'#]]</f>
        <v>SOL-10933</v>
      </c>
      <c r="D130" s="20">
        <f>SUM(Oct!D130, Nov!D130, Dec!D130)</f>
        <v>12264.5859375</v>
      </c>
      <c r="E130" s="10">
        <f>SUM(Oct!E130, Nov!E130, Dec!E130)</f>
        <v>13977.763999999999</v>
      </c>
      <c r="F130" s="10">
        <f t="shared" si="8"/>
        <v>-1713.1780624999992</v>
      </c>
      <c r="G130" s="11">
        <f t="shared" si="9"/>
        <v>-0.12256452909778698</v>
      </c>
      <c r="H130" s="12">
        <f>SUM(Oct!H130,Nov!H130,Dec!H130)</f>
        <v>11865</v>
      </c>
      <c r="I130" s="12">
        <f>SUM(Oct!I130, Nov!I130, Dec!I130)</f>
        <v>399.5859375</v>
      </c>
      <c r="J130" s="13">
        <f t="shared" si="5"/>
        <v>3.3677702275600505E-2</v>
      </c>
    </row>
    <row r="131" spans="1:10" ht="15.6">
      <c r="A131" s="26" t="str">
        <v>K307</v>
      </c>
      <c r="B131" s="27" t="str">
        <v>NY</v>
      </c>
      <c r="C131" s="27" t="str">
        <f>Sites[[#This Row],[SOL'#]]</f>
        <v>SOL-10876</v>
      </c>
      <c r="D131" s="9">
        <f>SUM(Oct!D131, Nov!D131, Dec!D131)</f>
        <v>27697.734375</v>
      </c>
      <c r="E131" s="14">
        <f>SUM(Oct!E131, Nov!E131, Dec!E131)</f>
        <v>39604.21</v>
      </c>
      <c r="F131" s="14">
        <f t="shared" si="8"/>
        <v>-11906.475624999999</v>
      </c>
      <c r="G131" s="15">
        <f t="shared" si="9"/>
        <v>-0.3006366147689854</v>
      </c>
      <c r="H131" s="16">
        <f>SUM(Oct!H131,Nov!H131,Dec!H131)</f>
        <v>23865</v>
      </c>
      <c r="I131" s="16">
        <f>SUM(Oct!I131, Nov!I131, Dec!I131)</f>
        <v>3832.734375</v>
      </c>
      <c r="J131" s="15">
        <f t="shared" si="5"/>
        <v>0.16060064424890005</v>
      </c>
    </row>
    <row r="132" spans="1:10" ht="15.6">
      <c r="A132" s="24" t="str">
        <v>K610</v>
      </c>
      <c r="B132" s="25" t="str">
        <v>NY</v>
      </c>
      <c r="C132" s="25" t="str">
        <f>Sites[[#This Row],[SOL'#]]</f>
        <v>SOL-11158</v>
      </c>
      <c r="D132" s="20">
        <f>SUM(Oct!D132, Nov!D132, Dec!D132)</f>
        <v>32111.399999999998</v>
      </c>
      <c r="E132" s="10">
        <f>SUM(Oct!E132, Nov!E132, Dec!E132)</f>
        <v>33683.770000000004</v>
      </c>
      <c r="F132" s="10">
        <f t="shared" si="8"/>
        <v>-1572.3700000000063</v>
      </c>
      <c r="G132" s="11">
        <f t="shared" si="9"/>
        <v>-4.6680344866385386E-2</v>
      </c>
      <c r="H132" s="12">
        <f>SUM(Oct!H132,Nov!H132,Dec!H132)</f>
        <v>32056</v>
      </c>
      <c r="I132" s="12">
        <f>SUM(Oct!I132, Nov!I132, Dec!I132)</f>
        <v>55.399999999997817</v>
      </c>
      <c r="J132" s="13">
        <f t="shared" ref="J132:J171" si="10">IFERROR(I132/H132, "")</f>
        <v>1.7282256051908479E-3</v>
      </c>
    </row>
    <row r="133" spans="1:10" ht="15.6">
      <c r="A133" s="26" t="str">
        <v>M025</v>
      </c>
      <c r="B133" s="27" t="str">
        <v>NY</v>
      </c>
      <c r="C133" s="27" t="str">
        <f>Sites[[#This Row],[SOL'#]]</f>
        <v>SOL-10392</v>
      </c>
      <c r="D133" s="9">
        <f>SUM(Oct!D133, Nov!D133, Dec!D133)</f>
        <v>25110.5703125</v>
      </c>
      <c r="E133" s="14">
        <f>SUM(Oct!E133, Nov!E133, Dec!E133)</f>
        <v>33862.5</v>
      </c>
      <c r="F133" s="14">
        <f t="shared" si="8"/>
        <v>-8751.9296875</v>
      </c>
      <c r="G133" s="15">
        <f t="shared" si="9"/>
        <v>-0.25845491878922111</v>
      </c>
      <c r="H133" s="16">
        <f>SUM(Oct!H133,Nov!H133,Dec!H133)</f>
        <v>29686</v>
      </c>
      <c r="I133" s="16">
        <f>SUM(Oct!I133, Nov!I133, Dec!I133)</f>
        <v>-4575.4296875</v>
      </c>
      <c r="J133" s="15">
        <f t="shared" si="10"/>
        <v>-0.15412752433807181</v>
      </c>
    </row>
    <row r="134" spans="1:10" ht="15.6">
      <c r="A134" s="24" t="str">
        <v>M028</v>
      </c>
      <c r="B134" s="25" t="str">
        <v>NY</v>
      </c>
      <c r="C134" s="25" t="str">
        <f>Sites[[#This Row],[SOL'#]]</f>
        <v>SOL-10381</v>
      </c>
      <c r="D134" s="20">
        <f>SUM(Oct!D134, Nov!D134, Dec!D134)</f>
        <v>22170.8125</v>
      </c>
      <c r="E134" s="10">
        <f>SUM(Oct!E134, Nov!E134, Dec!E134)</f>
        <v>22112.404000000002</v>
      </c>
      <c r="F134" s="10">
        <f t="shared" si="8"/>
        <v>58.40849999999773</v>
      </c>
      <c r="G134" s="11">
        <f t="shared" si="9"/>
        <v>2.6414360012596426E-3</v>
      </c>
      <c r="H134" s="12">
        <f>SUM(Oct!H134,Nov!H134,Dec!H134)</f>
        <v>20453</v>
      </c>
      <c r="I134" s="12">
        <f>SUM(Oct!I134, Nov!I134, Dec!I134)</f>
        <v>1717.8125</v>
      </c>
      <c r="J134" s="13">
        <f t="shared" si="10"/>
        <v>8.3988290226372664E-2</v>
      </c>
    </row>
    <row r="135" spans="1:10" ht="15.6">
      <c r="A135" s="26" t="str">
        <v>Q030</v>
      </c>
      <c r="B135" s="27" t="str">
        <v>NY</v>
      </c>
      <c r="C135" s="27" t="str">
        <f>Sites[[#This Row],[SOL'#]]</f>
        <v>SOL-10878</v>
      </c>
      <c r="D135" s="9">
        <f>SUM(Oct!D135, Nov!D135, Dec!D135)</f>
        <v>26781.265625</v>
      </c>
      <c r="E135" s="14">
        <f>SUM(Oct!E135, Nov!E135, Dec!E135)</f>
        <v>27852.65</v>
      </c>
      <c r="F135" s="14">
        <f t="shared" si="8"/>
        <v>-1071.3843750000015</v>
      </c>
      <c r="G135" s="15">
        <f t="shared" si="9"/>
        <v>-3.846615582359314E-2</v>
      </c>
      <c r="H135" s="16">
        <f>SUM(Oct!H135,Nov!H135,Dec!H135)</f>
        <v>25745</v>
      </c>
      <c r="I135" s="16">
        <f>SUM(Oct!I135, Nov!I135, Dec!I135)</f>
        <v>1036.265625</v>
      </c>
      <c r="J135" s="15">
        <f t="shared" si="10"/>
        <v>4.025114099825209E-2</v>
      </c>
    </row>
    <row r="136" spans="1:10" ht="15.6">
      <c r="A136" s="24" t="str">
        <v>Q130</v>
      </c>
      <c r="B136" s="25" t="str">
        <v>NY</v>
      </c>
      <c r="C136" s="25" t="str">
        <f>Sites[[#This Row],[SOL'#]]</f>
        <v>SOL-10877</v>
      </c>
      <c r="D136" s="20">
        <f>SUM(Oct!D136, Nov!D136, Dec!D136)</f>
        <v>13844.91437344527</v>
      </c>
      <c r="E136" s="10">
        <f>SUM(Oct!E136, Nov!E136, Dec!E136)</f>
        <v>16300.133</v>
      </c>
      <c r="F136" s="10">
        <f t="shared" si="8"/>
        <v>-2455.2186265547298</v>
      </c>
      <c r="G136" s="11">
        <f t="shared" si="9"/>
        <v>-0.15062568057295789</v>
      </c>
      <c r="H136" s="12">
        <f>SUM(Oct!H136,Nov!H136,Dec!H136)</f>
        <v>13705.593000000001</v>
      </c>
      <c r="I136" s="12">
        <f>SUM(Oct!I136, Nov!I136, Dec!I136)</f>
        <v>139.32137344527018</v>
      </c>
      <c r="J136" s="13">
        <f t="shared" si="10"/>
        <v>1.0165293354710751E-2</v>
      </c>
    </row>
    <row r="137" spans="1:10" ht="15.6">
      <c r="A137" s="26" t="str">
        <v>Q196</v>
      </c>
      <c r="B137" s="27" t="str">
        <v>NY</v>
      </c>
      <c r="C137" s="27" t="str">
        <f>Sites[[#This Row],[SOL'#]]</f>
        <v>SOL-10879</v>
      </c>
      <c r="D137" s="9">
        <f>SUM(Oct!D137, Nov!D137, Dec!D137)</f>
        <v>18434.765625</v>
      </c>
      <c r="E137" s="14">
        <f>SUM(Oct!E137, Nov!E137, Dec!E137)</f>
        <v>21058.147000000001</v>
      </c>
      <c r="F137" s="14">
        <f t="shared" si="8"/>
        <v>-2623.3813750000008</v>
      </c>
      <c r="G137" s="15">
        <f t="shared" si="9"/>
        <v>-0.12457797806236232</v>
      </c>
      <c r="H137" s="16">
        <f>SUM(Oct!H137,Nov!H137,Dec!H137)</f>
        <v>18001</v>
      </c>
      <c r="I137" s="16">
        <f>SUM(Oct!I137, Nov!I137, Dec!I137)</f>
        <v>433.765625</v>
      </c>
      <c r="J137" s="15">
        <f t="shared" si="10"/>
        <v>2.4096751569357259E-2</v>
      </c>
    </row>
    <row r="138" spans="1:10" ht="15.6">
      <c r="A138" s="24" t="str">
        <v>Q220</v>
      </c>
      <c r="B138" s="25" t="str">
        <v>NY</v>
      </c>
      <c r="C138" s="25" t="str">
        <f>Sites[[#This Row],[SOL'#]]</f>
        <v>SOL-10873</v>
      </c>
      <c r="D138" s="20">
        <f>SUM(Oct!D138, Nov!D138, Dec!D138)</f>
        <v>18989.0625</v>
      </c>
      <c r="E138" s="10">
        <f>SUM(Oct!E138, Nov!E138, Dec!E138)</f>
        <v>27790.229999999996</v>
      </c>
      <c r="F138" s="10">
        <f t="shared" si="8"/>
        <v>-8801.1674999999959</v>
      </c>
      <c r="G138" s="11">
        <f t="shared" si="9"/>
        <v>-0.3167000596972388</v>
      </c>
      <c r="H138" s="12">
        <f>SUM(Oct!H138,Nov!H138,Dec!H138)</f>
        <v>19211</v>
      </c>
      <c r="I138" s="12">
        <f>SUM(Oct!I138, Nov!I138, Dec!I138)</f>
        <v>-221.9375</v>
      </c>
      <c r="J138" s="13">
        <f t="shared" si="10"/>
        <v>-1.155262609963042E-2</v>
      </c>
    </row>
    <row r="139" spans="1:10" ht="15.6">
      <c r="A139" s="26" t="str">
        <v>Q205</v>
      </c>
      <c r="B139" s="27" t="str">
        <v>NY</v>
      </c>
      <c r="C139" s="27" t="str">
        <f>Sites[[#This Row],[SOL'#]]</f>
        <v>SOL-10922</v>
      </c>
      <c r="D139" s="9">
        <f>SUM(Oct!D139, Nov!D139, Dec!D139)</f>
        <v>28500.640625</v>
      </c>
      <c r="E139" s="14">
        <f>SUM(Oct!E139, Nov!E139, Dec!E139)</f>
        <v>35715.660000000003</v>
      </c>
      <c r="F139" s="14">
        <f t="shared" si="8"/>
        <v>-7215.0193750000035</v>
      </c>
      <c r="G139" s="15">
        <f t="shared" si="9"/>
        <v>-0.2020127690486471</v>
      </c>
      <c r="H139" s="16">
        <f>SUM(Oct!H139,Nov!H139,Dec!H139)</f>
        <v>26042</v>
      </c>
      <c r="I139" s="16">
        <f>SUM(Oct!I139, Nov!I139, Dec!I139)</f>
        <v>2458.640625</v>
      </c>
      <c r="J139" s="15">
        <f t="shared" si="10"/>
        <v>9.4410591544428227E-2</v>
      </c>
    </row>
    <row r="140" spans="1:10" ht="15.6">
      <c r="A140" s="24" t="str">
        <v>Q400</v>
      </c>
      <c r="B140" s="25" t="str">
        <v>NY</v>
      </c>
      <c r="C140" s="25" t="str">
        <f>Sites[[#This Row],[SOL'#]]</f>
        <v>SOL-10871</v>
      </c>
      <c r="D140" s="20">
        <f>SUM(Oct!D140, Nov!D140, Dec!D140)</f>
        <v>28272.09375</v>
      </c>
      <c r="E140" s="10">
        <f>SUM(Oct!E140, Nov!E140, Dec!E140)</f>
        <v>0</v>
      </c>
      <c r="F140" s="10">
        <f t="shared" si="8"/>
        <v>28272.09375</v>
      </c>
      <c r="G140" s="11" t="str">
        <f t="shared" si="9"/>
        <v/>
      </c>
      <c r="H140" s="12">
        <f>SUM(Oct!H140,Nov!H140,Dec!H140)</f>
        <v>39005</v>
      </c>
      <c r="I140" s="12">
        <f>SUM(Oct!I140, Nov!I140, Dec!I140)</f>
        <v>-10732.90625</v>
      </c>
      <c r="J140" s="13">
        <f t="shared" si="10"/>
        <v>-0.27516744648122038</v>
      </c>
    </row>
    <row r="141" spans="1:10" ht="15.6">
      <c r="A141" s="26" t="str">
        <v>R003</v>
      </c>
      <c r="B141" s="27" t="str">
        <v>NY</v>
      </c>
      <c r="C141" s="27" t="str">
        <f>Sites[[#This Row],[SOL'#]]</f>
        <v>SOL-10416</v>
      </c>
      <c r="D141" s="9">
        <f>SUM(Oct!D141, Nov!D141, Dec!D141)</f>
        <v>42455.675528606895</v>
      </c>
      <c r="E141" s="14">
        <f>SUM(Oct!E141, Nov!E141, Dec!E141)</f>
        <v>41078.949999999997</v>
      </c>
      <c r="F141" s="14">
        <f t="shared" si="8"/>
        <v>1376.7255286068976</v>
      </c>
      <c r="G141" s="15">
        <f t="shared" si="9"/>
        <v>3.3514136281645408E-2</v>
      </c>
      <c r="H141" s="16">
        <f>SUM(Oct!H141,Nov!H141,Dec!H141)</f>
        <v>39374</v>
      </c>
      <c r="I141" s="16">
        <f>SUM(Oct!I141, Nov!I141, Dec!I141)</f>
        <v>3081.6755286068983</v>
      </c>
      <c r="J141" s="15">
        <f t="shared" si="10"/>
        <v>7.8266763057014743E-2</v>
      </c>
    </row>
    <row r="142" spans="1:10" ht="15.6">
      <c r="A142" s="24" t="str">
        <v>R007</v>
      </c>
      <c r="B142" s="25" t="str">
        <v>NY</v>
      </c>
      <c r="C142" s="25" t="str">
        <f>Sites[[#This Row],[SOL'#]]</f>
        <v>SOL-10417</v>
      </c>
      <c r="D142" s="20">
        <f>SUM(Oct!D142, Nov!D142, Dec!D142)</f>
        <v>44602.15625</v>
      </c>
      <c r="E142" s="10">
        <f>SUM(Oct!E142, Nov!E142, Dec!E142)</f>
        <v>47591.59</v>
      </c>
      <c r="F142" s="10">
        <f t="shared" si="8"/>
        <v>-2989.4337499999965</v>
      </c>
      <c r="G142" s="11">
        <f t="shared" si="9"/>
        <v>-6.2814328119737056E-2</v>
      </c>
      <c r="H142" s="12">
        <f>SUM(Oct!H142,Nov!H142,Dec!H142)</f>
        <v>52286.92</v>
      </c>
      <c r="I142" s="12">
        <f>SUM(Oct!I142, Nov!I142, Dec!I142)</f>
        <v>-7684.7637500000019</v>
      </c>
      <c r="J142" s="13">
        <f t="shared" si="10"/>
        <v>-0.14697296666164314</v>
      </c>
    </row>
    <row r="143" spans="1:10" ht="15.6">
      <c r="A143" s="26" t="str">
        <v>BK16</v>
      </c>
      <c r="B143" s="27" t="str">
        <v>NY</v>
      </c>
      <c r="C143" s="27" t="str">
        <f>Sites[[#This Row],[SOL'#]]</f>
        <v>SOL-11093</v>
      </c>
      <c r="D143" s="9">
        <f>SUM(Oct!D143, Nov!D143, Dec!D143)</f>
        <v>43095.28125</v>
      </c>
      <c r="E143" s="14">
        <f>SUM(Oct!E143, Nov!E143, Dec!E143)</f>
        <v>44979.880000000005</v>
      </c>
      <c r="F143" s="14">
        <f t="shared" si="8"/>
        <v>-1884.5987500000047</v>
      </c>
      <c r="G143" s="15">
        <f t="shared" si="9"/>
        <v>-4.1898705599036822E-2</v>
      </c>
      <c r="H143" s="16">
        <f>SUM(Oct!H143,Nov!H143,Dec!H143)</f>
        <v>41902</v>
      </c>
      <c r="I143" s="16">
        <f>SUM(Oct!I143, Nov!I143, Dec!I143)</f>
        <v>1193.28125</v>
      </c>
      <c r="J143" s="15">
        <f t="shared" si="10"/>
        <v>2.8477906782492481E-2</v>
      </c>
    </row>
    <row r="144" spans="1:10" ht="15.6">
      <c r="A144" s="24" t="str">
        <v>Trenton - Trenton East</v>
      </c>
      <c r="B144" s="25" t="str">
        <v>IL</v>
      </c>
      <c r="C144" s="25" t="str">
        <f>Sites[[#This Row],[SOL'#]]</f>
        <v>SOL-11060</v>
      </c>
      <c r="D144" s="20">
        <f>SUM(Oct!D144, Nov!D144, Dec!D144)</f>
        <v>616104</v>
      </c>
      <c r="E144" s="10">
        <f>SUM(Oct!E144, Nov!E144, Dec!E144)</f>
        <v>602722.39999999991</v>
      </c>
      <c r="F144" s="10">
        <f>IF(AND(ISNUMBER(D144),ISNUMBER(E144)), D144-E144, "")</f>
        <v>13381.600000000093</v>
      </c>
      <c r="G144" s="11">
        <f t="shared" si="9"/>
        <v>2.2201929113635225E-2</v>
      </c>
      <c r="H144" s="12">
        <f>SUM(Oct!H144,Nov!H144,Dec!H144)</f>
        <v>555425</v>
      </c>
      <c r="I144" s="12">
        <f>SUM(Oct!I144, Nov!I144, Dec!I144)</f>
        <v>60679</v>
      </c>
      <c r="J144" s="13">
        <f t="shared" si="10"/>
        <v>0.1092478732502138</v>
      </c>
    </row>
    <row r="145" spans="1:10" ht="15.6">
      <c r="A145" s="26" t="str">
        <v>Trenton - Trenton West</v>
      </c>
      <c r="B145" s="27" t="str">
        <v>IL</v>
      </c>
      <c r="C145" s="27" t="str">
        <f>Sites[[#This Row],[SOL'#]]</f>
        <v>SOL-11061</v>
      </c>
      <c r="D145" s="9">
        <f>SUM(Oct!D145, Nov!D145, Dec!D145)</f>
        <v>526994</v>
      </c>
      <c r="E145" s="14">
        <f>SUM(Oct!E145, Nov!E145, Dec!E145)</f>
        <v>478785.5</v>
      </c>
      <c r="F145" s="14">
        <f>IF(AND(ISNUMBER(D145),ISNUMBER(E145)), D145-E145, "")</f>
        <v>48208.5</v>
      </c>
      <c r="G145" s="15">
        <f t="shared" si="9"/>
        <v>0.10068913949983865</v>
      </c>
      <c r="H145" s="16">
        <f>SUM(Oct!H145,Nov!H145,Dec!H145)</f>
        <v>568825</v>
      </c>
      <c r="I145" s="16">
        <f>SUM(Oct!I145, Nov!I145, Dec!I145)</f>
        <v>-41831</v>
      </c>
      <c r="J145" s="15">
        <f t="shared" si="10"/>
        <v>-7.3539313497121256E-2</v>
      </c>
    </row>
    <row r="146" spans="1:10" ht="15.6">
      <c r="A146" s="24" t="str">
        <v>Dakota - Dakota Solar 1</v>
      </c>
      <c r="B146" s="25" t="str">
        <v>IL</v>
      </c>
      <c r="C146" s="25" t="str">
        <f>Sites[[#This Row],[SOL'#]]</f>
        <v>SOL-11113</v>
      </c>
      <c r="D146" s="20">
        <f>SUM(Oct!D146, Nov!D146, Dec!D146)</f>
        <v>548548</v>
      </c>
      <c r="E146" s="10">
        <f>SUM(Oct!E146, Nov!E146, Dec!E146)</f>
        <v>547473.1</v>
      </c>
      <c r="F146" s="10">
        <f>IF(AND(ISNUMBER(D146),ISNUMBER(E146)), D146-E146, "")</f>
        <v>1074.9000000000233</v>
      </c>
      <c r="G146" s="11">
        <f t="shared" si="9"/>
        <v>1.9633841370471413E-3</v>
      </c>
      <c r="H146" s="12">
        <f>SUM(Oct!H146,Nov!H146,Dec!H146)</f>
        <v>475704</v>
      </c>
      <c r="I146" s="12">
        <f>SUM(Oct!I146, Nov!I146, Dec!I146)</f>
        <v>72844</v>
      </c>
      <c r="J146" s="13">
        <f t="shared" si="10"/>
        <v>0.15312883641928593</v>
      </c>
    </row>
    <row r="147" spans="1:10" ht="15.6">
      <c r="A147" s="26" t="str">
        <v>X018</v>
      </c>
      <c r="B147" s="27" t="str">
        <v>NY</v>
      </c>
      <c r="C147" s="27" t="str">
        <f>Sites[[#This Row],[SOL'#]]</f>
        <v>SOL-10418</v>
      </c>
      <c r="D147" s="9">
        <f>SUM(Oct!D147, Nov!D147, Dec!D147)</f>
        <v>21074.46875</v>
      </c>
      <c r="E147" s="14">
        <f>SUM(Oct!E147, Nov!E147, Dec!E147)</f>
        <v>21672.545999999998</v>
      </c>
      <c r="F147" s="14">
        <f>IF(AND(ISNUMBER(D147),ISNUMBER(E147)), D147-E147, "")</f>
        <v>-598.07724999999846</v>
      </c>
      <c r="G147" s="15">
        <f t="shared" si="9"/>
        <v>-2.7596077082960097E-2</v>
      </c>
      <c r="H147" s="16">
        <f>SUM(Oct!H147,Nov!H147,Dec!H147)</f>
        <v>23130</v>
      </c>
      <c r="I147" s="16">
        <f>SUM(Oct!I147, Nov!I147, Dec!I147)</f>
        <v>-2055.53125</v>
      </c>
      <c r="J147" s="15">
        <f t="shared" si="10"/>
        <v>-8.8868623000432342E-2</v>
      </c>
    </row>
    <row r="148" spans="1:10" ht="15.6">
      <c r="A148" s="24" t="str">
        <v>Janiak Solar</v>
      </c>
      <c r="B148" s="25" t="str">
        <v>NY</v>
      </c>
      <c r="C148" s="25" t="str">
        <f>Sites[[#This Row],[SOL'#]]</f>
        <v>SOL-10898</v>
      </c>
      <c r="D148" s="20">
        <f>SUM(Oct!D148, Nov!D148, Dec!D148)</f>
        <v>450123.643887677</v>
      </c>
      <c r="E148" s="10">
        <f>SUM(Oct!E148, Nov!E148, Dec!E148)</f>
        <v>465998</v>
      </c>
      <c r="F148" s="10">
        <f t="shared" ref="F148:F171" si="11">IF(AND(ISNUMBER(D148),ISNUMBER(E148)), D148-E148, "")</f>
        <v>-15874.356112323003</v>
      </c>
      <c r="G148" s="11">
        <f t="shared" si="9"/>
        <v>-3.4065288074890884E-2</v>
      </c>
      <c r="H148" s="12">
        <f>SUM(Oct!H148,Nov!H148,Dec!H148)</f>
        <v>486497</v>
      </c>
      <c r="I148" s="12">
        <f>SUM(Oct!I148, Nov!I148, Dec!I148)</f>
        <v>-36373.356112323003</v>
      </c>
      <c r="J148" s="13">
        <f t="shared" si="10"/>
        <v>-7.4765838458043937E-2</v>
      </c>
    </row>
    <row r="149" spans="1:10" ht="15.6">
      <c r="A149" s="26" t="str">
        <v>County Route 11B</v>
      </c>
      <c r="B149" s="27" t="str">
        <v>NY</v>
      </c>
      <c r="C149" s="27" t="str">
        <f>Sites[[#This Row],[SOL'#]]</f>
        <v>SOL-10983</v>
      </c>
      <c r="D149" s="9">
        <f>SUM(Oct!D149, Nov!D149, Dec!D149)</f>
        <v>1056391.75</v>
      </c>
      <c r="E149" s="14">
        <f>SUM(Oct!E149, Nov!E149, Dec!E149)</f>
        <v>1046113.1799999999</v>
      </c>
      <c r="F149" s="14">
        <f t="shared" si="11"/>
        <v>10278.570000000065</v>
      </c>
      <c r="G149" s="15">
        <f t="shared" si="9"/>
        <v>9.8254856133253819E-3</v>
      </c>
      <c r="H149" s="16">
        <f>SUM(Oct!H149,Nov!H149,Dec!H149)</f>
        <v>0</v>
      </c>
      <c r="I149" s="16">
        <f>SUM(Oct!I149, Nov!I149, Dec!I149)</f>
        <v>0</v>
      </c>
      <c r="J149" s="15" t="str">
        <f t="shared" si="10"/>
        <v/>
      </c>
    </row>
    <row r="150" spans="1:10" ht="15.6">
      <c r="A150" s="24" t="str">
        <v>Barone</v>
      </c>
      <c r="B150" s="25" t="str">
        <v>NY</v>
      </c>
      <c r="C150" s="25" t="str">
        <f>Sites[[#This Row],[SOL'#]]</f>
        <v>SOL-11034</v>
      </c>
      <c r="D150" s="20">
        <f>SUM(Oct!D150, Nov!D150, Dec!D150)</f>
        <v>673142</v>
      </c>
      <c r="E150" s="10">
        <f>SUM(Oct!E150, Nov!E150, Dec!E150)</f>
        <v>665847</v>
      </c>
      <c r="F150" s="10">
        <f t="shared" si="11"/>
        <v>7295</v>
      </c>
      <c r="G150" s="11">
        <f t="shared" si="9"/>
        <v>1.0955970365564461E-2</v>
      </c>
      <c r="H150" s="12">
        <f>SUM(Oct!H150,Nov!H150,Dec!H150)</f>
        <v>707445</v>
      </c>
      <c r="I150" s="12">
        <f>SUM(Oct!I150, Nov!I150, Dec!I150)</f>
        <v>-34303</v>
      </c>
      <c r="J150" s="13">
        <f t="shared" si="10"/>
        <v>-4.8488575083575403E-2</v>
      </c>
    </row>
    <row r="151" spans="1:10" ht="15.6">
      <c r="A151" s="26" t="str">
        <v>Cedarville</v>
      </c>
      <c r="B151" s="27" t="str">
        <v>IL</v>
      </c>
      <c r="C151" s="27" t="str">
        <f>Sites[[#This Row],[SOL'#]]</f>
        <v>SOL-11069</v>
      </c>
      <c r="D151" s="9">
        <f>SUM(Oct!D151, Nov!D151, Dec!D151)</f>
        <v>430677</v>
      </c>
      <c r="E151" s="14">
        <f>SUM(Oct!E151, Nov!E151, Dec!E151)</f>
        <v>458826.2</v>
      </c>
      <c r="F151" s="14">
        <f t="shared" si="11"/>
        <v>-28149.200000000012</v>
      </c>
      <c r="G151" s="15">
        <f t="shared" si="9"/>
        <v>-6.1350463421661644E-2</v>
      </c>
      <c r="H151" s="16">
        <f>SUM(Oct!H151,Nov!H151,Dec!H151)</f>
        <v>492283.3</v>
      </c>
      <c r="I151" s="16">
        <f>SUM(Oct!I151, Nov!I151, Dec!I151)</f>
        <v>-61606.299999999988</v>
      </c>
      <c r="J151" s="15">
        <f t="shared" si="10"/>
        <v>-0.12514399736899462</v>
      </c>
    </row>
    <row r="152" spans="1:10" ht="15.6">
      <c r="A152" s="24" t="str">
        <v xml:space="preserve"> O'Brien Hill #1</v>
      </c>
      <c r="B152" s="25" t="str">
        <v>NY</v>
      </c>
      <c r="C152" s="25" t="str">
        <f>Sites[[#This Row],[SOL'#]]</f>
        <v>SOL-11098</v>
      </c>
      <c r="D152" s="20">
        <f>SUM(Oct!D152, Nov!D152, Dec!D152)</f>
        <v>0</v>
      </c>
      <c r="E152" s="10">
        <f>SUM(Oct!E152, Nov!E152, Dec!E152)</f>
        <v>0</v>
      </c>
      <c r="F152" s="10">
        <f t="shared" si="11"/>
        <v>0</v>
      </c>
      <c r="G152" s="11" t="str">
        <f t="shared" si="9"/>
        <v/>
      </c>
      <c r="H152" s="12">
        <f>SUM(Oct!H152,Nov!H152,Dec!H152)</f>
        <v>0</v>
      </c>
      <c r="I152" s="12">
        <f>SUM(Oct!I152, Nov!I152, Dec!I152)</f>
        <v>0</v>
      </c>
      <c r="J152" s="13" t="str">
        <f t="shared" si="10"/>
        <v/>
      </c>
    </row>
    <row r="153" spans="1:10" ht="15.6">
      <c r="A153" s="26" t="str">
        <v xml:space="preserve"> O'Brien Hill #2</v>
      </c>
      <c r="B153" s="27" t="str">
        <v>NY</v>
      </c>
      <c r="C153" s="27" t="str">
        <f>Sites[[#This Row],[SOL'#]]</f>
        <v>SOL-11099</v>
      </c>
      <c r="D153" s="9">
        <f>SUM(Oct!D153, Nov!D153, Dec!D153)</f>
        <v>900819</v>
      </c>
      <c r="E153" s="14">
        <f>SUM(Oct!E153, Nov!E153, Dec!E153)</f>
        <v>900621</v>
      </c>
      <c r="F153" s="14">
        <f t="shared" si="11"/>
        <v>198</v>
      </c>
      <c r="G153" s="15">
        <f t="shared" si="9"/>
        <v>2.1984830466977785E-4</v>
      </c>
      <c r="H153" s="16">
        <f>SUM(Oct!H153,Nov!H153,Dec!H153)</f>
        <v>0</v>
      </c>
      <c r="I153" s="16">
        <f>SUM(Oct!I153, Nov!I153, Dec!I153)</f>
        <v>0</v>
      </c>
      <c r="J153" s="15" t="str">
        <f t="shared" si="10"/>
        <v/>
      </c>
    </row>
    <row r="154" spans="1:10" ht="15.6">
      <c r="A154" s="24" t="str">
        <v>Trinity - Freeport</v>
      </c>
      <c r="B154" s="25" t="str">
        <v>IL</v>
      </c>
      <c r="C154" s="25" t="str">
        <f>Sites[[#This Row],[SOL'#]]</f>
        <v>SOL-11057</v>
      </c>
      <c r="D154" s="20">
        <f>SUM(Oct!D154, Nov!D154, Dec!D154)</f>
        <v>509193</v>
      </c>
      <c r="E154" s="10">
        <f>SUM(Oct!E154, Nov!E154, Dec!E154)</f>
        <v>573257.9</v>
      </c>
      <c r="F154" s="10">
        <f t="shared" si="11"/>
        <v>-64064.900000000023</v>
      </c>
      <c r="G154" s="11">
        <f t="shared" si="9"/>
        <v>-0.11175580833687598</v>
      </c>
      <c r="H154" s="12">
        <f>SUM(Oct!H154,Nov!H154,Dec!H154)</f>
        <v>496720</v>
      </c>
      <c r="I154" s="12">
        <f>SUM(Oct!I154, Nov!I154, Dec!I154)</f>
        <v>12473</v>
      </c>
      <c r="J154" s="13">
        <f t="shared" si="10"/>
        <v>2.5110726364954098E-2</v>
      </c>
    </row>
    <row r="155" spans="1:10" ht="15.6">
      <c r="A155" s="26" t="str">
        <v>Ransom</v>
      </c>
      <c r="B155" s="27" t="str">
        <v>NY</v>
      </c>
      <c r="C155" s="27" t="str">
        <f>Sites[[#This Row],[SOL'#]]</f>
        <v>SOL-11157</v>
      </c>
      <c r="D155" s="9">
        <f>SUM(Oct!D155, Nov!D155, Dec!D155)</f>
        <v>974888</v>
      </c>
      <c r="E155" s="14">
        <f>SUM(Oct!E155, Nov!E155, Dec!E155)</f>
        <v>964730</v>
      </c>
      <c r="F155" s="14">
        <f t="shared" si="11"/>
        <v>10158</v>
      </c>
      <c r="G155" s="15">
        <f t="shared" si="9"/>
        <v>1.0529370912068662E-2</v>
      </c>
      <c r="H155" s="16">
        <f>SUM(Oct!H155,Nov!H155,Dec!H155)</f>
        <v>0</v>
      </c>
      <c r="I155" s="16">
        <f>SUM(Oct!I155, Nov!I155, Dec!I155)</f>
        <v>0</v>
      </c>
      <c r="J155" s="15" t="str">
        <f t="shared" si="10"/>
        <v/>
      </c>
    </row>
    <row r="156" spans="1:10" ht="15.6">
      <c r="A156" s="24" t="str">
        <v>Horseheads - Wedge</v>
      </c>
      <c r="B156" s="25" t="str">
        <v>NY</v>
      </c>
      <c r="C156" s="25" t="str">
        <f>Sites[[#This Row],[SOL'#]]</f>
        <v>SOL-11160</v>
      </c>
      <c r="D156" s="20">
        <f>SUM(Oct!D156, Nov!D156, Dec!D156)</f>
        <v>592272</v>
      </c>
      <c r="E156" s="10">
        <f>SUM(Oct!E156, Nov!E156, Dec!E156)</f>
        <v>582649</v>
      </c>
      <c r="F156" s="10">
        <f t="shared" si="11"/>
        <v>9623</v>
      </c>
      <c r="G156" s="11">
        <f t="shared" si="9"/>
        <v>1.6515946993816175E-2</v>
      </c>
      <c r="H156" s="12">
        <f>SUM(Oct!H156,Nov!H156,Dec!H156)</f>
        <v>0</v>
      </c>
      <c r="I156" s="12">
        <f>SUM(Oct!I156, Nov!I156, Dec!I156)</f>
        <v>0</v>
      </c>
      <c r="J156" s="13" t="str">
        <f t="shared" si="10"/>
        <v/>
      </c>
    </row>
    <row r="157" spans="1:10" ht="15.6">
      <c r="A157" s="26" t="str">
        <v>Otisville - Shoddy Hollow</v>
      </c>
      <c r="B157" s="27" t="str">
        <v>NY</v>
      </c>
      <c r="C157" s="27" t="str">
        <f>Sites[[#This Row],[SOL'#]]</f>
        <v>SOL-11185</v>
      </c>
      <c r="D157" s="9">
        <f>SUM(Oct!D157, Nov!D157, Dec!D157)</f>
        <v>1098411</v>
      </c>
      <c r="E157" s="14">
        <f>SUM(Oct!E157, Nov!E157, Dec!E157)</f>
        <v>1068843</v>
      </c>
      <c r="F157" s="14">
        <f t="shared" si="11"/>
        <v>29568</v>
      </c>
      <c r="G157" s="15">
        <f t="shared" si="9"/>
        <v>2.7663557697435451E-2</v>
      </c>
      <c r="H157" s="16">
        <f>SUM(Oct!H157,Nov!H157,Dec!H157)</f>
        <v>0</v>
      </c>
      <c r="I157" s="16">
        <f>SUM(Oct!I157, Nov!I157, Dec!I157)</f>
        <v>0</v>
      </c>
      <c r="J157" s="15" t="str">
        <f t="shared" si="10"/>
        <v/>
      </c>
    </row>
    <row r="158" spans="1:10" ht="15.6">
      <c r="A158" s="24" t="str">
        <v>Wellsville - Chenunda Creek</v>
      </c>
      <c r="B158" s="25" t="str">
        <v>NY</v>
      </c>
      <c r="C158" s="25" t="str">
        <f>Sites[[#This Row],[SOL'#]]</f>
        <v>SOL-11187</v>
      </c>
      <c r="D158" s="20">
        <f>SUM(Oct!D158, Nov!D158, Dec!D158)</f>
        <v>485965</v>
      </c>
      <c r="E158" s="10">
        <f>SUM(Oct!E158, Nov!E158, Dec!E158)</f>
        <v>477337</v>
      </c>
      <c r="F158" s="10">
        <f t="shared" si="11"/>
        <v>8628</v>
      </c>
      <c r="G158" s="11">
        <f t="shared" si="9"/>
        <v>1.8075280147987691E-2</v>
      </c>
      <c r="H158" s="12">
        <f>SUM(Oct!H158,Nov!H158,Dec!H158)</f>
        <v>0</v>
      </c>
      <c r="I158" s="12">
        <f>SUM(Oct!I158, Nov!I158, Dec!I158)</f>
        <v>0</v>
      </c>
      <c r="J158" s="13" t="str">
        <f t="shared" si="10"/>
        <v/>
      </c>
    </row>
    <row r="159" spans="1:10" ht="15.6">
      <c r="A159" s="26" t="str">
        <v>DC: Washington - Essex Condominium</v>
      </c>
      <c r="B159" s="27" t="str">
        <v>DC</v>
      </c>
      <c r="C159" s="27" t="str">
        <f>Sites[[#This Row],[SOL'#]]</f>
        <v>SOL-10036</v>
      </c>
      <c r="D159" s="9">
        <f>SUM(Oct!D159, Nov!D159, Dec!D159)</f>
        <v>4597</v>
      </c>
      <c r="E159" s="14">
        <f>SUM(Oct!E159, Nov!E159, Dec!E159)</f>
        <v>5953.6469999999999</v>
      </c>
      <c r="F159" s="14">
        <f t="shared" si="11"/>
        <v>-1356.6469999999999</v>
      </c>
      <c r="G159" s="15">
        <f t="shared" si="9"/>
        <v>-0.22786822933909248</v>
      </c>
      <c r="H159" s="16">
        <f>SUM(Oct!H159,Nov!H159,Dec!H159)</f>
        <v>5878.2929999999997</v>
      </c>
      <c r="I159" s="16">
        <f>SUM(Oct!I159, Nov!I159, Dec!I159)</f>
        <v>-1281.2930000000001</v>
      </c>
      <c r="J159" s="15">
        <f t="shared" si="10"/>
        <v>-0.21797025088746005</v>
      </c>
    </row>
    <row r="160" spans="1:10" ht="15.6">
      <c r="A160" s="24" t="str">
        <v>HI: Waipahu - 94-246 Leoku St - E.F.G.</v>
      </c>
      <c r="B160" s="25" t="str">
        <v>HI</v>
      </c>
      <c r="C160" s="25" t="str">
        <f>Sites[[#This Row],[SOL'#]]</f>
        <v>SOL-10071</v>
      </c>
      <c r="D160" s="20">
        <f>SUM(Oct!D160, Nov!D160, Dec!D160)</f>
        <v>10060</v>
      </c>
      <c r="E160" s="10">
        <f>SUM(Oct!E160, Nov!E160, Dec!E160)</f>
        <v>19838.424999999999</v>
      </c>
      <c r="F160" s="10">
        <f t="shared" si="11"/>
        <v>-9778.4249999999993</v>
      </c>
      <c r="G160" s="11">
        <f t="shared" si="9"/>
        <v>-0.49290329247407494</v>
      </c>
      <c r="H160" s="12">
        <f>SUM(Oct!H160,Nov!H160,Dec!H160)</f>
        <v>21405.891</v>
      </c>
      <c r="I160" s="12">
        <f>SUM(Oct!I160, Nov!I160, Dec!I160)</f>
        <v>-11345.891</v>
      </c>
      <c r="J160" s="13">
        <f t="shared" si="10"/>
        <v>-0.53003591394537142</v>
      </c>
    </row>
    <row r="161" spans="1:10" ht="15.6">
      <c r="A161" s="26" t="str">
        <v>HI: Waipahu - 94-099 Waipahu St - PV</v>
      </c>
      <c r="B161" s="27" t="str">
        <v>HI</v>
      </c>
      <c r="C161" s="27" t="str">
        <f>Sites[[#This Row],[SOL'#]]</f>
        <v>SOL-10068</v>
      </c>
      <c r="D161" s="9">
        <f>SUM(Oct!D161, Nov!D161, Dec!D161)</f>
        <v>22546</v>
      </c>
      <c r="E161" s="14">
        <f>SUM(Oct!E161, Nov!E161, Dec!E161)</f>
        <v>17946.923999999999</v>
      </c>
      <c r="F161" s="14">
        <f t="shared" si="11"/>
        <v>4599.0760000000009</v>
      </c>
      <c r="G161" s="15">
        <f t="shared" si="9"/>
        <v>0.25625984709134564</v>
      </c>
      <c r="H161" s="16">
        <f>SUM(Oct!H161,Nov!H161,Dec!H161)</f>
        <v>21394.434999999998</v>
      </c>
      <c r="I161" s="16">
        <f>SUM(Oct!I161, Nov!I161, Dec!I161)</f>
        <v>1151.5650000000005</v>
      </c>
      <c r="J161" s="15">
        <f t="shared" si="10"/>
        <v>5.3825445729228212E-2</v>
      </c>
    </row>
    <row r="162" spans="1:10" ht="15.6">
      <c r="A162" s="24" t="str">
        <v>IL: Prophetstown - 5170 Yager Road (PW)</v>
      </c>
      <c r="B162" s="25" t="str">
        <v>IL</v>
      </c>
      <c r="C162" s="25" t="str">
        <f>Sites[[#This Row],[SOL'#]]</f>
        <v>SOL-11149</v>
      </c>
      <c r="D162" s="20">
        <f>SUM(Oct!D162, Nov!D162, Dec!D162)</f>
        <v>389490</v>
      </c>
      <c r="E162" s="10">
        <f>SUM(Oct!E162, Nov!E162, Dec!E162)</f>
        <v>522586.69999999995</v>
      </c>
      <c r="F162" s="10">
        <f t="shared" si="11"/>
        <v>-133096.69999999995</v>
      </c>
      <c r="G162" s="11">
        <f t="shared" si="9"/>
        <v>-0.25468826512423676</v>
      </c>
      <c r="H162" s="12">
        <f>SUM(Oct!H162,Nov!H162,Dec!H162)</f>
        <v>566151.9</v>
      </c>
      <c r="I162" s="12">
        <f>SUM(Oct!I162, Nov!I162, Dec!I162)</f>
        <v>-176661.9</v>
      </c>
      <c r="J162" s="13">
        <f t="shared" si="10"/>
        <v>-0.31203975470187417</v>
      </c>
    </row>
    <row r="163" spans="1:10" ht="15.6">
      <c r="A163" s="26" t="str">
        <v>IL: Viola - Goldenrod - (PW)</v>
      </c>
      <c r="B163" s="27" t="str">
        <v>IL</v>
      </c>
      <c r="C163" s="27" t="str">
        <f>Sites[[#This Row],[SOL'#]]</f>
        <v>SOL-11132</v>
      </c>
      <c r="D163" s="9">
        <f>SUM(Oct!D163, Nov!D163, Dec!D163)</f>
        <v>1215065.7765000002</v>
      </c>
      <c r="E163" s="14">
        <f>SUM(Oct!E163, Nov!E163, Dec!E163)</f>
        <v>1245558.5</v>
      </c>
      <c r="F163" s="14">
        <f t="shared" si="11"/>
        <v>-30492.723499999847</v>
      </c>
      <c r="G163" s="15">
        <f t="shared" si="9"/>
        <v>-2.4481165276460198E-2</v>
      </c>
      <c r="H163" s="16">
        <f>SUM(Oct!H163,Nov!H163,Dec!H163)</f>
        <v>1341200</v>
      </c>
      <c r="I163" s="16">
        <f>SUM(Oct!I163, Nov!I163, Dec!I163)</f>
        <v>-126134.22349999996</v>
      </c>
      <c r="J163" s="15">
        <f t="shared" si="10"/>
        <v>-9.4045797420220664E-2</v>
      </c>
    </row>
    <row r="164" spans="1:10" ht="15.6">
      <c r="A164" s="24" t="str">
        <v>IL: Marengo - Grant - (PW)</v>
      </c>
      <c r="B164" s="25" t="str">
        <v>IL</v>
      </c>
      <c r="C164" s="25" t="str">
        <f>Sites[[#This Row],[SOL'#]]</f>
        <v>SOL-11147</v>
      </c>
      <c r="D164" s="20">
        <f>SUM(Oct!D164, Nov!D164, Dec!D164)</f>
        <v>555292</v>
      </c>
      <c r="E164" s="10">
        <f>SUM(Oct!E164, Nov!E164, Dec!E164)</f>
        <v>0</v>
      </c>
      <c r="F164" s="10">
        <f t="shared" si="11"/>
        <v>555292</v>
      </c>
      <c r="G164" s="11" t="str">
        <f t="shared" si="9"/>
        <v/>
      </c>
      <c r="H164" s="12">
        <f>SUM(Oct!H164,Nov!H164,Dec!H164)</f>
        <v>545602.5</v>
      </c>
      <c r="I164" s="12">
        <f>SUM(Oct!I164, Nov!I164, Dec!I164)</f>
        <v>9689.5</v>
      </c>
      <c r="J164" s="13">
        <f t="shared" si="10"/>
        <v>1.7759266132394921E-2</v>
      </c>
    </row>
    <row r="165" spans="1:10" ht="15.6">
      <c r="A165" s="26" t="str">
        <v>NY: Cambridge - Cambridge (PW)</v>
      </c>
      <c r="B165" s="27" t="str">
        <v>NY</v>
      </c>
      <c r="C165" s="27" t="str">
        <f>Sites[[#This Row],[SOL'#]]</f>
        <v>SOL-11126</v>
      </c>
      <c r="D165" s="9">
        <f>SUM(Oct!D165, Nov!D165, Dec!D165)</f>
        <v>743695.27</v>
      </c>
      <c r="E165" s="14">
        <f>SUM(Oct!E165, Nov!E165, Dec!E165)</f>
        <v>1075256.3</v>
      </c>
      <c r="F165" s="14">
        <f t="shared" si="11"/>
        <v>-331561.03000000003</v>
      </c>
      <c r="G165" s="15">
        <f t="shared" si="9"/>
        <v>-0.30835534746459986</v>
      </c>
      <c r="H165" s="16">
        <f>SUM(Oct!H165,Nov!H165,Dec!H165)</f>
        <v>1085206</v>
      </c>
      <c r="I165" s="16">
        <f>SUM(Oct!I165, Nov!I165, Dec!I165)</f>
        <v>-341510.73</v>
      </c>
      <c r="J165" s="15">
        <f t="shared" si="10"/>
        <v>-0.31469668431615749</v>
      </c>
    </row>
    <row r="166" spans="1:10" ht="15.6">
      <c r="A166" s="24" t="str">
        <v>NY: Whitesville - Independence North</v>
      </c>
      <c r="B166" s="25" t="str">
        <v>NY</v>
      </c>
      <c r="C166" s="25" t="str">
        <f>Sites[[#This Row],[SOL'#]]</f>
        <v>SOL-11186</v>
      </c>
      <c r="D166" s="20">
        <f>SUM(Oct!D166, Nov!D166, Dec!D166)</f>
        <v>749345</v>
      </c>
      <c r="E166" s="10">
        <f>SUM(Oct!E166, Nov!E166, Dec!E166)</f>
        <v>0</v>
      </c>
      <c r="F166" s="10">
        <f t="shared" si="11"/>
        <v>749345</v>
      </c>
      <c r="G166" s="11" t="str">
        <f t="shared" si="9"/>
        <v/>
      </c>
      <c r="H166" s="12">
        <f>SUM(Oct!H166,Nov!H166,Dec!H166)</f>
        <v>0</v>
      </c>
      <c r="I166" s="12">
        <f>SUM(Oct!I166, Nov!I166, Dec!I166)</f>
        <v>0</v>
      </c>
      <c r="J166" s="13" t="str">
        <f t="shared" si="10"/>
        <v/>
      </c>
    </row>
    <row r="167" spans="1:10" ht="15.6">
      <c r="A167" s="26" t="str">
        <v>IL: Beecher - Cottage Grove North (PW)</v>
      </c>
      <c r="B167" s="27" t="str">
        <v>IL</v>
      </c>
      <c r="C167" s="27" t="str">
        <f>Sites[[#This Row],[SOL'#]]</f>
        <v>SOL-11114</v>
      </c>
      <c r="D167" s="9">
        <f>SUM(Oct!D167, Nov!D167, Dec!D167)</f>
        <v>577345</v>
      </c>
      <c r="E167" s="14">
        <f>SUM(Oct!E167, Nov!E167, Dec!E167)</f>
        <v>603079.80000000005</v>
      </c>
      <c r="F167" s="14">
        <f t="shared" si="11"/>
        <v>-25734.800000000047</v>
      </c>
      <c r="G167" s="15">
        <f t="shared" si="9"/>
        <v>-4.2672296435728813E-2</v>
      </c>
      <c r="H167" s="16">
        <f>SUM(Oct!H167,Nov!H167,Dec!H167)</f>
        <v>582048</v>
      </c>
      <c r="I167" s="16">
        <f>SUM(Oct!I167, Nov!I167, Dec!I167)</f>
        <v>-4703</v>
      </c>
      <c r="J167" s="15">
        <f t="shared" si="10"/>
        <v>-8.0800896146022323E-3</v>
      </c>
    </row>
    <row r="168" spans="1:10" ht="15.6">
      <c r="A168" s="24" t="str">
        <v>IL: Beecher - Cottage Grove South (PW)</v>
      </c>
      <c r="B168" s="25" t="str">
        <v>IL</v>
      </c>
      <c r="C168" s="25" t="str">
        <f>Sites[[#This Row],[SOL'#]]</f>
        <v>SOL-11115</v>
      </c>
      <c r="D168" s="20">
        <f>SUM(Oct!D168, Nov!D168, Dec!D168)</f>
        <v>574393</v>
      </c>
      <c r="E168" s="10">
        <f>SUM(Oct!E168, Nov!E168, Dec!E168)</f>
        <v>728321.60000000009</v>
      </c>
      <c r="F168" s="10">
        <f t="shared" si="11"/>
        <v>-153928.60000000009</v>
      </c>
      <c r="G168" s="11">
        <f t="shared" si="9"/>
        <v>-0.21134702032728409</v>
      </c>
      <c r="H168" s="12">
        <f>SUM(Oct!H168,Nov!H168,Dec!H168)</f>
        <v>545899</v>
      </c>
      <c r="I168" s="12">
        <f>SUM(Oct!I168, Nov!I168, Dec!I168)</f>
        <v>28494</v>
      </c>
      <c r="J168" s="13">
        <f t="shared" si="10"/>
        <v>5.2196468577520749E-2</v>
      </c>
    </row>
    <row r="169" spans="1:10" ht="15.6">
      <c r="A169" s="26" t="str">
        <v>IL: Harvard - 9618 US HWY 14 (PW)</v>
      </c>
      <c r="B169" s="27" t="str">
        <v>IL</v>
      </c>
      <c r="C169" s="27" t="str">
        <f>Sites[[#This Row],[SOL'#]]</f>
        <v>SOL-11110</v>
      </c>
      <c r="D169" s="9">
        <f>SUM(Oct!D169, Nov!D169, Dec!D169)</f>
        <v>491757</v>
      </c>
      <c r="E169" s="14">
        <f>SUM(Oct!E169, Nov!E169, Dec!E169)</f>
        <v>862250.1</v>
      </c>
      <c r="F169" s="14">
        <f t="shared" si="11"/>
        <v>-370493.1</v>
      </c>
      <c r="G169" s="15">
        <f t="shared" si="9"/>
        <v>-0.42968171299719188</v>
      </c>
      <c r="H169" s="16">
        <f>SUM(Oct!H169,Nov!H169,Dec!H169)</f>
        <v>470957</v>
      </c>
      <c r="I169" s="16">
        <f>SUM(Oct!I169, Nov!I169, Dec!I169)</f>
        <v>20800</v>
      </c>
      <c r="J169" s="15">
        <f t="shared" si="10"/>
        <v>4.4165390895559466E-2</v>
      </c>
    </row>
    <row r="170" spans="1:10" ht="15.6">
      <c r="A170" s="24" t="str">
        <v>IL: Beecher - 701 E Goodenow Rd (PW)</v>
      </c>
      <c r="B170" s="25" t="str">
        <v>IL</v>
      </c>
      <c r="C170" s="25" t="str">
        <f>Sites[[#This Row],[SOL'#]]</f>
        <v>SOL-11112</v>
      </c>
      <c r="D170" s="20">
        <f>SUM(Oct!D170, Nov!D170, Dec!D170)</f>
        <v>567385</v>
      </c>
      <c r="E170" s="10">
        <f>SUM(Oct!E170, Nov!E170, Dec!E170)</f>
        <v>639741.4</v>
      </c>
      <c r="F170" s="10">
        <f t="shared" si="11"/>
        <v>-72356.400000000023</v>
      </c>
      <c r="G170" s="11">
        <f t="shared" si="9"/>
        <v>-0.11310257550941681</v>
      </c>
      <c r="H170" s="12">
        <f>SUM(Oct!H170,Nov!H170,Dec!H170)</f>
        <v>484198.5</v>
      </c>
      <c r="I170" s="12">
        <f>SUM(Oct!I170, Nov!I170, Dec!I170)</f>
        <v>83186.5</v>
      </c>
      <c r="J170" s="13">
        <f t="shared" si="10"/>
        <v>0.17180247357230558</v>
      </c>
    </row>
    <row r="171" spans="1:10" ht="15.6">
      <c r="A171" s="26" t="str">
        <v>NY: Stormville - Green Haven - (IRA)</v>
      </c>
      <c r="B171" s="27" t="str">
        <v>NY</v>
      </c>
      <c r="C171" s="27" t="str">
        <f>Sites[[#This Row],[SOL'#]]</f>
        <v>SOL-11151</v>
      </c>
      <c r="D171" s="9">
        <f>SUM(Oct!D171, Nov!D171, Dec!D171)</f>
        <v>2969198.6</v>
      </c>
      <c r="E171" s="14">
        <f>SUM(Oct!E171, Nov!E171, Dec!E171)</f>
        <v>0</v>
      </c>
      <c r="F171" s="14">
        <f t="shared" si="11"/>
        <v>2969198.6</v>
      </c>
      <c r="G171" s="15" t="str">
        <f t="shared" si="9"/>
        <v/>
      </c>
      <c r="H171" s="16">
        <f>SUM(Oct!H171,Nov!H171,Dec!H171)</f>
        <v>0</v>
      </c>
      <c r="I171" s="16">
        <f>SUM(Oct!I171, Nov!I171, Dec!I171)</f>
        <v>0</v>
      </c>
      <c r="J171" s="15" t="str">
        <f t="shared" si="10"/>
        <v/>
      </c>
    </row>
    <row r="172" spans="1:10">
      <c r="A172" t="str">
        <v>IL: Hillsboro - Anacott (PW)</v>
      </c>
      <c r="B172" t="str">
        <v>IL</v>
      </c>
    </row>
  </sheetData>
  <mergeCells count="4">
    <mergeCell ref="H1:J1"/>
    <mergeCell ref="A1:D1"/>
    <mergeCell ref="E1:G1"/>
    <mergeCell ref="A2:B2"/>
  </mergeCells>
  <conditionalFormatting sqref="G2 J2 G4:G171 J4:J171">
    <cfRule type="cellIs" dxfId="44" priority="23" stopIfTrue="1" operator="lessThanOrEqual">
      <formula>-0.1</formula>
    </cfRule>
    <cfRule type="expression" dxfId="43" priority="24">
      <formula>AND(ISNUMBER(G2), G2&gt;=0.1)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T172"/>
  <sheetViews>
    <sheetView zoomScale="60" zoomScaleNormal="60" workbookViewId="0">
      <pane xSplit="2" ySplit="3" topLeftCell="C85" activePane="bottomRight" state="frozen"/>
      <selection pane="bottomRight" activeCell="K86" sqref="K86"/>
      <selection pane="bottomLeft" activeCell="C3" sqref="C3"/>
      <selection pane="topRight" activeCell="C3" sqref="C3"/>
    </sheetView>
  </sheetViews>
  <sheetFormatPr defaultRowHeight="13.9"/>
  <cols>
    <col min="1" max="1" width="35.85546875" bestFit="1" customWidth="1"/>
    <col min="2" max="2" width="8.42578125" style="30" customWidth="1"/>
    <col min="3" max="3" width="15.42578125" style="30" customWidth="1"/>
    <col min="4" max="4" width="11.7109375" customWidth="1"/>
    <col min="5" max="6" width="13.28515625" customWidth="1"/>
    <col min="7" max="7" width="13.28515625" style="1" customWidth="1"/>
    <col min="8" max="9" width="13.28515625" customWidth="1"/>
    <col min="10" max="10" width="13.28515625" style="1" customWidth="1"/>
    <col min="11" max="11" width="118.42578125" customWidth="1"/>
    <col min="12" max="12" width="22.85546875" customWidth="1"/>
  </cols>
  <sheetData>
    <row r="1" spans="1:20" ht="19.5" customHeight="1">
      <c r="A1" s="187" t="str" cm="1">
        <f t="array" ref="A1">portfolio</f>
        <v>Generate Capital</v>
      </c>
      <c r="B1" s="187"/>
      <c r="C1" s="187"/>
      <c r="D1" s="187"/>
      <c r="E1" s="188" t="s">
        <v>19</v>
      </c>
      <c r="F1" s="188"/>
      <c r="G1" s="188"/>
      <c r="H1" s="186" t="s">
        <v>20</v>
      </c>
      <c r="I1" s="186"/>
      <c r="J1" s="186"/>
      <c r="K1" s="4"/>
      <c r="L1" s="4"/>
    </row>
    <row r="2" spans="1:20" ht="19.5" customHeight="1">
      <c r="A2" s="189" t="s">
        <v>2</v>
      </c>
      <c r="B2" s="189"/>
      <c r="C2" s="57"/>
      <c r="D2" s="5">
        <f>SUM(D4:D95)</f>
        <v>8302287.900031276</v>
      </c>
      <c r="E2" s="5">
        <f>SUM(E4:E95)</f>
        <v>4150358.0110000004</v>
      </c>
      <c r="F2" s="5">
        <f>D2-E2</f>
        <v>4151929.8890312756</v>
      </c>
      <c r="G2" s="6">
        <f>IFERROR(F2/E2, 0)</f>
        <v>1.0003787331182297</v>
      </c>
      <c r="H2" s="5">
        <f>SUM(H4:H95)</f>
        <v>10397497.791000003</v>
      </c>
      <c r="I2" s="7">
        <f>D2-H2</f>
        <v>-2095209.8909687269</v>
      </c>
      <c r="J2" s="6">
        <f>IFERROR(I2/H2, 0)</f>
        <v>-0.20151097245553878</v>
      </c>
      <c r="K2" s="22"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23" t="s">
        <v>3</v>
      </c>
      <c r="B3" s="8" t="s">
        <v>4</v>
      </c>
      <c r="C3" s="8" t="s">
        <v>5</v>
      </c>
      <c r="D3" s="19" t="s">
        <v>6</v>
      </c>
      <c r="E3" s="31" t="s">
        <v>7</v>
      </c>
      <c r="F3" s="31" t="s">
        <v>8</v>
      </c>
      <c r="G3" s="32" t="s">
        <v>9</v>
      </c>
      <c r="H3" s="36" t="s">
        <v>10</v>
      </c>
      <c r="I3" s="34" t="s">
        <v>8</v>
      </c>
      <c r="J3" s="35" t="s">
        <v>9</v>
      </c>
      <c r="K3" s="21" t="s">
        <v>21</v>
      </c>
      <c r="L3" s="21" t="s">
        <v>22</v>
      </c>
    </row>
    <row r="4" spans="1:20" ht="15.6">
      <c r="A4" s="26" t="str" cm="1">
        <f t="array" ref="A4:A172">Sites[Site]</f>
        <v>K026</v>
      </c>
      <c r="B4" s="27" t="str" cm="1">
        <f t="array" ref="B4:B172">Sites[State]</f>
        <v>NY</v>
      </c>
      <c r="C4" s="27" t="str">
        <f>Sites[[#This Row],[SOL'#]]</f>
        <v>SOL-10356</v>
      </c>
      <c r="D4" s="9">
        <v>11980.125</v>
      </c>
      <c r="E4" s="14">
        <v>18586.79</v>
      </c>
      <c r="F4" s="14">
        <f t="shared" ref="F4:F62" si="0">IF(AND(ISNUMBER(D4),ISNUMBER(E4)), D4-E4, "")</f>
        <v>-6606.6650000000009</v>
      </c>
      <c r="G4" s="15">
        <f t="shared" ref="G4:G62" si="1">IFERROR(F4/E4, "")</f>
        <v>-0.3554494885884007</v>
      </c>
      <c r="H4" s="16">
        <v>11111.47</v>
      </c>
      <c r="I4" s="16">
        <f>IF(AND(ISNUMBER(D4),ISNUMBER(H4)), D4-H4, "")</f>
        <v>868.65500000000065</v>
      </c>
      <c r="J4" s="15">
        <f t="shared" ref="J4:J64" si="2">IFERROR(I4/H4, "")</f>
        <v>7.817642490147575E-2</v>
      </c>
      <c r="K4" s="50"/>
      <c r="L4" s="52"/>
      <c r="M4" s="104"/>
      <c r="N4" s="104"/>
      <c r="O4" s="104"/>
      <c r="P4" s="104"/>
      <c r="Q4" s="104"/>
      <c r="R4" s="104"/>
      <c r="S4" s="104"/>
      <c r="T4" s="104"/>
    </row>
    <row r="5" spans="1:20" ht="15.6">
      <c r="A5" s="24" t="str">
        <v>K041</v>
      </c>
      <c r="B5" s="25" t="str">
        <v>NY</v>
      </c>
      <c r="C5" s="25" t="str">
        <f>Sites[[#This Row],[SOL'#]]</f>
        <v>SOL-10357</v>
      </c>
      <c r="D5" s="20">
        <v>8842.546875</v>
      </c>
      <c r="E5" s="10">
        <v>13490.72</v>
      </c>
      <c r="F5" s="10">
        <f t="shared" si="0"/>
        <v>-4648.1731249999993</v>
      </c>
      <c r="G5" s="11">
        <f t="shared" si="1"/>
        <v>-0.34454596381809122</v>
      </c>
      <c r="H5" s="12">
        <v>9924</v>
      </c>
      <c r="I5" s="12">
        <f>IF(AND(ISNUMBER(D5),ISNUMBER(H5)), D5-H5, "")</f>
        <v>-1081.453125</v>
      </c>
      <c r="J5" s="13">
        <f t="shared" si="2"/>
        <v>-0.10897351118500605</v>
      </c>
      <c r="K5" s="37"/>
      <c r="L5" s="53"/>
      <c r="M5" s="104"/>
      <c r="N5" s="104"/>
      <c r="O5" s="104"/>
      <c r="P5" s="104"/>
      <c r="Q5" s="104"/>
      <c r="R5" s="104"/>
      <c r="S5" s="104"/>
      <c r="T5" s="104"/>
    </row>
    <row r="6" spans="1:20" ht="15.6">
      <c r="A6" s="26" t="str">
        <v>K043</v>
      </c>
      <c r="B6" s="27" t="str">
        <v>NY</v>
      </c>
      <c r="C6" s="27" t="str">
        <f>Sites[[#This Row],[SOL'#]]</f>
        <v>SOL-10358</v>
      </c>
      <c r="D6" s="9">
        <v>10563.6875</v>
      </c>
      <c r="E6" s="14">
        <v>15508.68</v>
      </c>
      <c r="F6" s="14">
        <f t="shared" si="0"/>
        <v>-4944.9925000000003</v>
      </c>
      <c r="G6" s="15">
        <f t="shared" si="1"/>
        <v>-0.31885321639236869</v>
      </c>
      <c r="H6" s="16">
        <v>2303</v>
      </c>
      <c r="I6" s="16">
        <f t="shared" ref="I6:I64" si="3">IF(AND(ISNUMBER(D6),ISNUMBER(H6)), D6-H6, "")</f>
        <v>8260.6875</v>
      </c>
      <c r="J6" s="15">
        <f t="shared" si="2"/>
        <v>3.5869246634824141</v>
      </c>
      <c r="K6" s="50" t="s">
        <v>23</v>
      </c>
      <c r="L6" s="52"/>
      <c r="M6" s="104"/>
      <c r="N6" s="104"/>
      <c r="O6" s="104"/>
      <c r="P6" s="104"/>
      <c r="Q6" s="104"/>
      <c r="R6" s="104"/>
      <c r="S6" s="104"/>
      <c r="T6" s="104"/>
    </row>
    <row r="7" spans="1:20" ht="15.6">
      <c r="A7" s="24" t="str">
        <v>K058</v>
      </c>
      <c r="B7" s="25" t="str">
        <v>NY</v>
      </c>
      <c r="C7" s="25" t="str">
        <f>Sites[[#This Row],[SOL'#]]</f>
        <v>SOL-10360</v>
      </c>
      <c r="D7" s="20">
        <v>8472.1875</v>
      </c>
      <c r="E7" s="10">
        <v>12896.51</v>
      </c>
      <c r="F7" s="10">
        <f t="shared" si="0"/>
        <v>-4424.3225000000002</v>
      </c>
      <c r="G7" s="11">
        <f t="shared" si="1"/>
        <v>-0.34306354975105668</v>
      </c>
      <c r="H7" s="12">
        <v>9147.0290000000005</v>
      </c>
      <c r="I7" s="12">
        <f t="shared" si="3"/>
        <v>-674.84150000000045</v>
      </c>
      <c r="J7" s="13">
        <f t="shared" si="2"/>
        <v>-7.3777124791011423E-2</v>
      </c>
      <c r="K7" s="49"/>
      <c r="L7" s="47"/>
      <c r="M7" s="104"/>
      <c r="N7" s="104"/>
      <c r="O7" s="104"/>
      <c r="P7" s="104"/>
      <c r="Q7" s="104"/>
      <c r="R7" s="104"/>
      <c r="S7" s="104"/>
      <c r="T7" s="104"/>
    </row>
    <row r="8" spans="1:20" ht="15.6">
      <c r="A8" s="26" t="str">
        <v>K115</v>
      </c>
      <c r="B8" s="27" t="str">
        <v>NY</v>
      </c>
      <c r="C8" s="27" t="str">
        <f>Sites[[#This Row],[SOL'#]]</f>
        <v>SOL-10361</v>
      </c>
      <c r="D8" s="9">
        <v>2497.5194140624999</v>
      </c>
      <c r="E8" s="14">
        <v>7565.8450000000003</v>
      </c>
      <c r="F8" s="14">
        <f t="shared" si="0"/>
        <v>-5068.3255859375004</v>
      </c>
      <c r="G8" s="15">
        <f t="shared" si="1"/>
        <v>-0.66989550882122229</v>
      </c>
      <c r="H8" s="16">
        <v>5593.8329999999996</v>
      </c>
      <c r="I8" s="16">
        <f t="shared" si="3"/>
        <v>-3096.3135859374997</v>
      </c>
      <c r="J8" s="15">
        <f t="shared" si="2"/>
        <v>-0.55352270722731622</v>
      </c>
      <c r="K8" s="179" t="s">
        <v>24</v>
      </c>
      <c r="L8" s="100" t="s">
        <v>25</v>
      </c>
      <c r="M8" s="104"/>
      <c r="N8" s="104"/>
      <c r="O8" s="104"/>
      <c r="P8" s="104"/>
      <c r="Q8" s="104"/>
      <c r="R8" s="104"/>
      <c r="S8" s="104"/>
      <c r="T8" s="104"/>
    </row>
    <row r="9" spans="1:20" ht="15.6">
      <c r="A9" s="24" t="str">
        <v>K152</v>
      </c>
      <c r="B9" s="25" t="str">
        <v>NY</v>
      </c>
      <c r="C9" s="25" t="str">
        <f>Sites[[#This Row],[SOL'#]]</f>
        <v>SOL-10362</v>
      </c>
      <c r="D9" s="20">
        <v>3001</v>
      </c>
      <c r="E9" s="10">
        <v>4499.1469999999999</v>
      </c>
      <c r="F9" s="10">
        <f t="shared" si="0"/>
        <v>-1498.1469999999999</v>
      </c>
      <c r="G9" s="11">
        <f t="shared" si="1"/>
        <v>-0.33298467465055043</v>
      </c>
      <c r="H9" s="12">
        <v>3567</v>
      </c>
      <c r="I9" s="12">
        <f t="shared" si="3"/>
        <v>-566</v>
      </c>
      <c r="J9" s="13">
        <f t="shared" si="2"/>
        <v>-0.15867675918138491</v>
      </c>
      <c r="K9" s="37" t="s">
        <v>26</v>
      </c>
      <c r="L9" s="53"/>
      <c r="M9" s="104"/>
      <c r="N9" s="104"/>
      <c r="O9" s="104"/>
      <c r="P9" s="104"/>
      <c r="Q9" s="104"/>
      <c r="R9" s="104"/>
      <c r="S9" s="104"/>
      <c r="T9" s="104"/>
    </row>
    <row r="10" spans="1:20" ht="15.6">
      <c r="A10" s="26" t="str">
        <v>K166</v>
      </c>
      <c r="B10" s="27" t="str">
        <v>NY</v>
      </c>
      <c r="C10" s="27" t="str">
        <f>Sites[[#This Row],[SOL'#]]</f>
        <v>SOL-10363</v>
      </c>
      <c r="D10" s="9">
        <v>10743.5</v>
      </c>
      <c r="E10" s="14">
        <v>17382.57</v>
      </c>
      <c r="F10" s="14">
        <f t="shared" si="0"/>
        <v>-6639.07</v>
      </c>
      <c r="G10" s="15">
        <f t="shared" si="1"/>
        <v>-0.38193834398480775</v>
      </c>
      <c r="H10" s="16">
        <v>12125.14</v>
      </c>
      <c r="I10" s="16">
        <f t="shared" si="3"/>
        <v>-1381.6399999999994</v>
      </c>
      <c r="J10" s="15">
        <f t="shared" si="2"/>
        <v>-0.11394837502907179</v>
      </c>
      <c r="K10" s="50" t="s">
        <v>26</v>
      </c>
      <c r="L10" s="52"/>
      <c r="M10" s="104"/>
      <c r="N10" s="104"/>
      <c r="O10" s="104"/>
      <c r="P10" s="104"/>
      <c r="Q10" s="104"/>
      <c r="R10" s="104"/>
      <c r="S10" s="104"/>
      <c r="T10" s="104"/>
    </row>
    <row r="11" spans="1:20" ht="15.6">
      <c r="A11" s="24" t="str">
        <v>K206</v>
      </c>
      <c r="B11" s="25" t="str">
        <v>NY</v>
      </c>
      <c r="C11" s="25" t="str">
        <f>Sites[[#This Row],[SOL'#]]</f>
        <v>SOL-10927</v>
      </c>
      <c r="D11" s="20">
        <v>7155.197649576</v>
      </c>
      <c r="E11" s="10">
        <v>11256.59</v>
      </c>
      <c r="F11" s="10">
        <f t="shared" si="0"/>
        <v>-4101.3923504240001</v>
      </c>
      <c r="G11" s="11">
        <f t="shared" si="1"/>
        <v>-0.36435477799440152</v>
      </c>
      <c r="H11" s="12">
        <v>6894</v>
      </c>
      <c r="I11" s="12">
        <f t="shared" si="3"/>
        <v>261.197649576</v>
      </c>
      <c r="J11" s="13">
        <f t="shared" si="2"/>
        <v>3.7887677629242819E-2</v>
      </c>
      <c r="K11" s="37"/>
      <c r="L11" s="53"/>
      <c r="M11" s="104"/>
      <c r="N11" s="104"/>
      <c r="O11" s="104"/>
      <c r="P11" s="104"/>
      <c r="Q11" s="104"/>
      <c r="R11" s="104"/>
      <c r="S11" s="104"/>
      <c r="T11" s="104"/>
    </row>
    <row r="12" spans="1:20" ht="21" customHeight="1">
      <c r="A12" s="26" t="str">
        <v>K251</v>
      </c>
      <c r="B12" s="27" t="str">
        <v>NY</v>
      </c>
      <c r="C12" s="27" t="str">
        <f>Sites[[#This Row],[SOL'#]]</f>
        <v>SOL-10365</v>
      </c>
      <c r="D12" s="9">
        <v>7964.375</v>
      </c>
      <c r="E12" s="14">
        <v>0</v>
      </c>
      <c r="F12" s="14">
        <f t="shared" si="0"/>
        <v>7964.375</v>
      </c>
      <c r="G12" s="15" t="str">
        <f t="shared" si="1"/>
        <v/>
      </c>
      <c r="H12" s="16">
        <v>8525.6919999999991</v>
      </c>
      <c r="I12" s="16">
        <f t="shared" si="3"/>
        <v>-561.3169999999991</v>
      </c>
      <c r="J12" s="15">
        <f t="shared" si="2"/>
        <v>-6.5838292070602503E-2</v>
      </c>
      <c r="K12" s="98" t="s">
        <v>27</v>
      </c>
      <c r="L12" s="100" t="s">
        <v>28</v>
      </c>
      <c r="M12" s="104"/>
      <c r="N12" s="104"/>
      <c r="O12" s="104"/>
      <c r="P12" s="104"/>
      <c r="Q12" s="104"/>
      <c r="R12" s="104"/>
      <c r="S12" s="104"/>
      <c r="T12" s="104"/>
    </row>
    <row r="13" spans="1:20" ht="15.6">
      <c r="A13" s="24" t="str">
        <v>K269</v>
      </c>
      <c r="B13" s="25" t="str">
        <v>NY</v>
      </c>
      <c r="C13" s="25" t="str">
        <f>Sites[[#This Row],[SOL'#]]</f>
        <v>SOL-10366</v>
      </c>
      <c r="D13" s="20">
        <v>6631</v>
      </c>
      <c r="E13" s="10">
        <v>11493.23</v>
      </c>
      <c r="F13" s="10">
        <f t="shared" si="0"/>
        <v>-4862.2299999999996</v>
      </c>
      <c r="G13" s="11">
        <f t="shared" si="1"/>
        <v>-0.42305165736698908</v>
      </c>
      <c r="H13" s="12">
        <v>7761.9319999999998</v>
      </c>
      <c r="I13" s="12">
        <f t="shared" si="3"/>
        <v>-1130.9319999999998</v>
      </c>
      <c r="J13" s="13">
        <f t="shared" si="2"/>
        <v>-0.14570238440635655</v>
      </c>
      <c r="K13" s="37"/>
      <c r="L13" s="53"/>
      <c r="M13" s="104"/>
      <c r="N13" s="104"/>
      <c r="O13" s="104"/>
      <c r="P13" s="104"/>
      <c r="Q13" s="104"/>
      <c r="R13" s="104"/>
      <c r="S13" s="104"/>
      <c r="T13" s="104"/>
    </row>
    <row r="14" spans="1:20" ht="28.9">
      <c r="A14" s="26" t="str">
        <v>K273</v>
      </c>
      <c r="B14" s="27" t="str">
        <v>NY</v>
      </c>
      <c r="C14" s="27" t="str">
        <f>Sites[[#This Row],[SOL'#]]</f>
        <v>SOL-10367</v>
      </c>
      <c r="D14" s="9">
        <v>6884.75</v>
      </c>
      <c r="E14" s="14">
        <v>0</v>
      </c>
      <c r="F14" s="14">
        <f t="shared" si="0"/>
        <v>6884.75</v>
      </c>
      <c r="G14" s="15" t="str">
        <f t="shared" si="1"/>
        <v/>
      </c>
      <c r="H14" s="16">
        <v>9546</v>
      </c>
      <c r="I14" s="16">
        <f t="shared" si="3"/>
        <v>-2661.25</v>
      </c>
      <c r="J14" s="15">
        <f t="shared" si="2"/>
        <v>-0.27878168866540959</v>
      </c>
      <c r="K14" s="50" t="s">
        <v>29</v>
      </c>
      <c r="L14" s="100" t="s">
        <v>30</v>
      </c>
      <c r="M14" s="103" t="s">
        <v>31</v>
      </c>
      <c r="N14" s="104"/>
      <c r="O14" s="104"/>
      <c r="P14" s="104"/>
      <c r="Q14" s="104"/>
      <c r="R14" s="104"/>
      <c r="S14" s="104"/>
      <c r="T14" s="104"/>
    </row>
    <row r="15" spans="1:20" ht="15.6">
      <c r="A15" s="24" t="str">
        <v>K287</v>
      </c>
      <c r="B15" s="25" t="str">
        <v>NY</v>
      </c>
      <c r="C15" s="25" t="str">
        <f>Sites[[#This Row],[SOL'#]]</f>
        <v>SOL-10919</v>
      </c>
      <c r="D15" s="20">
        <v>6469.90625</v>
      </c>
      <c r="E15" s="10">
        <v>8103.8879999999999</v>
      </c>
      <c r="F15" s="10">
        <f t="shared" si="0"/>
        <v>-1633.9817499999999</v>
      </c>
      <c r="G15" s="11">
        <f t="shared" si="1"/>
        <v>-0.201629359882565</v>
      </c>
      <c r="H15" s="12">
        <v>7303</v>
      </c>
      <c r="I15" s="12">
        <f t="shared" si="3"/>
        <v>-833.09375</v>
      </c>
      <c r="J15" s="13">
        <f t="shared" si="2"/>
        <v>-0.11407555114336573</v>
      </c>
      <c r="K15" s="37"/>
      <c r="L15" s="53"/>
      <c r="M15" s="104"/>
      <c r="N15" s="104"/>
      <c r="O15" s="104"/>
      <c r="P15" s="104"/>
      <c r="Q15" s="104"/>
      <c r="R15" s="104"/>
      <c r="S15" s="104"/>
      <c r="T15" s="104"/>
    </row>
    <row r="16" spans="1:20" ht="18" customHeight="1">
      <c r="A16" s="26" t="str">
        <v>K298</v>
      </c>
      <c r="B16" s="27" t="str">
        <v>NY</v>
      </c>
      <c r="C16" s="27" t="str">
        <f>Sites[[#This Row],[SOL'#]]</f>
        <v>SOL-10368</v>
      </c>
      <c r="D16" s="9">
        <v>4878.34375</v>
      </c>
      <c r="E16" s="14">
        <v>10470.4</v>
      </c>
      <c r="F16" s="14">
        <f t="shared" si="0"/>
        <v>-5592.0562499999996</v>
      </c>
      <c r="G16" s="15">
        <f t="shared" si="1"/>
        <v>-0.53408238940250607</v>
      </c>
      <c r="H16" s="16">
        <v>6119</v>
      </c>
      <c r="I16" s="16">
        <f t="shared" si="3"/>
        <v>-1240.65625</v>
      </c>
      <c r="J16" s="15">
        <f t="shared" si="2"/>
        <v>-0.20275473933649288</v>
      </c>
      <c r="K16" s="131" t="s">
        <v>26</v>
      </c>
      <c r="L16" s="52"/>
      <c r="M16" s="104"/>
      <c r="N16" s="104"/>
      <c r="O16" s="104"/>
      <c r="P16" s="104"/>
      <c r="Q16" s="104"/>
      <c r="R16" s="104"/>
      <c r="S16" s="104"/>
      <c r="T16" s="104"/>
    </row>
    <row r="17" spans="1:20" ht="15.6">
      <c r="A17" s="24" t="str">
        <v>K335</v>
      </c>
      <c r="B17" s="25" t="str">
        <v>NY</v>
      </c>
      <c r="C17" s="25" t="str">
        <f>Sites[[#This Row],[SOL'#]]</f>
        <v>SOL-10370</v>
      </c>
      <c r="D17" s="20">
        <v>6585.9375</v>
      </c>
      <c r="E17" s="10">
        <v>11111.72</v>
      </c>
      <c r="F17" s="10">
        <f t="shared" si="0"/>
        <v>-4525.7824999999993</v>
      </c>
      <c r="G17" s="11">
        <f t="shared" si="1"/>
        <v>-0.40729810506384245</v>
      </c>
      <c r="H17" s="12">
        <v>8179</v>
      </c>
      <c r="I17" s="12">
        <f t="shared" si="3"/>
        <v>-1593.0625</v>
      </c>
      <c r="J17" s="13">
        <f t="shared" si="2"/>
        <v>-0.19477472796185352</v>
      </c>
      <c r="K17" s="37"/>
      <c r="L17" s="53"/>
      <c r="M17" s="104"/>
      <c r="N17" s="104"/>
      <c r="O17" s="104"/>
      <c r="P17" s="104"/>
      <c r="Q17" s="104"/>
      <c r="R17" s="104"/>
      <c r="S17" s="104"/>
      <c r="T17" s="104"/>
    </row>
    <row r="18" spans="1:20" ht="15.6">
      <c r="A18" s="26" t="str">
        <v>K345</v>
      </c>
      <c r="B18" s="27" t="str">
        <v>NY</v>
      </c>
      <c r="C18" s="27" t="str">
        <f>Sites[[#This Row],[SOL'#]]</f>
        <v>SOL-10920</v>
      </c>
      <c r="D18" s="9">
        <v>7617.6813281250097</v>
      </c>
      <c r="E18" s="14">
        <v>8115.26</v>
      </c>
      <c r="F18" s="14">
        <f t="shared" si="0"/>
        <v>-497.5786718749905</v>
      </c>
      <c r="G18" s="15">
        <f t="shared" si="1"/>
        <v>-6.1313953203593043E-2</v>
      </c>
      <c r="H18" s="16">
        <v>6910</v>
      </c>
      <c r="I18" s="16">
        <f t="shared" si="3"/>
        <v>707.68132812500971</v>
      </c>
      <c r="J18" s="15">
        <f t="shared" si="2"/>
        <v>0.1024140851121577</v>
      </c>
      <c r="K18" s="50"/>
      <c r="L18" s="52"/>
      <c r="M18" s="104"/>
      <c r="N18" s="104"/>
      <c r="O18" s="104"/>
      <c r="P18" s="104"/>
      <c r="Q18" s="104"/>
      <c r="R18" s="104"/>
      <c r="S18" s="104"/>
      <c r="T18" s="104"/>
    </row>
    <row r="19" spans="1:20" ht="15.6">
      <c r="A19" s="24" t="str">
        <v>K445</v>
      </c>
      <c r="B19" s="25" t="str">
        <v>NY</v>
      </c>
      <c r="C19" s="25" t="str">
        <f>Sites[[#This Row],[SOL'#]]</f>
        <v>SOL-10373</v>
      </c>
      <c r="D19" s="20">
        <v>7247.96875</v>
      </c>
      <c r="E19" s="10">
        <v>11595.77</v>
      </c>
      <c r="F19" s="10">
        <f t="shared" si="0"/>
        <v>-4347.8012500000004</v>
      </c>
      <c r="G19" s="11">
        <f t="shared" si="1"/>
        <v>-0.37494717901441649</v>
      </c>
      <c r="H19" s="12">
        <v>6816.6750000000002</v>
      </c>
      <c r="I19" s="12">
        <f t="shared" si="3"/>
        <v>431.29374999999982</v>
      </c>
      <c r="J19" s="13">
        <f t="shared" si="2"/>
        <v>6.3270399424939547E-2</v>
      </c>
      <c r="K19" s="37"/>
      <c r="L19" s="53"/>
      <c r="M19" s="104"/>
      <c r="N19" s="104"/>
      <c r="O19" s="104"/>
      <c r="P19" s="104"/>
      <c r="Q19" s="104"/>
      <c r="R19" s="104"/>
      <c r="S19" s="104"/>
      <c r="T19" s="104"/>
    </row>
    <row r="20" spans="1:20" ht="15.6">
      <c r="A20" s="26" t="str">
        <v>K495</v>
      </c>
      <c r="B20" s="27" t="str">
        <v>NY</v>
      </c>
      <c r="C20" s="27" t="str">
        <f>Sites[[#This Row],[SOL'#]]</f>
        <v>SOL-10374</v>
      </c>
      <c r="D20" s="9">
        <v>0</v>
      </c>
      <c r="E20" s="14">
        <v>32841.14</v>
      </c>
      <c r="F20" s="14">
        <f t="shared" si="0"/>
        <v>-32841.14</v>
      </c>
      <c r="G20" s="15">
        <f t="shared" si="1"/>
        <v>-1</v>
      </c>
      <c r="H20" s="16">
        <v>33557</v>
      </c>
      <c r="I20" s="16">
        <f t="shared" si="3"/>
        <v>-33557</v>
      </c>
      <c r="J20" s="15">
        <f t="shared" si="2"/>
        <v>-1</v>
      </c>
      <c r="K20" s="50" t="s">
        <v>32</v>
      </c>
      <c r="L20" s="100" t="s">
        <v>33</v>
      </c>
      <c r="M20" s="104"/>
      <c r="N20" s="104"/>
      <c r="O20" s="104"/>
      <c r="P20" s="104"/>
      <c r="Q20" s="104"/>
      <c r="R20" s="104"/>
      <c r="S20" s="104"/>
      <c r="T20" s="104"/>
    </row>
    <row r="21" spans="1:20" ht="15.6">
      <c r="A21" s="24" t="str">
        <v>M020</v>
      </c>
      <c r="B21" s="25" t="str">
        <v>NY</v>
      </c>
      <c r="C21" s="25" t="str">
        <f>Sites[[#This Row],[SOL'#]]</f>
        <v>SOL-10380</v>
      </c>
      <c r="D21" s="20">
        <v>7114.65625</v>
      </c>
      <c r="E21" s="10">
        <v>10428.83</v>
      </c>
      <c r="F21" s="10">
        <f t="shared" si="0"/>
        <v>-3314.1737499999999</v>
      </c>
      <c r="G21" s="11">
        <f t="shared" si="1"/>
        <v>-0.31778960343585999</v>
      </c>
      <c r="H21" s="12">
        <v>9125</v>
      </c>
      <c r="I21" s="12">
        <f t="shared" si="3"/>
        <v>-2010.34375</v>
      </c>
      <c r="J21" s="13">
        <f t="shared" si="2"/>
        <v>-0.22031164383561644</v>
      </c>
      <c r="K21" s="37" t="s">
        <v>26</v>
      </c>
      <c r="L21" s="53"/>
      <c r="M21" s="104"/>
      <c r="N21" s="104"/>
      <c r="O21" s="104"/>
      <c r="P21" s="104"/>
      <c r="Q21" s="104"/>
      <c r="R21" s="104"/>
      <c r="S21" s="104"/>
      <c r="T21" s="104"/>
    </row>
    <row r="22" spans="1:20" ht="15.6">
      <c r="A22" s="26" t="str">
        <v>M092</v>
      </c>
      <c r="B22" s="27" t="str">
        <v>NY</v>
      </c>
      <c r="C22" s="27" t="str">
        <f>Sites[[#This Row],[SOL'#]]</f>
        <v>SOL-10383</v>
      </c>
      <c r="D22" s="9">
        <v>7110.6875000001201</v>
      </c>
      <c r="E22" s="14">
        <v>11229.76</v>
      </c>
      <c r="F22" s="14">
        <f t="shared" si="0"/>
        <v>-4119.0724999998802</v>
      </c>
      <c r="G22" s="15">
        <f t="shared" si="1"/>
        <v>-0.36679969117771705</v>
      </c>
      <c r="H22" s="16">
        <v>8178.46</v>
      </c>
      <c r="I22" s="16">
        <f t="shared" si="3"/>
        <v>-1067.77249999988</v>
      </c>
      <c r="J22" s="15">
        <f t="shared" si="2"/>
        <v>-0.13055911504120335</v>
      </c>
      <c r="K22" s="50" t="s">
        <v>26</v>
      </c>
      <c r="L22" s="52"/>
      <c r="M22" s="104"/>
      <c r="N22" s="104"/>
      <c r="O22" s="104"/>
      <c r="P22" s="104"/>
      <c r="Q22" s="104"/>
      <c r="R22" s="104"/>
      <c r="S22" s="104"/>
      <c r="T22" s="104"/>
    </row>
    <row r="23" spans="1:20" ht="15.6">
      <c r="A23" s="24" t="str">
        <v>M143</v>
      </c>
      <c r="B23" s="25" t="str">
        <v>NY</v>
      </c>
      <c r="C23" s="25" t="str">
        <f>Sites[[#This Row],[SOL'#]]</f>
        <v>SOL-10384</v>
      </c>
      <c r="D23" s="20">
        <v>7303.28125</v>
      </c>
      <c r="E23" s="10">
        <v>10937.18</v>
      </c>
      <c r="F23" s="10">
        <f t="shared" si="0"/>
        <v>-3633.8987500000003</v>
      </c>
      <c r="G23" s="11">
        <f t="shared" si="1"/>
        <v>-0.33225189216964524</v>
      </c>
      <c r="H23" s="12">
        <v>8702.7440000000006</v>
      </c>
      <c r="I23" s="12">
        <f t="shared" si="3"/>
        <v>-1399.4627500000006</v>
      </c>
      <c r="J23" s="13">
        <f t="shared" si="2"/>
        <v>-0.16080706843726536</v>
      </c>
      <c r="K23" s="37" t="s">
        <v>26</v>
      </c>
      <c r="L23" s="53"/>
      <c r="M23" s="104"/>
      <c r="N23" s="104"/>
      <c r="O23" s="104"/>
      <c r="P23" s="104"/>
      <c r="Q23" s="104"/>
      <c r="R23" s="104"/>
      <c r="S23" s="104"/>
      <c r="T23" s="104"/>
    </row>
    <row r="24" spans="1:20" ht="15.6">
      <c r="A24" s="26" t="str">
        <v>M144</v>
      </c>
      <c r="B24" s="27" t="str">
        <v>NY</v>
      </c>
      <c r="C24" s="27" t="str">
        <f>Sites[[#This Row],[SOL'#]]</f>
        <v>SOL-10385</v>
      </c>
      <c r="D24" s="9">
        <v>12171.125</v>
      </c>
      <c r="E24" s="14">
        <v>0</v>
      </c>
      <c r="F24" s="14">
        <f t="shared" si="0"/>
        <v>12171.125</v>
      </c>
      <c r="G24" s="15" t="str">
        <f t="shared" si="1"/>
        <v/>
      </c>
      <c r="H24" s="16">
        <v>13644</v>
      </c>
      <c r="I24" s="16">
        <f t="shared" si="3"/>
        <v>-1472.875</v>
      </c>
      <c r="J24" s="15">
        <f t="shared" si="2"/>
        <v>-0.10795038111990618</v>
      </c>
      <c r="K24" s="50" t="s">
        <v>26</v>
      </c>
      <c r="L24" s="51"/>
      <c r="M24" s="104"/>
      <c r="N24" s="104"/>
      <c r="O24" s="104"/>
      <c r="P24" s="104"/>
      <c r="Q24" s="104"/>
      <c r="R24" s="104"/>
      <c r="S24" s="104"/>
      <c r="T24" s="104"/>
    </row>
    <row r="25" spans="1:20" ht="15.6">
      <c r="A25" s="24" t="str">
        <v>M167</v>
      </c>
      <c r="B25" s="25" t="str">
        <v>NY</v>
      </c>
      <c r="C25" s="25" t="str">
        <f>Sites[[#This Row],[SOL'#]]</f>
        <v>SOL-10386</v>
      </c>
      <c r="D25" s="20">
        <v>6736.5</v>
      </c>
      <c r="E25" s="10">
        <v>8426.0560000000005</v>
      </c>
      <c r="F25" s="10">
        <f t="shared" si="0"/>
        <v>-1689.5560000000005</v>
      </c>
      <c r="G25" s="11">
        <f t="shared" si="1"/>
        <v>-0.20051563863330607</v>
      </c>
      <c r="H25" s="12">
        <v>8106.2110000000002</v>
      </c>
      <c r="I25" s="12">
        <f t="shared" si="3"/>
        <v>-1369.7110000000002</v>
      </c>
      <c r="J25" s="13">
        <f t="shared" si="2"/>
        <v>-0.16897055850137632</v>
      </c>
      <c r="K25" s="37" t="s">
        <v>26</v>
      </c>
      <c r="L25" s="53"/>
      <c r="M25" s="104"/>
      <c r="N25" s="104"/>
      <c r="O25" s="104"/>
      <c r="P25" s="104"/>
      <c r="Q25" s="104"/>
      <c r="R25" s="104"/>
      <c r="S25" s="104"/>
      <c r="T25" s="104"/>
    </row>
    <row r="26" spans="1:20" ht="15.6">
      <c r="A26" s="26" t="str">
        <v>M188</v>
      </c>
      <c r="B26" s="27" t="str">
        <v>NY</v>
      </c>
      <c r="C26" s="27" t="str">
        <f>Sites[[#This Row],[SOL'#]]</f>
        <v>SOL-10387</v>
      </c>
      <c r="D26" s="9">
        <v>6676.81249999994</v>
      </c>
      <c r="E26" s="14">
        <v>0</v>
      </c>
      <c r="F26" s="14">
        <f t="shared" si="0"/>
        <v>6676.81249999994</v>
      </c>
      <c r="G26" s="15" t="str">
        <f t="shared" si="1"/>
        <v/>
      </c>
      <c r="H26" s="16">
        <v>6981</v>
      </c>
      <c r="I26" s="16">
        <f t="shared" si="3"/>
        <v>-304.18750000006003</v>
      </c>
      <c r="J26" s="15">
        <f t="shared" si="2"/>
        <v>-4.3573628420005735E-2</v>
      </c>
      <c r="K26" s="50"/>
      <c r="L26" s="52"/>
      <c r="M26" s="104"/>
      <c r="N26" s="104"/>
      <c r="O26" s="104"/>
      <c r="P26" s="104"/>
      <c r="Q26" s="104"/>
      <c r="R26" s="104"/>
      <c r="S26" s="104"/>
      <c r="T26" s="104"/>
    </row>
    <row r="27" spans="1:20" ht="15.6">
      <c r="A27" s="24" t="str">
        <v>EMHC</v>
      </c>
      <c r="B27" s="25" t="str">
        <v>NY</v>
      </c>
      <c r="C27" s="25" t="str">
        <f>Sites[[#This Row],[SOL'#]]</f>
        <v>SOL-10351</v>
      </c>
      <c r="D27" s="20">
        <v>1958.046875</v>
      </c>
      <c r="E27" s="10">
        <v>2171.0189999999998</v>
      </c>
      <c r="F27" s="10">
        <f t="shared" si="0"/>
        <v>-212.97212499999978</v>
      </c>
      <c r="G27" s="11">
        <f t="shared" si="1"/>
        <v>-9.8097771138806161E-2</v>
      </c>
      <c r="H27" s="12">
        <v>2319.395</v>
      </c>
      <c r="I27" s="12">
        <f t="shared" si="3"/>
        <v>-361.34812499999998</v>
      </c>
      <c r="J27" s="13">
        <f t="shared" si="2"/>
        <v>-0.155794129503599</v>
      </c>
      <c r="K27" s="37"/>
      <c r="L27" s="53"/>
      <c r="M27" s="104"/>
      <c r="N27" s="104"/>
      <c r="O27" s="104"/>
      <c r="P27" s="104"/>
      <c r="Q27" s="104"/>
      <c r="R27" s="104"/>
      <c r="S27" s="104"/>
      <c r="T27" s="104"/>
    </row>
    <row r="28" spans="1:20" ht="15.6">
      <c r="A28" s="26" t="str">
        <v>Q008</v>
      </c>
      <c r="B28" s="27" t="str">
        <v>NY</v>
      </c>
      <c r="C28" s="27" t="str">
        <f>Sites[[#This Row],[SOL'#]]</f>
        <v>SOL-10397</v>
      </c>
      <c r="D28" s="9">
        <v>11304.46875</v>
      </c>
      <c r="E28" s="14">
        <v>16377.23</v>
      </c>
      <c r="F28" s="14">
        <f t="shared" si="0"/>
        <v>-5072.7612499999996</v>
      </c>
      <c r="G28" s="15">
        <f t="shared" si="1"/>
        <v>-0.30974476452977701</v>
      </c>
      <c r="H28" s="16">
        <v>10992</v>
      </c>
      <c r="I28" s="16">
        <f t="shared" si="3"/>
        <v>312.46875</v>
      </c>
      <c r="J28" s="15">
        <f t="shared" si="2"/>
        <v>2.8426924126637554E-2</v>
      </c>
      <c r="K28" s="50" t="s">
        <v>26</v>
      </c>
      <c r="L28" s="52"/>
      <c r="M28" s="104"/>
      <c r="N28" s="104"/>
      <c r="O28" s="104"/>
      <c r="P28" s="104"/>
      <c r="Q28" s="104"/>
      <c r="R28" s="104"/>
      <c r="S28" s="104"/>
      <c r="T28" s="104"/>
    </row>
    <row r="29" spans="1:20" ht="15.6">
      <c r="A29" s="24" t="str">
        <v>Q018</v>
      </c>
      <c r="B29" s="25" t="str">
        <v>NY</v>
      </c>
      <c r="C29" s="25" t="str">
        <f>Sites[[#This Row],[SOL'#]]</f>
        <v>SOL-10398</v>
      </c>
      <c r="D29" s="20">
        <v>6700.6875</v>
      </c>
      <c r="E29" s="10">
        <v>8361.3019999999997</v>
      </c>
      <c r="F29" s="10">
        <f t="shared" si="0"/>
        <v>-1660.6144999999997</v>
      </c>
      <c r="G29" s="11">
        <f t="shared" si="1"/>
        <v>-0.19860716668289219</v>
      </c>
      <c r="H29" s="12">
        <v>6682.3109999999997</v>
      </c>
      <c r="I29" s="12">
        <f t="shared" si="3"/>
        <v>18.376500000000306</v>
      </c>
      <c r="J29" s="13">
        <f t="shared" si="2"/>
        <v>2.7500216616676934E-3</v>
      </c>
      <c r="K29" s="37" t="s">
        <v>26</v>
      </c>
      <c r="L29" s="53"/>
      <c r="M29" s="104"/>
      <c r="N29" s="104"/>
      <c r="O29" s="104"/>
      <c r="P29" s="104"/>
      <c r="Q29" s="104"/>
      <c r="R29" s="104"/>
      <c r="S29" s="104"/>
      <c r="T29" s="104"/>
    </row>
    <row r="30" spans="1:20" ht="15.6">
      <c r="A30" s="26" t="str">
        <v>Q021</v>
      </c>
      <c r="B30" s="27" t="str">
        <v>NY</v>
      </c>
      <c r="C30" s="27" t="str">
        <f>Sites[[#This Row],[SOL'#]]</f>
        <v>SOL-10399</v>
      </c>
      <c r="D30" s="9">
        <v>5780.40625</v>
      </c>
      <c r="E30" s="14">
        <v>9454.2549999999992</v>
      </c>
      <c r="F30" s="14">
        <f t="shared" si="0"/>
        <v>-3673.8487499999992</v>
      </c>
      <c r="G30" s="15">
        <f t="shared" si="1"/>
        <v>-0.38859209424751073</v>
      </c>
      <c r="H30" s="16">
        <v>5223.6469999999999</v>
      </c>
      <c r="I30" s="16">
        <f t="shared" si="3"/>
        <v>556.75925000000007</v>
      </c>
      <c r="J30" s="15">
        <f t="shared" si="2"/>
        <v>0.10658439400671602</v>
      </c>
      <c r="K30" s="50" t="s">
        <v>26</v>
      </c>
      <c r="L30" s="51"/>
      <c r="M30" s="104"/>
      <c r="N30" s="104"/>
      <c r="O30" s="104"/>
      <c r="P30" s="104"/>
      <c r="Q30" s="104"/>
      <c r="R30" s="104"/>
      <c r="S30" s="104"/>
      <c r="T30" s="104"/>
    </row>
    <row r="31" spans="1:20" ht="15.6">
      <c r="A31" s="24" t="str">
        <v>Q025</v>
      </c>
      <c r="B31" s="25" t="str">
        <v>NY</v>
      </c>
      <c r="C31" s="25" t="str">
        <f>Sites[[#This Row],[SOL'#]]</f>
        <v>SOL-10400</v>
      </c>
      <c r="D31" s="20">
        <v>9494.875</v>
      </c>
      <c r="E31" s="10">
        <v>13415.23</v>
      </c>
      <c r="F31" s="10">
        <f t="shared" si="0"/>
        <v>-3920.3549999999996</v>
      </c>
      <c r="G31" s="11">
        <f t="shared" si="1"/>
        <v>-0.29223166505531395</v>
      </c>
      <c r="H31" s="12">
        <v>7767</v>
      </c>
      <c r="I31" s="12">
        <f t="shared" si="3"/>
        <v>1727.875</v>
      </c>
      <c r="J31" s="13">
        <f t="shared" si="2"/>
        <v>0.22246362817046478</v>
      </c>
      <c r="K31" s="37" t="s">
        <v>26</v>
      </c>
      <c r="L31" s="53"/>
      <c r="M31" s="104"/>
      <c r="N31" s="104"/>
      <c r="O31" s="104"/>
      <c r="P31" s="104"/>
      <c r="Q31" s="104"/>
      <c r="R31" s="104"/>
      <c r="S31" s="104"/>
      <c r="T31" s="104"/>
    </row>
    <row r="32" spans="1:20" ht="15.6">
      <c r="A32" s="26" t="str">
        <v>Q074</v>
      </c>
      <c r="B32" s="27" t="str">
        <v>NY</v>
      </c>
      <c r="C32" s="27" t="str">
        <f>Sites[[#This Row],[SOL'#]]</f>
        <v>SOL-10402</v>
      </c>
      <c r="D32" s="9">
        <v>5694.625</v>
      </c>
      <c r="E32" s="14">
        <v>7433.2870000000003</v>
      </c>
      <c r="F32" s="14">
        <f t="shared" si="0"/>
        <v>-1738.6620000000003</v>
      </c>
      <c r="G32" s="15">
        <f t="shared" si="1"/>
        <v>-0.23390217544405326</v>
      </c>
      <c r="H32" s="16">
        <v>6035.1019999999999</v>
      </c>
      <c r="I32" s="16">
        <f t="shared" si="3"/>
        <v>-340.47699999999986</v>
      </c>
      <c r="J32" s="15">
        <f t="shared" si="2"/>
        <v>-5.6416113596754434E-2</v>
      </c>
      <c r="K32" s="50" t="s">
        <v>34</v>
      </c>
      <c r="L32" s="100" t="s">
        <v>35</v>
      </c>
      <c r="M32" s="104"/>
      <c r="N32" s="104"/>
      <c r="O32" s="104"/>
      <c r="P32" s="104"/>
      <c r="Q32" s="104"/>
      <c r="R32" s="104"/>
      <c r="S32" s="104"/>
      <c r="T32" s="104"/>
    </row>
    <row r="33" spans="1:20" ht="15.6">
      <c r="A33" s="24" t="str">
        <v>Q115</v>
      </c>
      <c r="B33" s="25" t="str">
        <v>NY</v>
      </c>
      <c r="C33" s="25" t="str">
        <f>Sites[[#This Row],[SOL'#]]</f>
        <v>SOL-10872</v>
      </c>
      <c r="D33" s="20">
        <v>7869.5625</v>
      </c>
      <c r="E33" s="10">
        <v>12376.31</v>
      </c>
      <c r="F33" s="10">
        <f t="shared" si="0"/>
        <v>-4506.7474999999995</v>
      </c>
      <c r="G33" s="11">
        <f t="shared" si="1"/>
        <v>-0.36414306849133543</v>
      </c>
      <c r="H33" s="12">
        <v>8154.5069999999996</v>
      </c>
      <c r="I33" s="12">
        <f t="shared" si="3"/>
        <v>-284.94449999999961</v>
      </c>
      <c r="J33" s="13">
        <f t="shared" si="2"/>
        <v>-3.494319153812727E-2</v>
      </c>
      <c r="K33" s="37"/>
      <c r="L33" s="53"/>
      <c r="M33" s="104"/>
      <c r="N33" s="104"/>
      <c r="O33" s="104"/>
      <c r="P33" s="104"/>
      <c r="Q33" s="104"/>
      <c r="R33" s="104"/>
      <c r="S33" s="104"/>
      <c r="T33" s="104"/>
    </row>
    <row r="34" spans="1:20" ht="15.6">
      <c r="A34" s="26" t="str">
        <v>Q139</v>
      </c>
      <c r="B34" s="27" t="str">
        <v>NY</v>
      </c>
      <c r="C34" s="27" t="str">
        <f>Sites[[#This Row],[SOL'#]]</f>
        <v>SOL-10403</v>
      </c>
      <c r="D34" s="9">
        <v>5074.71874999994</v>
      </c>
      <c r="E34" s="14">
        <v>6806.3190000000004</v>
      </c>
      <c r="F34" s="14">
        <f t="shared" si="0"/>
        <v>-1731.6002500000604</v>
      </c>
      <c r="G34" s="15">
        <f t="shared" si="1"/>
        <v>-0.25441068072184986</v>
      </c>
      <c r="H34" s="16">
        <v>5168</v>
      </c>
      <c r="I34" s="16">
        <f t="shared" si="3"/>
        <v>-93.281250000060027</v>
      </c>
      <c r="J34" s="15">
        <f t="shared" si="2"/>
        <v>-1.80497774767918E-2</v>
      </c>
      <c r="K34" s="50"/>
      <c r="L34" s="52"/>
      <c r="M34" s="104"/>
      <c r="N34" s="104"/>
      <c r="O34" s="104"/>
      <c r="P34" s="104"/>
      <c r="Q34" s="104"/>
      <c r="R34" s="104"/>
      <c r="S34" s="104"/>
      <c r="T34" s="104"/>
    </row>
    <row r="35" spans="1:20" ht="39.6">
      <c r="A35" s="24" t="str">
        <v>Q157</v>
      </c>
      <c r="B35" s="25" t="str">
        <v>NY</v>
      </c>
      <c r="C35" s="25" t="str">
        <f>Sites[[#This Row],[SOL'#]]</f>
        <v>SOL-10404</v>
      </c>
      <c r="D35" s="20">
        <v>7985.125</v>
      </c>
      <c r="E35" s="10">
        <v>13511.83</v>
      </c>
      <c r="F35" s="10">
        <f t="shared" si="0"/>
        <v>-5526.7049999999999</v>
      </c>
      <c r="G35" s="11">
        <f t="shared" si="1"/>
        <v>-0.40902712659943175</v>
      </c>
      <c r="H35" s="12">
        <v>9200.2710000000006</v>
      </c>
      <c r="I35" s="12">
        <f t="shared" si="3"/>
        <v>-1215.1460000000006</v>
      </c>
      <c r="J35" s="13">
        <f t="shared" si="2"/>
        <v>-0.13207719642171417</v>
      </c>
      <c r="K35" s="37" t="s">
        <v>36</v>
      </c>
      <c r="L35" s="99" t="s">
        <v>37</v>
      </c>
      <c r="M35" s="103" t="s">
        <v>38</v>
      </c>
      <c r="N35" s="104"/>
      <c r="O35" s="104"/>
      <c r="P35" s="104"/>
      <c r="Q35" s="104"/>
      <c r="R35" s="104"/>
      <c r="S35" s="104"/>
      <c r="T35" s="104"/>
    </row>
    <row r="36" spans="1:20" ht="15.6">
      <c r="A36" s="26" t="str">
        <v>Q192</v>
      </c>
      <c r="B36" s="27" t="str">
        <v>NY</v>
      </c>
      <c r="C36" s="27" t="str">
        <f>Sites[[#This Row],[SOL'#]]</f>
        <v>SOL-10406</v>
      </c>
      <c r="D36" s="9">
        <v>13490.125</v>
      </c>
      <c r="E36" s="14">
        <v>19580.54</v>
      </c>
      <c r="F36" s="14">
        <f t="shared" si="0"/>
        <v>-6090.4150000000009</v>
      </c>
      <c r="G36" s="15">
        <f t="shared" si="1"/>
        <v>-0.31104428172052462</v>
      </c>
      <c r="H36" s="16">
        <v>13910.41</v>
      </c>
      <c r="I36" s="16">
        <f t="shared" si="3"/>
        <v>-420.28499999999985</v>
      </c>
      <c r="J36" s="15">
        <f t="shared" si="2"/>
        <v>-3.0213703262520649E-2</v>
      </c>
      <c r="K36" s="50"/>
      <c r="L36" s="51"/>
      <c r="M36" s="104"/>
      <c r="N36" s="104"/>
      <c r="O36" s="104"/>
      <c r="P36" s="104"/>
      <c r="Q36" s="104"/>
      <c r="R36" s="104"/>
      <c r="S36" s="104"/>
      <c r="T36" s="104"/>
    </row>
    <row r="37" spans="1:20" ht="15.6">
      <c r="A37" s="24" t="str">
        <v>Q210</v>
      </c>
      <c r="B37" s="25" t="str">
        <v>NY</v>
      </c>
      <c r="C37" s="25" t="str">
        <f>Sites[[#This Row],[SOL'#]]</f>
        <v>SOL-10407</v>
      </c>
      <c r="D37" s="20">
        <v>11766.375</v>
      </c>
      <c r="E37" s="10">
        <v>14293.21</v>
      </c>
      <c r="F37" s="10">
        <f t="shared" si="0"/>
        <v>-2526.8349999999991</v>
      </c>
      <c r="G37" s="11">
        <f t="shared" si="1"/>
        <v>-0.17678569054816934</v>
      </c>
      <c r="H37" s="12">
        <v>11622</v>
      </c>
      <c r="I37" s="12">
        <f t="shared" si="3"/>
        <v>144.375</v>
      </c>
      <c r="J37" s="13">
        <f t="shared" si="2"/>
        <v>1.2422560660815695E-2</v>
      </c>
      <c r="K37" s="37"/>
      <c r="L37" s="53"/>
      <c r="M37" s="104"/>
      <c r="N37" s="104"/>
      <c r="O37" s="104"/>
      <c r="P37" s="104"/>
      <c r="Q37" s="104"/>
      <c r="R37" s="104"/>
      <c r="S37" s="104"/>
      <c r="T37" s="104"/>
    </row>
    <row r="38" spans="1:20" ht="15.6">
      <c r="A38" s="26" t="str">
        <v>Q229</v>
      </c>
      <c r="B38" s="27" t="str">
        <v>NY</v>
      </c>
      <c r="C38" s="27" t="str">
        <f>Sites[[#This Row],[SOL'#]]</f>
        <v>SOL-10408</v>
      </c>
      <c r="D38" s="9">
        <v>4152.53125</v>
      </c>
      <c r="E38" s="14">
        <v>7352.509</v>
      </c>
      <c r="F38" s="14">
        <f t="shared" si="0"/>
        <v>-3199.97775</v>
      </c>
      <c r="G38" s="15">
        <f t="shared" si="1"/>
        <v>-0.43522255464087156</v>
      </c>
      <c r="H38" s="16">
        <v>3687.114</v>
      </c>
      <c r="I38" s="16">
        <f t="shared" si="3"/>
        <v>465.41724999999997</v>
      </c>
      <c r="J38" s="15">
        <f t="shared" si="2"/>
        <v>0.12622806075429183</v>
      </c>
      <c r="K38" s="50"/>
      <c r="L38" s="52"/>
      <c r="M38" s="104"/>
      <c r="N38" s="104"/>
      <c r="O38" s="104"/>
      <c r="P38" s="104"/>
      <c r="Q38" s="104"/>
      <c r="R38" s="104"/>
      <c r="S38" s="104"/>
      <c r="T38" s="104"/>
    </row>
    <row r="39" spans="1:20" ht="15.6">
      <c r="A39" s="24" t="str">
        <v>Q231</v>
      </c>
      <c r="B39" s="25" t="str">
        <v>NY</v>
      </c>
      <c r="C39" s="25" t="str">
        <f>Sites[[#This Row],[SOL'#]]</f>
        <v>SOL-10870</v>
      </c>
      <c r="D39" s="20">
        <v>17624.25</v>
      </c>
      <c r="E39" s="10">
        <v>30638.85</v>
      </c>
      <c r="F39" s="10">
        <f t="shared" si="0"/>
        <v>-13014.599999999999</v>
      </c>
      <c r="G39" s="11">
        <f t="shared" si="1"/>
        <v>-0.42477442854415226</v>
      </c>
      <c r="H39" s="12">
        <v>16899</v>
      </c>
      <c r="I39" s="12">
        <f t="shared" si="3"/>
        <v>725.25</v>
      </c>
      <c r="J39" s="13">
        <f t="shared" si="2"/>
        <v>4.2916740635540566E-2</v>
      </c>
      <c r="K39" s="37"/>
      <c r="L39" s="53"/>
      <c r="M39" s="104"/>
      <c r="N39" s="104"/>
      <c r="O39" s="104"/>
      <c r="P39" s="104"/>
      <c r="Q39" s="104"/>
      <c r="R39" s="104"/>
      <c r="S39" s="104"/>
      <c r="T39" s="104"/>
    </row>
    <row r="40" spans="1:20" ht="15.6">
      <c r="A40" s="26" t="str">
        <v>Q405</v>
      </c>
      <c r="B40" s="27" t="str">
        <v>NY</v>
      </c>
      <c r="C40" s="27" t="str">
        <f>Sites[[#This Row],[SOL'#]]</f>
        <v>SOL-10409</v>
      </c>
      <c r="D40" s="9">
        <v>21223.625</v>
      </c>
      <c r="E40" s="14">
        <v>28842.48</v>
      </c>
      <c r="F40" s="14">
        <f t="shared" si="0"/>
        <v>-7618.8549999999996</v>
      </c>
      <c r="G40" s="15">
        <f t="shared" si="1"/>
        <v>-0.26415394931365122</v>
      </c>
      <c r="H40" s="16">
        <v>20777.84</v>
      </c>
      <c r="I40" s="16">
        <f t="shared" si="3"/>
        <v>445.78499999999985</v>
      </c>
      <c r="J40" s="15">
        <f t="shared" si="2"/>
        <v>2.1454828798373644E-2</v>
      </c>
      <c r="K40" s="50"/>
      <c r="L40" s="52"/>
      <c r="M40" s="104"/>
      <c r="N40" s="104"/>
      <c r="O40" s="104"/>
      <c r="P40" s="104"/>
      <c r="Q40" s="104"/>
      <c r="R40" s="104"/>
      <c r="S40" s="104"/>
      <c r="T40" s="104"/>
    </row>
    <row r="41" spans="1:20" ht="15.6">
      <c r="A41" s="24" t="str">
        <v>Q435</v>
      </c>
      <c r="B41" s="25" t="str">
        <v>NY</v>
      </c>
      <c r="C41" s="25" t="str">
        <f>Sites[[#This Row],[SOL'#]]</f>
        <v>SOL-10923</v>
      </c>
      <c r="D41" s="20">
        <v>27409.75</v>
      </c>
      <c r="E41" s="10">
        <v>28681.61</v>
      </c>
      <c r="F41" s="10">
        <f t="shared" si="0"/>
        <v>-1271.8600000000006</v>
      </c>
      <c r="G41" s="11">
        <f t="shared" si="1"/>
        <v>-4.4344093654435736E-2</v>
      </c>
      <c r="H41" s="12">
        <v>25692</v>
      </c>
      <c r="I41" s="12">
        <f t="shared" si="3"/>
        <v>1717.75</v>
      </c>
      <c r="J41" s="13">
        <f t="shared" si="2"/>
        <v>6.6859333644714303E-2</v>
      </c>
      <c r="K41" s="37"/>
      <c r="L41" s="53"/>
      <c r="M41" s="104"/>
      <c r="N41" s="104"/>
      <c r="O41" s="104"/>
      <c r="P41" s="104"/>
      <c r="Q41" s="104"/>
      <c r="R41" s="104"/>
      <c r="S41" s="104"/>
      <c r="T41" s="104"/>
    </row>
    <row r="42" spans="1:20" ht="28.9">
      <c r="A42" s="26" t="str">
        <v>Q485</v>
      </c>
      <c r="B42" s="27" t="str">
        <v>NY</v>
      </c>
      <c r="C42" s="27" t="str">
        <f>Sites[[#This Row],[SOL'#]]</f>
        <v>SOL-10869</v>
      </c>
      <c r="D42" s="9">
        <v>25454.25</v>
      </c>
      <c r="E42" s="14">
        <v>27297.56</v>
      </c>
      <c r="F42" s="14">
        <f t="shared" si="0"/>
        <v>-1843.3100000000013</v>
      </c>
      <c r="G42" s="15">
        <f t="shared" si="1"/>
        <v>-6.7526548160348449E-2</v>
      </c>
      <c r="H42" s="16">
        <v>23827.9</v>
      </c>
      <c r="I42" s="16">
        <f t="shared" si="3"/>
        <v>1626.3499999999985</v>
      </c>
      <c r="J42" s="15">
        <f t="shared" si="2"/>
        <v>6.8254021546170607E-2</v>
      </c>
      <c r="K42" s="50" t="s">
        <v>39</v>
      </c>
      <c r="L42" s="100" t="s">
        <v>40</v>
      </c>
      <c r="M42" s="104"/>
      <c r="N42" s="104"/>
      <c r="O42" s="104"/>
      <c r="P42" s="104"/>
      <c r="Q42" s="104"/>
      <c r="R42" s="104"/>
      <c r="S42" s="104"/>
      <c r="T42" s="104"/>
    </row>
    <row r="43" spans="1:20" ht="57.6">
      <c r="A43" s="24" t="str">
        <v>Q490</v>
      </c>
      <c r="B43" s="25" t="str">
        <v>NY</v>
      </c>
      <c r="C43" s="25" t="str">
        <f>Sites[[#This Row],[SOL'#]]</f>
        <v>SOL-10411</v>
      </c>
      <c r="D43" s="20">
        <v>17658.5577889448</v>
      </c>
      <c r="E43" s="10">
        <v>0</v>
      </c>
      <c r="F43" s="10">
        <f t="shared" si="0"/>
        <v>17658.5577889448</v>
      </c>
      <c r="G43" s="11" t="str">
        <f t="shared" si="1"/>
        <v/>
      </c>
      <c r="H43" s="12">
        <v>16846.57</v>
      </c>
      <c r="I43" s="12">
        <f t="shared" si="3"/>
        <v>811.98778894479983</v>
      </c>
      <c r="J43" s="13">
        <f t="shared" si="2"/>
        <v>4.8198997715546837E-2</v>
      </c>
      <c r="K43" s="37" t="s">
        <v>41</v>
      </c>
      <c r="L43" s="99" t="s">
        <v>42</v>
      </c>
      <c r="M43" s="104"/>
      <c r="N43" s="104"/>
      <c r="O43" s="104"/>
      <c r="P43" s="104"/>
      <c r="Q43" s="104"/>
      <c r="R43" s="104"/>
      <c r="S43" s="104"/>
      <c r="T43" s="104"/>
    </row>
    <row r="44" spans="1:20" ht="15.6">
      <c r="A44" s="26" t="str">
        <v>Q620</v>
      </c>
      <c r="B44" s="27" t="str">
        <v>NY</v>
      </c>
      <c r="C44" s="27" t="str">
        <f>Sites[[#This Row],[SOL'#]]</f>
        <v>SOL-10867</v>
      </c>
      <c r="D44" s="9">
        <v>26364.625</v>
      </c>
      <c r="E44" s="14">
        <v>35204.15</v>
      </c>
      <c r="F44" s="14">
        <f t="shared" si="0"/>
        <v>-8839.5250000000015</v>
      </c>
      <c r="G44" s="15">
        <f t="shared" si="1"/>
        <v>-0.25109326599278781</v>
      </c>
      <c r="H44" s="16">
        <v>27281.47</v>
      </c>
      <c r="I44" s="16">
        <f t="shared" si="3"/>
        <v>-916.84500000000116</v>
      </c>
      <c r="J44" s="15">
        <f t="shared" si="2"/>
        <v>-3.3606876755541443E-2</v>
      </c>
      <c r="K44" s="50"/>
      <c r="L44" s="52"/>
      <c r="M44" s="104"/>
      <c r="N44" s="104"/>
      <c r="O44" s="104"/>
      <c r="P44" s="104"/>
      <c r="Q44" s="104"/>
      <c r="R44" s="104"/>
      <c r="S44" s="104"/>
      <c r="T44" s="104"/>
    </row>
    <row r="45" spans="1:20" ht="15.6">
      <c r="A45" s="24" t="str">
        <v>QMOA</v>
      </c>
      <c r="B45" s="25" t="str">
        <v>NY</v>
      </c>
      <c r="C45" s="25" t="str">
        <f>Sites[[#This Row],[SOL'#]]</f>
        <v>SOL-10415</v>
      </c>
      <c r="D45" s="20">
        <v>2696.5</v>
      </c>
      <c r="E45" s="10">
        <v>0</v>
      </c>
      <c r="F45" s="10">
        <f t="shared" si="0"/>
        <v>2696.5</v>
      </c>
      <c r="G45" s="11" t="str">
        <f t="shared" si="1"/>
        <v/>
      </c>
      <c r="H45" s="12">
        <v>2932.0630000000001</v>
      </c>
      <c r="I45" s="12">
        <f t="shared" si="3"/>
        <v>-235.5630000000001</v>
      </c>
      <c r="J45" s="13">
        <f t="shared" si="2"/>
        <v>-8.0340361035898644E-2</v>
      </c>
      <c r="K45" s="37"/>
      <c r="L45" s="53"/>
      <c r="M45" s="104"/>
      <c r="N45" s="104"/>
      <c r="O45" s="104"/>
      <c r="P45" s="104"/>
      <c r="Q45" s="104"/>
      <c r="R45" s="104"/>
      <c r="S45" s="104"/>
      <c r="T45" s="104"/>
    </row>
    <row r="46" spans="1:20" ht="15.6">
      <c r="A46" s="26" t="str">
        <v>X024</v>
      </c>
      <c r="B46" s="27" t="str">
        <v>NY</v>
      </c>
      <c r="C46" s="27" t="str">
        <f>Sites[[#This Row],[SOL'#]]</f>
        <v>SOL-10419</v>
      </c>
      <c r="D46" s="9">
        <v>7807.09375</v>
      </c>
      <c r="E46" s="14">
        <v>15291.95</v>
      </c>
      <c r="F46" s="14">
        <f t="shared" si="0"/>
        <v>-7484.8562500000007</v>
      </c>
      <c r="G46" s="15">
        <f t="shared" si="1"/>
        <v>-0.48946381919899035</v>
      </c>
      <c r="H46" s="16">
        <v>8671</v>
      </c>
      <c r="I46" s="16">
        <f t="shared" si="3"/>
        <v>-863.90625</v>
      </c>
      <c r="J46" s="15">
        <f t="shared" si="2"/>
        <v>-9.9631674547341717E-2</v>
      </c>
      <c r="K46" s="50"/>
      <c r="L46" s="52"/>
      <c r="M46" s="104"/>
      <c r="N46" s="104"/>
      <c r="O46" s="104"/>
      <c r="P46" s="104"/>
      <c r="Q46" s="104"/>
      <c r="R46" s="104"/>
      <c r="S46" s="104"/>
      <c r="T46" s="104"/>
    </row>
    <row r="47" spans="1:20" ht="15.6">
      <c r="A47" s="24" t="str">
        <v>X026</v>
      </c>
      <c r="B47" s="25" t="str">
        <v>NY</v>
      </c>
      <c r="C47" s="25" t="str">
        <f>Sites[[#This Row],[SOL'#]]</f>
        <v>SOL-10420</v>
      </c>
      <c r="D47" s="54">
        <v>6588.3</v>
      </c>
      <c r="E47" s="10">
        <v>11626.77</v>
      </c>
      <c r="F47" s="10">
        <f t="shared" ref="F47:F52" si="4">IF(AND(ISNUMBER(D47),ISNUMBER(E47)), D47-E47, "")</f>
        <v>-5038.47</v>
      </c>
      <c r="G47" s="11">
        <f t="shared" si="1"/>
        <v>-0.43335079304054352</v>
      </c>
      <c r="H47" s="12">
        <v>11127.49</v>
      </c>
      <c r="I47" s="12">
        <f t="shared" ref="I47:I52" si="5">IF(AND(ISNUMBER(D47),ISNUMBER(H47)), D47-H47, "")</f>
        <v>-4539.1899999999996</v>
      </c>
      <c r="J47" s="13">
        <f t="shared" si="2"/>
        <v>-0.40792577661269519</v>
      </c>
      <c r="K47" s="37" t="s">
        <v>43</v>
      </c>
      <c r="L47" s="99" t="s">
        <v>44</v>
      </c>
      <c r="M47" s="104"/>
      <c r="N47" s="104"/>
      <c r="O47" s="104"/>
      <c r="P47" s="104"/>
      <c r="Q47" s="104"/>
      <c r="R47" s="104"/>
      <c r="S47" s="104"/>
      <c r="T47" s="104"/>
    </row>
    <row r="48" spans="1:20" ht="15.6">
      <c r="A48" s="26" t="str">
        <v>X090</v>
      </c>
      <c r="B48" s="27" t="str">
        <v>NY</v>
      </c>
      <c r="C48" s="27" t="str">
        <f>Sites[[#This Row],[SOL'#]]</f>
        <v>SOL-10925</v>
      </c>
      <c r="D48" s="66">
        <v>7675.09375</v>
      </c>
      <c r="E48" s="14">
        <v>6852.3220000000001</v>
      </c>
      <c r="F48" s="14">
        <f t="shared" si="4"/>
        <v>822.77174999999988</v>
      </c>
      <c r="G48" s="15">
        <f t="shared" si="1"/>
        <v>0.12007196246761315</v>
      </c>
      <c r="H48" s="16">
        <v>7353</v>
      </c>
      <c r="I48" s="16">
        <f t="shared" si="5"/>
        <v>322.09375</v>
      </c>
      <c r="J48" s="15">
        <f t="shared" si="2"/>
        <v>4.3804399564803483E-2</v>
      </c>
      <c r="K48" s="50"/>
      <c r="L48" s="51"/>
      <c r="M48" s="104"/>
      <c r="N48" s="104"/>
      <c r="O48" s="104"/>
      <c r="P48" s="104"/>
      <c r="Q48" s="104"/>
      <c r="R48" s="104"/>
      <c r="S48" s="104"/>
      <c r="T48" s="104"/>
    </row>
    <row r="49" spans="1:20" ht="15.6">
      <c r="A49" s="24" t="str">
        <v>X117</v>
      </c>
      <c r="B49" s="25" t="str">
        <v>NY</v>
      </c>
      <c r="C49" s="25" t="str">
        <f>Sites[[#This Row],[SOL'#]]</f>
        <v>SOL-10422</v>
      </c>
      <c r="D49" s="20">
        <v>5524.7</v>
      </c>
      <c r="E49" s="10">
        <v>9713.0370000000003</v>
      </c>
      <c r="F49" s="10">
        <f t="shared" si="4"/>
        <v>-4188.3370000000004</v>
      </c>
      <c r="G49" s="11">
        <f t="shared" si="1"/>
        <v>-0.43120776745728451</v>
      </c>
      <c r="H49" s="12">
        <v>6534.0249999999996</v>
      </c>
      <c r="I49" s="12">
        <f t="shared" si="5"/>
        <v>-1009.3249999999998</v>
      </c>
      <c r="J49" s="13">
        <f t="shared" si="2"/>
        <v>-0.15447216684968298</v>
      </c>
      <c r="K49" s="37" t="s">
        <v>26</v>
      </c>
      <c r="L49" s="53"/>
      <c r="M49" s="104"/>
      <c r="N49" s="104"/>
      <c r="O49" s="104"/>
      <c r="P49" s="104"/>
      <c r="Q49" s="104"/>
      <c r="R49" s="104"/>
      <c r="S49" s="104"/>
      <c r="T49" s="104"/>
    </row>
    <row r="50" spans="1:20" ht="15.6">
      <c r="A50" s="26" t="str">
        <v>X125</v>
      </c>
      <c r="B50" s="27" t="str">
        <v>NY</v>
      </c>
      <c r="C50" s="27" t="str">
        <f>Sites[[#This Row],[SOL'#]]</f>
        <v>SOL-10423</v>
      </c>
      <c r="D50" s="9">
        <v>12077.875</v>
      </c>
      <c r="E50" s="14">
        <v>16953.080000000002</v>
      </c>
      <c r="F50" s="14">
        <f t="shared" si="4"/>
        <v>-4875.2050000000017</v>
      </c>
      <c r="G50" s="15">
        <f t="shared" si="1"/>
        <v>-0.28757045917320045</v>
      </c>
      <c r="H50" s="16">
        <v>11985.79</v>
      </c>
      <c r="I50" s="16">
        <f t="shared" si="5"/>
        <v>92.084999999999127</v>
      </c>
      <c r="J50" s="15">
        <f t="shared" si="2"/>
        <v>7.6828477722368843E-3</v>
      </c>
      <c r="K50" s="50" t="s">
        <v>26</v>
      </c>
      <c r="L50" s="52"/>
      <c r="M50" s="104"/>
      <c r="N50" s="104"/>
      <c r="O50" s="104"/>
      <c r="P50" s="104"/>
      <c r="Q50" s="104"/>
      <c r="R50" s="104"/>
      <c r="S50" s="104"/>
      <c r="T50" s="104"/>
    </row>
    <row r="51" spans="1:20" ht="15.6">
      <c r="A51" s="24" t="str">
        <v>X134</v>
      </c>
      <c r="B51" s="25" t="str">
        <v>NY</v>
      </c>
      <c r="C51" s="25" t="str">
        <f>Sites[[#This Row],[SOL'#]]</f>
        <v>SOL-10424</v>
      </c>
      <c r="D51" s="20">
        <v>10465.15625</v>
      </c>
      <c r="E51" s="10">
        <v>0</v>
      </c>
      <c r="F51" s="10">
        <f t="shared" si="4"/>
        <v>10465.15625</v>
      </c>
      <c r="G51" s="11" t="str">
        <f t="shared" si="1"/>
        <v/>
      </c>
      <c r="H51" s="12">
        <v>10182</v>
      </c>
      <c r="I51" s="12">
        <f t="shared" si="5"/>
        <v>283.15625</v>
      </c>
      <c r="J51" s="13">
        <f t="shared" si="2"/>
        <v>2.7809492241209977E-2</v>
      </c>
      <c r="K51" s="37"/>
      <c r="L51" s="53"/>
      <c r="M51" s="104"/>
      <c r="N51" s="104"/>
      <c r="O51" s="104"/>
      <c r="P51" s="104"/>
      <c r="Q51" s="104"/>
      <c r="R51" s="104"/>
      <c r="S51" s="104"/>
      <c r="T51" s="104"/>
    </row>
    <row r="52" spans="1:20" ht="15.6">
      <c r="A52" s="26" t="str">
        <v>X135</v>
      </c>
      <c r="B52" s="27" t="str">
        <v>NY</v>
      </c>
      <c r="C52" s="27" t="str">
        <f>Sites[[#This Row],[SOL'#]]</f>
        <v>SOL-10425</v>
      </c>
      <c r="D52" s="9">
        <v>9755.1875</v>
      </c>
      <c r="E52" s="14">
        <v>14564.38</v>
      </c>
      <c r="F52" s="14">
        <f t="shared" si="4"/>
        <v>-4809.1924999999992</v>
      </c>
      <c r="G52" s="15">
        <f t="shared" si="1"/>
        <v>-0.33020234984256108</v>
      </c>
      <c r="H52" s="16">
        <v>9790</v>
      </c>
      <c r="I52" s="16">
        <f t="shared" si="5"/>
        <v>-34.8125</v>
      </c>
      <c r="J52" s="15">
        <f t="shared" si="2"/>
        <v>-3.5559244126659858E-3</v>
      </c>
      <c r="K52" s="50" t="s">
        <v>26</v>
      </c>
      <c r="L52" s="52"/>
      <c r="M52" s="104"/>
      <c r="N52" s="104"/>
      <c r="O52" s="104"/>
      <c r="P52" s="104"/>
      <c r="Q52" s="104"/>
      <c r="R52" s="104"/>
      <c r="S52" s="104"/>
      <c r="T52" s="104"/>
    </row>
    <row r="53" spans="1:20" ht="15.6">
      <c r="A53" s="24" t="str">
        <v>X139 JHS 222</v>
      </c>
      <c r="B53" s="25" t="str">
        <v>NY</v>
      </c>
      <c r="C53" s="25" t="str">
        <f>Sites[[#This Row],[SOL'#]]</f>
        <v>SOL-10426</v>
      </c>
      <c r="D53" s="20">
        <v>12809.0209026512</v>
      </c>
      <c r="E53" s="10">
        <v>16768.060000000001</v>
      </c>
      <c r="F53" s="10">
        <f t="shared" si="0"/>
        <v>-3959.0390973488011</v>
      </c>
      <c r="G53" s="11">
        <f t="shared" si="1"/>
        <v>-0.23610597155239191</v>
      </c>
      <c r="H53" s="12">
        <v>12346</v>
      </c>
      <c r="I53" s="12">
        <f t="shared" si="3"/>
        <v>463.02090265120023</v>
      </c>
      <c r="J53" s="13">
        <f t="shared" si="2"/>
        <v>3.7503718018078745E-2</v>
      </c>
      <c r="K53" s="37" t="s">
        <v>26</v>
      </c>
      <c r="L53" s="53"/>
      <c r="M53" s="104"/>
      <c r="N53" s="104"/>
      <c r="O53" s="104"/>
      <c r="P53" s="104"/>
      <c r="Q53" s="104"/>
      <c r="R53" s="104"/>
      <c r="S53" s="104"/>
      <c r="T53" s="104"/>
    </row>
    <row r="54" spans="1:20" ht="15.6">
      <c r="A54" s="26" t="str">
        <v>X140</v>
      </c>
      <c r="B54" s="27" t="str">
        <v>NY</v>
      </c>
      <c r="C54" s="27" t="str">
        <f>Sites[[#This Row],[SOL'#]]</f>
        <v>SOL-10926</v>
      </c>
      <c r="D54" s="9">
        <v>8890.625</v>
      </c>
      <c r="E54" s="14">
        <v>8929.9140000000007</v>
      </c>
      <c r="F54" s="14">
        <f t="shared" si="0"/>
        <v>-39.289000000000669</v>
      </c>
      <c r="G54" s="15">
        <f t="shared" si="1"/>
        <v>-4.3997064249443685E-3</v>
      </c>
      <c r="H54" s="16">
        <v>8234</v>
      </c>
      <c r="I54" s="16">
        <f t="shared" si="3"/>
        <v>656.625</v>
      </c>
      <c r="J54" s="15">
        <f t="shared" si="2"/>
        <v>7.9745567160553796E-2</v>
      </c>
      <c r="K54" s="50"/>
      <c r="L54" s="52"/>
      <c r="M54" s="104"/>
      <c r="N54" s="104"/>
      <c r="O54" s="104"/>
      <c r="P54" s="104"/>
      <c r="Q54" s="104"/>
      <c r="R54" s="104"/>
      <c r="S54" s="104"/>
      <c r="T54" s="104"/>
    </row>
    <row r="55" spans="1:20" ht="15.6">
      <c r="A55" s="24" t="str">
        <v>X166</v>
      </c>
      <c r="B55" s="25" t="str">
        <v>NY</v>
      </c>
      <c r="C55" s="25" t="str">
        <f>Sites[[#This Row],[SOL'#]]</f>
        <v>SOL-10427</v>
      </c>
      <c r="D55" s="20">
        <v>8246.6</v>
      </c>
      <c r="E55" s="10">
        <v>13090.03</v>
      </c>
      <c r="F55" s="10">
        <f t="shared" si="0"/>
        <v>-4843.43</v>
      </c>
      <c r="G55" s="11">
        <f t="shared" si="1"/>
        <v>-0.37000908324885429</v>
      </c>
      <c r="H55" s="12">
        <v>7246</v>
      </c>
      <c r="I55" s="12">
        <f t="shared" si="3"/>
        <v>1000.6000000000004</v>
      </c>
      <c r="J55" s="13">
        <f t="shared" si="2"/>
        <v>0.13808998067899536</v>
      </c>
      <c r="K55" s="37" t="s">
        <v>26</v>
      </c>
      <c r="L55" s="53"/>
      <c r="M55" s="104"/>
      <c r="N55" s="104"/>
      <c r="O55" s="104"/>
      <c r="P55" s="104"/>
      <c r="Q55" s="104"/>
      <c r="R55" s="104"/>
      <c r="S55" s="104"/>
      <c r="T55" s="104"/>
    </row>
    <row r="56" spans="1:20" ht="114" customHeight="1">
      <c r="A56" s="26" t="str">
        <v>Murphy</v>
      </c>
      <c r="B56" s="27" t="str">
        <v>MN</v>
      </c>
      <c r="C56" s="27" t="str">
        <f>Sites[[#This Row],[SOL'#]]</f>
        <v>SOL-10094</v>
      </c>
      <c r="D56" s="9">
        <v>512400</v>
      </c>
      <c r="E56" s="14">
        <v>650404.30000000005</v>
      </c>
      <c r="F56" s="14">
        <f t="shared" si="0"/>
        <v>-138004.30000000005</v>
      </c>
      <c r="G56" s="15">
        <f t="shared" si="1"/>
        <v>-0.21218233028287181</v>
      </c>
      <c r="H56" s="16">
        <v>514855.4</v>
      </c>
      <c r="I56" s="16">
        <f t="shared" si="3"/>
        <v>-2455.4000000000233</v>
      </c>
      <c r="J56" s="15">
        <f t="shared" si="2"/>
        <v>-4.7691060441437012E-3</v>
      </c>
      <c r="K56" s="50" t="s">
        <v>45</v>
      </c>
      <c r="L56" s="100" t="s">
        <v>46</v>
      </c>
      <c r="M56" s="103" t="s">
        <v>47</v>
      </c>
      <c r="N56" s="103" t="s">
        <v>48</v>
      </c>
      <c r="O56" s="103" t="s">
        <v>49</v>
      </c>
      <c r="P56" s="103" t="s">
        <v>50</v>
      </c>
      <c r="Q56" s="103" t="s">
        <v>49</v>
      </c>
      <c r="R56" s="104"/>
      <c r="S56" s="104"/>
      <c r="T56" s="104"/>
    </row>
    <row r="57" spans="1:20" ht="15.6">
      <c r="A57" s="24" t="str">
        <v>Terning</v>
      </c>
      <c r="B57" s="25" t="str">
        <v>MN</v>
      </c>
      <c r="C57" s="25" t="str">
        <f>Sites[[#This Row],[SOL'#]]</f>
        <v>SOL-10093</v>
      </c>
      <c r="D57" s="20">
        <v>526233</v>
      </c>
      <c r="E57" s="10">
        <v>640284.30000000005</v>
      </c>
      <c r="F57" s="10">
        <f t="shared" si="0"/>
        <v>-114051.30000000005</v>
      </c>
      <c r="G57" s="11">
        <f t="shared" si="1"/>
        <v>-0.17812602932790955</v>
      </c>
      <c r="H57" s="12">
        <v>466507.1</v>
      </c>
      <c r="I57" s="12">
        <f t="shared" si="3"/>
        <v>59725.900000000023</v>
      </c>
      <c r="J57" s="13">
        <f t="shared" si="2"/>
        <v>0.12802784780767543</v>
      </c>
      <c r="K57" s="37" t="s">
        <v>26</v>
      </c>
      <c r="L57" s="53"/>
      <c r="M57" s="104"/>
      <c r="N57" s="104"/>
      <c r="O57" s="104"/>
      <c r="P57" s="104"/>
      <c r="Q57" s="104"/>
      <c r="R57" s="104"/>
      <c r="S57" s="104"/>
      <c r="T57" s="104"/>
    </row>
    <row r="58" spans="1:20" ht="15.6">
      <c r="A58" s="26" t="str">
        <v>Boas Road 04</v>
      </c>
      <c r="B58" s="27" t="str">
        <v>NY</v>
      </c>
      <c r="C58" s="27" t="str">
        <f>Sites[[#This Row],[SOL'#]]</f>
        <v>SOL-10908</v>
      </c>
      <c r="D58" s="9">
        <v>139690</v>
      </c>
      <c r="E58" s="14">
        <v>195502.94699999999</v>
      </c>
      <c r="F58" s="14">
        <f t="shared" si="0"/>
        <v>-55812.946999999986</v>
      </c>
      <c r="G58" s="15">
        <f t="shared" si="1"/>
        <v>-0.28548391651610239</v>
      </c>
      <c r="H58" s="16">
        <v>155064.5</v>
      </c>
      <c r="I58" s="16">
        <f t="shared" si="3"/>
        <v>-15374.5</v>
      </c>
      <c r="J58" s="15">
        <f t="shared" si="2"/>
        <v>-9.9149063776686475E-2</v>
      </c>
      <c r="K58" s="50" t="s">
        <v>26</v>
      </c>
      <c r="L58" s="52"/>
      <c r="M58" s="104"/>
      <c r="N58" s="104"/>
      <c r="O58" s="104"/>
      <c r="P58" s="104"/>
      <c r="Q58" s="104"/>
      <c r="R58" s="104"/>
      <c r="S58" s="104"/>
      <c r="T58" s="104"/>
    </row>
    <row r="59" spans="1:20" ht="126" customHeight="1">
      <c r="A59" s="24" t="str">
        <v>Kelly Bridge Farm</v>
      </c>
      <c r="B59" s="25" t="str">
        <v>NY</v>
      </c>
      <c r="C59" s="25" t="str">
        <f>Sites[[#This Row],[SOL'#]]</f>
        <v>SOL-10911</v>
      </c>
      <c r="D59" s="20">
        <v>105630</v>
      </c>
      <c r="E59" s="10">
        <v>192097.42800000001</v>
      </c>
      <c r="F59" s="10">
        <f t="shared" si="0"/>
        <v>-86467.428000000014</v>
      </c>
      <c r="G59" s="11">
        <f t="shared" si="1"/>
        <v>-0.45012277832267494</v>
      </c>
      <c r="H59" s="12">
        <v>144336.79999999999</v>
      </c>
      <c r="I59" s="12">
        <f t="shared" si="3"/>
        <v>-38706.799999999988</v>
      </c>
      <c r="J59" s="13">
        <f t="shared" si="2"/>
        <v>-0.26817000238331451</v>
      </c>
      <c r="K59" s="37" t="s">
        <v>51</v>
      </c>
      <c r="L59" s="99" t="s">
        <v>52</v>
      </c>
      <c r="M59" s="103" t="s">
        <v>53</v>
      </c>
      <c r="N59" s="103" t="s">
        <v>54</v>
      </c>
      <c r="O59" s="103" t="s">
        <v>55</v>
      </c>
      <c r="P59" s="103" t="s">
        <v>56</v>
      </c>
      <c r="Q59" s="104"/>
      <c r="R59" s="104"/>
      <c r="S59" s="104"/>
      <c r="T59" s="104"/>
    </row>
    <row r="60" spans="1:20" ht="15.6">
      <c r="A60" s="26" t="str">
        <v>Pool Brook Road</v>
      </c>
      <c r="B60" s="27" t="str">
        <v>NY</v>
      </c>
      <c r="C60" s="27" t="str">
        <f>Sites[[#This Row],[SOL'#]]</f>
        <v>SOL-10909</v>
      </c>
      <c r="D60" s="9">
        <v>55489</v>
      </c>
      <c r="E60" s="14">
        <v>160091.75200000001</v>
      </c>
      <c r="F60" s="14">
        <f t="shared" si="0"/>
        <v>-104602.75200000001</v>
      </c>
      <c r="G60" s="15">
        <f t="shared" si="1"/>
        <v>-0.65339251206395699</v>
      </c>
      <c r="H60" s="16">
        <v>143824.5</v>
      </c>
      <c r="I60" s="16">
        <f t="shared" si="3"/>
        <v>-88335.5</v>
      </c>
      <c r="J60" s="15">
        <f t="shared" si="2"/>
        <v>-0.61418951569447489</v>
      </c>
      <c r="K60" s="107" t="s">
        <v>26</v>
      </c>
      <c r="L60" s="51"/>
      <c r="M60" s="104"/>
      <c r="N60" s="104"/>
      <c r="O60" s="104"/>
      <c r="P60" s="104"/>
      <c r="Q60" s="104"/>
      <c r="R60" s="104"/>
      <c r="S60" s="104"/>
      <c r="T60" s="104"/>
    </row>
    <row r="61" spans="1:20" ht="46.5" customHeight="1">
      <c r="A61" s="24" t="str">
        <v>Sackett Lake</v>
      </c>
      <c r="B61" s="25" t="str">
        <v>NY</v>
      </c>
      <c r="C61" s="25" t="str">
        <f>Sites[[#This Row],[SOL'#]]</f>
        <v>SOL-10910</v>
      </c>
      <c r="D61" s="20">
        <v>132347</v>
      </c>
      <c r="E61" s="10">
        <v>200740.75399999999</v>
      </c>
      <c r="F61" s="10">
        <f t="shared" si="0"/>
        <v>-68393.753999999986</v>
      </c>
      <c r="G61" s="11">
        <f t="shared" si="1"/>
        <v>-0.34070687011567163</v>
      </c>
      <c r="H61" s="12">
        <v>168308.5</v>
      </c>
      <c r="I61" s="12">
        <f t="shared" si="3"/>
        <v>-35961.5</v>
      </c>
      <c r="J61" s="13">
        <f t="shared" si="2"/>
        <v>-0.21366419402466305</v>
      </c>
      <c r="K61" s="37" t="s">
        <v>57</v>
      </c>
      <c r="L61" s="99" t="s">
        <v>58</v>
      </c>
      <c r="M61" s="104"/>
      <c r="N61" s="104"/>
      <c r="O61" s="104"/>
      <c r="P61" s="104"/>
      <c r="Q61" s="104"/>
      <c r="R61" s="104"/>
      <c r="S61" s="104"/>
      <c r="T61" s="104"/>
    </row>
    <row r="62" spans="1:20" ht="43.5" customHeight="1">
      <c r="A62" s="26" t="str">
        <v>Burritt Road</v>
      </c>
      <c r="B62" s="27" t="str">
        <v>NY</v>
      </c>
      <c r="C62" s="27" t="str">
        <f>Sites[[#This Row],[SOL'#]]</f>
        <v>SOL-10913</v>
      </c>
      <c r="D62" s="9">
        <v>72290</v>
      </c>
      <c r="E62" s="14">
        <v>0</v>
      </c>
      <c r="F62" s="14">
        <f t="shared" si="0"/>
        <v>72290</v>
      </c>
      <c r="G62" s="15" t="str">
        <f t="shared" si="1"/>
        <v/>
      </c>
      <c r="H62" s="16">
        <v>111972.4</v>
      </c>
      <c r="I62" s="16">
        <f t="shared" si="3"/>
        <v>-39682.399999999994</v>
      </c>
      <c r="J62" s="15">
        <f t="shared" si="2"/>
        <v>-0.35439447578153183</v>
      </c>
      <c r="K62" s="50" t="s">
        <v>59</v>
      </c>
      <c r="L62" s="100" t="s">
        <v>60</v>
      </c>
      <c r="M62" s="104"/>
      <c r="N62" s="104"/>
      <c r="O62" s="104"/>
      <c r="P62" s="104"/>
      <c r="Q62" s="104"/>
      <c r="R62" s="104"/>
      <c r="S62" s="104"/>
      <c r="T62" s="104"/>
    </row>
    <row r="63" spans="1:20" ht="132" customHeight="1">
      <c r="A63" s="24" t="str">
        <v>Villa Roma 1</v>
      </c>
      <c r="B63" s="25" t="str">
        <v>NY</v>
      </c>
      <c r="C63" s="25" t="str">
        <f>Sites[[#This Row],[SOL'#]]</f>
        <v>SOL-10914</v>
      </c>
      <c r="D63" s="20">
        <v>75089</v>
      </c>
      <c r="E63" s="10">
        <v>234497.34599999999</v>
      </c>
      <c r="F63" s="10">
        <f t="shared" ref="F63:F101" si="6">IF(AND(ISNUMBER(D63),ISNUMBER(E63)), D63-E63, "")</f>
        <v>-159408.34599999999</v>
      </c>
      <c r="G63" s="11">
        <f t="shared" ref="G63:G101" si="7">IFERROR(F63/E63, "")</f>
        <v>-0.6797874207070983</v>
      </c>
      <c r="H63" s="12">
        <v>119197</v>
      </c>
      <c r="I63" s="12">
        <f t="shared" si="3"/>
        <v>-44108</v>
      </c>
      <c r="J63" s="13">
        <f t="shared" si="2"/>
        <v>-0.37004287020646492</v>
      </c>
      <c r="K63" s="37" t="s">
        <v>61</v>
      </c>
      <c r="L63" s="99" t="s">
        <v>62</v>
      </c>
      <c r="M63" s="103" t="s">
        <v>63</v>
      </c>
      <c r="N63" s="103" t="s">
        <v>64</v>
      </c>
      <c r="O63" s="103" t="s">
        <v>65</v>
      </c>
      <c r="P63" s="103" t="s">
        <v>66</v>
      </c>
      <c r="Q63" s="104"/>
      <c r="R63" s="104"/>
      <c r="S63" s="104"/>
      <c r="T63" s="104"/>
    </row>
    <row r="64" spans="1:20" ht="15.6">
      <c r="A64" s="26" t="str">
        <v>Villa Roma 2</v>
      </c>
      <c r="B64" s="27" t="str">
        <v>NY</v>
      </c>
      <c r="C64" s="27" t="str">
        <f>Sites[[#This Row],[SOL'#]]</f>
        <v>SOL-10915</v>
      </c>
      <c r="D64" s="9">
        <v>94660</v>
      </c>
      <c r="E64" s="14">
        <v>158029.45499999999</v>
      </c>
      <c r="F64" s="14">
        <f t="shared" si="6"/>
        <v>-63369.454999999987</v>
      </c>
      <c r="G64" s="15">
        <f t="shared" si="7"/>
        <v>-0.40099774437619867</v>
      </c>
      <c r="H64" s="16">
        <v>116241.7</v>
      </c>
      <c r="I64" s="16">
        <f t="shared" si="3"/>
        <v>-21581.699999999997</v>
      </c>
      <c r="J64" s="15">
        <f t="shared" si="2"/>
        <v>-0.18566228814616439</v>
      </c>
      <c r="K64" s="50" t="s">
        <v>67</v>
      </c>
      <c r="L64" s="100" t="s">
        <v>68</v>
      </c>
      <c r="M64" s="104"/>
      <c r="N64" s="104"/>
      <c r="O64" s="104"/>
      <c r="P64" s="104"/>
      <c r="Q64" s="104"/>
      <c r="R64" s="104"/>
      <c r="S64" s="104"/>
      <c r="T64" s="104"/>
    </row>
    <row r="65" spans="1:20" ht="39" customHeight="1">
      <c r="A65" s="24" t="str">
        <v>Washington 1</v>
      </c>
      <c r="B65" s="25" t="str">
        <v>NY</v>
      </c>
      <c r="C65" s="25" t="str">
        <f>Sites[[#This Row],[SOL'#]]</f>
        <v>SOL-10912</v>
      </c>
      <c r="D65" s="20">
        <v>106440</v>
      </c>
      <c r="E65" s="10">
        <v>159121.52600000001</v>
      </c>
      <c r="F65" s="10">
        <f t="shared" si="6"/>
        <v>-52681.526000000013</v>
      </c>
      <c r="G65" s="11">
        <f t="shared" si="7"/>
        <v>-0.33107730502785654</v>
      </c>
      <c r="H65" s="12">
        <v>107375.8</v>
      </c>
      <c r="I65" s="12">
        <f t="shared" ref="I65:I103" si="8">IF(AND(ISNUMBER(D65),ISNUMBER(H65)), D65-H65, "")</f>
        <v>-935.80000000000291</v>
      </c>
      <c r="J65" s="13">
        <f t="shared" ref="J65:J103" si="9">IFERROR(I65/H65, "")</f>
        <v>-8.7151853583396152E-3</v>
      </c>
      <c r="K65" s="37" t="s">
        <v>69</v>
      </c>
      <c r="L65" s="99" t="s">
        <v>70</v>
      </c>
      <c r="M65" s="104"/>
      <c r="N65" s="104"/>
      <c r="O65" s="104"/>
      <c r="P65" s="104"/>
      <c r="Q65" s="104"/>
      <c r="R65" s="104"/>
      <c r="S65" s="104"/>
      <c r="T65" s="104"/>
    </row>
    <row r="66" spans="1:20" ht="100.5" customHeight="1">
      <c r="A66" s="26" t="str">
        <v>Washington 3</v>
      </c>
      <c r="B66" s="27" t="str">
        <v>NY</v>
      </c>
      <c r="C66" s="27" t="str">
        <f>Sites[[#This Row],[SOL'#]]</f>
        <v>SOL-10828</v>
      </c>
      <c r="D66" s="9">
        <v>126003</v>
      </c>
      <c r="E66" s="14">
        <v>96875.183000000005</v>
      </c>
      <c r="F66" s="14">
        <f t="shared" si="6"/>
        <v>29127.816999999995</v>
      </c>
      <c r="G66" s="15">
        <f t="shared" si="7"/>
        <v>0.30067367201773437</v>
      </c>
      <c r="H66" s="16">
        <v>132253.79999999999</v>
      </c>
      <c r="I66" s="16">
        <f t="shared" si="8"/>
        <v>-6250.7999999999884</v>
      </c>
      <c r="J66" s="15">
        <f t="shared" si="9"/>
        <v>-4.7263670306637605E-2</v>
      </c>
      <c r="K66" s="50" t="s">
        <v>71</v>
      </c>
      <c r="L66" s="100" t="s">
        <v>72</v>
      </c>
      <c r="M66" s="103" t="s">
        <v>73</v>
      </c>
      <c r="N66" s="104"/>
      <c r="O66" s="104"/>
      <c r="P66" s="104"/>
      <c r="Q66" s="104"/>
      <c r="R66" s="104"/>
      <c r="S66" s="104"/>
      <c r="T66" s="104"/>
    </row>
    <row r="67" spans="1:20" ht="15.6">
      <c r="A67" s="24" t="str">
        <v>Washington 4</v>
      </c>
      <c r="B67" s="25" t="str">
        <v>NY</v>
      </c>
      <c r="C67" s="25" t="str">
        <f>Sites[[#This Row],[SOL'#]]</f>
        <v>SOL-10829</v>
      </c>
      <c r="D67" s="20">
        <v>91589</v>
      </c>
      <c r="E67" s="10">
        <v>0</v>
      </c>
      <c r="F67" s="10">
        <f t="shared" si="6"/>
        <v>91589</v>
      </c>
      <c r="G67" s="11" t="str">
        <f t="shared" si="7"/>
        <v/>
      </c>
      <c r="H67" s="12">
        <v>132064.4</v>
      </c>
      <c r="I67" s="12">
        <f t="shared" si="8"/>
        <v>-40475.399999999994</v>
      </c>
      <c r="J67" s="13">
        <f t="shared" si="9"/>
        <v>-0.30648229197270421</v>
      </c>
      <c r="K67" s="53" t="s">
        <v>26</v>
      </c>
      <c r="L67" s="53"/>
      <c r="M67" s="104"/>
      <c r="N67" s="104"/>
      <c r="O67" s="104"/>
      <c r="P67" s="104"/>
      <c r="Q67" s="104"/>
      <c r="R67" s="104"/>
      <c r="S67" s="104"/>
      <c r="T67" s="104"/>
    </row>
    <row r="68" spans="1:20" ht="15.6">
      <c r="A68" s="26" t="str">
        <v>Big Tree</v>
      </c>
      <c r="B68" s="27" t="str">
        <v>NY</v>
      </c>
      <c r="C68" s="27" t="str">
        <f>Sites[[#This Row],[SOL'#]]</f>
        <v>SOL-10966</v>
      </c>
      <c r="D68" s="9">
        <v>23918</v>
      </c>
      <c r="E68" s="14">
        <v>0</v>
      </c>
      <c r="F68" s="14">
        <f t="shared" si="6"/>
        <v>23918</v>
      </c>
      <c r="G68" s="15" t="str">
        <f t="shared" si="7"/>
        <v/>
      </c>
      <c r="H68" s="16">
        <v>116825.9</v>
      </c>
      <c r="I68" s="16">
        <f t="shared" si="8"/>
        <v>-92907.9</v>
      </c>
      <c r="J68" s="15">
        <f t="shared" si="9"/>
        <v>-0.79526800135928766</v>
      </c>
      <c r="K68" s="107" t="s">
        <v>26</v>
      </c>
      <c r="L68" s="52"/>
      <c r="M68" s="104"/>
      <c r="N68" s="104"/>
      <c r="O68" s="104"/>
      <c r="P68" s="104"/>
      <c r="Q68" s="104"/>
      <c r="R68" s="104"/>
      <c r="S68" s="104"/>
      <c r="T68" s="104"/>
    </row>
    <row r="69" spans="1:20" ht="130.5" customHeight="1">
      <c r="A69" s="24" t="str">
        <v>Canoga</v>
      </c>
      <c r="B69" s="25" t="str">
        <v>NY</v>
      </c>
      <c r="C69" s="25" t="str">
        <f>Sites[[#This Row],[SOL'#]]</f>
        <v>SOL-10965</v>
      </c>
      <c r="D69" s="20">
        <v>314990</v>
      </c>
      <c r="E69" s="10">
        <v>0</v>
      </c>
      <c r="F69" s="10">
        <f t="shared" si="6"/>
        <v>314990</v>
      </c>
      <c r="G69" s="11" t="str">
        <f t="shared" si="7"/>
        <v/>
      </c>
      <c r="H69" s="12"/>
      <c r="I69" s="12" t="str">
        <f t="shared" si="8"/>
        <v/>
      </c>
      <c r="J69" s="13" t="str">
        <f t="shared" si="9"/>
        <v/>
      </c>
      <c r="K69" s="37" t="s">
        <v>74</v>
      </c>
      <c r="L69" s="99" t="s">
        <v>75</v>
      </c>
      <c r="M69" s="103" t="s">
        <v>76</v>
      </c>
      <c r="N69" s="103" t="s">
        <v>77</v>
      </c>
      <c r="O69" s="103" t="s">
        <v>78</v>
      </c>
      <c r="P69" s="103" t="s">
        <v>77</v>
      </c>
      <c r="Q69" s="104"/>
      <c r="R69" s="104"/>
      <c r="S69" s="104"/>
      <c r="T69" s="104"/>
    </row>
    <row r="70" spans="1:20" ht="15.6">
      <c r="A70" s="26" t="str">
        <v>County Route 84</v>
      </c>
      <c r="B70" s="27" t="str">
        <v>NY</v>
      </c>
      <c r="C70" s="27" t="str">
        <f>Sites[[#This Row],[SOL'#]]</f>
        <v>SOL-10967</v>
      </c>
      <c r="D70" s="9">
        <v>423990</v>
      </c>
      <c r="E70" s="14">
        <v>0</v>
      </c>
      <c r="F70" s="14">
        <f t="shared" si="6"/>
        <v>423990</v>
      </c>
      <c r="G70" s="15" t="str">
        <f t="shared" si="7"/>
        <v/>
      </c>
      <c r="H70" s="16">
        <v>472285.7</v>
      </c>
      <c r="I70" s="16">
        <f t="shared" si="8"/>
        <v>-48295.700000000012</v>
      </c>
      <c r="J70" s="15"/>
      <c r="K70" s="50" t="s">
        <v>79</v>
      </c>
      <c r="L70" s="100" t="s">
        <v>80</v>
      </c>
      <c r="M70" s="104"/>
      <c r="N70" s="104"/>
      <c r="O70" s="104"/>
      <c r="P70" s="104"/>
      <c r="Q70" s="104"/>
      <c r="R70" s="104"/>
      <c r="S70" s="104"/>
      <c r="T70" s="104"/>
    </row>
    <row r="71" spans="1:20" ht="43.15">
      <c r="A71" s="24" t="str">
        <v>Donati</v>
      </c>
      <c r="B71" s="25" t="str">
        <v>NY</v>
      </c>
      <c r="C71" s="25" t="str">
        <f>Sites[[#This Row],[SOL'#]]</f>
        <v>SOL-10968</v>
      </c>
      <c r="D71" s="20">
        <v>127357</v>
      </c>
      <c r="E71" s="10">
        <v>0</v>
      </c>
      <c r="F71" s="10">
        <f t="shared" si="6"/>
        <v>127357</v>
      </c>
      <c r="G71" s="11" t="str">
        <f t="shared" si="7"/>
        <v/>
      </c>
      <c r="H71" s="12">
        <v>156570.4</v>
      </c>
      <c r="I71" s="12">
        <f t="shared" si="8"/>
        <v>-29213.399999999994</v>
      </c>
      <c r="J71" s="13">
        <f t="shared" si="9"/>
        <v>-0.18658316003535785</v>
      </c>
      <c r="K71" s="37" t="s">
        <v>81</v>
      </c>
      <c r="L71" s="99" t="s">
        <v>82</v>
      </c>
      <c r="M71" s="103" t="s">
        <v>83</v>
      </c>
      <c r="N71" s="104"/>
      <c r="O71" s="104"/>
      <c r="P71" s="104"/>
      <c r="Q71" s="104"/>
      <c r="R71" s="104"/>
      <c r="S71" s="104"/>
      <c r="T71" s="104"/>
    </row>
    <row r="72" spans="1:20" ht="15.6">
      <c r="A72" s="26" t="str">
        <v>Henrietta</v>
      </c>
      <c r="B72" s="27" t="str">
        <v>NY</v>
      </c>
      <c r="C72" s="27" t="str">
        <f>Sites[[#This Row],[SOL'#]]</f>
        <v>SOL-10972</v>
      </c>
      <c r="D72" s="9">
        <v>200110</v>
      </c>
      <c r="E72" s="14">
        <v>0</v>
      </c>
      <c r="F72" s="14">
        <f t="shared" si="6"/>
        <v>200110</v>
      </c>
      <c r="G72" s="15" t="str">
        <f t="shared" si="7"/>
        <v/>
      </c>
      <c r="H72" s="16">
        <v>268925.40000000002</v>
      </c>
      <c r="I72" s="16">
        <f t="shared" si="8"/>
        <v>-68815.400000000023</v>
      </c>
      <c r="J72" s="15">
        <f t="shared" si="9"/>
        <v>-0.2558902952268548</v>
      </c>
      <c r="K72" s="50" t="s">
        <v>84</v>
      </c>
      <c r="L72" s="51"/>
      <c r="M72" s="104"/>
      <c r="N72" s="104"/>
      <c r="O72" s="104"/>
      <c r="P72" s="104"/>
      <c r="Q72" s="104"/>
      <c r="R72" s="104"/>
      <c r="S72" s="104"/>
      <c r="T72" s="104"/>
    </row>
    <row r="73" spans="1:20" ht="28.9">
      <c r="A73" s="24" t="str">
        <v>NY 70</v>
      </c>
      <c r="B73" s="25" t="str">
        <v>NY</v>
      </c>
      <c r="C73" s="25" t="str">
        <f>Sites[[#This Row],[SOL'#]]</f>
        <v>SOL-10970</v>
      </c>
      <c r="D73" s="20">
        <v>284620</v>
      </c>
      <c r="E73" s="10">
        <v>0</v>
      </c>
      <c r="F73" s="10">
        <f t="shared" si="6"/>
        <v>284620</v>
      </c>
      <c r="G73" s="11" t="str">
        <f t="shared" si="7"/>
        <v/>
      </c>
      <c r="H73" s="12">
        <v>386450</v>
      </c>
      <c r="I73" s="12">
        <f t="shared" si="8"/>
        <v>-101830</v>
      </c>
      <c r="J73" s="13">
        <f t="shared" si="9"/>
        <v>-0.26350109975417257</v>
      </c>
      <c r="K73" s="37" t="s">
        <v>85</v>
      </c>
      <c r="L73" s="99" t="s">
        <v>86</v>
      </c>
      <c r="M73" s="104"/>
      <c r="N73" s="104"/>
      <c r="O73" s="104"/>
      <c r="P73" s="104"/>
      <c r="Q73" s="104"/>
      <c r="R73" s="104"/>
      <c r="S73" s="104"/>
      <c r="T73" s="104"/>
    </row>
    <row r="74" spans="1:20" ht="15.6">
      <c r="A74" s="26" t="str">
        <v>Reid</v>
      </c>
      <c r="B74" s="27" t="str">
        <v>NY</v>
      </c>
      <c r="C74" s="27" t="str">
        <f>Sites[[#This Row],[SOL'#]]</f>
        <v>SOL-10991</v>
      </c>
      <c r="D74" s="9">
        <v>165884.98926101299</v>
      </c>
      <c r="E74" s="14">
        <v>348144.2</v>
      </c>
      <c r="F74" s="14">
        <f t="shared" si="6"/>
        <v>-182259.21073898702</v>
      </c>
      <c r="G74" s="15">
        <f t="shared" si="7"/>
        <v>-0.52351643583028817</v>
      </c>
      <c r="H74" s="16">
        <v>265223</v>
      </c>
      <c r="I74" s="16">
        <f t="shared" si="8"/>
        <v>-99338.01073898701</v>
      </c>
      <c r="J74" s="15">
        <f t="shared" si="9"/>
        <v>-0.37454523453466332</v>
      </c>
      <c r="K74" s="50" t="s">
        <v>87</v>
      </c>
      <c r="L74" s="100" t="s">
        <v>88</v>
      </c>
      <c r="M74" s="104"/>
      <c r="N74" s="104"/>
      <c r="O74" s="104"/>
      <c r="P74" s="104"/>
      <c r="Q74" s="104"/>
      <c r="R74" s="104"/>
      <c r="S74" s="104"/>
      <c r="T74" s="104"/>
    </row>
    <row r="75" spans="1:20" ht="15.6">
      <c r="A75" s="24" t="str">
        <v>Sangolqui</v>
      </c>
      <c r="B75" s="25" t="str">
        <v>NY</v>
      </c>
      <c r="C75" s="25" t="str">
        <f>Sites[[#This Row],[SOL'#]]</f>
        <v>SOL-10975</v>
      </c>
      <c r="D75" s="20">
        <v>129267</v>
      </c>
      <c r="E75" s="10">
        <v>0</v>
      </c>
      <c r="F75" s="10">
        <f t="shared" si="6"/>
        <v>129267</v>
      </c>
      <c r="G75" s="11" t="str">
        <f t="shared" si="7"/>
        <v/>
      </c>
      <c r="H75" s="12">
        <v>151974.9</v>
      </c>
      <c r="I75" s="12">
        <f t="shared" si="8"/>
        <v>-22707.899999999994</v>
      </c>
      <c r="J75" s="13">
        <f t="shared" si="9"/>
        <v>-0.14941875270192639</v>
      </c>
      <c r="K75" s="37" t="s">
        <v>89</v>
      </c>
      <c r="L75" s="99" t="s">
        <v>90</v>
      </c>
      <c r="M75" s="104"/>
      <c r="N75" s="104"/>
      <c r="O75" s="104"/>
      <c r="P75" s="104"/>
      <c r="Q75" s="104"/>
      <c r="R75" s="104"/>
      <c r="S75" s="104"/>
      <c r="T75" s="104"/>
    </row>
    <row r="76" spans="1:20" ht="57.6">
      <c r="A76" s="26" t="str">
        <v>State Highway 17B</v>
      </c>
      <c r="B76" s="27" t="str">
        <v>NY</v>
      </c>
      <c r="C76" s="27" t="str">
        <f>Sites[[#This Row],[SOL'#]]</f>
        <v>SOL-10988</v>
      </c>
      <c r="D76" s="9">
        <v>242020</v>
      </c>
      <c r="E76" s="14">
        <v>0</v>
      </c>
      <c r="F76" s="14">
        <f t="shared" si="6"/>
        <v>242020</v>
      </c>
      <c r="G76" s="15" t="str">
        <f t="shared" si="7"/>
        <v/>
      </c>
      <c r="H76" s="16">
        <v>384984</v>
      </c>
      <c r="I76" s="16">
        <f t="shared" si="8"/>
        <v>-142964</v>
      </c>
      <c r="J76" s="15">
        <f t="shared" si="9"/>
        <v>-0.37135049768302059</v>
      </c>
      <c r="K76" s="50" t="s">
        <v>91</v>
      </c>
      <c r="L76" s="100" t="s">
        <v>92</v>
      </c>
      <c r="M76" s="103" t="s">
        <v>93</v>
      </c>
      <c r="N76" s="104"/>
      <c r="O76" s="104"/>
      <c r="P76" s="104"/>
      <c r="Q76" s="104"/>
      <c r="R76" s="104"/>
      <c r="S76" s="104"/>
      <c r="T76" s="104"/>
    </row>
    <row r="77" spans="1:20" ht="130.5" customHeight="1">
      <c r="A77" s="24" t="str">
        <v>State Route 14A</v>
      </c>
      <c r="B77" s="25" t="str">
        <v>NY</v>
      </c>
      <c r="C77" s="25" t="str">
        <f>Sites[[#This Row],[SOL'#]]</f>
        <v>SOL-10997</v>
      </c>
      <c r="D77" s="20">
        <v>331004</v>
      </c>
      <c r="E77" s="10">
        <v>0</v>
      </c>
      <c r="F77" s="10">
        <f t="shared" si="6"/>
        <v>331004</v>
      </c>
      <c r="G77" s="11" t="str">
        <f t="shared" si="7"/>
        <v/>
      </c>
      <c r="H77" s="12">
        <v>427147.4</v>
      </c>
      <c r="I77" s="12">
        <f t="shared" si="8"/>
        <v>-96143.400000000023</v>
      </c>
      <c r="J77" s="13">
        <f t="shared" si="9"/>
        <v>-0.22508248908924652</v>
      </c>
      <c r="K77" s="37" t="s">
        <v>94</v>
      </c>
      <c r="L77" s="99" t="s">
        <v>95</v>
      </c>
      <c r="M77" s="104"/>
      <c r="N77" s="104"/>
      <c r="O77" s="104"/>
      <c r="P77" s="104"/>
      <c r="Q77" s="104"/>
      <c r="R77" s="104"/>
      <c r="S77" s="104"/>
      <c r="T77" s="104"/>
    </row>
    <row r="78" spans="1:20" ht="15.6">
      <c r="A78" s="26" t="str">
        <v>West Creek</v>
      </c>
      <c r="B78" s="27" t="str">
        <v>NY</v>
      </c>
      <c r="C78" s="27" t="str">
        <f>Sites[[#This Row],[SOL'#]]</f>
        <v>SOL-10995</v>
      </c>
      <c r="D78" s="9">
        <v>376140</v>
      </c>
      <c r="E78" s="14">
        <v>0</v>
      </c>
      <c r="F78" s="14">
        <f t="shared" si="6"/>
        <v>376140</v>
      </c>
      <c r="G78" s="15" t="str">
        <f t="shared" si="7"/>
        <v/>
      </c>
      <c r="H78" s="16">
        <v>397925.5</v>
      </c>
      <c r="I78" s="16">
        <f t="shared" si="8"/>
        <v>-21785.5</v>
      </c>
      <c r="J78" s="15">
        <f t="shared" si="9"/>
        <v>-5.474768518227658E-2</v>
      </c>
      <c r="K78" s="50"/>
      <c r="L78" s="51"/>
      <c r="M78" s="104"/>
      <c r="N78" s="104"/>
      <c r="O78" s="104"/>
      <c r="P78" s="104"/>
      <c r="Q78" s="104"/>
      <c r="R78" s="104"/>
      <c r="S78" s="104"/>
      <c r="T78" s="104"/>
    </row>
    <row r="79" spans="1:20" ht="135" customHeight="1">
      <c r="A79" s="24" t="str">
        <v>Wildflower</v>
      </c>
      <c r="B79" s="25" t="str">
        <v>NY</v>
      </c>
      <c r="C79" s="25" t="str">
        <f>Sites[[#This Row],[SOL'#]]</f>
        <v>SOL-10982</v>
      </c>
      <c r="D79" s="20">
        <v>324291.40000000002</v>
      </c>
      <c r="E79" s="10">
        <v>0</v>
      </c>
      <c r="F79" s="10">
        <f t="shared" si="6"/>
        <v>324291.40000000002</v>
      </c>
      <c r="G79" s="11" t="str">
        <f t="shared" si="7"/>
        <v/>
      </c>
      <c r="H79" s="12">
        <v>433603.2</v>
      </c>
      <c r="I79" s="12">
        <f t="shared" si="8"/>
        <v>-109311.79999999999</v>
      </c>
      <c r="J79" s="13">
        <f t="shared" si="9"/>
        <v>-0.25210099925461804</v>
      </c>
      <c r="K79" s="56" t="s">
        <v>96</v>
      </c>
      <c r="L79" s="101" t="s">
        <v>97</v>
      </c>
      <c r="M79" s="103" t="s">
        <v>98</v>
      </c>
      <c r="N79" s="103" t="s">
        <v>99</v>
      </c>
      <c r="O79" s="104"/>
      <c r="P79" s="104"/>
      <c r="Q79" s="104"/>
      <c r="R79" s="104"/>
      <c r="S79" s="104"/>
      <c r="T79" s="104"/>
    </row>
    <row r="80" spans="1:20" ht="15.6">
      <c r="A80" s="26" t="str">
        <v>Glen Mary 1</v>
      </c>
      <c r="B80" s="27" t="str">
        <v>NY</v>
      </c>
      <c r="C80" s="27" t="str">
        <f>Sites[[#This Row],[SOL'#]]</f>
        <v>SOL-10993</v>
      </c>
      <c r="D80" s="9">
        <v>396140</v>
      </c>
      <c r="E80" s="14">
        <v>0</v>
      </c>
      <c r="F80" s="14">
        <f t="shared" si="6"/>
        <v>396140</v>
      </c>
      <c r="G80" s="15" t="str">
        <f t="shared" si="7"/>
        <v/>
      </c>
      <c r="H80" s="16">
        <v>420494.8</v>
      </c>
      <c r="I80" s="16">
        <f t="shared" si="8"/>
        <v>-24354.799999999988</v>
      </c>
      <c r="J80" s="15">
        <f t="shared" si="9"/>
        <v>-5.7919384496550229E-2</v>
      </c>
      <c r="K80" s="50"/>
      <c r="L80" s="52"/>
      <c r="M80" s="104"/>
      <c r="N80" s="104"/>
      <c r="O80" s="104"/>
      <c r="P80" s="104"/>
      <c r="Q80" s="104"/>
      <c r="R80" s="104"/>
      <c r="S80" s="104"/>
      <c r="T80" s="104"/>
    </row>
    <row r="81" spans="1:20" ht="57.6">
      <c r="A81" s="24" t="str">
        <v>Glen Mary 2</v>
      </c>
      <c r="B81" s="25" t="str">
        <v>NY</v>
      </c>
      <c r="C81" s="25" t="str">
        <f>Sites[[#This Row],[SOL'#]]</f>
        <v>SOL-10994</v>
      </c>
      <c r="D81" s="20">
        <v>63710</v>
      </c>
      <c r="E81" s="10">
        <v>0</v>
      </c>
      <c r="F81" s="10">
        <f t="shared" si="6"/>
        <v>63710</v>
      </c>
      <c r="G81" s="11" t="str">
        <f t="shared" si="7"/>
        <v/>
      </c>
      <c r="H81" s="12">
        <v>171573.9</v>
      </c>
      <c r="I81" s="12">
        <f t="shared" si="8"/>
        <v>-107863.9</v>
      </c>
      <c r="J81" s="13">
        <f t="shared" si="9"/>
        <v>-0.62867312569102873</v>
      </c>
      <c r="K81" s="37" t="s">
        <v>100</v>
      </c>
      <c r="L81" s="99" t="s">
        <v>101</v>
      </c>
      <c r="M81" s="104"/>
      <c r="N81" s="104"/>
      <c r="O81" s="104"/>
      <c r="P81" s="104"/>
      <c r="Q81" s="104"/>
      <c r="R81" s="104"/>
      <c r="S81" s="104"/>
      <c r="T81" s="104"/>
    </row>
    <row r="82" spans="1:20" ht="43.15">
      <c r="A82" s="26" t="str">
        <v>Telegraph 1</v>
      </c>
      <c r="B82" s="27" t="str">
        <v>NY</v>
      </c>
      <c r="C82" s="27" t="str">
        <f>Sites[[#This Row],[SOL'#]]</f>
        <v>SOL-11003</v>
      </c>
      <c r="D82" s="9">
        <v>136202</v>
      </c>
      <c r="E82" s="14">
        <v>0</v>
      </c>
      <c r="F82" s="14">
        <f t="shared" si="6"/>
        <v>136202</v>
      </c>
      <c r="G82" s="15" t="str">
        <f t="shared" si="7"/>
        <v/>
      </c>
      <c r="H82" s="16">
        <v>286022.2</v>
      </c>
      <c r="I82" s="16">
        <f t="shared" si="8"/>
        <v>-149820.20000000001</v>
      </c>
      <c r="J82" s="15">
        <f t="shared" si="9"/>
        <v>-0.52380619406465656</v>
      </c>
      <c r="K82" s="50" t="s">
        <v>102</v>
      </c>
      <c r="L82" s="100" t="s">
        <v>103</v>
      </c>
      <c r="M82" s="103" t="s">
        <v>104</v>
      </c>
      <c r="N82" s="103" t="s">
        <v>105</v>
      </c>
      <c r="O82" s="104"/>
      <c r="P82" s="104"/>
      <c r="Q82" s="104"/>
      <c r="R82" s="104"/>
      <c r="S82" s="104"/>
      <c r="T82" s="104"/>
    </row>
    <row r="83" spans="1:20" ht="57.6">
      <c r="A83" s="24" t="str">
        <v>Telegraph 2</v>
      </c>
      <c r="B83" s="25" t="str">
        <v>NY</v>
      </c>
      <c r="C83" s="25" t="str">
        <f>Sites[[#This Row],[SOL'#]]</f>
        <v>SOL-11004</v>
      </c>
      <c r="D83" s="20">
        <v>87233</v>
      </c>
      <c r="E83" s="10">
        <v>0</v>
      </c>
      <c r="F83" s="10">
        <f t="shared" si="6"/>
        <v>87233</v>
      </c>
      <c r="G83" s="11" t="str">
        <f t="shared" si="7"/>
        <v/>
      </c>
      <c r="H83" s="12">
        <v>146627.1</v>
      </c>
      <c r="I83" s="12">
        <f t="shared" si="8"/>
        <v>-59394.100000000006</v>
      </c>
      <c r="J83" s="13">
        <f t="shared" si="9"/>
        <v>-0.40506904930943871</v>
      </c>
      <c r="K83" s="37" t="s">
        <v>106</v>
      </c>
      <c r="L83" s="99" t="s">
        <v>107</v>
      </c>
      <c r="M83" s="103" t="s">
        <v>108</v>
      </c>
      <c r="N83" s="103" t="s">
        <v>109</v>
      </c>
      <c r="O83" s="104"/>
      <c r="P83" s="104"/>
      <c r="Q83" s="104"/>
      <c r="R83" s="104"/>
      <c r="S83" s="104"/>
      <c r="T83" s="104"/>
    </row>
    <row r="84" spans="1:20" ht="43.15">
      <c r="A84" s="26" t="str">
        <v>Cafferty Hill</v>
      </c>
      <c r="B84" s="27" t="str">
        <v>NY</v>
      </c>
      <c r="C84" s="27" t="str">
        <f>Sites[[#This Row],[SOL'#]]</f>
        <v>SOL-10996</v>
      </c>
      <c r="D84" s="9">
        <v>349660</v>
      </c>
      <c r="E84" s="14">
        <v>0</v>
      </c>
      <c r="F84" s="14">
        <f t="shared" si="6"/>
        <v>349660</v>
      </c>
      <c r="G84" s="15" t="str">
        <f t="shared" si="7"/>
        <v/>
      </c>
      <c r="H84" s="16">
        <v>373143.4</v>
      </c>
      <c r="I84" s="16">
        <f t="shared" si="8"/>
        <v>-23483.400000000023</v>
      </c>
      <c r="J84" s="15">
        <f t="shared" si="9"/>
        <v>-6.2933981949030909E-2</v>
      </c>
      <c r="K84" s="50" t="s">
        <v>110</v>
      </c>
      <c r="L84" s="100" t="s">
        <v>111</v>
      </c>
      <c r="M84" s="103" t="s">
        <v>112</v>
      </c>
      <c r="N84" s="104"/>
      <c r="O84" s="104"/>
      <c r="P84" s="104"/>
      <c r="Q84" s="104"/>
      <c r="R84" s="104"/>
      <c r="S84" s="104"/>
      <c r="T84" s="104"/>
    </row>
    <row r="85" spans="1:20" ht="129.6">
      <c r="A85" s="24" t="str">
        <v>Dunkleman</v>
      </c>
      <c r="B85" s="25" t="str">
        <v>NY</v>
      </c>
      <c r="C85" s="25" t="str">
        <f>Sites[[#This Row],[SOL'#]]</f>
        <v>SOL-11008</v>
      </c>
      <c r="D85" s="20">
        <v>142060</v>
      </c>
      <c r="E85" s="10">
        <v>0</v>
      </c>
      <c r="F85" s="10">
        <f t="shared" si="6"/>
        <v>142060</v>
      </c>
      <c r="G85" s="11" t="str">
        <f t="shared" si="7"/>
        <v/>
      </c>
      <c r="H85" s="12">
        <v>369715.7</v>
      </c>
      <c r="I85" s="12">
        <f t="shared" si="8"/>
        <v>-227655.7</v>
      </c>
      <c r="J85" s="13">
        <f t="shared" si="9"/>
        <v>-0.61575881143267652</v>
      </c>
      <c r="K85" s="37" t="s">
        <v>113</v>
      </c>
      <c r="L85" s="99" t="s">
        <v>114</v>
      </c>
      <c r="M85" s="103" t="s">
        <v>115</v>
      </c>
      <c r="N85" s="104"/>
      <c r="O85" s="104"/>
      <c r="P85" s="104"/>
      <c r="Q85" s="104"/>
      <c r="R85" s="104"/>
      <c r="S85" s="104"/>
      <c r="T85" s="104"/>
    </row>
    <row r="86" spans="1:20" ht="28.9">
      <c r="A86" s="26" t="str">
        <v>Route 19 1</v>
      </c>
      <c r="B86" s="27" t="str">
        <v>NY</v>
      </c>
      <c r="C86" s="27" t="str">
        <f>Sites[[#This Row],[SOL'#]]</f>
        <v>SOL-11001</v>
      </c>
      <c r="D86" s="9">
        <v>100050</v>
      </c>
      <c r="E86" s="14">
        <v>0</v>
      </c>
      <c r="F86" s="14">
        <f t="shared" si="6"/>
        <v>100050</v>
      </c>
      <c r="G86" s="15" t="str">
        <f t="shared" si="7"/>
        <v/>
      </c>
      <c r="H86" s="16">
        <v>154567.79999999999</v>
      </c>
      <c r="I86" s="16">
        <f t="shared" si="8"/>
        <v>-54517.799999999988</v>
      </c>
      <c r="J86" s="15">
        <f t="shared" si="9"/>
        <v>-0.35271123739873372</v>
      </c>
      <c r="K86" s="50" t="s">
        <v>116</v>
      </c>
      <c r="L86" s="100" t="s">
        <v>117</v>
      </c>
      <c r="M86" s="104"/>
      <c r="N86" s="104"/>
      <c r="O86" s="104"/>
      <c r="P86" s="104"/>
      <c r="Q86" s="104"/>
      <c r="R86" s="104"/>
      <c r="S86" s="104"/>
      <c r="T86" s="104"/>
    </row>
    <row r="87" spans="1:20" ht="72">
      <c r="A87" s="24" t="str">
        <v>Route 19 2</v>
      </c>
      <c r="B87" s="25" t="str">
        <v>NY</v>
      </c>
      <c r="C87" s="25" t="str">
        <f>Sites[[#This Row],[SOL'#]]</f>
        <v>SOL-11002</v>
      </c>
      <c r="D87" s="20">
        <v>273860</v>
      </c>
      <c r="E87" s="10">
        <v>0</v>
      </c>
      <c r="F87" s="10">
        <f t="shared" si="6"/>
        <v>273860</v>
      </c>
      <c r="G87" s="11" t="str">
        <f t="shared" si="7"/>
        <v/>
      </c>
      <c r="H87" s="12">
        <v>409574.6</v>
      </c>
      <c r="I87" s="12">
        <f t="shared" si="8"/>
        <v>-135714.59999999998</v>
      </c>
      <c r="J87" s="13">
        <f t="shared" si="9"/>
        <v>-0.33135502055059074</v>
      </c>
      <c r="K87" s="37" t="s">
        <v>118</v>
      </c>
      <c r="L87" s="99" t="s">
        <v>119</v>
      </c>
      <c r="M87" s="103" t="s">
        <v>120</v>
      </c>
      <c r="N87" s="104"/>
      <c r="O87" s="104"/>
      <c r="P87" s="104"/>
      <c r="Q87" s="104"/>
      <c r="R87" s="104"/>
      <c r="S87" s="104"/>
      <c r="T87" s="104"/>
    </row>
    <row r="88" spans="1:20" ht="28.9">
      <c r="A88" s="26" t="str">
        <v>Yellow Mills 1</v>
      </c>
      <c r="B88" s="27" t="str">
        <v>NY</v>
      </c>
      <c r="C88" s="27" t="str">
        <f>Sites[[#This Row],[SOL'#]]</f>
        <v>SOL-11006</v>
      </c>
      <c r="D88" s="9">
        <v>43612</v>
      </c>
      <c r="E88" s="14">
        <v>0</v>
      </c>
      <c r="F88" s="14">
        <f t="shared" si="6"/>
        <v>43612</v>
      </c>
      <c r="G88" s="15" t="str">
        <f t="shared" si="7"/>
        <v/>
      </c>
      <c r="H88" s="16">
        <v>123508.6</v>
      </c>
      <c r="I88" s="16">
        <f t="shared" si="8"/>
        <v>-79896.600000000006</v>
      </c>
      <c r="J88" s="15">
        <f t="shared" si="9"/>
        <v>-0.646890985728929</v>
      </c>
      <c r="K88" s="50" t="s">
        <v>121</v>
      </c>
      <c r="L88" s="100" t="s">
        <v>122</v>
      </c>
      <c r="M88" s="103" t="s">
        <v>123</v>
      </c>
      <c r="N88" s="103" t="s">
        <v>124</v>
      </c>
      <c r="O88" s="104"/>
      <c r="P88" s="104"/>
      <c r="Q88" s="104"/>
      <c r="R88" s="104"/>
      <c r="S88" s="104"/>
      <c r="T88" s="104"/>
    </row>
    <row r="89" spans="1:20" ht="15.6">
      <c r="A89" s="24" t="str">
        <v>Yellow Mills 2</v>
      </c>
      <c r="B89" s="25" t="str">
        <v>NY</v>
      </c>
      <c r="C89" s="25" t="str">
        <f>Sites[[#This Row],[SOL'#]]</f>
        <v>SOL-11005</v>
      </c>
      <c r="D89" s="20">
        <v>133771</v>
      </c>
      <c r="E89" s="10">
        <v>0</v>
      </c>
      <c r="F89" s="10">
        <f t="shared" si="6"/>
        <v>133771</v>
      </c>
      <c r="G89" s="11" t="str">
        <f t="shared" si="7"/>
        <v/>
      </c>
      <c r="H89" s="12">
        <v>126216.1</v>
      </c>
      <c r="I89" s="12">
        <f t="shared" si="8"/>
        <v>7554.8999999999942</v>
      </c>
      <c r="J89" s="13">
        <f t="shared" si="9"/>
        <v>5.9856864536299202E-2</v>
      </c>
      <c r="K89" s="37" t="s">
        <v>125</v>
      </c>
      <c r="L89" s="99" t="s">
        <v>126</v>
      </c>
      <c r="M89" s="104"/>
      <c r="N89" s="104"/>
      <c r="O89" s="104"/>
      <c r="P89" s="104"/>
      <c r="Q89" s="104"/>
      <c r="R89" s="104"/>
      <c r="S89" s="104"/>
      <c r="T89" s="104"/>
    </row>
    <row r="90" spans="1:20" ht="15.6">
      <c r="A90" s="26" t="str">
        <v>Yellow Mills 3</v>
      </c>
      <c r="B90" s="27" t="str">
        <v>NY</v>
      </c>
      <c r="C90" s="27" t="str">
        <f>Sites[[#This Row],[SOL'#]]</f>
        <v>SOL-11007</v>
      </c>
      <c r="D90" s="9">
        <v>125120</v>
      </c>
      <c r="E90" s="14">
        <v>0</v>
      </c>
      <c r="F90" s="14">
        <f t="shared" si="6"/>
        <v>125120</v>
      </c>
      <c r="G90" s="15" t="str">
        <f t="shared" si="7"/>
        <v/>
      </c>
      <c r="H90" s="16">
        <v>111400.8</v>
      </c>
      <c r="I90" s="16">
        <f t="shared" si="8"/>
        <v>13719.199999999997</v>
      </c>
      <c r="J90" s="15">
        <f t="shared" si="9"/>
        <v>0.12315171883864386</v>
      </c>
      <c r="K90" s="50" t="s">
        <v>127</v>
      </c>
      <c r="L90" s="100" t="s">
        <v>128</v>
      </c>
      <c r="M90" s="104"/>
      <c r="N90" s="104"/>
      <c r="O90" s="104"/>
      <c r="P90" s="104"/>
      <c r="Q90" s="104"/>
      <c r="R90" s="104"/>
      <c r="S90" s="104"/>
      <c r="T90" s="104"/>
    </row>
    <row r="91" spans="1:20" ht="28.9">
      <c r="A91" s="24" t="str">
        <v>Catskill</v>
      </c>
      <c r="B91" s="25" t="str">
        <v>NY</v>
      </c>
      <c r="C91" s="25" t="str">
        <f>Sites[[#This Row],[SOL'#]]</f>
        <v>SOL-11021</v>
      </c>
      <c r="D91" s="20">
        <v>203760</v>
      </c>
      <c r="E91" s="10">
        <v>0</v>
      </c>
      <c r="F91" s="10">
        <f t="shared" si="6"/>
        <v>203760</v>
      </c>
      <c r="G91" s="11" t="str">
        <f t="shared" si="7"/>
        <v/>
      </c>
      <c r="H91" s="12">
        <v>295119.3</v>
      </c>
      <c r="I91" s="12">
        <f t="shared" si="8"/>
        <v>-91359.299999999988</v>
      </c>
      <c r="J91" s="13">
        <f t="shared" si="9"/>
        <v>-0.30956735123727924</v>
      </c>
      <c r="K91" s="37" t="s">
        <v>129</v>
      </c>
      <c r="L91" s="99" t="s">
        <v>130</v>
      </c>
      <c r="M91" s="103" t="s">
        <v>131</v>
      </c>
      <c r="N91" s="104"/>
      <c r="O91" s="104"/>
      <c r="P91" s="104"/>
      <c r="Q91" s="104"/>
      <c r="R91" s="104"/>
      <c r="S91" s="104"/>
      <c r="T91" s="104"/>
    </row>
    <row r="92" spans="1:20" ht="15.6">
      <c r="A92" s="26" t="str">
        <v>Eddy Ridge</v>
      </c>
      <c r="B92" s="27" t="str">
        <v>NY</v>
      </c>
      <c r="C92" s="27" t="str">
        <f>Sites[[#This Row],[SOL'#]]</f>
        <v>SOL-11054</v>
      </c>
      <c r="D92" s="9">
        <v>142318.1</v>
      </c>
      <c r="E92" s="14">
        <v>0</v>
      </c>
      <c r="F92" s="14">
        <f t="shared" si="6"/>
        <v>142318.1</v>
      </c>
      <c r="G92" s="15" t="str">
        <f t="shared" si="7"/>
        <v/>
      </c>
      <c r="H92" s="16">
        <v>176115</v>
      </c>
      <c r="I92" s="16">
        <f t="shared" si="8"/>
        <v>-33796.899999999994</v>
      </c>
      <c r="J92" s="15">
        <f t="shared" si="9"/>
        <v>-0.19190245010362544</v>
      </c>
      <c r="K92" s="50" t="s">
        <v>132</v>
      </c>
      <c r="L92" s="100" t="s">
        <v>133</v>
      </c>
      <c r="M92" s="104"/>
      <c r="N92" s="104"/>
      <c r="O92" s="104"/>
      <c r="P92" s="104"/>
      <c r="Q92" s="104"/>
      <c r="R92" s="104"/>
      <c r="S92" s="104"/>
      <c r="T92" s="104"/>
    </row>
    <row r="93" spans="1:20" ht="15.6">
      <c r="A93" s="24" t="str">
        <v>Ridgeway #1</v>
      </c>
      <c r="B93" s="25" t="str">
        <v>NY</v>
      </c>
      <c r="C93" s="25" t="str">
        <f>Sites[[#This Row],[SOL'#]]</f>
        <v>SOL-11018</v>
      </c>
      <c r="D93" s="20">
        <v>278224</v>
      </c>
      <c r="E93" s="10">
        <v>0</v>
      </c>
      <c r="F93" s="10">
        <f t="shared" si="6"/>
        <v>278224</v>
      </c>
      <c r="G93" s="11" t="str">
        <f t="shared" si="7"/>
        <v/>
      </c>
      <c r="H93" s="12">
        <v>426059</v>
      </c>
      <c r="I93" s="12">
        <f t="shared" si="8"/>
        <v>-147835</v>
      </c>
      <c r="J93" s="13">
        <f t="shared" si="9"/>
        <v>-0.34698246017570339</v>
      </c>
      <c r="K93" s="53" t="s">
        <v>26</v>
      </c>
      <c r="L93" s="53"/>
      <c r="M93" s="104"/>
      <c r="N93" s="104"/>
      <c r="O93" s="104"/>
      <c r="P93" s="104"/>
      <c r="Q93" s="104"/>
      <c r="R93" s="104"/>
      <c r="S93" s="104"/>
      <c r="T93" s="104"/>
    </row>
    <row r="94" spans="1:20" ht="15.6">
      <c r="A94" s="26" t="str">
        <v>Rivard 1</v>
      </c>
      <c r="B94" s="27" t="str">
        <v>NY</v>
      </c>
      <c r="C94" s="27" t="str">
        <f>Sites[[#This Row],[SOL'#]]</f>
        <v>SOL-11011</v>
      </c>
      <c r="D94" s="9">
        <v>179839.57894736901</v>
      </c>
      <c r="E94" s="14">
        <v>270917.40000000002</v>
      </c>
      <c r="F94" s="14">
        <f t="shared" si="6"/>
        <v>-91077.821052631014</v>
      </c>
      <c r="G94" s="15">
        <f t="shared" si="7"/>
        <v>-0.33618298807175545</v>
      </c>
      <c r="H94" s="16">
        <v>258355.8</v>
      </c>
      <c r="I94" s="16">
        <f t="shared" si="8"/>
        <v>-78516.221052630979</v>
      </c>
      <c r="J94" s="15">
        <f t="shared" si="9"/>
        <v>-0.30390732877926868</v>
      </c>
      <c r="K94" s="107" t="s">
        <v>26</v>
      </c>
      <c r="L94" s="52"/>
      <c r="M94" s="104"/>
      <c r="N94" s="104"/>
      <c r="O94" s="104"/>
      <c r="P94" s="104"/>
      <c r="Q94" s="104"/>
      <c r="R94" s="104"/>
      <c r="S94" s="104"/>
      <c r="T94" s="104"/>
    </row>
    <row r="95" spans="1:20" ht="28.9">
      <c r="A95" s="24" t="str">
        <v>Rivard 2</v>
      </c>
      <c r="B95" s="25" t="str">
        <v>NY</v>
      </c>
      <c r="C95" s="25" t="str">
        <f>Sites[[#This Row],[SOL'#]]</f>
        <v>SOL-11012</v>
      </c>
      <c r="D95" s="20">
        <v>181084.28598953399</v>
      </c>
      <c r="E95" s="10">
        <v>212124.1</v>
      </c>
      <c r="F95" s="10">
        <f t="shared" si="6"/>
        <v>-31039.814010466012</v>
      </c>
      <c r="G95" s="11">
        <f t="shared" si="7"/>
        <v>-0.14632855960480687</v>
      </c>
      <c r="H95" s="12">
        <v>246477.3</v>
      </c>
      <c r="I95" s="12">
        <f t="shared" si="8"/>
        <v>-65393.014010465995</v>
      </c>
      <c r="J95" s="13">
        <f t="shared" si="9"/>
        <v>-0.26531049313858113</v>
      </c>
      <c r="K95" s="37" t="s">
        <v>134</v>
      </c>
      <c r="L95" s="99" t="s">
        <v>135</v>
      </c>
      <c r="M95" s="104"/>
      <c r="N95" s="104"/>
      <c r="O95" s="104"/>
      <c r="P95" s="104"/>
      <c r="Q95" s="104"/>
      <c r="R95" s="104"/>
      <c r="S95" s="104"/>
      <c r="T95" s="104"/>
    </row>
    <row r="96" spans="1:20" ht="28.9">
      <c r="A96" s="24" t="str">
        <v>Ridgeway #2</v>
      </c>
      <c r="B96" s="25" t="str">
        <v>NY</v>
      </c>
      <c r="C96" s="25" t="str">
        <f>Sites[[#This Row],[SOL'#]]</f>
        <v>SOL-11027</v>
      </c>
      <c r="D96" s="20">
        <v>79273</v>
      </c>
      <c r="E96" s="10">
        <v>0</v>
      </c>
      <c r="F96" s="10">
        <f t="shared" si="6"/>
        <v>79273</v>
      </c>
      <c r="G96" s="11" t="str">
        <f t="shared" si="7"/>
        <v/>
      </c>
      <c r="H96" s="12">
        <v>219945.2</v>
      </c>
      <c r="I96" s="12">
        <f t="shared" si="8"/>
        <v>-140672.20000000001</v>
      </c>
      <c r="J96" s="13">
        <f t="shared" si="9"/>
        <v>-0.63957840407519695</v>
      </c>
      <c r="K96" s="37" t="s">
        <v>136</v>
      </c>
      <c r="L96" s="99" t="s">
        <v>137</v>
      </c>
      <c r="M96" s="103" t="s">
        <v>138</v>
      </c>
      <c r="N96" s="104"/>
      <c r="O96" s="104"/>
      <c r="P96" s="104"/>
      <c r="Q96" s="104"/>
      <c r="R96" s="104"/>
      <c r="S96" s="104"/>
      <c r="T96" s="104"/>
    </row>
    <row r="97" spans="1:20" ht="15.6">
      <c r="A97" s="26" t="str">
        <v>Spencer</v>
      </c>
      <c r="B97" s="27" t="str">
        <v>NY</v>
      </c>
      <c r="C97" s="27" t="str">
        <f>Sites[[#This Row],[SOL'#]]</f>
        <v>SOL-11017</v>
      </c>
      <c r="D97" s="9">
        <v>414005</v>
      </c>
      <c r="E97" s="14">
        <v>0</v>
      </c>
      <c r="F97" s="14">
        <f t="shared" si="6"/>
        <v>414005</v>
      </c>
      <c r="G97" s="15" t="str">
        <f t="shared" si="7"/>
        <v/>
      </c>
      <c r="H97" s="16">
        <v>306010.59999999998</v>
      </c>
      <c r="I97" s="16">
        <f t="shared" si="8"/>
        <v>107994.40000000002</v>
      </c>
      <c r="J97" s="15">
        <f t="shared" si="9"/>
        <v>0.35291065080752115</v>
      </c>
      <c r="K97" s="50" t="s">
        <v>139</v>
      </c>
      <c r="L97" s="100" t="s">
        <v>140</v>
      </c>
      <c r="M97" s="104"/>
      <c r="N97" s="104"/>
      <c r="O97" s="104"/>
      <c r="P97" s="104"/>
      <c r="Q97" s="104"/>
      <c r="R97" s="104"/>
      <c r="S97" s="104"/>
      <c r="T97" s="104"/>
    </row>
    <row r="98" spans="1:20" ht="15.6">
      <c r="A98" s="28" t="str">
        <v>Reisender</v>
      </c>
      <c r="B98" s="25" t="str">
        <v>NY</v>
      </c>
      <c r="C98" s="25" t="str">
        <f>Sites[[#This Row],[SOL'#]]</f>
        <v>SOL-10886</v>
      </c>
      <c r="D98" s="54">
        <v>103860</v>
      </c>
      <c r="E98" s="10">
        <v>170531.49299999999</v>
      </c>
      <c r="F98" s="10">
        <f t="shared" si="6"/>
        <v>-66671.492999999988</v>
      </c>
      <c r="G98" s="11">
        <f t="shared" si="7"/>
        <v>-0.39096293492252482</v>
      </c>
      <c r="H98" s="67">
        <v>141381.5</v>
      </c>
      <c r="I98" s="12">
        <f t="shared" si="8"/>
        <v>-37521.5</v>
      </c>
      <c r="J98" s="13">
        <f t="shared" si="9"/>
        <v>-0.26539186527233055</v>
      </c>
      <c r="K98" s="107" t="s">
        <v>26</v>
      </c>
      <c r="L98" s="53"/>
      <c r="M98" s="104"/>
      <c r="N98" s="104"/>
      <c r="O98" s="104"/>
      <c r="P98" s="104"/>
      <c r="Q98" s="104"/>
      <c r="R98" s="104"/>
      <c r="S98" s="104"/>
      <c r="T98" s="104"/>
    </row>
    <row r="99" spans="1:20" ht="15.6">
      <c r="A99" s="26" t="str">
        <v>Finney</v>
      </c>
      <c r="B99" s="27" t="str">
        <v>NY</v>
      </c>
      <c r="C99" s="27" t="str">
        <f>Sites[[#This Row],[SOL'#]]</f>
        <v>SOL-10999</v>
      </c>
      <c r="D99" s="66">
        <v>454350</v>
      </c>
      <c r="E99" s="14">
        <v>0</v>
      </c>
      <c r="F99" s="14">
        <f t="shared" si="6"/>
        <v>454350</v>
      </c>
      <c r="G99" s="15" t="str">
        <f t="shared" si="7"/>
        <v/>
      </c>
      <c r="H99" s="69">
        <v>423916.4</v>
      </c>
      <c r="I99" s="16">
        <f t="shared" si="8"/>
        <v>30433.599999999977</v>
      </c>
      <c r="J99" s="15">
        <f t="shared" si="9"/>
        <v>7.1791513609758842E-2</v>
      </c>
      <c r="K99" s="50"/>
      <c r="L99" s="74"/>
      <c r="M99" s="104"/>
      <c r="N99" s="104"/>
      <c r="O99" s="104"/>
      <c r="P99" s="104"/>
      <c r="Q99" s="104"/>
      <c r="R99" s="104"/>
      <c r="S99" s="104"/>
      <c r="T99" s="104"/>
    </row>
    <row r="100" spans="1:20" ht="28.9">
      <c r="A100" s="24" t="str">
        <v>Davis Solar</v>
      </c>
      <c r="B100" s="25" t="str">
        <v>NY</v>
      </c>
      <c r="C100" s="25" t="str">
        <f>Sites[[#This Row],[SOL'#]]</f>
        <v>SOL-10958</v>
      </c>
      <c r="D100" s="54">
        <v>113022</v>
      </c>
      <c r="E100" s="10">
        <v>215455</v>
      </c>
      <c r="F100" s="10">
        <f t="shared" si="6"/>
        <v>-102433</v>
      </c>
      <c r="G100" s="11">
        <f t="shared" si="7"/>
        <v>-0.47542642315100603</v>
      </c>
      <c r="H100" s="67">
        <v>182746</v>
      </c>
      <c r="I100" s="12">
        <f t="shared" si="8"/>
        <v>-69724</v>
      </c>
      <c r="J100" s="13">
        <f t="shared" si="9"/>
        <v>-0.38153502675845163</v>
      </c>
      <c r="K100" s="56" t="s">
        <v>141</v>
      </c>
      <c r="L100" s="99" t="s">
        <v>142</v>
      </c>
      <c r="M100" s="104"/>
      <c r="N100" s="104"/>
      <c r="O100" s="104"/>
      <c r="P100" s="104"/>
      <c r="Q100" s="104"/>
      <c r="R100" s="104"/>
      <c r="S100" s="104"/>
      <c r="T100" s="104"/>
    </row>
    <row r="101" spans="1:20" ht="57.6">
      <c r="A101" s="26" t="str">
        <v>Genesee</v>
      </c>
      <c r="B101" s="27" t="str">
        <v>NY</v>
      </c>
      <c r="C101" s="27" t="str">
        <f>Sites[[#This Row],[SOL'#]]</f>
        <v>SOL-10951</v>
      </c>
      <c r="D101" s="66">
        <v>195743</v>
      </c>
      <c r="E101" s="14">
        <v>0</v>
      </c>
      <c r="F101" s="14">
        <f t="shared" si="6"/>
        <v>195743</v>
      </c>
      <c r="G101" s="15" t="str">
        <f t="shared" si="7"/>
        <v/>
      </c>
      <c r="H101" s="69">
        <v>223003.4</v>
      </c>
      <c r="I101" s="16">
        <f t="shared" si="8"/>
        <v>-27260.399999999994</v>
      </c>
      <c r="J101" s="15">
        <f t="shared" si="9"/>
        <v>-0.12224208240771214</v>
      </c>
      <c r="K101" s="50" t="s">
        <v>143</v>
      </c>
      <c r="L101" s="102" t="s">
        <v>144</v>
      </c>
      <c r="M101" s="103" t="s">
        <v>145</v>
      </c>
      <c r="N101" s="104"/>
      <c r="O101" s="104"/>
      <c r="P101" s="104"/>
      <c r="Q101" s="104"/>
      <c r="R101" s="104"/>
      <c r="S101" s="104"/>
      <c r="T101" s="104"/>
    </row>
    <row r="102" spans="1:20" ht="15.6">
      <c r="A102" s="24" t="str">
        <v>Landau I</v>
      </c>
      <c r="B102" s="25" t="str">
        <v>NY</v>
      </c>
      <c r="C102" s="25" t="str">
        <f>Sites[[#This Row],[SOL'#]]</f>
        <v>SOL-10891</v>
      </c>
      <c r="D102" s="54">
        <v>128600</v>
      </c>
      <c r="E102" s="10">
        <v>0</v>
      </c>
      <c r="F102" s="10">
        <f t="shared" ref="F102:F143" si="10">IF(AND(ISNUMBER(D102),ISNUMBER(E102)), D102-E102, "")</f>
        <v>128600</v>
      </c>
      <c r="G102" s="11" t="str">
        <f t="shared" ref="G102:G143" si="11">IFERROR(F102/E102, "")</f>
        <v/>
      </c>
      <c r="H102" s="67">
        <v>183280</v>
      </c>
      <c r="I102" s="12">
        <f t="shared" si="8"/>
        <v>-54680</v>
      </c>
      <c r="J102" s="13">
        <f t="shared" si="9"/>
        <v>-0.29834133566128329</v>
      </c>
      <c r="K102" s="53" t="s">
        <v>26</v>
      </c>
      <c r="L102" s="53"/>
      <c r="M102" s="104"/>
      <c r="N102" s="104"/>
      <c r="O102" s="104"/>
      <c r="P102" s="104"/>
      <c r="Q102" s="104"/>
      <c r="R102" s="104"/>
      <c r="S102" s="104"/>
      <c r="T102" s="104"/>
    </row>
    <row r="103" spans="1:20" ht="28.9">
      <c r="A103" s="26" t="str">
        <v>Landau II</v>
      </c>
      <c r="B103" s="27" t="str">
        <v>NY</v>
      </c>
      <c r="C103" s="27" t="str">
        <f>Sites[[#This Row],[SOL'#]]</f>
        <v>SOL-10895</v>
      </c>
      <c r="D103" s="66">
        <v>273640</v>
      </c>
      <c r="E103" s="14">
        <v>0</v>
      </c>
      <c r="F103" s="14">
        <f t="shared" si="10"/>
        <v>273640</v>
      </c>
      <c r="G103" s="15" t="str">
        <f t="shared" si="11"/>
        <v/>
      </c>
      <c r="H103" s="69">
        <v>345100.3</v>
      </c>
      <c r="I103" s="16">
        <f t="shared" si="8"/>
        <v>-71460.299999999988</v>
      </c>
      <c r="J103" s="15">
        <f t="shared" si="9"/>
        <v>-0.20707110367623555</v>
      </c>
      <c r="K103" s="50" t="s">
        <v>146</v>
      </c>
      <c r="L103" s="102" t="s">
        <v>147</v>
      </c>
      <c r="M103" s="103" t="s">
        <v>148</v>
      </c>
      <c r="N103" s="104"/>
      <c r="O103" s="104"/>
      <c r="P103" s="104"/>
      <c r="Q103" s="104"/>
      <c r="R103" s="104"/>
      <c r="S103" s="104"/>
      <c r="T103" s="104"/>
    </row>
    <row r="104" spans="1:20" ht="28.9">
      <c r="A104" s="24" t="str">
        <v>New Beginnings</v>
      </c>
      <c r="B104" s="25" t="str">
        <v>NY</v>
      </c>
      <c r="C104" s="25" t="str">
        <f>Sites[[#This Row],[SOL'#]]</f>
        <v>SOL-10890</v>
      </c>
      <c r="D104" s="54">
        <v>139570</v>
      </c>
      <c r="E104" s="10">
        <v>236173.087</v>
      </c>
      <c r="F104" s="10">
        <f t="shared" si="10"/>
        <v>-96603.087</v>
      </c>
      <c r="G104" s="11">
        <f t="shared" si="11"/>
        <v>-0.40903512007699677</v>
      </c>
      <c r="H104" s="67">
        <v>183796</v>
      </c>
      <c r="I104" s="12">
        <f t="shared" ref="I104:I121" si="12">IF(AND(ISNUMBER(D104),ISNUMBER(H104)), D104-H104, "")</f>
        <v>-44226</v>
      </c>
      <c r="J104" s="13">
        <f t="shared" ref="J104:J121" si="13">IFERROR(I104/H104, "")</f>
        <v>-0.24062547607129645</v>
      </c>
      <c r="K104" s="56" t="s">
        <v>149</v>
      </c>
      <c r="L104" s="99" t="s">
        <v>150</v>
      </c>
      <c r="M104" s="104"/>
      <c r="N104" s="104"/>
      <c r="O104" s="104"/>
      <c r="P104" s="104"/>
      <c r="Q104" s="104"/>
      <c r="R104" s="104"/>
      <c r="S104" s="104"/>
      <c r="T104" s="104"/>
    </row>
    <row r="105" spans="1:20" ht="15.6">
      <c r="A105" s="26" t="str">
        <v>Bullitt Farm Solar, LLC</v>
      </c>
      <c r="B105" s="27" t="str">
        <v>NY</v>
      </c>
      <c r="C105" s="27" t="str">
        <f>Sites[[#This Row],[SOL'#]]</f>
        <v>SOL-10998</v>
      </c>
      <c r="D105" s="66">
        <v>233704</v>
      </c>
      <c r="E105" s="14">
        <v>370127.43</v>
      </c>
      <c r="F105" s="14">
        <f t="shared" si="10"/>
        <v>-136423.43</v>
      </c>
      <c r="G105" s="15">
        <f t="shared" si="11"/>
        <v>-0.36858503029618744</v>
      </c>
      <c r="H105" s="69">
        <v>381120.6</v>
      </c>
      <c r="I105" s="16">
        <f t="shared" si="12"/>
        <v>-147416.59999999998</v>
      </c>
      <c r="J105" s="15">
        <f t="shared" si="13"/>
        <v>-0.38679777477260474</v>
      </c>
      <c r="K105" s="50" t="s">
        <v>151</v>
      </c>
      <c r="L105" s="103" t="s">
        <v>152</v>
      </c>
      <c r="M105" s="104"/>
      <c r="N105" s="104"/>
      <c r="O105" s="104"/>
      <c r="P105" s="104"/>
      <c r="Q105" s="104"/>
      <c r="R105" s="104"/>
      <c r="S105" s="104"/>
      <c r="T105" s="104"/>
    </row>
    <row r="106" spans="1:20" ht="28.9">
      <c r="A106" s="24" t="str">
        <v>Brodhead Solar, LLC</v>
      </c>
      <c r="B106" s="25" t="str">
        <v>NY</v>
      </c>
      <c r="C106" s="25" t="str">
        <f>Sites[[#This Row],[SOL'#]]</f>
        <v>SOL-10899</v>
      </c>
      <c r="D106" s="54">
        <v>199162</v>
      </c>
      <c r="E106" s="10">
        <v>235454.7</v>
      </c>
      <c r="F106" s="10">
        <f t="shared" si="10"/>
        <v>-36292.700000000012</v>
      </c>
      <c r="G106" s="11">
        <f t="shared" si="11"/>
        <v>-0.1541387791367087</v>
      </c>
      <c r="H106" s="67">
        <v>225874.51</v>
      </c>
      <c r="I106" s="12">
        <f t="shared" si="12"/>
        <v>-26712.510000000009</v>
      </c>
      <c r="J106" s="13">
        <f t="shared" si="13"/>
        <v>-0.11826261405060716</v>
      </c>
      <c r="K106" s="56" t="s">
        <v>153</v>
      </c>
      <c r="L106" s="99" t="s">
        <v>154</v>
      </c>
      <c r="M106" s="103" t="s">
        <v>155</v>
      </c>
      <c r="N106" s="104"/>
      <c r="O106" s="104"/>
      <c r="P106" s="104"/>
      <c r="Q106" s="104"/>
      <c r="R106" s="104"/>
      <c r="S106" s="104"/>
      <c r="T106" s="104"/>
    </row>
    <row r="107" spans="1:20" ht="15.6">
      <c r="A107" s="26" t="str">
        <v>Svenski</v>
      </c>
      <c r="B107" s="27" t="str">
        <v>NY</v>
      </c>
      <c r="C107" s="27" t="str">
        <f>Sites[[#This Row],[SOL'#]]</f>
        <v>SOL-10894</v>
      </c>
      <c r="D107" s="66">
        <v>110333</v>
      </c>
      <c r="E107" s="14">
        <v>0</v>
      </c>
      <c r="F107" s="14">
        <f t="shared" si="10"/>
        <v>110333</v>
      </c>
      <c r="G107" s="15" t="str">
        <f t="shared" si="11"/>
        <v/>
      </c>
      <c r="H107" s="69">
        <v>143761.4</v>
      </c>
      <c r="I107" s="16">
        <f t="shared" si="12"/>
        <v>-33428.399999999994</v>
      </c>
      <c r="J107" s="15">
        <f t="shared" si="13"/>
        <v>-0.23252695090615419</v>
      </c>
      <c r="K107" s="107" t="s">
        <v>26</v>
      </c>
      <c r="L107" s="74"/>
      <c r="M107" s="104"/>
      <c r="N107" s="104"/>
      <c r="O107" s="104"/>
      <c r="P107" s="104"/>
      <c r="Q107" s="104"/>
      <c r="R107" s="104"/>
      <c r="S107" s="104"/>
      <c r="T107" s="104"/>
    </row>
    <row r="108" spans="1:20" ht="123.75" customHeight="1">
      <c r="A108" s="24" t="str">
        <v>Bantam</v>
      </c>
      <c r="B108" s="25" t="str">
        <v>NY</v>
      </c>
      <c r="C108" s="25" t="str">
        <f>Sites[[#This Row],[SOL'#]]</f>
        <v>SOL-10986</v>
      </c>
      <c r="D108" s="54">
        <v>106590</v>
      </c>
      <c r="E108" s="10">
        <v>0</v>
      </c>
      <c r="F108" s="10">
        <f t="shared" si="10"/>
        <v>106590</v>
      </c>
      <c r="G108" s="11" t="str">
        <f t="shared" si="11"/>
        <v/>
      </c>
      <c r="H108" s="67"/>
      <c r="I108" s="12" t="str">
        <f t="shared" si="12"/>
        <v/>
      </c>
      <c r="J108" s="13" t="str">
        <f t="shared" si="13"/>
        <v/>
      </c>
      <c r="K108" s="56" t="s">
        <v>156</v>
      </c>
      <c r="L108" s="99" t="s">
        <v>157</v>
      </c>
      <c r="M108" s="104"/>
      <c r="N108" s="104"/>
      <c r="O108" s="104"/>
      <c r="P108" s="104"/>
      <c r="Q108" s="104"/>
      <c r="R108" s="104"/>
      <c r="S108" s="104"/>
      <c r="T108" s="104"/>
    </row>
    <row r="109" spans="1:20" ht="158.25" customHeight="1">
      <c r="A109" s="26" t="str">
        <v>Bogart</v>
      </c>
      <c r="B109" s="27" t="str">
        <v>NY</v>
      </c>
      <c r="C109" s="27" t="str">
        <f>Sites[[#This Row],[SOL'#]]</f>
        <v>SOL-10887</v>
      </c>
      <c r="D109" s="66">
        <v>163390</v>
      </c>
      <c r="E109" s="14">
        <v>224512.07800000001</v>
      </c>
      <c r="F109" s="14">
        <f t="shared" si="10"/>
        <v>-61122.078000000009</v>
      </c>
      <c r="G109" s="15">
        <f t="shared" si="11"/>
        <v>-0.27224405272307894</v>
      </c>
      <c r="H109" s="69">
        <v>167525.6</v>
      </c>
      <c r="I109" s="16">
        <f t="shared" si="12"/>
        <v>-4135.6000000000058</v>
      </c>
      <c r="J109" s="15">
        <f t="shared" si="13"/>
        <v>-2.4686376291145985E-2</v>
      </c>
      <c r="K109" s="50" t="s">
        <v>158</v>
      </c>
      <c r="L109" s="103" t="s">
        <v>159</v>
      </c>
      <c r="M109" s="104"/>
      <c r="N109" s="104"/>
      <c r="O109" s="104"/>
      <c r="P109" s="104"/>
      <c r="Q109" s="104"/>
      <c r="R109" s="104"/>
      <c r="S109" s="104"/>
      <c r="T109" s="104"/>
    </row>
    <row r="110" spans="1:20" ht="15.6">
      <c r="A110" s="24" t="str">
        <v>Dubois</v>
      </c>
      <c r="B110" s="25" t="str">
        <v>NY</v>
      </c>
      <c r="C110" s="25" t="str">
        <f>Sites[[#This Row],[SOL'#]]</f>
        <v>SOL-10892</v>
      </c>
      <c r="D110" s="54">
        <v>121698.49</v>
      </c>
      <c r="E110" s="10">
        <v>0</v>
      </c>
      <c r="F110" s="10">
        <f t="shared" si="10"/>
        <v>121698.49</v>
      </c>
      <c r="G110" s="11" t="str">
        <f t="shared" si="11"/>
        <v/>
      </c>
      <c r="H110" s="67"/>
      <c r="I110" s="12" t="str">
        <f t="shared" si="12"/>
        <v/>
      </c>
      <c r="J110" s="13" t="str">
        <f t="shared" si="13"/>
        <v/>
      </c>
      <c r="K110" s="56" t="s">
        <v>160</v>
      </c>
      <c r="L110" s="99" t="s">
        <v>161</v>
      </c>
      <c r="M110" s="104"/>
      <c r="N110" s="104"/>
      <c r="O110" s="104"/>
      <c r="P110" s="104"/>
      <c r="Q110" s="104"/>
      <c r="R110" s="104"/>
      <c r="S110" s="104"/>
      <c r="T110" s="104"/>
    </row>
    <row r="111" spans="1:20" ht="15.6">
      <c r="A111" s="26" t="str">
        <v>Salt Point</v>
      </c>
      <c r="B111" s="27" t="str">
        <v>NY</v>
      </c>
      <c r="C111" s="27" t="str">
        <f>Sites[[#This Row],[SOL'#]]</f>
        <v>SOL-10888</v>
      </c>
      <c r="D111" s="66">
        <v>169980</v>
      </c>
      <c r="E111" s="14">
        <v>0</v>
      </c>
      <c r="F111" s="14">
        <f t="shared" si="10"/>
        <v>169980</v>
      </c>
      <c r="G111" s="15" t="str">
        <f t="shared" si="11"/>
        <v/>
      </c>
      <c r="H111" s="69">
        <v>135218.20000000001</v>
      </c>
      <c r="I111" s="16">
        <f t="shared" si="12"/>
        <v>34761.799999999988</v>
      </c>
      <c r="J111" s="15">
        <f t="shared" si="13"/>
        <v>0.25707929849679989</v>
      </c>
      <c r="K111" s="179" t="s">
        <v>162</v>
      </c>
      <c r="L111" s="103" t="s">
        <v>163</v>
      </c>
      <c r="M111" s="104"/>
      <c r="N111" s="104"/>
      <c r="O111" s="104"/>
      <c r="P111" s="104"/>
      <c r="Q111" s="104"/>
      <c r="R111" s="104"/>
      <c r="S111" s="104"/>
      <c r="T111" s="104"/>
    </row>
    <row r="112" spans="1:20" ht="28.9">
      <c r="A112" s="24" t="str">
        <v>Wheatland 2A</v>
      </c>
      <c r="B112" s="25" t="str">
        <v>NY</v>
      </c>
      <c r="C112" s="25" t="str">
        <f>Sites[[#This Row],[SOL'#]]</f>
        <v>SOL-10971</v>
      </c>
      <c r="D112" s="54">
        <v>294880</v>
      </c>
      <c r="E112" s="10">
        <v>0</v>
      </c>
      <c r="F112" s="10">
        <f t="shared" si="10"/>
        <v>294880</v>
      </c>
      <c r="G112" s="11" t="str">
        <f t="shared" si="11"/>
        <v/>
      </c>
      <c r="H112" s="67">
        <v>282852.59999999998</v>
      </c>
      <c r="I112" s="12">
        <f t="shared" si="12"/>
        <v>12027.400000000023</v>
      </c>
      <c r="J112" s="13">
        <f t="shared" si="13"/>
        <v>4.2521794036894212E-2</v>
      </c>
      <c r="K112" s="56" t="s">
        <v>164</v>
      </c>
      <c r="L112" s="99" t="s">
        <v>165</v>
      </c>
      <c r="M112" s="104"/>
      <c r="N112" s="104"/>
      <c r="O112" s="104"/>
      <c r="P112" s="104"/>
      <c r="Q112" s="104"/>
      <c r="R112" s="104"/>
      <c r="S112" s="104"/>
      <c r="T112" s="104"/>
    </row>
    <row r="113" spans="1:20" ht="28.9">
      <c r="A113" s="26" t="str">
        <v>Wheatland 2B</v>
      </c>
      <c r="B113" s="27" t="str">
        <v>NY</v>
      </c>
      <c r="C113" s="27" t="str">
        <f>Sites[[#This Row],[SOL'#]]</f>
        <v>SOL-10961</v>
      </c>
      <c r="D113" s="66">
        <v>283280</v>
      </c>
      <c r="E113" s="14">
        <v>0</v>
      </c>
      <c r="F113" s="14">
        <f t="shared" si="10"/>
        <v>283280</v>
      </c>
      <c r="G113" s="15" t="str">
        <f t="shared" si="11"/>
        <v/>
      </c>
      <c r="H113" s="69">
        <v>279044.7</v>
      </c>
      <c r="I113" s="16">
        <f t="shared" si="12"/>
        <v>4235.2999999999884</v>
      </c>
      <c r="J113" s="15">
        <f t="shared" si="13"/>
        <v>1.5177855017493571E-2</v>
      </c>
      <c r="K113" s="50" t="s">
        <v>166</v>
      </c>
      <c r="L113" s="103" t="s">
        <v>167</v>
      </c>
      <c r="M113" s="104"/>
      <c r="N113" s="104"/>
      <c r="O113" s="104"/>
      <c r="P113" s="104"/>
      <c r="Q113" s="104"/>
      <c r="R113" s="104"/>
      <c r="S113" s="104"/>
      <c r="T113" s="104"/>
    </row>
    <row r="114" spans="1:20" ht="15.6">
      <c r="A114" s="24" t="str">
        <v>Brickchurch</v>
      </c>
      <c r="B114" s="25" t="str">
        <v>NY</v>
      </c>
      <c r="C114" s="25" t="str">
        <f>Sites[[#This Row],[SOL'#]]</f>
        <v>SOL-10889</v>
      </c>
      <c r="D114" s="54">
        <v>69810</v>
      </c>
      <c r="E114" s="10">
        <v>119057.518</v>
      </c>
      <c r="F114" s="10">
        <f t="shared" si="10"/>
        <v>-49247.517999999996</v>
      </c>
      <c r="G114" s="11">
        <f t="shared" si="11"/>
        <v>-0.41364475614215307</v>
      </c>
      <c r="H114" s="67">
        <v>79341.5</v>
      </c>
      <c r="I114" s="12">
        <f t="shared" si="12"/>
        <v>-9531.5</v>
      </c>
      <c r="J114" s="13">
        <f t="shared" si="13"/>
        <v>-0.12013259139290283</v>
      </c>
      <c r="K114" s="56" t="s">
        <v>168</v>
      </c>
      <c r="L114" s="99" t="s">
        <v>169</v>
      </c>
      <c r="M114" s="104"/>
      <c r="N114" s="104"/>
      <c r="O114" s="104"/>
      <c r="P114" s="104"/>
      <c r="Q114" s="104"/>
      <c r="R114" s="104"/>
      <c r="S114" s="104"/>
      <c r="T114" s="104"/>
    </row>
    <row r="115" spans="1:20" ht="15.6">
      <c r="A115" s="26" t="str">
        <v>McCarthy Solar</v>
      </c>
      <c r="B115" s="27" t="str">
        <v>NY</v>
      </c>
      <c r="C115" s="27" t="str">
        <f>Sites[[#This Row],[SOL'#]]</f>
        <v>SOL-10992</v>
      </c>
      <c r="D115" s="66">
        <v>140810</v>
      </c>
      <c r="E115" s="14">
        <v>0</v>
      </c>
      <c r="F115" s="14">
        <f t="shared" si="10"/>
        <v>140810</v>
      </c>
      <c r="G115" s="15" t="str">
        <f t="shared" si="11"/>
        <v/>
      </c>
      <c r="H115" s="69">
        <v>199506</v>
      </c>
      <c r="I115" s="16">
        <f t="shared" si="12"/>
        <v>-58696</v>
      </c>
      <c r="J115" s="15">
        <f t="shared" si="13"/>
        <v>-0.29420669052559822</v>
      </c>
      <c r="K115" s="50" t="s">
        <v>170</v>
      </c>
      <c r="L115" s="103" t="s">
        <v>171</v>
      </c>
      <c r="M115" s="104"/>
      <c r="N115" s="104"/>
      <c r="O115" s="104"/>
      <c r="P115" s="104"/>
      <c r="Q115" s="104"/>
      <c r="R115" s="104"/>
      <c r="S115" s="104"/>
      <c r="T115" s="104"/>
    </row>
    <row r="116" spans="1:20" ht="43.15">
      <c r="A116" s="24" t="str">
        <v>Costanza</v>
      </c>
      <c r="B116" s="25" t="str">
        <v>NY</v>
      </c>
      <c r="C116" s="25" t="str">
        <f>Sites[[#This Row],[SOL'#]]</f>
        <v>SOL-10907</v>
      </c>
      <c r="D116" s="54">
        <v>128370</v>
      </c>
      <c r="E116" s="10">
        <v>0</v>
      </c>
      <c r="F116" s="10">
        <f t="shared" si="10"/>
        <v>128370</v>
      </c>
      <c r="G116" s="11" t="str">
        <f t="shared" si="11"/>
        <v/>
      </c>
      <c r="H116" s="67">
        <v>161660.6</v>
      </c>
      <c r="I116" s="12">
        <f t="shared" si="12"/>
        <v>-33290.600000000006</v>
      </c>
      <c r="J116" s="13">
        <f t="shared" si="13"/>
        <v>-0.20592896475702802</v>
      </c>
      <c r="K116" s="56" t="s">
        <v>172</v>
      </c>
      <c r="L116" s="99" t="s">
        <v>173</v>
      </c>
      <c r="M116" s="103" t="s">
        <v>174</v>
      </c>
      <c r="N116" s="103" t="s">
        <v>175</v>
      </c>
      <c r="O116" s="104"/>
      <c r="P116" s="104"/>
      <c r="Q116" s="104"/>
      <c r="R116" s="104"/>
      <c r="S116" s="104"/>
      <c r="T116" s="104"/>
    </row>
    <row r="117" spans="1:20" ht="15.6">
      <c r="A117" s="26" t="str">
        <v>Lockenhurst Pond</v>
      </c>
      <c r="B117" s="27" t="str">
        <v>NY</v>
      </c>
      <c r="C117" s="27" t="str">
        <f>Sites[[#This Row],[SOL'#]]</f>
        <v>SOL-11000</v>
      </c>
      <c r="D117" s="66">
        <v>175059</v>
      </c>
      <c r="E117" s="14">
        <v>204006.8</v>
      </c>
      <c r="F117" s="14">
        <f t="shared" si="10"/>
        <v>-28947.799999999988</v>
      </c>
      <c r="G117" s="15">
        <f t="shared" si="11"/>
        <v>-0.14189625051713958</v>
      </c>
      <c r="H117" s="69">
        <v>160367</v>
      </c>
      <c r="I117" s="16">
        <f t="shared" si="12"/>
        <v>14692</v>
      </c>
      <c r="J117" s="15">
        <f t="shared" si="13"/>
        <v>9.1614858418502559E-2</v>
      </c>
      <c r="K117" s="50"/>
      <c r="L117" s="74"/>
      <c r="M117" s="104"/>
      <c r="N117" s="104"/>
      <c r="O117" s="104"/>
      <c r="P117" s="104"/>
      <c r="Q117" s="104"/>
      <c r="R117" s="104"/>
      <c r="S117" s="104"/>
      <c r="T117" s="104"/>
    </row>
    <row r="118" spans="1:20" ht="15.6">
      <c r="A118" s="24" t="str">
        <v>Drinkwater</v>
      </c>
      <c r="B118" s="25" t="str">
        <v>NY</v>
      </c>
      <c r="C118" s="25" t="str">
        <f>Sites[[#This Row],[SOL'#]]</f>
        <v>SOL-10896</v>
      </c>
      <c r="D118" s="54">
        <v>124560</v>
      </c>
      <c r="E118" s="10">
        <v>0</v>
      </c>
      <c r="F118" s="10">
        <f t="shared" si="10"/>
        <v>124560</v>
      </c>
      <c r="G118" s="11" t="str">
        <f t="shared" si="11"/>
        <v/>
      </c>
      <c r="H118" s="67">
        <v>167148</v>
      </c>
      <c r="I118" s="12">
        <f t="shared" si="12"/>
        <v>-42588</v>
      </c>
      <c r="J118" s="13">
        <f t="shared" si="13"/>
        <v>-0.25479216024122336</v>
      </c>
      <c r="K118" s="53" t="s">
        <v>26</v>
      </c>
      <c r="L118" s="53"/>
      <c r="M118" s="104"/>
      <c r="N118" s="104"/>
      <c r="O118" s="104"/>
      <c r="P118" s="104"/>
      <c r="Q118" s="104"/>
      <c r="R118" s="104"/>
      <c r="S118" s="104"/>
      <c r="T118" s="104"/>
    </row>
    <row r="119" spans="1:20" ht="15.6">
      <c r="A119" s="26" t="str">
        <v>Altamont</v>
      </c>
      <c r="B119" s="27" t="str">
        <v>NY</v>
      </c>
      <c r="C119" s="27" t="s">
        <v>176</v>
      </c>
      <c r="D119" s="66">
        <v>265275</v>
      </c>
      <c r="E119" s="14">
        <v>472996.8</v>
      </c>
      <c r="F119" s="14">
        <f t="shared" si="10"/>
        <v>-207721.8</v>
      </c>
      <c r="G119" s="15">
        <f t="shared" si="11"/>
        <v>-0.4391611106037081</v>
      </c>
      <c r="H119" s="69">
        <v>348142.2</v>
      </c>
      <c r="I119" s="16">
        <f t="shared" si="12"/>
        <v>-82867.200000000012</v>
      </c>
      <c r="J119" s="15">
        <f t="shared" si="13"/>
        <v>-0.23802687522512356</v>
      </c>
      <c r="K119" s="107" t="s">
        <v>26</v>
      </c>
      <c r="L119" s="74"/>
      <c r="M119" s="104"/>
      <c r="N119" s="104"/>
      <c r="O119" s="104"/>
      <c r="P119" s="104"/>
      <c r="Q119" s="104"/>
      <c r="R119" s="104"/>
      <c r="S119" s="104"/>
      <c r="T119" s="104"/>
    </row>
    <row r="120" spans="1:20" ht="15.6">
      <c r="A120" s="24" t="str">
        <v>Krumkill North</v>
      </c>
      <c r="B120" s="25" t="str">
        <v>NY</v>
      </c>
      <c r="C120" s="25" t="str">
        <f>Sites[[#This Row],[SOL'#]]</f>
        <v>SOL-11086</v>
      </c>
      <c r="D120" s="54">
        <v>203628</v>
      </c>
      <c r="E120" s="10">
        <v>375941</v>
      </c>
      <c r="F120" s="10">
        <f t="shared" si="10"/>
        <v>-172313</v>
      </c>
      <c r="G120" s="11">
        <f t="shared" si="11"/>
        <v>-0.458351177445397</v>
      </c>
      <c r="H120" s="67">
        <v>466230.1</v>
      </c>
      <c r="I120" s="12">
        <f t="shared" si="12"/>
        <v>-262602.09999999998</v>
      </c>
      <c r="J120" s="13">
        <f t="shared" si="13"/>
        <v>-0.56324570206857083</v>
      </c>
      <c r="K120" s="53" t="s">
        <v>26</v>
      </c>
      <c r="L120" s="53"/>
      <c r="M120" s="104"/>
      <c r="N120" s="104"/>
      <c r="O120" s="104"/>
      <c r="P120" s="104"/>
      <c r="Q120" s="104"/>
      <c r="R120" s="104"/>
      <c r="S120" s="104"/>
      <c r="T120" s="104"/>
    </row>
    <row r="121" spans="1:20" ht="15.6">
      <c r="A121" s="26" t="str">
        <v>Krumkill South</v>
      </c>
      <c r="B121" s="27" t="str">
        <v>NY</v>
      </c>
      <c r="C121" s="27" t="str">
        <f>Sites[[#This Row],[SOL'#]]</f>
        <v>SOL-11087</v>
      </c>
      <c r="D121" s="66">
        <v>210392</v>
      </c>
      <c r="E121" s="14">
        <v>367457.4</v>
      </c>
      <c r="F121" s="14">
        <f t="shared" si="10"/>
        <v>-157065.40000000002</v>
      </c>
      <c r="G121" s="15">
        <f t="shared" si="11"/>
        <v>-0.42743839149789886</v>
      </c>
      <c r="H121" s="69">
        <v>365510.3</v>
      </c>
      <c r="I121" s="16">
        <f t="shared" si="12"/>
        <v>-155118.29999999999</v>
      </c>
      <c r="J121" s="15">
        <f t="shared" si="13"/>
        <v>-0.42438831409128552</v>
      </c>
      <c r="K121" s="107" t="s">
        <v>26</v>
      </c>
      <c r="L121" s="74"/>
      <c r="M121" s="104"/>
      <c r="N121" s="104"/>
      <c r="O121" s="104"/>
      <c r="P121" s="104"/>
      <c r="Q121" s="104"/>
      <c r="R121" s="104"/>
      <c r="S121" s="104"/>
      <c r="T121" s="104"/>
    </row>
    <row r="122" spans="1:20" ht="15.6">
      <c r="A122" s="24" t="str">
        <v>X092</v>
      </c>
      <c r="B122" s="25" t="str">
        <v>NY</v>
      </c>
      <c r="C122" s="25" t="str">
        <f>Sites[[#This Row],[SOL'#]]</f>
        <v>SOL-11189</v>
      </c>
      <c r="D122" s="54"/>
      <c r="E122" s="10"/>
      <c r="F122" s="10" t="str">
        <f t="shared" si="10"/>
        <v/>
      </c>
      <c r="G122" s="11" t="str">
        <f t="shared" si="11"/>
        <v/>
      </c>
      <c r="H122" s="67"/>
      <c r="I122" s="12" t="str">
        <f t="shared" ref="I122:I153" si="14">IF(AND(ISNUMBER(D122),ISNUMBER(H122)), D122-H122, "")</f>
        <v/>
      </c>
      <c r="J122" s="13" t="str">
        <f t="shared" ref="J122:J152" si="15">IFERROR(I122/H122, "")</f>
        <v/>
      </c>
      <c r="K122" s="56"/>
      <c r="L122" s="53"/>
      <c r="M122" s="104"/>
      <c r="N122" s="104"/>
      <c r="O122" s="104"/>
      <c r="P122" s="104"/>
      <c r="Q122" s="104"/>
      <c r="R122" s="104"/>
      <c r="S122" s="104"/>
      <c r="T122" s="104"/>
    </row>
    <row r="123" spans="1:20" ht="15.6">
      <c r="A123" s="26" t="str">
        <v>X093</v>
      </c>
      <c r="B123" s="27" t="str">
        <v>NY</v>
      </c>
      <c r="C123" s="27" t="str">
        <f>Sites[[#This Row],[SOL'#]]</f>
        <v>SOL-10932</v>
      </c>
      <c r="D123" s="66">
        <v>2111.48556738772</v>
      </c>
      <c r="E123" s="14">
        <v>0</v>
      </c>
      <c r="F123" s="14">
        <f t="shared" si="10"/>
        <v>2111.48556738772</v>
      </c>
      <c r="G123" s="15" t="str">
        <f t="shared" si="11"/>
        <v/>
      </c>
      <c r="H123" s="69">
        <v>0</v>
      </c>
      <c r="I123" s="16">
        <f t="shared" si="14"/>
        <v>2111.48556738772</v>
      </c>
      <c r="J123" s="15" t="str">
        <f t="shared" si="15"/>
        <v/>
      </c>
      <c r="K123" s="50" t="s">
        <v>177</v>
      </c>
      <c r="L123" s="103" t="s">
        <v>178</v>
      </c>
      <c r="M123" s="104"/>
      <c r="N123" s="104"/>
      <c r="O123" s="104"/>
      <c r="P123" s="104"/>
      <c r="Q123" s="104"/>
      <c r="R123" s="104"/>
      <c r="S123" s="104"/>
      <c r="T123" s="104"/>
    </row>
    <row r="124" spans="1:20" ht="15.6">
      <c r="A124" s="24" t="str">
        <v>X095</v>
      </c>
      <c r="B124" s="25" t="str">
        <v>NY</v>
      </c>
      <c r="C124" s="25" t="str">
        <f>Sites[[#This Row],[SOL'#]]</f>
        <v>SOL-10929</v>
      </c>
      <c r="D124" s="54">
        <v>5841.4006177607998</v>
      </c>
      <c r="E124" s="10">
        <v>0</v>
      </c>
      <c r="F124" s="10">
        <f t="shared" si="10"/>
        <v>5841.4006177607998</v>
      </c>
      <c r="G124" s="11" t="str">
        <f t="shared" si="11"/>
        <v/>
      </c>
      <c r="H124" s="67">
        <v>0</v>
      </c>
      <c r="I124" s="12">
        <f t="shared" si="14"/>
        <v>5841.4006177607998</v>
      </c>
      <c r="J124" s="13" t="str">
        <f t="shared" si="15"/>
        <v/>
      </c>
      <c r="K124" s="56" t="s">
        <v>179</v>
      </c>
      <c r="L124" s="99" t="s">
        <v>180</v>
      </c>
      <c r="M124" s="104"/>
      <c r="N124" s="104"/>
      <c r="O124" s="104"/>
      <c r="P124" s="104"/>
      <c r="Q124" s="104"/>
      <c r="R124" s="104"/>
      <c r="S124" s="104"/>
      <c r="T124" s="104"/>
    </row>
    <row r="125" spans="1:20" ht="15.6">
      <c r="A125" s="26" t="str">
        <v>X181</v>
      </c>
      <c r="B125" s="27" t="str">
        <v>NY</v>
      </c>
      <c r="C125" s="27" t="str">
        <f>Sites[[#This Row],[SOL'#]]</f>
        <v>SOL-10428</v>
      </c>
      <c r="D125" s="66">
        <v>4382.1068310000001</v>
      </c>
      <c r="E125" s="14">
        <v>0</v>
      </c>
      <c r="F125" s="14">
        <f t="shared" si="10"/>
        <v>4382.1068310000001</v>
      </c>
      <c r="G125" s="15" t="str">
        <f t="shared" si="11"/>
        <v/>
      </c>
      <c r="H125" s="69">
        <v>0</v>
      </c>
      <c r="I125" s="16">
        <f t="shared" si="14"/>
        <v>4382.1068310000001</v>
      </c>
      <c r="J125" s="15" t="str">
        <f t="shared" si="15"/>
        <v/>
      </c>
      <c r="K125" s="50" t="s">
        <v>181</v>
      </c>
      <c r="L125" s="103" t="s">
        <v>182</v>
      </c>
      <c r="M125" s="104"/>
      <c r="N125" s="104"/>
      <c r="O125" s="104"/>
      <c r="P125" s="104"/>
      <c r="Q125" s="104"/>
      <c r="R125" s="104"/>
      <c r="S125" s="104"/>
      <c r="T125" s="104"/>
    </row>
    <row r="126" spans="1:20" ht="15.6">
      <c r="A126" s="24" t="str">
        <v>X415</v>
      </c>
      <c r="B126" s="25" t="str">
        <v>NY</v>
      </c>
      <c r="C126" s="25" t="str">
        <f>Sites[[#This Row],[SOL'#]]</f>
        <v>SOL-10429</v>
      </c>
      <c r="D126" s="54">
        <v>7232.0394130000004</v>
      </c>
      <c r="E126" s="10">
        <v>0</v>
      </c>
      <c r="F126" s="10">
        <f t="shared" si="10"/>
        <v>7232.0394130000004</v>
      </c>
      <c r="G126" s="11" t="str">
        <f t="shared" si="11"/>
        <v/>
      </c>
      <c r="H126" s="67">
        <v>0</v>
      </c>
      <c r="I126" s="12">
        <f t="shared" si="14"/>
        <v>7232.0394130000004</v>
      </c>
      <c r="J126" s="13" t="str">
        <f t="shared" si="15"/>
        <v/>
      </c>
      <c r="K126" s="56" t="s">
        <v>183</v>
      </c>
      <c r="L126" s="99" t="s">
        <v>184</v>
      </c>
      <c r="M126" s="104"/>
      <c r="N126" s="104"/>
      <c r="O126" s="104"/>
      <c r="P126" s="104"/>
      <c r="Q126" s="104"/>
      <c r="R126" s="104"/>
      <c r="S126" s="104"/>
      <c r="T126" s="104"/>
    </row>
    <row r="127" spans="1:20" ht="55.5" customHeight="1">
      <c r="A127" s="26" t="str">
        <v>K198</v>
      </c>
      <c r="B127" s="27" t="str">
        <v>NY</v>
      </c>
      <c r="C127" s="27" t="str">
        <f>Sites[[#This Row],[SOL'#]]</f>
        <v>SOL-10930</v>
      </c>
      <c r="D127" s="66">
        <v>5586.1181933593798</v>
      </c>
      <c r="E127" s="14">
        <v>0</v>
      </c>
      <c r="F127" s="14">
        <f t="shared" si="10"/>
        <v>5586.1181933593798</v>
      </c>
      <c r="G127" s="15" t="str">
        <f t="shared" si="11"/>
        <v/>
      </c>
      <c r="H127" s="69">
        <v>0</v>
      </c>
      <c r="I127" s="16">
        <f t="shared" si="14"/>
        <v>5586.1181933593798</v>
      </c>
      <c r="J127" s="15" t="str">
        <f t="shared" si="15"/>
        <v/>
      </c>
      <c r="K127" s="50" t="s">
        <v>185</v>
      </c>
      <c r="L127" s="103" t="s">
        <v>186</v>
      </c>
      <c r="M127" s="104"/>
      <c r="N127" s="104"/>
      <c r="O127" s="104"/>
      <c r="P127" s="104"/>
      <c r="Q127" s="104"/>
      <c r="R127" s="104"/>
      <c r="S127" s="104"/>
      <c r="T127" s="104"/>
    </row>
    <row r="128" spans="1:20" ht="15.6">
      <c r="A128" s="24" t="str">
        <v>K203</v>
      </c>
      <c r="B128" s="25" t="str">
        <v>NY</v>
      </c>
      <c r="C128" s="25" t="str">
        <f>Sites[[#This Row],[SOL'#]]</f>
        <v>SOL-11190</v>
      </c>
      <c r="D128" s="54"/>
      <c r="E128" s="10"/>
      <c r="F128" s="10" t="str">
        <f t="shared" si="10"/>
        <v/>
      </c>
      <c r="G128" s="11" t="str">
        <f t="shared" si="11"/>
        <v/>
      </c>
      <c r="H128" s="67"/>
      <c r="I128" s="12" t="str">
        <f t="shared" si="14"/>
        <v/>
      </c>
      <c r="J128" s="13" t="str">
        <f t="shared" si="15"/>
        <v/>
      </c>
      <c r="K128" s="56"/>
      <c r="L128" s="53"/>
      <c r="M128" s="104"/>
      <c r="N128" s="104"/>
      <c r="O128" s="104"/>
      <c r="P128" s="104"/>
      <c r="Q128" s="104"/>
      <c r="R128" s="104"/>
      <c r="S128" s="104"/>
      <c r="T128" s="104"/>
    </row>
    <row r="129" spans="1:20" ht="15.6">
      <c r="A129" s="26" t="str">
        <v>K213</v>
      </c>
      <c r="B129" s="27" t="str">
        <v>NY</v>
      </c>
      <c r="C129" s="27" t="str">
        <f>Sites[[#This Row],[SOL'#]]</f>
        <v>SOL-11191</v>
      </c>
      <c r="D129" s="66"/>
      <c r="E129" s="14"/>
      <c r="F129" s="14" t="str">
        <f t="shared" si="10"/>
        <v/>
      </c>
      <c r="G129" s="15" t="str">
        <f t="shared" si="11"/>
        <v/>
      </c>
      <c r="H129" s="69"/>
      <c r="I129" s="16" t="str">
        <f t="shared" si="14"/>
        <v/>
      </c>
      <c r="J129" s="15" t="str">
        <f t="shared" si="15"/>
        <v/>
      </c>
      <c r="K129" s="51"/>
      <c r="L129" s="75"/>
      <c r="M129" s="104"/>
      <c r="N129" s="104"/>
      <c r="O129" s="104"/>
      <c r="P129" s="104"/>
      <c r="Q129" s="104"/>
      <c r="R129" s="104"/>
      <c r="S129" s="104"/>
      <c r="T129" s="104"/>
    </row>
    <row r="130" spans="1:20" ht="15.6">
      <c r="A130" s="24" t="str">
        <v>K217</v>
      </c>
      <c r="B130" s="25" t="str">
        <v>NY</v>
      </c>
      <c r="C130" s="25" t="str">
        <f>Sites[[#This Row],[SOL'#]]</f>
        <v>SOL-10933</v>
      </c>
      <c r="D130" s="54">
        <v>3763.5269082227501</v>
      </c>
      <c r="E130" s="10">
        <v>0</v>
      </c>
      <c r="F130" s="10">
        <f t="shared" si="10"/>
        <v>3763.5269082227501</v>
      </c>
      <c r="G130" s="11" t="str">
        <f t="shared" si="11"/>
        <v/>
      </c>
      <c r="H130" s="67">
        <v>0</v>
      </c>
      <c r="I130" s="12">
        <f t="shared" si="14"/>
        <v>3763.5269082227501</v>
      </c>
      <c r="J130" s="13" t="str">
        <f t="shared" si="15"/>
        <v/>
      </c>
      <c r="K130" s="56" t="s">
        <v>185</v>
      </c>
      <c r="L130" s="99" t="s">
        <v>187</v>
      </c>
      <c r="M130" s="104"/>
      <c r="N130" s="104"/>
      <c r="O130" s="104"/>
      <c r="P130" s="104"/>
      <c r="Q130" s="104"/>
      <c r="R130" s="104"/>
      <c r="S130" s="104"/>
      <c r="T130" s="104"/>
    </row>
    <row r="131" spans="1:20" ht="15.6">
      <c r="A131" s="26" t="str">
        <v>K307</v>
      </c>
      <c r="B131" s="27" t="str">
        <v>NY</v>
      </c>
      <c r="C131" s="27" t="str">
        <f>Sites[[#This Row],[SOL'#]]</f>
        <v>SOL-10876</v>
      </c>
      <c r="D131" s="66">
        <v>6600.8426369999997</v>
      </c>
      <c r="E131" s="14">
        <v>0</v>
      </c>
      <c r="F131" s="14">
        <f t="shared" si="10"/>
        <v>6600.8426369999997</v>
      </c>
      <c r="G131" s="15" t="str">
        <f t="shared" si="11"/>
        <v/>
      </c>
      <c r="H131" s="69">
        <v>0</v>
      </c>
      <c r="I131" s="16">
        <f t="shared" si="14"/>
        <v>6600.8426369999997</v>
      </c>
      <c r="J131" s="15" t="str">
        <f t="shared" si="15"/>
        <v/>
      </c>
      <c r="K131" s="50"/>
      <c r="L131" s="74"/>
      <c r="M131" s="104"/>
      <c r="N131" s="104"/>
      <c r="O131" s="104"/>
      <c r="P131" s="104"/>
      <c r="Q131" s="104"/>
      <c r="R131" s="104"/>
      <c r="S131" s="104"/>
      <c r="T131" s="104"/>
    </row>
    <row r="132" spans="1:20" ht="15.6">
      <c r="A132" s="24" t="str">
        <v>K610</v>
      </c>
      <c r="B132" s="25" t="str">
        <v>NY</v>
      </c>
      <c r="C132" s="25" t="str">
        <f>Sites[[#This Row],[SOL'#]]</f>
        <v>SOL-11158</v>
      </c>
      <c r="D132" s="54"/>
      <c r="E132" s="10"/>
      <c r="F132" s="10" t="str">
        <f t="shared" si="10"/>
        <v/>
      </c>
      <c r="G132" s="11" t="str">
        <f t="shared" si="11"/>
        <v/>
      </c>
      <c r="H132" s="67"/>
      <c r="I132" s="12" t="str">
        <f t="shared" si="14"/>
        <v/>
      </c>
      <c r="J132" s="13" t="str">
        <f t="shared" si="15"/>
        <v/>
      </c>
      <c r="K132" s="56"/>
      <c r="L132" s="53"/>
      <c r="M132" s="104"/>
      <c r="N132" s="104"/>
      <c r="O132" s="104"/>
      <c r="P132" s="104"/>
      <c r="Q132" s="104"/>
      <c r="R132" s="104"/>
      <c r="S132" s="104"/>
      <c r="T132" s="104"/>
    </row>
    <row r="133" spans="1:20" ht="15.6">
      <c r="A133" s="26" t="str">
        <v>M025</v>
      </c>
      <c r="B133" s="27" t="str">
        <v>NY</v>
      </c>
      <c r="C133" s="27" t="str">
        <f>Sites[[#This Row],[SOL'#]]</f>
        <v>SOL-10392</v>
      </c>
      <c r="D133" s="66">
        <v>6835.8961179999997</v>
      </c>
      <c r="E133" s="14">
        <v>0</v>
      </c>
      <c r="F133" s="14">
        <f t="shared" si="10"/>
        <v>6835.8961179999997</v>
      </c>
      <c r="G133" s="15" t="str">
        <f t="shared" si="11"/>
        <v/>
      </c>
      <c r="H133" s="69">
        <v>0</v>
      </c>
      <c r="I133" s="16">
        <f t="shared" si="14"/>
        <v>6835.8961179999997</v>
      </c>
      <c r="J133" s="15" t="str">
        <f t="shared" si="15"/>
        <v/>
      </c>
      <c r="K133" s="50" t="s">
        <v>185</v>
      </c>
      <c r="L133" s="103" t="s">
        <v>188</v>
      </c>
      <c r="M133" s="104"/>
      <c r="N133" s="104"/>
      <c r="O133" s="104"/>
      <c r="P133" s="104"/>
      <c r="Q133" s="104"/>
      <c r="R133" s="104"/>
      <c r="S133" s="104"/>
      <c r="T133" s="104"/>
    </row>
    <row r="134" spans="1:20" ht="15.6">
      <c r="A134" s="24" t="str">
        <v>M028</v>
      </c>
      <c r="B134" s="25" t="str">
        <v>NY</v>
      </c>
      <c r="C134" s="25" t="str">
        <f>Sites[[#This Row],[SOL'#]]</f>
        <v>SOL-10381</v>
      </c>
      <c r="D134" s="54">
        <v>2615.2417190000001</v>
      </c>
      <c r="E134" s="10">
        <v>0</v>
      </c>
      <c r="F134" s="10">
        <f t="shared" si="10"/>
        <v>2615.2417190000001</v>
      </c>
      <c r="G134" s="11" t="str">
        <f t="shared" si="11"/>
        <v/>
      </c>
      <c r="H134" s="67">
        <v>0</v>
      </c>
      <c r="I134" s="12">
        <f t="shared" si="14"/>
        <v>2615.2417190000001</v>
      </c>
      <c r="J134" s="13" t="str">
        <f t="shared" si="15"/>
        <v/>
      </c>
      <c r="K134" s="56" t="s">
        <v>189</v>
      </c>
      <c r="L134" s="99" t="s">
        <v>190</v>
      </c>
      <c r="M134" s="104"/>
      <c r="N134" s="104"/>
      <c r="O134" s="104"/>
      <c r="P134" s="104"/>
      <c r="Q134" s="104"/>
      <c r="R134" s="104"/>
      <c r="S134" s="104"/>
      <c r="T134" s="104"/>
    </row>
    <row r="135" spans="1:20" ht="15.6">
      <c r="A135" s="26" t="str">
        <v>Q030</v>
      </c>
      <c r="B135" s="27" t="str">
        <v>NY</v>
      </c>
      <c r="C135" s="27" t="str">
        <f>Sites[[#This Row],[SOL'#]]</f>
        <v>SOL-10878</v>
      </c>
      <c r="D135" s="66">
        <v>8979.27</v>
      </c>
      <c r="E135" s="14">
        <v>0</v>
      </c>
      <c r="F135" s="14">
        <f t="shared" si="10"/>
        <v>8979.27</v>
      </c>
      <c r="G135" s="15" t="str">
        <f t="shared" si="11"/>
        <v/>
      </c>
      <c r="H135" s="69">
        <v>0</v>
      </c>
      <c r="I135" s="16">
        <f t="shared" si="14"/>
        <v>8979.27</v>
      </c>
      <c r="J135" s="15" t="str">
        <f t="shared" si="15"/>
        <v/>
      </c>
      <c r="K135" s="50"/>
      <c r="L135" s="74"/>
      <c r="M135" s="104"/>
      <c r="N135" s="104"/>
      <c r="O135" s="104"/>
      <c r="P135" s="104"/>
      <c r="Q135" s="104"/>
      <c r="R135" s="104"/>
      <c r="S135" s="104"/>
      <c r="T135" s="104"/>
    </row>
    <row r="136" spans="1:20" ht="36" customHeight="1">
      <c r="A136" s="24" t="str">
        <v>Q130</v>
      </c>
      <c r="B136" s="25" t="str">
        <v>NY</v>
      </c>
      <c r="C136" s="25" t="str">
        <f>Sites[[#This Row],[SOL'#]]</f>
        <v>SOL-10877</v>
      </c>
      <c r="D136" s="54">
        <v>3425.5079999999998</v>
      </c>
      <c r="E136" s="10">
        <v>0</v>
      </c>
      <c r="F136" s="10">
        <f t="shared" si="10"/>
        <v>3425.5079999999998</v>
      </c>
      <c r="G136" s="11" t="str">
        <f t="shared" si="11"/>
        <v/>
      </c>
      <c r="H136" s="67">
        <v>0</v>
      </c>
      <c r="I136" s="12">
        <f t="shared" si="14"/>
        <v>3425.5079999999998</v>
      </c>
      <c r="J136" s="13" t="str">
        <f t="shared" si="15"/>
        <v/>
      </c>
      <c r="K136" s="56" t="s">
        <v>191</v>
      </c>
      <c r="L136" s="99" t="s">
        <v>192</v>
      </c>
      <c r="M136" s="104"/>
      <c r="N136" s="104"/>
      <c r="O136" s="104"/>
      <c r="P136" s="104"/>
      <c r="Q136" s="104"/>
      <c r="R136" s="104"/>
      <c r="S136" s="104"/>
      <c r="T136" s="104"/>
    </row>
    <row r="137" spans="1:20" ht="15.6">
      <c r="A137" s="26" t="str">
        <v>Q196</v>
      </c>
      <c r="B137" s="27" t="str">
        <v>NY</v>
      </c>
      <c r="C137" s="27" t="str">
        <f>Sites[[#This Row],[SOL'#]]</f>
        <v>SOL-10879</v>
      </c>
      <c r="D137" s="66">
        <v>3235.96</v>
      </c>
      <c r="E137" s="14">
        <v>0</v>
      </c>
      <c r="F137" s="14">
        <f t="shared" si="10"/>
        <v>3235.96</v>
      </c>
      <c r="G137" s="15" t="str">
        <f t="shared" si="11"/>
        <v/>
      </c>
      <c r="H137" s="69"/>
      <c r="I137" s="16" t="str">
        <f t="shared" si="14"/>
        <v/>
      </c>
      <c r="J137" s="15" t="str">
        <f t="shared" si="15"/>
        <v/>
      </c>
      <c r="K137" s="56" t="s">
        <v>191</v>
      </c>
      <c r="L137" s="103" t="s">
        <v>193</v>
      </c>
      <c r="M137" s="104"/>
      <c r="N137" s="104"/>
      <c r="O137" s="104"/>
      <c r="P137" s="104"/>
      <c r="Q137" s="104"/>
      <c r="R137" s="104"/>
      <c r="S137" s="104"/>
      <c r="T137" s="104"/>
    </row>
    <row r="138" spans="1:20" ht="15.6">
      <c r="A138" s="24" t="str">
        <v>Q220</v>
      </c>
      <c r="B138" s="25" t="str">
        <v>NY</v>
      </c>
      <c r="C138" s="25" t="str">
        <f>Sites[[#This Row],[SOL'#]]</f>
        <v>SOL-10873</v>
      </c>
      <c r="D138" s="54">
        <v>6469.201</v>
      </c>
      <c r="E138" s="10">
        <v>0</v>
      </c>
      <c r="F138" s="10">
        <f t="shared" si="10"/>
        <v>6469.201</v>
      </c>
      <c r="G138" s="11" t="str">
        <f t="shared" si="11"/>
        <v/>
      </c>
      <c r="H138" s="67"/>
      <c r="I138" s="12" t="str">
        <f t="shared" si="14"/>
        <v/>
      </c>
      <c r="J138" s="13" t="str">
        <f t="shared" si="15"/>
        <v/>
      </c>
      <c r="K138" s="56" t="s">
        <v>191</v>
      </c>
      <c r="L138" s="99" t="s">
        <v>194</v>
      </c>
      <c r="M138" s="104"/>
      <c r="N138" s="104"/>
      <c r="O138" s="104"/>
      <c r="P138" s="104"/>
      <c r="Q138" s="104"/>
      <c r="R138" s="104"/>
      <c r="S138" s="104"/>
      <c r="T138" s="104"/>
    </row>
    <row r="139" spans="1:20" ht="15.6">
      <c r="A139" s="26" t="str">
        <v>Q205</v>
      </c>
      <c r="B139" s="27" t="str">
        <v>NY</v>
      </c>
      <c r="C139" s="27" t="str">
        <f>Sites[[#This Row],[SOL'#]]</f>
        <v>SOL-10922</v>
      </c>
      <c r="D139" s="66"/>
      <c r="E139" s="14"/>
      <c r="F139" s="14" t="str">
        <f t="shared" si="10"/>
        <v/>
      </c>
      <c r="G139" s="15" t="str">
        <f t="shared" si="11"/>
        <v/>
      </c>
      <c r="H139" s="69"/>
      <c r="I139" s="16" t="str">
        <f t="shared" si="14"/>
        <v/>
      </c>
      <c r="J139" s="15" t="str">
        <f t="shared" si="15"/>
        <v/>
      </c>
      <c r="K139" s="50"/>
      <c r="L139" s="74"/>
      <c r="M139" s="104"/>
      <c r="N139" s="104"/>
      <c r="O139" s="104"/>
      <c r="P139" s="104"/>
      <c r="Q139" s="104"/>
      <c r="R139" s="104"/>
      <c r="S139" s="104"/>
      <c r="T139" s="104"/>
    </row>
    <row r="140" spans="1:20" ht="28.9">
      <c r="A140" s="24" t="str">
        <v>Q400</v>
      </c>
      <c r="B140" s="25" t="str">
        <v>NY</v>
      </c>
      <c r="C140" s="25" t="str">
        <f>Sites[[#This Row],[SOL'#]]</f>
        <v>SOL-10871</v>
      </c>
      <c r="D140" s="54">
        <v>8851.6523440000001</v>
      </c>
      <c r="E140" s="10">
        <v>0</v>
      </c>
      <c r="F140" s="10">
        <f t="shared" si="10"/>
        <v>8851.6523440000001</v>
      </c>
      <c r="G140" s="11" t="str">
        <f t="shared" si="11"/>
        <v/>
      </c>
      <c r="H140" s="67">
        <v>0</v>
      </c>
      <c r="I140" s="12">
        <f t="shared" si="14"/>
        <v>8851.6523440000001</v>
      </c>
      <c r="J140" s="13" t="str">
        <f t="shared" si="15"/>
        <v/>
      </c>
      <c r="K140" s="56" t="s">
        <v>195</v>
      </c>
      <c r="L140" s="99" t="s">
        <v>196</v>
      </c>
      <c r="M140" s="103" t="s">
        <v>197</v>
      </c>
      <c r="N140" s="104"/>
      <c r="O140" s="104"/>
      <c r="P140" s="104"/>
      <c r="Q140" s="104"/>
      <c r="R140" s="104"/>
      <c r="S140" s="104"/>
      <c r="T140" s="104"/>
    </row>
    <row r="141" spans="1:20" ht="15.6">
      <c r="A141" s="26" t="str">
        <v>R003</v>
      </c>
      <c r="B141" s="27" t="str">
        <v>NY</v>
      </c>
      <c r="C141" s="27" t="str">
        <f>Sites[[#This Row],[SOL'#]]</f>
        <v>SOL-10416</v>
      </c>
      <c r="D141" s="66"/>
      <c r="E141" s="14"/>
      <c r="F141" s="14" t="str">
        <f t="shared" si="10"/>
        <v/>
      </c>
      <c r="G141" s="15" t="str">
        <f t="shared" si="11"/>
        <v/>
      </c>
      <c r="H141" s="69"/>
      <c r="I141" s="16" t="str">
        <f t="shared" si="14"/>
        <v/>
      </c>
      <c r="J141" s="15" t="str">
        <f t="shared" si="15"/>
        <v/>
      </c>
      <c r="K141" s="50" t="s">
        <v>198</v>
      </c>
      <c r="L141" s="103" t="s">
        <v>199</v>
      </c>
      <c r="M141" s="104"/>
      <c r="N141" s="104"/>
      <c r="O141" s="104"/>
      <c r="P141" s="104"/>
      <c r="Q141" s="104"/>
      <c r="R141" s="104"/>
      <c r="S141" s="104"/>
      <c r="T141" s="104"/>
    </row>
    <row r="142" spans="1:20" ht="15.6">
      <c r="A142" s="24" t="str">
        <v>R007</v>
      </c>
      <c r="B142" s="25" t="str">
        <v>NY</v>
      </c>
      <c r="C142" s="25" t="str">
        <f>Sites[[#This Row],[SOL'#]]</f>
        <v>SOL-10417</v>
      </c>
      <c r="D142" s="54">
        <v>14021.9</v>
      </c>
      <c r="E142" s="10">
        <v>0</v>
      </c>
      <c r="F142" s="10">
        <f t="shared" si="10"/>
        <v>14021.9</v>
      </c>
      <c r="G142" s="11" t="str">
        <f t="shared" si="11"/>
        <v/>
      </c>
      <c r="H142" s="67">
        <v>0</v>
      </c>
      <c r="I142" s="12">
        <f t="shared" si="14"/>
        <v>14021.9</v>
      </c>
      <c r="J142" s="13" t="str">
        <f t="shared" si="15"/>
        <v/>
      </c>
      <c r="K142" s="56"/>
      <c r="L142" s="53"/>
      <c r="M142" s="104"/>
      <c r="N142" s="104"/>
      <c r="O142" s="104"/>
      <c r="P142" s="104"/>
      <c r="Q142" s="104"/>
      <c r="R142" s="104"/>
      <c r="S142" s="104"/>
      <c r="T142" s="104"/>
    </row>
    <row r="143" spans="1:20" ht="15.6">
      <c r="A143" s="26" t="str">
        <v>BK16</v>
      </c>
      <c r="B143" s="27" t="str">
        <v>NY</v>
      </c>
      <c r="C143" s="27" t="str">
        <f>Sites[[#This Row],[SOL'#]]</f>
        <v>SOL-11093</v>
      </c>
      <c r="D143" s="66">
        <v>14917.816421408599</v>
      </c>
      <c r="E143" s="14">
        <v>0</v>
      </c>
      <c r="F143" s="14">
        <f t="shared" si="10"/>
        <v>14917.816421408599</v>
      </c>
      <c r="G143" s="15" t="str">
        <f t="shared" si="11"/>
        <v/>
      </c>
      <c r="H143" s="69">
        <v>0</v>
      </c>
      <c r="I143" s="16">
        <f t="shared" si="14"/>
        <v>14917.816421408599</v>
      </c>
      <c r="J143" s="15" t="str">
        <f t="shared" si="15"/>
        <v/>
      </c>
      <c r="K143" s="50" t="s">
        <v>185</v>
      </c>
      <c r="L143" s="103" t="s">
        <v>200</v>
      </c>
      <c r="M143" s="104"/>
      <c r="N143" s="104"/>
      <c r="O143" s="104"/>
      <c r="P143" s="104"/>
      <c r="Q143" s="104"/>
      <c r="R143" s="104"/>
      <c r="S143" s="104"/>
      <c r="T143" s="104"/>
    </row>
    <row r="144" spans="1:20" ht="15.6">
      <c r="A144" s="24" t="str">
        <v>Trenton - Trenton East</v>
      </c>
      <c r="B144" s="25" t="str">
        <v>IL</v>
      </c>
      <c r="C144" s="25" t="str">
        <f>Sites[[#This Row],[SOL'#]]</f>
        <v>SOL-11060</v>
      </c>
      <c r="D144" s="54"/>
      <c r="E144" s="10"/>
      <c r="F144" s="10" t="str">
        <f t="shared" ref="F144:F153" si="16">IF(AND(ISNUMBER(D144),ISNUMBER(E144)), D144-E144, "")</f>
        <v/>
      </c>
      <c r="G144" s="11" t="str">
        <f t="shared" ref="G144:G152" si="17">IFERROR(F144/E144, "")</f>
        <v/>
      </c>
      <c r="H144" s="67"/>
      <c r="I144" s="12" t="str">
        <f t="shared" si="14"/>
        <v/>
      </c>
      <c r="J144" s="13" t="str">
        <f t="shared" si="15"/>
        <v/>
      </c>
      <c r="K144" s="56"/>
      <c r="L144" s="53"/>
      <c r="M144" s="104"/>
      <c r="N144" s="104"/>
      <c r="O144" s="104"/>
      <c r="P144" s="104"/>
      <c r="Q144" s="104"/>
      <c r="R144" s="104"/>
      <c r="S144" s="104"/>
      <c r="T144" s="104"/>
    </row>
    <row r="145" spans="1:20" ht="15.6">
      <c r="A145" s="26" t="str">
        <v>Trenton - Trenton West</v>
      </c>
      <c r="B145" s="27" t="str">
        <v>IL</v>
      </c>
      <c r="C145" s="27" t="str">
        <f>Sites[[#This Row],[SOL'#]]</f>
        <v>SOL-11061</v>
      </c>
      <c r="D145" s="66"/>
      <c r="E145" s="14"/>
      <c r="F145" s="14" t="str">
        <f t="shared" si="16"/>
        <v/>
      </c>
      <c r="G145" s="15" t="str">
        <f t="shared" si="17"/>
        <v/>
      </c>
      <c r="H145" s="69"/>
      <c r="I145" s="16" t="str">
        <f t="shared" si="14"/>
        <v/>
      </c>
      <c r="J145" s="15" t="str">
        <f t="shared" si="15"/>
        <v/>
      </c>
      <c r="K145" s="50"/>
      <c r="L145" s="103"/>
      <c r="M145" s="104"/>
      <c r="N145" s="104"/>
      <c r="O145" s="104"/>
      <c r="P145" s="104"/>
      <c r="Q145" s="104"/>
      <c r="R145" s="104"/>
      <c r="S145" s="104"/>
      <c r="T145" s="104"/>
    </row>
    <row r="146" spans="1:20" ht="15.6">
      <c r="A146" s="24" t="str">
        <v>Dakota - Dakota Solar 1</v>
      </c>
      <c r="B146" s="25" t="str">
        <v>IL</v>
      </c>
      <c r="C146" s="25" t="str">
        <f>Sites[[#This Row],[SOL'#]]</f>
        <v>SOL-11113</v>
      </c>
      <c r="D146" s="54"/>
      <c r="E146" s="10"/>
      <c r="F146" s="10" t="str">
        <f t="shared" si="16"/>
        <v/>
      </c>
      <c r="G146" s="11" t="str">
        <f t="shared" si="17"/>
        <v/>
      </c>
      <c r="H146" s="67"/>
      <c r="I146" s="12" t="str">
        <f t="shared" si="14"/>
        <v/>
      </c>
      <c r="J146" s="13" t="str">
        <f t="shared" si="15"/>
        <v/>
      </c>
      <c r="K146" s="56"/>
      <c r="L146" s="53"/>
      <c r="M146" s="104"/>
      <c r="N146" s="104"/>
      <c r="O146" s="104"/>
      <c r="P146" s="104"/>
      <c r="Q146" s="104"/>
      <c r="R146" s="104"/>
      <c r="S146" s="104"/>
      <c r="T146" s="104"/>
    </row>
    <row r="147" spans="1:20" ht="15.6">
      <c r="A147" s="26" t="str">
        <v>X018</v>
      </c>
      <c r="B147" s="27" t="str">
        <v>NY</v>
      </c>
      <c r="C147" s="27" t="str">
        <f>Sites[[#This Row],[SOL'#]]</f>
        <v>SOL-10418</v>
      </c>
      <c r="D147" s="66">
        <v>6974.78</v>
      </c>
      <c r="E147" s="14">
        <v>9491.5249999999996</v>
      </c>
      <c r="F147" s="14">
        <f t="shared" si="16"/>
        <v>-2516.7449999999999</v>
      </c>
      <c r="G147" s="15">
        <f t="shared" si="17"/>
        <v>-0.2651570743373694</v>
      </c>
      <c r="H147" s="69">
        <v>0</v>
      </c>
      <c r="I147" s="16">
        <f t="shared" si="14"/>
        <v>6974.78</v>
      </c>
      <c r="J147" s="15" t="str">
        <f t="shared" si="15"/>
        <v/>
      </c>
      <c r="K147" s="50" t="s">
        <v>26</v>
      </c>
      <c r="L147" s="103"/>
      <c r="M147" s="104"/>
      <c r="N147" s="104"/>
      <c r="O147" s="104"/>
      <c r="P147" s="104"/>
      <c r="Q147" s="104"/>
      <c r="R147" s="104"/>
      <c r="S147" s="104"/>
      <c r="T147" s="104"/>
    </row>
    <row r="148" spans="1:20" ht="15.6">
      <c r="A148" s="24" t="str">
        <v>Janiak Solar</v>
      </c>
      <c r="B148" s="25" t="str">
        <v>NY</v>
      </c>
      <c r="C148" s="25" t="str">
        <f>Sites[[#This Row],[SOL'#]]</f>
        <v>SOL-10898</v>
      </c>
      <c r="D148" s="54">
        <v>171787.774</v>
      </c>
      <c r="E148" s="10">
        <v>248610.101</v>
      </c>
      <c r="F148" s="10">
        <f t="shared" si="16"/>
        <v>-76822.32699999999</v>
      </c>
      <c r="G148" s="11">
        <f t="shared" si="17"/>
        <v>-0.30900726354638336</v>
      </c>
      <c r="H148" s="67">
        <v>209672.823</v>
      </c>
      <c r="I148" s="12">
        <f t="shared" si="14"/>
        <v>-37885.048999999999</v>
      </c>
      <c r="J148" s="13">
        <f t="shared" si="15"/>
        <v>-0.18068650222732965</v>
      </c>
      <c r="K148" s="53" t="s">
        <v>26</v>
      </c>
      <c r="L148" s="53"/>
    </row>
    <row r="149" spans="1:20" ht="28.9">
      <c r="A149" s="26" t="str">
        <v>County Route 11B</v>
      </c>
      <c r="B149" s="27" t="str">
        <v>NY</v>
      </c>
      <c r="C149" s="27" t="str">
        <f>Sites[[#This Row],[SOL'#]]</f>
        <v>SOL-10983</v>
      </c>
      <c r="D149" s="66">
        <v>314905</v>
      </c>
      <c r="E149" s="14">
        <v>0</v>
      </c>
      <c r="F149" s="14">
        <f t="shared" si="16"/>
        <v>314905</v>
      </c>
      <c r="G149" s="15" t="str">
        <f t="shared" si="17"/>
        <v/>
      </c>
      <c r="H149" s="69">
        <v>0</v>
      </c>
      <c r="I149" s="16">
        <f t="shared" si="14"/>
        <v>314905</v>
      </c>
      <c r="J149" s="15" t="str">
        <f t="shared" si="15"/>
        <v/>
      </c>
      <c r="K149" s="81" t="s">
        <v>201</v>
      </c>
      <c r="L149" s="102" t="s">
        <v>202</v>
      </c>
    </row>
    <row r="150" spans="1:20" ht="28.9">
      <c r="A150" s="24" t="str">
        <v>Barone</v>
      </c>
      <c r="B150" s="25" t="str">
        <v>NY</v>
      </c>
      <c r="C150" s="25" t="str">
        <f>Sites[[#This Row],[SOL'#]]</f>
        <v>SOL-11034</v>
      </c>
      <c r="D150" s="54">
        <v>246714</v>
      </c>
      <c r="E150" s="10">
        <v>0</v>
      </c>
      <c r="F150" s="10">
        <f t="shared" si="16"/>
        <v>246714</v>
      </c>
      <c r="G150" s="11" t="str">
        <f t="shared" si="17"/>
        <v/>
      </c>
      <c r="H150" s="67">
        <v>210690</v>
      </c>
      <c r="I150" s="12">
        <f t="shared" si="14"/>
        <v>36024</v>
      </c>
      <c r="J150" s="13">
        <f t="shared" si="15"/>
        <v>0.17098106222412074</v>
      </c>
      <c r="K150" s="56" t="s">
        <v>203</v>
      </c>
      <c r="L150" s="99" t="s">
        <v>204</v>
      </c>
      <c r="M150" s="112" t="s">
        <v>205</v>
      </c>
    </row>
    <row r="151" spans="1:20" ht="43.15">
      <c r="A151" s="26" t="str">
        <v>Cedarville</v>
      </c>
      <c r="B151" s="27" t="str">
        <v>IL</v>
      </c>
      <c r="C151" s="27" t="str">
        <f>Sites[[#This Row],[SOL'#]]</f>
        <v>SOL-11069</v>
      </c>
      <c r="D151" s="66">
        <v>192250.1</v>
      </c>
      <c r="E151" s="14">
        <v>230003.1</v>
      </c>
      <c r="F151" s="14">
        <f t="shared" si="16"/>
        <v>-37753</v>
      </c>
      <c r="G151" s="15">
        <f t="shared" si="17"/>
        <v>-0.16414126592206801</v>
      </c>
      <c r="H151" s="69">
        <v>193682.4</v>
      </c>
      <c r="I151" s="16">
        <f t="shared" si="14"/>
        <v>-1432.2999999999884</v>
      </c>
      <c r="J151" s="15">
        <f t="shared" si="15"/>
        <v>-7.395096301987111E-3</v>
      </c>
      <c r="K151" s="50" t="s">
        <v>206</v>
      </c>
      <c r="L151" s="102" t="s">
        <v>207</v>
      </c>
      <c r="M151" s="112" t="s">
        <v>208</v>
      </c>
    </row>
    <row r="152" spans="1:20" ht="28.9">
      <c r="A152" s="24" t="str">
        <v xml:space="preserve"> O'Brien Hill #1</v>
      </c>
      <c r="B152" s="25" t="str">
        <v>NY</v>
      </c>
      <c r="C152" s="25" t="str">
        <f>Sites[[#This Row],[SOL'#]]</f>
        <v>SOL-11098</v>
      </c>
      <c r="D152" s="54">
        <v>286395</v>
      </c>
      <c r="E152" s="10">
        <v>0</v>
      </c>
      <c r="F152" s="10">
        <f t="shared" si="16"/>
        <v>286395</v>
      </c>
      <c r="G152" s="11" t="str">
        <f t="shared" si="17"/>
        <v/>
      </c>
      <c r="H152" s="67">
        <v>0</v>
      </c>
      <c r="I152" s="12">
        <f t="shared" si="14"/>
        <v>286395</v>
      </c>
      <c r="J152" s="13" t="str">
        <f t="shared" si="15"/>
        <v/>
      </c>
      <c r="K152" s="56" t="s">
        <v>209</v>
      </c>
      <c r="L152" s="99" t="s">
        <v>210</v>
      </c>
      <c r="M152" s="112" t="s">
        <v>211</v>
      </c>
    </row>
    <row r="153" spans="1:20" ht="72">
      <c r="A153" s="26" t="str">
        <v xml:space="preserve"> O'Brien Hill #2</v>
      </c>
      <c r="B153" s="27" t="str">
        <v>NY</v>
      </c>
      <c r="C153" s="27" t="str">
        <f>Sites[[#This Row],[SOL'#]]</f>
        <v>SOL-11099</v>
      </c>
      <c r="D153" s="66">
        <v>286189</v>
      </c>
      <c r="E153" s="14">
        <v>0</v>
      </c>
      <c r="F153" s="14">
        <f t="shared" si="16"/>
        <v>286189</v>
      </c>
      <c r="G153" s="15" t="str">
        <f t="shared" ref="G153:G164" si="18">IFERROR(F153/E153, "")</f>
        <v/>
      </c>
      <c r="H153" s="69">
        <v>0</v>
      </c>
      <c r="I153" s="16">
        <f t="shared" si="14"/>
        <v>286189</v>
      </c>
      <c r="J153" s="15" t="str">
        <f t="shared" ref="J153:J164" si="19">IFERROR(I153/H153, "")</f>
        <v/>
      </c>
      <c r="K153" s="50" t="s">
        <v>212</v>
      </c>
      <c r="L153" s="102" t="s">
        <v>213</v>
      </c>
      <c r="M153" s="112" t="s">
        <v>214</v>
      </c>
      <c r="N153" s="112" t="s">
        <v>215</v>
      </c>
      <c r="O153" s="112" t="s">
        <v>211</v>
      </c>
    </row>
    <row r="154" spans="1:20" ht="15.6">
      <c r="A154" s="24" t="str">
        <v>Trinity - Freeport</v>
      </c>
      <c r="B154" s="25" t="str">
        <v>IL</v>
      </c>
      <c r="C154" s="25" t="str">
        <f>Sites[[#This Row],[SOL'#]]</f>
        <v>SOL-11057</v>
      </c>
      <c r="D154" s="54"/>
      <c r="E154" s="10"/>
      <c r="F154" s="10" t="str">
        <f t="shared" ref="F154:F164" si="20">IF(AND(ISNUMBER(D154),ISNUMBER(E154)), D154-E154, "")</f>
        <v/>
      </c>
      <c r="G154" s="11" t="str">
        <f t="shared" si="18"/>
        <v/>
      </c>
      <c r="H154" s="67"/>
      <c r="I154" s="12" t="str">
        <f t="shared" ref="I154:I164" si="21">IF(AND(ISNUMBER(D154),ISNUMBER(H154)), D154-H154, "")</f>
        <v/>
      </c>
      <c r="J154" s="13" t="str">
        <f t="shared" si="19"/>
        <v/>
      </c>
      <c r="K154" s="56"/>
      <c r="L154" s="53"/>
    </row>
    <row r="155" spans="1:20" ht="15.6">
      <c r="A155" s="26" t="str">
        <v>Ransom</v>
      </c>
      <c r="B155" s="27" t="str">
        <v>NY</v>
      </c>
      <c r="C155" s="27" t="str">
        <f>Sites[[#This Row],[SOL'#]]</f>
        <v>SOL-11157</v>
      </c>
      <c r="D155" s="66"/>
      <c r="E155" s="14"/>
      <c r="F155" s="14" t="str">
        <f t="shared" si="20"/>
        <v/>
      </c>
      <c r="G155" s="15" t="str">
        <f t="shared" si="18"/>
        <v/>
      </c>
      <c r="H155" s="69"/>
      <c r="I155" s="16" t="str">
        <f t="shared" si="21"/>
        <v/>
      </c>
      <c r="J155" s="15" t="str">
        <f t="shared" si="19"/>
        <v/>
      </c>
      <c r="K155" s="50"/>
      <c r="L155" s="102"/>
    </row>
    <row r="156" spans="1:20" ht="15.6">
      <c r="A156" s="24" t="str">
        <v>Horseheads - Wedge</v>
      </c>
      <c r="B156" s="25" t="str">
        <v>NY</v>
      </c>
      <c r="C156" s="25" t="str">
        <f>Sites[[#This Row],[SOL'#]]</f>
        <v>SOL-11160</v>
      </c>
      <c r="D156" s="54"/>
      <c r="E156" s="10"/>
      <c r="F156" s="10" t="str">
        <f t="shared" si="20"/>
        <v/>
      </c>
      <c r="G156" s="11" t="str">
        <f t="shared" si="18"/>
        <v/>
      </c>
      <c r="H156" s="67"/>
      <c r="I156" s="12" t="str">
        <f t="shared" si="21"/>
        <v/>
      </c>
      <c r="J156" s="13" t="str">
        <f t="shared" si="19"/>
        <v/>
      </c>
      <c r="K156" s="56"/>
      <c r="L156" s="53"/>
    </row>
    <row r="157" spans="1:20" ht="15.6">
      <c r="A157" s="26" t="str">
        <v>Otisville - Shoddy Hollow</v>
      </c>
      <c r="B157" s="27" t="str">
        <v>NY</v>
      </c>
      <c r="C157" s="27" t="str">
        <f>Sites[[#This Row],[SOL'#]]</f>
        <v>SOL-11185</v>
      </c>
      <c r="D157" s="66"/>
      <c r="E157" s="14"/>
      <c r="F157" s="14" t="str">
        <f t="shared" si="20"/>
        <v/>
      </c>
      <c r="G157" s="15" t="str">
        <f t="shared" si="18"/>
        <v/>
      </c>
      <c r="H157" s="69"/>
      <c r="I157" s="16" t="str">
        <f t="shared" si="21"/>
        <v/>
      </c>
      <c r="J157" s="15" t="str">
        <f t="shared" si="19"/>
        <v/>
      </c>
      <c r="K157" s="50"/>
      <c r="L157" s="102"/>
    </row>
    <row r="158" spans="1:20" ht="15.6">
      <c r="A158" s="24" t="str">
        <v>Wellsville - Chenunda Creek</v>
      </c>
      <c r="B158" s="25" t="str">
        <v>NY</v>
      </c>
      <c r="C158" s="25" t="str">
        <f>Sites[[#This Row],[SOL'#]]</f>
        <v>SOL-11187</v>
      </c>
      <c r="D158" s="54"/>
      <c r="E158" s="10"/>
      <c r="F158" s="10" t="str">
        <f t="shared" si="20"/>
        <v/>
      </c>
      <c r="G158" s="11" t="str">
        <f t="shared" si="18"/>
        <v/>
      </c>
      <c r="H158" s="67"/>
      <c r="I158" s="12" t="str">
        <f t="shared" si="21"/>
        <v/>
      </c>
      <c r="J158" s="13" t="str">
        <f t="shared" si="19"/>
        <v/>
      </c>
      <c r="K158" s="56"/>
      <c r="L158" s="53"/>
    </row>
    <row r="159" spans="1:20" ht="15.6">
      <c r="A159" s="26" t="str">
        <v>DC: Washington - Essex Condominium</v>
      </c>
      <c r="B159" s="27" t="str">
        <v>DC</v>
      </c>
      <c r="C159" s="27" t="str">
        <f>Sites[[#This Row],[SOL'#]]</f>
        <v>SOL-10036</v>
      </c>
      <c r="D159" s="66">
        <v>1103</v>
      </c>
      <c r="E159" s="14">
        <v>1699.8030000000001</v>
      </c>
      <c r="F159" s="14">
        <f t="shared" si="20"/>
        <v>-596.80300000000011</v>
      </c>
      <c r="G159" s="68">
        <f t="shared" si="18"/>
        <v>-0.35110127467712438</v>
      </c>
      <c r="H159" s="69">
        <v>2153.1579999999999</v>
      </c>
      <c r="I159" s="69">
        <f t="shared" si="21"/>
        <v>-1050.1579999999999</v>
      </c>
      <c r="J159" s="68">
        <f t="shared" si="19"/>
        <v>-0.48772918661798159</v>
      </c>
      <c r="K159" s="50" t="s">
        <v>26</v>
      </c>
      <c r="L159" s="102"/>
    </row>
    <row r="160" spans="1:20" ht="15.6">
      <c r="A160" s="24" t="str">
        <v>HI: Waipahu - 94-246 Leoku St - E.F.G.</v>
      </c>
      <c r="B160" s="25" t="str">
        <v>HI</v>
      </c>
      <c r="C160" s="25" t="str">
        <f>Sites[[#This Row],[SOL'#]]</f>
        <v>SOL-10071</v>
      </c>
      <c r="D160" s="54">
        <v>7974</v>
      </c>
      <c r="E160" s="10">
        <v>8441.8950000000004</v>
      </c>
      <c r="F160" s="10">
        <f t="shared" si="20"/>
        <v>-467.89500000000044</v>
      </c>
      <c r="G160" s="55">
        <f t="shared" si="18"/>
        <v>-5.5425351772321309E-2</v>
      </c>
      <c r="H160" s="67">
        <v>9806.3279999999995</v>
      </c>
      <c r="I160" s="67">
        <f t="shared" si="21"/>
        <v>-1832.3279999999995</v>
      </c>
      <c r="J160" s="64">
        <f t="shared" si="19"/>
        <v>-0.18685159215559582</v>
      </c>
      <c r="K160" s="56" t="s">
        <v>216</v>
      </c>
      <c r="L160" s="73" t="s">
        <v>217</v>
      </c>
    </row>
    <row r="161" spans="1:12" ht="15.6">
      <c r="A161" s="26" t="str">
        <v>HI: Waipahu - 94-099 Waipahu St - PV</v>
      </c>
      <c r="B161" s="27" t="str">
        <v>HI</v>
      </c>
      <c r="C161" s="27" t="str">
        <f>Sites[[#This Row],[SOL'#]]</f>
        <v>SOL-10068</v>
      </c>
      <c r="D161" s="66">
        <v>10130</v>
      </c>
      <c r="E161" s="14">
        <v>8193.3529999999992</v>
      </c>
      <c r="F161" s="14">
        <f t="shared" si="20"/>
        <v>1936.6470000000008</v>
      </c>
      <c r="G161" s="68">
        <f t="shared" si="18"/>
        <v>0.23636806567470009</v>
      </c>
      <c r="H161" s="69">
        <v>9801.0810000000001</v>
      </c>
      <c r="I161" s="69">
        <f t="shared" si="21"/>
        <v>328.91899999999987</v>
      </c>
      <c r="J161" s="68">
        <f t="shared" si="19"/>
        <v>3.3559461451241945E-2</v>
      </c>
      <c r="K161" s="50"/>
      <c r="L161" s="102"/>
    </row>
    <row r="162" spans="1:12" ht="15.6">
      <c r="A162" s="24" t="str">
        <v>IL: Prophetstown - 5170 Yager Road (PW)</v>
      </c>
      <c r="B162" s="25" t="str">
        <v>IL</v>
      </c>
      <c r="C162" s="25" t="str">
        <f>Sites[[#This Row],[SOL'#]]</f>
        <v>SOL-11149</v>
      </c>
      <c r="D162" s="54"/>
      <c r="E162" s="10"/>
      <c r="F162" s="10" t="str">
        <f t="shared" si="20"/>
        <v/>
      </c>
      <c r="G162" s="55" t="str">
        <f t="shared" si="18"/>
        <v/>
      </c>
      <c r="H162" s="67"/>
      <c r="I162" s="67" t="str">
        <f t="shared" si="21"/>
        <v/>
      </c>
      <c r="J162" s="64" t="str">
        <f t="shared" si="19"/>
        <v/>
      </c>
      <c r="K162" s="56"/>
      <c r="L162" s="73"/>
    </row>
    <row r="163" spans="1:12" ht="15.6">
      <c r="A163" s="26" t="str">
        <v>IL: Viola - Goldenrod - (PW)</v>
      </c>
      <c r="B163" s="27" t="str">
        <v>IL</v>
      </c>
      <c r="C163" s="27" t="str">
        <f>Sites[[#This Row],[SOL'#]]</f>
        <v>SOL-11132</v>
      </c>
      <c r="D163" s="66"/>
      <c r="E163" s="14"/>
      <c r="F163" s="14" t="str">
        <f t="shared" si="20"/>
        <v/>
      </c>
      <c r="G163" s="68" t="str">
        <f t="shared" si="18"/>
        <v/>
      </c>
      <c r="H163" s="69"/>
      <c r="I163" s="69" t="str">
        <f t="shared" si="21"/>
        <v/>
      </c>
      <c r="J163" s="68" t="str">
        <f t="shared" si="19"/>
        <v/>
      </c>
      <c r="K163" s="50"/>
      <c r="L163" s="102"/>
    </row>
    <row r="164" spans="1:12" ht="15.6">
      <c r="A164" s="24" t="str">
        <v>IL: Marengo - Grant - (PW)</v>
      </c>
      <c r="B164" s="25" t="str">
        <v>IL</v>
      </c>
      <c r="C164" s="25" t="str">
        <f>Sites[[#This Row],[SOL'#]]</f>
        <v>SOL-11147</v>
      </c>
      <c r="D164" s="54"/>
      <c r="E164" s="10"/>
      <c r="F164" s="10" t="str">
        <f t="shared" si="20"/>
        <v/>
      </c>
      <c r="G164" s="55" t="str">
        <f t="shared" si="18"/>
        <v/>
      </c>
      <c r="H164" s="67"/>
      <c r="I164" s="67" t="str">
        <f t="shared" si="21"/>
        <v/>
      </c>
      <c r="J164" s="64" t="str">
        <f t="shared" si="19"/>
        <v/>
      </c>
      <c r="K164" s="56"/>
      <c r="L164" s="73"/>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sheetData>
  <mergeCells count="4">
    <mergeCell ref="E1:G1"/>
    <mergeCell ref="A1:D1"/>
    <mergeCell ref="H1:J1"/>
    <mergeCell ref="A2:B2"/>
  </mergeCells>
  <phoneticPr fontId="40" type="noConversion"/>
  <conditionalFormatting sqref="G2 J2 G4:G164 J4:J164">
    <cfRule type="cellIs" dxfId="42" priority="18" stopIfTrue="1" operator="lessThanOrEqual">
      <formula>-0.1</formula>
    </cfRule>
    <cfRule type="expression" dxfId="41" priority="19">
      <formula>AND(ISNUMBER(G2), G2&gt;=0.1)</formula>
    </cfRule>
  </conditionalFormatting>
  <conditionalFormatting sqref="V156:V158 AE156:AE158 AH156:AH158">
    <cfRule type="cellIs" dxfId="40" priority="1" stopIfTrue="1" operator="lessThanOrEqual">
      <formula>-0.1</formula>
    </cfRule>
    <cfRule type="expression" dxfId="39" priority="2">
      <formula>AND(ISNUMBER(V156), V156&gt;=0.1)</formula>
    </cfRule>
  </conditionalFormatting>
  <hyperlinks>
    <hyperlink ref="L8" r:id="rId1" display="https://us3.assetplanner.com/service_request?ID=093291" xr:uid="{D3FC547A-1938-47E5-B0B8-62B79966D2E2}"/>
    <hyperlink ref="L12" r:id="rId2" display="https://us3.assetplanner.com/service_request?ID=093633" xr:uid="{B9FD353F-9224-4F83-BFAF-6575D1ACD8B0}"/>
    <hyperlink ref="L14" r:id="rId3" display="https://us3.assetplanner.com/service_request?ID=086842" xr:uid="{FD1A08EE-96AD-4AE1-8342-BF1593934659}"/>
    <hyperlink ref="M14" r:id="rId4" display="https://us3.assetplanner.com/service_request?ID=093294" xr:uid="{4F77AB07-05C5-44C8-B24F-93EECA0A0EC7}"/>
    <hyperlink ref="L20" r:id="rId5" display="https://us3.assetplanner.com/service_request?ID=093196" xr:uid="{47088777-606A-499F-A49D-80DA1A549998}"/>
    <hyperlink ref="L32" r:id="rId6" display="https://us3.assetplanner.com/service_request?ID=095201" xr:uid="{73A961E1-E1EC-49B7-92A5-D91C53289CF8}"/>
    <hyperlink ref="L35" r:id="rId7" display="https://us3.assetplanner.com/service_request?ID=094206" xr:uid="{F0313766-D685-4870-8AFD-F592D1F46251}"/>
    <hyperlink ref="M35" r:id="rId8" display="https://us3.assetplanner.com/service_request?ID=096202" xr:uid="{48AA792A-63FE-4B72-B537-035E9396FF46}"/>
    <hyperlink ref="L42" r:id="rId9" display="https://us3.assetplanner.com/service_request?ID=096130" xr:uid="{187E4470-A6C6-429A-8D4E-FA02790C4CBA}"/>
    <hyperlink ref="L43" r:id="rId10" display="https://us3.assetplanner.com/service_request?ID=093326" xr:uid="{58384811-ADA1-4705-B8D4-D7DC46106AEF}"/>
    <hyperlink ref="L47" r:id="rId11" display="https://us3.assetplanner.com/service_request?ID=095758" xr:uid="{5FD31C7A-CFDB-4703-9E55-449F92C27535}"/>
    <hyperlink ref="L56" r:id="rId12" display="https://us3.assetplanner.com/service_request?ID=095297" xr:uid="{C8F904A0-AF29-4518-9908-DC7ED350AF2F}"/>
    <hyperlink ref="M56" r:id="rId13" display="https://us3.assetplanner.com/service_request?ID=092042" xr:uid="{2E1327E9-975E-40FD-8DE0-F5BD0E70E324}"/>
    <hyperlink ref="N56" r:id="rId14" display="https://us3.assetplanner.com/service_request?ID=095706" xr:uid="{837AD8ED-478D-4B5F-A0C1-B1CFB970B6A3}"/>
    <hyperlink ref="O56" r:id="rId15" display="https://us3.assetplanner.com/service_request?ID=095899" xr:uid="{ADD5164F-1A8F-4240-8343-66B03207D0D8}"/>
    <hyperlink ref="P56" r:id="rId16" display="https://us3.assetplanner.com/service_request?ID=095707" xr:uid="{5566EF17-4D36-44CD-93B0-D1618747A9E1}"/>
    <hyperlink ref="Q56" r:id="rId17" display="https://us3.assetplanner.com/service_request?ID=095899" xr:uid="{A236D019-64D9-4A18-AD49-FF581C9FC272}"/>
    <hyperlink ref="L59" r:id="rId18" display="https://us3.assetplanner.com/service_request?ID=093285" xr:uid="{7CFF4066-BDF1-435C-B58E-0963FA68446B}"/>
    <hyperlink ref="M59" r:id="rId19" display="https://us3.assetplanner.com/service_request?ID=093470" xr:uid="{06EA6043-BAA6-4FC2-9C34-D54BE4371AB0}"/>
    <hyperlink ref="N59" r:id="rId20" display="https://us3.assetplanner.com/service_request?ID=095395" xr:uid="{7DD60125-C7A4-47A3-BC4B-D9C78FE76EC0}"/>
    <hyperlink ref="O59" r:id="rId21" display="https://us3.assetplanner.com/service_request?ID=095473" xr:uid="{9FEBD8D1-19DB-443C-9C85-A654EC38CC87}"/>
    <hyperlink ref="P59" r:id="rId22" display="https://us3.assetplanner.com/service_request?ID=096164" xr:uid="{B2E66D39-D15E-41B5-B0CD-08A095A1C225}"/>
    <hyperlink ref="L61" r:id="rId23" display="https://us3.assetplanner.com/service_request?ID=095433" xr:uid="{9462C75F-0602-4B61-B02F-C68D95FF9AD0}"/>
    <hyperlink ref="L62" r:id="rId24" display="https://us3.assetplanner.com/service_request?ID=093972" xr:uid="{CF5811F0-8907-446F-AD16-62B26F068D63}"/>
    <hyperlink ref="L63" r:id="rId25" display="https://us3.assetplanner.com/service_request?ID=095885" xr:uid="{7C4FDED6-D091-477B-99CA-D8C2DCFFB16D}"/>
    <hyperlink ref="M63" r:id="rId26" display="https://us3.assetplanner.com/service_request?ID=095919" xr:uid="{C3AC143A-3AC6-48B4-AF6D-A8678A1147B4}"/>
    <hyperlink ref="N63" r:id="rId27" display="https://us3.assetplanner.com/service_request?ID=095976" xr:uid="{DDA3DC22-BE20-4DFB-9FDB-110D643C802A}"/>
    <hyperlink ref="O63" r:id="rId28" display="https://us3.assetplanner.com/service_request?ID=096119" xr:uid="{B768D490-B385-4096-875B-E95199AAA243}"/>
    <hyperlink ref="P63" r:id="rId29" display="https://us3.assetplanner.com/service_request?ID=095645" xr:uid="{DF737316-AF3A-4EDB-A341-3245F02A9D9B}"/>
    <hyperlink ref="L64" r:id="rId30" display="https://us3.assetplanner.com/service_request?ID=095176" xr:uid="{254721B0-C332-47CB-A30F-1B64088F1EF3}"/>
    <hyperlink ref="L65" r:id="rId31" display="https://us3.assetplanner.com/service_request?ID=095483" xr:uid="{D352211A-40C8-4709-B68F-A5D8729A6087}"/>
    <hyperlink ref="L66" r:id="rId32" display="https://us3.assetplanner.com/service_request?ID=093024" xr:uid="{90ABA3A5-3C8E-4F39-9586-BF48CBC194E0}"/>
    <hyperlink ref="M66" r:id="rId33" display="https://us3.assetplanner.com/service_request?ID=095445" xr:uid="{5A0E22C5-CC2E-4F67-A0F5-AC5A396F0E67}"/>
    <hyperlink ref="L69" r:id="rId34" display="https://us3.assetplanner.com/service_request?ID=094278" xr:uid="{6DD839B7-29E0-4705-BD4D-E935773A22AA}"/>
    <hyperlink ref="M69" r:id="rId35" display="https://us3.assetplanner.com/service_request?ID=095604" xr:uid="{DA569BD6-8C5B-4C08-A900-D7AB6E4C7B37}"/>
    <hyperlink ref="N69" r:id="rId36" display="https://us3.assetplanner.com/service_request?ID=095991" xr:uid="{8EB903A6-B713-4CD8-860F-EF697AF71773}"/>
    <hyperlink ref="O69" r:id="rId37" display="https://us3.assetplanner.com/service_request?ID=096045" xr:uid="{9C21FD11-B00B-4B9B-AC8D-AD2925E16BD6}"/>
    <hyperlink ref="P69" r:id="rId38" display="https://us3.assetplanner.com/service_request?ID=095991" xr:uid="{DAF97875-A040-4AED-8935-E21820E51D67}"/>
    <hyperlink ref="L70" r:id="rId39" display="https://us3.assetplanner.com/service_request?ID=096126" xr:uid="{D1F497C9-92D0-4D9F-9676-3797310FA70C}"/>
    <hyperlink ref="L71" r:id="rId40" display="https://us3.assetplanner.com/service_request?ID=092964" xr:uid="{8B2C878C-C341-4D11-B0EF-89E2102D9AF5}"/>
    <hyperlink ref="M71" r:id="rId41" display="https://us3.assetplanner.com/service_request?ID=095253" xr:uid="{F1CBF450-F8E1-49D1-86CB-F83F059F0425}"/>
    <hyperlink ref="L73" r:id="rId42" display="https://us3.assetplanner.com/service_request?ID=095252" xr:uid="{F34ED4E8-DABF-42E0-99EA-02D97DDABA35}"/>
    <hyperlink ref="L74" r:id="rId43" display="https://us3.assetplanner.com/service_request?ID=093436" xr:uid="{BAB1D53D-E39C-4953-83B0-424DF5053619}"/>
    <hyperlink ref="L75" r:id="rId44" display="https://us3.assetplanner.com/service_request?ID=096100" xr:uid="{923E3B70-DCEE-4C9C-98AA-279E9DEAD01C}"/>
    <hyperlink ref="L76" r:id="rId45" display="https://us3.assetplanner.com/service_request?ID=095376" xr:uid="{0470E6E7-2FF9-4F22-9292-1104F9F905E5}"/>
    <hyperlink ref="M76" r:id="rId46" display="https://us3.assetplanner.com/service_request?ID=093375" xr:uid="{5317EE62-815F-4DD3-AA0A-C428609CF226}"/>
    <hyperlink ref="L77" r:id="rId47" display="https://us3.assetplanner.com/service_request?ID=095549" xr:uid="{4DC94617-F4C4-4D7E-9965-9FA0252EEB3A}"/>
    <hyperlink ref="L79" r:id="rId48" display="https://us3.assetplanner.com/service_request?ID=095496" xr:uid="{A5535048-2E9E-43A0-AD1C-99C312B14CDB}"/>
    <hyperlink ref="M79" r:id="rId49" display="https://us3.assetplanner.com/service_request?ID=095852" xr:uid="{013C48EC-6DB3-49ED-BA02-22038F933FDB}"/>
    <hyperlink ref="N79" r:id="rId50" display="https://us3.assetplanner.com/service_request?ID=096056" xr:uid="{93C07185-CE74-4731-B323-3F8E51342DD3}"/>
    <hyperlink ref="L81" r:id="rId51" display="https://us3.assetplanner.com/service_request?ID=095635" xr:uid="{6212380B-067A-42D6-8EF9-28331D0F362A}"/>
    <hyperlink ref="L82" r:id="rId52" display="https://us3.assetplanner.com/service_request?ID=095374" xr:uid="{F25351B3-08D3-42B5-8C02-C2E4102B8607}"/>
    <hyperlink ref="M82" r:id="rId53" display="https://us3.assetplanner.com/service_request?ID=095374" xr:uid="{91D091C4-B8F4-4C0B-8948-88537547D794}"/>
    <hyperlink ref="N82" r:id="rId54" display="https://us3.assetplanner.com/service_request?ID=096112" xr:uid="{75BACF64-E59A-4CE9-98FF-3D323399C01A}"/>
    <hyperlink ref="L83" r:id="rId55" display="https://us3.assetplanner.com/service_request?ID=095375" xr:uid="{A6EBEA0D-D06C-4721-9654-CD98622A9C1C}"/>
    <hyperlink ref="M83" r:id="rId56" display="https://us3.assetplanner.com/service_request?ID=095375" xr:uid="{82895C73-7744-427D-8CE7-9480762350F8}"/>
    <hyperlink ref="N83" r:id="rId57" display="https://us3.assetplanner.com/service_request?ID=096113" xr:uid="{814BA6C3-8AC1-4574-85C2-301151CC8573}"/>
    <hyperlink ref="L84" r:id="rId58" display="https://us3.assetplanner.com/service_request?ID=095917" xr:uid="{28491889-2B13-4C0C-815B-E484A58AD856}"/>
    <hyperlink ref="M84" r:id="rId59" display="https://us3.assetplanner.com/service_request?ID=094891" xr:uid="{F8B01938-BFF0-4911-BB76-B895DA9214D1}"/>
    <hyperlink ref="L85" r:id="rId60" display="https://us3.assetplanner.com/service_request?ID=095812" xr:uid="{5EAB772D-6EFA-448D-B792-D831778549D0}"/>
    <hyperlink ref="M85" r:id="rId61" display="https://us3.assetplanner.com/service_request?ID=095109" xr:uid="{14CC3FD5-5282-40A0-841F-FFA83E03E1C8}"/>
    <hyperlink ref="L86" r:id="rId62" display="https://us3.assetplanner.com/service_request?ID=095371" xr:uid="{77F67A5A-A200-4673-8AE2-F2F9E319698B}"/>
    <hyperlink ref="L87" r:id="rId63" display="https://us3.assetplanner.com/service_request?ID=095373" xr:uid="{668EA213-3FF0-4D66-852D-F748774E657A}"/>
    <hyperlink ref="M87" r:id="rId64" display="https://us3.assetplanner.com/service_request?ID=096177" xr:uid="{DE4DE3C2-1970-4EA4-917E-452D25857256}"/>
    <hyperlink ref="L88" r:id="rId65" display="https://us3.assetplanner.com/service_request?ID=096106" xr:uid="{12039072-8541-4CC9-BE3D-60F671708B99}"/>
    <hyperlink ref="M88" r:id="rId66" display="https://us3.assetplanner.com/service_request?ID=095599" xr:uid="{A59FEC0D-1157-46E2-80C3-3708F5F771AA}"/>
    <hyperlink ref="N88" r:id="rId67" display="https://us3.assetplanner.com/service_request?ID=095506" xr:uid="{CA7724CF-9EF4-4BE7-B44B-A5D1F79BAA62}"/>
    <hyperlink ref="L89" r:id="rId68" display="https://us3.assetplanner.com/service_request?ID=095508" xr:uid="{0200C59F-BE98-40C8-ABC5-864BE303079B}"/>
    <hyperlink ref="L90" r:id="rId69" display="https://us3.assetplanner.com/service_request?ID=095507" xr:uid="{7EC35A1F-2635-43AB-982C-E1BC62DD031C}"/>
    <hyperlink ref="L91" r:id="rId70" display="https://us3.assetplanner.com/service_request?ID=095211" xr:uid="{1EBDD19D-D200-4C42-8387-6EC483C053D8}"/>
    <hyperlink ref="M91" r:id="rId71" display="https://us3.assetplanner.com/service_request?ID=095865" xr:uid="{2FB47B26-CBE9-4322-A07E-3A87EE1AF006}"/>
    <hyperlink ref="L92" r:id="rId72" display="https://us3.assetplanner.com/service_request?ID=096147" xr:uid="{7BA93804-29D7-4A33-82F3-3D2C42BB6B15}"/>
    <hyperlink ref="L96" r:id="rId73" display="https://us3.assetplanner.com/service_request?ID=095678" xr:uid="{C063B499-19C7-4C09-90A9-0AE3A89CA39F}"/>
    <hyperlink ref="M96" r:id="rId74" display="https://us3.assetplanner.com/service_request?ID=096054" xr:uid="{26261EC5-7A6C-4D43-9E89-417C80A3B858}"/>
    <hyperlink ref="L97" r:id="rId75" display="https://us3.assetplanner.com/service_request?ID=095821" xr:uid="{A8A7EF89-F323-4CBB-B686-563B2C813837}"/>
    <hyperlink ref="L100" r:id="rId76" display="https://us3.assetplanner.com/service_request?ID=095558" xr:uid="{7917C96C-EDB1-49C3-8818-27FC8042DA5A}"/>
    <hyperlink ref="L101" r:id="rId77" display="https://us3.assetplanner.com/service_request?ID=095213" xr:uid="{D491498D-4097-40B0-8A41-658FCB692639}"/>
    <hyperlink ref="M101" r:id="rId78" display="https://us3.assetplanner.com/service_request?ID=095794" xr:uid="{72C08130-72EE-40FB-BF7B-D569681BFA34}"/>
    <hyperlink ref="L103" r:id="rId79" display="https://us3.assetplanner.com/service_request?ID=094986" xr:uid="{2726F841-128C-4AEE-BF2A-20264C0D8069}"/>
    <hyperlink ref="M103" r:id="rId80" display="https://us3.assetplanner.com/service_request?ID=095304" xr:uid="{A386D09D-AFBD-473F-ABCC-49802DB421CB}"/>
    <hyperlink ref="L104" r:id="rId81" display="https://us3.assetplanner.com/service_request?ID=095185" xr:uid="{E0411EE9-AB02-4C24-AD97-66AC05E674C9}"/>
    <hyperlink ref="L105" r:id="rId82" display="https://us3.assetplanner.com/service_request?ID=094262" xr:uid="{27049285-34FE-4E1C-9A67-5AB5F5368FC4}"/>
    <hyperlink ref="L106" r:id="rId83" display="https://us3.assetplanner.com/service_request?ID=095624" xr:uid="{12869903-78E5-4123-935C-CC482FD59DFC}"/>
    <hyperlink ref="M106" r:id="rId84" display="https://us3.assetplanner.com/service_request?ID=093637" xr:uid="{BCD7853F-798A-4E61-A1AA-080CDC885D03}"/>
    <hyperlink ref="L108" r:id="rId85" display="https://us3.assetplanner.com/service_request?ID=096042" xr:uid="{49B7CFB9-90CA-4C3D-A48E-557CF724B70D}"/>
    <hyperlink ref="L109" r:id="rId86" display="https://us3.assetplanner.com/service_request?ID=096006" xr:uid="{C7A9A936-AD0A-4A0F-8522-76C7161D1257}"/>
    <hyperlink ref="L110" r:id="rId87" display="https://us3.assetplanner.com/service_request?ID=096107" xr:uid="{123B4ECC-BA32-466C-B864-FC68168B45C7}"/>
    <hyperlink ref="L111" r:id="rId88" display="https://us3.assetplanner.com/service_request?ID=095269" xr:uid="{37477B79-A19F-4D0A-B668-5ED2DCB455F5}"/>
    <hyperlink ref="L112" r:id="rId89" display="https://us3.assetplanner.com/service_request?ID=094820" xr:uid="{39CA499C-ACD5-46F9-91FE-32EF5CD0C4C4}"/>
    <hyperlink ref="L113" r:id="rId90" display="https://us3.assetplanner.com/service_request?ID=095759" xr:uid="{EBE5902D-BCA2-417E-906B-5A5E229585EA}"/>
    <hyperlink ref="L114" r:id="rId91" display="https://us3.assetplanner.com/service_request?ID=093842" xr:uid="{487CF483-8934-4A9C-A116-9CC1F72B032D}"/>
    <hyperlink ref="L115" r:id="rId92" display="https://us3.assetplanner.com/service_request?ID=095582" xr:uid="{569908FC-FD34-4EC7-8F6A-F9E266412A9C}"/>
    <hyperlink ref="L116" r:id="rId93" display="https://us3.assetplanner.com/service_request?ID=095886" xr:uid="{96654F8E-15F2-433C-A8DB-1C7358E476B5}"/>
    <hyperlink ref="M116" r:id="rId94" display="https://us3.assetplanner.com/service_request?ID=095986" xr:uid="{78803A7D-98FD-4A56-85DD-0EF4D1D83DF0}"/>
    <hyperlink ref="N116" r:id="rId95" display="https://us3.assetplanner.com/service_request?ID=096141" xr:uid="{6AD0B8C5-5D65-44E1-8E3D-5D5760447419}"/>
    <hyperlink ref="L123" r:id="rId96" display="https://us3.assetplanner.com/service_request?ID=095945" xr:uid="{104059F1-E8E9-48A8-823A-4106C1C5543B}"/>
    <hyperlink ref="L124" r:id="rId97" display="https://us3.assetplanner.com/service_request?ID=095946" xr:uid="{98B09824-BA03-4FDF-B25D-EC4FE1693D6C}"/>
    <hyperlink ref="L125" r:id="rId98" display="https://us3.assetplanner.com/service_request?ID=095948" xr:uid="{422BF582-EA79-4E58-B89F-606F960155B7}"/>
    <hyperlink ref="L126" r:id="rId99" display="https://us3.assetplanner.com/service_request?ID=095950" xr:uid="{0AE297A2-3812-4292-925B-E5E17F70CB4F}"/>
    <hyperlink ref="L127" r:id="rId100" display="https://us3.assetplanner.com/service_request?ID=095962" xr:uid="{D3CB2E36-9C6F-4FD1-B2A2-822FD62C051D}"/>
    <hyperlink ref="L130" r:id="rId101" display="https://us3.assetplanner.com/service_request?ID=095960" xr:uid="{AB5B116B-9B4C-4573-AF5D-F132ACF9DAE2}"/>
    <hyperlink ref="L133" r:id="rId102" display="https://us3.assetplanner.com/service_request?ID=095956" xr:uid="{0FC29F3C-0AB7-4D5A-A93B-0D5644313557}"/>
    <hyperlink ref="L134" r:id="rId103" display="https://us3.assetplanner.com/service_request?ID=095955" xr:uid="{0FFBB618-D4F7-48B6-B521-46ABC6443D56}"/>
    <hyperlink ref="L136" r:id="rId104" display="https://us3.assetplanner.com/service_request?ID=095937" xr:uid="{E7D82205-6B4F-4DFD-A34C-30ABD5E89F5B}"/>
    <hyperlink ref="L137" r:id="rId105" display="https://us3.assetplanner.com/service_request?ID=095938" xr:uid="{775DFD59-0C46-4597-B6CD-D4FD41EF5182}"/>
    <hyperlink ref="L138" r:id="rId106" display="https://us3.assetplanner.com/service_request?ID=095939" xr:uid="{1CF2F93D-3650-4BE1-A47F-733D2FFD5805}"/>
    <hyperlink ref="L140" r:id="rId107" display="https://us3.assetplanner.com/service_request?ID=095941" xr:uid="{E2251AC5-7F78-4573-8C7B-676C7A83E491}"/>
    <hyperlink ref="L141" r:id="rId108" display="https://us3.assetplanner.com/service_request?ID=095942" xr:uid="{D6705650-FAB3-4D91-8AA8-AE3E25C4118A}"/>
    <hyperlink ref="L143" r:id="rId109" display="https://us3.assetplanner.com/service_request?ID=095961" xr:uid="{EF159B5D-60D7-4FB6-BBA5-DDEFCFF927F3}"/>
    <hyperlink ref="M140" r:id="rId110" display="https://us3.assetplanner.com/service_request?ID=095940" xr:uid="{C40728E6-D481-49DA-B311-431BB8B68365}"/>
    <hyperlink ref="L149" r:id="rId111" display="https://us3.assetplanner.com/service_request?ID=095242" xr:uid="{1D6AEB8D-0554-4972-A2E5-8F6C04422332}"/>
    <hyperlink ref="L150" r:id="rId112" display="https://us3.assetplanner.com/service_request?ID=095500" xr:uid="{993ACFA8-13A5-4EEA-A0E6-6FF4C897C9AD}"/>
    <hyperlink ref="M150" r:id="rId113" display="https://us3.assetplanner.com/service_request?ID=096195" xr:uid="{277E1403-A3A3-4673-A706-BFD9CAC9B8DA}"/>
    <hyperlink ref="L151" r:id="rId114" display="https://us3.assetplanner.com/service_request?ID=095099" xr:uid="{DACCC72E-CC17-4932-9D6A-9B9F716B5C2C}"/>
    <hyperlink ref="M151" r:id="rId115" display="https://us3.assetplanner.com/service_request?ID=095797" xr:uid="{5362D73E-25B0-4E8B-8127-62FEFE852A03}"/>
    <hyperlink ref="L152" r:id="rId116" display="https://us3.assetplanner.com/service_request?ID=095644" xr:uid="{3FC9542F-C6DA-49D2-9233-4E475511EF34}"/>
    <hyperlink ref="M152" r:id="rId117" display="https://us3.assetplanner.com/service_request?ID=096127" xr:uid="{2A5FA0C5-CBC2-4075-B037-77587AAA22A5}"/>
    <hyperlink ref="L153" r:id="rId118" display="https://us3.assetplanner.com/service_request?ID=095284" xr:uid="{16732EB1-654F-4E23-B931-DFBB1F97452B}"/>
    <hyperlink ref="M153" r:id="rId119" display="https://us3.assetplanner.com/service_request?ID=095992" xr:uid="{F82D6D9A-EA35-48B4-BD0C-E901DE01D0DA}"/>
    <hyperlink ref="N153" r:id="rId120" display="https://us3.assetplanner.com/service_request?ID=095328" xr:uid="{21329873-FDF6-47E4-8590-7FC85203199F}"/>
    <hyperlink ref="O153" r:id="rId121" display="https://us3.assetplanner.com/service_request?ID=096127" xr:uid="{D7BDD732-5485-4475-87A7-783AC126756A}"/>
    <hyperlink ref="L95" r:id="rId122" display="https://us3.assetplanner.com/service_request?ID=095073" xr:uid="{62BD2108-A9F2-4BD2-900A-11FC11E69E8A}"/>
  </hyperlinks>
  <pageMargins left="0.4" right="0.7" top="0.25" bottom="0.25" header="0.3" footer="0.3"/>
  <pageSetup fitToHeight="99" orientation="landscape" r:id="rId12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172"/>
  <sheetViews>
    <sheetView zoomScale="60" zoomScaleNormal="60" workbookViewId="0">
      <pane xSplit="2" ySplit="3" topLeftCell="C141" activePane="bottomRight" state="frozen"/>
      <selection pane="bottomRight" activeCell="G170" sqref="G170"/>
      <selection pane="bottomLeft" activeCell="K164" sqref="K164"/>
      <selection pane="topRight" activeCell="K164" sqref="K164"/>
    </sheetView>
  </sheetViews>
  <sheetFormatPr defaultRowHeight="14.45"/>
  <cols>
    <col min="1" max="1" width="26.7109375" customWidth="1"/>
    <col min="2" max="3" width="22.85546875" style="30" customWidth="1"/>
    <col min="4" max="6" width="22.85546875" customWidth="1"/>
    <col min="7" max="7" width="22.85546875" style="1" customWidth="1"/>
    <col min="8" max="9" width="22.85546875" customWidth="1"/>
    <col min="10" max="10" width="22.85546875" style="1" customWidth="1"/>
    <col min="11" max="11" width="85.28515625" style="48" customWidth="1"/>
    <col min="12" max="12" width="22.85546875" customWidth="1"/>
    <col min="13" max="15" width="22.85546875" style="104" customWidth="1"/>
    <col min="16" max="22" width="22.85546875" customWidth="1"/>
  </cols>
  <sheetData>
    <row r="1" spans="1:13" ht="15.6">
      <c r="A1" s="187" t="str" cm="1">
        <f t="array" ref="A1">portfolio</f>
        <v>Generate Capital</v>
      </c>
      <c r="B1" s="187"/>
      <c r="C1" s="187"/>
      <c r="D1" s="187"/>
      <c r="E1" s="188" t="s">
        <v>218</v>
      </c>
      <c r="F1" s="188"/>
      <c r="G1" s="188"/>
      <c r="H1" s="186" t="s">
        <v>219</v>
      </c>
      <c r="I1" s="186"/>
      <c r="J1" s="186"/>
      <c r="K1" s="44"/>
      <c r="L1" s="4"/>
    </row>
    <row r="2" spans="1:13" ht="15.6">
      <c r="A2" s="189" t="s">
        <v>2</v>
      </c>
      <c r="B2" s="189"/>
      <c r="C2" s="57"/>
      <c r="D2" s="5">
        <f>SUM(D4:D95)</f>
        <v>9904560.3572725505</v>
      </c>
      <c r="E2" s="5">
        <f>SUM(E4:E95)</f>
        <v>4894424.5089999996</v>
      </c>
      <c r="F2" s="5">
        <f>D2-E2</f>
        <v>5010135.8482725509</v>
      </c>
      <c r="G2" s="6">
        <f>IFERROR(F2/E2, 0)</f>
        <v>1.0236414595954597</v>
      </c>
      <c r="H2" s="5">
        <f>SUM(H4:H95)</f>
        <v>15070074.835000001</v>
      </c>
      <c r="I2" s="7">
        <f>D2-H2</f>
        <v>-5165514.4777274504</v>
      </c>
      <c r="J2" s="6">
        <f>IFERROR(I2/H2, 0)</f>
        <v>-0.34276634550816087</v>
      </c>
      <c r="K2" s="45"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3" ht="15.6">
      <c r="A3" s="8" t="s">
        <v>3</v>
      </c>
      <c r="B3" s="8" t="s">
        <v>4</v>
      </c>
      <c r="C3" s="8" t="s">
        <v>5</v>
      </c>
      <c r="D3" s="19" t="s">
        <v>6</v>
      </c>
      <c r="E3" s="31" t="s">
        <v>7</v>
      </c>
      <c r="F3" s="31" t="s">
        <v>8</v>
      </c>
      <c r="G3" s="32" t="s">
        <v>9</v>
      </c>
      <c r="H3" s="33" t="s">
        <v>10</v>
      </c>
      <c r="I3" s="34" t="s">
        <v>8</v>
      </c>
      <c r="J3" s="35" t="s">
        <v>9</v>
      </c>
      <c r="K3" s="46" t="s">
        <v>21</v>
      </c>
      <c r="L3" s="21" t="s">
        <v>22</v>
      </c>
    </row>
    <row r="4" spans="1:13" ht="15.6">
      <c r="A4" s="26" t="str" cm="1">
        <f t="array" ref="A4:A172">Sites[Site]</f>
        <v>K026</v>
      </c>
      <c r="B4" s="27" t="str" cm="1">
        <f t="array" ref="B4:B172">Sites[State]</f>
        <v>NY</v>
      </c>
      <c r="C4" s="27" t="str">
        <f>Sites[[#This Row],[SOL'#]]</f>
        <v>SOL-10356</v>
      </c>
      <c r="D4" s="9">
        <v>17315.75</v>
      </c>
      <c r="E4" s="14">
        <v>21363.42</v>
      </c>
      <c r="F4" s="14">
        <f t="shared" ref="F4:F64" si="0">IF(AND(ISNUMBER(D4),ISNUMBER(E4)), D4-E4, "")</f>
        <v>-4047.6699999999983</v>
      </c>
      <c r="G4" s="15">
        <f t="shared" ref="G4:G64" si="1">IFERROR(F4/E4, "")</f>
        <v>-0.18946732311586809</v>
      </c>
      <c r="H4" s="16">
        <v>15170.88</v>
      </c>
      <c r="I4" s="16">
        <f t="shared" ref="I4:I64" si="2">IF(AND(ISNUMBER(D4),ISNUMBER(H4)), D4-H4, "")</f>
        <v>2144.8700000000008</v>
      </c>
      <c r="J4" s="15">
        <f t="shared" ref="J4:J50" si="3">IFERROR(I4/H4, "")</f>
        <v>0.14138072412411151</v>
      </c>
      <c r="K4" s="38" t="s">
        <v>84</v>
      </c>
      <c r="L4" s="181"/>
    </row>
    <row r="5" spans="1:13" ht="15.6">
      <c r="A5" s="24" t="str">
        <v>K041</v>
      </c>
      <c r="B5" s="25" t="str">
        <v>NY</v>
      </c>
      <c r="C5" s="25" t="str">
        <f>Sites[[#This Row],[SOL'#]]</f>
        <v>SOL-10357</v>
      </c>
      <c r="D5" s="20">
        <v>13320.78125</v>
      </c>
      <c r="E5" s="10">
        <v>17186.990000000002</v>
      </c>
      <c r="F5" s="10">
        <f t="shared" si="0"/>
        <v>-3866.2087500000016</v>
      </c>
      <c r="G5" s="11">
        <f t="shared" si="1"/>
        <v>-0.22494972941742569</v>
      </c>
      <c r="H5" s="12">
        <v>13859</v>
      </c>
      <c r="I5" s="12">
        <f t="shared" si="2"/>
        <v>-538.21875</v>
      </c>
      <c r="J5" s="13">
        <f t="shared" ref="J5:J64" si="4">IFERROR(I5/H5, "")</f>
        <v>-3.8835323616422543E-2</v>
      </c>
      <c r="K5" s="47" t="s">
        <v>84</v>
      </c>
      <c r="L5" s="49"/>
    </row>
    <row r="6" spans="1:13" ht="15.6">
      <c r="A6" s="26" t="str">
        <v>K043</v>
      </c>
      <c r="B6" s="27" t="str">
        <v>NY</v>
      </c>
      <c r="C6" s="27" t="str">
        <f>Sites[[#This Row],[SOL'#]]</f>
        <v>SOL-10358</v>
      </c>
      <c r="D6" s="9">
        <v>15518.34375</v>
      </c>
      <c r="E6" s="14">
        <v>18500.95</v>
      </c>
      <c r="F6" s="14">
        <f t="shared" si="0"/>
        <v>-2982.6062500000007</v>
      </c>
      <c r="G6" s="15">
        <f t="shared" si="1"/>
        <v>-0.16121368091908797</v>
      </c>
      <c r="H6" s="16">
        <v>3061</v>
      </c>
      <c r="I6" s="16">
        <f t="shared" si="2"/>
        <v>12457.34375</v>
      </c>
      <c r="J6" s="15">
        <f t="shared" si="3"/>
        <v>4.0696974028095392</v>
      </c>
      <c r="K6" s="50" t="s">
        <v>23</v>
      </c>
      <c r="L6" s="181"/>
    </row>
    <row r="7" spans="1:13" ht="73.5" customHeight="1">
      <c r="A7" s="24" t="str">
        <v>K058</v>
      </c>
      <c r="B7" s="25" t="str">
        <v>NY</v>
      </c>
      <c r="C7" s="25" t="str">
        <f>Sites[[#This Row],[SOL'#]]</f>
        <v>SOL-10360</v>
      </c>
      <c r="D7" s="20">
        <v>4162.5625</v>
      </c>
      <c r="E7" s="10">
        <v>9281.1830000000009</v>
      </c>
      <c r="F7" s="10">
        <f t="shared" si="0"/>
        <v>-5118.6205000000009</v>
      </c>
      <c r="G7" s="11">
        <f t="shared" si="1"/>
        <v>-0.55150517988924475</v>
      </c>
      <c r="H7" s="12">
        <v>12005.22</v>
      </c>
      <c r="I7" s="12">
        <f t="shared" si="2"/>
        <v>-7842.6574999999993</v>
      </c>
      <c r="J7" s="13">
        <f t="shared" si="4"/>
        <v>-0.65327061894742455</v>
      </c>
      <c r="K7" s="47" t="s">
        <v>220</v>
      </c>
      <c r="L7" s="110" t="s">
        <v>221</v>
      </c>
    </row>
    <row r="8" spans="1:13" ht="28.9">
      <c r="A8" s="26" t="str">
        <v>K115</v>
      </c>
      <c r="B8" s="27" t="str">
        <v>NY</v>
      </c>
      <c r="C8" s="27" t="str">
        <f>Sites[[#This Row],[SOL'#]]</f>
        <v>SOL-10361</v>
      </c>
      <c r="D8" s="9">
        <v>3372.4180859375001</v>
      </c>
      <c r="E8" s="14">
        <v>7965.9009999999998</v>
      </c>
      <c r="F8" s="14">
        <f t="shared" si="0"/>
        <v>-4593.4829140624997</v>
      </c>
      <c r="G8" s="15">
        <f t="shared" si="1"/>
        <v>-0.57664323396217199</v>
      </c>
      <c r="H8" s="16">
        <v>7488.0910000000003</v>
      </c>
      <c r="I8" s="16">
        <f t="shared" si="2"/>
        <v>-4115.6729140625002</v>
      </c>
      <c r="J8" s="15">
        <f t="shared" si="3"/>
        <v>-0.54962912631036398</v>
      </c>
      <c r="K8" s="182" t="s">
        <v>222</v>
      </c>
      <c r="L8" s="113" t="s">
        <v>25</v>
      </c>
    </row>
    <row r="9" spans="1:13" ht="15.6">
      <c r="A9" s="24" t="str">
        <v>K152</v>
      </c>
      <c r="B9" s="25" t="str">
        <v>NY</v>
      </c>
      <c r="C9" s="25" t="str">
        <f>Sites[[#This Row],[SOL'#]]</f>
        <v>SOL-10362</v>
      </c>
      <c r="D9" s="20">
        <v>4885.59375</v>
      </c>
      <c r="E9" s="10">
        <v>5681.2479999999996</v>
      </c>
      <c r="F9" s="10">
        <f t="shared" si="0"/>
        <v>-795.65424999999959</v>
      </c>
      <c r="G9" s="11">
        <f t="shared" si="1"/>
        <v>-0.14004920221754089</v>
      </c>
      <c r="H9" s="12">
        <v>4676</v>
      </c>
      <c r="I9" s="12">
        <f t="shared" si="2"/>
        <v>209.59375</v>
      </c>
      <c r="J9" s="13">
        <f t="shared" si="4"/>
        <v>4.4823299828913601E-2</v>
      </c>
      <c r="K9" s="47" t="s">
        <v>26</v>
      </c>
      <c r="L9" s="49"/>
    </row>
    <row r="10" spans="1:13" ht="15.6">
      <c r="A10" s="26" t="str">
        <v>K166</v>
      </c>
      <c r="B10" s="27" t="str">
        <v>NY</v>
      </c>
      <c r="C10" s="27" t="str">
        <f>Sites[[#This Row],[SOL'#]]</f>
        <v>SOL-10363</v>
      </c>
      <c r="D10" s="9">
        <v>17203.5</v>
      </c>
      <c r="E10" s="14">
        <v>21280.06</v>
      </c>
      <c r="F10" s="14">
        <f t="shared" si="0"/>
        <v>-4076.5600000000013</v>
      </c>
      <c r="G10" s="15">
        <f t="shared" si="1"/>
        <v>-0.19156712904004974</v>
      </c>
      <c r="H10" s="16">
        <v>16417.23</v>
      </c>
      <c r="I10" s="16">
        <f t="shared" si="2"/>
        <v>786.27000000000044</v>
      </c>
      <c r="J10" s="15">
        <f t="shared" si="3"/>
        <v>4.7892975855244789E-2</v>
      </c>
      <c r="K10" s="182" t="s">
        <v>26</v>
      </c>
      <c r="L10" s="181"/>
    </row>
    <row r="11" spans="1:13" ht="15.6">
      <c r="A11" s="24" t="str">
        <v>K206</v>
      </c>
      <c r="B11" s="25" t="str">
        <v>NY</v>
      </c>
      <c r="C11" s="25" t="str">
        <f>Sites[[#This Row],[SOL'#]]</f>
        <v>SOL-10927</v>
      </c>
      <c r="D11" s="20">
        <v>10148.324069173999</v>
      </c>
      <c r="E11" s="10">
        <v>12619.81</v>
      </c>
      <c r="F11" s="10">
        <f t="shared" si="0"/>
        <v>-2471.4859308260002</v>
      </c>
      <c r="G11" s="11">
        <f t="shared" si="1"/>
        <v>-0.19584177026643035</v>
      </c>
      <c r="H11" s="12">
        <v>9232</v>
      </c>
      <c r="I11" s="12">
        <f t="shared" si="2"/>
        <v>916.32406917399931</v>
      </c>
      <c r="J11" s="13">
        <f t="shared" si="4"/>
        <v>9.9255206799609974E-2</v>
      </c>
      <c r="K11" s="47" t="s">
        <v>84</v>
      </c>
      <c r="L11" s="49"/>
    </row>
    <row r="12" spans="1:13" ht="15.6">
      <c r="A12" s="26" t="str">
        <v>K251</v>
      </c>
      <c r="B12" s="27" t="str">
        <v>NY</v>
      </c>
      <c r="C12" s="27" t="str">
        <f>Sites[[#This Row],[SOL'#]]</f>
        <v>SOL-10365</v>
      </c>
      <c r="D12" s="9">
        <v>11751.0625</v>
      </c>
      <c r="E12" s="14">
        <v>0</v>
      </c>
      <c r="F12" s="14">
        <f t="shared" si="0"/>
        <v>11751.0625</v>
      </c>
      <c r="G12" s="15" t="str">
        <f t="shared" si="1"/>
        <v/>
      </c>
      <c r="H12" s="16">
        <v>11033.06</v>
      </c>
      <c r="I12" s="16">
        <f t="shared" si="2"/>
        <v>718.00250000000051</v>
      </c>
      <c r="J12" s="15">
        <f t="shared" si="3"/>
        <v>6.5077367475568929E-2</v>
      </c>
      <c r="K12" s="98" t="s">
        <v>27</v>
      </c>
      <c r="L12" s="114" t="s">
        <v>223</v>
      </c>
    </row>
    <row r="13" spans="1:13" ht="15.6">
      <c r="A13" s="24" t="str">
        <v>K269</v>
      </c>
      <c r="B13" s="25" t="str">
        <v>NY</v>
      </c>
      <c r="C13" s="25" t="str">
        <f>Sites[[#This Row],[SOL'#]]</f>
        <v>SOL-10366</v>
      </c>
      <c r="D13" s="20">
        <v>10325.6875</v>
      </c>
      <c r="E13" s="10">
        <v>14133.12</v>
      </c>
      <c r="F13" s="10">
        <f t="shared" si="0"/>
        <v>-3807.4325000000008</v>
      </c>
      <c r="G13" s="11">
        <f t="shared" si="1"/>
        <v>-0.26939787534528825</v>
      </c>
      <c r="H13" s="12">
        <v>10722.85</v>
      </c>
      <c r="I13" s="12">
        <f t="shared" si="2"/>
        <v>-397.16250000000036</v>
      </c>
      <c r="J13" s="13">
        <f t="shared" si="4"/>
        <v>-3.7038893577733566E-2</v>
      </c>
      <c r="K13" s="47"/>
      <c r="L13" s="49"/>
    </row>
    <row r="14" spans="1:13" ht="52.5" customHeight="1">
      <c r="A14" s="26" t="str">
        <v>K273</v>
      </c>
      <c r="B14" s="27" t="str">
        <v>NY</v>
      </c>
      <c r="C14" s="27" t="str">
        <f>Sites[[#This Row],[SOL'#]]</f>
        <v>SOL-10367</v>
      </c>
      <c r="D14" s="9">
        <v>10878.625</v>
      </c>
      <c r="E14" s="14">
        <v>0</v>
      </c>
      <c r="F14" s="14">
        <f t="shared" si="0"/>
        <v>10878.625</v>
      </c>
      <c r="G14" s="15" t="str">
        <f t="shared" si="1"/>
        <v/>
      </c>
      <c r="H14" s="16">
        <v>12777</v>
      </c>
      <c r="I14" s="16">
        <f t="shared" si="2"/>
        <v>-1898.375</v>
      </c>
      <c r="J14" s="15">
        <f t="shared" si="3"/>
        <v>-0.14857752211004149</v>
      </c>
      <c r="K14" s="50" t="s">
        <v>29</v>
      </c>
      <c r="L14" s="111" t="s">
        <v>30</v>
      </c>
      <c r="M14" s="103" t="s">
        <v>31</v>
      </c>
    </row>
    <row r="15" spans="1:13" ht="15.6">
      <c r="A15" s="24" t="str">
        <v>K287</v>
      </c>
      <c r="B15" s="25" t="str">
        <v>NY</v>
      </c>
      <c r="C15" s="25" t="str">
        <f>Sites[[#This Row],[SOL'#]]</f>
        <v>SOL-10919</v>
      </c>
      <c r="D15" s="20">
        <v>9429.75</v>
      </c>
      <c r="E15" s="10">
        <v>9596.7870000000003</v>
      </c>
      <c r="F15" s="10">
        <f t="shared" si="0"/>
        <v>-167.03700000000026</v>
      </c>
      <c r="G15" s="11">
        <f t="shared" si="1"/>
        <v>-1.7405512907601291E-2</v>
      </c>
      <c r="H15" s="12">
        <v>9504</v>
      </c>
      <c r="I15" s="12">
        <f t="shared" si="2"/>
        <v>-74.25</v>
      </c>
      <c r="J15" s="13">
        <f t="shared" si="4"/>
        <v>-7.8125E-3</v>
      </c>
      <c r="K15" s="47"/>
      <c r="L15" s="49"/>
    </row>
    <row r="16" spans="1:13" ht="15.6">
      <c r="A16" s="26" t="str">
        <v>K298</v>
      </c>
      <c r="B16" s="27" t="str">
        <v>NY</v>
      </c>
      <c r="C16" s="27" t="str">
        <f>Sites[[#This Row],[SOL'#]]</f>
        <v>SOL-10368</v>
      </c>
      <c r="D16" s="9">
        <v>9181.5</v>
      </c>
      <c r="E16" s="14">
        <v>12211.43</v>
      </c>
      <c r="F16" s="14">
        <f t="shared" si="0"/>
        <v>-3029.9300000000003</v>
      </c>
      <c r="G16" s="15">
        <f t="shared" si="1"/>
        <v>-0.24812245576480399</v>
      </c>
      <c r="H16" s="16">
        <v>9465</v>
      </c>
      <c r="I16" s="16">
        <f t="shared" si="2"/>
        <v>-283.5</v>
      </c>
      <c r="J16" s="15">
        <f t="shared" si="3"/>
        <v>-2.9952456418383518E-2</v>
      </c>
      <c r="K16" s="107" t="s">
        <v>84</v>
      </c>
      <c r="L16" s="181"/>
    </row>
    <row r="17" spans="1:19" ht="15.6">
      <c r="A17" s="24" t="str">
        <v>K335</v>
      </c>
      <c r="B17" s="25" t="str">
        <v>NY</v>
      </c>
      <c r="C17" s="25" t="str">
        <f>Sites[[#This Row],[SOL'#]]</f>
        <v>SOL-10370</v>
      </c>
      <c r="D17" s="20">
        <v>9894.3125</v>
      </c>
      <c r="E17" s="10">
        <v>13143.68</v>
      </c>
      <c r="F17" s="10">
        <f t="shared" si="0"/>
        <v>-3249.3675000000003</v>
      </c>
      <c r="G17" s="11">
        <f t="shared" si="1"/>
        <v>-0.24721900563616889</v>
      </c>
      <c r="H17" s="12">
        <v>10841</v>
      </c>
      <c r="I17" s="12">
        <f t="shared" si="2"/>
        <v>-946.6875</v>
      </c>
      <c r="J17" s="13">
        <f t="shared" si="4"/>
        <v>-8.7324739415183095E-2</v>
      </c>
      <c r="K17" s="47" t="s">
        <v>84</v>
      </c>
      <c r="L17" s="49"/>
    </row>
    <row r="18" spans="1:19" ht="15.6">
      <c r="A18" s="26" t="str">
        <v>K345</v>
      </c>
      <c r="B18" s="27" t="str">
        <v>NY</v>
      </c>
      <c r="C18" s="27" t="str">
        <f>Sites[[#This Row],[SOL'#]]</f>
        <v>SOL-10920</v>
      </c>
      <c r="D18" s="9">
        <v>12057.631171875</v>
      </c>
      <c r="E18" s="14">
        <v>9026.366</v>
      </c>
      <c r="F18" s="14">
        <f t="shared" si="0"/>
        <v>3031.2651718750003</v>
      </c>
      <c r="G18" s="15">
        <f t="shared" si="1"/>
        <v>0.3358234279304651</v>
      </c>
      <c r="H18" s="16">
        <v>11577</v>
      </c>
      <c r="I18" s="16">
        <f t="shared" si="2"/>
        <v>480.63117187500029</v>
      </c>
      <c r="J18" s="15">
        <f t="shared" si="3"/>
        <v>4.1516037995594737E-2</v>
      </c>
      <c r="K18" s="182"/>
      <c r="L18" s="181"/>
    </row>
    <row r="19" spans="1:19" ht="15.6">
      <c r="A19" s="24" t="str">
        <v>K445</v>
      </c>
      <c r="B19" s="25" t="str">
        <v>NY</v>
      </c>
      <c r="C19" s="25" t="str">
        <f>Sites[[#This Row],[SOL'#]]</f>
        <v>SOL-10373</v>
      </c>
      <c r="D19" s="20">
        <v>9972.625</v>
      </c>
      <c r="E19" s="10">
        <v>13155.89</v>
      </c>
      <c r="F19" s="10">
        <f t="shared" si="0"/>
        <v>-3183.2649999999994</v>
      </c>
      <c r="G19" s="11">
        <f t="shared" si="1"/>
        <v>-0.24196500578828187</v>
      </c>
      <c r="H19" s="12">
        <v>9461.3119999999999</v>
      </c>
      <c r="I19" s="12">
        <f t="shared" si="2"/>
        <v>511.3130000000001</v>
      </c>
      <c r="J19" s="13">
        <f t="shared" si="4"/>
        <v>5.4042504887271463E-2</v>
      </c>
      <c r="K19" s="47" t="s">
        <v>84</v>
      </c>
      <c r="L19" s="49"/>
      <c r="P19" s="24"/>
      <c r="Q19" s="25"/>
      <c r="R19" s="25"/>
      <c r="S19" s="20"/>
    </row>
    <row r="20" spans="1:19" ht="66.75" customHeight="1">
      <c r="A20" s="26" t="str">
        <v>K495</v>
      </c>
      <c r="B20" s="27" t="str">
        <v>NY</v>
      </c>
      <c r="C20" s="27" t="str">
        <f>Sites[[#This Row],[SOL'#]]</f>
        <v>SOL-10374</v>
      </c>
      <c r="D20" s="9">
        <v>576</v>
      </c>
      <c r="E20" s="14">
        <v>39846.9</v>
      </c>
      <c r="F20" s="14">
        <f t="shared" si="0"/>
        <v>-39270.9</v>
      </c>
      <c r="G20" s="15">
        <f t="shared" si="1"/>
        <v>-0.98554467223297171</v>
      </c>
      <c r="H20" s="16">
        <v>42524</v>
      </c>
      <c r="I20" s="16">
        <f t="shared" si="2"/>
        <v>-41948</v>
      </c>
      <c r="J20" s="15">
        <f t="shared" si="3"/>
        <v>-0.98645470792963974</v>
      </c>
      <c r="K20" s="83" t="s">
        <v>224</v>
      </c>
      <c r="L20" s="111" t="s">
        <v>33</v>
      </c>
    </row>
    <row r="21" spans="1:19" ht="15.6">
      <c r="A21" s="24" t="str">
        <v>M020</v>
      </c>
      <c r="B21" s="25" t="str">
        <v>NY</v>
      </c>
      <c r="C21" s="25" t="str">
        <f>Sites[[#This Row],[SOL'#]]</f>
        <v>SOL-10380</v>
      </c>
      <c r="D21" s="20">
        <v>10867.53125</v>
      </c>
      <c r="E21" s="10">
        <v>12814.96</v>
      </c>
      <c r="F21" s="10">
        <f t="shared" si="0"/>
        <v>-1947.4287499999991</v>
      </c>
      <c r="G21" s="11">
        <f t="shared" si="1"/>
        <v>-0.1519652616941449</v>
      </c>
      <c r="H21" s="12">
        <v>11685</v>
      </c>
      <c r="I21" s="12">
        <f t="shared" si="2"/>
        <v>-817.46875</v>
      </c>
      <c r="J21" s="13">
        <f t="shared" si="4"/>
        <v>-6.9958814719726148E-2</v>
      </c>
      <c r="K21" s="47" t="s">
        <v>26</v>
      </c>
      <c r="L21" s="49"/>
    </row>
    <row r="22" spans="1:19" ht="15.6">
      <c r="A22" s="26" t="str">
        <v>M092</v>
      </c>
      <c r="B22" s="27" t="str">
        <v>NY</v>
      </c>
      <c r="C22" s="27" t="str">
        <f>Sites[[#This Row],[SOL'#]]</f>
        <v>SOL-10383</v>
      </c>
      <c r="D22" s="9">
        <v>10232.6874999999</v>
      </c>
      <c r="E22" s="14">
        <v>12943.67</v>
      </c>
      <c r="F22" s="14">
        <f t="shared" si="0"/>
        <v>-2710.9825000001001</v>
      </c>
      <c r="G22" s="15">
        <f t="shared" si="1"/>
        <v>-0.20944465518667427</v>
      </c>
      <c r="H22" s="16">
        <v>10669.36</v>
      </c>
      <c r="I22" s="16">
        <f t="shared" si="2"/>
        <v>-436.67250000010063</v>
      </c>
      <c r="J22" s="15">
        <f t="shared" si="3"/>
        <v>-4.0927712627570972E-2</v>
      </c>
      <c r="K22" s="38" t="s">
        <v>84</v>
      </c>
      <c r="L22" s="181"/>
    </row>
    <row r="23" spans="1:19" ht="15.6">
      <c r="A23" s="24" t="str">
        <v>M143</v>
      </c>
      <c r="B23" s="25" t="str">
        <v>NY</v>
      </c>
      <c r="C23" s="25" t="str">
        <f>Sites[[#This Row],[SOL'#]]</f>
        <v>SOL-10384</v>
      </c>
      <c r="D23" s="20">
        <v>11888.4375</v>
      </c>
      <c r="E23" s="10">
        <v>14631.46</v>
      </c>
      <c r="F23" s="10">
        <f t="shared" si="0"/>
        <v>-2743.0224999999991</v>
      </c>
      <c r="G23" s="11">
        <f t="shared" si="1"/>
        <v>-0.18747428486289128</v>
      </c>
      <c r="H23" s="12">
        <v>11479.42</v>
      </c>
      <c r="I23" s="12">
        <f t="shared" si="2"/>
        <v>409.01749999999993</v>
      </c>
      <c r="J23" s="13">
        <f t="shared" si="4"/>
        <v>3.5630502237917937E-2</v>
      </c>
      <c r="K23" s="47" t="s">
        <v>26</v>
      </c>
      <c r="L23" s="49"/>
    </row>
    <row r="24" spans="1:19" ht="15.6">
      <c r="A24" s="26" t="str">
        <v>M144</v>
      </c>
      <c r="B24" s="27" t="str">
        <v>NY</v>
      </c>
      <c r="C24" s="27" t="str">
        <f>Sites[[#This Row],[SOL'#]]</f>
        <v>SOL-10385</v>
      </c>
      <c r="D24" s="9">
        <v>17687.03125</v>
      </c>
      <c r="E24" s="14">
        <v>0</v>
      </c>
      <c r="F24" s="14">
        <f t="shared" si="0"/>
        <v>17687.03125</v>
      </c>
      <c r="G24" s="15" t="str">
        <f t="shared" si="1"/>
        <v/>
      </c>
      <c r="H24" s="16">
        <v>18132</v>
      </c>
      <c r="I24" s="16">
        <f t="shared" si="2"/>
        <v>-444.96875</v>
      </c>
      <c r="J24" s="15">
        <f t="shared" si="3"/>
        <v>-2.4540522281050078E-2</v>
      </c>
      <c r="K24" s="182"/>
      <c r="L24" s="181"/>
    </row>
    <row r="25" spans="1:19" ht="15.6">
      <c r="A25" s="24" t="str">
        <v>M167</v>
      </c>
      <c r="B25" s="25" t="str">
        <v>NY</v>
      </c>
      <c r="C25" s="25" t="str">
        <f>Sites[[#This Row],[SOL'#]]</f>
        <v>SOL-10386</v>
      </c>
      <c r="D25" s="20">
        <v>12276.0625</v>
      </c>
      <c r="E25" s="10">
        <v>12046.86</v>
      </c>
      <c r="F25" s="10">
        <f t="shared" si="0"/>
        <v>229.20249999999942</v>
      </c>
      <c r="G25" s="11">
        <f t="shared" si="1"/>
        <v>1.9025912146401584E-2</v>
      </c>
      <c r="H25" s="12">
        <v>13350.32</v>
      </c>
      <c r="I25" s="12">
        <f t="shared" si="2"/>
        <v>-1074.2574999999997</v>
      </c>
      <c r="J25" s="13">
        <f t="shared" si="4"/>
        <v>-8.0466797799603279E-2</v>
      </c>
      <c r="K25" s="47"/>
      <c r="L25" s="49"/>
    </row>
    <row r="26" spans="1:19" ht="15.6">
      <c r="A26" s="26" t="str">
        <v>M188</v>
      </c>
      <c r="B26" s="27" t="str">
        <v>NY</v>
      </c>
      <c r="C26" s="27" t="str">
        <f>Sites[[#This Row],[SOL'#]]</f>
        <v>SOL-10387</v>
      </c>
      <c r="D26" s="9">
        <v>9166.43750000006</v>
      </c>
      <c r="E26" s="14">
        <v>0</v>
      </c>
      <c r="F26" s="14">
        <f t="shared" si="0"/>
        <v>9166.43750000006</v>
      </c>
      <c r="G26" s="15" t="str">
        <f t="shared" si="1"/>
        <v/>
      </c>
      <c r="H26" s="16">
        <v>9611</v>
      </c>
      <c r="I26" s="16">
        <f t="shared" si="2"/>
        <v>-444.56249999993997</v>
      </c>
      <c r="J26" s="15">
        <f t="shared" si="3"/>
        <v>-4.625559255019665E-2</v>
      </c>
      <c r="K26" s="182"/>
      <c r="L26" s="181"/>
    </row>
    <row r="27" spans="1:19" ht="15.6">
      <c r="A27" s="24" t="str">
        <v>EMHC</v>
      </c>
      <c r="B27" s="25" t="str">
        <v>NY</v>
      </c>
      <c r="C27" s="25" t="str">
        <f>Sites[[#This Row],[SOL'#]]</f>
        <v>SOL-10351</v>
      </c>
      <c r="D27" s="20">
        <v>3579.109375</v>
      </c>
      <c r="E27" s="10">
        <v>2980.9180000000001</v>
      </c>
      <c r="F27" s="10">
        <f t="shared" si="0"/>
        <v>598.19137499999988</v>
      </c>
      <c r="G27" s="11">
        <f t="shared" si="1"/>
        <v>0.20067354251274266</v>
      </c>
      <c r="H27" s="12">
        <v>3438.4270000000001</v>
      </c>
      <c r="I27" s="12">
        <f t="shared" si="2"/>
        <v>140.68237499999987</v>
      </c>
      <c r="J27" s="13">
        <f t="shared" si="4"/>
        <v>4.0914748226441873E-2</v>
      </c>
      <c r="K27" s="47"/>
      <c r="L27" s="49"/>
    </row>
    <row r="28" spans="1:19" ht="78">
      <c r="A28" s="26" t="str">
        <v>Q008</v>
      </c>
      <c r="B28" s="27" t="str">
        <v>NY</v>
      </c>
      <c r="C28" s="27" t="str">
        <f>Sites[[#This Row],[SOL'#]]</f>
        <v>SOL-10397</v>
      </c>
      <c r="D28" s="9">
        <v>10602.4375</v>
      </c>
      <c r="E28" s="14">
        <v>13743.77</v>
      </c>
      <c r="F28" s="14">
        <f t="shared" si="0"/>
        <v>-3141.3325000000004</v>
      </c>
      <c r="G28" s="15">
        <f t="shared" si="1"/>
        <v>-0.22856410577301572</v>
      </c>
      <c r="H28" s="16">
        <v>14789</v>
      </c>
      <c r="I28" s="16">
        <f t="shared" si="2"/>
        <v>-4186.5625</v>
      </c>
      <c r="J28" s="15">
        <f t="shared" si="3"/>
        <v>-0.28308624653458653</v>
      </c>
      <c r="K28" s="86" t="s">
        <v>225</v>
      </c>
      <c r="L28" s="111" t="s">
        <v>226</v>
      </c>
      <c r="M28" s="103" t="s">
        <v>227</v>
      </c>
    </row>
    <row r="29" spans="1:19" ht="15.6">
      <c r="A29" s="24" t="str">
        <v>Q018</v>
      </c>
      <c r="B29" s="25" t="str">
        <v>NY</v>
      </c>
      <c r="C29" s="25" t="str">
        <f>Sites[[#This Row],[SOL'#]]</f>
        <v>SOL-10398</v>
      </c>
      <c r="D29" s="20">
        <v>10195.875</v>
      </c>
      <c r="E29" s="10">
        <v>10582.87</v>
      </c>
      <c r="F29" s="10">
        <f t="shared" si="0"/>
        <v>-386.9950000000008</v>
      </c>
      <c r="G29" s="11">
        <f t="shared" si="1"/>
        <v>-3.6568057625200046E-2</v>
      </c>
      <c r="H29" s="12">
        <v>8701.0149999999994</v>
      </c>
      <c r="I29" s="12">
        <f t="shared" si="2"/>
        <v>1494.8600000000006</v>
      </c>
      <c r="J29" s="13">
        <f t="shared" si="4"/>
        <v>0.1718029448288505</v>
      </c>
      <c r="K29" s="47"/>
      <c r="L29" s="49"/>
    </row>
    <row r="30" spans="1:19" ht="15.6">
      <c r="A30" s="26" t="str">
        <v>Q021</v>
      </c>
      <c r="B30" s="27" t="str">
        <v>NY</v>
      </c>
      <c r="C30" s="27" t="str">
        <f>Sites[[#This Row],[SOL'#]]</f>
        <v>SOL-10399</v>
      </c>
      <c r="D30" s="9">
        <v>7999.06250000006</v>
      </c>
      <c r="E30" s="14">
        <v>9770.4189999999999</v>
      </c>
      <c r="F30" s="14">
        <f t="shared" si="0"/>
        <v>-1771.3564999999398</v>
      </c>
      <c r="G30" s="15">
        <f t="shared" si="1"/>
        <v>-0.18129790544294364</v>
      </c>
      <c r="H30" s="16">
        <v>7091</v>
      </c>
      <c r="I30" s="16">
        <f t="shared" si="2"/>
        <v>908.06250000006003</v>
      </c>
      <c r="J30" s="15">
        <f t="shared" si="3"/>
        <v>0.12805845437879848</v>
      </c>
      <c r="K30" s="182" t="s">
        <v>26</v>
      </c>
      <c r="L30" s="181"/>
    </row>
    <row r="31" spans="1:19" ht="15.6">
      <c r="A31" s="24" t="str">
        <v>Q025</v>
      </c>
      <c r="B31" s="25" t="str">
        <v>NY</v>
      </c>
      <c r="C31" s="25" t="str">
        <f>Sites[[#This Row],[SOL'#]]</f>
        <v>SOL-10400</v>
      </c>
      <c r="D31" s="20">
        <v>13488.125</v>
      </c>
      <c r="E31" s="10">
        <v>15603.33</v>
      </c>
      <c r="F31" s="10">
        <f t="shared" si="0"/>
        <v>-2115.2049999999999</v>
      </c>
      <c r="G31" s="11">
        <f t="shared" si="1"/>
        <v>-0.13556112701583573</v>
      </c>
      <c r="H31" s="12">
        <v>9540</v>
      </c>
      <c r="I31" s="12">
        <f t="shared" si="2"/>
        <v>3948.125</v>
      </c>
      <c r="J31" s="13">
        <f t="shared" si="4"/>
        <v>0.41384958071278827</v>
      </c>
      <c r="K31" s="47" t="s">
        <v>26</v>
      </c>
      <c r="L31" s="49"/>
    </row>
    <row r="32" spans="1:19" ht="15.6">
      <c r="A32" s="26" t="str">
        <v>Q074</v>
      </c>
      <c r="B32" s="27" t="str">
        <v>NY</v>
      </c>
      <c r="C32" s="27" t="str">
        <f>Sites[[#This Row],[SOL'#]]</f>
        <v>SOL-10402</v>
      </c>
      <c r="D32" s="9">
        <v>8712.375</v>
      </c>
      <c r="E32" s="14">
        <v>9652.3340000000007</v>
      </c>
      <c r="F32" s="14">
        <f t="shared" si="0"/>
        <v>-939.95900000000074</v>
      </c>
      <c r="G32" s="15">
        <f t="shared" si="1"/>
        <v>-9.7381524510030487E-2</v>
      </c>
      <c r="H32" s="16">
        <v>8010.3040000000001</v>
      </c>
      <c r="I32" s="16">
        <f t="shared" si="2"/>
        <v>702.07099999999991</v>
      </c>
      <c r="J32" s="15">
        <f t="shared" si="3"/>
        <v>8.7645986968784201E-2</v>
      </c>
      <c r="K32" s="182"/>
      <c r="L32" s="182"/>
    </row>
    <row r="33" spans="1:12" ht="15.6">
      <c r="A33" s="24" t="str">
        <v>Q115</v>
      </c>
      <c r="B33" s="25" t="str">
        <v>NY</v>
      </c>
      <c r="C33" s="25" t="str">
        <f>Sites[[#This Row],[SOL'#]]</f>
        <v>SOL-10872</v>
      </c>
      <c r="D33" s="20">
        <v>11579.0625</v>
      </c>
      <c r="E33" s="10">
        <v>13986.53</v>
      </c>
      <c r="F33" s="10">
        <f t="shared" si="0"/>
        <v>-2407.4675000000007</v>
      </c>
      <c r="G33" s="11">
        <f t="shared" si="1"/>
        <v>-0.17212757560309816</v>
      </c>
      <c r="H33" s="12">
        <v>10682.2</v>
      </c>
      <c r="I33" s="12">
        <f t="shared" si="2"/>
        <v>896.86249999999927</v>
      </c>
      <c r="J33" s="13">
        <f t="shared" si="4"/>
        <v>8.395859467150954E-2</v>
      </c>
      <c r="K33" s="47" t="s">
        <v>26</v>
      </c>
      <c r="L33" s="49"/>
    </row>
    <row r="34" spans="1:12" ht="15.6">
      <c r="A34" s="26" t="str">
        <v>Q139</v>
      </c>
      <c r="B34" s="27" t="str">
        <v>NY</v>
      </c>
      <c r="C34" s="27" t="str">
        <f>Sites[[#This Row],[SOL'#]]</f>
        <v>SOL-10403</v>
      </c>
      <c r="D34" s="9">
        <v>6671.93750000006</v>
      </c>
      <c r="E34" s="14">
        <v>7652.4610000000002</v>
      </c>
      <c r="F34" s="14">
        <f t="shared" si="0"/>
        <v>-980.52349999994021</v>
      </c>
      <c r="G34" s="15">
        <f t="shared" si="1"/>
        <v>-0.12813178662392924</v>
      </c>
      <c r="H34" s="16">
        <v>6752</v>
      </c>
      <c r="I34" s="16">
        <f t="shared" si="2"/>
        <v>-80.062499999939973</v>
      </c>
      <c r="J34" s="15">
        <f t="shared" si="3"/>
        <v>-1.1857597748806275E-2</v>
      </c>
      <c r="K34" s="182" t="s">
        <v>26</v>
      </c>
      <c r="L34" s="181"/>
    </row>
    <row r="35" spans="1:12" ht="15.6">
      <c r="A35" s="24" t="str">
        <v>Q157</v>
      </c>
      <c r="B35" s="25" t="str">
        <v>NY</v>
      </c>
      <c r="C35" s="25" t="str">
        <f>Sites[[#This Row],[SOL'#]]</f>
        <v>SOL-10404</v>
      </c>
      <c r="D35" s="20">
        <v>11403.1875</v>
      </c>
      <c r="E35" s="10">
        <v>14877.12</v>
      </c>
      <c r="F35" s="10">
        <f t="shared" si="0"/>
        <v>-3473.9325000000008</v>
      </c>
      <c r="G35" s="11">
        <f t="shared" si="1"/>
        <v>-0.23350840081951349</v>
      </c>
      <c r="H35" s="12">
        <v>12206.92</v>
      </c>
      <c r="I35" s="12">
        <f t="shared" si="2"/>
        <v>-803.73250000000007</v>
      </c>
      <c r="J35" s="13">
        <f t="shared" si="4"/>
        <v>-6.5842366460990981E-2</v>
      </c>
      <c r="K35" s="47" t="s">
        <v>84</v>
      </c>
      <c r="L35" s="49"/>
    </row>
    <row r="36" spans="1:12" ht="15.6">
      <c r="A36" s="26" t="str">
        <v>Q192</v>
      </c>
      <c r="B36" s="27" t="str">
        <v>NY</v>
      </c>
      <c r="C36" s="27" t="str">
        <f>Sites[[#This Row],[SOL'#]]</f>
        <v>SOL-10406</v>
      </c>
      <c r="D36" s="9">
        <v>18821</v>
      </c>
      <c r="E36" s="14">
        <v>23040.39</v>
      </c>
      <c r="F36" s="14">
        <f t="shared" si="0"/>
        <v>-4219.3899999999994</v>
      </c>
      <c r="G36" s="15">
        <f t="shared" si="1"/>
        <v>-0.18313014666852426</v>
      </c>
      <c r="H36" s="16">
        <v>17990.990000000002</v>
      </c>
      <c r="I36" s="16">
        <f t="shared" si="2"/>
        <v>830.0099999999984</v>
      </c>
      <c r="J36" s="15">
        <f t="shared" si="3"/>
        <v>4.6134759676927081E-2</v>
      </c>
      <c r="K36" s="182" t="s">
        <v>26</v>
      </c>
      <c r="L36" s="181"/>
    </row>
    <row r="37" spans="1:12" ht="15.6">
      <c r="A37" s="24" t="str">
        <v>Q210</v>
      </c>
      <c r="B37" s="25" t="str">
        <v>NY</v>
      </c>
      <c r="C37" s="25" t="str">
        <f>Sites[[#This Row],[SOL'#]]</f>
        <v>SOL-10407</v>
      </c>
      <c r="D37" s="20">
        <v>15487.5</v>
      </c>
      <c r="E37" s="10">
        <v>16908.57</v>
      </c>
      <c r="F37" s="10">
        <f t="shared" si="0"/>
        <v>-1421.0699999999997</v>
      </c>
      <c r="G37" s="11">
        <f t="shared" si="1"/>
        <v>-8.404436330215978E-2</v>
      </c>
      <c r="H37" s="12">
        <v>15013</v>
      </c>
      <c r="I37" s="12">
        <f t="shared" si="2"/>
        <v>474.5</v>
      </c>
      <c r="J37" s="13">
        <f t="shared" si="4"/>
        <v>3.1605941517351625E-2</v>
      </c>
      <c r="K37" s="47"/>
      <c r="L37" s="49"/>
    </row>
    <row r="38" spans="1:12" ht="15.6">
      <c r="A38" s="26" t="str">
        <v>Q229</v>
      </c>
      <c r="B38" s="27" t="str">
        <v>NY</v>
      </c>
      <c r="C38" s="27" t="str">
        <f>Sites[[#This Row],[SOL'#]]</f>
        <v>SOL-10408</v>
      </c>
      <c r="D38" s="9">
        <v>6297.90625</v>
      </c>
      <c r="E38" s="14">
        <v>8488.41</v>
      </c>
      <c r="F38" s="14">
        <f t="shared" si="0"/>
        <v>-2190.5037499999999</v>
      </c>
      <c r="G38" s="15">
        <f t="shared" si="1"/>
        <v>-0.25805819346614972</v>
      </c>
      <c r="H38" s="16">
        <v>5292.6949999999997</v>
      </c>
      <c r="I38" s="16">
        <f t="shared" si="2"/>
        <v>1005.2112500000003</v>
      </c>
      <c r="J38" s="15">
        <f t="shared" si="3"/>
        <v>0.18992427298380132</v>
      </c>
      <c r="K38" s="38" t="s">
        <v>84</v>
      </c>
      <c r="L38" s="181"/>
    </row>
    <row r="39" spans="1:12" ht="15.6">
      <c r="A39" s="24" t="str">
        <v>Q231</v>
      </c>
      <c r="B39" s="25" t="str">
        <v>NY</v>
      </c>
      <c r="C39" s="25" t="str">
        <f>Sites[[#This Row],[SOL'#]]</f>
        <v>SOL-10870</v>
      </c>
      <c r="D39" s="20">
        <v>25056.625</v>
      </c>
      <c r="E39" s="10">
        <v>32973.33</v>
      </c>
      <c r="F39" s="10">
        <f t="shared" si="0"/>
        <v>-7916.7050000000017</v>
      </c>
      <c r="G39" s="11">
        <f t="shared" si="1"/>
        <v>-0.24009419127519124</v>
      </c>
      <c r="H39" s="12">
        <v>23657</v>
      </c>
      <c r="I39" s="12">
        <f t="shared" si="2"/>
        <v>1399.625</v>
      </c>
      <c r="J39" s="13">
        <f t="shared" si="4"/>
        <v>5.9163249778078367E-2</v>
      </c>
      <c r="K39" s="47" t="s">
        <v>84</v>
      </c>
      <c r="L39" s="49"/>
    </row>
    <row r="40" spans="1:12" ht="15.6">
      <c r="A40" s="26" t="str">
        <v>Q405</v>
      </c>
      <c r="B40" s="27" t="str">
        <v>NY</v>
      </c>
      <c r="C40" s="27" t="str">
        <f>Sites[[#This Row],[SOL'#]]</f>
        <v>SOL-10409</v>
      </c>
      <c r="D40" s="9">
        <v>28712.875</v>
      </c>
      <c r="E40" s="14">
        <v>33159.449999999997</v>
      </c>
      <c r="F40" s="14">
        <f t="shared" si="0"/>
        <v>-4446.5749999999971</v>
      </c>
      <c r="G40" s="15">
        <f t="shared" si="1"/>
        <v>-0.13409676577868443</v>
      </c>
      <c r="H40" s="16">
        <v>26589.46</v>
      </c>
      <c r="I40" s="16">
        <f t="shared" si="2"/>
        <v>2123.4150000000009</v>
      </c>
      <c r="J40" s="15">
        <f t="shared" si="3"/>
        <v>7.9859275066135257E-2</v>
      </c>
      <c r="K40" s="182" t="s">
        <v>26</v>
      </c>
      <c r="L40" s="181"/>
    </row>
    <row r="41" spans="1:12" ht="15.6">
      <c r="A41" s="24" t="str">
        <v>Q435</v>
      </c>
      <c r="B41" s="25" t="str">
        <v>NY</v>
      </c>
      <c r="C41" s="25" t="str">
        <f>Sites[[#This Row],[SOL'#]]</f>
        <v>SOL-10923</v>
      </c>
      <c r="D41" s="20">
        <v>38240.625</v>
      </c>
      <c r="E41" s="10">
        <v>33165.410000000003</v>
      </c>
      <c r="F41" s="10">
        <f t="shared" si="0"/>
        <v>5075.2149999999965</v>
      </c>
      <c r="G41" s="11">
        <f t="shared" si="1"/>
        <v>0.15302735591087208</v>
      </c>
      <c r="H41" s="12">
        <v>34507</v>
      </c>
      <c r="I41" s="12">
        <f t="shared" si="2"/>
        <v>3733.625</v>
      </c>
      <c r="J41" s="13">
        <f t="shared" si="4"/>
        <v>0.10819906106007476</v>
      </c>
      <c r="K41" s="47"/>
      <c r="L41" s="49"/>
    </row>
    <row r="42" spans="1:12" ht="28.9">
      <c r="A42" s="26" t="str">
        <v>Q485</v>
      </c>
      <c r="B42" s="27" t="str">
        <v>NY</v>
      </c>
      <c r="C42" s="27" t="str">
        <f>Sites[[#This Row],[SOL'#]]</f>
        <v>SOL-10869</v>
      </c>
      <c r="D42" s="9">
        <v>30533.75</v>
      </c>
      <c r="E42" s="14">
        <v>31458.799999999999</v>
      </c>
      <c r="F42" s="14">
        <f t="shared" si="0"/>
        <v>-925.04999999999927</v>
      </c>
      <c r="G42" s="15">
        <f t="shared" si="1"/>
        <v>-2.9405126705405141E-2</v>
      </c>
      <c r="H42" s="16">
        <v>32755.35</v>
      </c>
      <c r="I42" s="16">
        <f t="shared" si="2"/>
        <v>-2221.5999999999985</v>
      </c>
      <c r="J42" s="15">
        <f t="shared" si="3"/>
        <v>-6.7824034852321788E-2</v>
      </c>
      <c r="K42" s="182" t="s">
        <v>228</v>
      </c>
      <c r="L42" s="100" t="s">
        <v>229</v>
      </c>
    </row>
    <row r="43" spans="1:12" ht="43.15">
      <c r="A43" s="24" t="str">
        <v>Q490</v>
      </c>
      <c r="B43" s="25" t="str">
        <v>NY</v>
      </c>
      <c r="C43" s="25" t="str">
        <f>Sites[[#This Row],[SOL'#]]</f>
        <v>SOL-10411</v>
      </c>
      <c r="D43" s="20">
        <v>24146.5</v>
      </c>
      <c r="E43" s="10">
        <v>0</v>
      </c>
      <c r="F43" s="10">
        <f t="shared" si="0"/>
        <v>24146.5</v>
      </c>
      <c r="G43" s="11" t="str">
        <f t="shared" si="1"/>
        <v/>
      </c>
      <c r="H43" s="12">
        <v>22664.36</v>
      </c>
      <c r="I43" s="12">
        <f t="shared" si="2"/>
        <v>1482.1399999999994</v>
      </c>
      <c r="J43" s="13">
        <f t="shared" si="4"/>
        <v>6.5395184333464501E-2</v>
      </c>
      <c r="K43" s="47" t="s">
        <v>230</v>
      </c>
      <c r="L43" s="110" t="s">
        <v>231</v>
      </c>
    </row>
    <row r="44" spans="1:12" ht="15.6">
      <c r="A44" s="26" t="str">
        <v>Q620</v>
      </c>
      <c r="B44" s="27" t="str">
        <v>NY</v>
      </c>
      <c r="C44" s="27" t="str">
        <f>Sites[[#This Row],[SOL'#]]</f>
        <v>SOL-10867</v>
      </c>
      <c r="D44" s="9">
        <v>36470.75</v>
      </c>
      <c r="E44" s="14">
        <v>40130.17</v>
      </c>
      <c r="F44" s="14">
        <f t="shared" si="0"/>
        <v>-3659.4199999999983</v>
      </c>
      <c r="G44" s="15">
        <f t="shared" si="1"/>
        <v>-9.118874901352271E-2</v>
      </c>
      <c r="H44" s="16">
        <v>36602.33</v>
      </c>
      <c r="I44" s="16">
        <f t="shared" si="2"/>
        <v>-131.58000000000175</v>
      </c>
      <c r="J44" s="15">
        <f t="shared" si="3"/>
        <v>-3.5948531145422093E-3</v>
      </c>
      <c r="K44" s="182"/>
      <c r="L44" s="181"/>
    </row>
    <row r="45" spans="1:12" ht="15.6">
      <c r="A45" s="24" t="str">
        <v>QMOA</v>
      </c>
      <c r="B45" s="25" t="str">
        <v>NY</v>
      </c>
      <c r="C45" s="25" t="str">
        <f>Sites[[#This Row],[SOL'#]]</f>
        <v>SOL-10415</v>
      </c>
      <c r="D45" s="20">
        <v>3286.3</v>
      </c>
      <c r="E45" s="10">
        <v>0</v>
      </c>
      <c r="F45" s="10">
        <f t="shared" si="0"/>
        <v>3286.3</v>
      </c>
      <c r="G45" s="11" t="str">
        <f t="shared" si="1"/>
        <v/>
      </c>
      <c r="H45" s="12">
        <v>3713.027</v>
      </c>
      <c r="I45" s="12">
        <f t="shared" si="2"/>
        <v>-426.72699999999986</v>
      </c>
      <c r="J45" s="13">
        <f t="shared" si="4"/>
        <v>-0.11492698544879955</v>
      </c>
      <c r="K45" s="47"/>
      <c r="L45" s="49"/>
    </row>
    <row r="46" spans="1:12" ht="15.6">
      <c r="A46" s="26" t="str">
        <v>X024</v>
      </c>
      <c r="B46" s="27" t="str">
        <v>NY</v>
      </c>
      <c r="C46" s="27" t="str">
        <f>Sites[[#This Row],[SOL'#]]</f>
        <v>SOL-10419</v>
      </c>
      <c r="D46" s="9">
        <v>13357.03125</v>
      </c>
      <c r="E46" s="14">
        <v>17555.580000000002</v>
      </c>
      <c r="F46" s="14">
        <f t="shared" si="0"/>
        <v>-4198.5487500000017</v>
      </c>
      <c r="G46" s="15">
        <f t="shared" si="1"/>
        <v>-0.23915750718574957</v>
      </c>
      <c r="H46" s="16">
        <v>11514</v>
      </c>
      <c r="I46" s="16">
        <f t="shared" si="2"/>
        <v>1843.03125</v>
      </c>
      <c r="J46" s="15">
        <f t="shared" si="3"/>
        <v>0.16006872068785827</v>
      </c>
      <c r="K46" s="182" t="s">
        <v>232</v>
      </c>
      <c r="L46" s="113" t="s">
        <v>233</v>
      </c>
    </row>
    <row r="47" spans="1:12" ht="15.6">
      <c r="A47" s="24" t="str">
        <v>X026</v>
      </c>
      <c r="B47" s="25" t="str">
        <v>NY</v>
      </c>
      <c r="C47" s="25" t="str">
        <f>Sites[[#This Row],[SOL'#]]</f>
        <v>SOL-10420</v>
      </c>
      <c r="D47" s="20">
        <v>10799.6</v>
      </c>
      <c r="E47" s="10">
        <v>13459.43</v>
      </c>
      <c r="F47" s="10">
        <f t="shared" si="0"/>
        <v>-2659.83</v>
      </c>
      <c r="G47" s="11">
        <f t="shared" si="1"/>
        <v>-0.197618324104364</v>
      </c>
      <c r="H47" s="12">
        <v>15192.76</v>
      </c>
      <c r="I47" s="12">
        <f t="shared" si="2"/>
        <v>-4393.16</v>
      </c>
      <c r="J47" s="13">
        <f t="shared" si="4"/>
        <v>-0.28916141635884457</v>
      </c>
      <c r="K47" s="47" t="s">
        <v>234</v>
      </c>
      <c r="L47" s="110" t="s">
        <v>235</v>
      </c>
    </row>
    <row r="48" spans="1:12" ht="15.6">
      <c r="A48" s="26" t="str">
        <v>X090</v>
      </c>
      <c r="B48" s="27" t="str">
        <v>NY</v>
      </c>
      <c r="C48" s="27" t="str">
        <f>Sites[[#This Row],[SOL'#]]</f>
        <v>SOL-10925</v>
      </c>
      <c r="D48" s="9">
        <v>10677.875</v>
      </c>
      <c r="E48" s="14">
        <v>8915.4629999999997</v>
      </c>
      <c r="F48" s="14">
        <f t="shared" si="0"/>
        <v>1762.4120000000003</v>
      </c>
      <c r="G48" s="15">
        <f t="shared" si="1"/>
        <v>0.1976803672450887</v>
      </c>
      <c r="H48" s="16">
        <v>9953</v>
      </c>
      <c r="I48" s="16">
        <f t="shared" si="2"/>
        <v>724.875</v>
      </c>
      <c r="J48" s="15">
        <f t="shared" si="3"/>
        <v>7.2829800060283334E-2</v>
      </c>
      <c r="K48" s="182"/>
      <c r="L48" s="181"/>
    </row>
    <row r="49" spans="1:16" ht="15.6">
      <c r="A49" s="24" t="str">
        <v>X117</v>
      </c>
      <c r="B49" s="25" t="str">
        <v>NY</v>
      </c>
      <c r="C49" s="25" t="str">
        <f>Sites[[#This Row],[SOL'#]]</f>
        <v>SOL-10422</v>
      </c>
      <c r="D49" s="20">
        <v>8069</v>
      </c>
      <c r="E49" s="10">
        <v>11399.76</v>
      </c>
      <c r="F49" s="10">
        <f t="shared" si="0"/>
        <v>-3330.76</v>
      </c>
      <c r="G49" s="11">
        <f t="shared" si="1"/>
        <v>-0.29217808094205494</v>
      </c>
      <c r="H49" s="12">
        <v>8666.4240000000009</v>
      </c>
      <c r="I49" s="12">
        <f t="shared" si="2"/>
        <v>-597.42400000000089</v>
      </c>
      <c r="J49" s="13">
        <f t="shared" si="4"/>
        <v>-6.8935468654660881E-2</v>
      </c>
      <c r="K49" s="47" t="s">
        <v>84</v>
      </c>
      <c r="L49" s="110"/>
    </row>
    <row r="50" spans="1:16" ht="15.6">
      <c r="A50" s="26" t="str">
        <v>X125</v>
      </c>
      <c r="B50" s="27" t="str">
        <v>NY</v>
      </c>
      <c r="C50" s="27" t="str">
        <f>Sites[[#This Row],[SOL'#]]</f>
        <v>SOL-10423</v>
      </c>
      <c r="D50" s="9">
        <v>15785</v>
      </c>
      <c r="E50" s="14">
        <v>18886.62</v>
      </c>
      <c r="F50" s="14">
        <f t="shared" si="0"/>
        <v>-3101.619999999999</v>
      </c>
      <c r="G50" s="15">
        <f t="shared" si="1"/>
        <v>-0.16422313786161838</v>
      </c>
      <c r="H50" s="16">
        <v>15455.69</v>
      </c>
      <c r="I50" s="16">
        <f t="shared" si="2"/>
        <v>329.30999999999949</v>
      </c>
      <c r="J50" s="15">
        <f t="shared" si="3"/>
        <v>2.1306716167314398E-2</v>
      </c>
      <c r="K50" s="182" t="s">
        <v>26</v>
      </c>
      <c r="L50" s="181"/>
    </row>
    <row r="51" spans="1:16" ht="15.6">
      <c r="A51" s="24" t="str">
        <v>X134</v>
      </c>
      <c r="B51" s="25" t="str">
        <v>NY</v>
      </c>
      <c r="C51" s="25" t="str">
        <f>Sites[[#This Row],[SOL'#]]</f>
        <v>SOL-10424</v>
      </c>
      <c r="D51" s="20">
        <v>15055.5625</v>
      </c>
      <c r="E51" s="10">
        <v>0</v>
      </c>
      <c r="F51" s="10">
        <f t="shared" si="0"/>
        <v>15055.5625</v>
      </c>
      <c r="G51" s="11" t="str">
        <f t="shared" si="1"/>
        <v/>
      </c>
      <c r="H51" s="12">
        <v>15137</v>
      </c>
      <c r="I51" s="12">
        <f t="shared" si="2"/>
        <v>-81.4375</v>
      </c>
      <c r="J51" s="13">
        <f t="shared" si="4"/>
        <v>-5.3800290678469977E-3</v>
      </c>
      <c r="K51" s="47"/>
      <c r="L51" s="49"/>
    </row>
    <row r="52" spans="1:16" ht="15.6">
      <c r="A52" s="26" t="str">
        <v>X135</v>
      </c>
      <c r="B52" s="27" t="str">
        <v>NY</v>
      </c>
      <c r="C52" s="27" t="str">
        <f>Sites[[#This Row],[SOL'#]]</f>
        <v>SOL-10425</v>
      </c>
      <c r="D52" s="9">
        <v>12885.6875</v>
      </c>
      <c r="E52" s="14">
        <v>15852.51</v>
      </c>
      <c r="F52" s="14">
        <f t="shared" si="0"/>
        <v>-2966.8225000000002</v>
      </c>
      <c r="G52" s="15">
        <f t="shared" si="1"/>
        <v>-0.18715159302848572</v>
      </c>
      <c r="H52" s="16">
        <v>13152</v>
      </c>
      <c r="I52" s="16">
        <f t="shared" si="2"/>
        <v>-266.3125</v>
      </c>
      <c r="J52" s="15">
        <f t="shared" si="4"/>
        <v>-2.0248821472019465E-2</v>
      </c>
      <c r="K52" s="182"/>
      <c r="L52" s="181"/>
    </row>
    <row r="53" spans="1:16" ht="15.6">
      <c r="A53" s="24" t="str">
        <v>X139 JHS 222</v>
      </c>
      <c r="B53" s="25" t="str">
        <v>NY</v>
      </c>
      <c r="C53" s="25" t="str">
        <f>Sites[[#This Row],[SOL'#]]</f>
        <v>SOL-10426</v>
      </c>
      <c r="D53" s="20">
        <v>19027.021380983799</v>
      </c>
      <c r="E53" s="10">
        <v>21977.34</v>
      </c>
      <c r="F53" s="10">
        <f t="shared" si="0"/>
        <v>-2950.3186190162014</v>
      </c>
      <c r="G53" s="11">
        <f t="shared" si="1"/>
        <v>-0.13424366274609217</v>
      </c>
      <c r="H53" s="12">
        <v>17714</v>
      </c>
      <c r="I53" s="12">
        <f t="shared" si="2"/>
        <v>1313.0213809837987</v>
      </c>
      <c r="J53" s="13">
        <f t="shared" si="4"/>
        <v>7.4123370271186567E-2</v>
      </c>
      <c r="K53" s="47"/>
      <c r="L53" s="49"/>
    </row>
    <row r="54" spans="1:16" ht="15.6">
      <c r="A54" s="26" t="str">
        <v>X140</v>
      </c>
      <c r="B54" s="27" t="str">
        <v>NY</v>
      </c>
      <c r="C54" s="27" t="str">
        <f>Sites[[#This Row],[SOL'#]]</f>
        <v>SOL-10926</v>
      </c>
      <c r="D54" s="9">
        <v>11175.4375</v>
      </c>
      <c r="E54" s="14">
        <v>10393.82</v>
      </c>
      <c r="F54" s="14">
        <f t="shared" si="0"/>
        <v>781.61750000000029</v>
      </c>
      <c r="G54" s="15">
        <f t="shared" si="1"/>
        <v>7.5200215127835604E-2</v>
      </c>
      <c r="H54" s="16">
        <v>10945</v>
      </c>
      <c r="I54" s="16">
        <f t="shared" si="2"/>
        <v>230.4375</v>
      </c>
      <c r="J54" s="15">
        <f t="shared" si="4"/>
        <v>2.1054134307903153E-2</v>
      </c>
      <c r="K54" s="182"/>
      <c r="L54" s="182"/>
    </row>
    <row r="55" spans="1:16" ht="15.6">
      <c r="A55" s="24" t="str">
        <v>X166</v>
      </c>
      <c r="B55" s="25" t="str">
        <v>NY</v>
      </c>
      <c r="C55" s="25" t="str">
        <f>Sites[[#This Row],[SOL'#]]</f>
        <v>SOL-10427</v>
      </c>
      <c r="D55" s="20">
        <v>11556.1</v>
      </c>
      <c r="E55" s="10">
        <v>14445.19</v>
      </c>
      <c r="F55" s="10">
        <f t="shared" si="0"/>
        <v>-2889.09</v>
      </c>
      <c r="G55" s="11">
        <f t="shared" si="1"/>
        <v>-0.20000359981419422</v>
      </c>
      <c r="H55" s="12">
        <v>11066</v>
      </c>
      <c r="I55" s="12">
        <f t="shared" si="2"/>
        <v>490.10000000000036</v>
      </c>
      <c r="J55" s="13">
        <f t="shared" si="4"/>
        <v>4.4288812579071059E-2</v>
      </c>
      <c r="K55" s="47" t="s">
        <v>84</v>
      </c>
      <c r="L55" s="49"/>
    </row>
    <row r="56" spans="1:16" ht="15.6">
      <c r="A56" s="26" t="str">
        <v>Murphy</v>
      </c>
      <c r="B56" s="27" t="str">
        <v>MN</v>
      </c>
      <c r="C56" s="27" t="str">
        <f>Sites[[#This Row],[SOL'#]]</f>
        <v>SOL-10094</v>
      </c>
      <c r="D56" s="9">
        <v>460150</v>
      </c>
      <c r="E56" s="14">
        <v>753001.2</v>
      </c>
      <c r="F56" s="14">
        <f t="shared" si="0"/>
        <v>-292851.19999999995</v>
      </c>
      <c r="G56" s="15">
        <f t="shared" si="1"/>
        <v>-0.3889119964217852</v>
      </c>
      <c r="H56" s="16">
        <v>667564.9</v>
      </c>
      <c r="I56" s="16">
        <f t="shared" si="2"/>
        <v>-207414.90000000002</v>
      </c>
      <c r="J56" s="15">
        <f t="shared" si="4"/>
        <v>-0.3107037233383601</v>
      </c>
      <c r="K56" s="38" t="s">
        <v>84</v>
      </c>
      <c r="L56" s="182"/>
    </row>
    <row r="57" spans="1:16" ht="15.6">
      <c r="A57" s="24" t="str">
        <v>Terning</v>
      </c>
      <c r="B57" s="25" t="str">
        <v>MN</v>
      </c>
      <c r="C57" s="25" t="str">
        <f>Sites[[#This Row],[SOL'#]]</f>
        <v>SOL-10093</v>
      </c>
      <c r="D57" s="20">
        <v>350130</v>
      </c>
      <c r="E57" s="10">
        <v>749173.8</v>
      </c>
      <c r="F57" s="10">
        <f t="shared" si="0"/>
        <v>-399043.80000000005</v>
      </c>
      <c r="G57" s="11">
        <f t="shared" si="1"/>
        <v>-0.53264516191036049</v>
      </c>
      <c r="H57" s="12">
        <v>630205.69999999995</v>
      </c>
      <c r="I57" s="12">
        <f t="shared" si="2"/>
        <v>-280075.69999999995</v>
      </c>
      <c r="J57" s="13">
        <f t="shared" si="4"/>
        <v>-0.44441949668179764</v>
      </c>
      <c r="K57" s="47" t="s">
        <v>84</v>
      </c>
      <c r="L57" s="49"/>
    </row>
    <row r="58" spans="1:16" ht="40.5" customHeight="1">
      <c r="A58" s="26" t="str">
        <v>Boas Road 04</v>
      </c>
      <c r="B58" s="27" t="str">
        <v>NY</v>
      </c>
      <c r="C58" s="27" t="str">
        <f>Sites[[#This Row],[SOL'#]]</f>
        <v>SOL-10908</v>
      </c>
      <c r="D58" s="9">
        <v>126816</v>
      </c>
      <c r="E58" s="14">
        <v>236439.995</v>
      </c>
      <c r="F58" s="14">
        <f t="shared" si="0"/>
        <v>-109623.995</v>
      </c>
      <c r="G58" s="15">
        <f t="shared" si="1"/>
        <v>-0.46364404211732452</v>
      </c>
      <c r="H58" s="16">
        <v>221381.46</v>
      </c>
      <c r="I58" s="16">
        <f t="shared" si="2"/>
        <v>-94565.459999999992</v>
      </c>
      <c r="J58" s="15">
        <f t="shared" si="4"/>
        <v>-0.42716070261710259</v>
      </c>
      <c r="K58" s="182" t="s">
        <v>236</v>
      </c>
      <c r="L58" s="100" t="s">
        <v>237</v>
      </c>
    </row>
    <row r="59" spans="1:16" ht="71.25" customHeight="1">
      <c r="A59" s="24" t="str">
        <v>Kelly Bridge Farm</v>
      </c>
      <c r="B59" s="25" t="str">
        <v>NY</v>
      </c>
      <c r="C59" s="25" t="str">
        <f>Sites[[#This Row],[SOL'#]]</f>
        <v>SOL-10911</v>
      </c>
      <c r="D59" s="20">
        <v>129392</v>
      </c>
      <c r="E59" s="10">
        <v>222534.07699999999</v>
      </c>
      <c r="F59" s="10">
        <f t="shared" si="0"/>
        <v>-93142.07699999999</v>
      </c>
      <c r="G59" s="11">
        <f t="shared" si="1"/>
        <v>-0.41855197305354719</v>
      </c>
      <c r="H59" s="12">
        <v>209678.4</v>
      </c>
      <c r="I59" s="12">
        <f t="shared" si="2"/>
        <v>-80286.399999999994</v>
      </c>
      <c r="J59" s="13">
        <f t="shared" si="4"/>
        <v>-0.38290257842486397</v>
      </c>
      <c r="K59" s="47" t="s">
        <v>238</v>
      </c>
      <c r="L59" s="110" t="s">
        <v>239</v>
      </c>
      <c r="M59" s="103" t="s">
        <v>56</v>
      </c>
    </row>
    <row r="60" spans="1:16" ht="15.6">
      <c r="A60" s="26" t="str">
        <v>Pool Brook Road</v>
      </c>
      <c r="B60" s="27" t="str">
        <v>NY</v>
      </c>
      <c r="C60" s="27" t="str">
        <f>Sites[[#This Row],[SOL'#]]</f>
        <v>SOL-10909</v>
      </c>
      <c r="D60" s="9">
        <v>103676</v>
      </c>
      <c r="E60" s="14">
        <v>166624.15299999999</v>
      </c>
      <c r="F60" s="14">
        <f t="shared" si="0"/>
        <v>-62948.152999999991</v>
      </c>
      <c r="G60" s="15">
        <f t="shared" si="1"/>
        <v>-0.37778528422587088</v>
      </c>
      <c r="H60" s="16">
        <v>197019.95</v>
      </c>
      <c r="I60" s="16">
        <f t="shared" si="2"/>
        <v>-93343.950000000012</v>
      </c>
      <c r="J60" s="15">
        <f t="shared" si="4"/>
        <v>-0.47377917819997417</v>
      </c>
      <c r="K60" s="182" t="s">
        <v>240</v>
      </c>
      <c r="L60" s="113" t="s">
        <v>241</v>
      </c>
    </row>
    <row r="61" spans="1:16" ht="124.5" customHeight="1">
      <c r="A61" s="24" t="str">
        <v>Sackett Lake</v>
      </c>
      <c r="B61" s="25" t="str">
        <v>NY</v>
      </c>
      <c r="C61" s="25" t="str">
        <f>Sites[[#This Row],[SOL'#]]</f>
        <v>SOL-10910</v>
      </c>
      <c r="D61" s="20">
        <v>133417</v>
      </c>
      <c r="E61" s="10">
        <v>238769.59</v>
      </c>
      <c r="F61" s="10">
        <f t="shared" si="0"/>
        <v>-105352.59</v>
      </c>
      <c r="G61" s="11">
        <f t="shared" si="1"/>
        <v>-0.44123118861158156</v>
      </c>
      <c r="H61" s="12">
        <v>223751.3</v>
      </c>
      <c r="I61" s="12">
        <f t="shared" si="2"/>
        <v>-90334.299999999988</v>
      </c>
      <c r="J61" s="13">
        <f t="shared" si="4"/>
        <v>-0.40372636941103801</v>
      </c>
      <c r="K61" s="47" t="s">
        <v>242</v>
      </c>
      <c r="L61" s="110" t="s">
        <v>243</v>
      </c>
    </row>
    <row r="62" spans="1:16" ht="48" customHeight="1">
      <c r="A62" s="26" t="str">
        <v>Burritt Road</v>
      </c>
      <c r="B62" s="27" t="str">
        <v>NY</v>
      </c>
      <c r="C62" s="27" t="str">
        <f>Sites[[#This Row],[SOL'#]]</f>
        <v>SOL-10913</v>
      </c>
      <c r="D62" s="9">
        <v>70080</v>
      </c>
      <c r="E62" s="14">
        <v>0</v>
      </c>
      <c r="F62" s="14">
        <f t="shared" si="0"/>
        <v>70080</v>
      </c>
      <c r="G62" s="15" t="str">
        <f t="shared" si="1"/>
        <v/>
      </c>
      <c r="H62" s="16">
        <v>176195.64</v>
      </c>
      <c r="I62" s="16">
        <f t="shared" si="2"/>
        <v>-106115.64000000001</v>
      </c>
      <c r="J62" s="15">
        <f t="shared" si="4"/>
        <v>-0.60226030564660971</v>
      </c>
      <c r="K62" s="50" t="s">
        <v>244</v>
      </c>
      <c r="L62" s="100" t="s">
        <v>60</v>
      </c>
    </row>
    <row r="63" spans="1:16" ht="205.5" customHeight="1">
      <c r="A63" s="24" t="str">
        <v>Villa Roma 1</v>
      </c>
      <c r="B63" s="25" t="str">
        <v>NY</v>
      </c>
      <c r="C63" s="25" t="str">
        <f>Sites[[#This Row],[SOL'#]]</f>
        <v>SOL-10914</v>
      </c>
      <c r="D63" s="20">
        <v>108474</v>
      </c>
      <c r="E63" s="10">
        <v>143425.427</v>
      </c>
      <c r="F63" s="10">
        <f t="shared" si="0"/>
        <v>-34951.426999999996</v>
      </c>
      <c r="G63" s="11">
        <f t="shared" si="1"/>
        <v>-0.24369059051154157</v>
      </c>
      <c r="H63" s="12">
        <v>154660.6</v>
      </c>
      <c r="I63" s="12">
        <f t="shared" si="2"/>
        <v>-46186.600000000006</v>
      </c>
      <c r="J63" s="13">
        <f t="shared" si="4"/>
        <v>-0.29863197220235799</v>
      </c>
      <c r="K63" s="47" t="s">
        <v>245</v>
      </c>
      <c r="L63" s="110" t="s">
        <v>246</v>
      </c>
      <c r="M63" s="103" t="s">
        <v>247</v>
      </c>
      <c r="N63" s="103" t="s">
        <v>248</v>
      </c>
      <c r="O63" s="103" t="s">
        <v>249</v>
      </c>
      <c r="P63" s="112" t="s">
        <v>250</v>
      </c>
    </row>
    <row r="64" spans="1:16" ht="33" customHeight="1">
      <c r="A64" s="26" t="str">
        <v>Villa Roma 2</v>
      </c>
      <c r="B64" s="27" t="str">
        <v>NY</v>
      </c>
      <c r="C64" s="27" t="str">
        <f>Sites[[#This Row],[SOL'#]]</f>
        <v>SOL-10915</v>
      </c>
      <c r="D64" s="9">
        <v>116176</v>
      </c>
      <c r="E64" s="14">
        <v>202602.86199999999</v>
      </c>
      <c r="F64" s="14">
        <f t="shared" si="0"/>
        <v>-86426.861999999994</v>
      </c>
      <c r="G64" s="15">
        <f t="shared" si="1"/>
        <v>-0.42658263139441732</v>
      </c>
      <c r="H64" s="16">
        <v>149735.1</v>
      </c>
      <c r="I64" s="16">
        <f t="shared" si="2"/>
        <v>-33559.100000000006</v>
      </c>
      <c r="J64" s="15">
        <f t="shared" si="4"/>
        <v>-0.2241231347893714</v>
      </c>
      <c r="K64" s="182" t="s">
        <v>84</v>
      </c>
      <c r="L64" s="181"/>
    </row>
    <row r="65" spans="1:17" ht="98.25" customHeight="1">
      <c r="A65" s="24" t="str">
        <v>Washington 1</v>
      </c>
      <c r="B65" s="25" t="str">
        <v>NY</v>
      </c>
      <c r="C65" s="25" t="str">
        <f>Sites[[#This Row],[SOL'#]]</f>
        <v>SOL-10912</v>
      </c>
      <c r="D65" s="20">
        <v>91690</v>
      </c>
      <c r="E65" s="10">
        <v>180993.09899999999</v>
      </c>
      <c r="F65" s="10">
        <f t="shared" ref="F65:F103" si="5">IF(AND(ISNUMBER(D65),ISNUMBER(E65)), D65-E65, "")</f>
        <v>-89303.098999999987</v>
      </c>
      <c r="G65" s="11">
        <f t="shared" ref="G65:G103" si="6">IFERROR(F65/E65, "")</f>
        <v>-0.49340609942260832</v>
      </c>
      <c r="H65" s="12">
        <v>174362.65</v>
      </c>
      <c r="I65" s="12">
        <f t="shared" ref="I65:I95" si="7">IF(AND(ISNUMBER(D65),ISNUMBER(H65)), D65-H65, "")</f>
        <v>-82672.649999999994</v>
      </c>
      <c r="J65" s="13">
        <f t="shared" ref="J65:J103" si="8">IFERROR(I65/H65, "")</f>
        <v>-0.47414196790425012</v>
      </c>
      <c r="K65" s="47" t="s">
        <v>251</v>
      </c>
      <c r="L65" s="110" t="s">
        <v>252</v>
      </c>
      <c r="M65" s="103" t="s">
        <v>253</v>
      </c>
    </row>
    <row r="66" spans="1:17" ht="125.25" customHeight="1">
      <c r="A66" s="26" t="str">
        <v>Washington 3</v>
      </c>
      <c r="B66" s="27" t="str">
        <v>NY</v>
      </c>
      <c r="C66" s="27" t="str">
        <f>Sites[[#This Row],[SOL'#]]</f>
        <v>SOL-10828</v>
      </c>
      <c r="D66" s="9">
        <v>114033</v>
      </c>
      <c r="E66" s="14">
        <v>0</v>
      </c>
      <c r="F66" s="14">
        <f t="shared" si="5"/>
        <v>114033</v>
      </c>
      <c r="G66" s="15" t="str">
        <f t="shared" si="6"/>
        <v/>
      </c>
      <c r="H66" s="16">
        <v>213534.97</v>
      </c>
      <c r="I66" s="16">
        <f t="shared" si="7"/>
        <v>-99501.97</v>
      </c>
      <c r="J66" s="15">
        <f t="shared" si="8"/>
        <v>-0.46597505785586313</v>
      </c>
      <c r="K66" s="182" t="s">
        <v>254</v>
      </c>
      <c r="L66" s="100" t="s">
        <v>255</v>
      </c>
      <c r="M66" s="103" t="s">
        <v>73</v>
      </c>
      <c r="N66" s="103" t="s">
        <v>256</v>
      </c>
    </row>
    <row r="67" spans="1:17" ht="195.75" customHeight="1">
      <c r="A67" s="24" t="str">
        <v>Washington 4</v>
      </c>
      <c r="B67" s="25" t="str">
        <v>NY</v>
      </c>
      <c r="C67" s="25" t="str">
        <f>Sites[[#This Row],[SOL'#]]</f>
        <v>SOL-10829</v>
      </c>
      <c r="D67" s="20">
        <v>72393</v>
      </c>
      <c r="E67" s="10">
        <v>214328.826</v>
      </c>
      <c r="F67" s="10">
        <f t="shared" si="5"/>
        <v>-141935.826</v>
      </c>
      <c r="G67" s="11">
        <f t="shared" si="6"/>
        <v>-0.66223395447516709</v>
      </c>
      <c r="H67" s="12">
        <v>213201.1</v>
      </c>
      <c r="I67" s="12">
        <f t="shared" si="7"/>
        <v>-140808.1</v>
      </c>
      <c r="J67" s="13">
        <f t="shared" si="8"/>
        <v>-0.66044734290770546</v>
      </c>
      <c r="K67" s="47" t="s">
        <v>257</v>
      </c>
      <c r="L67" s="110" t="s">
        <v>258</v>
      </c>
      <c r="M67" s="103" t="s">
        <v>259</v>
      </c>
      <c r="N67" s="103" t="s">
        <v>260</v>
      </c>
      <c r="O67" s="103" t="s">
        <v>261</v>
      </c>
      <c r="P67" s="115" t="s">
        <v>262</v>
      </c>
      <c r="Q67" s="112" t="s">
        <v>263</v>
      </c>
    </row>
    <row r="68" spans="1:17" ht="15.6">
      <c r="A68" s="26" t="str">
        <v>Big Tree</v>
      </c>
      <c r="B68" s="27" t="str">
        <v>NY</v>
      </c>
      <c r="C68" s="27" t="str">
        <f>Sites[[#This Row],[SOL'#]]</f>
        <v>SOL-10966</v>
      </c>
      <c r="D68" s="9">
        <v>72637</v>
      </c>
      <c r="E68" s="14">
        <v>0</v>
      </c>
      <c r="F68" s="14">
        <f t="shared" si="5"/>
        <v>72637</v>
      </c>
      <c r="G68" s="15" t="str">
        <f t="shared" si="6"/>
        <v/>
      </c>
      <c r="H68" s="16">
        <v>174248.8</v>
      </c>
      <c r="I68" s="16">
        <f t="shared" si="7"/>
        <v>-101611.79999999999</v>
      </c>
      <c r="J68" s="15">
        <f t="shared" si="8"/>
        <v>-0.58314203598532666</v>
      </c>
      <c r="K68" s="182" t="s">
        <v>84</v>
      </c>
      <c r="L68" s="182"/>
    </row>
    <row r="69" spans="1:17" ht="115.15">
      <c r="A69" s="24" t="str">
        <v>Canoga</v>
      </c>
      <c r="B69" s="25" t="str">
        <v>NY</v>
      </c>
      <c r="C69" s="25" t="str">
        <f>Sites[[#This Row],[SOL'#]]</f>
        <v>SOL-10965</v>
      </c>
      <c r="D69" s="20">
        <v>371320</v>
      </c>
      <c r="E69" s="10">
        <v>0</v>
      </c>
      <c r="F69" s="10">
        <f t="shared" si="5"/>
        <v>371320</v>
      </c>
      <c r="G69" s="11" t="str">
        <f t="shared" si="6"/>
        <v/>
      </c>
      <c r="H69" s="12">
        <v>542311.13</v>
      </c>
      <c r="I69" s="12">
        <f t="shared" si="7"/>
        <v>-170991.13</v>
      </c>
      <c r="J69" s="13">
        <f t="shared" si="8"/>
        <v>-0.31530079421383073</v>
      </c>
      <c r="K69" s="47" t="s">
        <v>264</v>
      </c>
      <c r="L69" s="99" t="s">
        <v>265</v>
      </c>
      <c r="M69" s="103" t="s">
        <v>77</v>
      </c>
      <c r="N69" s="103" t="s">
        <v>266</v>
      </c>
    </row>
    <row r="70" spans="1:17" ht="41.25" customHeight="1">
      <c r="A70" s="26" t="str">
        <v>County Route 84</v>
      </c>
      <c r="B70" s="27" t="str">
        <v>NY</v>
      </c>
      <c r="C70" s="27" t="str">
        <f>Sites[[#This Row],[SOL'#]]</f>
        <v>SOL-10967</v>
      </c>
      <c r="D70" s="9">
        <v>490380</v>
      </c>
      <c r="E70" s="14">
        <v>0</v>
      </c>
      <c r="F70" s="14">
        <f t="shared" si="5"/>
        <v>490380</v>
      </c>
      <c r="G70" s="15" t="str">
        <f t="shared" si="6"/>
        <v/>
      </c>
      <c r="H70" s="16">
        <v>565014.13</v>
      </c>
      <c r="I70" s="16">
        <f t="shared" si="7"/>
        <v>-74634.13</v>
      </c>
      <c r="J70" s="15">
        <f t="shared" si="8"/>
        <v>-0.13209250182822863</v>
      </c>
      <c r="K70" s="182" t="s">
        <v>267</v>
      </c>
      <c r="L70" s="100" t="s">
        <v>268</v>
      </c>
    </row>
    <row r="71" spans="1:17" ht="93" customHeight="1">
      <c r="A71" s="24" t="str">
        <v>Donati</v>
      </c>
      <c r="B71" s="25" t="str">
        <v>NY</v>
      </c>
      <c r="C71" s="25" t="str">
        <f>Sites[[#This Row],[SOL'#]]</f>
        <v>SOL-10968</v>
      </c>
      <c r="D71" s="20">
        <v>145850</v>
      </c>
      <c r="E71" s="10">
        <v>0</v>
      </c>
      <c r="F71" s="10">
        <f t="shared" si="5"/>
        <v>145850</v>
      </c>
      <c r="G71" s="11" t="str">
        <f t="shared" si="6"/>
        <v/>
      </c>
      <c r="H71" s="12">
        <v>242335.08</v>
      </c>
      <c r="I71" s="12">
        <f t="shared" si="7"/>
        <v>-96485.079999999987</v>
      </c>
      <c r="J71" s="13">
        <f t="shared" si="8"/>
        <v>-0.39814739161990081</v>
      </c>
      <c r="K71" s="47" t="s">
        <v>269</v>
      </c>
      <c r="L71" s="99" t="s">
        <v>270</v>
      </c>
      <c r="M71" s="103" t="s">
        <v>271</v>
      </c>
      <c r="N71" s="103" t="s">
        <v>83</v>
      </c>
    </row>
    <row r="72" spans="1:17" ht="51.75" customHeight="1">
      <c r="A72" s="26" t="str">
        <v>Henrietta</v>
      </c>
      <c r="B72" s="27" t="str">
        <v>NY</v>
      </c>
      <c r="C72" s="27" t="str">
        <f>Sites[[#This Row],[SOL'#]]</f>
        <v>SOL-10972</v>
      </c>
      <c r="D72" s="9">
        <v>284330</v>
      </c>
      <c r="E72" s="14">
        <v>0</v>
      </c>
      <c r="F72" s="14">
        <f t="shared" si="5"/>
        <v>284330</v>
      </c>
      <c r="G72" s="15" t="str">
        <f t="shared" si="6"/>
        <v/>
      </c>
      <c r="H72" s="16">
        <v>435403</v>
      </c>
      <c r="I72" s="16">
        <f t="shared" si="7"/>
        <v>-151073</v>
      </c>
      <c r="J72" s="15">
        <f t="shared" si="8"/>
        <v>-0.34697280450525148</v>
      </c>
      <c r="K72" s="182" t="s">
        <v>272</v>
      </c>
      <c r="L72" s="100" t="s">
        <v>273</v>
      </c>
    </row>
    <row r="73" spans="1:17" ht="111" customHeight="1">
      <c r="A73" s="24" t="str">
        <v>NY 70</v>
      </c>
      <c r="B73" s="25" t="str">
        <v>NY</v>
      </c>
      <c r="C73" s="25" t="str">
        <f>Sites[[#This Row],[SOL'#]]</f>
        <v>SOL-10970</v>
      </c>
      <c r="D73" s="20">
        <v>381710</v>
      </c>
      <c r="E73" s="10">
        <v>0</v>
      </c>
      <c r="F73" s="10">
        <f t="shared" si="5"/>
        <v>381710</v>
      </c>
      <c r="G73" s="11" t="str">
        <f t="shared" si="6"/>
        <v/>
      </c>
      <c r="H73" s="12">
        <v>546198.4</v>
      </c>
      <c r="I73" s="12">
        <f t="shared" si="7"/>
        <v>-164488.40000000002</v>
      </c>
      <c r="J73" s="13">
        <f t="shared" si="8"/>
        <v>-0.30115137649615964</v>
      </c>
      <c r="K73" s="47" t="s">
        <v>274</v>
      </c>
      <c r="L73" s="99" t="s">
        <v>275</v>
      </c>
      <c r="M73" s="103" t="s">
        <v>276</v>
      </c>
      <c r="N73" s="103" t="s">
        <v>277</v>
      </c>
      <c r="O73" s="103" t="s">
        <v>278</v>
      </c>
      <c r="P73" s="112" t="s">
        <v>279</v>
      </c>
    </row>
    <row r="74" spans="1:17" ht="43.15">
      <c r="A74" s="26" t="str">
        <v>Reid</v>
      </c>
      <c r="B74" s="27" t="str">
        <v>NY</v>
      </c>
      <c r="C74" s="27" t="str">
        <f>Sites[[#This Row],[SOL'#]]</f>
        <v>SOL-10991</v>
      </c>
      <c r="D74" s="9">
        <v>100770.98203980199</v>
      </c>
      <c r="E74" s="14">
        <v>356493.2</v>
      </c>
      <c r="F74" s="14">
        <f t="shared" si="5"/>
        <v>-255722.217960198</v>
      </c>
      <c r="G74" s="15">
        <f t="shared" si="6"/>
        <v>-0.71732705689813436</v>
      </c>
      <c r="H74" s="16">
        <v>430708</v>
      </c>
      <c r="I74" s="16">
        <f t="shared" si="7"/>
        <v>-329937.01796019799</v>
      </c>
      <c r="J74" s="15">
        <f t="shared" si="8"/>
        <v>-0.76603410654131798</v>
      </c>
      <c r="K74" s="182" t="s">
        <v>280</v>
      </c>
      <c r="L74" s="100" t="s">
        <v>281</v>
      </c>
      <c r="M74" s="103" t="s">
        <v>282</v>
      </c>
    </row>
    <row r="75" spans="1:17" ht="100.5" customHeight="1">
      <c r="A75" s="24" t="str">
        <v>Sangolqui</v>
      </c>
      <c r="B75" s="25" t="str">
        <v>NY</v>
      </c>
      <c r="C75" s="25" t="str">
        <f>Sites[[#This Row],[SOL'#]]</f>
        <v>SOL-10975</v>
      </c>
      <c r="D75" s="20">
        <v>149355</v>
      </c>
      <c r="E75" s="10">
        <v>0</v>
      </c>
      <c r="F75" s="10">
        <f t="shared" si="5"/>
        <v>149355</v>
      </c>
      <c r="G75" s="11" t="str">
        <f t="shared" si="6"/>
        <v/>
      </c>
      <c r="H75" s="12">
        <v>234644.93</v>
      </c>
      <c r="I75" s="12">
        <f t="shared" si="7"/>
        <v>-85289.93</v>
      </c>
      <c r="J75" s="13">
        <f t="shared" si="8"/>
        <v>-0.36348507508770805</v>
      </c>
      <c r="K75" s="47" t="s">
        <v>283</v>
      </c>
      <c r="L75" s="110" t="s">
        <v>284</v>
      </c>
      <c r="M75" s="103" t="s">
        <v>285</v>
      </c>
      <c r="N75" s="103" t="s">
        <v>286</v>
      </c>
    </row>
    <row r="76" spans="1:17" ht="43.15">
      <c r="A76" s="26" t="str">
        <v>State Highway 17B</v>
      </c>
      <c r="B76" s="27" t="str">
        <v>NY</v>
      </c>
      <c r="C76" s="27" t="str">
        <f>Sites[[#This Row],[SOL'#]]</f>
        <v>SOL-10988</v>
      </c>
      <c r="D76" s="9">
        <v>360290</v>
      </c>
      <c r="E76" s="14">
        <v>0</v>
      </c>
      <c r="F76" s="14">
        <f t="shared" si="5"/>
        <v>360290</v>
      </c>
      <c r="G76" s="15" t="str">
        <f t="shared" si="6"/>
        <v/>
      </c>
      <c r="H76" s="16">
        <v>472300.06</v>
      </c>
      <c r="I76" s="16">
        <f t="shared" si="7"/>
        <v>-112010.06</v>
      </c>
      <c r="J76" s="15">
        <f t="shared" si="8"/>
        <v>-0.23715868255447606</v>
      </c>
      <c r="K76" s="182" t="s">
        <v>287</v>
      </c>
      <c r="L76" s="100" t="s">
        <v>288</v>
      </c>
    </row>
    <row r="77" spans="1:17" ht="28.9">
      <c r="A77" s="24" t="str">
        <v>State Route 14A</v>
      </c>
      <c r="B77" s="25" t="str">
        <v>NY</v>
      </c>
      <c r="C77" s="25" t="str">
        <f>Sites[[#This Row],[SOL'#]]</f>
        <v>SOL-10997</v>
      </c>
      <c r="D77" s="20">
        <v>403215</v>
      </c>
      <c r="E77" s="10">
        <v>0</v>
      </c>
      <c r="F77" s="10">
        <f t="shared" si="5"/>
        <v>403215</v>
      </c>
      <c r="G77" s="11" t="str">
        <f t="shared" si="6"/>
        <v/>
      </c>
      <c r="H77" s="12">
        <v>539717.54</v>
      </c>
      <c r="I77" s="12">
        <f t="shared" si="7"/>
        <v>-136502.54000000004</v>
      </c>
      <c r="J77" s="13">
        <f t="shared" si="8"/>
        <v>-0.25291477464304762</v>
      </c>
      <c r="K77" s="47" t="s">
        <v>289</v>
      </c>
      <c r="L77" s="110" t="s">
        <v>290</v>
      </c>
    </row>
    <row r="78" spans="1:17" ht="15.6">
      <c r="A78" s="26" t="str">
        <v>West Creek</v>
      </c>
      <c r="B78" s="27" t="str">
        <v>NY</v>
      </c>
      <c r="C78" s="27" t="str">
        <f>Sites[[#This Row],[SOL'#]]</f>
        <v>SOL-10995</v>
      </c>
      <c r="D78" s="9">
        <v>448900</v>
      </c>
      <c r="E78" s="14">
        <v>0</v>
      </c>
      <c r="F78" s="14">
        <f t="shared" si="5"/>
        <v>448900</v>
      </c>
      <c r="G78" s="15" t="str">
        <f t="shared" si="6"/>
        <v/>
      </c>
      <c r="H78" s="16">
        <v>504797.7</v>
      </c>
      <c r="I78" s="16">
        <f t="shared" si="7"/>
        <v>-55897.700000000012</v>
      </c>
      <c r="J78" s="15">
        <f t="shared" si="8"/>
        <v>-0.11073287378290354</v>
      </c>
      <c r="K78" s="182" t="s">
        <v>84</v>
      </c>
      <c r="L78" s="182"/>
    </row>
    <row r="79" spans="1:17" ht="187.15">
      <c r="A79" s="24" t="str">
        <v>Wildflower</v>
      </c>
      <c r="B79" s="25" t="str">
        <v>NY</v>
      </c>
      <c r="C79" s="25" t="str">
        <f>Sites[[#This Row],[SOL'#]]</f>
        <v>SOL-10982</v>
      </c>
      <c r="D79" s="20">
        <v>369846.5</v>
      </c>
      <c r="E79" s="10">
        <v>0</v>
      </c>
      <c r="F79" s="10">
        <f t="shared" si="5"/>
        <v>369846.5</v>
      </c>
      <c r="G79" s="11" t="str">
        <f t="shared" si="6"/>
        <v/>
      </c>
      <c r="H79" s="12">
        <v>608235.16</v>
      </c>
      <c r="I79" s="12">
        <f t="shared" si="7"/>
        <v>-238388.66000000003</v>
      </c>
      <c r="J79" s="13">
        <f t="shared" si="8"/>
        <v>-0.39193502065878599</v>
      </c>
      <c r="K79" s="47" t="s">
        <v>291</v>
      </c>
      <c r="L79" s="110" t="s">
        <v>292</v>
      </c>
      <c r="M79" s="103" t="s">
        <v>98</v>
      </c>
      <c r="N79" s="103" t="s">
        <v>293</v>
      </c>
    </row>
    <row r="80" spans="1:17" ht="15.6">
      <c r="A80" s="26" t="str">
        <v>Glen Mary 1</v>
      </c>
      <c r="B80" s="27" t="str">
        <v>NY</v>
      </c>
      <c r="C80" s="27" t="str">
        <f>Sites[[#This Row],[SOL'#]]</f>
        <v>SOL-10993</v>
      </c>
      <c r="D80" s="9">
        <v>474210</v>
      </c>
      <c r="E80" s="14">
        <v>0</v>
      </c>
      <c r="F80" s="14">
        <f t="shared" si="5"/>
        <v>474210</v>
      </c>
      <c r="G80" s="15" t="str">
        <f t="shared" si="6"/>
        <v/>
      </c>
      <c r="H80" s="16">
        <v>580930</v>
      </c>
      <c r="I80" s="16">
        <f t="shared" si="7"/>
        <v>-106720</v>
      </c>
      <c r="J80" s="15">
        <f t="shared" si="8"/>
        <v>-0.18370543783244109</v>
      </c>
      <c r="K80" s="106" t="s">
        <v>84</v>
      </c>
      <c r="L80" s="181"/>
    </row>
    <row r="81" spans="1:14" ht="43.15">
      <c r="A81" s="24" t="str">
        <v>Glen Mary 2</v>
      </c>
      <c r="B81" s="25" t="str">
        <v>NY</v>
      </c>
      <c r="C81" s="25" t="str">
        <f>Sites[[#This Row],[SOL'#]]</f>
        <v>SOL-10994</v>
      </c>
      <c r="D81" s="20">
        <v>15960</v>
      </c>
      <c r="E81" s="10">
        <v>0</v>
      </c>
      <c r="F81" s="10">
        <f t="shared" si="5"/>
        <v>15960</v>
      </c>
      <c r="G81" s="11" t="str">
        <f t="shared" si="6"/>
        <v/>
      </c>
      <c r="H81" s="12">
        <v>242369.3</v>
      </c>
      <c r="I81" s="12">
        <f t="shared" si="7"/>
        <v>-226409.3</v>
      </c>
      <c r="J81" s="13">
        <f t="shared" si="8"/>
        <v>-0.93415007593783539</v>
      </c>
      <c r="K81" s="47" t="s">
        <v>294</v>
      </c>
      <c r="L81" s="110" t="s">
        <v>101</v>
      </c>
    </row>
    <row r="82" spans="1:14" ht="28.9">
      <c r="A82" s="26" t="str">
        <v>Telegraph 1</v>
      </c>
      <c r="B82" s="27" t="str">
        <v>NY</v>
      </c>
      <c r="C82" s="27" t="str">
        <f>Sites[[#This Row],[SOL'#]]</f>
        <v>SOL-11003</v>
      </c>
      <c r="D82" s="9">
        <v>205099</v>
      </c>
      <c r="E82" s="14">
        <v>0</v>
      </c>
      <c r="F82" s="14">
        <f t="shared" si="5"/>
        <v>205099</v>
      </c>
      <c r="G82" s="15" t="str">
        <f t="shared" si="6"/>
        <v/>
      </c>
      <c r="H82" s="16">
        <v>385388.91</v>
      </c>
      <c r="I82" s="16">
        <f t="shared" si="7"/>
        <v>-180289.90999999997</v>
      </c>
      <c r="J82" s="15">
        <f t="shared" si="8"/>
        <v>-0.46781291656783791</v>
      </c>
      <c r="K82" s="182" t="s">
        <v>295</v>
      </c>
      <c r="L82" s="113" t="s">
        <v>296</v>
      </c>
    </row>
    <row r="83" spans="1:14" ht="28.9">
      <c r="A83" s="24" t="str">
        <v>Telegraph 2</v>
      </c>
      <c r="B83" s="25" t="str">
        <v>NY</v>
      </c>
      <c r="C83" s="25" t="str">
        <f>Sites[[#This Row],[SOL'#]]</f>
        <v>SOL-11004</v>
      </c>
      <c r="D83" s="20">
        <v>117513</v>
      </c>
      <c r="E83" s="10">
        <v>0</v>
      </c>
      <c r="F83" s="10">
        <f t="shared" si="5"/>
        <v>117513</v>
      </c>
      <c r="G83" s="11" t="str">
        <f t="shared" si="6"/>
        <v/>
      </c>
      <c r="H83" s="12">
        <v>199344.36</v>
      </c>
      <c r="I83" s="12">
        <f t="shared" si="7"/>
        <v>-81831.359999999986</v>
      </c>
      <c r="J83" s="13">
        <f t="shared" si="8"/>
        <v>-0.41050250932607268</v>
      </c>
      <c r="K83" s="47" t="s">
        <v>297</v>
      </c>
      <c r="L83" s="110" t="s">
        <v>298</v>
      </c>
      <c r="M83" s="119"/>
    </row>
    <row r="84" spans="1:14" ht="15.6">
      <c r="A84" s="26" t="str">
        <v>Cafferty Hill</v>
      </c>
      <c r="B84" s="27" t="str">
        <v>NY</v>
      </c>
      <c r="C84" s="27" t="str">
        <f>Sites[[#This Row],[SOL'#]]</f>
        <v>SOL-10996</v>
      </c>
      <c r="D84" s="9">
        <v>430610</v>
      </c>
      <c r="E84" s="14">
        <v>0</v>
      </c>
      <c r="F84" s="14">
        <f t="shared" si="5"/>
        <v>430610</v>
      </c>
      <c r="G84" s="15" t="str">
        <f t="shared" si="6"/>
        <v/>
      </c>
      <c r="H84" s="16">
        <v>487273.3</v>
      </c>
      <c r="I84" s="16">
        <f t="shared" si="7"/>
        <v>-56663.299999999988</v>
      </c>
      <c r="J84" s="15">
        <f t="shared" si="8"/>
        <v>-0.11628648645431627</v>
      </c>
      <c r="K84" s="182" t="s">
        <v>299</v>
      </c>
      <c r="L84" s="181"/>
    </row>
    <row r="85" spans="1:14" ht="75.75" customHeight="1">
      <c r="A85" s="24" t="str">
        <v>Dunkleman</v>
      </c>
      <c r="B85" s="25" t="str">
        <v>NY</v>
      </c>
      <c r="C85" s="25" t="str">
        <f>Sites[[#This Row],[SOL'#]]</f>
        <v>SOL-11008</v>
      </c>
      <c r="D85" s="20">
        <v>357280</v>
      </c>
      <c r="E85" s="10">
        <v>0</v>
      </c>
      <c r="F85" s="10">
        <f t="shared" si="5"/>
        <v>357280</v>
      </c>
      <c r="G85" s="11" t="str">
        <f t="shared" si="6"/>
        <v/>
      </c>
      <c r="H85" s="12">
        <v>577807.1</v>
      </c>
      <c r="I85" s="12">
        <f t="shared" si="7"/>
        <v>-220527.09999999998</v>
      </c>
      <c r="J85" s="13">
        <f t="shared" si="8"/>
        <v>-0.38166214987666297</v>
      </c>
      <c r="K85" s="47" t="s">
        <v>300</v>
      </c>
      <c r="L85" s="110" t="s">
        <v>301</v>
      </c>
    </row>
    <row r="86" spans="1:14" ht="15.6">
      <c r="A86" s="26" t="str">
        <v>Route 19 1</v>
      </c>
      <c r="B86" s="27" t="str">
        <v>NY</v>
      </c>
      <c r="C86" s="27" t="str">
        <f>Sites[[#This Row],[SOL'#]]</f>
        <v>SOL-11001</v>
      </c>
      <c r="D86" s="9">
        <v>153320</v>
      </c>
      <c r="E86" s="14">
        <v>0</v>
      </c>
      <c r="F86" s="14">
        <f t="shared" si="5"/>
        <v>153320</v>
      </c>
      <c r="G86" s="15" t="str">
        <f t="shared" si="6"/>
        <v/>
      </c>
      <c r="H86" s="16">
        <v>230848.08</v>
      </c>
      <c r="I86" s="16">
        <f t="shared" si="7"/>
        <v>-77528.079999999987</v>
      </c>
      <c r="J86" s="15">
        <f t="shared" si="8"/>
        <v>-0.33584026343212381</v>
      </c>
      <c r="K86" s="182" t="s">
        <v>302</v>
      </c>
      <c r="L86" s="100" t="s">
        <v>303</v>
      </c>
    </row>
    <row r="87" spans="1:14" ht="43.15">
      <c r="A87" s="24" t="str">
        <v>Route 19 2</v>
      </c>
      <c r="B87" s="25" t="str">
        <v>NY</v>
      </c>
      <c r="C87" s="25" t="str">
        <f>Sites[[#This Row],[SOL'#]]</f>
        <v>SOL-11002</v>
      </c>
      <c r="D87" s="20">
        <v>399420</v>
      </c>
      <c r="E87" s="10">
        <v>0</v>
      </c>
      <c r="F87" s="10">
        <f t="shared" si="5"/>
        <v>399420</v>
      </c>
      <c r="G87" s="11" t="str">
        <f t="shared" si="6"/>
        <v/>
      </c>
      <c r="H87" s="12">
        <v>591330.4</v>
      </c>
      <c r="I87" s="12">
        <f t="shared" si="7"/>
        <v>-191910.40000000002</v>
      </c>
      <c r="J87" s="13">
        <f t="shared" si="8"/>
        <v>-0.32454005408820519</v>
      </c>
      <c r="K87" s="47" t="s">
        <v>304</v>
      </c>
      <c r="L87" s="110" t="s">
        <v>305</v>
      </c>
      <c r="M87" s="103" t="s">
        <v>120</v>
      </c>
    </row>
    <row r="88" spans="1:14" ht="43.5" customHeight="1">
      <c r="A88" s="26" t="str">
        <v>Yellow Mills 1</v>
      </c>
      <c r="B88" s="27" t="str">
        <v>NY</v>
      </c>
      <c r="C88" s="27" t="str">
        <f>Sites[[#This Row],[SOL'#]]</f>
        <v>SOL-11006</v>
      </c>
      <c r="D88" s="9">
        <v>0</v>
      </c>
      <c r="E88" s="14">
        <v>0</v>
      </c>
      <c r="F88" s="14">
        <f t="shared" si="5"/>
        <v>0</v>
      </c>
      <c r="G88" s="15" t="str">
        <f t="shared" si="6"/>
        <v/>
      </c>
      <c r="H88" s="16">
        <v>176276.8</v>
      </c>
      <c r="I88" s="16">
        <f t="shared" si="7"/>
        <v>-176276.8</v>
      </c>
      <c r="J88" s="15">
        <f t="shared" si="8"/>
        <v>-1</v>
      </c>
      <c r="K88" s="182" t="s">
        <v>306</v>
      </c>
      <c r="L88" s="100" t="s">
        <v>307</v>
      </c>
      <c r="M88" s="103" t="s">
        <v>123</v>
      </c>
    </row>
    <row r="89" spans="1:14" ht="22.5" customHeight="1">
      <c r="A89" s="24" t="str">
        <v>Yellow Mills 2</v>
      </c>
      <c r="B89" s="25" t="str">
        <v>NY</v>
      </c>
      <c r="C89" s="25" t="str">
        <f>Sites[[#This Row],[SOL'#]]</f>
        <v>SOL-11005</v>
      </c>
      <c r="D89" s="20">
        <v>95037</v>
      </c>
      <c r="E89" s="10">
        <v>0</v>
      </c>
      <c r="F89" s="10">
        <f t="shared" si="5"/>
        <v>95037</v>
      </c>
      <c r="G89" s="11" t="str">
        <f t="shared" si="6"/>
        <v/>
      </c>
      <c r="H89" s="12">
        <v>181688.5</v>
      </c>
      <c r="I89" s="12">
        <f t="shared" si="7"/>
        <v>-86651.5</v>
      </c>
      <c r="J89" s="13">
        <f t="shared" si="8"/>
        <v>-0.47692341562619539</v>
      </c>
      <c r="K89" s="47" t="s">
        <v>84</v>
      </c>
      <c r="L89" s="49"/>
    </row>
    <row r="90" spans="1:14" ht="39.75" customHeight="1">
      <c r="A90" s="26" t="str">
        <v>Yellow Mills 3</v>
      </c>
      <c r="B90" s="27" t="str">
        <v>NY</v>
      </c>
      <c r="C90" s="27" t="str">
        <f>Sites[[#This Row],[SOL'#]]</f>
        <v>SOL-11007</v>
      </c>
      <c r="D90" s="9">
        <v>57876</v>
      </c>
      <c r="E90" s="14">
        <v>0</v>
      </c>
      <c r="F90" s="14">
        <f t="shared" si="5"/>
        <v>57876</v>
      </c>
      <c r="G90" s="15" t="str">
        <f t="shared" si="6"/>
        <v/>
      </c>
      <c r="H90" s="16">
        <v>169042.26</v>
      </c>
      <c r="I90" s="16">
        <f t="shared" si="7"/>
        <v>-111166.26000000001</v>
      </c>
      <c r="J90" s="15">
        <f t="shared" si="8"/>
        <v>-0.65762407577844739</v>
      </c>
      <c r="K90" s="182" t="s">
        <v>308</v>
      </c>
      <c r="L90" s="100" t="s">
        <v>309</v>
      </c>
    </row>
    <row r="91" spans="1:14" ht="68.25" customHeight="1">
      <c r="A91" s="24" t="str">
        <v>Catskill</v>
      </c>
      <c r="B91" s="25" t="str">
        <v>NY</v>
      </c>
      <c r="C91" s="25" t="str">
        <f>Sites[[#This Row],[SOL'#]]</f>
        <v>SOL-11021</v>
      </c>
      <c r="D91" s="20">
        <v>321660</v>
      </c>
      <c r="E91" s="10">
        <v>0</v>
      </c>
      <c r="F91" s="10">
        <f t="shared" si="5"/>
        <v>321660</v>
      </c>
      <c r="G91" s="11" t="str">
        <f t="shared" si="6"/>
        <v/>
      </c>
      <c r="H91" s="12">
        <v>378964.03</v>
      </c>
      <c r="I91" s="12">
        <f t="shared" si="7"/>
        <v>-57304.030000000028</v>
      </c>
      <c r="J91" s="13">
        <f t="shared" si="8"/>
        <v>-0.15121231954388922</v>
      </c>
      <c r="K91" s="47" t="s">
        <v>310</v>
      </c>
      <c r="L91" s="110" t="s">
        <v>311</v>
      </c>
      <c r="M91" s="103" t="s">
        <v>312</v>
      </c>
    </row>
    <row r="92" spans="1:14" ht="15.6">
      <c r="A92" s="26" t="str">
        <v>Eddy Ridge</v>
      </c>
      <c r="B92" s="27" t="str">
        <v>NY</v>
      </c>
      <c r="C92" s="27" t="str">
        <f>Sites[[#This Row],[SOL'#]]</f>
        <v>SOL-11054</v>
      </c>
      <c r="D92" s="9">
        <v>161167.29999999999</v>
      </c>
      <c r="E92" s="14">
        <v>0</v>
      </c>
      <c r="F92" s="14">
        <f t="shared" si="5"/>
        <v>161167.29999999999</v>
      </c>
      <c r="G92" s="15" t="str">
        <f t="shared" si="6"/>
        <v/>
      </c>
      <c r="H92" s="16">
        <v>261685</v>
      </c>
      <c r="I92" s="16">
        <f t="shared" si="7"/>
        <v>-100517.70000000001</v>
      </c>
      <c r="J92" s="15">
        <f t="shared" si="8"/>
        <v>-0.38411716376559607</v>
      </c>
      <c r="K92" s="182" t="s">
        <v>84</v>
      </c>
      <c r="L92" s="181"/>
    </row>
    <row r="93" spans="1:14" ht="33" customHeight="1">
      <c r="A93" s="24" t="str">
        <v>Ridgeway #1</v>
      </c>
      <c r="B93" s="25" t="str">
        <v>NY</v>
      </c>
      <c r="C93" s="25" t="str">
        <f>Sites[[#This Row],[SOL'#]]</f>
        <v>SOL-11018</v>
      </c>
      <c r="D93" s="20">
        <v>355256</v>
      </c>
      <c r="E93" s="10">
        <v>0</v>
      </c>
      <c r="F93" s="10">
        <f t="shared" si="5"/>
        <v>355256</v>
      </c>
      <c r="G93" s="11" t="str">
        <f t="shared" si="6"/>
        <v/>
      </c>
      <c r="H93" s="12">
        <v>585713.19999999995</v>
      </c>
      <c r="I93" s="12">
        <f t="shared" si="7"/>
        <v>-230457.19999999995</v>
      </c>
      <c r="J93" s="13">
        <f t="shared" si="8"/>
        <v>-0.39346424154347209</v>
      </c>
      <c r="K93" s="49" t="s">
        <v>313</v>
      </c>
      <c r="L93" s="110" t="s">
        <v>314</v>
      </c>
    </row>
    <row r="94" spans="1:14" ht="23.25" customHeight="1">
      <c r="A94" s="26" t="str">
        <v>Rivard 1</v>
      </c>
      <c r="B94" s="27" t="str">
        <v>NY</v>
      </c>
      <c r="C94" s="27" t="str">
        <f>Sites[[#This Row],[SOL'#]]</f>
        <v>SOL-11011</v>
      </c>
      <c r="D94" s="9">
        <v>309993.42105263</v>
      </c>
      <c r="E94" s="14">
        <v>396616.5</v>
      </c>
      <c r="F94" s="14">
        <f t="shared" si="5"/>
        <v>-86623.078947369999</v>
      </c>
      <c r="G94" s="15">
        <f t="shared" si="6"/>
        <v>-0.21840513177684237</v>
      </c>
      <c r="H94" s="16">
        <v>398747.4</v>
      </c>
      <c r="I94" s="16">
        <f t="shared" si="7"/>
        <v>-88753.978947370022</v>
      </c>
      <c r="J94" s="15">
        <f t="shared" si="8"/>
        <v>-0.2225819627848859</v>
      </c>
      <c r="K94" s="182" t="s">
        <v>84</v>
      </c>
      <c r="L94" s="182"/>
    </row>
    <row r="95" spans="1:14" ht="84.75" customHeight="1">
      <c r="A95" s="24" t="str">
        <v>Rivard 2</v>
      </c>
      <c r="B95" s="25" t="str">
        <v>NY</v>
      </c>
      <c r="C95" s="25" t="str">
        <f>Sites[[#This Row],[SOL'#]]</f>
        <v>SOL-11012</v>
      </c>
      <c r="D95" s="20">
        <v>313341.18134714902</v>
      </c>
      <c r="E95" s="10">
        <v>304931.09999999998</v>
      </c>
      <c r="F95" s="10">
        <f t="shared" si="5"/>
        <v>8410.0813471490401</v>
      </c>
      <c r="G95" s="11">
        <f t="shared" si="6"/>
        <v>2.7580267631438841E-2</v>
      </c>
      <c r="H95" s="12">
        <v>381926.8</v>
      </c>
      <c r="I95" s="12">
        <f t="shared" si="7"/>
        <v>-68585.618652850972</v>
      </c>
      <c r="J95" s="13">
        <f t="shared" si="8"/>
        <v>-0.17957791559233596</v>
      </c>
      <c r="K95" s="47" t="s">
        <v>315</v>
      </c>
      <c r="L95" s="110" t="s">
        <v>316</v>
      </c>
    </row>
    <row r="96" spans="1:14" ht="57.6">
      <c r="A96" s="24" t="str">
        <v>Ridgeway #2</v>
      </c>
      <c r="B96" s="25" t="str">
        <v>NY</v>
      </c>
      <c r="C96" s="25" t="str">
        <f>Sites[[#This Row],[SOL'#]]</f>
        <v>SOL-11027</v>
      </c>
      <c r="D96" s="20">
        <v>178480</v>
      </c>
      <c r="E96" s="10">
        <v>0</v>
      </c>
      <c r="F96" s="10">
        <f t="shared" si="5"/>
        <v>178480</v>
      </c>
      <c r="G96" s="11" t="str">
        <f t="shared" si="6"/>
        <v/>
      </c>
      <c r="H96" s="12">
        <v>302945.3</v>
      </c>
      <c r="I96" s="12">
        <f t="shared" ref="I96:I127" si="9">IF(AND(ISNUMBER(D96),ISNUMBER(H96)), D96-H96, "")</f>
        <v>-124465.29999999999</v>
      </c>
      <c r="J96" s="13">
        <f t="shared" si="8"/>
        <v>-0.41085073774044356</v>
      </c>
      <c r="K96" s="47" t="s">
        <v>317</v>
      </c>
      <c r="L96" s="110" t="s">
        <v>318</v>
      </c>
      <c r="M96" s="103" t="s">
        <v>319</v>
      </c>
      <c r="N96" s="103" t="s">
        <v>320</v>
      </c>
    </row>
    <row r="97" spans="1:14" ht="43.15">
      <c r="A97" s="26" t="str">
        <v>Spencer</v>
      </c>
      <c r="B97" s="27" t="str">
        <v>NY</v>
      </c>
      <c r="C97" s="27" t="str">
        <f>Sites[[#This Row],[SOL'#]]</f>
        <v>SOL-11017</v>
      </c>
      <c r="D97" s="9">
        <v>506432</v>
      </c>
      <c r="E97" s="14">
        <v>0</v>
      </c>
      <c r="F97" s="14">
        <f t="shared" si="5"/>
        <v>506432</v>
      </c>
      <c r="G97" s="15" t="str">
        <f t="shared" si="6"/>
        <v/>
      </c>
      <c r="H97" s="16">
        <v>640780</v>
      </c>
      <c r="I97" s="16">
        <f t="shared" si="9"/>
        <v>-134348</v>
      </c>
      <c r="J97" s="15">
        <f t="shared" si="8"/>
        <v>-0.2096632229470333</v>
      </c>
      <c r="K97" s="182" t="s">
        <v>321</v>
      </c>
      <c r="L97" s="113" t="s">
        <v>322</v>
      </c>
      <c r="M97" s="103" t="s">
        <v>323</v>
      </c>
      <c r="N97" s="103" t="s">
        <v>324</v>
      </c>
    </row>
    <row r="98" spans="1:14" ht="15.6">
      <c r="A98" s="28" t="str">
        <v>Reisender</v>
      </c>
      <c r="B98" s="25" t="str">
        <v>NY</v>
      </c>
      <c r="C98" s="25" t="str">
        <f>Sites[[#This Row],[SOL'#]]</f>
        <v>SOL-10886</v>
      </c>
      <c r="D98" s="54">
        <v>164650</v>
      </c>
      <c r="E98" s="10">
        <v>227955.55900000001</v>
      </c>
      <c r="F98" s="10">
        <f t="shared" si="5"/>
        <v>-63305.559000000008</v>
      </c>
      <c r="G98" s="11">
        <f t="shared" si="6"/>
        <v>-0.27771009085152432</v>
      </c>
      <c r="H98" s="67">
        <v>200588.3</v>
      </c>
      <c r="I98" s="67">
        <f t="shared" si="9"/>
        <v>-35938.299999999988</v>
      </c>
      <c r="J98" s="13">
        <f t="shared" si="8"/>
        <v>-0.1791644876595494</v>
      </c>
      <c r="K98" s="56" t="s">
        <v>84</v>
      </c>
      <c r="L98" s="37"/>
    </row>
    <row r="99" spans="1:14" ht="15.6">
      <c r="A99" s="26" t="str">
        <v>Finney</v>
      </c>
      <c r="B99" s="27" t="str">
        <v>NY</v>
      </c>
      <c r="C99" s="27" t="str">
        <f>Sites[[#This Row],[SOL'#]]</f>
        <v>SOL-10999</v>
      </c>
      <c r="D99" s="66">
        <v>468670</v>
      </c>
      <c r="E99" s="14">
        <v>0</v>
      </c>
      <c r="F99" s="14">
        <f t="shared" si="5"/>
        <v>468670</v>
      </c>
      <c r="G99" s="15" t="str">
        <f t="shared" si="6"/>
        <v/>
      </c>
      <c r="H99" s="69">
        <v>630586.74</v>
      </c>
      <c r="I99" s="69">
        <f t="shared" si="9"/>
        <v>-161916.74</v>
      </c>
      <c r="J99" s="15">
        <f t="shared" si="8"/>
        <v>-0.25677155850121425</v>
      </c>
      <c r="K99" s="38" t="s">
        <v>84</v>
      </c>
      <c r="L99" s="17"/>
    </row>
    <row r="100" spans="1:14" ht="15.6">
      <c r="A100" s="24" t="str">
        <v>Davis Solar</v>
      </c>
      <c r="B100" s="25" t="str">
        <v>NY</v>
      </c>
      <c r="C100" s="25" t="str">
        <f>Sites[[#This Row],[SOL'#]]</f>
        <v>SOL-10958</v>
      </c>
      <c r="D100" s="20">
        <v>197368</v>
      </c>
      <c r="E100" s="10">
        <v>259655</v>
      </c>
      <c r="F100" s="10">
        <f t="shared" si="5"/>
        <v>-62287</v>
      </c>
      <c r="G100" s="11">
        <f t="shared" si="6"/>
        <v>-0.23988369182184052</v>
      </c>
      <c r="H100" s="12">
        <v>249300</v>
      </c>
      <c r="I100" s="12">
        <f t="shared" si="9"/>
        <v>-51932</v>
      </c>
      <c r="J100" s="13">
        <f t="shared" si="8"/>
        <v>-0.20831127156036902</v>
      </c>
      <c r="K100" s="47" t="s">
        <v>84</v>
      </c>
      <c r="L100" s="110"/>
      <c r="M100" s="103"/>
      <c r="N100" s="103"/>
    </row>
    <row r="101" spans="1:14" ht="15.6">
      <c r="A101" s="26" t="str">
        <v>Genesee</v>
      </c>
      <c r="B101" s="27" t="str">
        <v>NY</v>
      </c>
      <c r="C101" s="27" t="str">
        <f>Sites[[#This Row],[SOL'#]]</f>
        <v>SOL-10951</v>
      </c>
      <c r="D101" s="66">
        <v>203639.4</v>
      </c>
      <c r="E101" s="14">
        <v>0</v>
      </c>
      <c r="F101" s="14">
        <f t="shared" si="5"/>
        <v>203639.4</v>
      </c>
      <c r="G101" s="15" t="str">
        <f t="shared" si="6"/>
        <v/>
      </c>
      <c r="H101" s="69">
        <v>365270.6</v>
      </c>
      <c r="I101" s="69">
        <f t="shared" si="9"/>
        <v>-161631.19999999998</v>
      </c>
      <c r="J101" s="15">
        <f t="shared" si="8"/>
        <v>-0.4424971514269147</v>
      </c>
      <c r="K101" s="38" t="s">
        <v>325</v>
      </c>
      <c r="L101" s="115" t="s">
        <v>326</v>
      </c>
    </row>
    <row r="102" spans="1:14" ht="15.6">
      <c r="A102" s="24" t="str">
        <v>Landau I</v>
      </c>
      <c r="B102" s="25" t="str">
        <v>NY</v>
      </c>
      <c r="C102" s="25" t="str">
        <f>Sites[[#This Row],[SOL'#]]</f>
        <v>SOL-10891</v>
      </c>
      <c r="D102" s="54">
        <v>210150</v>
      </c>
      <c r="E102" s="10">
        <v>0</v>
      </c>
      <c r="F102" s="10">
        <f t="shared" si="5"/>
        <v>210150</v>
      </c>
      <c r="G102" s="11" t="str">
        <f t="shared" si="6"/>
        <v/>
      </c>
      <c r="H102" s="67">
        <v>248827.5</v>
      </c>
      <c r="I102" s="67">
        <f t="shared" si="9"/>
        <v>-38677.5</v>
      </c>
      <c r="J102" s="13">
        <f t="shared" si="8"/>
        <v>-0.15543900895198481</v>
      </c>
      <c r="K102" s="56"/>
      <c r="L102" s="37"/>
    </row>
    <row r="103" spans="1:14" ht="15.6">
      <c r="A103" s="26" t="str">
        <v>Landau II</v>
      </c>
      <c r="B103" s="27" t="str">
        <v>NY</v>
      </c>
      <c r="C103" s="27" t="str">
        <f>Sites[[#This Row],[SOL'#]]</f>
        <v>SOL-10895</v>
      </c>
      <c r="D103" s="66">
        <v>390900</v>
      </c>
      <c r="E103" s="14">
        <v>0</v>
      </c>
      <c r="F103" s="14">
        <f t="shared" si="5"/>
        <v>390900</v>
      </c>
      <c r="G103" s="15" t="str">
        <f t="shared" si="6"/>
        <v/>
      </c>
      <c r="H103" s="69">
        <v>529946.01</v>
      </c>
      <c r="I103" s="69">
        <f t="shared" si="9"/>
        <v>-139046.01</v>
      </c>
      <c r="J103" s="15">
        <f t="shared" si="8"/>
        <v>-0.26237769013488754</v>
      </c>
      <c r="K103" s="38" t="s">
        <v>84</v>
      </c>
      <c r="L103" s="17"/>
    </row>
    <row r="104" spans="1:14" ht="15.6">
      <c r="A104" s="24" t="str">
        <v>New Beginnings</v>
      </c>
      <c r="B104" s="25" t="str">
        <v>NY</v>
      </c>
      <c r="C104" s="25" t="str">
        <f>Sites[[#This Row],[SOL'#]]</f>
        <v>SOL-10890</v>
      </c>
      <c r="D104" s="54">
        <v>190730</v>
      </c>
      <c r="E104" s="10">
        <v>265677.15000000002</v>
      </c>
      <c r="F104" s="10">
        <f t="shared" ref="F104:F145" si="10">IF(AND(ISNUMBER(D104),ISNUMBER(E104)), D104-E104, "")</f>
        <v>-74947.150000000023</v>
      </c>
      <c r="G104" s="11">
        <f t="shared" ref="G104:G121" si="11">IFERROR(F104/E104, "")</f>
        <v>-0.28209859221991812</v>
      </c>
      <c r="H104" s="67">
        <v>247191.04000000001</v>
      </c>
      <c r="I104" s="67">
        <f t="shared" si="9"/>
        <v>-56461.040000000008</v>
      </c>
      <c r="J104" s="13">
        <f t="shared" ref="J104:J151" si="12">IFERROR(I104/H104, "")</f>
        <v>-0.22841054433040942</v>
      </c>
      <c r="K104" s="56" t="s">
        <v>84</v>
      </c>
      <c r="L104" s="37"/>
    </row>
    <row r="105" spans="1:14" ht="15.6">
      <c r="A105" s="26" t="str">
        <v>Bullitt Farm Solar, LLC</v>
      </c>
      <c r="B105" s="27" t="str">
        <v>NY</v>
      </c>
      <c r="C105" s="27" t="str">
        <f>Sites[[#This Row],[SOL'#]]</f>
        <v>SOL-10998</v>
      </c>
      <c r="D105" s="66">
        <v>239278</v>
      </c>
      <c r="E105" s="14">
        <v>412605.85</v>
      </c>
      <c r="F105" s="14">
        <f t="shared" si="10"/>
        <v>-173327.84999999998</v>
      </c>
      <c r="G105" s="15">
        <f t="shared" si="11"/>
        <v>-0.42008093195964136</v>
      </c>
      <c r="H105" s="69">
        <v>538628.5</v>
      </c>
      <c r="I105" s="69">
        <f t="shared" si="9"/>
        <v>-299350.5</v>
      </c>
      <c r="J105" s="15">
        <f t="shared" si="12"/>
        <v>-0.555764316221663</v>
      </c>
      <c r="K105" s="38" t="s">
        <v>84</v>
      </c>
      <c r="L105" s="17"/>
    </row>
    <row r="106" spans="1:14" ht="28.9">
      <c r="A106" s="24" t="str">
        <v>Brodhead Solar, LLC</v>
      </c>
      <c r="B106" s="25" t="str">
        <v>NY</v>
      </c>
      <c r="C106" s="25" t="str">
        <f>Sites[[#This Row],[SOL'#]]</f>
        <v>SOL-10899</v>
      </c>
      <c r="D106" s="54">
        <v>266505</v>
      </c>
      <c r="E106" s="10">
        <v>276256.89</v>
      </c>
      <c r="F106" s="10">
        <f t="shared" si="10"/>
        <v>-9751.890000000014</v>
      </c>
      <c r="G106" s="11">
        <f t="shared" si="11"/>
        <v>-3.530007885052211E-2</v>
      </c>
      <c r="H106" s="67">
        <v>258251.13</v>
      </c>
      <c r="I106" s="67">
        <f t="shared" si="9"/>
        <v>8253.8699999999953</v>
      </c>
      <c r="J106" s="13">
        <f t="shared" si="12"/>
        <v>3.1960634596255186E-2</v>
      </c>
      <c r="K106" s="56" t="s">
        <v>327</v>
      </c>
      <c r="L106" s="110" t="s">
        <v>328</v>
      </c>
      <c r="M106" s="103" t="s">
        <v>329</v>
      </c>
    </row>
    <row r="107" spans="1:14" ht="15.6">
      <c r="A107" s="26" t="str">
        <v>Svenski</v>
      </c>
      <c r="B107" s="27" t="str">
        <v>NY</v>
      </c>
      <c r="C107" s="27" t="str">
        <f>Sites[[#This Row],[SOL'#]]</f>
        <v>SOL-10894</v>
      </c>
      <c r="D107" s="66">
        <v>190306</v>
      </c>
      <c r="E107" s="14">
        <v>0</v>
      </c>
      <c r="F107" s="14">
        <f t="shared" si="10"/>
        <v>190306</v>
      </c>
      <c r="G107" s="15" t="str">
        <f t="shared" si="11"/>
        <v/>
      </c>
      <c r="H107" s="69">
        <v>239078.53</v>
      </c>
      <c r="I107" s="69">
        <f t="shared" si="9"/>
        <v>-48772.53</v>
      </c>
      <c r="J107" s="15">
        <f t="shared" si="12"/>
        <v>-0.20400213268836812</v>
      </c>
      <c r="K107" s="38" t="s">
        <v>84</v>
      </c>
      <c r="L107" s="17"/>
    </row>
    <row r="108" spans="1:14" ht="43.15">
      <c r="A108" s="24" t="str">
        <v>Bantam</v>
      </c>
      <c r="B108" s="25" t="str">
        <v>NY</v>
      </c>
      <c r="C108" s="25" t="str">
        <f>Sites[[#This Row],[SOL'#]]</f>
        <v>SOL-10986</v>
      </c>
      <c r="D108" s="54">
        <v>72770</v>
      </c>
      <c r="E108" s="10">
        <v>0</v>
      </c>
      <c r="F108" s="10">
        <f t="shared" si="10"/>
        <v>72770</v>
      </c>
      <c r="G108" s="11" t="str">
        <f t="shared" si="11"/>
        <v/>
      </c>
      <c r="H108" s="67">
        <v>574351.30000000005</v>
      </c>
      <c r="I108" s="67">
        <f t="shared" si="9"/>
        <v>-501581.30000000005</v>
      </c>
      <c r="J108" s="13">
        <f t="shared" si="12"/>
        <v>-0.87330053923443718</v>
      </c>
      <c r="K108" s="56" t="s">
        <v>330</v>
      </c>
      <c r="L108" s="110" t="s">
        <v>331</v>
      </c>
      <c r="M108" s="103" t="s">
        <v>332</v>
      </c>
    </row>
    <row r="109" spans="1:14" ht="15.6">
      <c r="A109" s="26" t="str">
        <v>Bogart</v>
      </c>
      <c r="B109" s="27" t="str">
        <v>NY</v>
      </c>
      <c r="C109" s="27" t="str">
        <f>Sites[[#This Row],[SOL'#]]</f>
        <v>SOL-10887</v>
      </c>
      <c r="D109" s="66">
        <v>212200</v>
      </c>
      <c r="E109" s="14">
        <v>234482.041</v>
      </c>
      <c r="F109" s="14">
        <f t="shared" si="10"/>
        <v>-22282.040999999997</v>
      </c>
      <c r="G109" s="15">
        <f t="shared" si="11"/>
        <v>-9.5026642146977897E-2</v>
      </c>
      <c r="H109" s="69">
        <v>227697.5</v>
      </c>
      <c r="I109" s="69">
        <f t="shared" si="9"/>
        <v>-15497.5</v>
      </c>
      <c r="J109" s="15">
        <f t="shared" si="12"/>
        <v>-6.8061792509799185E-2</v>
      </c>
      <c r="K109" s="38" t="s">
        <v>333</v>
      </c>
      <c r="L109" s="115" t="s">
        <v>159</v>
      </c>
    </row>
    <row r="110" spans="1:14" ht="28.9">
      <c r="A110" s="24" t="str">
        <v>Dubois</v>
      </c>
      <c r="B110" s="25" t="str">
        <v>NY</v>
      </c>
      <c r="C110" s="25" t="str">
        <f>Sites[[#This Row],[SOL'#]]</f>
        <v>SOL-10892</v>
      </c>
      <c r="D110" s="54">
        <v>180310</v>
      </c>
      <c r="E110" s="10">
        <v>0</v>
      </c>
      <c r="F110" s="10">
        <f t="shared" si="10"/>
        <v>180310</v>
      </c>
      <c r="G110" s="11" t="str">
        <f t="shared" si="11"/>
        <v/>
      </c>
      <c r="H110" s="67"/>
      <c r="I110" s="67" t="str">
        <f t="shared" si="9"/>
        <v/>
      </c>
      <c r="J110" s="13" t="str">
        <f t="shared" si="12"/>
        <v/>
      </c>
      <c r="K110" s="56" t="s">
        <v>334</v>
      </c>
      <c r="L110" s="110" t="s">
        <v>335</v>
      </c>
    </row>
    <row r="111" spans="1:14" ht="15.6">
      <c r="A111" s="26" t="str">
        <v>Salt Point</v>
      </c>
      <c r="B111" s="27" t="str">
        <v>NY</v>
      </c>
      <c r="C111" s="27" t="str">
        <f>Sites[[#This Row],[SOL'#]]</f>
        <v>SOL-10888</v>
      </c>
      <c r="D111" s="66">
        <v>218340</v>
      </c>
      <c r="E111" s="14">
        <v>0</v>
      </c>
      <c r="F111" s="14">
        <f t="shared" si="10"/>
        <v>218340</v>
      </c>
      <c r="G111" s="15" t="str">
        <f t="shared" si="11"/>
        <v/>
      </c>
      <c r="H111" s="69">
        <v>214083.4</v>
      </c>
      <c r="I111" s="69">
        <f t="shared" si="9"/>
        <v>4256.6000000000058</v>
      </c>
      <c r="J111" s="15">
        <f t="shared" si="12"/>
        <v>1.988290544712951E-2</v>
      </c>
      <c r="K111" s="182" t="s">
        <v>336</v>
      </c>
      <c r="L111" s="112" t="s">
        <v>337</v>
      </c>
    </row>
    <row r="112" spans="1:14" ht="40.5" customHeight="1">
      <c r="A112" s="24" t="str">
        <v>Wheatland 2A</v>
      </c>
      <c r="B112" s="25" t="str">
        <v>NY</v>
      </c>
      <c r="C112" s="25" t="str">
        <f>Sites[[#This Row],[SOL'#]]</f>
        <v>SOL-10971</v>
      </c>
      <c r="D112" s="54">
        <v>318700</v>
      </c>
      <c r="E112" s="10">
        <v>0</v>
      </c>
      <c r="F112" s="10">
        <f t="shared" si="10"/>
        <v>318700</v>
      </c>
      <c r="G112" s="11" t="str">
        <f t="shared" si="11"/>
        <v/>
      </c>
      <c r="H112" s="67">
        <v>408837.7</v>
      </c>
      <c r="I112" s="67">
        <f t="shared" si="9"/>
        <v>-90137.700000000012</v>
      </c>
      <c r="J112" s="13">
        <f t="shared" si="12"/>
        <v>-0.22047306302721106</v>
      </c>
      <c r="K112" s="56" t="s">
        <v>338</v>
      </c>
      <c r="L112" s="110" t="s">
        <v>165</v>
      </c>
    </row>
    <row r="113" spans="1:14" ht="53.25" customHeight="1">
      <c r="A113" s="26" t="str">
        <v>Wheatland 2B</v>
      </c>
      <c r="B113" s="27" t="str">
        <v>NY</v>
      </c>
      <c r="C113" s="27" t="str">
        <f>Sites[[#This Row],[SOL'#]]</f>
        <v>SOL-10961</v>
      </c>
      <c r="D113" s="66">
        <v>320430</v>
      </c>
      <c r="E113" s="14">
        <v>0</v>
      </c>
      <c r="F113" s="14">
        <f t="shared" si="10"/>
        <v>320430</v>
      </c>
      <c r="G113" s="15" t="str">
        <f t="shared" si="11"/>
        <v/>
      </c>
      <c r="H113" s="69">
        <v>403613.2</v>
      </c>
      <c r="I113" s="69">
        <f t="shared" si="9"/>
        <v>-83183.200000000012</v>
      </c>
      <c r="J113" s="15">
        <f t="shared" si="12"/>
        <v>-0.20609633183453863</v>
      </c>
      <c r="K113" s="38" t="s">
        <v>339</v>
      </c>
      <c r="L113" s="115" t="s">
        <v>340</v>
      </c>
    </row>
    <row r="114" spans="1:14" ht="61.5" customHeight="1">
      <c r="A114" s="24" t="str">
        <v>Brickchurch</v>
      </c>
      <c r="B114" s="25" t="str">
        <v>NY</v>
      </c>
      <c r="C114" s="25" t="str">
        <f>Sites[[#This Row],[SOL'#]]</f>
        <v>SOL-10889</v>
      </c>
      <c r="D114" s="54">
        <v>85870</v>
      </c>
      <c r="E114" s="10">
        <v>136599.924</v>
      </c>
      <c r="F114" s="10">
        <f t="shared" si="10"/>
        <v>-50729.923999999999</v>
      </c>
      <c r="G114" s="11">
        <f t="shared" si="11"/>
        <v>-0.37137593136581831</v>
      </c>
      <c r="H114" s="67">
        <v>119208.74</v>
      </c>
      <c r="I114" s="67">
        <f t="shared" si="9"/>
        <v>-33338.740000000005</v>
      </c>
      <c r="J114" s="13">
        <f t="shared" si="12"/>
        <v>-0.27966691032889035</v>
      </c>
      <c r="K114" s="56" t="s">
        <v>341</v>
      </c>
      <c r="L114" s="110" t="s">
        <v>342</v>
      </c>
      <c r="M114" s="103" t="s">
        <v>343</v>
      </c>
    </row>
    <row r="115" spans="1:14" ht="28.9">
      <c r="A115" s="26" t="str">
        <v>McCarthy Solar</v>
      </c>
      <c r="B115" s="27" t="str">
        <v>NY</v>
      </c>
      <c r="C115" s="27" t="str">
        <f>Sites[[#This Row],[SOL'#]]</f>
        <v>SOL-10992</v>
      </c>
      <c r="D115" s="66">
        <v>226670</v>
      </c>
      <c r="E115" s="14">
        <v>0</v>
      </c>
      <c r="F115" s="14">
        <f t="shared" si="10"/>
        <v>226670</v>
      </c>
      <c r="G115" s="15" t="str">
        <f t="shared" si="11"/>
        <v/>
      </c>
      <c r="H115" s="69">
        <v>243726.4</v>
      </c>
      <c r="I115" s="69">
        <f t="shared" si="9"/>
        <v>-17056.399999999994</v>
      </c>
      <c r="J115" s="15">
        <f t="shared" si="12"/>
        <v>-6.9981750027900108E-2</v>
      </c>
      <c r="K115" s="38" t="s">
        <v>344</v>
      </c>
      <c r="L115" s="115" t="s">
        <v>345</v>
      </c>
    </row>
    <row r="116" spans="1:14" ht="96.75" customHeight="1">
      <c r="A116" s="24" t="str">
        <v>Costanza</v>
      </c>
      <c r="B116" s="25" t="str">
        <v>NY</v>
      </c>
      <c r="C116" s="25" t="str">
        <f>Sites[[#This Row],[SOL'#]]</f>
        <v>SOL-10907</v>
      </c>
      <c r="D116" s="54">
        <v>160740</v>
      </c>
      <c r="E116" s="10">
        <v>0</v>
      </c>
      <c r="F116" s="10">
        <f t="shared" si="10"/>
        <v>160740</v>
      </c>
      <c r="G116" s="11" t="str">
        <f t="shared" si="11"/>
        <v/>
      </c>
      <c r="H116" s="67">
        <v>235079.29</v>
      </c>
      <c r="I116" s="67">
        <f t="shared" si="9"/>
        <v>-74339.290000000008</v>
      </c>
      <c r="J116" s="13">
        <f t="shared" si="12"/>
        <v>-0.31623070666922637</v>
      </c>
      <c r="K116" s="56" t="s">
        <v>346</v>
      </c>
      <c r="L116" s="110" t="s">
        <v>347</v>
      </c>
      <c r="M116" s="103" t="s">
        <v>348</v>
      </c>
      <c r="N116" s="103" t="s">
        <v>349</v>
      </c>
    </row>
    <row r="117" spans="1:14" ht="15.6">
      <c r="A117" s="26" t="str">
        <v>Lockenhurst Pond</v>
      </c>
      <c r="B117" s="27" t="str">
        <v>NY</v>
      </c>
      <c r="C117" s="27" t="str">
        <f>Sites[[#This Row],[SOL'#]]</f>
        <v>SOL-11000</v>
      </c>
      <c r="D117" s="66">
        <v>235272</v>
      </c>
      <c r="E117" s="14">
        <v>255015.6</v>
      </c>
      <c r="F117" s="14">
        <f t="shared" si="10"/>
        <v>-19743.600000000006</v>
      </c>
      <c r="G117" s="15">
        <f t="shared" si="11"/>
        <v>-7.7421146000479987E-2</v>
      </c>
      <c r="H117" s="69">
        <v>218702</v>
      </c>
      <c r="I117" s="69">
        <f t="shared" si="9"/>
        <v>16570</v>
      </c>
      <c r="J117" s="15">
        <f t="shared" si="12"/>
        <v>7.5765196477398475E-2</v>
      </c>
      <c r="K117" s="38"/>
      <c r="L117" s="17"/>
    </row>
    <row r="118" spans="1:14" ht="15.6">
      <c r="A118" s="24" t="str">
        <v>Drinkwater</v>
      </c>
      <c r="B118" s="25" t="str">
        <v>NY</v>
      </c>
      <c r="C118" s="25" t="str">
        <f>Sites[[#This Row],[SOL'#]]</f>
        <v>SOL-10896</v>
      </c>
      <c r="D118" s="54">
        <v>135100</v>
      </c>
      <c r="E118" s="10">
        <v>0</v>
      </c>
      <c r="F118" s="10">
        <f t="shared" si="10"/>
        <v>135100</v>
      </c>
      <c r="G118" s="11" t="str">
        <f t="shared" si="11"/>
        <v/>
      </c>
      <c r="H118" s="67">
        <v>227553.66</v>
      </c>
      <c r="I118" s="67">
        <f t="shared" si="9"/>
        <v>-92453.66</v>
      </c>
      <c r="J118" s="13">
        <f t="shared" si="12"/>
        <v>-0.40629388250665799</v>
      </c>
      <c r="K118" s="56" t="s">
        <v>84</v>
      </c>
      <c r="L118" s="37"/>
    </row>
    <row r="119" spans="1:14" ht="43.15">
      <c r="A119" s="26" t="str">
        <v>Altamont</v>
      </c>
      <c r="B119" s="27" t="str">
        <v>NY</v>
      </c>
      <c r="C119" s="27" t="str">
        <f>Sites[[#This Row],[SOL'#]]</f>
        <v>SOL-11085</v>
      </c>
      <c r="D119" s="66">
        <v>381372</v>
      </c>
      <c r="E119" s="14">
        <v>496237.5</v>
      </c>
      <c r="F119" s="14">
        <f t="shared" si="10"/>
        <v>-114865.5</v>
      </c>
      <c r="G119" s="15">
        <f t="shared" si="11"/>
        <v>-0.23147283306884303</v>
      </c>
      <c r="H119" s="69">
        <v>452003.8</v>
      </c>
      <c r="I119" s="69">
        <f t="shared" si="9"/>
        <v>-70631.799999999988</v>
      </c>
      <c r="J119" s="15">
        <f t="shared" si="12"/>
        <v>-0.15626373052615927</v>
      </c>
      <c r="K119" s="38" t="s">
        <v>350</v>
      </c>
      <c r="L119" s="116" t="s">
        <v>351</v>
      </c>
      <c r="M119" s="103" t="s">
        <v>352</v>
      </c>
    </row>
    <row r="120" spans="1:14" ht="15.6">
      <c r="A120" s="24" t="str">
        <v>Krumkill North</v>
      </c>
      <c r="B120" s="25" t="str">
        <v>NY</v>
      </c>
      <c r="C120" s="25" t="str">
        <f>Sites[[#This Row],[SOL'#]]</f>
        <v>SOL-11086</v>
      </c>
      <c r="D120" s="54">
        <v>331760</v>
      </c>
      <c r="E120" s="10">
        <v>482100.4</v>
      </c>
      <c r="F120" s="10">
        <f t="shared" si="10"/>
        <v>-150340.40000000002</v>
      </c>
      <c r="G120" s="11">
        <f t="shared" si="11"/>
        <v>-0.31184458672923737</v>
      </c>
      <c r="H120" s="67">
        <v>577126.69999999995</v>
      </c>
      <c r="I120" s="67">
        <f t="shared" si="9"/>
        <v>-245366.69999999995</v>
      </c>
      <c r="J120" s="13">
        <f t="shared" si="12"/>
        <v>-0.42515222393973451</v>
      </c>
      <c r="K120" s="56" t="s">
        <v>84</v>
      </c>
      <c r="L120" s="37"/>
    </row>
    <row r="121" spans="1:14" ht="15.6">
      <c r="A121" s="26" t="str">
        <v>Krumkill South</v>
      </c>
      <c r="B121" s="27" t="str">
        <v>NY</v>
      </c>
      <c r="C121" s="27" t="str">
        <f>Sites[[#This Row],[SOL'#]]</f>
        <v>SOL-11087</v>
      </c>
      <c r="D121" s="66">
        <v>308273</v>
      </c>
      <c r="E121" s="14">
        <v>399017.4</v>
      </c>
      <c r="F121" s="14">
        <f t="shared" si="10"/>
        <v>-90744.400000000023</v>
      </c>
      <c r="G121" s="15">
        <f t="shared" si="11"/>
        <v>-0.22741965638591205</v>
      </c>
      <c r="H121" s="69">
        <v>452450.3</v>
      </c>
      <c r="I121" s="69">
        <f t="shared" si="9"/>
        <v>-144177.29999999999</v>
      </c>
      <c r="J121" s="15">
        <f t="shared" si="12"/>
        <v>-0.31865886706230495</v>
      </c>
      <c r="K121" s="38" t="s">
        <v>84</v>
      </c>
      <c r="L121" s="17"/>
    </row>
    <row r="122" spans="1:14" ht="15.6">
      <c r="A122" s="24" t="str">
        <v>X092</v>
      </c>
      <c r="B122" s="25" t="str">
        <v>NY</v>
      </c>
      <c r="C122" s="25" t="str">
        <f>Sites[[#This Row],[SOL'#]]</f>
        <v>SOL-11189</v>
      </c>
      <c r="D122" s="54"/>
      <c r="E122" s="10"/>
      <c r="F122" s="10" t="str">
        <f t="shared" si="10"/>
        <v/>
      </c>
      <c r="G122" s="11" t="str">
        <f t="shared" ref="G122:G147" si="13">IFERROR(F122/E122, "")</f>
        <v/>
      </c>
      <c r="H122" s="67"/>
      <c r="I122" s="67" t="str">
        <f t="shared" si="9"/>
        <v/>
      </c>
      <c r="J122" s="13" t="str">
        <f t="shared" si="12"/>
        <v/>
      </c>
      <c r="K122" s="56"/>
      <c r="L122" s="37"/>
    </row>
    <row r="123" spans="1:14" ht="28.9">
      <c r="A123" s="26" t="str">
        <v>X093</v>
      </c>
      <c r="B123" s="27" t="str">
        <v>NY</v>
      </c>
      <c r="C123" s="27" t="str">
        <f>Sites[[#This Row],[SOL'#]]</f>
        <v>SOL-10932</v>
      </c>
      <c r="D123" s="66">
        <v>5962.3918886912597</v>
      </c>
      <c r="E123" s="14">
        <v>0</v>
      </c>
      <c r="F123" s="14">
        <f t="shared" si="10"/>
        <v>5962.3918886912597</v>
      </c>
      <c r="G123" s="15" t="str">
        <f t="shared" si="13"/>
        <v/>
      </c>
      <c r="H123" s="69">
        <v>0</v>
      </c>
      <c r="I123" s="69">
        <f t="shared" si="9"/>
        <v>5962.3918886912597</v>
      </c>
      <c r="J123" s="15" t="str">
        <f t="shared" si="12"/>
        <v/>
      </c>
      <c r="K123" s="38" t="s">
        <v>353</v>
      </c>
      <c r="L123" s="116" t="s">
        <v>354</v>
      </c>
      <c r="M123" s="103" t="s">
        <v>355</v>
      </c>
    </row>
    <row r="124" spans="1:14" ht="15.6">
      <c r="A124" s="24" t="str">
        <v>X095</v>
      </c>
      <c r="B124" s="25" t="str">
        <v>NY</v>
      </c>
      <c r="C124" s="25" t="str">
        <f>Sites[[#This Row],[SOL'#]]</f>
        <v>SOL-10929</v>
      </c>
      <c r="D124" s="54">
        <v>7581.9853172110597</v>
      </c>
      <c r="E124" s="10">
        <v>0</v>
      </c>
      <c r="F124" s="10">
        <f t="shared" si="10"/>
        <v>7581.9853172110597</v>
      </c>
      <c r="G124" s="11" t="str">
        <f t="shared" si="13"/>
        <v/>
      </c>
      <c r="H124" s="67">
        <v>0</v>
      </c>
      <c r="I124" s="67">
        <f t="shared" si="9"/>
        <v>7581.9853172110597</v>
      </c>
      <c r="J124" s="13" t="str">
        <f t="shared" si="12"/>
        <v/>
      </c>
      <c r="K124" s="56" t="s">
        <v>179</v>
      </c>
      <c r="L124" s="110" t="s">
        <v>180</v>
      </c>
    </row>
    <row r="125" spans="1:14" ht="15.6">
      <c r="A125" s="26" t="str">
        <v>X181</v>
      </c>
      <c r="B125" s="27" t="str">
        <v>NY</v>
      </c>
      <c r="C125" s="27" t="str">
        <f>Sites[[#This Row],[SOL'#]]</f>
        <v>SOL-10428</v>
      </c>
      <c r="D125" s="66">
        <v>12161.18685</v>
      </c>
      <c r="E125" s="14">
        <v>0</v>
      </c>
      <c r="F125" s="14">
        <f t="shared" si="10"/>
        <v>12161.18685</v>
      </c>
      <c r="G125" s="15" t="str">
        <f t="shared" si="13"/>
        <v/>
      </c>
      <c r="H125" s="69">
        <v>0</v>
      </c>
      <c r="I125" s="69">
        <f t="shared" si="9"/>
        <v>12161.18685</v>
      </c>
      <c r="J125" s="15" t="str">
        <f t="shared" si="12"/>
        <v/>
      </c>
      <c r="K125" s="38" t="s">
        <v>181</v>
      </c>
      <c r="L125" s="112" t="s">
        <v>182</v>
      </c>
    </row>
    <row r="126" spans="1:14" ht="15.6">
      <c r="A126" s="24" t="str">
        <v>X415</v>
      </c>
      <c r="B126" s="25" t="str">
        <v>NY</v>
      </c>
      <c r="C126" s="25" t="str">
        <f>Sites[[#This Row],[SOL'#]]</f>
        <v>SOL-10429</v>
      </c>
      <c r="D126" s="54">
        <v>6531.152341</v>
      </c>
      <c r="E126" s="10">
        <v>0</v>
      </c>
      <c r="F126" s="10">
        <f t="shared" si="10"/>
        <v>6531.152341</v>
      </c>
      <c r="G126" s="11" t="str">
        <f t="shared" si="13"/>
        <v/>
      </c>
      <c r="H126" s="67">
        <v>0</v>
      </c>
      <c r="I126" s="67">
        <f t="shared" si="9"/>
        <v>6531.152341</v>
      </c>
      <c r="J126" s="13" t="str">
        <f t="shared" si="12"/>
        <v/>
      </c>
      <c r="K126" s="56" t="s">
        <v>183</v>
      </c>
      <c r="L126" s="110" t="s">
        <v>184</v>
      </c>
    </row>
    <row r="127" spans="1:14" ht="15.6">
      <c r="A127" s="26" t="str">
        <v>K198</v>
      </c>
      <c r="B127" s="27" t="str">
        <v>NY</v>
      </c>
      <c r="C127" s="27" t="str">
        <f>Sites[[#This Row],[SOL'#]]</f>
        <v>SOL-10930</v>
      </c>
      <c r="D127" s="66">
        <v>8238.6279296875</v>
      </c>
      <c r="E127" s="14">
        <v>0</v>
      </c>
      <c r="F127" s="14">
        <f t="shared" si="10"/>
        <v>8238.6279296875</v>
      </c>
      <c r="G127" s="15" t="str">
        <f t="shared" si="13"/>
        <v/>
      </c>
      <c r="H127" s="69">
        <v>0</v>
      </c>
      <c r="I127" s="69">
        <f t="shared" si="9"/>
        <v>8238.6279296875</v>
      </c>
      <c r="J127" s="15" t="str">
        <f t="shared" si="12"/>
        <v/>
      </c>
      <c r="K127" s="38" t="s">
        <v>185</v>
      </c>
      <c r="L127" s="112" t="s">
        <v>186</v>
      </c>
    </row>
    <row r="128" spans="1:14" ht="15.6">
      <c r="A128" s="24" t="str">
        <v>K203</v>
      </c>
      <c r="B128" s="25" t="str">
        <v>NY</v>
      </c>
      <c r="C128" s="25" t="str">
        <f>Sites[[#This Row],[SOL'#]]</f>
        <v>SOL-11190</v>
      </c>
      <c r="D128" s="121"/>
      <c r="E128" s="10"/>
      <c r="F128" s="10" t="str">
        <f t="shared" si="10"/>
        <v/>
      </c>
      <c r="G128" s="11" t="str">
        <f t="shared" si="13"/>
        <v/>
      </c>
      <c r="H128" s="67"/>
      <c r="I128" s="67" t="str">
        <f t="shared" ref="I128:I146" si="14">IF(AND(ISNUMBER(D128),ISNUMBER(H128)), D128-H128, "")</f>
        <v/>
      </c>
      <c r="J128" s="13" t="str">
        <f t="shared" si="12"/>
        <v/>
      </c>
      <c r="K128" s="56" t="s">
        <v>185</v>
      </c>
      <c r="L128" s="110" t="s">
        <v>356</v>
      </c>
    </row>
    <row r="129" spans="1:14" ht="15.6">
      <c r="A129" s="26" t="str">
        <v>K213</v>
      </c>
      <c r="B129" s="27" t="str">
        <v>NY</v>
      </c>
      <c r="C129" s="27" t="str">
        <f>Sites[[#This Row],[SOL'#]]</f>
        <v>SOL-11191</v>
      </c>
      <c r="D129" s="66"/>
      <c r="E129" s="14"/>
      <c r="F129" s="14" t="str">
        <f t="shared" si="10"/>
        <v/>
      </c>
      <c r="G129" s="15" t="str">
        <f t="shared" si="13"/>
        <v/>
      </c>
      <c r="H129" s="69"/>
      <c r="I129" s="69" t="str">
        <f t="shared" si="14"/>
        <v/>
      </c>
      <c r="J129" s="15"/>
      <c r="K129" s="38"/>
      <c r="L129" s="17"/>
    </row>
    <row r="130" spans="1:14" ht="15.6">
      <c r="A130" s="24" t="str">
        <v>K217</v>
      </c>
      <c r="B130" s="25" t="str">
        <v>NY</v>
      </c>
      <c r="C130" s="25" t="str">
        <f>Sites[[#This Row],[SOL'#]]</f>
        <v>SOL-10933</v>
      </c>
      <c r="D130" s="54">
        <v>5661.9752832031199</v>
      </c>
      <c r="E130" s="10">
        <v>0</v>
      </c>
      <c r="F130" s="10">
        <f t="shared" si="10"/>
        <v>5661.9752832031199</v>
      </c>
      <c r="G130" s="11" t="str">
        <f t="shared" si="13"/>
        <v/>
      </c>
      <c r="H130" s="67">
        <v>0</v>
      </c>
      <c r="I130" s="67">
        <f t="shared" si="14"/>
        <v>5661.9752832031199</v>
      </c>
      <c r="J130" s="13" t="str">
        <f t="shared" si="12"/>
        <v/>
      </c>
      <c r="K130" s="56" t="s">
        <v>185</v>
      </c>
      <c r="L130" s="110" t="s">
        <v>187</v>
      </c>
    </row>
    <row r="131" spans="1:14" ht="15.6">
      <c r="A131" s="26" t="str">
        <v>K307</v>
      </c>
      <c r="B131" s="27" t="str">
        <v>NY</v>
      </c>
      <c r="C131" s="27" t="str">
        <f>Sites[[#This Row],[SOL'#]]</f>
        <v>SOL-10876</v>
      </c>
      <c r="D131" s="66">
        <v>12916.76168</v>
      </c>
      <c r="E131" s="14">
        <v>0</v>
      </c>
      <c r="F131" s="14">
        <f t="shared" si="10"/>
        <v>12916.76168</v>
      </c>
      <c r="G131" s="15" t="str">
        <f t="shared" si="13"/>
        <v/>
      </c>
      <c r="H131" s="69">
        <v>0</v>
      </c>
      <c r="I131" s="69">
        <f t="shared" si="14"/>
        <v>12916.76168</v>
      </c>
      <c r="J131" s="15" t="str">
        <f t="shared" si="12"/>
        <v/>
      </c>
      <c r="K131" s="38"/>
      <c r="L131" s="17"/>
    </row>
    <row r="132" spans="1:14" ht="15.6">
      <c r="A132" s="24" t="str">
        <v>K610</v>
      </c>
      <c r="B132" s="25" t="str">
        <v>NY</v>
      </c>
      <c r="C132" s="25" t="str">
        <f>Sites[[#This Row],[SOL'#]]</f>
        <v>SOL-11158</v>
      </c>
      <c r="D132" s="54"/>
      <c r="E132" s="10"/>
      <c r="F132" s="10" t="str">
        <f t="shared" si="10"/>
        <v/>
      </c>
      <c r="G132" s="11" t="str">
        <f t="shared" si="13"/>
        <v/>
      </c>
      <c r="H132" s="67"/>
      <c r="I132" s="67" t="str">
        <f t="shared" si="14"/>
        <v/>
      </c>
      <c r="J132" s="13" t="str">
        <f t="shared" si="12"/>
        <v/>
      </c>
      <c r="K132" s="56"/>
      <c r="L132" s="37"/>
    </row>
    <row r="133" spans="1:14" ht="28.9">
      <c r="A133" s="26" t="str">
        <v>M025</v>
      </c>
      <c r="B133" s="27" t="str">
        <v>NY</v>
      </c>
      <c r="C133" s="27" t="str">
        <f>Sites[[#This Row],[SOL'#]]</f>
        <v>SOL-10392</v>
      </c>
      <c r="D133" s="66">
        <v>11939.340819999999</v>
      </c>
      <c r="E133" s="14">
        <v>0</v>
      </c>
      <c r="F133" s="14">
        <f t="shared" si="10"/>
        <v>11939.340819999999</v>
      </c>
      <c r="G133" s="15" t="str">
        <f t="shared" si="13"/>
        <v/>
      </c>
      <c r="H133" s="69">
        <v>0</v>
      </c>
      <c r="I133" s="69">
        <f t="shared" si="14"/>
        <v>11939.340819999999</v>
      </c>
      <c r="J133" s="15" t="str">
        <f t="shared" si="12"/>
        <v/>
      </c>
      <c r="K133" s="38" t="s">
        <v>357</v>
      </c>
      <c r="L133" s="116" t="s">
        <v>358</v>
      </c>
      <c r="M133" s="103" t="s">
        <v>359</v>
      </c>
    </row>
    <row r="134" spans="1:14" ht="15.6">
      <c r="A134" s="24" t="str">
        <v>M028</v>
      </c>
      <c r="B134" s="25" t="str">
        <v>NY</v>
      </c>
      <c r="C134" s="25" t="str">
        <f>Sites[[#This Row],[SOL'#]]</f>
        <v>SOL-10381</v>
      </c>
      <c r="D134" s="54">
        <v>8250.1922969999996</v>
      </c>
      <c r="E134" s="10">
        <v>0</v>
      </c>
      <c r="F134" s="10">
        <f t="shared" si="10"/>
        <v>8250.1922969999996</v>
      </c>
      <c r="G134" s="11" t="str">
        <f t="shared" si="13"/>
        <v/>
      </c>
      <c r="H134" s="67">
        <v>0</v>
      </c>
      <c r="I134" s="67">
        <f t="shared" si="14"/>
        <v>8250.1922969999996</v>
      </c>
      <c r="J134" s="13" t="str">
        <f t="shared" si="12"/>
        <v/>
      </c>
      <c r="K134" s="56" t="s">
        <v>189</v>
      </c>
      <c r="L134" s="110" t="s">
        <v>190</v>
      </c>
    </row>
    <row r="135" spans="1:14" ht="15.6">
      <c r="A135" s="26" t="str">
        <v>Q030</v>
      </c>
      <c r="B135" s="27" t="str">
        <v>NY</v>
      </c>
      <c r="C135" s="27" t="str">
        <f>Sites[[#This Row],[SOL'#]]</f>
        <v>SOL-10878</v>
      </c>
      <c r="D135" s="66">
        <v>12842.908390000001</v>
      </c>
      <c r="E135" s="14">
        <v>0</v>
      </c>
      <c r="F135" s="14">
        <f t="shared" si="10"/>
        <v>12842.908390000001</v>
      </c>
      <c r="G135" s="15" t="str">
        <f t="shared" si="13"/>
        <v/>
      </c>
      <c r="H135" s="69">
        <v>0</v>
      </c>
      <c r="I135" s="69">
        <f t="shared" si="14"/>
        <v>12842.908390000001</v>
      </c>
      <c r="J135" s="15" t="str">
        <f t="shared" si="12"/>
        <v/>
      </c>
      <c r="K135" s="38"/>
      <c r="L135" s="17"/>
    </row>
    <row r="136" spans="1:14" ht="15.6">
      <c r="A136" s="24" t="str">
        <v>Q130</v>
      </c>
      <c r="B136" s="25" t="str">
        <v>NY</v>
      </c>
      <c r="C136" s="25" t="str">
        <f>Sites[[#This Row],[SOL'#]]</f>
        <v>SOL-10877</v>
      </c>
      <c r="D136" s="54">
        <v>6870.1664700000001</v>
      </c>
      <c r="E136" s="10">
        <v>0</v>
      </c>
      <c r="F136" s="10">
        <f t="shared" si="10"/>
        <v>6870.1664700000001</v>
      </c>
      <c r="G136" s="11" t="str">
        <f t="shared" si="13"/>
        <v/>
      </c>
      <c r="H136" s="67">
        <v>0</v>
      </c>
      <c r="I136" s="67">
        <f t="shared" si="14"/>
        <v>6870.1664700000001</v>
      </c>
      <c r="J136" s="13" t="str">
        <f t="shared" si="12"/>
        <v/>
      </c>
      <c r="K136" s="56" t="s">
        <v>191</v>
      </c>
      <c r="L136" s="110" t="s">
        <v>192</v>
      </c>
    </row>
    <row r="137" spans="1:14" ht="15.6">
      <c r="A137" s="26" t="str">
        <v>Q196</v>
      </c>
      <c r="B137" s="27" t="str">
        <v>NY</v>
      </c>
      <c r="C137" s="27" t="str">
        <f>Sites[[#This Row],[SOL'#]]</f>
        <v>SOL-10879</v>
      </c>
      <c r="D137" s="66">
        <v>8604.3924999999999</v>
      </c>
      <c r="E137" s="14">
        <v>0</v>
      </c>
      <c r="F137" s="14">
        <f t="shared" si="10"/>
        <v>8604.3924999999999</v>
      </c>
      <c r="G137" s="15" t="str">
        <f t="shared" si="13"/>
        <v/>
      </c>
      <c r="H137" s="69">
        <v>0</v>
      </c>
      <c r="I137" s="69">
        <f t="shared" si="14"/>
        <v>8604.3924999999999</v>
      </c>
      <c r="J137" s="15" t="str">
        <f t="shared" si="12"/>
        <v/>
      </c>
      <c r="K137" s="38" t="s">
        <v>191</v>
      </c>
      <c r="L137" s="112" t="s">
        <v>193</v>
      </c>
    </row>
    <row r="138" spans="1:14" ht="28.9">
      <c r="A138" s="24" t="str">
        <v>Q220</v>
      </c>
      <c r="B138" s="25" t="str">
        <v>NY</v>
      </c>
      <c r="C138" s="25" t="str">
        <f>Sites[[#This Row],[SOL'#]]</f>
        <v>SOL-10873</v>
      </c>
      <c r="D138" s="54">
        <v>10122.787410000001</v>
      </c>
      <c r="E138" s="10">
        <v>0</v>
      </c>
      <c r="F138" s="10">
        <f t="shared" si="10"/>
        <v>10122.787410000001</v>
      </c>
      <c r="G138" s="11" t="str">
        <f t="shared" si="13"/>
        <v/>
      </c>
      <c r="H138" s="67">
        <v>0</v>
      </c>
      <c r="I138" s="67">
        <f t="shared" si="14"/>
        <v>10122.787410000001</v>
      </c>
      <c r="J138" s="13" t="str">
        <f t="shared" si="12"/>
        <v/>
      </c>
      <c r="K138" s="56" t="s">
        <v>360</v>
      </c>
      <c r="L138" s="110" t="s">
        <v>194</v>
      </c>
    </row>
    <row r="139" spans="1:14" ht="15.6">
      <c r="A139" s="26" t="str">
        <v>Q205</v>
      </c>
      <c r="B139" s="27" t="str">
        <v>NY</v>
      </c>
      <c r="C139" s="27" t="str">
        <f>Sites[[#This Row],[SOL'#]]</f>
        <v>SOL-10922</v>
      </c>
      <c r="D139" s="66"/>
      <c r="E139" s="14"/>
      <c r="F139" s="14" t="str">
        <f t="shared" si="10"/>
        <v/>
      </c>
      <c r="G139" s="15" t="str">
        <f t="shared" si="13"/>
        <v/>
      </c>
      <c r="H139" s="69"/>
      <c r="I139" s="69" t="str">
        <f t="shared" si="14"/>
        <v/>
      </c>
      <c r="J139" s="15" t="str">
        <f t="shared" si="12"/>
        <v/>
      </c>
      <c r="K139" s="38"/>
      <c r="L139" s="17"/>
    </row>
    <row r="140" spans="1:14" ht="43.15">
      <c r="A140" s="24" t="str">
        <v>Q400</v>
      </c>
      <c r="B140" s="25" t="str">
        <v>NY</v>
      </c>
      <c r="C140" s="25" t="str">
        <f>Sites[[#This Row],[SOL'#]]</f>
        <v>SOL-10871</v>
      </c>
      <c r="D140" s="54">
        <v>6925.4609380000002</v>
      </c>
      <c r="E140" s="10">
        <v>0</v>
      </c>
      <c r="F140" s="10">
        <f t="shared" si="10"/>
        <v>6925.4609380000002</v>
      </c>
      <c r="G140" s="11" t="str">
        <f t="shared" si="13"/>
        <v/>
      </c>
      <c r="H140" s="67">
        <v>0</v>
      </c>
      <c r="I140" s="67">
        <f t="shared" si="14"/>
        <v>6925.4609380000002</v>
      </c>
      <c r="J140" s="13" t="str">
        <f t="shared" si="12"/>
        <v/>
      </c>
      <c r="K140" s="56" t="s">
        <v>361</v>
      </c>
      <c r="L140" s="110" t="s">
        <v>362</v>
      </c>
      <c r="M140" s="103" t="s">
        <v>197</v>
      </c>
      <c r="N140" s="103" t="s">
        <v>197</v>
      </c>
    </row>
    <row r="141" spans="1:14" ht="15.6">
      <c r="A141" s="26" t="str">
        <v>R003</v>
      </c>
      <c r="B141" s="27" t="str">
        <v>NY</v>
      </c>
      <c r="C141" s="27" t="str">
        <f>Sites[[#This Row],[SOL'#]]</f>
        <v>SOL-10416</v>
      </c>
      <c r="D141" s="66">
        <v>20656.632809999999</v>
      </c>
      <c r="E141" s="14"/>
      <c r="F141" s="14" t="str">
        <f t="shared" si="10"/>
        <v/>
      </c>
      <c r="G141" s="15" t="str">
        <f t="shared" si="13"/>
        <v/>
      </c>
      <c r="H141" s="69"/>
      <c r="I141" s="69" t="str">
        <f t="shared" si="14"/>
        <v/>
      </c>
      <c r="J141" s="15" t="str">
        <f t="shared" si="12"/>
        <v/>
      </c>
      <c r="K141" s="38" t="s">
        <v>198</v>
      </c>
      <c r="L141" s="112" t="s">
        <v>199</v>
      </c>
    </row>
    <row r="142" spans="1:14" ht="15.6">
      <c r="A142" s="24" t="str">
        <v>R007</v>
      </c>
      <c r="B142" s="25" t="str">
        <v>NY</v>
      </c>
      <c r="C142" s="25" t="str">
        <f>Sites[[#This Row],[SOL'#]]</f>
        <v>SOL-10417</v>
      </c>
      <c r="D142" s="54">
        <v>21665.457030000001</v>
      </c>
      <c r="E142" s="10">
        <v>0</v>
      </c>
      <c r="F142" s="10">
        <f t="shared" si="10"/>
        <v>21665.457030000001</v>
      </c>
      <c r="G142" s="11" t="str">
        <f t="shared" si="13"/>
        <v/>
      </c>
      <c r="H142" s="67">
        <v>0</v>
      </c>
      <c r="I142" s="67">
        <f t="shared" si="14"/>
        <v>21665.457030000001</v>
      </c>
      <c r="J142" s="13" t="str">
        <f t="shared" si="12"/>
        <v/>
      </c>
      <c r="K142" s="56"/>
      <c r="L142" s="37"/>
    </row>
    <row r="143" spans="1:14" ht="28.9">
      <c r="A143" s="26" t="str">
        <v>BK16</v>
      </c>
      <c r="B143" s="27" t="str">
        <v>NY</v>
      </c>
      <c r="C143" s="27" t="str">
        <f>Sites[[#This Row],[SOL'#]]</f>
        <v>SOL-11093</v>
      </c>
      <c r="D143" s="66">
        <v>19771.3448328669</v>
      </c>
      <c r="E143" s="14">
        <v>0</v>
      </c>
      <c r="F143" s="14">
        <f t="shared" si="10"/>
        <v>19771.3448328669</v>
      </c>
      <c r="G143" s="15" t="str">
        <f t="shared" si="13"/>
        <v/>
      </c>
      <c r="H143" s="69">
        <v>0</v>
      </c>
      <c r="I143" s="69">
        <f t="shared" si="14"/>
        <v>19771.3448328669</v>
      </c>
      <c r="J143" s="15" t="str">
        <f t="shared" si="12"/>
        <v/>
      </c>
      <c r="K143" s="38" t="s">
        <v>363</v>
      </c>
      <c r="L143" s="116" t="s">
        <v>364</v>
      </c>
      <c r="M143" s="103" t="s">
        <v>365</v>
      </c>
    </row>
    <row r="144" spans="1:14" ht="15.6">
      <c r="A144" s="24" t="str">
        <v>Trenton - Trenton East</v>
      </c>
      <c r="B144" s="25" t="str">
        <v>IL</v>
      </c>
      <c r="C144" s="25" t="str">
        <f>Sites[[#This Row],[SOL'#]]</f>
        <v>SOL-11060</v>
      </c>
      <c r="D144" s="54">
        <v>277433</v>
      </c>
      <c r="E144" s="10">
        <v>272748.7</v>
      </c>
      <c r="F144" s="10">
        <f t="shared" si="10"/>
        <v>4684.2999999999884</v>
      </c>
      <c r="G144" s="11">
        <f t="shared" si="13"/>
        <v>1.7174417329945069E-2</v>
      </c>
      <c r="H144" s="67">
        <v>250258</v>
      </c>
      <c r="I144" s="67">
        <f t="shared" si="14"/>
        <v>27175</v>
      </c>
      <c r="J144" s="13">
        <f t="shared" si="12"/>
        <v>0.10858793724875929</v>
      </c>
      <c r="K144" s="56" t="s">
        <v>366</v>
      </c>
      <c r="L144" s="117" t="s">
        <v>367</v>
      </c>
    </row>
    <row r="145" spans="1:13" ht="15.6">
      <c r="A145" s="26" t="str">
        <v>Trenton - Trenton West</v>
      </c>
      <c r="B145" s="27" t="str">
        <v>IL</v>
      </c>
      <c r="C145" s="27" t="str">
        <f>Sites[[#This Row],[SOL'#]]</f>
        <v>SOL-11061</v>
      </c>
      <c r="D145" s="66">
        <v>286335</v>
      </c>
      <c r="E145" s="14">
        <v>245107.1</v>
      </c>
      <c r="F145" s="14">
        <f t="shared" si="10"/>
        <v>41227.899999999994</v>
      </c>
      <c r="G145" s="68">
        <f t="shared" si="13"/>
        <v>0.1682036138488032</v>
      </c>
      <c r="H145" s="69">
        <v>252415.00399999999</v>
      </c>
      <c r="I145" s="69">
        <f t="shared" si="14"/>
        <v>33919.996000000014</v>
      </c>
      <c r="J145" s="15">
        <f t="shared" si="12"/>
        <v>0.13438185314847614</v>
      </c>
      <c r="K145" s="38"/>
      <c r="L145" s="105"/>
    </row>
    <row r="146" spans="1:13" ht="57.6">
      <c r="A146" s="24" t="str">
        <v>Dakota - Dakota Solar 1</v>
      </c>
      <c r="B146" s="25" t="str">
        <v>IL</v>
      </c>
      <c r="C146" s="25" t="str">
        <f>Sites[[#This Row],[SOL'#]]</f>
        <v>SOL-11113</v>
      </c>
      <c r="D146" s="54">
        <v>540549</v>
      </c>
      <c r="E146" s="10">
        <v>358197.96899999998</v>
      </c>
      <c r="F146" s="10">
        <f>IF(AND(ISNUMBER(D146),ISNUMBER(E146)), D146-E146, "")</f>
        <v>182351.03100000002</v>
      </c>
      <c r="G146" s="11">
        <f t="shared" si="13"/>
        <v>0.50907890826148161</v>
      </c>
      <c r="H146" s="67">
        <v>0</v>
      </c>
      <c r="I146" s="67">
        <f t="shared" si="14"/>
        <v>540549</v>
      </c>
      <c r="J146" s="13" t="str">
        <f t="shared" si="12"/>
        <v/>
      </c>
      <c r="K146" s="56" t="s">
        <v>368</v>
      </c>
      <c r="L146" s="117" t="s">
        <v>369</v>
      </c>
      <c r="M146" s="103" t="s">
        <v>370</v>
      </c>
    </row>
    <row r="147" spans="1:13" ht="43.15">
      <c r="A147" s="26" t="str">
        <v>X018</v>
      </c>
      <c r="B147" s="27" t="str">
        <v>NY</v>
      </c>
      <c r="C147" s="27" t="str">
        <f>Sites[[#This Row],[SOL'#]]</f>
        <v>SOL-10418</v>
      </c>
      <c r="D147" s="66">
        <v>8177</v>
      </c>
      <c r="E147" s="14">
        <v>11217.398999999999</v>
      </c>
      <c r="F147" s="14">
        <f>IF(AND(ISNUMBER(D147),ISNUMBER(E147)), D147-E147, "")</f>
        <v>-3040.3989999999994</v>
      </c>
      <c r="G147" s="68">
        <f t="shared" si="13"/>
        <v>-0.27104313575722855</v>
      </c>
      <c r="H147" s="69">
        <v>0</v>
      </c>
      <c r="I147" s="69">
        <f t="shared" ref="I147:I153" si="15">IF(AND(ISNUMBER(D147),ISNUMBER(H147)), D147-H147, "")</f>
        <v>8177</v>
      </c>
      <c r="J147" s="15" t="str">
        <f t="shared" si="12"/>
        <v/>
      </c>
      <c r="K147" s="82" t="s">
        <v>371</v>
      </c>
      <c r="L147" s="116" t="s">
        <v>372</v>
      </c>
    </row>
    <row r="148" spans="1:13" ht="15.6">
      <c r="A148" s="24" t="str">
        <v>Janiak Solar</v>
      </c>
      <c r="B148" s="25" t="str">
        <v>NY</v>
      </c>
      <c r="C148" s="25" t="str">
        <f>Sites[[#This Row],[SOL'#]]</f>
        <v>SOL-10898</v>
      </c>
      <c r="D148" s="54">
        <v>206037.052</v>
      </c>
      <c r="E148" s="10">
        <v>269225.69699999999</v>
      </c>
      <c r="F148" s="10">
        <f t="shared" ref="F148:F153" si="16">IF(AND(ISNUMBER(D148),ISNUMBER(E148)), D148-E148, "")</f>
        <v>-63188.64499999999</v>
      </c>
      <c r="G148" s="11">
        <f t="shared" ref="G148:G151" si="17">IFERROR(F148/E148, "")</f>
        <v>-0.23470510320565718</v>
      </c>
      <c r="H148" s="67">
        <v>256159.24600000001</v>
      </c>
      <c r="I148" s="67">
        <f t="shared" si="15"/>
        <v>-50122.194000000018</v>
      </c>
      <c r="J148" s="13">
        <f t="shared" si="12"/>
        <v>-0.19566810405118079</v>
      </c>
      <c r="K148" s="56" t="s">
        <v>84</v>
      </c>
      <c r="L148" s="117"/>
    </row>
    <row r="149" spans="1:13" ht="15.6">
      <c r="A149" s="26" t="str">
        <v>County Route 11B</v>
      </c>
      <c r="B149" s="27" t="str">
        <v>NY</v>
      </c>
      <c r="C149" s="27" t="str">
        <f>Sites[[#This Row],[SOL'#]]</f>
        <v>SOL-10983</v>
      </c>
      <c r="D149" s="66">
        <v>385858</v>
      </c>
      <c r="E149" s="14">
        <v>0</v>
      </c>
      <c r="F149" s="14">
        <f t="shared" si="16"/>
        <v>385858</v>
      </c>
      <c r="G149" s="68" t="str">
        <f t="shared" si="17"/>
        <v/>
      </c>
      <c r="H149" s="69">
        <v>0</v>
      </c>
      <c r="I149" s="69">
        <f t="shared" si="15"/>
        <v>385858</v>
      </c>
      <c r="J149" s="15" t="str">
        <f t="shared" si="12"/>
        <v/>
      </c>
      <c r="K149" s="48" t="s">
        <v>373</v>
      </c>
      <c r="L149" s="112" t="s">
        <v>374</v>
      </c>
    </row>
    <row r="150" spans="1:13" ht="43.15">
      <c r="A150" s="24" t="str">
        <v>Barone</v>
      </c>
      <c r="B150" s="25" t="str">
        <v>NY</v>
      </c>
      <c r="C150" s="25" t="str">
        <f>Sites[[#This Row],[SOL'#]]</f>
        <v>SOL-11034</v>
      </c>
      <c r="D150" s="54">
        <v>359132</v>
      </c>
      <c r="E150" s="10">
        <v>0</v>
      </c>
      <c r="F150" s="10">
        <f t="shared" si="16"/>
        <v>359132</v>
      </c>
      <c r="G150" s="11" t="str">
        <f t="shared" si="17"/>
        <v/>
      </c>
      <c r="H150" s="67">
        <v>314249.5</v>
      </c>
      <c r="I150" s="67">
        <f t="shared" si="15"/>
        <v>44882.5</v>
      </c>
      <c r="J150" s="13">
        <f t="shared" si="12"/>
        <v>0.14282441181290662</v>
      </c>
      <c r="K150" s="56" t="s">
        <v>375</v>
      </c>
      <c r="L150" s="117" t="s">
        <v>376</v>
      </c>
      <c r="M150" s="103" t="s">
        <v>377</v>
      </c>
    </row>
    <row r="151" spans="1:13" ht="28.9">
      <c r="A151" s="26" t="str">
        <v>Cedarville</v>
      </c>
      <c r="B151" s="27" t="str">
        <v>IL</v>
      </c>
      <c r="C151" s="27" t="str">
        <f>Sites[[#This Row],[SOL'#]]</f>
        <v>SOL-11069</v>
      </c>
      <c r="D151" s="66">
        <v>228799.9</v>
      </c>
      <c r="E151" s="14">
        <v>250182.1</v>
      </c>
      <c r="F151" s="14">
        <f t="shared" si="16"/>
        <v>-21382.200000000012</v>
      </c>
      <c r="G151" s="68">
        <f t="shared" si="17"/>
        <v>-8.546654616777144E-2</v>
      </c>
      <c r="H151" s="69">
        <v>248354.5</v>
      </c>
      <c r="I151" s="69">
        <f t="shared" si="15"/>
        <v>-19554.600000000006</v>
      </c>
      <c r="J151" s="15">
        <f t="shared" si="12"/>
        <v>-7.8736644594722488E-2</v>
      </c>
      <c r="K151" s="81" t="s">
        <v>378</v>
      </c>
      <c r="L151" s="116" t="s">
        <v>379</v>
      </c>
    </row>
    <row r="152" spans="1:13" ht="15.6">
      <c r="A152" s="24" t="str">
        <v xml:space="preserve"> O'Brien Hill #1</v>
      </c>
      <c r="B152" s="25" t="str">
        <v>NY</v>
      </c>
      <c r="C152" s="25" t="str">
        <f>Sites[[#This Row],[SOL'#]]</f>
        <v>SOL-11098</v>
      </c>
      <c r="D152" s="54">
        <v>416554</v>
      </c>
      <c r="E152" s="10">
        <v>0</v>
      </c>
      <c r="F152" s="10">
        <f t="shared" si="16"/>
        <v>416554</v>
      </c>
      <c r="G152" s="11" t="str">
        <f t="shared" ref="G152:G164" si="18">IFERROR(F152/E152, "")</f>
        <v/>
      </c>
      <c r="H152" s="67">
        <v>0</v>
      </c>
      <c r="I152" s="67">
        <f t="shared" si="15"/>
        <v>416554</v>
      </c>
      <c r="J152" s="13" t="str">
        <f t="shared" ref="J152:J164" si="19">IFERROR(I152/H152, "")</f>
        <v/>
      </c>
      <c r="K152" s="56"/>
      <c r="L152" s="117"/>
    </row>
    <row r="153" spans="1:13" ht="28.9">
      <c r="A153" s="26" t="str">
        <v xml:space="preserve"> O'Brien Hill #2</v>
      </c>
      <c r="B153" s="27" t="str">
        <v>NY</v>
      </c>
      <c r="C153" s="27" t="str">
        <f>Sites[[#This Row],[SOL'#]]</f>
        <v>SOL-11099</v>
      </c>
      <c r="D153" s="66">
        <v>392818</v>
      </c>
      <c r="E153" s="14">
        <v>0</v>
      </c>
      <c r="F153" s="14">
        <f t="shared" si="16"/>
        <v>392818</v>
      </c>
      <c r="G153" s="68" t="str">
        <f t="shared" si="18"/>
        <v/>
      </c>
      <c r="H153" s="69">
        <v>0</v>
      </c>
      <c r="I153" s="69">
        <f t="shared" si="15"/>
        <v>392818</v>
      </c>
      <c r="J153" s="15" t="str">
        <f t="shared" si="19"/>
        <v/>
      </c>
      <c r="K153" s="81" t="s">
        <v>380</v>
      </c>
      <c r="L153" s="116" t="s">
        <v>381</v>
      </c>
    </row>
    <row r="154" spans="1:13" ht="15.6">
      <c r="A154" s="24" t="str">
        <v>Trinity - Freeport</v>
      </c>
      <c r="B154" s="25" t="str">
        <v>IL</v>
      </c>
      <c r="C154" s="25" t="str">
        <f>Sites[[#This Row],[SOL'#]]</f>
        <v>SOL-11057</v>
      </c>
      <c r="D154" s="54"/>
      <c r="E154" s="10"/>
      <c r="F154" s="10" t="str">
        <f t="shared" ref="F154:F164" si="20">IF(AND(ISNUMBER(D154),ISNUMBER(E154)), D154-E154, "")</f>
        <v/>
      </c>
      <c r="G154" s="11" t="str">
        <f t="shared" si="18"/>
        <v/>
      </c>
      <c r="H154" s="67"/>
      <c r="I154" s="67" t="str">
        <f t="shared" ref="I154:I164" si="21">IF(AND(ISNUMBER(D154),ISNUMBER(H154)), D154-H154, "")</f>
        <v/>
      </c>
      <c r="J154" s="64" t="str">
        <f t="shared" si="19"/>
        <v/>
      </c>
      <c r="K154" s="56"/>
      <c r="L154" s="117"/>
    </row>
    <row r="155" spans="1:13" ht="15.6">
      <c r="A155" s="26" t="str">
        <v>Ransom</v>
      </c>
      <c r="B155" s="27" t="str">
        <v>NY</v>
      </c>
      <c r="C155" s="27" t="str">
        <f>Sites[[#This Row],[SOL'#]]</f>
        <v>SOL-11157</v>
      </c>
      <c r="D155" s="66"/>
      <c r="E155" s="14"/>
      <c r="F155" s="14" t="str">
        <f t="shared" si="20"/>
        <v/>
      </c>
      <c r="G155" s="68" t="str">
        <f t="shared" si="18"/>
        <v/>
      </c>
      <c r="H155" s="69"/>
      <c r="I155" s="69" t="str">
        <f t="shared" si="21"/>
        <v/>
      </c>
      <c r="J155" s="68" t="str">
        <f t="shared" si="19"/>
        <v/>
      </c>
      <c r="K155" s="81"/>
      <c r="L155" s="116"/>
    </row>
    <row r="156" spans="1:13" ht="15.6">
      <c r="A156" s="24" t="str">
        <v>Horseheads - Wedge</v>
      </c>
      <c r="B156" s="25" t="str">
        <v>NY</v>
      </c>
      <c r="C156" s="25" t="str">
        <f>Sites[[#This Row],[SOL'#]]</f>
        <v>SOL-11160</v>
      </c>
      <c r="D156" s="54"/>
      <c r="E156" s="10"/>
      <c r="F156" s="10" t="str">
        <f t="shared" si="20"/>
        <v/>
      </c>
      <c r="G156" s="11" t="str">
        <f t="shared" si="18"/>
        <v/>
      </c>
      <c r="H156" s="67"/>
      <c r="I156" s="67" t="str">
        <f t="shared" si="21"/>
        <v/>
      </c>
      <c r="J156" s="64" t="str">
        <f t="shared" si="19"/>
        <v/>
      </c>
      <c r="K156" s="56"/>
      <c r="L156" s="117"/>
    </row>
    <row r="157" spans="1:13" ht="15.6">
      <c r="A157" s="26" t="str">
        <v>Otisville - Shoddy Hollow</v>
      </c>
      <c r="B157" s="27" t="str">
        <v>NY</v>
      </c>
      <c r="C157" s="27" t="str">
        <f>Sites[[#This Row],[SOL'#]]</f>
        <v>SOL-11185</v>
      </c>
      <c r="D157" s="66"/>
      <c r="E157" s="14"/>
      <c r="F157" s="14" t="str">
        <f t="shared" si="20"/>
        <v/>
      </c>
      <c r="G157" s="68" t="str">
        <f t="shared" si="18"/>
        <v/>
      </c>
      <c r="H157" s="69"/>
      <c r="I157" s="69" t="str">
        <f t="shared" si="21"/>
        <v/>
      </c>
      <c r="J157" s="68" t="str">
        <f t="shared" si="19"/>
        <v/>
      </c>
      <c r="K157" s="81"/>
      <c r="L157" s="116"/>
    </row>
    <row r="158" spans="1:13" ht="15.6">
      <c r="A158" s="24" t="str">
        <v>Wellsville - Chenunda Creek</v>
      </c>
      <c r="B158" s="25" t="str">
        <v>NY</v>
      </c>
      <c r="C158" s="25" t="str">
        <f>Sites[[#This Row],[SOL'#]]</f>
        <v>SOL-11187</v>
      </c>
      <c r="D158" s="54"/>
      <c r="E158" s="10"/>
      <c r="F158" s="10" t="str">
        <f t="shared" si="20"/>
        <v/>
      </c>
      <c r="G158" s="11" t="str">
        <f t="shared" si="18"/>
        <v/>
      </c>
      <c r="H158" s="67"/>
      <c r="I158" s="67" t="str">
        <f t="shared" si="21"/>
        <v/>
      </c>
      <c r="J158" s="64" t="str">
        <f t="shared" si="19"/>
        <v/>
      </c>
      <c r="K158" s="56"/>
      <c r="L158" s="117"/>
    </row>
    <row r="159" spans="1:13" ht="15.6">
      <c r="A159" s="26" t="str">
        <v>DC: Washington - Essex Condominium</v>
      </c>
      <c r="B159" s="27" t="str">
        <v>DC</v>
      </c>
      <c r="C159" s="27" t="str">
        <f>Sites[[#This Row],[SOL'#]]</f>
        <v>SOL-10036</v>
      </c>
      <c r="D159" s="66">
        <v>2025</v>
      </c>
      <c r="E159" s="14">
        <v>2433.9580000000001</v>
      </c>
      <c r="F159" s="14">
        <f t="shared" si="20"/>
        <v>-408.95800000000008</v>
      </c>
      <c r="G159" s="68">
        <f t="shared" si="18"/>
        <v>-0.16802179823973959</v>
      </c>
      <c r="H159" s="69">
        <v>2639.58</v>
      </c>
      <c r="I159" s="69">
        <f t="shared" si="21"/>
        <v>-614.57999999999993</v>
      </c>
      <c r="J159" s="68">
        <f t="shared" si="19"/>
        <v>-0.23283249607892162</v>
      </c>
      <c r="K159" s="81" t="s">
        <v>84</v>
      </c>
      <c r="L159" s="116"/>
    </row>
    <row r="160" spans="1:13" ht="15.6">
      <c r="A160" s="24" t="str">
        <v>HI: Waipahu - 94-246 Leoku St - E.F.G.</v>
      </c>
      <c r="B160" s="25" t="str">
        <v>HI</v>
      </c>
      <c r="C160" s="25" t="str">
        <f>Sites[[#This Row],[SOL'#]]</f>
        <v>SOL-10071</v>
      </c>
      <c r="D160" s="54">
        <v>8933</v>
      </c>
      <c r="E160" s="10">
        <v>9233.7610000000004</v>
      </c>
      <c r="F160" s="10">
        <f t="shared" si="20"/>
        <v>-300.76100000000042</v>
      </c>
      <c r="G160" s="55">
        <f t="shared" si="18"/>
        <v>-3.2571884847355306E-2</v>
      </c>
      <c r="H160" s="67">
        <v>10227.1</v>
      </c>
      <c r="I160" s="67">
        <f t="shared" si="21"/>
        <v>-1294.1000000000004</v>
      </c>
      <c r="J160" s="64">
        <f t="shared" si="19"/>
        <v>-0.12653635928073456</v>
      </c>
      <c r="K160" s="56"/>
      <c r="L160" s="117"/>
    </row>
    <row r="161" spans="1:12" ht="15.6">
      <c r="A161" s="26" t="str">
        <v>HI: Waipahu - 94-099 Waipahu St - PV</v>
      </c>
      <c r="B161" s="27" t="str">
        <v>HI</v>
      </c>
      <c r="C161" s="27" t="str">
        <f>Sites[[#This Row],[SOL'#]]</f>
        <v>SOL-10068</v>
      </c>
      <c r="D161" s="66">
        <v>10740</v>
      </c>
      <c r="E161" s="14">
        <v>8722.2450000000008</v>
      </c>
      <c r="F161" s="14">
        <f t="shared" si="20"/>
        <v>2017.7549999999992</v>
      </c>
      <c r="G161" s="68">
        <f t="shared" si="18"/>
        <v>0.23133436403127852</v>
      </c>
      <c r="H161" s="69">
        <v>10221.620000000001</v>
      </c>
      <c r="I161" s="69">
        <f t="shared" si="21"/>
        <v>518.3799999999992</v>
      </c>
      <c r="J161" s="68">
        <f t="shared" si="19"/>
        <v>5.0714074677008066E-2</v>
      </c>
      <c r="K161" s="81"/>
      <c r="L161" s="116"/>
    </row>
    <row r="162" spans="1:12" ht="15.6">
      <c r="A162" s="24" t="str">
        <v>IL: Prophetstown - 5170 Yager Road (PW)</v>
      </c>
      <c r="B162" s="25" t="str">
        <v>IL</v>
      </c>
      <c r="C162" s="25" t="str">
        <f>Sites[[#This Row],[SOL'#]]</f>
        <v>SOL-11149</v>
      </c>
      <c r="D162" s="54"/>
      <c r="E162" s="10"/>
      <c r="F162" s="10" t="str">
        <f t="shared" si="20"/>
        <v/>
      </c>
      <c r="G162" s="55" t="str">
        <f t="shared" si="18"/>
        <v/>
      </c>
      <c r="H162" s="67"/>
      <c r="I162" s="67" t="str">
        <f t="shared" si="21"/>
        <v/>
      </c>
      <c r="J162" s="64" t="str">
        <f t="shared" si="19"/>
        <v/>
      </c>
      <c r="K162" s="56"/>
      <c r="L162" s="117"/>
    </row>
    <row r="163" spans="1:12" ht="15.6">
      <c r="A163" s="26" t="str">
        <v>IL: Viola - Goldenrod - (PW)</v>
      </c>
      <c r="B163" s="27" t="str">
        <v>IL</v>
      </c>
      <c r="C163" s="27" t="str">
        <f>Sites[[#This Row],[SOL'#]]</f>
        <v>SOL-11132</v>
      </c>
      <c r="D163" s="66"/>
      <c r="E163" s="14"/>
      <c r="F163" s="14" t="str">
        <f t="shared" si="20"/>
        <v/>
      </c>
      <c r="G163" s="68" t="str">
        <f t="shared" si="18"/>
        <v/>
      </c>
      <c r="H163" s="69"/>
      <c r="I163" s="69" t="str">
        <f t="shared" si="21"/>
        <v/>
      </c>
      <c r="J163" s="68" t="str">
        <f t="shared" si="19"/>
        <v/>
      </c>
      <c r="K163" s="81"/>
      <c r="L163" s="116"/>
    </row>
    <row r="164" spans="1:12" ht="15.6">
      <c r="A164" s="24" t="str">
        <v>IL: Marengo - Grant - (PW)</v>
      </c>
      <c r="B164" s="25" t="str">
        <v>IL</v>
      </c>
      <c r="C164" s="25" t="str">
        <f>Sites[[#This Row],[SOL'#]]</f>
        <v>SOL-11147</v>
      </c>
      <c r="D164" s="54"/>
      <c r="E164" s="10"/>
      <c r="F164" s="10" t="str">
        <f t="shared" si="20"/>
        <v/>
      </c>
      <c r="G164" s="55" t="str">
        <f t="shared" si="18"/>
        <v/>
      </c>
      <c r="H164" s="67"/>
      <c r="I164" s="67" t="str">
        <f t="shared" si="21"/>
        <v/>
      </c>
      <c r="J164" s="64" t="str">
        <f t="shared" si="19"/>
        <v/>
      </c>
      <c r="K164" s="56"/>
      <c r="L164" s="117"/>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sheetData>
  <mergeCells count="4">
    <mergeCell ref="H1:J1"/>
    <mergeCell ref="A1:D1"/>
    <mergeCell ref="E1:G1"/>
    <mergeCell ref="A2:B2"/>
  </mergeCells>
  <phoneticPr fontId="40" type="noConversion"/>
  <conditionalFormatting sqref="G2 J2 G4:G164 J4:J164">
    <cfRule type="cellIs" dxfId="38" priority="17" stopIfTrue="1" operator="lessThanOrEqual">
      <formula>-0.1</formula>
    </cfRule>
    <cfRule type="expression" dxfId="37" priority="18">
      <formula>AND(ISNUMBER(G2), G2&gt;=0.1)</formula>
    </cfRule>
  </conditionalFormatting>
  <hyperlinks>
    <hyperlink ref="L7" r:id="rId1" display="https://us3.assetplanner.com/service_request?ID=097569" xr:uid="{43150C69-0D8C-4DC6-B584-53F31474AD31}"/>
    <hyperlink ref="L8" r:id="rId2" display="https://us3.assetplanner.com/service_request?ID=093291" xr:uid="{9FD58F21-690E-4426-BA47-159BFEC9551E}"/>
    <hyperlink ref="L12" r:id="rId3" display="https://us3.assetplanner.com/service_request?ID=093633" xr:uid="{0B3FC683-407A-430A-AB89-DD8541664F02}"/>
    <hyperlink ref="L14" r:id="rId4" display="https://us3.assetplanner.com/service_request?ID=086842" xr:uid="{4CBF9CCD-6789-4986-A2BB-C94F70296A83}"/>
    <hyperlink ref="M14" r:id="rId5" display="https://us3.assetplanner.com/service_request?ID=093294" xr:uid="{E95A5BA9-A08F-4FA1-A45B-F73D51495CD6}"/>
    <hyperlink ref="L20" r:id="rId6" display="https://us3.assetplanner.com/service_request?ID=093196" xr:uid="{34C008D0-D46E-4F25-954A-E6C4A5A56860}"/>
    <hyperlink ref="L28" r:id="rId7" display="https://us3.assetplanner.com/service_request?ID=097083" xr:uid="{E9048F56-B79F-4220-8FA4-243B7E980CF3}"/>
    <hyperlink ref="M28" r:id="rId8" display="https://us3.assetplanner.com/service_request?ID=097636" xr:uid="{4C78A41A-188D-4189-BE0E-D24CAABED05B}"/>
    <hyperlink ref="L42" r:id="rId9" display="https://us3.assetplanner.com/service_request?ID=096249" xr:uid="{54979C60-BDEF-45F2-B32F-C2AAAF0F63FB}"/>
    <hyperlink ref="L43" r:id="rId10" display="https://us3.assetplanner.com/service_request?ID=093326" xr:uid="{436574D1-3F05-4C87-839E-13D9D2A7576E}"/>
    <hyperlink ref="L46" r:id="rId11" display="https://us3.assetplanner.com/service_request?ID=096294" xr:uid="{F48D3BBE-8B7F-43E0-AEA9-EBED59E0118B}"/>
    <hyperlink ref="L47" r:id="rId12" display="https://us3.assetplanner.com/service_request?ID=095758" xr:uid="{294A8AE5-FA58-42F7-83E5-D86CD2C4D236}"/>
    <hyperlink ref="L58" r:id="rId13" display="https://us3.assetplanner.com/service_request?ID=096330" xr:uid="{0EC59678-6E88-4710-81EE-5AEE282A1E96}"/>
    <hyperlink ref="L59" r:id="rId14" display="https://us3.assetplanner.com/service_request?ID=095473" xr:uid="{1D40D33B-75F6-4D67-A3E9-9273C734E839}"/>
    <hyperlink ref="M59" r:id="rId15" display="https://us3.assetplanner.com/service_request?ID=096164" xr:uid="{0AC04F6D-2246-4F63-BBA1-75E2A46F8D09}"/>
    <hyperlink ref="L60" r:id="rId16" display="https://us3.assetplanner.com/service_request?ID=096701" xr:uid="{8A1B5B8E-72B3-4E58-89E2-B5A58BAF068B}"/>
    <hyperlink ref="L61" r:id="rId17" display="https://us3.assetplanner.com/service_request?ID=096750" xr:uid="{0D07CB3D-7FDE-4FDB-A1F0-97B4B5FC3A44}"/>
    <hyperlink ref="L62" r:id="rId18" display="https://us3.assetplanner.com/service_request?ID=093972" xr:uid="{D618F1EC-0DD7-4A66-A242-7EEA896B478D}"/>
    <hyperlink ref="L63" r:id="rId19" display="https://us3.assetplanner.com/service_request?ID=095919" xr:uid="{45BAEC9F-368E-4A52-8CD4-22A5C73E0431}"/>
    <hyperlink ref="M63" r:id="rId20" display="https://us3.assetplanner.com/service_request?ID=096726" xr:uid="{88EA7A51-D15B-47AD-8D63-7C1E0A0EE351}"/>
    <hyperlink ref="N63" r:id="rId21" display="https://us3.assetplanner.com/service_request?ID=096907" xr:uid="{E0A8607F-2636-465F-BBBE-899D32A578AD}"/>
    <hyperlink ref="O63" r:id="rId22" display="https://us3.assetplanner.com/service_request?ID=097233" xr:uid="{D5222E29-29F4-4C62-A654-E5FFCA8A1DD3}"/>
    <hyperlink ref="P63" r:id="rId23" display="https://us3.assetplanner.com/service_request?ID=097643" xr:uid="{6B6431AE-0D2F-492E-8B5C-0B335B4CF358}"/>
    <hyperlink ref="L65" r:id="rId24" display="https://us3.assetplanner.com/service_request?ID=095483" xr:uid="{4CEF951C-CB58-4978-AB98-541B69DEB4C6}"/>
    <hyperlink ref="M65" r:id="rId25" display="https://us3.assetplanner.com/service_request?ID=097935" xr:uid="{14A52287-97CA-4DA7-AF8E-264A07CF9B72}"/>
    <hyperlink ref="L66" r:id="rId26" display="https://us3.assetplanner.com/service_request?ID=093024" xr:uid="{C3917813-79C1-4FA8-959E-4E28026A5CC5}"/>
    <hyperlink ref="M66" r:id="rId27" display="https://us3.assetplanner.com/service_request?ID=095445" xr:uid="{D840C3C0-AEAA-4C2A-8787-C5543AC4B2F9}"/>
    <hyperlink ref="N66" r:id="rId28" display="https://us3.assetplanner.com/service_request?ID=097568" xr:uid="{A3F1ABAA-3890-4FEE-9BA5-00F1EB696579}"/>
    <hyperlink ref="L67" r:id="rId29" display="https://us3.assetplanner.com/service_request?ID=096121" xr:uid="{24E21FCA-C4D9-47C3-A602-A3135883F06C}"/>
    <hyperlink ref="M67" r:id="rId30" display="https://us3.assetplanner.com/service_request?ID=096150" xr:uid="{55202D9C-7522-4406-BC1D-A91B0DF1176B}"/>
    <hyperlink ref="N67" r:id="rId31" display="https://us3.assetplanner.com/service_request?ID=096230" xr:uid="{BDE2845D-67DD-4A04-A66A-F891ED46E343}"/>
    <hyperlink ref="O67" r:id="rId32" display="https://us3.assetplanner.com/service_request?ID=096525" xr:uid="{95F80024-2882-408C-B79F-22C690D01D2B}"/>
    <hyperlink ref="P67" r:id="rId33" display="https://us3.assetplanner.com/service_request?ID=097011" xr:uid="{D7E669F7-29CA-4E1A-8D1B-DB2C58E1B45D}"/>
    <hyperlink ref="Q67" r:id="rId34" display="https://us3.assetplanner.com/service_request?ID=097121" xr:uid="{FB3115F0-3A94-436E-9D2C-7F04D4DE5C68}"/>
    <hyperlink ref="L69" r:id="rId35" display="https://us3.assetplanner.com/service_request?ID=094278" xr:uid="{5DAA914C-6E7A-494D-9A71-1DA32FC3F663}"/>
    <hyperlink ref="M69" r:id="rId36" display="https://us3.assetplanner.com/service_request?ID=095991" xr:uid="{D5018612-C02C-409D-8B08-0E53BC37C00C}"/>
    <hyperlink ref="N69" r:id="rId37" display="https://us3.assetplanner.com/service_request?ID=096215" xr:uid="{49FCEB52-7C95-4711-B283-E5D207A932DD}"/>
    <hyperlink ref="L70" r:id="rId38" display="https://us3.assetplanner.com/service_request?ID=097025" xr:uid="{18C0C3FE-C7E7-4F3D-B9C3-1D43F3796470}"/>
    <hyperlink ref="L71" r:id="rId39" display="https://us3.assetplanner.com/service_request?ID=092964" xr:uid="{5AA6A5FF-84A9-4A99-BCB9-1B850A4A6E7F}"/>
    <hyperlink ref="M71" r:id="rId40" display="https://us3.assetplanner.com/service_request?ID=097169" xr:uid="{3C4DFF25-71A3-41CD-A2A1-499DE738BC0E}"/>
    <hyperlink ref="N71" r:id="rId41" display="https://us3.assetplanner.com/service_request?ID=095253" xr:uid="{A15D9542-266E-472F-81BB-6133EEC2B0DB}"/>
    <hyperlink ref="L72" r:id="rId42" display="https://us3.assetplanner.com/service_request?ID=097524" xr:uid="{37DA2F32-0DF0-4358-90C4-1C6FD15E6C13}"/>
    <hyperlink ref="L73" r:id="rId43" display="https://us3.assetplanner.com/service_request?ID=097010" xr:uid="{887E60D0-CA82-4591-9982-FD723C7FB910}"/>
    <hyperlink ref="M73" r:id="rId44" display="https://us3.assetplanner.com/service_request?ID=097162" xr:uid="{BD618824-50E6-42F5-AFCE-E1F785031AD5}"/>
    <hyperlink ref="N73" r:id="rId45" display="https://us3.assetplanner.com/service_request?ID=097599" xr:uid="{469C66D8-8E37-46ED-A8A8-2E00FDDD7E0B}"/>
    <hyperlink ref="O73" r:id="rId46" display="https://us3.assetplanner.com/service_request?ID=097684" xr:uid="{CAE138E1-F362-45A4-994F-A97D44381E83}"/>
    <hyperlink ref="P73" r:id="rId47" display="https://us3.assetplanner.com/service_request?ID=097701" xr:uid="{724E7FB7-3309-4E4A-B4E2-AE319FE29CC4}"/>
    <hyperlink ref="L74" r:id="rId48" display="https://us3.assetplanner.com/service_request?ID=097930" xr:uid="{7909C9B3-667E-4995-9B64-3FD8F76007C6}"/>
    <hyperlink ref="M74" r:id="rId49" display="https://us3.assetplanner.com/service_request?ID=093436" xr:uid="{BFE29071-A752-486C-ABAE-FE5F4AE26AA0}"/>
    <hyperlink ref="L75" r:id="rId50" display="https://us3.assetplanner.com/service_request?ID=096416" xr:uid="{E713E561-C306-49F3-9631-BE8E810C941F}"/>
    <hyperlink ref="M75" r:id="rId51" display="https://us3.assetplanner.com/service_request?ID=097158" xr:uid="{59485463-5BD0-41F6-99DB-083B314355BB}"/>
    <hyperlink ref="N75" r:id="rId52" display="https://us3.assetplanner.com/service_request?ID=097883" xr:uid="{5F2275C0-7253-4C3F-9FA0-3D3F07FC18E9}"/>
    <hyperlink ref="L76" r:id="rId53" display="https://us3.assetplanner.com/service_request?ID=093375" xr:uid="{7987716B-BDF1-4832-B002-266F9B4C5A0D}"/>
    <hyperlink ref="L77" r:id="rId54" display="https://us3.assetplanner.com/service_request?ID=096675" xr:uid="{3A68B2DA-2745-4220-8FC1-A602536EB74E}"/>
    <hyperlink ref="L79" r:id="rId55" display="https://us3.assetplanner.com/service_request?ID=096552" xr:uid="{B923C52D-FC5D-4E72-BEBA-CDE75F429154}"/>
    <hyperlink ref="M79" r:id="rId56" display="https://us3.assetplanner.com/service_request?ID=095852" xr:uid="{D5F1FBF0-38EC-43FA-975A-5FE6234205B9}"/>
    <hyperlink ref="N79" r:id="rId57" display="https://us3.assetplanner.com/service_request?ID=097526" xr:uid="{E8216ED1-1675-48C9-976A-F83C2694ED52}"/>
    <hyperlink ref="L81" r:id="rId58" display="https://us3.assetplanner.com/service_request?ID=095635" xr:uid="{F37A88A5-3C88-42F4-8A17-138BE889AB3D}"/>
    <hyperlink ref="L82" r:id="rId59" display="https://us3.assetplanner.com/service_request?ID=097667" xr:uid="{343F394C-7453-4EE1-A113-5F6513AB20BD}"/>
    <hyperlink ref="L83" r:id="rId60" display="https://us3.assetplanner.com/service_request?ID=097668" xr:uid="{710CF680-5B73-4CF3-B591-DC673C7410B0}"/>
    <hyperlink ref="L85" r:id="rId61" display="https://us3.assetplanner.com/service_request?ID=095109" xr:uid="{185D435D-C091-4D5A-800D-7157DEE4DDEE}"/>
    <hyperlink ref="L86" r:id="rId62" display="https://us3.assetplanner.com/service_request?ID=097685" xr:uid="{FECA3BD2-C9BE-4272-AFD4-2DDBBFC9FE62}"/>
    <hyperlink ref="L87" r:id="rId63" display="https://us3.assetplanner.com/service_request?ID=097686" xr:uid="{5F3B251D-8584-4AE1-A98A-440D0BDF6FD9}"/>
    <hyperlink ref="M87" r:id="rId64" display="https://us3.assetplanner.com/service_request?ID=096177" xr:uid="{BDE956A4-10B0-4D56-9693-B60B7465B413}"/>
    <hyperlink ref="L88" r:id="rId65" display="https://us3.assetplanner.com/service_request?ID=096106" xr:uid="{A788680A-1C46-4860-A1FD-B7BB41DFDEE5}"/>
    <hyperlink ref="M88" r:id="rId66" display="https://us3.assetplanner.com/service_request?ID=095599" xr:uid="{7F4A788E-0417-4E3C-AB97-7BA32EBAE136}"/>
    <hyperlink ref="L90" r:id="rId67" display="https://us3.assetplanner.com/service_request?ID=097829" xr:uid="{8341E7EB-E18B-44BB-9F35-9BB14F53175F}"/>
    <hyperlink ref="L91" r:id="rId68" display="https://us3.assetplanner.com/service_request?ID=094307" xr:uid="{8066982B-F896-4EAA-A400-223C8FC0F7C6}"/>
    <hyperlink ref="M91" r:id="rId69" display="https://us3.assetplanner.com/service_request?ID=096751" xr:uid="{E0909AFB-D6E8-4F05-87C2-1285E159ACF1}"/>
    <hyperlink ref="L93" r:id="rId70" display="https://us3.assetplanner.com/service_request?ID=097457" xr:uid="{35C62058-102D-4593-8CFB-AD7FBC6E8D2E}"/>
    <hyperlink ref="L95" r:id="rId71" display="https://us3.assetplanner.com/service_request?ID=095073" xr:uid="{75D6E89F-C36F-4171-9558-B6B5F7236F36}"/>
    <hyperlink ref="L96" r:id="rId72" display="https://us3.assetplanner.com/service_request?ID=097015" xr:uid="{827FFEB3-5602-4B65-B6A7-A6DD4A19AC0C}"/>
    <hyperlink ref="M96" r:id="rId73" display="https://us3.assetplanner.com/service_request?ID=097436" xr:uid="{5D10A6FF-8313-4C2E-9E1D-192C1D56169C}"/>
    <hyperlink ref="N96" r:id="rId74" display="https://us3.assetplanner.com/service_request?ID=097751" xr:uid="{581984EE-F03E-4508-925B-01868A354E33}"/>
    <hyperlink ref="L97" r:id="rId75" display="https://us3.assetplanner.com/service_request?ID=095821" xr:uid="{86D120A6-A09B-458E-8E18-09050482DE4E}"/>
    <hyperlink ref="M97" r:id="rId76" display="https://us3.assetplanner.com/service_request?ID=097157" xr:uid="{47B232EF-FD33-4B93-80AB-BCACEB55965D}"/>
    <hyperlink ref="N97" r:id="rId77" display="https://us3.assetplanner.com/service_request?ID=097647" xr:uid="{007572A1-19AA-4209-A990-84E0F5B156DF}"/>
    <hyperlink ref="L101" r:id="rId78" display="https://us3.assetplanner.com/service_request?ID=097565" xr:uid="{C6FA95A9-134F-49A5-ABE5-DDA55EB9D5BF}"/>
    <hyperlink ref="L106" r:id="rId79" display="https://us3.assetplanner.com/service_request?ID=097725" xr:uid="{58EB8CFA-F2B6-4043-84A7-0F1F3F55A55D}"/>
    <hyperlink ref="M106" r:id="rId80" display="https://us3.assetplanner.com/service_request?ID=095624" xr:uid="{03FA786B-0367-4CDB-B00D-402775C87BF4}"/>
    <hyperlink ref="L108" r:id="rId81" display="https://us3.assetplanner.com/service_request?ID=096042" xr:uid="{FEC8B34E-414E-44D3-8B5A-0DF6F8784161}"/>
    <hyperlink ref="M108" r:id="rId82" display="https://us3.assetplanner.com/service_request?ID=096682" xr:uid="{19A1308A-466E-47A7-8CC7-6D714D679C31}"/>
    <hyperlink ref="L109" r:id="rId83" display="https://us3.assetplanner.com/service_request?ID=096006" xr:uid="{04D63025-A8D5-4415-9FD6-53A49A398D80}"/>
    <hyperlink ref="L110" r:id="rId84" display="https://us3.assetplanner.com/service_request?ID=096934" xr:uid="{B11EB8B8-F4E9-40D4-BA0F-A0E62003517A}"/>
    <hyperlink ref="L111" r:id="rId85" display="https://us3.assetplanner.com/service_request?ID=097471" xr:uid="{D239B350-D078-4F66-A626-C9AD5482D09E}"/>
    <hyperlink ref="L112" r:id="rId86" display="https://us3.assetplanner.com/service_request?ID=094820" xr:uid="{E136F58E-1474-416F-B463-DCBEEA158E3C}"/>
    <hyperlink ref="L113" r:id="rId87" display="https://us3.assetplanner.com/service_request?ID=095759" xr:uid="{9F758C21-7EB0-4942-A519-34CBE5E2CC8C}"/>
    <hyperlink ref="L114" r:id="rId88" display="https://us3.assetplanner.com/service_request?ID=096669" xr:uid="{3135662F-602E-483B-8E84-83F96D77DC1C}"/>
    <hyperlink ref="M114" r:id="rId89" display="https://us3.assetplanner.com/service_request?ID=097454" xr:uid="{BBADF497-8AEE-4A28-8E2E-625D713F5595}"/>
    <hyperlink ref="L115" r:id="rId90" display="https://us3.assetplanner.com/service_request?ID=096303" xr:uid="{ECD5B7A8-4ECF-415C-AB91-157AE7DEEFB7}"/>
    <hyperlink ref="L116" r:id="rId91" display="https://us3.assetplanner.com/service_request?ID=096906" xr:uid="{BE97AC9C-593A-41AF-B32E-7E6DEB1650B5}"/>
    <hyperlink ref="M116" r:id="rId92" display="https://us3.assetplanner.com/service_request?ID=097179" xr:uid="{8F6E7651-D52D-4624-8106-5AF8A6697204}"/>
    <hyperlink ref="N116" r:id="rId93" display="https://us3.assetplanner.com/service_request?ID=097913" xr:uid="{B22C5EC6-3C7E-4816-ABDA-165B249BEEC6}"/>
    <hyperlink ref="L119" r:id="rId94" display="https://us3.assetplanner.com/service_request?ID=097024" xr:uid="{A747A0B3-7397-4AFB-9C87-ACBA0B98897E}"/>
    <hyperlink ref="M119" r:id="rId95" display="https://us3.assetplanner.com/service_request?ID=097188" xr:uid="{ED3D5DFB-B1DE-48C5-A0C1-B8125EC02A3E}"/>
    <hyperlink ref="L123" r:id="rId96" display="https://us3.assetplanner.com/service_request?ID=095945" xr:uid="{3F958D16-A5EF-4BEB-A72F-867F889AA10D}"/>
    <hyperlink ref="M123" r:id="rId97" display="https://us3.assetplanner.com/service_request?ID=097637" xr:uid="{44FD2A6C-A7BA-48BA-BED0-AF0381838237}"/>
    <hyperlink ref="L124" r:id="rId98" display="https://us3.assetplanner.com/service_request?ID=095946" xr:uid="{62E2C2C2-144A-47D6-8319-F4EAA1768629}"/>
    <hyperlink ref="L125" r:id="rId99" display="https://us3.assetplanner.com/service_request?ID=095948" xr:uid="{BBA4067D-7C1D-4920-A2FE-73BCFFA9313C}"/>
    <hyperlink ref="L126" r:id="rId100" display="https://us3.assetplanner.com/service_request?ID=095950" xr:uid="{0032341E-BC70-44E9-B950-CAD0CEAB1A25}"/>
    <hyperlink ref="L127" r:id="rId101" display="https://us3.assetplanner.com/service_request?ID=095962" xr:uid="{73916FB1-DA8E-43D2-AE83-0334321E8960}"/>
    <hyperlink ref="L128" r:id="rId102" display="https://us3.assetplanner.com/service_request?ID=095954" xr:uid="{62D6BE75-A80A-4EDB-AF61-79F5054B104F}"/>
    <hyperlink ref="L130" r:id="rId103" display="https://us3.assetplanner.com/service_request?ID=095960" xr:uid="{A9B912D1-9078-4883-9180-C839DB7E0D28}"/>
    <hyperlink ref="L133" r:id="rId104" display="https://us3.assetplanner.com/service_request?ID=095956" xr:uid="{4A76B80E-E6F3-49C5-A9A3-663B6119D2DC}"/>
    <hyperlink ref="M133" r:id="rId105" display="https://us3.assetplanner.com/service_request?ID=096424" xr:uid="{0C8F83DB-46F4-469D-BBF2-07B796AD0854}"/>
    <hyperlink ref="L134" r:id="rId106" display="https://us3.assetplanner.com/service_request?ID=095955" xr:uid="{CFD519EE-201A-4DB5-A307-EB36882C8D3F}"/>
    <hyperlink ref="L136" r:id="rId107" display="https://us3.assetplanner.com/service_request?ID=095937" xr:uid="{30B7E966-812F-4C2A-994E-F787ADD22A04}"/>
    <hyperlink ref="L137" r:id="rId108" display="https://us3.assetplanner.com/service_request?ID=095938" xr:uid="{744D2E2B-2289-4C28-BFB4-DA1322B3BD6D}"/>
    <hyperlink ref="L138" r:id="rId109" display="https://us3.assetplanner.com/service_request?ID=095939" xr:uid="{383C6235-E490-4FFF-8952-5DA8C0BAF5EC}"/>
    <hyperlink ref="L140" r:id="rId110" display="https://us3.assetplanner.com/service_request?ID=095941" xr:uid="{F7B86361-D50A-47AF-8306-BB4CEDAE4957}"/>
    <hyperlink ref="M140" r:id="rId111" display="https://us3.assetplanner.com/service_request?ID=095940" xr:uid="{EDCC42B0-BE9E-49B5-895D-DBB00D5BDBA5}"/>
    <hyperlink ref="N140" r:id="rId112" display="https://us3.assetplanner.com/service_request?ID=095940" xr:uid="{216EE549-7641-44BE-8146-8C36A5821027}"/>
    <hyperlink ref="L141" r:id="rId113" display="https://us3.assetplanner.com/service_request?ID=095942" xr:uid="{A1EB3A98-C3BB-40E5-BA39-86F959CB67DE}"/>
    <hyperlink ref="L143" r:id="rId114" display="https://us3.assetplanner.com/service_request?ID=095961" xr:uid="{DF113FAA-4D39-4CCA-89B3-26E5F6109E52}"/>
    <hyperlink ref="M143" r:id="rId115" display="https://us3.assetplanner.com/service_request?ID=097620" xr:uid="{E5A4709E-AE01-4989-9FE3-394B0D414D33}"/>
    <hyperlink ref="L144" r:id="rId116" display="https://us3.assetplanner.com/service_request?ID=096931" xr:uid="{C37BD0B6-DD5D-4EB6-BE78-CA5BF2A26E0C}"/>
    <hyperlink ref="L146" r:id="rId117" display="https://us3.assetplanner.com/service_request?ID=097882" xr:uid="{6725B987-5F3E-4C36-8BAA-73C415249453}"/>
    <hyperlink ref="M146" r:id="rId118" display="https://us3.assetplanner.com/service_request?ID=097602" xr:uid="{117330A8-7D2C-4B60-82F2-127F592618B6}"/>
    <hyperlink ref="L147" r:id="rId119" display="https://us3.assetplanner.com/service_request?ID=096257" xr:uid="{EFA7577F-AA4F-4FDC-A802-449F4F4D1041}"/>
    <hyperlink ref="L149" r:id="rId120" display="https://us3.assetplanner.com/service_request?ID=095492" xr:uid="{86210244-81E4-4BFD-BF7C-18BE0AF3D6F9}"/>
    <hyperlink ref="L150" r:id="rId121" display="https://us3.assetplanner.com/service_request?ID=096195" xr:uid="{BDB2DCD1-B9F2-47CE-B84A-FE84C80620BE}"/>
    <hyperlink ref="M150" r:id="rId122" display="https://us3.assetplanner.com/service_request?ID=097168" xr:uid="{6EEAF20D-416D-4369-AE16-0F95CEAC1BF9}"/>
    <hyperlink ref="L151" r:id="rId123" display="https://us3.assetplanner.com/service_request?ID=095797" xr:uid="{E53B8073-EEFE-400B-BEC0-5114895F8CA1}"/>
    <hyperlink ref="L153" r:id="rId124" display="https://us3.assetplanner.com/service_request?ID=095284" xr:uid="{0F43DF4D-B38D-4F65-A301-98279AE06482}"/>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172"/>
  <sheetViews>
    <sheetView zoomScale="70" zoomScaleNormal="70" workbookViewId="0">
      <pane xSplit="2" ySplit="3" topLeftCell="C152" activePane="bottomRight" state="frozen"/>
      <selection pane="bottomRight" activeCell="F167" sqref="F167"/>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7.28515625" customWidth="1"/>
    <col min="12" max="12" width="24.85546875" customWidth="1"/>
  </cols>
  <sheetData>
    <row r="1" spans="1:17" ht="19.5" customHeight="1">
      <c r="A1" s="187" t="str" cm="1">
        <f t="array" ref="A1">portfolio</f>
        <v>Generate Capital</v>
      </c>
      <c r="B1" s="187"/>
      <c r="C1" s="187"/>
      <c r="D1" s="187"/>
      <c r="E1" s="188" t="s">
        <v>382</v>
      </c>
      <c r="F1" s="188"/>
      <c r="G1" s="188"/>
      <c r="H1" s="186" t="s">
        <v>383</v>
      </c>
      <c r="I1" s="186"/>
      <c r="J1" s="186"/>
      <c r="K1" s="4"/>
      <c r="L1" s="4"/>
    </row>
    <row r="2" spans="1:17" ht="19.5" customHeight="1">
      <c r="A2" s="189" t="s">
        <v>2</v>
      </c>
      <c r="B2" s="189"/>
      <c r="C2" s="57"/>
      <c r="D2" s="5">
        <f>SUM(D4:D96)</f>
        <v>21280133.717125773</v>
      </c>
      <c r="E2" s="5">
        <f>SUM(E4:E96)</f>
        <v>7062289.4899999993</v>
      </c>
      <c r="F2" s="5">
        <f>D2-E2</f>
        <v>14217844.227125775</v>
      </c>
      <c r="G2" s="6">
        <f>IFERROR(F2/E2, 0)</f>
        <v>2.0132060923384461</v>
      </c>
      <c r="H2" s="5">
        <f>SUM(H4:H96)</f>
        <v>22138674.387000006</v>
      </c>
      <c r="I2" s="7">
        <f>D2-H2</f>
        <v>-858540.66987423226</v>
      </c>
      <c r="J2" s="6">
        <f>IFERROR(I2/H2, 0)</f>
        <v>-3.8780129960191916E-2</v>
      </c>
      <c r="K2" s="22" t="str">
        <f ca="1">IF(AND(TODAY()&gt;DATE(2024, 3,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7" ht="14.25" customHeight="1">
      <c r="A3" s="8" t="s">
        <v>3</v>
      </c>
      <c r="B3" s="8" t="s">
        <v>4</v>
      </c>
      <c r="C3" s="8" t="s">
        <v>5</v>
      </c>
      <c r="D3" s="19" t="s">
        <v>6</v>
      </c>
      <c r="E3" s="31" t="s">
        <v>7</v>
      </c>
      <c r="F3" s="31" t="s">
        <v>8</v>
      </c>
      <c r="G3" s="32" t="s">
        <v>9</v>
      </c>
      <c r="H3" s="33" t="s">
        <v>10</v>
      </c>
      <c r="I3" s="34" t="s">
        <v>8</v>
      </c>
      <c r="J3" s="35" t="s">
        <v>9</v>
      </c>
      <c r="K3" s="21" t="s">
        <v>21</v>
      </c>
      <c r="L3" s="21" t="s">
        <v>22</v>
      </c>
    </row>
    <row r="4" spans="1:17" ht="15.6">
      <c r="A4" s="26" t="str" cm="1">
        <f t="array" ref="A4:A172">Sites[Site]</f>
        <v>K026</v>
      </c>
      <c r="B4" s="27" t="str" cm="1">
        <f t="array" ref="B4:B172">Sites[State]</f>
        <v>NY</v>
      </c>
      <c r="C4" s="27" t="str">
        <f>Sites[[#This Row],[SOL'#]]</f>
        <v>SOL-10356</v>
      </c>
      <c r="D4" s="9">
        <v>30245.6249999998</v>
      </c>
      <c r="E4" s="14">
        <v>32051.82</v>
      </c>
      <c r="F4" s="14">
        <f t="shared" ref="F4:F60" si="0">IF(AND(ISNUMBER(D4),ISNUMBER(E4)), D4-E4, "")</f>
        <v>-1806.1950000001998</v>
      </c>
      <c r="G4" s="15">
        <f t="shared" ref="G4:G60" si="1">IFERROR(F4/E4, "")</f>
        <v>-5.6352338182362183E-2</v>
      </c>
      <c r="H4" s="16">
        <v>24603.88</v>
      </c>
      <c r="I4" s="16">
        <f t="shared" ref="I4:I64" si="2">IF(AND(ISNUMBER(D4),ISNUMBER(H4)), D4-H4, "")</f>
        <v>5641.7449999997989</v>
      </c>
      <c r="J4" s="15">
        <f t="shared" ref="J4:J64" si="3">IFERROR(I4/H4, "")</f>
        <v>0.22930306114319363</v>
      </c>
      <c r="K4" s="38"/>
      <c r="L4" s="39"/>
      <c r="M4" s="104"/>
      <c r="N4" s="104"/>
      <c r="O4" s="104"/>
      <c r="P4" s="104"/>
      <c r="Q4" s="104"/>
    </row>
    <row r="5" spans="1:17" ht="15.6">
      <c r="A5" s="24" t="str">
        <v>K041</v>
      </c>
      <c r="B5" s="25" t="str">
        <v>NY</v>
      </c>
      <c r="C5" s="25" t="str">
        <f>Sites[[#This Row],[SOL'#]]</f>
        <v>SOL-10357</v>
      </c>
      <c r="D5" s="20">
        <v>22872.640625</v>
      </c>
      <c r="E5" s="10">
        <v>25521.62</v>
      </c>
      <c r="F5" s="10">
        <f t="shared" si="0"/>
        <v>-2648.979374999999</v>
      </c>
      <c r="G5" s="11">
        <f t="shared" si="1"/>
        <v>-0.10379354347412112</v>
      </c>
      <c r="H5" s="12">
        <v>22285</v>
      </c>
      <c r="I5" s="12">
        <f t="shared" si="2"/>
        <v>587.640625</v>
      </c>
      <c r="J5" s="13">
        <f t="shared" si="3"/>
        <v>2.6369334754319049E-2</v>
      </c>
      <c r="K5" s="37" t="s">
        <v>384</v>
      </c>
      <c r="L5" s="37"/>
      <c r="M5" s="104"/>
      <c r="N5" s="104"/>
      <c r="O5" s="104"/>
      <c r="P5" s="104"/>
      <c r="Q5" s="104"/>
    </row>
    <row r="6" spans="1:17" ht="66.75" customHeight="1">
      <c r="A6" s="26" t="str">
        <v>K043</v>
      </c>
      <c r="B6" s="27" t="str">
        <v>NY</v>
      </c>
      <c r="C6" s="27" t="str">
        <f>Sites[[#This Row],[SOL'#]]</f>
        <v>SOL-10358</v>
      </c>
      <c r="D6" s="9">
        <v>26995.0625</v>
      </c>
      <c r="E6" s="14">
        <v>28403.98</v>
      </c>
      <c r="F6" s="14">
        <f t="shared" si="0"/>
        <v>-1408.9174999999996</v>
      </c>
      <c r="G6" s="15">
        <f t="shared" si="1"/>
        <v>-4.9602819745683514E-2</v>
      </c>
      <c r="H6" s="16">
        <v>4961</v>
      </c>
      <c r="I6" s="16">
        <f t="shared" si="2"/>
        <v>22034.0625</v>
      </c>
      <c r="J6" s="15">
        <f t="shared" si="3"/>
        <v>4.4414558556742589</v>
      </c>
      <c r="K6" s="50" t="s">
        <v>385</v>
      </c>
      <c r="L6" s="113" t="s">
        <v>386</v>
      </c>
      <c r="M6" s="104"/>
      <c r="N6" s="104"/>
      <c r="O6" s="104"/>
      <c r="P6" s="104"/>
      <c r="Q6" s="104"/>
    </row>
    <row r="7" spans="1:17" ht="17.25" customHeight="1">
      <c r="A7" s="24" t="str">
        <v>K058</v>
      </c>
      <c r="B7" s="25" t="str">
        <v>NY</v>
      </c>
      <c r="C7" s="25" t="str">
        <f>Sites[[#This Row],[SOL'#]]</f>
        <v>SOL-10360</v>
      </c>
      <c r="D7" s="20">
        <v>0</v>
      </c>
      <c r="E7" s="10">
        <v>0</v>
      </c>
      <c r="F7" s="10">
        <f t="shared" si="0"/>
        <v>0</v>
      </c>
      <c r="G7" s="11" t="str">
        <f t="shared" si="1"/>
        <v/>
      </c>
      <c r="H7" s="12">
        <v>18804</v>
      </c>
      <c r="I7" s="12">
        <f t="shared" si="2"/>
        <v>-18804</v>
      </c>
      <c r="J7" s="13">
        <f t="shared" si="3"/>
        <v>-1</v>
      </c>
      <c r="K7" s="37" t="s">
        <v>387</v>
      </c>
      <c r="L7" s="110" t="s">
        <v>221</v>
      </c>
      <c r="M7" s="104"/>
      <c r="N7" s="104"/>
      <c r="O7" s="104"/>
      <c r="P7" s="104"/>
      <c r="Q7" s="104"/>
    </row>
    <row r="8" spans="1:17" ht="15.6">
      <c r="A8" s="26" t="str">
        <v>K115</v>
      </c>
      <c r="B8" s="27" t="str">
        <v>NY</v>
      </c>
      <c r="C8" s="27" t="str">
        <f>Sites[[#This Row],[SOL'#]]</f>
        <v>SOL-10361</v>
      </c>
      <c r="D8" s="9">
        <v>5929.1796875</v>
      </c>
      <c r="E8" s="14">
        <v>10638.23</v>
      </c>
      <c r="F8" s="14">
        <f t="shared" si="0"/>
        <v>-4709.0503124999996</v>
      </c>
      <c r="G8" s="15">
        <f t="shared" si="1"/>
        <v>-0.44265355350467134</v>
      </c>
      <c r="H8" s="16">
        <v>12280.17</v>
      </c>
      <c r="I8" s="16">
        <f t="shared" si="2"/>
        <v>-6350.9903125000001</v>
      </c>
      <c r="J8" s="15">
        <f t="shared" si="3"/>
        <v>-0.51717446195777417</v>
      </c>
      <c r="K8" s="38" t="s">
        <v>388</v>
      </c>
      <c r="L8" s="113" t="s">
        <v>25</v>
      </c>
      <c r="M8" s="104"/>
      <c r="N8" s="104"/>
      <c r="O8" s="104"/>
      <c r="P8" s="104"/>
      <c r="Q8" s="104"/>
    </row>
    <row r="9" spans="1:17" ht="15.6">
      <c r="A9" s="24" t="str">
        <v>K152</v>
      </c>
      <c r="B9" s="25" t="str">
        <v>NY</v>
      </c>
      <c r="C9" s="25" t="str">
        <f>Sites[[#This Row],[SOL'#]]</f>
        <v>SOL-10362</v>
      </c>
      <c r="D9" s="20">
        <v>8515.59375</v>
      </c>
      <c r="E9" s="10">
        <v>8763.652</v>
      </c>
      <c r="F9" s="10">
        <f t="shared" si="0"/>
        <v>-248.05825000000004</v>
      </c>
      <c r="G9" s="11">
        <f t="shared" si="1"/>
        <v>-2.8305351467630167E-2</v>
      </c>
      <c r="H9" s="12">
        <v>7172</v>
      </c>
      <c r="I9" s="12">
        <f t="shared" si="2"/>
        <v>1343.59375</v>
      </c>
      <c r="J9" s="13">
        <f t="shared" si="3"/>
        <v>0.18733878276631344</v>
      </c>
      <c r="K9" s="37"/>
      <c r="L9" s="37"/>
      <c r="M9" s="104"/>
      <c r="N9" s="104"/>
      <c r="O9" s="104"/>
      <c r="P9" s="104"/>
      <c r="Q9" s="104"/>
    </row>
    <row r="10" spans="1:17" ht="15.6">
      <c r="A10" s="26" t="str">
        <v>K166</v>
      </c>
      <c r="B10" s="27" t="str">
        <v>NY</v>
      </c>
      <c r="C10" s="27" t="str">
        <f>Sites[[#This Row],[SOL'#]]</f>
        <v>SOL-10363</v>
      </c>
      <c r="D10" s="9">
        <v>30869.625</v>
      </c>
      <c r="E10" s="14">
        <v>32488.02</v>
      </c>
      <c r="F10" s="14">
        <f t="shared" si="0"/>
        <v>-1618.3950000000004</v>
      </c>
      <c r="G10" s="15">
        <f t="shared" si="1"/>
        <v>-4.9815131854757548E-2</v>
      </c>
      <c r="H10" s="16">
        <v>25933.759999999998</v>
      </c>
      <c r="I10" s="16">
        <f t="shared" si="2"/>
        <v>4935.8650000000016</v>
      </c>
      <c r="J10" s="15">
        <f t="shared" si="3"/>
        <v>0.1903258532507435</v>
      </c>
      <c r="K10" s="38"/>
      <c r="L10" s="39"/>
      <c r="M10" s="104"/>
      <c r="N10" s="104"/>
      <c r="O10" s="104"/>
      <c r="P10" s="104"/>
      <c r="Q10" s="104"/>
    </row>
    <row r="11" spans="1:17" ht="15.6">
      <c r="A11" s="24" t="str">
        <v>K206</v>
      </c>
      <c r="B11" s="25" t="str">
        <v>NY</v>
      </c>
      <c r="C11" s="25" t="str">
        <f>Sites[[#This Row],[SOL'#]]</f>
        <v>SOL-10927</v>
      </c>
      <c r="D11" s="20">
        <v>17927.302265625</v>
      </c>
      <c r="E11" s="10">
        <v>18527.810000000001</v>
      </c>
      <c r="F11" s="10">
        <f t="shared" si="0"/>
        <v>-600.50773437500175</v>
      </c>
      <c r="G11" s="11">
        <f t="shared" si="1"/>
        <v>-3.2411155682997704E-2</v>
      </c>
      <c r="H11" s="12">
        <v>15907</v>
      </c>
      <c r="I11" s="12">
        <f t="shared" si="2"/>
        <v>2020.3022656249996</v>
      </c>
      <c r="J11" s="13">
        <f t="shared" si="3"/>
        <v>0.12700712048940715</v>
      </c>
      <c r="K11" s="37"/>
      <c r="L11" s="37"/>
      <c r="M11" s="104"/>
      <c r="N11" s="104"/>
      <c r="O11" s="104"/>
      <c r="P11" s="104"/>
      <c r="Q11" s="104"/>
    </row>
    <row r="12" spans="1:17" ht="15.6">
      <c r="A12" s="26" t="str">
        <v>K251</v>
      </c>
      <c r="B12" s="27" t="str">
        <v>NY</v>
      </c>
      <c r="C12" s="27" t="str">
        <f>Sites[[#This Row],[SOL'#]]</f>
        <v>SOL-10365</v>
      </c>
      <c r="D12" s="9">
        <v>19829.9375</v>
      </c>
      <c r="E12" s="14">
        <v>0</v>
      </c>
      <c r="F12" s="14">
        <f t="shared" si="0"/>
        <v>19829.9375</v>
      </c>
      <c r="G12" s="15" t="str">
        <f t="shared" si="1"/>
        <v/>
      </c>
      <c r="H12" s="16">
        <v>16761.96</v>
      </c>
      <c r="I12" s="16">
        <f t="shared" si="2"/>
        <v>3067.9775000000009</v>
      </c>
      <c r="J12" s="15">
        <f t="shared" si="3"/>
        <v>0.18303214540542997</v>
      </c>
      <c r="K12" s="38" t="s">
        <v>389</v>
      </c>
      <c r="L12" s="113" t="s">
        <v>223</v>
      </c>
      <c r="M12" s="104"/>
      <c r="N12" s="104"/>
      <c r="O12" s="104"/>
      <c r="P12" s="104"/>
      <c r="Q12" s="104"/>
    </row>
    <row r="13" spans="1:17" ht="15.6">
      <c r="A13" s="24" t="str">
        <v>K269</v>
      </c>
      <c r="B13" s="25" t="str">
        <v>NY</v>
      </c>
      <c r="C13" s="25" t="str">
        <f>Sites[[#This Row],[SOL'#]]</f>
        <v>SOL-10366</v>
      </c>
      <c r="D13" s="20">
        <v>18251.1875</v>
      </c>
      <c r="E13" s="10">
        <v>21299.75</v>
      </c>
      <c r="F13" s="10">
        <f t="shared" si="0"/>
        <v>-3048.5625</v>
      </c>
      <c r="G13" s="11">
        <f t="shared" si="1"/>
        <v>-0.14312667989060904</v>
      </c>
      <c r="H13" s="12">
        <v>17272.78</v>
      </c>
      <c r="I13" s="12">
        <f t="shared" si="2"/>
        <v>978.40750000000116</v>
      </c>
      <c r="J13" s="13">
        <f t="shared" si="3"/>
        <v>5.664447182213872E-2</v>
      </c>
      <c r="K13" s="37" t="s">
        <v>390</v>
      </c>
      <c r="L13" s="37"/>
      <c r="M13" s="104"/>
      <c r="N13" s="104"/>
      <c r="O13" s="104"/>
      <c r="P13" s="104"/>
      <c r="Q13" s="104"/>
    </row>
    <row r="14" spans="1:17" ht="57.6">
      <c r="A14" s="26" t="str">
        <v>K273</v>
      </c>
      <c r="B14" s="27" t="str">
        <v>NY</v>
      </c>
      <c r="C14" s="27" t="str">
        <f>Sites[[#This Row],[SOL'#]]</f>
        <v>SOL-10367</v>
      </c>
      <c r="D14" s="9">
        <v>19471.3125</v>
      </c>
      <c r="E14" s="14">
        <v>0</v>
      </c>
      <c r="F14" s="14">
        <f t="shared" si="0"/>
        <v>19471.3125</v>
      </c>
      <c r="G14" s="15" t="str">
        <f t="shared" si="1"/>
        <v/>
      </c>
      <c r="H14" s="16">
        <v>19892</v>
      </c>
      <c r="I14" s="16">
        <f t="shared" si="2"/>
        <v>-420.6875</v>
      </c>
      <c r="J14" s="15">
        <f t="shared" si="3"/>
        <v>-2.1148577317514579E-2</v>
      </c>
      <c r="K14" s="38" t="s">
        <v>391</v>
      </c>
      <c r="L14" s="113" t="s">
        <v>392</v>
      </c>
      <c r="M14" s="103" t="s">
        <v>31</v>
      </c>
      <c r="N14" s="103" t="s">
        <v>393</v>
      </c>
      <c r="O14" s="104"/>
      <c r="P14" s="104"/>
      <c r="Q14" s="104"/>
    </row>
    <row r="15" spans="1:17" ht="15.6">
      <c r="A15" s="24" t="str">
        <v>K287</v>
      </c>
      <c r="B15" s="25" t="str">
        <v>NY</v>
      </c>
      <c r="C15" s="25" t="str">
        <f>Sites[[#This Row],[SOL'#]]</f>
        <v>SOL-10919</v>
      </c>
      <c r="D15" s="20">
        <v>15894.4375</v>
      </c>
      <c r="E15" s="10">
        <v>14108.52</v>
      </c>
      <c r="F15" s="10">
        <f t="shared" si="0"/>
        <v>1785.9174999999996</v>
      </c>
      <c r="G15" s="11">
        <f t="shared" si="1"/>
        <v>0.12658432635031877</v>
      </c>
      <c r="H15" s="12">
        <v>15141</v>
      </c>
      <c r="I15" s="12">
        <f t="shared" si="2"/>
        <v>753.4375</v>
      </c>
      <c r="J15" s="13">
        <f t="shared" si="3"/>
        <v>4.9761409418136185E-2</v>
      </c>
      <c r="K15" s="37"/>
      <c r="L15" s="37"/>
      <c r="M15" s="104"/>
      <c r="N15" s="104"/>
      <c r="O15" s="104"/>
      <c r="P15" s="104"/>
      <c r="Q15" s="104"/>
    </row>
    <row r="16" spans="1:17" ht="43.15">
      <c r="A16" s="26" t="str">
        <v>K298</v>
      </c>
      <c r="B16" s="27" t="str">
        <v>NY</v>
      </c>
      <c r="C16" s="27" t="str">
        <f>Sites[[#This Row],[SOL'#]]</f>
        <v>SOL-10368</v>
      </c>
      <c r="D16" s="9">
        <v>16928.46875</v>
      </c>
      <c r="E16" s="14">
        <v>18337.650000000001</v>
      </c>
      <c r="F16" s="14">
        <f t="shared" si="0"/>
        <v>-1409.1812500000015</v>
      </c>
      <c r="G16" s="15">
        <f t="shared" si="1"/>
        <v>-7.6846337998598579E-2</v>
      </c>
      <c r="H16" s="16">
        <v>16617</v>
      </c>
      <c r="I16" s="16">
        <f t="shared" si="2"/>
        <v>311.46875</v>
      </c>
      <c r="J16" s="15">
        <f t="shared" si="3"/>
        <v>1.8743982066558345E-2</v>
      </c>
      <c r="K16" s="38" t="s">
        <v>394</v>
      </c>
      <c r="L16" s="113" t="s">
        <v>395</v>
      </c>
      <c r="M16" s="103" t="s">
        <v>396</v>
      </c>
      <c r="N16" s="104"/>
      <c r="O16" s="104"/>
      <c r="P16" s="104"/>
      <c r="Q16" s="104"/>
    </row>
    <row r="17" spans="1:17" ht="15.6">
      <c r="A17" s="24" t="str">
        <v>K335</v>
      </c>
      <c r="B17" s="25" t="str">
        <v>NY</v>
      </c>
      <c r="C17" s="25" t="str">
        <f>Sites[[#This Row],[SOL'#]]</f>
        <v>SOL-10370</v>
      </c>
      <c r="D17" s="20">
        <v>18093.6875</v>
      </c>
      <c r="E17" s="10">
        <v>19835.330000000002</v>
      </c>
      <c r="F17" s="10">
        <f t="shared" si="0"/>
        <v>-1741.6425000000017</v>
      </c>
      <c r="G17" s="11">
        <f t="shared" si="1"/>
        <v>-8.7805068027605362E-2</v>
      </c>
      <c r="H17" s="12">
        <v>16751</v>
      </c>
      <c r="I17" s="12">
        <f t="shared" si="2"/>
        <v>1342.6875</v>
      </c>
      <c r="J17" s="13">
        <f t="shared" si="3"/>
        <v>8.015566234851651E-2</v>
      </c>
      <c r="K17" s="37"/>
      <c r="L17" s="37"/>
      <c r="M17" s="104"/>
      <c r="N17" s="104"/>
      <c r="O17" s="104"/>
      <c r="P17" s="104"/>
      <c r="Q17" s="104"/>
    </row>
    <row r="18" spans="1:17" ht="15.6">
      <c r="A18" s="26" t="str">
        <v>K345</v>
      </c>
      <c r="B18" s="27" t="str">
        <v>NY</v>
      </c>
      <c r="C18" s="27" t="str">
        <f>Sites[[#This Row],[SOL'#]]</f>
        <v>SOL-10920</v>
      </c>
      <c r="D18" s="9">
        <v>21064.03125</v>
      </c>
      <c r="E18" s="14">
        <v>13042.92</v>
      </c>
      <c r="F18" s="14">
        <f t="shared" si="0"/>
        <v>8021.1112499999999</v>
      </c>
      <c r="G18" s="15">
        <f t="shared" si="1"/>
        <v>0.61497818356625666</v>
      </c>
      <c r="H18" s="16">
        <v>19934</v>
      </c>
      <c r="I18" s="16">
        <f t="shared" si="2"/>
        <v>1130.03125</v>
      </c>
      <c r="J18" s="15">
        <f t="shared" si="3"/>
        <v>5.6688634995485099E-2</v>
      </c>
      <c r="K18" s="38"/>
      <c r="L18" s="39"/>
      <c r="M18" s="104"/>
      <c r="N18" s="104"/>
      <c r="O18" s="104"/>
      <c r="P18" s="104"/>
      <c r="Q18" s="104"/>
    </row>
    <row r="19" spans="1:17" ht="15.6">
      <c r="A19" s="24" t="str">
        <v>K445</v>
      </c>
      <c r="B19" s="25" t="str">
        <v>NY</v>
      </c>
      <c r="C19" s="25" t="str">
        <f>Sites[[#This Row],[SOL'#]]</f>
        <v>SOL-10373</v>
      </c>
      <c r="D19" s="20">
        <v>17147.265625</v>
      </c>
      <c r="E19" s="10">
        <v>19226.169999999998</v>
      </c>
      <c r="F19" s="10">
        <f t="shared" si="0"/>
        <v>-2078.9043749999983</v>
      </c>
      <c r="G19" s="11">
        <f t="shared" si="1"/>
        <v>-0.10812888760475947</v>
      </c>
      <c r="H19" s="12">
        <v>15923.85</v>
      </c>
      <c r="I19" s="12">
        <f t="shared" si="2"/>
        <v>1223.4156249999996</v>
      </c>
      <c r="J19" s="13">
        <f t="shared" si="3"/>
        <v>7.6829135227975617E-2</v>
      </c>
      <c r="K19" s="37" t="s">
        <v>397</v>
      </c>
      <c r="L19" s="37"/>
      <c r="M19" s="104"/>
      <c r="N19" s="104"/>
      <c r="O19" s="104"/>
      <c r="P19" s="104"/>
      <c r="Q19" s="104"/>
    </row>
    <row r="20" spans="1:17" ht="51" customHeight="1">
      <c r="A20" s="26" t="str">
        <v>K495</v>
      </c>
      <c r="B20" s="27" t="str">
        <v>NY</v>
      </c>
      <c r="C20" s="27" t="str">
        <f>Sites[[#This Row],[SOL'#]]</f>
        <v>SOL-10374</v>
      </c>
      <c r="D20" s="9">
        <v>0</v>
      </c>
      <c r="E20" s="14">
        <v>61161.43</v>
      </c>
      <c r="F20" s="14">
        <f t="shared" si="0"/>
        <v>-61161.43</v>
      </c>
      <c r="G20" s="15">
        <f t="shared" si="1"/>
        <v>-1</v>
      </c>
      <c r="H20" s="16">
        <v>69499</v>
      </c>
      <c r="I20" s="16">
        <f t="shared" si="2"/>
        <v>-69499</v>
      </c>
      <c r="J20" s="15">
        <f t="shared" si="3"/>
        <v>-1</v>
      </c>
      <c r="K20" s="51" t="s">
        <v>224</v>
      </c>
      <c r="L20" s="100" t="s">
        <v>33</v>
      </c>
      <c r="M20" s="104"/>
      <c r="N20" s="104"/>
      <c r="O20" s="104"/>
      <c r="P20" s="104"/>
      <c r="Q20" s="104"/>
    </row>
    <row r="21" spans="1:17" ht="15.6">
      <c r="A21" s="24" t="str">
        <v>M020</v>
      </c>
      <c r="B21" s="25" t="str">
        <v>NY</v>
      </c>
      <c r="C21" s="25" t="str">
        <f>Sites[[#This Row],[SOL'#]]</f>
        <v>SOL-10380</v>
      </c>
      <c r="D21" s="20">
        <v>18159.5</v>
      </c>
      <c r="E21" s="10">
        <v>19883.75</v>
      </c>
      <c r="F21" s="10">
        <f t="shared" si="0"/>
        <v>-1724.25</v>
      </c>
      <c r="G21" s="11">
        <f t="shared" si="1"/>
        <v>-8.6716539888099575E-2</v>
      </c>
      <c r="H21" s="12">
        <v>18985</v>
      </c>
      <c r="I21" s="12">
        <f t="shared" si="2"/>
        <v>-825.5</v>
      </c>
      <c r="J21" s="13">
        <f t="shared" si="3"/>
        <v>-4.3481696075849355E-2</v>
      </c>
      <c r="K21" s="37"/>
      <c r="L21" s="37"/>
      <c r="M21" s="104"/>
      <c r="N21" s="104"/>
      <c r="O21" s="104"/>
      <c r="P21" s="104"/>
      <c r="Q21" s="104"/>
    </row>
    <row r="22" spans="1:17" ht="15.6">
      <c r="A22" s="26" t="str">
        <v>M092</v>
      </c>
      <c r="B22" s="27" t="str">
        <v>NY</v>
      </c>
      <c r="C22" s="27" t="str">
        <f>Sites[[#This Row],[SOL'#]]</f>
        <v>SOL-10383</v>
      </c>
      <c r="D22" s="9">
        <v>18077.375</v>
      </c>
      <c r="E22" s="14">
        <v>19419.650000000001</v>
      </c>
      <c r="F22" s="14">
        <f t="shared" si="0"/>
        <v>-1342.2750000000015</v>
      </c>
      <c r="G22" s="15">
        <f t="shared" si="1"/>
        <v>-6.911942285262615E-2</v>
      </c>
      <c r="H22" s="16">
        <v>17567.240000000002</v>
      </c>
      <c r="I22" s="16">
        <f t="shared" si="2"/>
        <v>510.1349999999984</v>
      </c>
      <c r="J22" s="15">
        <f t="shared" si="3"/>
        <v>2.9038995311727874E-2</v>
      </c>
      <c r="K22" s="38"/>
      <c r="L22" s="39"/>
      <c r="M22" s="104"/>
      <c r="N22" s="104"/>
      <c r="O22" s="104"/>
      <c r="P22" s="104"/>
      <c r="Q22" s="104"/>
    </row>
    <row r="23" spans="1:17" ht="15.6">
      <c r="A23" s="24" t="str">
        <v>M143</v>
      </c>
      <c r="B23" s="25" t="str">
        <v>NY</v>
      </c>
      <c r="C23" s="25" t="str">
        <f>Sites[[#This Row],[SOL'#]]</f>
        <v>SOL-10384</v>
      </c>
      <c r="D23" s="20">
        <v>21360.3125</v>
      </c>
      <c r="E23" s="10">
        <v>23405.1</v>
      </c>
      <c r="F23" s="10">
        <f t="shared" si="0"/>
        <v>-2044.7874999999985</v>
      </c>
      <c r="G23" s="11">
        <f t="shared" si="1"/>
        <v>-8.7365040098098215E-2</v>
      </c>
      <c r="H23" s="12">
        <v>19950.93</v>
      </c>
      <c r="I23" s="12">
        <f t="shared" si="2"/>
        <v>1409.3824999999997</v>
      </c>
      <c r="J23" s="13">
        <f t="shared" si="3"/>
        <v>7.0642446241854367E-2</v>
      </c>
      <c r="K23" s="37"/>
      <c r="L23" s="37"/>
      <c r="M23" s="104"/>
      <c r="N23" s="104"/>
      <c r="O23" s="104"/>
      <c r="P23" s="104"/>
      <c r="Q23" s="104"/>
    </row>
    <row r="24" spans="1:17" ht="15.6">
      <c r="A24" s="26" t="str">
        <v>M144</v>
      </c>
      <c r="B24" s="27" t="str">
        <v>NY</v>
      </c>
      <c r="C24" s="27" t="str">
        <f>Sites[[#This Row],[SOL'#]]</f>
        <v>SOL-10385</v>
      </c>
      <c r="D24" s="9">
        <v>30927.96875</v>
      </c>
      <c r="E24" s="14">
        <v>0</v>
      </c>
      <c r="F24" s="14">
        <f t="shared" si="0"/>
        <v>30927.96875</v>
      </c>
      <c r="G24" s="15" t="str">
        <f t="shared" si="1"/>
        <v/>
      </c>
      <c r="H24" s="16">
        <v>29347</v>
      </c>
      <c r="I24" s="16">
        <f t="shared" si="2"/>
        <v>1580.96875</v>
      </c>
      <c r="J24" s="15">
        <f t="shared" si="3"/>
        <v>5.3871562681023617E-2</v>
      </c>
      <c r="K24" s="38"/>
      <c r="L24" s="38"/>
      <c r="M24" s="104"/>
      <c r="N24" s="104"/>
      <c r="O24" s="104"/>
      <c r="P24" s="104"/>
      <c r="Q24" s="104"/>
    </row>
    <row r="25" spans="1:17" ht="15.6">
      <c r="A25" s="24" t="str">
        <v>M167</v>
      </c>
      <c r="B25" s="25" t="str">
        <v>NY</v>
      </c>
      <c r="C25" s="25" t="str">
        <f>Sites[[#This Row],[SOL'#]]</f>
        <v>SOL-10386</v>
      </c>
      <c r="D25" s="20">
        <v>22510.703125</v>
      </c>
      <c r="E25" s="10">
        <v>17030.169999999998</v>
      </c>
      <c r="F25" s="10">
        <f t="shared" si="0"/>
        <v>5480.5331250000017</v>
      </c>
      <c r="G25" s="11">
        <f t="shared" si="1"/>
        <v>0.32181317773105039</v>
      </c>
      <c r="H25" s="12">
        <v>23574.3</v>
      </c>
      <c r="I25" s="12">
        <f t="shared" si="2"/>
        <v>-1063.5968749999993</v>
      </c>
      <c r="J25" s="13">
        <f t="shared" si="3"/>
        <v>-4.5116795620654668E-2</v>
      </c>
      <c r="K25" s="37"/>
      <c r="L25" s="37"/>
      <c r="M25" s="104"/>
      <c r="N25" s="104"/>
      <c r="O25" s="104"/>
      <c r="P25" s="104"/>
      <c r="Q25" s="104"/>
    </row>
    <row r="26" spans="1:17" ht="72" customHeight="1">
      <c r="A26" s="26" t="str">
        <v>M188</v>
      </c>
      <c r="B26" s="27" t="str">
        <v>NY</v>
      </c>
      <c r="C26" s="27" t="str">
        <f>Sites[[#This Row],[SOL'#]]</f>
        <v>SOL-10387</v>
      </c>
      <c r="D26" s="9">
        <v>15924.09375</v>
      </c>
      <c r="E26" s="14">
        <v>0</v>
      </c>
      <c r="F26" s="14">
        <f t="shared" si="0"/>
        <v>15924.09375</v>
      </c>
      <c r="G26" s="15" t="str">
        <f t="shared" si="1"/>
        <v/>
      </c>
      <c r="H26" s="16">
        <v>15347</v>
      </c>
      <c r="I26" s="16">
        <f t="shared" si="2"/>
        <v>577.09375</v>
      </c>
      <c r="J26" s="15">
        <f t="shared" si="3"/>
        <v>3.7603033166091093E-2</v>
      </c>
      <c r="K26" s="38" t="s">
        <v>398</v>
      </c>
      <c r="L26" s="111" t="s">
        <v>399</v>
      </c>
      <c r="M26" s="103" t="s">
        <v>400</v>
      </c>
      <c r="N26" s="104"/>
      <c r="O26" s="104"/>
      <c r="P26" s="104"/>
      <c r="Q26" s="104"/>
    </row>
    <row r="27" spans="1:17" ht="15.6">
      <c r="A27" s="24" t="str">
        <v>EMHC</v>
      </c>
      <c r="B27" s="25" t="str">
        <v>NY</v>
      </c>
      <c r="C27" s="25" t="str">
        <f>Sites[[#This Row],[SOL'#]]</f>
        <v>SOL-10351</v>
      </c>
      <c r="D27" s="20">
        <v>6079.1640625</v>
      </c>
      <c r="E27" s="10">
        <v>4893.4049999999997</v>
      </c>
      <c r="F27" s="10">
        <f t="shared" si="0"/>
        <v>1185.7590625000003</v>
      </c>
      <c r="G27" s="11">
        <f t="shared" si="1"/>
        <v>0.24231778536622256</v>
      </c>
      <c r="H27" s="12">
        <v>6450.7709999999997</v>
      </c>
      <c r="I27" s="12">
        <f t="shared" si="2"/>
        <v>-371.60693749999973</v>
      </c>
      <c r="J27" s="13">
        <f t="shared" si="3"/>
        <v>-5.7606592684812365E-2</v>
      </c>
      <c r="K27" s="37"/>
      <c r="L27" s="37"/>
      <c r="M27" s="104"/>
      <c r="N27" s="104"/>
      <c r="O27" s="104"/>
      <c r="P27" s="104"/>
      <c r="Q27" s="104"/>
    </row>
    <row r="28" spans="1:17" ht="72">
      <c r="A28" s="26" t="str">
        <v>Q008</v>
      </c>
      <c r="B28" s="27" t="str">
        <v>NY</v>
      </c>
      <c r="C28" s="27" t="str">
        <f>Sites[[#This Row],[SOL'#]]</f>
        <v>SOL-10397</v>
      </c>
      <c r="D28" s="9">
        <v>18071.78125</v>
      </c>
      <c r="E28" s="14">
        <v>19410.599999999999</v>
      </c>
      <c r="F28" s="14">
        <f t="shared" si="0"/>
        <v>-1338.8187499999985</v>
      </c>
      <c r="G28" s="15">
        <f t="shared" si="1"/>
        <v>-6.8973589172926064E-2</v>
      </c>
      <c r="H28" s="16">
        <v>24376</v>
      </c>
      <c r="I28" s="16">
        <f t="shared" si="2"/>
        <v>-6304.21875</v>
      </c>
      <c r="J28" s="15">
        <f t="shared" si="3"/>
        <v>-0.25862400516901873</v>
      </c>
      <c r="K28" s="38" t="s">
        <v>401</v>
      </c>
      <c r="L28" s="111" t="s">
        <v>402</v>
      </c>
      <c r="M28" s="103" t="s">
        <v>403</v>
      </c>
      <c r="N28" s="104"/>
      <c r="O28" s="104"/>
      <c r="P28" s="104"/>
      <c r="Q28" s="104"/>
    </row>
    <row r="29" spans="1:17" ht="15.6">
      <c r="A29" s="24" t="str">
        <v>Q018</v>
      </c>
      <c r="B29" s="25" t="str">
        <v>NY</v>
      </c>
      <c r="C29" s="25" t="str">
        <f>Sites[[#This Row],[SOL'#]]</f>
        <v>SOL-10398</v>
      </c>
      <c r="D29" s="20">
        <v>17500.5625</v>
      </c>
      <c r="E29" s="10">
        <v>17083.96</v>
      </c>
      <c r="F29" s="10">
        <f t="shared" si="0"/>
        <v>416.60250000000087</v>
      </c>
      <c r="G29" s="11">
        <f t="shared" si="1"/>
        <v>2.4385593269944491E-2</v>
      </c>
      <c r="H29" s="12">
        <v>13142.78</v>
      </c>
      <c r="I29" s="12">
        <f t="shared" si="2"/>
        <v>4357.7824999999993</v>
      </c>
      <c r="J29" s="13">
        <f t="shared" si="3"/>
        <v>0.33157235379425049</v>
      </c>
      <c r="K29" s="37"/>
      <c r="L29" s="37"/>
      <c r="M29" s="104"/>
      <c r="N29" s="104"/>
      <c r="O29" s="104"/>
      <c r="P29" s="104"/>
      <c r="Q29" s="104"/>
    </row>
    <row r="30" spans="1:17" ht="15.6">
      <c r="A30" s="26" t="str">
        <v>Q021</v>
      </c>
      <c r="B30" s="27" t="str">
        <v>NY</v>
      </c>
      <c r="C30" s="27" t="str">
        <f>Sites[[#This Row],[SOL'#]]</f>
        <v>SOL-10399</v>
      </c>
      <c r="D30" s="9">
        <v>13787.4374999999</v>
      </c>
      <c r="E30" s="14">
        <v>14154.27</v>
      </c>
      <c r="F30" s="14">
        <f t="shared" si="0"/>
        <v>-366.83250000010048</v>
      </c>
      <c r="G30" s="15">
        <f t="shared" si="1"/>
        <v>-2.5916737493357163E-2</v>
      </c>
      <c r="H30" s="16">
        <v>10812.43</v>
      </c>
      <c r="I30" s="16">
        <f t="shared" si="2"/>
        <v>2975.0074999998997</v>
      </c>
      <c r="J30" s="15">
        <f t="shared" si="3"/>
        <v>0.27514698361052042</v>
      </c>
      <c r="K30" s="38"/>
      <c r="L30" s="39"/>
      <c r="M30" s="104"/>
      <c r="N30" s="104"/>
      <c r="O30" s="104"/>
      <c r="P30" s="104"/>
      <c r="Q30" s="104"/>
    </row>
    <row r="31" spans="1:17" ht="15.6">
      <c r="A31" s="24" t="str">
        <v>Q025</v>
      </c>
      <c r="B31" s="25" t="str">
        <v>NY</v>
      </c>
      <c r="C31" s="25" t="str">
        <f>Sites[[#This Row],[SOL'#]]</f>
        <v>SOL-10400</v>
      </c>
      <c r="D31" s="20">
        <v>23143.375</v>
      </c>
      <c r="E31" s="10">
        <v>23053.17</v>
      </c>
      <c r="F31" s="10">
        <f t="shared" si="0"/>
        <v>90.205000000001746</v>
      </c>
      <c r="G31" s="11">
        <f t="shared" si="1"/>
        <v>3.9129108925150752E-3</v>
      </c>
      <c r="H31" s="12">
        <v>12738</v>
      </c>
      <c r="I31" s="12">
        <f t="shared" si="2"/>
        <v>10405.375</v>
      </c>
      <c r="J31" s="13">
        <f t="shared" si="3"/>
        <v>0.81687666823677185</v>
      </c>
      <c r="K31" s="37"/>
      <c r="L31" s="37"/>
      <c r="M31" s="104"/>
      <c r="N31" s="104"/>
      <c r="O31" s="104"/>
      <c r="P31" s="104"/>
      <c r="Q31" s="104"/>
    </row>
    <row r="32" spans="1:17" ht="15.6">
      <c r="A32" s="26" t="str">
        <v>Q074</v>
      </c>
      <c r="B32" s="27" t="str">
        <v>NY</v>
      </c>
      <c r="C32" s="27" t="str">
        <f>Sites[[#This Row],[SOL'#]]</f>
        <v>SOL-10402</v>
      </c>
      <c r="D32" s="9">
        <v>15292.875</v>
      </c>
      <c r="E32" s="14">
        <v>14719.13</v>
      </c>
      <c r="F32" s="14">
        <f t="shared" si="0"/>
        <v>573.7450000000008</v>
      </c>
      <c r="G32" s="15">
        <f t="shared" si="1"/>
        <v>3.8979545666082221E-2</v>
      </c>
      <c r="H32" s="16">
        <v>12449.42</v>
      </c>
      <c r="I32" s="16">
        <f t="shared" si="2"/>
        <v>2843.4549999999999</v>
      </c>
      <c r="J32" s="15">
        <f t="shared" si="3"/>
        <v>0.22840060018860317</v>
      </c>
      <c r="K32" s="38"/>
      <c r="L32" s="39"/>
      <c r="M32" s="104"/>
      <c r="N32" s="104"/>
      <c r="O32" s="104"/>
      <c r="P32" s="104"/>
      <c r="Q32" s="104"/>
    </row>
    <row r="33" spans="1:17" ht="15.6">
      <c r="A33" s="24" t="str">
        <v>Q115</v>
      </c>
      <c r="B33" s="25" t="str">
        <v>NY</v>
      </c>
      <c r="C33" s="25" t="str">
        <f>Sites[[#This Row],[SOL'#]]</f>
        <v>SOL-10872</v>
      </c>
      <c r="D33" s="20">
        <v>19693.25</v>
      </c>
      <c r="E33" s="10">
        <v>20852.419999999998</v>
      </c>
      <c r="F33" s="10">
        <f t="shared" si="0"/>
        <v>-1159.1699999999983</v>
      </c>
      <c r="G33" s="11">
        <f t="shared" si="1"/>
        <v>-5.5589231369788175E-2</v>
      </c>
      <c r="H33" s="12">
        <v>16426.55</v>
      </c>
      <c r="I33" s="12">
        <f t="shared" si="2"/>
        <v>3266.7000000000007</v>
      </c>
      <c r="J33" s="13">
        <f t="shared" si="3"/>
        <v>0.19886707799264003</v>
      </c>
      <c r="K33" s="37"/>
      <c r="L33" s="37"/>
      <c r="M33" s="104"/>
      <c r="N33" s="104"/>
      <c r="O33" s="104"/>
      <c r="P33" s="104"/>
      <c r="Q33" s="104"/>
    </row>
    <row r="34" spans="1:17" ht="15.6">
      <c r="A34" s="26" t="str">
        <v>Q139</v>
      </c>
      <c r="B34" s="27" t="str">
        <v>NY</v>
      </c>
      <c r="C34" s="27" t="str">
        <f>Sites[[#This Row],[SOL'#]]</f>
        <v>SOL-10403</v>
      </c>
      <c r="D34" s="9">
        <v>11658.4375</v>
      </c>
      <c r="E34" s="14">
        <v>11682.37</v>
      </c>
      <c r="F34" s="14">
        <f t="shared" si="0"/>
        <v>-23.9325000000008</v>
      </c>
      <c r="G34" s="15">
        <f t="shared" si="1"/>
        <v>-2.0485997276238296E-3</v>
      </c>
      <c r="H34" s="16">
        <v>10385</v>
      </c>
      <c r="I34" s="16">
        <f t="shared" si="2"/>
        <v>1273.4375</v>
      </c>
      <c r="J34" s="15">
        <f t="shared" si="3"/>
        <v>0.12262277323062108</v>
      </c>
      <c r="K34" s="38"/>
      <c r="L34" s="39"/>
      <c r="M34" s="104"/>
      <c r="N34" s="104"/>
      <c r="O34" s="104"/>
      <c r="P34" s="104"/>
      <c r="Q34" s="104"/>
    </row>
    <row r="35" spans="1:17" ht="114" customHeight="1">
      <c r="A35" s="24" t="str">
        <v>Q157</v>
      </c>
      <c r="B35" s="25" t="str">
        <v>NY</v>
      </c>
      <c r="C35" s="25" t="str">
        <f>Sites[[#This Row],[SOL'#]]</f>
        <v>SOL-10404</v>
      </c>
      <c r="D35" s="20">
        <v>20207.5625</v>
      </c>
      <c r="E35" s="10">
        <v>22493.83</v>
      </c>
      <c r="F35" s="10">
        <f t="shared" si="0"/>
        <v>-2286.2675000000017</v>
      </c>
      <c r="G35" s="11">
        <f t="shared" si="1"/>
        <v>-0.10163976076995343</v>
      </c>
      <c r="H35" s="12">
        <v>18648.05</v>
      </c>
      <c r="I35" s="12">
        <f t="shared" si="2"/>
        <v>1559.5125000000007</v>
      </c>
      <c r="J35" s="13">
        <f t="shared" si="3"/>
        <v>8.3628717211719231E-2</v>
      </c>
      <c r="K35" s="37" t="s">
        <v>404</v>
      </c>
      <c r="L35" s="110" t="s">
        <v>405</v>
      </c>
      <c r="M35" s="103" t="s">
        <v>406</v>
      </c>
      <c r="N35" s="104"/>
      <c r="O35" s="104"/>
      <c r="P35" s="104"/>
      <c r="Q35" s="104"/>
    </row>
    <row r="36" spans="1:17" ht="15.6">
      <c r="A36" s="26" t="str">
        <v>Q192</v>
      </c>
      <c r="B36" s="27" t="str">
        <v>NY</v>
      </c>
      <c r="C36" s="27" t="str">
        <f>Sites[[#This Row],[SOL'#]]</f>
        <v>SOL-10406</v>
      </c>
      <c r="D36" s="9">
        <v>32225.375</v>
      </c>
      <c r="E36" s="14">
        <v>34607.25</v>
      </c>
      <c r="F36" s="14">
        <f t="shared" si="0"/>
        <v>-2381.875</v>
      </c>
      <c r="G36" s="15">
        <f t="shared" si="1"/>
        <v>-6.8825896307854573E-2</v>
      </c>
      <c r="H36" s="16">
        <v>27228.61</v>
      </c>
      <c r="I36" s="16">
        <f t="shared" si="2"/>
        <v>4996.7649999999994</v>
      </c>
      <c r="J36" s="15">
        <f t="shared" si="3"/>
        <v>0.1835115711011322</v>
      </c>
      <c r="K36" s="38"/>
      <c r="L36" s="38"/>
      <c r="M36" s="104"/>
      <c r="N36" s="104"/>
      <c r="O36" s="104"/>
      <c r="P36" s="104"/>
      <c r="Q36" s="104"/>
    </row>
    <row r="37" spans="1:17" ht="15.6">
      <c r="A37" s="24" t="str">
        <v>Q210</v>
      </c>
      <c r="B37" s="25" t="str">
        <v>NY</v>
      </c>
      <c r="C37" s="25" t="str">
        <f>Sites[[#This Row],[SOL'#]]</f>
        <v>SOL-10407</v>
      </c>
      <c r="D37" s="20">
        <v>26236.5</v>
      </c>
      <c r="E37" s="10">
        <v>25645.07</v>
      </c>
      <c r="F37" s="10">
        <f t="shared" si="0"/>
        <v>591.43000000000029</v>
      </c>
      <c r="G37" s="11">
        <f t="shared" si="1"/>
        <v>2.3062132409855007E-2</v>
      </c>
      <c r="H37" s="12">
        <v>22706</v>
      </c>
      <c r="I37" s="12">
        <f t="shared" si="2"/>
        <v>3530.5</v>
      </c>
      <c r="J37" s="13">
        <f t="shared" si="3"/>
        <v>0.15548753633400864</v>
      </c>
      <c r="K37" s="37"/>
      <c r="L37" s="37"/>
      <c r="M37" s="104"/>
      <c r="N37" s="104"/>
      <c r="O37" s="104"/>
      <c r="P37" s="104"/>
      <c r="Q37" s="104"/>
    </row>
    <row r="38" spans="1:17" ht="15.6">
      <c r="A38" s="26" t="str">
        <v>Q229</v>
      </c>
      <c r="B38" s="27" t="str">
        <v>NY</v>
      </c>
      <c r="C38" s="27" t="str">
        <f>Sites[[#This Row],[SOL'#]]</f>
        <v>SOL-10408</v>
      </c>
      <c r="D38" s="9">
        <v>11364.28125</v>
      </c>
      <c r="E38" s="14">
        <v>12968.02</v>
      </c>
      <c r="F38" s="14">
        <f t="shared" si="0"/>
        <v>-1603.7387500000004</v>
      </c>
      <c r="G38" s="15">
        <f t="shared" si="1"/>
        <v>-0.12366874434185021</v>
      </c>
      <c r="H38" s="16">
        <v>923</v>
      </c>
      <c r="I38" s="16">
        <f t="shared" si="2"/>
        <v>10441.28125</v>
      </c>
      <c r="J38" s="15">
        <f t="shared" si="3"/>
        <v>11.312330715059588</v>
      </c>
      <c r="K38" s="38" t="s">
        <v>384</v>
      </c>
      <c r="L38" s="39"/>
      <c r="M38" s="104"/>
      <c r="N38" s="104"/>
      <c r="O38" s="104"/>
      <c r="P38" s="104"/>
      <c r="Q38" s="104"/>
    </row>
    <row r="39" spans="1:17" ht="15.6">
      <c r="A39" s="24" t="str">
        <v>Q231</v>
      </c>
      <c r="B39" s="25" t="str">
        <v>NY</v>
      </c>
      <c r="C39" s="25" t="str">
        <f>Sites[[#This Row],[SOL'#]]</f>
        <v>SOL-10870</v>
      </c>
      <c r="D39" s="20">
        <v>42833.5</v>
      </c>
      <c r="E39" s="10">
        <v>45218.45</v>
      </c>
      <c r="F39" s="10">
        <f t="shared" si="0"/>
        <v>-2384.9499999999971</v>
      </c>
      <c r="G39" s="11">
        <f t="shared" si="1"/>
        <v>-5.2742851645733044E-2</v>
      </c>
      <c r="H39" s="12">
        <v>40060</v>
      </c>
      <c r="I39" s="12">
        <f t="shared" si="2"/>
        <v>2773.5</v>
      </c>
      <c r="J39" s="13">
        <f t="shared" si="3"/>
        <v>6.9233649525711427E-2</v>
      </c>
      <c r="K39" s="37"/>
      <c r="L39" s="37"/>
      <c r="M39" s="104"/>
      <c r="N39" s="104"/>
      <c r="O39" s="104"/>
      <c r="P39" s="104"/>
      <c r="Q39" s="104"/>
    </row>
    <row r="40" spans="1:17" ht="15.6">
      <c r="A40" s="26" t="str">
        <v>Q405</v>
      </c>
      <c r="B40" s="27" t="str">
        <v>NY</v>
      </c>
      <c r="C40" s="27" t="str">
        <f>Sites[[#This Row],[SOL'#]]</f>
        <v>SOL-10409</v>
      </c>
      <c r="D40" s="9">
        <v>49504</v>
      </c>
      <c r="E40" s="14">
        <v>53188.06</v>
      </c>
      <c r="F40" s="14">
        <f t="shared" si="0"/>
        <v>-3684.0599999999977</v>
      </c>
      <c r="G40" s="15">
        <f t="shared" si="1"/>
        <v>-6.9264793639775502E-2</v>
      </c>
      <c r="H40" s="16">
        <v>40273.410000000003</v>
      </c>
      <c r="I40" s="16">
        <f t="shared" si="2"/>
        <v>9230.5899999999965</v>
      </c>
      <c r="J40" s="15">
        <f t="shared" si="3"/>
        <v>0.22919812352616767</v>
      </c>
      <c r="K40" s="38"/>
      <c r="L40" s="39"/>
      <c r="M40" s="104"/>
      <c r="N40" s="104"/>
      <c r="O40" s="104"/>
      <c r="P40" s="104"/>
      <c r="Q40" s="104"/>
    </row>
    <row r="41" spans="1:17" ht="100.9">
      <c r="A41" s="24" t="str">
        <v>Q435</v>
      </c>
      <c r="B41" s="25" t="str">
        <v>NY</v>
      </c>
      <c r="C41" s="25" t="str">
        <f>Sites[[#This Row],[SOL'#]]</f>
        <v>SOL-10923</v>
      </c>
      <c r="D41" s="20">
        <v>61922.625</v>
      </c>
      <c r="E41" s="10">
        <v>48511</v>
      </c>
      <c r="F41" s="10">
        <f t="shared" si="0"/>
        <v>13411.625</v>
      </c>
      <c r="G41" s="11">
        <f t="shared" si="1"/>
        <v>0.27646564696666737</v>
      </c>
      <c r="H41" s="12">
        <v>57626</v>
      </c>
      <c r="I41" s="12">
        <f t="shared" si="2"/>
        <v>4296.625</v>
      </c>
      <c r="J41" s="13">
        <f t="shared" si="3"/>
        <v>7.4560528233783369E-2</v>
      </c>
      <c r="K41" s="53" t="s">
        <v>407</v>
      </c>
      <c r="L41" s="99" t="s">
        <v>408</v>
      </c>
      <c r="M41" s="103" t="s">
        <v>409</v>
      </c>
      <c r="N41" s="103" t="s">
        <v>410</v>
      </c>
      <c r="O41" s="104"/>
      <c r="P41" s="104"/>
      <c r="Q41" s="104"/>
    </row>
    <row r="42" spans="1:17" ht="69" customHeight="1">
      <c r="A42" s="26" t="str">
        <v>Q485</v>
      </c>
      <c r="B42" s="27" t="str">
        <v>NY</v>
      </c>
      <c r="C42" s="27" t="str">
        <f>Sites[[#This Row],[SOL'#]]</f>
        <v>SOL-10869</v>
      </c>
      <c r="D42" s="9">
        <v>54507.75</v>
      </c>
      <c r="E42" s="14">
        <v>46347.05</v>
      </c>
      <c r="F42" s="14">
        <f t="shared" si="0"/>
        <v>8160.6999999999971</v>
      </c>
      <c r="G42" s="15">
        <f t="shared" si="1"/>
        <v>0.17607808911246772</v>
      </c>
      <c r="H42" s="16">
        <v>53986.78</v>
      </c>
      <c r="I42" s="16">
        <f t="shared" si="2"/>
        <v>520.97000000000116</v>
      </c>
      <c r="J42" s="15">
        <f t="shared" si="3"/>
        <v>9.649955044549817E-3</v>
      </c>
      <c r="K42" s="38" t="s">
        <v>411</v>
      </c>
      <c r="L42" s="111" t="s">
        <v>412</v>
      </c>
      <c r="M42" s="103" t="s">
        <v>413</v>
      </c>
      <c r="N42" s="104"/>
      <c r="O42" s="104"/>
      <c r="P42" s="104"/>
      <c r="Q42" s="104"/>
    </row>
    <row r="43" spans="1:17" ht="48.75" customHeight="1">
      <c r="A43" s="24" t="str">
        <v>Q490</v>
      </c>
      <c r="B43" s="25" t="str">
        <v>NY</v>
      </c>
      <c r="C43" s="25" t="str">
        <f>Sites[[#This Row],[SOL'#]]</f>
        <v>SOL-10411</v>
      </c>
      <c r="D43" s="20">
        <v>41569.75</v>
      </c>
      <c r="E43" s="10">
        <v>0</v>
      </c>
      <c r="F43" s="10">
        <f t="shared" si="0"/>
        <v>41569.75</v>
      </c>
      <c r="G43" s="11" t="str">
        <f t="shared" si="1"/>
        <v/>
      </c>
      <c r="H43" s="12">
        <v>35051.72</v>
      </c>
      <c r="I43" s="12">
        <f t="shared" si="2"/>
        <v>6518.0299999999988</v>
      </c>
      <c r="J43" s="13">
        <f t="shared" si="3"/>
        <v>0.18595464074230875</v>
      </c>
      <c r="K43" s="37" t="s">
        <v>414</v>
      </c>
      <c r="L43" s="110" t="s">
        <v>415</v>
      </c>
      <c r="M43" s="104"/>
      <c r="N43" s="104"/>
      <c r="O43" s="104"/>
      <c r="P43" s="104"/>
      <c r="Q43" s="104"/>
    </row>
    <row r="44" spans="1:17" ht="15.6">
      <c r="A44" s="26" t="str">
        <v>Q620</v>
      </c>
      <c r="B44" s="27" t="str">
        <v>NY</v>
      </c>
      <c r="C44" s="27" t="str">
        <f>Sites[[#This Row],[SOL'#]]</f>
        <v>SOL-10867</v>
      </c>
      <c r="D44" s="9">
        <v>62270.25</v>
      </c>
      <c r="E44" s="14">
        <v>62074.84</v>
      </c>
      <c r="F44" s="14">
        <f t="shared" si="0"/>
        <v>195.41000000000349</v>
      </c>
      <c r="G44" s="15">
        <f t="shared" si="1"/>
        <v>3.1479742839450493E-3</v>
      </c>
      <c r="H44" s="16">
        <v>56876.59</v>
      </c>
      <c r="I44" s="16">
        <f t="shared" si="2"/>
        <v>5393.6600000000035</v>
      </c>
      <c r="J44" s="15">
        <f t="shared" si="3"/>
        <v>9.4830931319898115E-2</v>
      </c>
      <c r="K44" s="38"/>
      <c r="L44" s="39"/>
      <c r="M44" s="104"/>
      <c r="N44" s="104"/>
      <c r="O44" s="104"/>
      <c r="P44" s="104"/>
      <c r="Q44" s="104"/>
    </row>
    <row r="45" spans="1:17" ht="15.6">
      <c r="A45" s="24" t="str">
        <v>QMOA</v>
      </c>
      <c r="B45" s="25" t="str">
        <v>NY</v>
      </c>
      <c r="C45" s="25" t="str">
        <f>Sites[[#This Row],[SOL'#]]</f>
        <v>SOL-10415</v>
      </c>
      <c r="D45" s="20">
        <v>5425.9000000000096</v>
      </c>
      <c r="E45" s="10">
        <v>0</v>
      </c>
      <c r="F45" s="10">
        <f t="shared" si="0"/>
        <v>5425.9000000000096</v>
      </c>
      <c r="G45" s="11" t="str">
        <f t="shared" si="1"/>
        <v/>
      </c>
      <c r="H45" s="12">
        <v>5132.8959999999997</v>
      </c>
      <c r="I45" s="12">
        <f t="shared" si="2"/>
        <v>293.00400000000991</v>
      </c>
      <c r="J45" s="13">
        <f t="shared" si="3"/>
        <v>5.7083564521862494E-2</v>
      </c>
      <c r="K45" s="37"/>
      <c r="L45" s="37"/>
      <c r="M45" s="104"/>
      <c r="N45" s="104"/>
      <c r="O45" s="104"/>
      <c r="P45" s="104"/>
      <c r="Q45" s="104"/>
    </row>
    <row r="46" spans="1:17" ht="15.6">
      <c r="A46" s="26" t="str">
        <v>X024</v>
      </c>
      <c r="B46" s="27" t="str">
        <v>NY</v>
      </c>
      <c r="C46" s="27" t="str">
        <f>Sites[[#This Row],[SOL'#]]</f>
        <v>SOL-10419</v>
      </c>
      <c r="D46" s="9">
        <v>23840.25</v>
      </c>
      <c r="E46" s="14">
        <v>24902.66</v>
      </c>
      <c r="F46" s="14">
        <f t="shared" si="0"/>
        <v>-1062.4099999999999</v>
      </c>
      <c r="G46" s="15">
        <f t="shared" si="1"/>
        <v>-4.2662510751863447E-2</v>
      </c>
      <c r="H46" s="16">
        <v>18167</v>
      </c>
      <c r="I46" s="16">
        <f t="shared" si="2"/>
        <v>5673.25</v>
      </c>
      <c r="J46" s="15">
        <f t="shared" si="3"/>
        <v>0.31228326085759894</v>
      </c>
      <c r="K46" s="38"/>
      <c r="L46" s="39"/>
      <c r="M46" s="104"/>
      <c r="N46" s="104"/>
      <c r="O46" s="104"/>
      <c r="P46" s="104"/>
      <c r="Q46" s="104"/>
    </row>
    <row r="47" spans="1:17" ht="15.6">
      <c r="A47" s="24" t="str">
        <v>X026</v>
      </c>
      <c r="B47" s="25" t="str">
        <v>NY</v>
      </c>
      <c r="C47" s="25" t="str">
        <f>Sites[[#This Row],[SOL'#]]</f>
        <v>SOL-10420</v>
      </c>
      <c r="D47" s="20">
        <v>20262.099999999999</v>
      </c>
      <c r="E47" s="10">
        <v>20134.12</v>
      </c>
      <c r="F47" s="10">
        <f t="shared" si="0"/>
        <v>127.97999999999956</v>
      </c>
      <c r="G47" s="11">
        <f t="shared" si="1"/>
        <v>6.356374154917104E-3</v>
      </c>
      <c r="H47" s="12">
        <v>24639.360000000001</v>
      </c>
      <c r="I47" s="12">
        <f t="shared" si="2"/>
        <v>-4377.260000000002</v>
      </c>
      <c r="J47" s="13">
        <f t="shared" si="3"/>
        <v>-0.17765315332865797</v>
      </c>
      <c r="K47" s="53" t="s">
        <v>397</v>
      </c>
      <c r="L47" s="53"/>
      <c r="M47" s="104"/>
      <c r="N47" s="104"/>
      <c r="O47" s="104"/>
      <c r="P47" s="104"/>
      <c r="Q47" s="104"/>
    </row>
    <row r="48" spans="1:17" ht="15.6">
      <c r="A48" s="26" t="str">
        <v>X090</v>
      </c>
      <c r="B48" s="27" t="str">
        <v>NY</v>
      </c>
      <c r="C48" s="27" t="str">
        <f>Sites[[#This Row],[SOL'#]]</f>
        <v>SOL-10925</v>
      </c>
      <c r="D48" s="9">
        <v>18244.25</v>
      </c>
      <c r="E48" s="14">
        <v>14195.7</v>
      </c>
      <c r="F48" s="14">
        <f t="shared" si="0"/>
        <v>4048.5499999999993</v>
      </c>
      <c r="G48" s="15">
        <f t="shared" si="1"/>
        <v>0.28519551695231649</v>
      </c>
      <c r="H48" s="16">
        <v>17046</v>
      </c>
      <c r="I48" s="16">
        <f t="shared" si="2"/>
        <v>1198.25</v>
      </c>
      <c r="J48" s="15">
        <f t="shared" si="3"/>
        <v>7.0295083890648827E-2</v>
      </c>
      <c r="K48" s="38"/>
      <c r="L48" s="38"/>
      <c r="M48" s="104"/>
      <c r="N48" s="104"/>
      <c r="O48" s="104"/>
      <c r="P48" s="104"/>
      <c r="Q48" s="104"/>
    </row>
    <row r="49" spans="1:17" ht="15.6">
      <c r="A49" s="24" t="str">
        <v>X117</v>
      </c>
      <c r="B49" s="25" t="str">
        <v>NY</v>
      </c>
      <c r="C49" s="25" t="str">
        <f>Sites[[#This Row],[SOL'#]]</f>
        <v>SOL-10422</v>
      </c>
      <c r="D49" s="20">
        <v>14903.1</v>
      </c>
      <c r="E49" s="10">
        <v>16892.23</v>
      </c>
      <c r="F49" s="10">
        <f t="shared" si="0"/>
        <v>-1989.1299999999992</v>
      </c>
      <c r="G49" s="11">
        <f t="shared" si="1"/>
        <v>-0.11775413903315307</v>
      </c>
      <c r="H49" s="12">
        <v>13357.89</v>
      </c>
      <c r="I49" s="12">
        <f t="shared" si="2"/>
        <v>1545.2100000000009</v>
      </c>
      <c r="J49" s="13">
        <f t="shared" si="3"/>
        <v>0.11567770059492936</v>
      </c>
      <c r="K49" s="37" t="s">
        <v>397</v>
      </c>
      <c r="L49" s="37"/>
      <c r="M49" s="104"/>
      <c r="N49" s="104"/>
      <c r="O49" s="104"/>
      <c r="P49" s="104"/>
      <c r="Q49" s="104"/>
    </row>
    <row r="50" spans="1:17" ht="15.6">
      <c r="A50" s="26" t="str">
        <v>X125</v>
      </c>
      <c r="B50" s="27" t="str">
        <v>NY</v>
      </c>
      <c r="C50" s="27" t="str">
        <f>Sites[[#This Row],[SOL'#]]</f>
        <v>SOL-10423</v>
      </c>
      <c r="D50" s="9">
        <v>27866.1875</v>
      </c>
      <c r="E50" s="14">
        <v>29401.67</v>
      </c>
      <c r="F50" s="14">
        <f t="shared" si="0"/>
        <v>-1535.4824999999983</v>
      </c>
      <c r="G50" s="15">
        <f t="shared" si="1"/>
        <v>-5.2224329434348397E-2</v>
      </c>
      <c r="H50" s="16">
        <v>25413.95</v>
      </c>
      <c r="I50" s="16">
        <f t="shared" si="2"/>
        <v>2452.2374999999993</v>
      </c>
      <c r="J50" s="15">
        <f t="shared" si="3"/>
        <v>9.6491788958426347E-2</v>
      </c>
      <c r="K50" s="38"/>
      <c r="L50" s="39"/>
      <c r="M50" s="104"/>
      <c r="N50" s="104"/>
      <c r="O50" s="104"/>
      <c r="P50" s="104"/>
      <c r="Q50" s="104"/>
    </row>
    <row r="51" spans="1:17" ht="15.6">
      <c r="A51" s="24" t="str">
        <v>X134</v>
      </c>
      <c r="B51" s="25" t="str">
        <v>NY</v>
      </c>
      <c r="C51" s="25" t="str">
        <f>Sites[[#This Row],[SOL'#]]</f>
        <v>SOL-10424</v>
      </c>
      <c r="D51" s="20">
        <v>26652</v>
      </c>
      <c r="E51" s="10">
        <v>0</v>
      </c>
      <c r="F51" s="10">
        <f>IF(AND(ISNUMBER(D51),ISNUMBER(E51)), D51-E51, "")</f>
        <v>26652</v>
      </c>
      <c r="G51" s="11" t="str">
        <f>IFERROR(F51/E51, "")</f>
        <v/>
      </c>
      <c r="H51" s="12">
        <v>26095</v>
      </c>
      <c r="I51" s="12">
        <f>IF(AND(ISNUMBER(D51),ISNUMBER(H51)), D51-H51, "")</f>
        <v>557</v>
      </c>
      <c r="J51" s="13">
        <f>IFERROR(I51/H51, "")</f>
        <v>2.1345085265376509E-2</v>
      </c>
      <c r="K51" s="37"/>
      <c r="L51" s="37"/>
      <c r="M51" s="104"/>
      <c r="N51" s="104"/>
      <c r="O51" s="104"/>
      <c r="P51" s="104"/>
      <c r="Q51" s="104"/>
    </row>
    <row r="52" spans="1:17" ht="28.9">
      <c r="A52" s="26" t="str">
        <v>X135</v>
      </c>
      <c r="B52" s="27" t="str">
        <v>NY</v>
      </c>
      <c r="C52" s="27" t="str">
        <f>Sites[[#This Row],[SOL'#]]</f>
        <v>SOL-10425</v>
      </c>
      <c r="D52" s="9">
        <v>20342.21875</v>
      </c>
      <c r="E52" s="14">
        <v>22903.47</v>
      </c>
      <c r="F52" s="14">
        <f t="shared" si="0"/>
        <v>-2561.2512500000012</v>
      </c>
      <c r="G52" s="15">
        <f t="shared" si="1"/>
        <v>-0.11182808762165737</v>
      </c>
      <c r="H52" s="16">
        <v>20962</v>
      </c>
      <c r="I52" s="16">
        <f t="shared" si="2"/>
        <v>-619.78125</v>
      </c>
      <c r="J52" s="15">
        <f t="shared" si="3"/>
        <v>-2.9566894857360939E-2</v>
      </c>
      <c r="K52" s="38" t="s">
        <v>416</v>
      </c>
      <c r="L52" s="113" t="s">
        <v>417</v>
      </c>
      <c r="M52" s="104"/>
      <c r="N52" s="104"/>
      <c r="O52" s="104"/>
      <c r="P52" s="104"/>
      <c r="Q52" s="104"/>
    </row>
    <row r="53" spans="1:17" ht="15.6">
      <c r="A53" s="24" t="str">
        <v>X139 JHS 222</v>
      </c>
      <c r="B53" s="25" t="str">
        <v>NY</v>
      </c>
      <c r="C53" s="25" t="str">
        <f>Sites[[#This Row],[SOL'#]]</f>
        <v>SOL-10426</v>
      </c>
      <c r="D53" s="20">
        <v>33468.321340000002</v>
      </c>
      <c r="E53" s="10">
        <v>35713.1</v>
      </c>
      <c r="F53" s="10">
        <f t="shared" si="0"/>
        <v>-2244.7786599999963</v>
      </c>
      <c r="G53" s="11">
        <f t="shared" si="1"/>
        <v>-6.2855889295524506E-2</v>
      </c>
      <c r="H53" s="12">
        <v>30257</v>
      </c>
      <c r="I53" s="12">
        <f t="shared" si="2"/>
        <v>3211.3213400000022</v>
      </c>
      <c r="J53" s="13">
        <f t="shared" si="3"/>
        <v>0.10613482301616162</v>
      </c>
      <c r="K53" s="37"/>
      <c r="L53" s="37"/>
      <c r="M53" s="104"/>
      <c r="N53" s="104"/>
      <c r="O53" s="104"/>
      <c r="P53" s="104"/>
      <c r="Q53" s="104"/>
    </row>
    <row r="54" spans="1:17" ht="28.9">
      <c r="A54" s="26" t="str">
        <v>X140</v>
      </c>
      <c r="B54" s="27" t="str">
        <v>NY</v>
      </c>
      <c r="C54" s="27" t="str">
        <f>Sites[[#This Row],[SOL'#]]</f>
        <v>SOL-10926</v>
      </c>
      <c r="D54" s="9">
        <v>16923.296875</v>
      </c>
      <c r="E54" s="14">
        <v>15830.34</v>
      </c>
      <c r="F54" s="14">
        <f t="shared" si="0"/>
        <v>1092.9568749999999</v>
      </c>
      <c r="G54" s="15">
        <f t="shared" si="1"/>
        <v>6.9041907817520023E-2</v>
      </c>
      <c r="H54" s="16">
        <v>17584</v>
      </c>
      <c r="I54" s="16">
        <f t="shared" si="2"/>
        <v>-660.703125</v>
      </c>
      <c r="J54" s="15">
        <f t="shared" si="3"/>
        <v>-3.7574108564604185E-2</v>
      </c>
      <c r="K54" s="38" t="s">
        <v>418</v>
      </c>
      <c r="L54" s="113" t="s">
        <v>419</v>
      </c>
      <c r="M54" s="104"/>
      <c r="N54" s="104"/>
      <c r="O54" s="104"/>
      <c r="P54" s="104"/>
      <c r="Q54" s="104"/>
    </row>
    <row r="55" spans="1:17" ht="15.6">
      <c r="A55" s="24" t="str">
        <v>X166</v>
      </c>
      <c r="B55" s="25" t="str">
        <v>NY</v>
      </c>
      <c r="C55" s="25" t="str">
        <f>Sites[[#This Row],[SOL'#]]</f>
        <v>SOL-10427</v>
      </c>
      <c r="D55" s="20">
        <v>20069.5</v>
      </c>
      <c r="E55" s="10">
        <v>20878.419999999998</v>
      </c>
      <c r="F55" s="10">
        <f t="shared" si="0"/>
        <v>-808.91999999999825</v>
      </c>
      <c r="G55" s="11">
        <f t="shared" si="1"/>
        <v>-3.8744311111664501E-2</v>
      </c>
      <c r="H55" s="12">
        <v>19078</v>
      </c>
      <c r="I55" s="12">
        <f t="shared" si="2"/>
        <v>991.5</v>
      </c>
      <c r="J55" s="13">
        <f t="shared" si="3"/>
        <v>5.1970856483908166E-2</v>
      </c>
      <c r="K55" s="37"/>
      <c r="L55" s="37"/>
      <c r="M55" s="104"/>
      <c r="N55" s="104"/>
      <c r="O55" s="104"/>
      <c r="P55" s="104"/>
      <c r="Q55" s="104"/>
    </row>
    <row r="56" spans="1:17" ht="53.25" customHeight="1">
      <c r="A56" s="26" t="str">
        <v>Murphy</v>
      </c>
      <c r="B56" s="27" t="str">
        <v>MN</v>
      </c>
      <c r="C56" s="27" t="str">
        <f>Sites[[#This Row],[SOL'#]]</f>
        <v>SOL-10094</v>
      </c>
      <c r="D56" s="9">
        <v>894400</v>
      </c>
      <c r="E56" s="14">
        <v>930300.6</v>
      </c>
      <c r="F56" s="14">
        <f t="shared" si="0"/>
        <v>-35900.599999999977</v>
      </c>
      <c r="G56" s="15">
        <f t="shared" si="1"/>
        <v>-3.8590322310874545E-2</v>
      </c>
      <c r="H56" s="16">
        <v>809101.4</v>
      </c>
      <c r="I56" s="16">
        <f t="shared" si="2"/>
        <v>85298.599999999977</v>
      </c>
      <c r="J56" s="15">
        <f t="shared" si="3"/>
        <v>0.10542386899837274</v>
      </c>
      <c r="K56" s="80" t="s">
        <v>420</v>
      </c>
      <c r="L56" s="100" t="s">
        <v>421</v>
      </c>
      <c r="M56" s="104"/>
      <c r="N56" s="104"/>
      <c r="O56" s="104"/>
      <c r="P56" s="104"/>
      <c r="Q56" s="104"/>
    </row>
    <row r="57" spans="1:17" ht="72">
      <c r="A57" s="24" t="str">
        <v>Terning</v>
      </c>
      <c r="B57" s="25" t="str">
        <v>MN</v>
      </c>
      <c r="C57" s="25" t="str">
        <f>Sites[[#This Row],[SOL'#]]</f>
        <v>SOL-10093</v>
      </c>
      <c r="D57" s="20">
        <v>847404.79500000004</v>
      </c>
      <c r="E57" s="10">
        <v>939875.7</v>
      </c>
      <c r="F57" s="10">
        <f t="shared" si="0"/>
        <v>-92470.904999999912</v>
      </c>
      <c r="G57" s="11">
        <f t="shared" si="1"/>
        <v>-9.8386313211417123E-2</v>
      </c>
      <c r="H57" s="12">
        <v>792912.7</v>
      </c>
      <c r="I57" s="12">
        <f t="shared" si="2"/>
        <v>54492.095000000088</v>
      </c>
      <c r="J57" s="13">
        <f t="shared" si="3"/>
        <v>6.872395283869219E-2</v>
      </c>
      <c r="K57" s="37" t="s">
        <v>422</v>
      </c>
      <c r="L57" s="110" t="s">
        <v>423</v>
      </c>
      <c r="M57" s="103" t="s">
        <v>424</v>
      </c>
      <c r="N57" s="104"/>
      <c r="O57" s="104"/>
      <c r="P57" s="104"/>
      <c r="Q57" s="104"/>
    </row>
    <row r="58" spans="1:17" ht="28.9">
      <c r="A58" s="26" t="str">
        <v>Boas Road 04</v>
      </c>
      <c r="B58" s="27" t="str">
        <v>NY</v>
      </c>
      <c r="C58" s="27" t="str">
        <f>Sites[[#This Row],[SOL'#]]</f>
        <v>SOL-10908</v>
      </c>
      <c r="D58" s="59">
        <v>142690</v>
      </c>
      <c r="E58" s="122">
        <v>300105.54100000003</v>
      </c>
      <c r="F58" s="14">
        <f t="shared" si="0"/>
        <v>-157415.54100000003</v>
      </c>
      <c r="G58" s="15">
        <f t="shared" si="1"/>
        <v>-0.52453393721244224</v>
      </c>
      <c r="H58" s="69">
        <v>301351.8</v>
      </c>
      <c r="I58" s="16">
        <f t="shared" si="2"/>
        <v>-158661.79999999999</v>
      </c>
      <c r="J58" s="15">
        <f t="shared" si="3"/>
        <v>-0.52650025651082888</v>
      </c>
      <c r="K58" s="38" t="s">
        <v>425</v>
      </c>
      <c r="L58" s="100" t="s">
        <v>426</v>
      </c>
      <c r="M58" s="103" t="s">
        <v>427</v>
      </c>
      <c r="N58" s="104"/>
      <c r="O58" s="104"/>
      <c r="P58" s="104"/>
      <c r="Q58" s="104"/>
    </row>
    <row r="59" spans="1:17" ht="171" customHeight="1">
      <c r="A59" s="24" t="str">
        <v>Kelly Bridge Farm</v>
      </c>
      <c r="B59" s="25" t="str">
        <v>NY</v>
      </c>
      <c r="C59" s="25" t="str">
        <f>Sites[[#This Row],[SOL'#]]</f>
        <v>SOL-10911</v>
      </c>
      <c r="D59" s="20">
        <v>158244</v>
      </c>
      <c r="E59" s="10">
        <v>324553.71299999999</v>
      </c>
      <c r="F59" s="10">
        <f t="shared" si="0"/>
        <v>-166309.71299999999</v>
      </c>
      <c r="G59" s="11">
        <f t="shared" si="1"/>
        <v>-0.51242585229644255</v>
      </c>
      <c r="H59" s="12">
        <v>306228.09999999998</v>
      </c>
      <c r="I59" s="12">
        <f t="shared" si="2"/>
        <v>-147984.09999999998</v>
      </c>
      <c r="J59" s="13">
        <f t="shared" si="3"/>
        <v>-0.48324794491426487</v>
      </c>
      <c r="K59" s="37" t="s">
        <v>428</v>
      </c>
      <c r="L59" s="110" t="s">
        <v>429</v>
      </c>
      <c r="M59" s="103" t="s">
        <v>430</v>
      </c>
      <c r="N59" s="103" t="s">
        <v>431</v>
      </c>
      <c r="O59" s="103" t="s">
        <v>432</v>
      </c>
      <c r="P59" s="104"/>
      <c r="Q59" s="104"/>
    </row>
    <row r="60" spans="1:17" ht="15.6">
      <c r="A60" s="26" t="str">
        <v>Pool Brook Road</v>
      </c>
      <c r="B60" s="27" t="str">
        <v>NY</v>
      </c>
      <c r="C60" s="27" t="str">
        <f>Sites[[#This Row],[SOL'#]]</f>
        <v>SOL-10909</v>
      </c>
      <c r="D60" s="72">
        <v>284618</v>
      </c>
      <c r="E60" s="71">
        <v>298602.11900000001</v>
      </c>
      <c r="F60" s="14">
        <f t="shared" si="0"/>
        <v>-13984.119000000006</v>
      </c>
      <c r="G60" s="15">
        <f t="shared" si="1"/>
        <v>-4.6831948302416451E-2</v>
      </c>
      <c r="H60" s="72">
        <v>259081.23</v>
      </c>
      <c r="I60" s="16">
        <f t="shared" si="2"/>
        <v>25536.76999999999</v>
      </c>
      <c r="J60" s="15">
        <f t="shared" si="3"/>
        <v>9.8566654172515658E-2</v>
      </c>
      <c r="K60" s="38"/>
      <c r="L60" s="38"/>
      <c r="M60" s="104"/>
      <c r="N60" s="104"/>
      <c r="O60" s="104"/>
      <c r="P60" s="104"/>
      <c r="Q60" s="104"/>
    </row>
    <row r="61" spans="1:17" ht="72.75" customHeight="1">
      <c r="A61" s="24" t="str">
        <v>Sackett Lake</v>
      </c>
      <c r="B61" s="25" t="str">
        <v>NY</v>
      </c>
      <c r="C61" s="25" t="str">
        <f>Sites[[#This Row],[SOL'#]]</f>
        <v>SOL-10910</v>
      </c>
      <c r="D61" s="20">
        <v>314608</v>
      </c>
      <c r="E61" s="10">
        <v>327404.69199999998</v>
      </c>
      <c r="F61" s="10">
        <f t="shared" ref="F61:F101" si="4">IF(AND(ISNUMBER(D61),ISNUMBER(E61)), D61-E61, "")</f>
        <v>-12796.691999999981</v>
      </c>
      <c r="G61" s="11">
        <f t="shared" ref="G61:G99" si="5">IFERROR(F61/E61, "")</f>
        <v>-3.9085243164444269E-2</v>
      </c>
      <c r="H61" s="12">
        <v>308336.21999999997</v>
      </c>
      <c r="I61" s="12">
        <f t="shared" si="2"/>
        <v>6271.7800000000279</v>
      </c>
      <c r="J61" s="13">
        <f t="shared" si="3"/>
        <v>2.0340717675010833E-2</v>
      </c>
      <c r="K61" s="37" t="s">
        <v>433</v>
      </c>
      <c r="L61" s="110" t="s">
        <v>434</v>
      </c>
      <c r="M61" s="104"/>
      <c r="N61" s="104"/>
      <c r="O61" s="104"/>
      <c r="P61" s="104"/>
      <c r="Q61" s="104"/>
    </row>
    <row r="62" spans="1:17" ht="166.5" customHeight="1">
      <c r="A62" s="26" t="str">
        <v>Burritt Road</v>
      </c>
      <c r="B62" s="27" t="str">
        <v>NY</v>
      </c>
      <c r="C62" s="27" t="str">
        <f>Sites[[#This Row],[SOL'#]]</f>
        <v>SOL-10913</v>
      </c>
      <c r="D62" s="9">
        <v>244160</v>
      </c>
      <c r="E62" s="14">
        <v>0</v>
      </c>
      <c r="F62" s="14">
        <f t="shared" si="4"/>
        <v>244160</v>
      </c>
      <c r="G62" s="15" t="str">
        <f>IFERROR(F62/E62, "")</f>
        <v/>
      </c>
      <c r="H62" s="16">
        <v>262360.5</v>
      </c>
      <c r="I62" s="16">
        <f t="shared" si="2"/>
        <v>-18200.5</v>
      </c>
      <c r="J62" s="15">
        <f t="shared" si="3"/>
        <v>-6.9372104413583602E-2</v>
      </c>
      <c r="K62" s="38" t="s">
        <v>435</v>
      </c>
      <c r="L62" s="100" t="s">
        <v>436</v>
      </c>
      <c r="M62" s="103" t="s">
        <v>437</v>
      </c>
      <c r="N62" s="103" t="s">
        <v>437</v>
      </c>
      <c r="O62" s="104"/>
      <c r="P62" s="104"/>
      <c r="Q62" s="104"/>
    </row>
    <row r="63" spans="1:17" ht="97.5" customHeight="1">
      <c r="A63" s="24" t="str">
        <v>Villa Roma 1</v>
      </c>
      <c r="B63" s="25" t="str">
        <v>NY</v>
      </c>
      <c r="C63" s="25" t="str">
        <f>Sites[[#This Row],[SOL'#]]</f>
        <v>SOL-10914</v>
      </c>
      <c r="D63" s="20">
        <v>292460</v>
      </c>
      <c r="E63" s="10">
        <v>795.601</v>
      </c>
      <c r="F63" s="10">
        <f t="shared" si="4"/>
        <v>291664.39899999998</v>
      </c>
      <c r="G63" s="11">
        <f>IFERROR(F63/E63, "")</f>
        <v>366.596320266063</v>
      </c>
      <c r="H63" s="12">
        <v>230513.34</v>
      </c>
      <c r="I63" s="12">
        <f t="shared" si="2"/>
        <v>61946.66</v>
      </c>
      <c r="J63" s="13">
        <f t="shared" si="3"/>
        <v>0.26873351451156796</v>
      </c>
      <c r="K63" s="37" t="s">
        <v>438</v>
      </c>
      <c r="L63" s="110" t="s">
        <v>439</v>
      </c>
      <c r="M63" s="103" t="s">
        <v>440</v>
      </c>
      <c r="N63" s="104"/>
      <c r="O63" s="104"/>
      <c r="P63" s="104"/>
      <c r="Q63" s="104"/>
    </row>
    <row r="64" spans="1:17" ht="28.9">
      <c r="A64" s="26" t="str">
        <v>Villa Roma 2</v>
      </c>
      <c r="B64" s="27" t="str">
        <v>NY</v>
      </c>
      <c r="C64" s="27" t="str">
        <f>Sites[[#This Row],[SOL'#]]</f>
        <v>SOL-10915</v>
      </c>
      <c r="D64" s="9">
        <v>282446</v>
      </c>
      <c r="E64" s="14">
        <v>290530.56099999999</v>
      </c>
      <c r="F64" s="14">
        <f t="shared" si="4"/>
        <v>-8084.560999999987</v>
      </c>
      <c r="G64" s="15">
        <f t="shared" si="5"/>
        <v>-2.7826886686801899E-2</v>
      </c>
      <c r="H64" s="16">
        <v>223617.6</v>
      </c>
      <c r="I64" s="16">
        <f t="shared" si="2"/>
        <v>58828.399999999994</v>
      </c>
      <c r="J64" s="15">
        <f t="shared" si="3"/>
        <v>0.26307589384735364</v>
      </c>
      <c r="K64" s="38" t="s">
        <v>441</v>
      </c>
      <c r="L64" s="52" t="s">
        <v>442</v>
      </c>
      <c r="M64" s="104"/>
      <c r="N64" s="104"/>
      <c r="O64" s="104"/>
      <c r="P64" s="104"/>
      <c r="Q64" s="104"/>
    </row>
    <row r="65" spans="1:21" ht="15.6">
      <c r="A65" s="24" t="str">
        <v>Washington 1</v>
      </c>
      <c r="B65" s="25" t="str">
        <v>NY</v>
      </c>
      <c r="C65" s="25" t="str">
        <f>Sites[[#This Row],[SOL'#]]</f>
        <v>SOL-10912</v>
      </c>
      <c r="D65" s="20">
        <v>284470</v>
      </c>
      <c r="E65" s="10">
        <v>297807.87400000001</v>
      </c>
      <c r="F65" s="10">
        <f t="shared" si="4"/>
        <v>-13337.874000000011</v>
      </c>
      <c r="G65" s="11">
        <f t="shared" si="5"/>
        <v>-4.4786841331132872E-2</v>
      </c>
      <c r="H65" s="12">
        <v>258096.13</v>
      </c>
      <c r="I65" s="12">
        <f t="shared" ref="I65:I103" si="6">IF(AND(ISNUMBER(D65),ISNUMBER(H65)), D65-H65, "")</f>
        <v>26373.869999999995</v>
      </c>
      <c r="J65" s="13">
        <f t="shared" ref="J65:J103" si="7">IFERROR(I65/H65, "")</f>
        <v>0.10218622805386503</v>
      </c>
      <c r="K65" s="37"/>
      <c r="L65" s="37"/>
      <c r="M65" s="104"/>
      <c r="N65" s="104"/>
      <c r="O65" s="104"/>
      <c r="P65" s="104"/>
      <c r="Q65" s="104"/>
    </row>
    <row r="66" spans="1:21" ht="79.5" customHeight="1">
      <c r="A66" s="26" t="str">
        <v>Washington 3</v>
      </c>
      <c r="B66" s="27" t="str">
        <v>NY</v>
      </c>
      <c r="C66" s="27" t="str">
        <f>Sites[[#This Row],[SOL'#]]</f>
        <v>SOL-10828</v>
      </c>
      <c r="D66" s="9">
        <v>342949</v>
      </c>
      <c r="E66" s="14">
        <v>0</v>
      </c>
      <c r="F66" s="14">
        <f t="shared" si="4"/>
        <v>342949</v>
      </c>
      <c r="G66" s="15" t="str">
        <f t="shared" si="5"/>
        <v/>
      </c>
      <c r="H66" s="16">
        <v>317573.3</v>
      </c>
      <c r="I66" s="16">
        <f t="shared" si="6"/>
        <v>25375.700000000012</v>
      </c>
      <c r="J66" s="15">
        <f t="shared" si="7"/>
        <v>7.9905017203902251E-2</v>
      </c>
      <c r="K66" s="50" t="s">
        <v>443</v>
      </c>
      <c r="L66" s="111" t="s">
        <v>444</v>
      </c>
      <c r="M66" s="103" t="s">
        <v>445</v>
      </c>
      <c r="N66" s="104"/>
      <c r="O66" s="104"/>
      <c r="P66" s="104"/>
      <c r="Q66" s="104"/>
    </row>
    <row r="67" spans="1:21" ht="15.6">
      <c r="A67" s="24" t="str">
        <v>Washington 4</v>
      </c>
      <c r="B67" s="25" t="str">
        <v>NY</v>
      </c>
      <c r="C67" s="25" t="str">
        <f>Sites[[#This Row],[SOL'#]]</f>
        <v>SOL-10829</v>
      </c>
      <c r="D67" s="20">
        <v>343118</v>
      </c>
      <c r="E67" s="10">
        <v>355062.712</v>
      </c>
      <c r="F67" s="10">
        <f t="shared" si="4"/>
        <v>-11944.712</v>
      </c>
      <c r="G67" s="11">
        <f>IFERROR(F67/E67, "")</f>
        <v>-3.3641133231697956E-2</v>
      </c>
      <c r="H67" s="12">
        <v>316864.2</v>
      </c>
      <c r="I67" s="12">
        <f t="shared" si="6"/>
        <v>26253.799999999988</v>
      </c>
      <c r="J67" s="13">
        <f t="shared" si="7"/>
        <v>8.2855052732369219E-2</v>
      </c>
      <c r="K67" s="37"/>
      <c r="L67" s="37"/>
      <c r="M67" s="104"/>
      <c r="N67" s="104"/>
      <c r="O67" s="104"/>
      <c r="P67" s="104"/>
      <c r="Q67" s="104"/>
    </row>
    <row r="68" spans="1:21" ht="45.75" customHeight="1">
      <c r="A68" s="26" t="str">
        <v>Big Tree</v>
      </c>
      <c r="B68" s="27" t="str">
        <v>NY</v>
      </c>
      <c r="C68" s="27" t="str">
        <f>Sites[[#This Row],[SOL'#]]</f>
        <v>SOL-10966</v>
      </c>
      <c r="D68" s="9">
        <v>273687</v>
      </c>
      <c r="E68" s="14">
        <v>0</v>
      </c>
      <c r="F68" s="14">
        <f t="shared" si="4"/>
        <v>273687</v>
      </c>
      <c r="G68" s="15" t="str">
        <f t="shared" si="5"/>
        <v/>
      </c>
      <c r="H68" s="16">
        <v>288104.5</v>
      </c>
      <c r="I68" s="16">
        <f t="shared" si="6"/>
        <v>-14417.5</v>
      </c>
      <c r="J68" s="15">
        <f t="shared" si="7"/>
        <v>-5.004260606828425E-2</v>
      </c>
      <c r="K68" s="50" t="s">
        <v>446</v>
      </c>
      <c r="L68" s="50" t="s">
        <v>447</v>
      </c>
      <c r="M68" s="104"/>
      <c r="N68" s="104"/>
      <c r="O68" s="104"/>
      <c r="P68" s="104"/>
      <c r="Q68" s="104"/>
    </row>
    <row r="69" spans="1:21" ht="277.5" customHeight="1">
      <c r="A69" s="24" t="str">
        <v>Canoga</v>
      </c>
      <c r="B69" s="25" t="str">
        <v>NY</v>
      </c>
      <c r="C69" s="25" t="str">
        <f>Sites[[#This Row],[SOL'#]]</f>
        <v>SOL-10965</v>
      </c>
      <c r="D69" s="20">
        <v>596020</v>
      </c>
      <c r="E69" s="10">
        <v>0</v>
      </c>
      <c r="F69" s="10">
        <f t="shared" si="4"/>
        <v>596020</v>
      </c>
      <c r="G69" s="11" t="str">
        <f t="shared" si="5"/>
        <v/>
      </c>
      <c r="H69" s="12">
        <v>721909.99</v>
      </c>
      <c r="I69" s="12">
        <f t="shared" si="6"/>
        <v>-125889.98999999999</v>
      </c>
      <c r="J69" s="13">
        <f t="shared" si="7"/>
        <v>-0.17438460714472173</v>
      </c>
      <c r="K69" s="37" t="s">
        <v>448</v>
      </c>
      <c r="L69" s="110" t="s">
        <v>449</v>
      </c>
      <c r="M69" s="103" t="s">
        <v>450</v>
      </c>
      <c r="N69" s="103" t="s">
        <v>451</v>
      </c>
      <c r="O69" s="103" t="s">
        <v>452</v>
      </c>
      <c r="P69" s="103" t="s">
        <v>452</v>
      </c>
      <c r="Q69" s="103" t="s">
        <v>453</v>
      </c>
    </row>
    <row r="70" spans="1:21" ht="28.9">
      <c r="A70" s="26" t="str">
        <v>County Route 84</v>
      </c>
      <c r="B70" s="27" t="str">
        <v>NY</v>
      </c>
      <c r="C70" s="27" t="str">
        <f>Sites[[#This Row],[SOL'#]]</f>
        <v>SOL-10967</v>
      </c>
      <c r="D70" s="9">
        <v>765110</v>
      </c>
      <c r="E70" s="14">
        <v>0</v>
      </c>
      <c r="F70" s="14">
        <f t="shared" si="4"/>
        <v>765110</v>
      </c>
      <c r="G70" s="15" t="str">
        <f t="shared" si="5"/>
        <v/>
      </c>
      <c r="H70" s="16">
        <v>801935.5</v>
      </c>
      <c r="I70" s="16">
        <f t="shared" si="6"/>
        <v>-36825.5</v>
      </c>
      <c r="J70" s="15">
        <f t="shared" si="7"/>
        <v>-4.5920775423958657E-2</v>
      </c>
      <c r="K70" s="50" t="s">
        <v>454</v>
      </c>
      <c r="L70" s="111" t="s">
        <v>455</v>
      </c>
      <c r="M70" s="104"/>
      <c r="N70" s="104"/>
      <c r="O70" s="104"/>
      <c r="P70" s="104"/>
      <c r="Q70" s="104"/>
    </row>
    <row r="71" spans="1:21" ht="100.9">
      <c r="A71" s="24" t="str">
        <v>Donati</v>
      </c>
      <c r="B71" s="25" t="str">
        <v>NY</v>
      </c>
      <c r="C71" s="25" t="str">
        <f>Sites[[#This Row],[SOL'#]]</f>
        <v>SOL-10968</v>
      </c>
      <c r="D71" s="20">
        <v>126381</v>
      </c>
      <c r="E71" s="10">
        <v>0</v>
      </c>
      <c r="F71" s="10">
        <f t="shared" si="4"/>
        <v>126381</v>
      </c>
      <c r="G71" s="11" t="str">
        <f t="shared" si="5"/>
        <v/>
      </c>
      <c r="H71" s="12">
        <v>341064.1</v>
      </c>
      <c r="I71" s="12">
        <f t="shared" si="6"/>
        <v>-214683.09999999998</v>
      </c>
      <c r="J71" s="13">
        <f t="shared" si="7"/>
        <v>-0.62945088621171208</v>
      </c>
      <c r="K71" s="37" t="s">
        <v>456</v>
      </c>
      <c r="L71" s="110" t="s">
        <v>457</v>
      </c>
      <c r="M71" s="103" t="s">
        <v>458</v>
      </c>
      <c r="N71" s="103" t="s">
        <v>83</v>
      </c>
      <c r="O71" s="103" t="s">
        <v>459</v>
      </c>
      <c r="P71" s="103" t="s">
        <v>460</v>
      </c>
      <c r="Q71" s="103" t="s">
        <v>461</v>
      </c>
    </row>
    <row r="72" spans="1:21" ht="15.6">
      <c r="A72" s="26" t="str">
        <v>Henrietta</v>
      </c>
      <c r="B72" s="27" t="str">
        <v>NY</v>
      </c>
      <c r="C72" s="27" t="str">
        <f>Sites[[#This Row],[SOL'#]]</f>
        <v>SOL-10972</v>
      </c>
      <c r="D72" s="9">
        <v>657820</v>
      </c>
      <c r="E72" s="14">
        <v>0</v>
      </c>
      <c r="F72" s="14">
        <f t="shared" si="4"/>
        <v>657820</v>
      </c>
      <c r="G72" s="15" t="str">
        <f t="shared" si="5"/>
        <v/>
      </c>
      <c r="H72" s="16">
        <v>670835.98</v>
      </c>
      <c r="I72" s="16">
        <f t="shared" si="6"/>
        <v>-13015.979999999981</v>
      </c>
      <c r="J72" s="15">
        <f t="shared" si="7"/>
        <v>-1.9402626555600048E-2</v>
      </c>
      <c r="K72" s="50"/>
      <c r="L72" s="50"/>
      <c r="M72" s="104"/>
      <c r="N72" s="104"/>
      <c r="O72" s="104"/>
      <c r="P72" s="104"/>
      <c r="Q72" s="104"/>
    </row>
    <row r="73" spans="1:21" ht="100.9">
      <c r="A73" s="24" t="str">
        <v>NY 70</v>
      </c>
      <c r="B73" s="25" t="str">
        <v>NY</v>
      </c>
      <c r="C73" s="25" t="str">
        <f>Sites[[#This Row],[SOL'#]]</f>
        <v>SOL-10970</v>
      </c>
      <c r="D73" s="20">
        <v>692500</v>
      </c>
      <c r="E73" s="10">
        <v>0</v>
      </c>
      <c r="F73" s="10">
        <f t="shared" si="4"/>
        <v>692500</v>
      </c>
      <c r="G73" s="11" t="str">
        <f t="shared" si="5"/>
        <v/>
      </c>
      <c r="H73" s="12">
        <v>842989.16</v>
      </c>
      <c r="I73" s="12">
        <f t="shared" si="6"/>
        <v>-150489.16000000003</v>
      </c>
      <c r="J73" s="13">
        <f t="shared" si="7"/>
        <v>-0.17851849957358887</v>
      </c>
      <c r="K73" s="37" t="s">
        <v>462</v>
      </c>
      <c r="L73" s="110" t="s">
        <v>463</v>
      </c>
      <c r="M73" s="103" t="s">
        <v>464</v>
      </c>
      <c r="N73" s="103" t="s">
        <v>465</v>
      </c>
      <c r="O73" s="104"/>
      <c r="P73" s="104"/>
      <c r="Q73" s="104"/>
    </row>
    <row r="74" spans="1:21" ht="317.25" customHeight="1">
      <c r="A74" s="26" t="str">
        <v>Reid</v>
      </c>
      <c r="B74" s="27" t="str">
        <v>NY</v>
      </c>
      <c r="C74" s="27" t="str">
        <f>Sites[[#This Row],[SOL'#]]</f>
        <v>SOL-10991</v>
      </c>
      <c r="D74" s="9">
        <v>598905.00057238701</v>
      </c>
      <c r="E74" s="14">
        <v>628321.1</v>
      </c>
      <c r="F74" s="14">
        <f t="shared" si="4"/>
        <v>-29416.099427612964</v>
      </c>
      <c r="G74" s="15">
        <f t="shared" si="5"/>
        <v>-4.6816984862696739E-2</v>
      </c>
      <c r="H74" s="16">
        <v>657607</v>
      </c>
      <c r="I74" s="16">
        <f t="shared" si="6"/>
        <v>-58701.999427612987</v>
      </c>
      <c r="J74" s="15">
        <f t="shared" si="7"/>
        <v>-8.926608054295801E-2</v>
      </c>
      <c r="K74" s="51" t="s">
        <v>466</v>
      </c>
      <c r="L74" s="100" t="s">
        <v>467</v>
      </c>
      <c r="M74" s="103" t="s">
        <v>468</v>
      </c>
      <c r="N74" s="103" t="s">
        <v>282</v>
      </c>
      <c r="O74" s="103" t="s">
        <v>469</v>
      </c>
      <c r="P74" s="103" t="s">
        <v>470</v>
      </c>
      <c r="Q74" s="103" t="s">
        <v>471</v>
      </c>
      <c r="R74" s="112" t="s">
        <v>472</v>
      </c>
      <c r="S74" s="112" t="s">
        <v>473</v>
      </c>
      <c r="T74" s="112" t="s">
        <v>474</v>
      </c>
      <c r="U74" s="112" t="s">
        <v>475</v>
      </c>
    </row>
    <row r="75" spans="1:21" ht="144">
      <c r="A75" s="24" t="str">
        <v>Sangolqui</v>
      </c>
      <c r="B75" s="25" t="str">
        <v>NY</v>
      </c>
      <c r="C75" s="25" t="str">
        <f>Sites[[#This Row],[SOL'#]]</f>
        <v>SOL-10975</v>
      </c>
      <c r="D75" s="20">
        <v>304250</v>
      </c>
      <c r="E75" s="10">
        <v>0</v>
      </c>
      <c r="F75" s="10">
        <f t="shared" si="4"/>
        <v>304250</v>
      </c>
      <c r="G75" s="11" t="str">
        <f t="shared" si="5"/>
        <v/>
      </c>
      <c r="H75" s="12">
        <v>332621.63</v>
      </c>
      <c r="I75" s="12">
        <f t="shared" si="6"/>
        <v>-28371.630000000005</v>
      </c>
      <c r="J75" s="13">
        <f t="shared" si="7"/>
        <v>-8.5297008495809498E-2</v>
      </c>
      <c r="K75" s="37" t="s">
        <v>476</v>
      </c>
      <c r="L75" s="110" t="s">
        <v>477</v>
      </c>
      <c r="M75" s="103" t="s">
        <v>478</v>
      </c>
      <c r="N75" s="103" t="s">
        <v>479</v>
      </c>
      <c r="O75" s="103" t="s">
        <v>480</v>
      </c>
      <c r="P75" s="103" t="s">
        <v>481</v>
      </c>
      <c r="Q75" s="104"/>
    </row>
    <row r="76" spans="1:21" ht="15.6">
      <c r="A76" s="26" t="str">
        <v>State Highway 17B</v>
      </c>
      <c r="B76" s="27" t="str">
        <v>NY</v>
      </c>
      <c r="C76" s="27" t="str">
        <f>Sites[[#This Row],[SOL'#]]</f>
        <v>SOL-10988</v>
      </c>
      <c r="D76" s="9">
        <v>720970</v>
      </c>
      <c r="E76" s="14">
        <v>0</v>
      </c>
      <c r="F76" s="14">
        <f t="shared" si="4"/>
        <v>720970</v>
      </c>
      <c r="G76" s="15" t="str">
        <f t="shared" si="5"/>
        <v/>
      </c>
      <c r="H76" s="16">
        <v>638001.97</v>
      </c>
      <c r="I76" s="16">
        <f t="shared" si="6"/>
        <v>82968.030000000028</v>
      </c>
      <c r="J76" s="15">
        <f t="shared" si="7"/>
        <v>0.13004353262420182</v>
      </c>
      <c r="K76" s="51" t="s">
        <v>482</v>
      </c>
      <c r="L76" s="100" t="s">
        <v>483</v>
      </c>
      <c r="M76" s="104"/>
      <c r="N76" s="104"/>
      <c r="O76" s="104"/>
      <c r="P76" s="104"/>
      <c r="Q76" s="104"/>
    </row>
    <row r="77" spans="1:21" ht="15.6">
      <c r="A77" s="24" t="str">
        <v>State Route 14A</v>
      </c>
      <c r="B77" s="25" t="str">
        <v>NY</v>
      </c>
      <c r="C77" s="25" t="str">
        <f>Sites[[#This Row],[SOL'#]]</f>
        <v>SOL-10997</v>
      </c>
      <c r="D77" s="20">
        <v>738375</v>
      </c>
      <c r="E77" s="10">
        <v>0</v>
      </c>
      <c r="F77" s="10">
        <f>IF(AND(ISNUMBER(D77),ISNUMBER(E77)), D77-E77, "")</f>
        <v>738375</v>
      </c>
      <c r="G77" s="11" t="str">
        <f>IFERROR(F77/E77, "")</f>
        <v/>
      </c>
      <c r="H77" s="12">
        <v>723566.05</v>
      </c>
      <c r="I77" s="12">
        <f>IF(AND(ISNUMBER(D77),ISNUMBER(H77)), D77-H77, "")</f>
        <v>14808.949999999953</v>
      </c>
      <c r="J77" s="13">
        <f>IFERROR(I77/H77, "")</f>
        <v>2.0466618078612109E-2</v>
      </c>
      <c r="K77" s="37"/>
      <c r="L77" s="37"/>
      <c r="M77" s="104"/>
      <c r="N77" s="104"/>
      <c r="O77" s="104"/>
      <c r="P77" s="104"/>
      <c r="Q77" s="104"/>
    </row>
    <row r="78" spans="1:21" ht="15.6">
      <c r="A78" s="26" t="str">
        <v>West Creek</v>
      </c>
      <c r="B78" s="27" t="str">
        <v>NY</v>
      </c>
      <c r="C78" s="27" t="str">
        <f>Sites[[#This Row],[SOL'#]]</f>
        <v>SOL-10995</v>
      </c>
      <c r="D78" s="9">
        <v>783200</v>
      </c>
      <c r="E78" s="14">
        <v>0</v>
      </c>
      <c r="F78" s="14">
        <f t="shared" si="4"/>
        <v>783200</v>
      </c>
      <c r="G78" s="15" t="str">
        <f t="shared" si="5"/>
        <v/>
      </c>
      <c r="H78" s="16">
        <v>745081.94</v>
      </c>
      <c r="I78" s="16">
        <f t="shared" si="6"/>
        <v>38118.060000000056</v>
      </c>
      <c r="J78" s="15">
        <f t="shared" si="7"/>
        <v>5.1159554343781381E-2</v>
      </c>
      <c r="K78" s="51"/>
      <c r="L78" s="52"/>
      <c r="M78" s="104"/>
      <c r="N78" s="104"/>
      <c r="O78" s="104"/>
      <c r="P78" s="104"/>
      <c r="Q78" s="104"/>
    </row>
    <row r="79" spans="1:21" ht="114" customHeight="1">
      <c r="A79" s="24" t="str">
        <v>Wildflower</v>
      </c>
      <c r="B79" s="25" t="str">
        <v>NY</v>
      </c>
      <c r="C79" s="25" t="str">
        <f>Sites[[#This Row],[SOL'#]]</f>
        <v>SOL-10982</v>
      </c>
      <c r="D79" s="20">
        <v>617179</v>
      </c>
      <c r="E79" s="10">
        <v>0</v>
      </c>
      <c r="F79" s="10">
        <f t="shared" si="4"/>
        <v>617179</v>
      </c>
      <c r="G79" s="11" t="str">
        <f t="shared" si="5"/>
        <v/>
      </c>
      <c r="H79" s="12">
        <v>744170.26</v>
      </c>
      <c r="I79" s="12">
        <f t="shared" si="6"/>
        <v>-126991.26000000001</v>
      </c>
      <c r="J79" s="13">
        <f t="shared" si="7"/>
        <v>-0.17064812560501949</v>
      </c>
      <c r="K79" s="56" t="s">
        <v>484</v>
      </c>
      <c r="L79" s="117" t="s">
        <v>485</v>
      </c>
      <c r="M79" s="103" t="s">
        <v>486</v>
      </c>
      <c r="N79" s="104"/>
      <c r="O79" s="104"/>
      <c r="P79" s="104"/>
      <c r="Q79" s="104"/>
    </row>
    <row r="80" spans="1:21" ht="15.6">
      <c r="A80" s="26" t="str">
        <v>Glen Mary 1</v>
      </c>
      <c r="B80" s="27" t="str">
        <v>NY</v>
      </c>
      <c r="C80" s="27" t="str">
        <f>Sites[[#This Row],[SOL'#]]</f>
        <v>SOL-10993</v>
      </c>
      <c r="D80" s="9">
        <v>788220</v>
      </c>
      <c r="E80" s="14">
        <v>0</v>
      </c>
      <c r="F80" s="14">
        <f t="shared" si="4"/>
        <v>788220</v>
      </c>
      <c r="G80" s="15" t="str">
        <f t="shared" si="5"/>
        <v/>
      </c>
      <c r="H80" s="16">
        <v>769129.73</v>
      </c>
      <c r="I80" s="16">
        <f t="shared" si="6"/>
        <v>19090.270000000019</v>
      </c>
      <c r="J80" s="15">
        <f t="shared" si="7"/>
        <v>2.4820611212103345E-2</v>
      </c>
      <c r="K80" s="50"/>
      <c r="L80" s="50"/>
      <c r="M80" s="104"/>
      <c r="N80" s="104"/>
      <c r="O80" s="104"/>
      <c r="P80" s="104"/>
      <c r="Q80" s="104"/>
    </row>
    <row r="81" spans="1:17" ht="15.6">
      <c r="A81" s="24" t="str">
        <v>Glen Mary 2</v>
      </c>
      <c r="B81" s="25" t="str">
        <v>NY</v>
      </c>
      <c r="C81" s="25" t="str">
        <f>Sites[[#This Row],[SOL'#]]</f>
        <v>SOL-10994</v>
      </c>
      <c r="D81" s="20">
        <v>347560</v>
      </c>
      <c r="E81" s="10">
        <v>0</v>
      </c>
      <c r="F81" s="10">
        <f t="shared" si="4"/>
        <v>347560</v>
      </c>
      <c r="G81" s="11" t="str">
        <f t="shared" si="5"/>
        <v/>
      </c>
      <c r="H81" s="12">
        <v>324262.76</v>
      </c>
      <c r="I81" s="12">
        <f t="shared" si="6"/>
        <v>23297.239999999991</v>
      </c>
      <c r="J81" s="13">
        <f t="shared" si="7"/>
        <v>7.1846794864757174E-2</v>
      </c>
      <c r="K81" s="37"/>
      <c r="L81" s="37"/>
      <c r="M81" s="104"/>
      <c r="N81" s="104"/>
      <c r="O81" s="104"/>
      <c r="P81" s="104"/>
      <c r="Q81" s="104"/>
    </row>
    <row r="82" spans="1:17" ht="57.6">
      <c r="A82" s="26" t="str">
        <v>Telegraph 1</v>
      </c>
      <c r="B82" s="27" t="str">
        <v>NY</v>
      </c>
      <c r="C82" s="27" t="str">
        <f>Sites[[#This Row],[SOL'#]]</f>
        <v>SOL-11003</v>
      </c>
      <c r="D82" s="9">
        <v>566859</v>
      </c>
      <c r="E82" s="14">
        <v>0</v>
      </c>
      <c r="F82" s="14">
        <f t="shared" si="4"/>
        <v>566859</v>
      </c>
      <c r="G82" s="15" t="str">
        <f t="shared" si="5"/>
        <v/>
      </c>
      <c r="H82" s="16">
        <v>528951.26</v>
      </c>
      <c r="I82" s="16">
        <f t="shared" si="6"/>
        <v>37907.739999999991</v>
      </c>
      <c r="J82" s="15">
        <f t="shared" si="7"/>
        <v>7.1665846868386299E-2</v>
      </c>
      <c r="K82" s="38" t="s">
        <v>487</v>
      </c>
      <c r="L82" s="100" t="s">
        <v>488</v>
      </c>
      <c r="M82" s="103" t="s">
        <v>489</v>
      </c>
      <c r="N82" s="104"/>
      <c r="O82" s="104"/>
      <c r="P82" s="104"/>
      <c r="Q82" s="104"/>
    </row>
    <row r="83" spans="1:17" ht="78.75" customHeight="1">
      <c r="A83" s="24" t="str">
        <v>Telegraph 2</v>
      </c>
      <c r="B83" s="25" t="str">
        <v>NY</v>
      </c>
      <c r="C83" s="25" t="str">
        <f>Sites[[#This Row],[SOL'#]]</f>
        <v>SOL-11004</v>
      </c>
      <c r="D83" s="20">
        <v>298925</v>
      </c>
      <c r="E83" s="10">
        <v>0</v>
      </c>
      <c r="F83" s="10">
        <f t="shared" si="4"/>
        <v>298925</v>
      </c>
      <c r="G83" s="11" t="str">
        <f t="shared" si="5"/>
        <v/>
      </c>
      <c r="H83" s="12">
        <v>274538.3</v>
      </c>
      <c r="I83" s="12">
        <f t="shared" si="6"/>
        <v>24386.700000000012</v>
      </c>
      <c r="J83" s="13">
        <f t="shared" si="7"/>
        <v>8.8828043300333739E-2</v>
      </c>
      <c r="K83" s="56" t="s">
        <v>490</v>
      </c>
      <c r="L83" s="110" t="s">
        <v>491</v>
      </c>
      <c r="M83" s="103" t="s">
        <v>492</v>
      </c>
      <c r="N83" s="103" t="s">
        <v>493</v>
      </c>
      <c r="O83" s="104"/>
      <c r="P83" s="104"/>
      <c r="Q83" s="104"/>
    </row>
    <row r="84" spans="1:17" ht="43.15">
      <c r="A84" s="26" t="str">
        <v>Cafferty Hill</v>
      </c>
      <c r="B84" s="27" t="str">
        <v>NY</v>
      </c>
      <c r="C84" s="27" t="str">
        <f>Sites[[#This Row],[SOL'#]]</f>
        <v>SOL-10996</v>
      </c>
      <c r="D84" s="9">
        <v>765350</v>
      </c>
      <c r="E84" s="14">
        <v>0</v>
      </c>
      <c r="F84" s="14">
        <f t="shared" si="4"/>
        <v>765350</v>
      </c>
      <c r="G84" s="15" t="str">
        <f t="shared" si="5"/>
        <v/>
      </c>
      <c r="H84" s="16">
        <v>688149.3</v>
      </c>
      <c r="I84" s="16">
        <f t="shared" si="6"/>
        <v>77200.699999999953</v>
      </c>
      <c r="J84" s="15">
        <f t="shared" si="7"/>
        <v>0.11218597475867512</v>
      </c>
      <c r="K84" s="38" t="s">
        <v>494</v>
      </c>
      <c r="L84" s="100" t="s">
        <v>495</v>
      </c>
      <c r="M84" s="104"/>
      <c r="N84" s="104"/>
      <c r="O84" s="104"/>
      <c r="P84" s="104"/>
      <c r="Q84" s="104"/>
    </row>
    <row r="85" spans="1:17" ht="86.45">
      <c r="A85" s="24" t="str">
        <v>Dunkleman</v>
      </c>
      <c r="B85" s="25" t="str">
        <v>NY</v>
      </c>
      <c r="C85" s="25" t="str">
        <f>Sites[[#This Row],[SOL'#]]</f>
        <v>SOL-11008</v>
      </c>
      <c r="D85" s="20">
        <v>739710</v>
      </c>
      <c r="E85" s="10">
        <v>0</v>
      </c>
      <c r="F85" s="10">
        <f t="shared" si="4"/>
        <v>739710</v>
      </c>
      <c r="G85" s="11" t="str">
        <f t="shared" si="5"/>
        <v/>
      </c>
      <c r="H85" s="12">
        <v>879842.6</v>
      </c>
      <c r="I85" s="12">
        <f t="shared" si="6"/>
        <v>-140132.59999999998</v>
      </c>
      <c r="J85" s="13">
        <f t="shared" si="7"/>
        <v>-0.15927007853450148</v>
      </c>
      <c r="K85" s="37" t="s">
        <v>496</v>
      </c>
      <c r="L85" s="117" t="s">
        <v>497</v>
      </c>
      <c r="M85" s="103" t="s">
        <v>498</v>
      </c>
      <c r="N85" s="104"/>
      <c r="O85" s="104"/>
      <c r="P85" s="104"/>
      <c r="Q85" s="104"/>
    </row>
    <row r="86" spans="1:17" ht="57.6">
      <c r="A86" s="26" t="str">
        <v>Route 19 1</v>
      </c>
      <c r="B86" s="27" t="str">
        <v>NY</v>
      </c>
      <c r="C86" s="27" t="str">
        <f>Sites[[#This Row],[SOL'#]]</f>
        <v>SOL-11001</v>
      </c>
      <c r="D86" s="9">
        <v>346210</v>
      </c>
      <c r="E86" s="14">
        <v>0</v>
      </c>
      <c r="F86" s="14">
        <f t="shared" si="4"/>
        <v>346210</v>
      </c>
      <c r="G86" s="15" t="str">
        <f t="shared" si="5"/>
        <v/>
      </c>
      <c r="H86" s="16">
        <v>349283.18</v>
      </c>
      <c r="I86" s="16">
        <f t="shared" si="6"/>
        <v>-3073.179999999993</v>
      </c>
      <c r="J86" s="15">
        <f t="shared" si="7"/>
        <v>-8.7985341865016026E-3</v>
      </c>
      <c r="K86" s="38" t="s">
        <v>499</v>
      </c>
      <c r="L86" s="100" t="s">
        <v>500</v>
      </c>
      <c r="M86" s="103" t="s">
        <v>501</v>
      </c>
      <c r="N86" s="104"/>
      <c r="O86" s="104"/>
      <c r="P86" s="104"/>
      <c r="Q86" s="104"/>
    </row>
    <row r="87" spans="1:17" ht="43.15">
      <c r="A87" s="24" t="str">
        <v>Route 19 2</v>
      </c>
      <c r="B87" s="25" t="str">
        <v>NY</v>
      </c>
      <c r="C87" s="25" t="str">
        <f>Sites[[#This Row],[SOL'#]]</f>
        <v>SOL-11002</v>
      </c>
      <c r="D87" s="20">
        <v>835500</v>
      </c>
      <c r="E87" s="10">
        <v>0</v>
      </c>
      <c r="F87" s="10">
        <f t="shared" si="4"/>
        <v>835500</v>
      </c>
      <c r="G87" s="11" t="str">
        <f t="shared" si="5"/>
        <v/>
      </c>
      <c r="H87" s="12">
        <v>874096.22</v>
      </c>
      <c r="I87" s="12">
        <f t="shared" si="6"/>
        <v>-38596.219999999972</v>
      </c>
      <c r="J87" s="13">
        <f t="shared" si="7"/>
        <v>-4.4155573627809502E-2</v>
      </c>
      <c r="K87" s="37" t="s">
        <v>502</v>
      </c>
      <c r="L87" s="110" t="s">
        <v>503</v>
      </c>
      <c r="M87" s="103" t="s">
        <v>504</v>
      </c>
      <c r="N87" s="104"/>
      <c r="O87" s="104"/>
      <c r="P87" s="104"/>
      <c r="Q87" s="104"/>
    </row>
    <row r="88" spans="1:17" ht="100.9">
      <c r="A88" s="26" t="str">
        <v>Yellow Mills 1</v>
      </c>
      <c r="B88" s="27" t="str">
        <v>NY</v>
      </c>
      <c r="C88" s="27" t="str">
        <f>Sites[[#This Row],[SOL'#]]</f>
        <v>SOL-11006</v>
      </c>
      <c r="D88" s="9">
        <v>173566</v>
      </c>
      <c r="E88" s="14">
        <v>0</v>
      </c>
      <c r="F88" s="14">
        <f t="shared" si="4"/>
        <v>173566</v>
      </c>
      <c r="G88" s="15" t="str">
        <f t="shared" si="5"/>
        <v/>
      </c>
      <c r="H88" s="16">
        <v>290227.42</v>
      </c>
      <c r="I88" s="16">
        <f t="shared" si="6"/>
        <v>-116661.41999999998</v>
      </c>
      <c r="J88" s="15">
        <f t="shared" si="7"/>
        <v>-0.40196553447637717</v>
      </c>
      <c r="K88" s="50" t="s">
        <v>505</v>
      </c>
      <c r="L88" s="111" t="s">
        <v>506</v>
      </c>
      <c r="M88" s="103" t="s">
        <v>507</v>
      </c>
      <c r="N88" s="103" t="s">
        <v>508</v>
      </c>
      <c r="O88" s="104"/>
      <c r="P88" s="104"/>
      <c r="Q88" s="104"/>
    </row>
    <row r="89" spans="1:17" ht="52.5" customHeight="1">
      <c r="A89" s="24" t="str">
        <v>Yellow Mills 2</v>
      </c>
      <c r="B89" s="25" t="str">
        <v>NY</v>
      </c>
      <c r="C89" s="25" t="str">
        <f>Sites[[#This Row],[SOL'#]]</f>
        <v>SOL-11005</v>
      </c>
      <c r="D89" s="20">
        <v>307599</v>
      </c>
      <c r="E89" s="10">
        <v>0</v>
      </c>
      <c r="F89" s="10">
        <f t="shared" si="4"/>
        <v>307599</v>
      </c>
      <c r="G89" s="11" t="str">
        <f t="shared" si="5"/>
        <v/>
      </c>
      <c r="H89" s="12">
        <v>300328.5</v>
      </c>
      <c r="I89" s="12">
        <f t="shared" si="6"/>
        <v>7270.5</v>
      </c>
      <c r="J89" s="13">
        <f t="shared" si="7"/>
        <v>2.4208491701586763E-2</v>
      </c>
      <c r="K89" s="37" t="s">
        <v>509</v>
      </c>
      <c r="L89" s="110" t="s">
        <v>510</v>
      </c>
      <c r="M89" s="104"/>
      <c r="N89" s="104"/>
      <c r="O89" s="104"/>
      <c r="P89" s="104"/>
      <c r="Q89" s="104"/>
    </row>
    <row r="90" spans="1:17" ht="72">
      <c r="A90" s="26" t="str">
        <v>Yellow Mills 3</v>
      </c>
      <c r="B90" s="27" t="str">
        <v>NY</v>
      </c>
      <c r="C90" s="27" t="str">
        <f>Sites[[#This Row],[SOL'#]]</f>
        <v>SOL-11007</v>
      </c>
      <c r="D90" s="9">
        <v>280998</v>
      </c>
      <c r="E90" s="14">
        <v>0</v>
      </c>
      <c r="F90" s="14">
        <f t="shared" si="4"/>
        <v>280998</v>
      </c>
      <c r="G90" s="15" t="str">
        <f t="shared" si="5"/>
        <v/>
      </c>
      <c r="H90" s="16">
        <v>278412.03000000003</v>
      </c>
      <c r="I90" s="16">
        <f t="shared" si="6"/>
        <v>2585.9699999999721</v>
      </c>
      <c r="J90" s="15">
        <f t="shared" si="7"/>
        <v>9.2882839868664146E-3</v>
      </c>
      <c r="K90" s="50" t="s">
        <v>511</v>
      </c>
      <c r="L90" s="111" t="s">
        <v>512</v>
      </c>
      <c r="M90" s="103" t="s">
        <v>513</v>
      </c>
      <c r="N90" s="104"/>
      <c r="O90" s="104"/>
      <c r="P90" s="104"/>
      <c r="Q90" s="104"/>
    </row>
    <row r="91" spans="1:17" ht="86.45">
      <c r="A91" s="24" t="str">
        <v>Catskill</v>
      </c>
      <c r="B91" s="25" t="str">
        <v>NY</v>
      </c>
      <c r="C91" s="25" t="str">
        <f>Sites[[#This Row],[SOL'#]]</f>
        <v>SOL-11021</v>
      </c>
      <c r="D91" s="20">
        <v>521640</v>
      </c>
      <c r="E91" s="10">
        <v>0</v>
      </c>
      <c r="F91" s="10">
        <f t="shared" si="4"/>
        <v>521640</v>
      </c>
      <c r="G91" s="11" t="str">
        <f t="shared" si="5"/>
        <v/>
      </c>
      <c r="H91" s="12">
        <v>536089.1</v>
      </c>
      <c r="I91" s="12">
        <f t="shared" si="6"/>
        <v>-14449.099999999977</v>
      </c>
      <c r="J91" s="13">
        <f t="shared" si="7"/>
        <v>-2.6952795719965165E-2</v>
      </c>
      <c r="K91" s="56" t="s">
        <v>514</v>
      </c>
      <c r="L91" s="117" t="s">
        <v>515</v>
      </c>
      <c r="M91" s="103" t="s">
        <v>516</v>
      </c>
      <c r="N91" s="104"/>
      <c r="O91" s="104"/>
      <c r="P91" s="104"/>
      <c r="Q91" s="104"/>
    </row>
    <row r="92" spans="1:17" ht="15.6">
      <c r="A92" s="26" t="str">
        <v>Eddy Ridge</v>
      </c>
      <c r="B92" s="27" t="str">
        <v>NY</v>
      </c>
      <c r="C92" s="27" t="str">
        <f>Sites[[#This Row],[SOL'#]]</f>
        <v>SOL-11054</v>
      </c>
      <c r="D92" s="9">
        <v>378194.1</v>
      </c>
      <c r="E92" s="14">
        <v>0</v>
      </c>
      <c r="F92" s="14">
        <f t="shared" si="4"/>
        <v>378194.1</v>
      </c>
      <c r="G92" s="15" t="str">
        <f t="shared" si="5"/>
        <v/>
      </c>
      <c r="H92" s="16">
        <v>410935</v>
      </c>
      <c r="I92" s="16">
        <f t="shared" si="6"/>
        <v>-32740.900000000023</v>
      </c>
      <c r="J92" s="15">
        <f t="shared" si="7"/>
        <v>-7.9674157713507054E-2</v>
      </c>
      <c r="K92" s="50"/>
      <c r="L92" s="50"/>
      <c r="M92" s="104"/>
      <c r="N92" s="104"/>
      <c r="O92" s="104"/>
      <c r="P92" s="104"/>
      <c r="Q92" s="104"/>
    </row>
    <row r="93" spans="1:17" ht="15.6">
      <c r="A93" s="24" t="str">
        <v>Ridgeway #1</v>
      </c>
      <c r="B93" s="25" t="str">
        <v>NY</v>
      </c>
      <c r="C93" s="25" t="str">
        <f>Sites[[#This Row],[SOL'#]]</f>
        <v>SOL-11018</v>
      </c>
      <c r="D93" s="20">
        <v>822442</v>
      </c>
      <c r="E93" s="10">
        <v>0</v>
      </c>
      <c r="F93" s="10">
        <f t="shared" si="4"/>
        <v>822442</v>
      </c>
      <c r="G93" s="11" t="str">
        <f t="shared" si="5"/>
        <v/>
      </c>
      <c r="H93" s="12">
        <v>876074.3</v>
      </c>
      <c r="I93" s="12">
        <f t="shared" si="6"/>
        <v>-53632.300000000047</v>
      </c>
      <c r="J93" s="13">
        <f t="shared" si="7"/>
        <v>-6.1218894333505781E-2</v>
      </c>
      <c r="K93" s="56"/>
      <c r="L93" s="56"/>
      <c r="M93" s="104"/>
      <c r="N93" s="104"/>
      <c r="O93" s="104"/>
      <c r="P93" s="104"/>
      <c r="Q93" s="104"/>
    </row>
    <row r="94" spans="1:17" ht="43.15">
      <c r="A94" s="26" t="str">
        <v>Rivard 1</v>
      </c>
      <c r="B94" s="27" t="str">
        <v>NY</v>
      </c>
      <c r="C94" s="27" t="str">
        <f>Sites[[#This Row],[SOL'#]]</f>
        <v>SOL-11011</v>
      </c>
      <c r="D94" s="9">
        <v>621057.00000000105</v>
      </c>
      <c r="E94" s="14">
        <v>665956.30000000005</v>
      </c>
      <c r="F94" s="14">
        <f t="shared" si="4"/>
        <v>-44899.299999998999</v>
      </c>
      <c r="G94" s="15">
        <f t="shared" si="5"/>
        <v>-6.7420790223020638E-2</v>
      </c>
      <c r="H94" s="16">
        <v>649817.4</v>
      </c>
      <c r="I94" s="16">
        <f t="shared" si="6"/>
        <v>-28760.399999998976</v>
      </c>
      <c r="J94" s="15">
        <f t="shared" si="7"/>
        <v>-4.425920266216167E-2</v>
      </c>
      <c r="K94" s="38" t="s">
        <v>517</v>
      </c>
      <c r="L94" s="111" t="s">
        <v>518</v>
      </c>
      <c r="M94" s="104"/>
      <c r="N94" s="104"/>
      <c r="O94" s="104"/>
      <c r="P94" s="104"/>
      <c r="Q94" s="104"/>
    </row>
    <row r="95" spans="1:17" ht="28.9">
      <c r="A95" s="24" t="str">
        <v>Rivard 2</v>
      </c>
      <c r="B95" s="25" t="str">
        <v>NY</v>
      </c>
      <c r="C95" s="25" t="str">
        <f>Sites[[#This Row],[SOL'#]]</f>
        <v>SOL-11012</v>
      </c>
      <c r="D95" s="20">
        <v>630307.91044776095</v>
      </c>
      <c r="E95" s="10">
        <v>622072.80000000005</v>
      </c>
      <c r="F95" s="10">
        <f t="shared" si="4"/>
        <v>8235.1104477609042</v>
      </c>
      <c r="G95" s="11">
        <f t="shared" si="5"/>
        <v>1.3238177987786806E-2</v>
      </c>
      <c r="H95" s="12">
        <v>625090.80000000005</v>
      </c>
      <c r="I95" s="12">
        <f t="shared" si="6"/>
        <v>5217.1104477609042</v>
      </c>
      <c r="J95" s="13">
        <f t="shared" si="7"/>
        <v>8.346164185684549E-3</v>
      </c>
      <c r="K95" s="108" t="s">
        <v>315</v>
      </c>
      <c r="L95" s="110" t="s">
        <v>316</v>
      </c>
      <c r="M95" s="104"/>
      <c r="N95" s="104"/>
      <c r="O95" s="104"/>
      <c r="P95" s="104"/>
      <c r="Q95" s="104"/>
    </row>
    <row r="96" spans="1:17" ht="28.9">
      <c r="A96" s="24" t="str">
        <v>Ridgeway #2</v>
      </c>
      <c r="B96" s="25" t="str">
        <v>NY</v>
      </c>
      <c r="C96" s="25" t="str">
        <f>Sites[[#This Row],[SOL'#]]</f>
        <v>SOL-11027</v>
      </c>
      <c r="D96" s="20">
        <v>377170</v>
      </c>
      <c r="E96" s="10">
        <v>0</v>
      </c>
      <c r="F96" s="10">
        <f t="shared" si="4"/>
        <v>377170</v>
      </c>
      <c r="G96" s="11" t="str">
        <f t="shared" si="5"/>
        <v/>
      </c>
      <c r="H96" s="12">
        <v>447116.81</v>
      </c>
      <c r="I96" s="12">
        <f t="shared" si="6"/>
        <v>-69946.81</v>
      </c>
      <c r="J96" s="13">
        <f t="shared" si="7"/>
        <v>-0.15643967848133467</v>
      </c>
      <c r="K96" s="53" t="s">
        <v>519</v>
      </c>
      <c r="L96" s="99" t="s">
        <v>520</v>
      </c>
      <c r="M96" s="103" t="s">
        <v>320</v>
      </c>
      <c r="N96" s="104"/>
      <c r="O96" s="104"/>
      <c r="P96" s="104"/>
      <c r="Q96" s="104"/>
    </row>
    <row r="97" spans="1:17" ht="61.5" customHeight="1">
      <c r="A97" s="26" t="str">
        <v>Spencer</v>
      </c>
      <c r="B97" s="27" t="str">
        <v>NY</v>
      </c>
      <c r="C97" s="27" t="str">
        <f>Sites[[#This Row],[SOL'#]]</f>
        <v>SOL-11017</v>
      </c>
      <c r="D97" s="66">
        <v>806445</v>
      </c>
      <c r="E97" s="14">
        <v>0</v>
      </c>
      <c r="F97" s="14">
        <f t="shared" si="4"/>
        <v>806445</v>
      </c>
      <c r="G97" s="15" t="str">
        <f t="shared" si="5"/>
        <v/>
      </c>
      <c r="H97" s="16">
        <v>821870</v>
      </c>
      <c r="I97" s="16">
        <f t="shared" si="6"/>
        <v>-15425</v>
      </c>
      <c r="J97" s="15">
        <f t="shared" si="7"/>
        <v>-1.8768175015513401E-2</v>
      </c>
      <c r="K97" s="38" t="s">
        <v>521</v>
      </c>
      <c r="L97" s="111" t="s">
        <v>522</v>
      </c>
      <c r="M97" s="103" t="s">
        <v>523</v>
      </c>
      <c r="N97" s="104"/>
      <c r="O97" s="104"/>
      <c r="P97" s="104"/>
      <c r="Q97" s="104"/>
    </row>
    <row r="98" spans="1:17" ht="15.6">
      <c r="A98" s="28" t="str">
        <v>Reisender</v>
      </c>
      <c r="B98" s="25" t="str">
        <v>NY</v>
      </c>
      <c r="C98" s="25" t="str">
        <f>Sites[[#This Row],[SOL'#]]</f>
        <v>SOL-10886</v>
      </c>
      <c r="D98" s="54">
        <v>306480</v>
      </c>
      <c r="E98" s="10">
        <v>313723.489</v>
      </c>
      <c r="F98" s="10">
        <f t="shared" si="4"/>
        <v>-7243.4890000000014</v>
      </c>
      <c r="G98" s="11">
        <f t="shared" si="5"/>
        <v>-2.3088768466424908E-2</v>
      </c>
      <c r="H98" s="67">
        <v>317126.86</v>
      </c>
      <c r="I98" s="12">
        <f t="shared" si="6"/>
        <v>-10646.859999999986</v>
      </c>
      <c r="J98" s="13">
        <f t="shared" si="7"/>
        <v>-3.3572873644320086E-2</v>
      </c>
      <c r="K98" s="56"/>
      <c r="L98" s="37"/>
      <c r="M98" s="104"/>
      <c r="N98" s="104"/>
      <c r="O98" s="104"/>
      <c r="P98" s="104"/>
      <c r="Q98" s="104"/>
    </row>
    <row r="99" spans="1:17" ht="73.5" customHeight="1">
      <c r="A99" s="26" t="str">
        <v>Finney</v>
      </c>
      <c r="B99" s="27" t="str">
        <v>NY</v>
      </c>
      <c r="C99" s="27" t="str">
        <f>Sites[[#This Row],[SOL'#]]</f>
        <v>SOL-10999</v>
      </c>
      <c r="D99" s="66">
        <v>746680</v>
      </c>
      <c r="E99" s="14">
        <v>0</v>
      </c>
      <c r="F99" s="14">
        <f t="shared" si="4"/>
        <v>746680</v>
      </c>
      <c r="G99" s="15" t="str">
        <f t="shared" si="5"/>
        <v/>
      </c>
      <c r="H99" s="69">
        <v>907159.04000000004</v>
      </c>
      <c r="I99" s="16">
        <f t="shared" si="6"/>
        <v>-160479.04000000004</v>
      </c>
      <c r="J99" s="15">
        <f t="shared" si="7"/>
        <v>-0.17690287251064601</v>
      </c>
      <c r="K99" s="38" t="s">
        <v>524</v>
      </c>
      <c r="L99" s="123" t="s">
        <v>525</v>
      </c>
      <c r="M99" s="103" t="s">
        <v>526</v>
      </c>
      <c r="N99" s="104"/>
      <c r="O99" s="104"/>
      <c r="P99" s="104"/>
      <c r="Q99" s="104"/>
    </row>
    <row r="100" spans="1:17" ht="230.45">
      <c r="A100" s="24" t="str">
        <v>Davis Solar</v>
      </c>
      <c r="B100" s="25" t="str">
        <v>NY</v>
      </c>
      <c r="C100" s="25" t="str">
        <f>Sites[[#This Row],[SOL'#]]</f>
        <v>SOL-10958</v>
      </c>
      <c r="D100" s="54">
        <v>313814</v>
      </c>
      <c r="E100" s="10">
        <v>348972.2</v>
      </c>
      <c r="F100" s="10">
        <f t="shared" ref="F100:F158" si="8">IF(AND(ISNUMBER(D100),ISNUMBER(E100)), D100-E100, "")</f>
        <v>-35158.200000000012</v>
      </c>
      <c r="G100" s="11">
        <f t="shared" ref="G100:G154" si="9">IFERROR(F100/E100, "")</f>
        <v>-0.10074785326739497</v>
      </c>
      <c r="H100" s="67">
        <v>368855</v>
      </c>
      <c r="I100" s="12">
        <f t="shared" si="6"/>
        <v>-55041</v>
      </c>
      <c r="J100" s="13">
        <f t="shared" si="7"/>
        <v>-0.14922123869813342</v>
      </c>
      <c r="K100" s="56" t="s">
        <v>527</v>
      </c>
      <c r="L100" s="110" t="s">
        <v>528</v>
      </c>
      <c r="M100" s="104"/>
      <c r="N100" s="104"/>
      <c r="O100" s="104"/>
      <c r="P100" s="104"/>
      <c r="Q100" s="104"/>
    </row>
    <row r="101" spans="1:17" ht="129.6">
      <c r="A101" s="26" t="str">
        <v>Genesee</v>
      </c>
      <c r="B101" s="27" t="str">
        <v>NY</v>
      </c>
      <c r="C101" s="27" t="str">
        <f>Sites[[#This Row],[SOL'#]]</f>
        <v>SOL-10951</v>
      </c>
      <c r="D101" s="66">
        <v>428631.1</v>
      </c>
      <c r="E101" s="14">
        <v>0</v>
      </c>
      <c r="F101" s="14">
        <f t="shared" si="4"/>
        <v>428631.1</v>
      </c>
      <c r="G101" s="15" t="str">
        <f t="shared" si="9"/>
        <v/>
      </c>
      <c r="H101" s="69">
        <v>636841.14</v>
      </c>
      <c r="I101" s="16">
        <f t="shared" si="6"/>
        <v>-208210.04000000004</v>
      </c>
      <c r="J101" s="15">
        <f t="shared" si="7"/>
        <v>-0.3269418806705861</v>
      </c>
      <c r="K101" s="38" t="s">
        <v>529</v>
      </c>
      <c r="L101" s="123" t="s">
        <v>530</v>
      </c>
      <c r="M101" s="103" t="s">
        <v>531</v>
      </c>
      <c r="N101" s="103" t="s">
        <v>532</v>
      </c>
      <c r="O101" s="103" t="s">
        <v>533</v>
      </c>
      <c r="P101" s="104"/>
      <c r="Q101" s="104"/>
    </row>
    <row r="102" spans="1:17" ht="15.6">
      <c r="A102" s="24" t="str">
        <v>Landau I</v>
      </c>
      <c r="B102" s="25" t="str">
        <v>NY</v>
      </c>
      <c r="C102" s="25" t="str">
        <f>Sites[[#This Row],[SOL'#]]</f>
        <v>SOL-10891</v>
      </c>
      <c r="D102" s="54">
        <v>311080</v>
      </c>
      <c r="E102" s="10">
        <v>0</v>
      </c>
      <c r="F102" s="10">
        <f t="shared" si="8"/>
        <v>311080</v>
      </c>
      <c r="G102" s="11" t="str">
        <f t="shared" si="9"/>
        <v/>
      </c>
      <c r="H102" s="67">
        <v>354234.71</v>
      </c>
      <c r="I102" s="12">
        <f t="shared" si="6"/>
        <v>-43154.710000000021</v>
      </c>
      <c r="J102" s="13">
        <f t="shared" si="7"/>
        <v>-0.12182518759948741</v>
      </c>
      <c r="K102" s="56"/>
      <c r="L102" s="37"/>
      <c r="M102" s="104"/>
      <c r="N102" s="104"/>
      <c r="O102" s="104"/>
      <c r="P102" s="104"/>
      <c r="Q102" s="104"/>
    </row>
    <row r="103" spans="1:17" ht="213.75" customHeight="1">
      <c r="A103" s="26" t="str">
        <v>Landau II</v>
      </c>
      <c r="B103" s="27" t="str">
        <v>NY</v>
      </c>
      <c r="C103" s="27" t="str">
        <f>Sites[[#This Row],[SOL'#]]</f>
        <v>SOL-10895</v>
      </c>
      <c r="D103" s="66">
        <v>439890</v>
      </c>
      <c r="E103" s="14">
        <v>0</v>
      </c>
      <c r="F103" s="14">
        <f t="shared" si="8"/>
        <v>439890</v>
      </c>
      <c r="G103" s="15" t="str">
        <f t="shared" si="9"/>
        <v/>
      </c>
      <c r="H103" s="69">
        <v>764399.74</v>
      </c>
      <c r="I103" s="16">
        <f t="shared" si="6"/>
        <v>-324509.74</v>
      </c>
      <c r="J103" s="15">
        <f t="shared" si="7"/>
        <v>-0.42452884664769769</v>
      </c>
      <c r="K103" s="38" t="s">
        <v>534</v>
      </c>
      <c r="L103" s="123" t="s">
        <v>535</v>
      </c>
      <c r="M103" s="103" t="s">
        <v>536</v>
      </c>
      <c r="N103" s="103" t="s">
        <v>537</v>
      </c>
      <c r="O103" s="103" t="s">
        <v>538</v>
      </c>
      <c r="P103" s="104"/>
      <c r="Q103" s="104"/>
    </row>
    <row r="104" spans="1:17" ht="15.6">
      <c r="A104" s="24" t="str">
        <v>New Beginnings</v>
      </c>
      <c r="B104" s="25" t="str">
        <v>NY</v>
      </c>
      <c r="C104" s="25" t="str">
        <f>Sites[[#This Row],[SOL'#]]</f>
        <v>SOL-10890</v>
      </c>
      <c r="D104" s="54">
        <v>323110</v>
      </c>
      <c r="E104" s="10">
        <v>335667.99300000002</v>
      </c>
      <c r="F104" s="10">
        <f t="shared" si="8"/>
        <v>-12557.993000000017</v>
      </c>
      <c r="G104" s="11">
        <f t="shared" si="9"/>
        <v>-3.7411946512278922E-2</v>
      </c>
      <c r="H104" s="67">
        <v>334299.71000000002</v>
      </c>
      <c r="I104" s="12">
        <f t="shared" ref="I104:I157" si="10">IF(AND(ISNUMBER(D104),ISNUMBER(H104)), D104-H104, "")</f>
        <v>-11189.710000000021</v>
      </c>
      <c r="J104" s="13">
        <f t="shared" ref="J104:J151" si="11">IFERROR(I104/H104, "")</f>
        <v>-3.3472090059545732E-2</v>
      </c>
      <c r="K104" s="56"/>
      <c r="L104" s="37"/>
      <c r="M104" s="104"/>
      <c r="N104" s="104"/>
      <c r="O104" s="104"/>
      <c r="P104" s="104"/>
      <c r="Q104" s="104"/>
    </row>
    <row r="105" spans="1:17" ht="20.25" customHeight="1">
      <c r="A105" s="26" t="str">
        <v>Bullitt Farm Solar, LLC</v>
      </c>
      <c r="B105" s="27" t="str">
        <v>NY</v>
      </c>
      <c r="C105" s="27" t="str">
        <f>Sites[[#This Row],[SOL'#]]</f>
        <v>SOL-10998</v>
      </c>
      <c r="D105" s="66">
        <v>725711</v>
      </c>
      <c r="E105" s="14">
        <v>799215.32400000002</v>
      </c>
      <c r="F105" s="14">
        <f t="shared" si="8"/>
        <v>-73504.324000000022</v>
      </c>
      <c r="G105" s="15">
        <f t="shared" si="9"/>
        <v>-9.1970613916807262E-2</v>
      </c>
      <c r="H105" s="69">
        <v>853019.18</v>
      </c>
      <c r="I105" s="16">
        <f t="shared" si="10"/>
        <v>-127308.18000000005</v>
      </c>
      <c r="J105" s="15">
        <f t="shared" si="11"/>
        <v>-0.14924421746296496</v>
      </c>
      <c r="K105" s="38" t="s">
        <v>539</v>
      </c>
      <c r="L105" s="17"/>
      <c r="M105" s="104"/>
      <c r="N105" s="104"/>
      <c r="O105" s="104"/>
      <c r="P105" s="104"/>
      <c r="Q105" s="104"/>
    </row>
    <row r="106" spans="1:17" ht="28.9">
      <c r="A106" s="24" t="str">
        <v>Brodhead Solar, LLC</v>
      </c>
      <c r="B106" s="25" t="str">
        <v>NY</v>
      </c>
      <c r="C106" s="25" t="str">
        <f>Sites[[#This Row],[SOL'#]]</f>
        <v>SOL-10899</v>
      </c>
      <c r="D106" s="54">
        <v>357970</v>
      </c>
      <c r="E106" s="10">
        <v>382903.054</v>
      </c>
      <c r="F106" s="10">
        <f t="shared" si="8"/>
        <v>-24933.054000000004</v>
      </c>
      <c r="G106" s="11">
        <f t="shared" si="9"/>
        <v>-6.5115840000586692E-2</v>
      </c>
      <c r="H106" s="67">
        <v>395846.83</v>
      </c>
      <c r="I106" s="12">
        <f t="shared" si="10"/>
        <v>-37876.830000000016</v>
      </c>
      <c r="J106" s="13">
        <f t="shared" si="11"/>
        <v>-9.568557110840073E-2</v>
      </c>
      <c r="K106" s="56" t="s">
        <v>540</v>
      </c>
      <c r="L106" s="110" t="s">
        <v>541</v>
      </c>
      <c r="M106" s="103" t="s">
        <v>542</v>
      </c>
      <c r="N106" s="104"/>
      <c r="O106" s="104"/>
      <c r="P106" s="104"/>
      <c r="Q106" s="104"/>
    </row>
    <row r="107" spans="1:17" ht="18.75" customHeight="1">
      <c r="A107" s="26" t="str">
        <v>Svenski</v>
      </c>
      <c r="B107" s="27" t="str">
        <v>NY</v>
      </c>
      <c r="C107" s="27" t="str">
        <f>Sites[[#This Row],[SOL'#]]</f>
        <v>SOL-10894</v>
      </c>
      <c r="D107" s="66">
        <v>311430</v>
      </c>
      <c r="E107" s="14">
        <v>0</v>
      </c>
      <c r="F107" s="14">
        <f t="shared" si="8"/>
        <v>311430</v>
      </c>
      <c r="G107" s="15" t="str">
        <f t="shared" si="9"/>
        <v/>
      </c>
      <c r="H107" s="69">
        <v>352038.56</v>
      </c>
      <c r="I107" s="16">
        <f t="shared" si="10"/>
        <v>-40608.559999999998</v>
      </c>
      <c r="J107" s="15">
        <f t="shared" si="11"/>
        <v>-0.11535259092072186</v>
      </c>
      <c r="K107" s="38" t="s">
        <v>543</v>
      </c>
      <c r="L107" s="17"/>
      <c r="M107" s="104"/>
      <c r="N107" s="104"/>
      <c r="O107" s="104"/>
      <c r="P107" s="104"/>
      <c r="Q107" s="104"/>
    </row>
    <row r="108" spans="1:17" ht="175.5" customHeight="1">
      <c r="A108" s="24" t="str">
        <v>Bantam</v>
      </c>
      <c r="B108" s="25" t="str">
        <v>NY</v>
      </c>
      <c r="C108" s="25" t="str">
        <f>Sites[[#This Row],[SOL'#]]</f>
        <v>SOL-10986</v>
      </c>
      <c r="D108" s="54">
        <v>709630</v>
      </c>
      <c r="E108" s="10">
        <v>0</v>
      </c>
      <c r="F108" s="10">
        <f t="shared" si="8"/>
        <v>709630</v>
      </c>
      <c r="G108" s="11" t="str">
        <f t="shared" si="9"/>
        <v/>
      </c>
      <c r="H108" s="67">
        <v>887808</v>
      </c>
      <c r="I108" s="12">
        <f t="shared" si="10"/>
        <v>-178178</v>
      </c>
      <c r="J108" s="13">
        <f t="shared" si="11"/>
        <v>-0.20069429426182236</v>
      </c>
      <c r="K108" s="56" t="s">
        <v>544</v>
      </c>
      <c r="L108" s="110" t="s">
        <v>545</v>
      </c>
      <c r="M108" s="103" t="s">
        <v>546</v>
      </c>
      <c r="N108" s="103" t="s">
        <v>547</v>
      </c>
      <c r="O108" s="103" t="s">
        <v>332</v>
      </c>
      <c r="P108" s="104"/>
      <c r="Q108" s="104"/>
    </row>
    <row r="109" spans="1:17" ht="42" customHeight="1">
      <c r="A109" s="26" t="str">
        <v>Bogart</v>
      </c>
      <c r="B109" s="27" t="str">
        <v>NY</v>
      </c>
      <c r="C109" s="27" t="str">
        <f>Sites[[#This Row],[SOL'#]]</f>
        <v>SOL-10887</v>
      </c>
      <c r="D109" s="66">
        <v>315720</v>
      </c>
      <c r="E109" s="14">
        <v>315255.31900000002</v>
      </c>
      <c r="F109" s="14">
        <f t="shared" si="8"/>
        <v>464.6809999999823</v>
      </c>
      <c r="G109" s="15">
        <f t="shared" si="9"/>
        <v>1.4739830606949483E-3</v>
      </c>
      <c r="H109" s="69">
        <v>333711.40000000002</v>
      </c>
      <c r="I109" s="16">
        <f t="shared" si="10"/>
        <v>-17991.400000000023</v>
      </c>
      <c r="J109" s="15">
        <f t="shared" si="11"/>
        <v>-5.3913051816629642E-2</v>
      </c>
      <c r="K109" s="38" t="s">
        <v>548</v>
      </c>
      <c r="L109" s="112" t="s">
        <v>549</v>
      </c>
      <c r="M109" s="104"/>
      <c r="N109" s="104"/>
      <c r="O109" s="104"/>
      <c r="P109" s="104"/>
      <c r="Q109" s="104"/>
    </row>
    <row r="110" spans="1:17" ht="15.6">
      <c r="A110" s="24" t="str">
        <v>Dubois</v>
      </c>
      <c r="B110" s="25" t="str">
        <v>NY</v>
      </c>
      <c r="C110" s="25" t="str">
        <f>Sites[[#This Row],[SOL'#]]</f>
        <v>SOL-10892</v>
      </c>
      <c r="D110" s="54">
        <v>327643.21000000002</v>
      </c>
      <c r="E110" s="10">
        <v>0</v>
      </c>
      <c r="F110" s="10">
        <f t="shared" si="8"/>
        <v>327643.21000000002</v>
      </c>
      <c r="G110" s="11" t="str">
        <f t="shared" si="9"/>
        <v/>
      </c>
      <c r="H110" s="67"/>
      <c r="I110" s="12" t="str">
        <f t="shared" si="10"/>
        <v/>
      </c>
      <c r="J110" s="13" t="str">
        <f t="shared" si="11"/>
        <v/>
      </c>
      <c r="K110" s="56"/>
      <c r="L110" s="37"/>
      <c r="M110" s="104"/>
      <c r="N110" s="104"/>
      <c r="O110" s="104"/>
      <c r="P110" s="104"/>
      <c r="Q110" s="104"/>
    </row>
    <row r="111" spans="1:17" ht="43.15">
      <c r="A111" s="26" t="str">
        <v>Salt Point</v>
      </c>
      <c r="B111" s="27" t="str">
        <v>NY</v>
      </c>
      <c r="C111" s="27" t="str">
        <f>Sites[[#This Row],[SOL'#]]</f>
        <v>SOL-10888</v>
      </c>
      <c r="D111" s="66">
        <v>316940</v>
      </c>
      <c r="E111" s="14">
        <v>0</v>
      </c>
      <c r="F111" s="14">
        <f t="shared" si="8"/>
        <v>316940</v>
      </c>
      <c r="G111" s="15" t="str">
        <f t="shared" si="9"/>
        <v/>
      </c>
      <c r="H111" s="69">
        <v>346868.17</v>
      </c>
      <c r="I111" s="16">
        <f t="shared" si="10"/>
        <v>-29928.169999999984</v>
      </c>
      <c r="J111" s="15">
        <f t="shared" si="11"/>
        <v>-8.6281107891796424E-2</v>
      </c>
      <c r="K111" s="182" t="s">
        <v>550</v>
      </c>
      <c r="L111" s="115" t="s">
        <v>551</v>
      </c>
      <c r="M111" s="104"/>
      <c r="N111" s="104"/>
      <c r="O111" s="104"/>
      <c r="P111" s="104"/>
      <c r="Q111" s="104"/>
    </row>
    <row r="112" spans="1:17" ht="126.75" customHeight="1">
      <c r="A112" s="24" t="str">
        <v>Wheatland 2A</v>
      </c>
      <c r="B112" s="25" t="str">
        <v>NY</v>
      </c>
      <c r="C112" s="25" t="str">
        <f>Sites[[#This Row],[SOL'#]]</f>
        <v>SOL-10971</v>
      </c>
      <c r="D112" s="54">
        <v>678330</v>
      </c>
      <c r="E112" s="10">
        <v>0</v>
      </c>
      <c r="F112" s="10">
        <f t="shared" si="8"/>
        <v>678330</v>
      </c>
      <c r="G112" s="11" t="str">
        <f t="shared" si="9"/>
        <v/>
      </c>
      <c r="H112" s="67">
        <v>717427.66</v>
      </c>
      <c r="I112" s="12">
        <f t="shared" si="10"/>
        <v>-39097.660000000033</v>
      </c>
      <c r="J112" s="13">
        <f t="shared" si="11"/>
        <v>-5.449700670866249E-2</v>
      </c>
      <c r="K112" s="56" t="s">
        <v>552</v>
      </c>
      <c r="L112" s="110" t="s">
        <v>553</v>
      </c>
      <c r="M112" s="103" t="s">
        <v>554</v>
      </c>
      <c r="N112" s="104"/>
      <c r="O112" s="104"/>
      <c r="P112" s="104"/>
      <c r="Q112" s="104"/>
    </row>
    <row r="113" spans="1:17" ht="186" customHeight="1">
      <c r="A113" s="26" t="str">
        <v>Wheatland 2B</v>
      </c>
      <c r="B113" s="27" t="str">
        <v>NY</v>
      </c>
      <c r="C113" s="27" t="str">
        <f>Sites[[#This Row],[SOL'#]]</f>
        <v>SOL-10961</v>
      </c>
      <c r="D113" s="66">
        <v>646300</v>
      </c>
      <c r="E113" s="14">
        <v>0</v>
      </c>
      <c r="F113" s="14">
        <f t="shared" si="8"/>
        <v>646300</v>
      </c>
      <c r="G113" s="15" t="str">
        <f t="shared" si="9"/>
        <v/>
      </c>
      <c r="H113" s="69">
        <v>710713.62</v>
      </c>
      <c r="I113" s="16">
        <f t="shared" si="10"/>
        <v>-64413.619999999995</v>
      </c>
      <c r="J113" s="15">
        <f t="shared" si="11"/>
        <v>-9.0632314039514245E-2</v>
      </c>
      <c r="K113" s="51" t="s">
        <v>555</v>
      </c>
      <c r="L113" s="123" t="s">
        <v>556</v>
      </c>
      <c r="M113" s="103" t="s">
        <v>557</v>
      </c>
      <c r="N113" s="103" t="s">
        <v>558</v>
      </c>
      <c r="O113" s="103" t="s">
        <v>559</v>
      </c>
      <c r="P113" s="103" t="s">
        <v>560</v>
      </c>
      <c r="Q113" s="104"/>
    </row>
    <row r="114" spans="1:17" ht="28.9">
      <c r="A114" s="24" t="str">
        <v>Brickchurch</v>
      </c>
      <c r="B114" s="25" t="str">
        <v>NY</v>
      </c>
      <c r="C114" s="25" t="str">
        <f>Sites[[#This Row],[SOL'#]]</f>
        <v>SOL-10889</v>
      </c>
      <c r="D114" s="54">
        <v>279160</v>
      </c>
      <c r="E114" s="10">
        <v>272209.64799999999</v>
      </c>
      <c r="F114" s="10">
        <f t="shared" si="8"/>
        <v>6950.3520000000135</v>
      </c>
      <c r="G114" s="11">
        <f t="shared" si="9"/>
        <v>2.553308470535921E-2</v>
      </c>
      <c r="H114" s="67">
        <v>284745.5</v>
      </c>
      <c r="I114" s="12">
        <f t="shared" si="10"/>
        <v>-5585.5</v>
      </c>
      <c r="J114" s="13">
        <f t="shared" si="11"/>
        <v>-1.9615762145494837E-2</v>
      </c>
      <c r="K114" s="56" t="s">
        <v>561</v>
      </c>
      <c r="L114" s="110" t="s">
        <v>562</v>
      </c>
      <c r="M114" s="103" t="s">
        <v>563</v>
      </c>
      <c r="N114" s="104"/>
      <c r="O114" s="104"/>
      <c r="P114" s="104"/>
      <c r="Q114" s="104"/>
    </row>
    <row r="115" spans="1:17" ht="15.6">
      <c r="A115" s="26" t="str">
        <v>McCarthy Solar</v>
      </c>
      <c r="B115" s="27" t="str">
        <v>NY</v>
      </c>
      <c r="C115" s="27" t="str">
        <f>Sites[[#This Row],[SOL'#]]</f>
        <v>SOL-10992</v>
      </c>
      <c r="D115" s="66">
        <v>331190</v>
      </c>
      <c r="E115" s="14">
        <v>0</v>
      </c>
      <c r="F115" s="14">
        <f t="shared" si="8"/>
        <v>331190</v>
      </c>
      <c r="G115" s="15" t="str">
        <f t="shared" si="9"/>
        <v/>
      </c>
      <c r="H115" s="69">
        <v>331631.3</v>
      </c>
      <c r="I115" s="16">
        <f t="shared" si="10"/>
        <v>-441.29999999998836</v>
      </c>
      <c r="J115" s="15">
        <f t="shared" si="11"/>
        <v>-1.3306946600034086E-3</v>
      </c>
      <c r="K115" s="38"/>
      <c r="L115" s="17"/>
      <c r="M115" s="104"/>
      <c r="N115" s="104"/>
      <c r="O115" s="104"/>
      <c r="P115" s="104"/>
      <c r="Q115" s="104"/>
    </row>
    <row r="116" spans="1:17" ht="28.9">
      <c r="A116" s="24" t="str">
        <v>Costanza</v>
      </c>
      <c r="B116" s="25" t="str">
        <v>NY</v>
      </c>
      <c r="C116" s="25" t="str">
        <f>Sites[[#This Row],[SOL'#]]</f>
        <v>SOL-10907</v>
      </c>
      <c r="D116" s="54">
        <v>327210</v>
      </c>
      <c r="E116" s="10">
        <v>0</v>
      </c>
      <c r="F116" s="10">
        <f t="shared" si="8"/>
        <v>327210</v>
      </c>
      <c r="G116" s="11" t="str">
        <f t="shared" si="9"/>
        <v/>
      </c>
      <c r="H116" s="67">
        <v>356619.2</v>
      </c>
      <c r="I116" s="12">
        <f t="shared" si="10"/>
        <v>-29409.200000000012</v>
      </c>
      <c r="J116" s="13">
        <f t="shared" si="11"/>
        <v>-8.246667593892873E-2</v>
      </c>
      <c r="K116" s="56" t="s">
        <v>564</v>
      </c>
      <c r="L116" s="110" t="s">
        <v>565</v>
      </c>
      <c r="M116" s="104"/>
      <c r="N116" s="104"/>
      <c r="O116" s="104"/>
      <c r="P116" s="104"/>
      <c r="Q116" s="104"/>
    </row>
    <row r="117" spans="1:17" ht="15.6">
      <c r="A117" s="26" t="str">
        <v>Lockenhurst Pond</v>
      </c>
      <c r="B117" s="27" t="str">
        <v>NY</v>
      </c>
      <c r="C117" s="27" t="str">
        <f>Sites[[#This Row],[SOL'#]]</f>
        <v>SOL-11000</v>
      </c>
      <c r="D117" s="66">
        <v>363202</v>
      </c>
      <c r="E117" s="14">
        <v>392130.7</v>
      </c>
      <c r="F117" s="14">
        <f t="shared" si="8"/>
        <v>-28928.700000000012</v>
      </c>
      <c r="G117" s="15">
        <f t="shared" si="9"/>
        <v>-7.377310677281837E-2</v>
      </c>
      <c r="H117" s="69">
        <v>349576</v>
      </c>
      <c r="I117" s="16">
        <f t="shared" si="10"/>
        <v>13626</v>
      </c>
      <c r="J117" s="15">
        <f t="shared" si="11"/>
        <v>3.8978648419799984E-2</v>
      </c>
      <c r="K117" s="38"/>
      <c r="L117" s="17"/>
      <c r="M117" s="104"/>
      <c r="N117" s="104"/>
      <c r="O117" s="104"/>
      <c r="P117" s="104"/>
      <c r="Q117" s="104"/>
    </row>
    <row r="118" spans="1:17" ht="15.6">
      <c r="A118" s="24" t="str">
        <v>Drinkwater</v>
      </c>
      <c r="B118" s="25" t="str">
        <v>NY</v>
      </c>
      <c r="C118" s="25" t="str">
        <f>Sites[[#This Row],[SOL'#]]</f>
        <v>SOL-10896</v>
      </c>
      <c r="D118" s="54">
        <v>330170</v>
      </c>
      <c r="E118" s="10">
        <v>0</v>
      </c>
      <c r="F118" s="10">
        <f t="shared" si="8"/>
        <v>330170</v>
      </c>
      <c r="G118" s="11" t="str">
        <f t="shared" si="9"/>
        <v/>
      </c>
      <c r="H118" s="67">
        <v>343578.1</v>
      </c>
      <c r="I118" s="12">
        <f t="shared" si="10"/>
        <v>-13408.099999999977</v>
      </c>
      <c r="J118" s="13">
        <f t="shared" si="11"/>
        <v>-3.9024897104908543E-2</v>
      </c>
      <c r="K118" s="56"/>
      <c r="L118" s="37"/>
      <c r="M118" s="104"/>
      <c r="N118" s="104"/>
      <c r="O118" s="104"/>
      <c r="P118" s="104"/>
      <c r="Q118" s="104"/>
    </row>
    <row r="119" spans="1:17" ht="28.9">
      <c r="A119" s="26" t="str">
        <v>Altamont</v>
      </c>
      <c r="B119" s="27" t="str">
        <v>NY</v>
      </c>
      <c r="C119" s="27" t="str">
        <f>Sites[[#This Row],[SOL'#]]</f>
        <v>SOL-11085</v>
      </c>
      <c r="D119" s="66">
        <v>679998</v>
      </c>
      <c r="E119" s="14">
        <v>718428.2</v>
      </c>
      <c r="F119" s="14">
        <f t="shared" si="8"/>
        <v>-38430.199999999953</v>
      </c>
      <c r="G119" s="15">
        <f t="shared" si="9"/>
        <v>-5.3492053903229239E-2</v>
      </c>
      <c r="H119" s="69">
        <v>594010.6</v>
      </c>
      <c r="I119" s="16">
        <f t="shared" si="10"/>
        <v>85987.400000000023</v>
      </c>
      <c r="J119" s="15">
        <f t="shared" si="11"/>
        <v>0.14475734944797286</v>
      </c>
      <c r="K119" s="38" t="s">
        <v>566</v>
      </c>
      <c r="L119" s="115" t="s">
        <v>567</v>
      </c>
      <c r="M119" s="104"/>
      <c r="N119" s="104"/>
      <c r="O119" s="104"/>
      <c r="P119" s="104"/>
      <c r="Q119" s="104"/>
    </row>
    <row r="120" spans="1:17" ht="19.5" customHeight="1">
      <c r="A120" s="24" t="str">
        <v>Krumkill North</v>
      </c>
      <c r="B120" s="25" t="str">
        <v>NY</v>
      </c>
      <c r="C120" s="25" t="str">
        <f>Sites[[#This Row],[SOL'#]]</f>
        <v>SOL-11086</v>
      </c>
      <c r="D120" s="54">
        <v>600802</v>
      </c>
      <c r="E120" s="10">
        <v>680752</v>
      </c>
      <c r="F120" s="10">
        <f t="shared" si="8"/>
        <v>-79950</v>
      </c>
      <c r="G120" s="11">
        <f t="shared" si="9"/>
        <v>-0.11744365055115519</v>
      </c>
      <c r="H120" s="67">
        <v>686018.1</v>
      </c>
      <c r="I120" s="12">
        <f t="shared" si="10"/>
        <v>-85216.099999999977</v>
      </c>
      <c r="J120" s="13">
        <f t="shared" si="11"/>
        <v>-0.12421844263292758</v>
      </c>
      <c r="K120" s="56" t="s">
        <v>568</v>
      </c>
      <c r="L120" s="37"/>
      <c r="M120" s="104"/>
      <c r="N120" s="104"/>
      <c r="O120" s="104"/>
      <c r="P120" s="104"/>
      <c r="Q120" s="104"/>
    </row>
    <row r="121" spans="1:17" ht="15.6">
      <c r="A121" s="26" t="str">
        <v>Krumkill South</v>
      </c>
      <c r="B121" s="27" t="str">
        <v>NY</v>
      </c>
      <c r="C121" s="27" t="str">
        <f>Sites[[#This Row],[SOL'#]]</f>
        <v>SOL-11087</v>
      </c>
      <c r="D121" s="66">
        <v>522344</v>
      </c>
      <c r="E121" s="14">
        <v>540569.69999999995</v>
      </c>
      <c r="F121" s="14">
        <f t="shared" si="8"/>
        <v>-18225.699999999953</v>
      </c>
      <c r="G121" s="15">
        <f t="shared" si="9"/>
        <v>-3.3715726205149781E-2</v>
      </c>
      <c r="H121" s="69">
        <v>537817.5</v>
      </c>
      <c r="I121" s="16">
        <f t="shared" si="10"/>
        <v>-15473.5</v>
      </c>
      <c r="J121" s="15">
        <f t="shared" si="11"/>
        <v>-2.8770912065895958E-2</v>
      </c>
      <c r="K121" s="38"/>
      <c r="L121" s="17"/>
      <c r="M121" s="104"/>
      <c r="N121" s="104"/>
      <c r="O121" s="104"/>
      <c r="P121" s="104"/>
      <c r="Q121" s="104"/>
    </row>
    <row r="122" spans="1:17" ht="15.6">
      <c r="A122" s="24" t="str">
        <v>X092</v>
      </c>
      <c r="B122" s="25" t="str">
        <v>NY</v>
      </c>
      <c r="C122" s="25" t="str">
        <f>Sites[[#This Row],[SOL'#]]</f>
        <v>SOL-11189</v>
      </c>
      <c r="D122" s="54">
        <v>15832.4</v>
      </c>
      <c r="E122" s="10">
        <v>15885.47</v>
      </c>
      <c r="F122" s="10">
        <f t="shared" si="8"/>
        <v>-53.069999999999709</v>
      </c>
      <c r="G122" s="11">
        <f t="shared" si="9"/>
        <v>-3.3407887837123931E-3</v>
      </c>
      <c r="H122" s="67">
        <v>16758</v>
      </c>
      <c r="I122" s="12">
        <f t="shared" si="10"/>
        <v>-925.60000000000036</v>
      </c>
      <c r="J122" s="13">
        <f t="shared" si="11"/>
        <v>-5.5233321398734957E-2</v>
      </c>
      <c r="K122" s="56"/>
      <c r="L122" s="37"/>
      <c r="M122" s="104"/>
      <c r="N122" s="104"/>
      <c r="O122" s="104"/>
      <c r="P122" s="104"/>
      <c r="Q122" s="104"/>
    </row>
    <row r="123" spans="1:17" ht="72">
      <c r="A123" s="26" t="str">
        <v>X093</v>
      </c>
      <c r="B123" s="27" t="str">
        <v>NY</v>
      </c>
      <c r="C123" s="27" t="str">
        <f>Sites[[#This Row],[SOL'#]]</f>
        <v>SOL-10932</v>
      </c>
      <c r="D123" s="66">
        <v>5362.82122556165</v>
      </c>
      <c r="E123" s="14">
        <v>0</v>
      </c>
      <c r="F123" s="14">
        <f t="shared" si="8"/>
        <v>5362.82122556165</v>
      </c>
      <c r="G123" s="15" t="str">
        <f t="shared" si="9"/>
        <v/>
      </c>
      <c r="H123" s="69">
        <v>11061</v>
      </c>
      <c r="I123" s="16">
        <f t="shared" si="10"/>
        <v>-5698.17877443835</v>
      </c>
      <c r="J123" s="15">
        <f t="shared" si="11"/>
        <v>-0.51515945885890513</v>
      </c>
      <c r="K123" s="38" t="s">
        <v>569</v>
      </c>
      <c r="L123" s="123" t="s">
        <v>570</v>
      </c>
      <c r="M123" s="103" t="s">
        <v>355</v>
      </c>
      <c r="N123" s="103" t="s">
        <v>571</v>
      </c>
      <c r="O123" s="104"/>
      <c r="P123" s="104"/>
      <c r="Q123" s="104"/>
    </row>
    <row r="124" spans="1:17" ht="28.9">
      <c r="A124" s="24" t="str">
        <v>X095</v>
      </c>
      <c r="B124" s="25" t="str">
        <v>NY</v>
      </c>
      <c r="C124" s="25" t="str">
        <f>Sites[[#This Row],[SOL'#]]</f>
        <v>SOL-10929</v>
      </c>
      <c r="D124" s="54">
        <v>12809.3174171639</v>
      </c>
      <c r="E124" s="10">
        <v>0</v>
      </c>
      <c r="F124" s="10">
        <f t="shared" si="8"/>
        <v>12809.3174171639</v>
      </c>
      <c r="G124" s="11" t="str">
        <f t="shared" si="9"/>
        <v/>
      </c>
      <c r="H124" s="67">
        <v>15084</v>
      </c>
      <c r="I124" s="12">
        <f t="shared" si="10"/>
        <v>-2274.6825828360998</v>
      </c>
      <c r="J124" s="13">
        <f t="shared" si="11"/>
        <v>-0.15080101981146246</v>
      </c>
      <c r="K124" s="56" t="s">
        <v>572</v>
      </c>
      <c r="L124" s="110" t="s">
        <v>573</v>
      </c>
      <c r="M124" s="103" t="s">
        <v>574</v>
      </c>
      <c r="N124" s="104"/>
      <c r="O124" s="104"/>
      <c r="P124" s="104"/>
      <c r="Q124" s="104"/>
    </row>
    <row r="125" spans="1:17" ht="26.45">
      <c r="A125" s="26" t="str">
        <v>X181</v>
      </c>
      <c r="B125" s="27" t="str">
        <v>NY</v>
      </c>
      <c r="C125" s="27" t="str">
        <f>Sites[[#This Row],[SOL'#]]</f>
        <v>SOL-10428</v>
      </c>
      <c r="D125" s="66">
        <v>29508.987470703101</v>
      </c>
      <c r="E125" s="14">
        <v>0</v>
      </c>
      <c r="F125" s="14">
        <f t="shared" si="8"/>
        <v>29508.987470703101</v>
      </c>
      <c r="G125" s="15" t="str">
        <f t="shared" si="9"/>
        <v/>
      </c>
      <c r="H125" s="69">
        <v>27420</v>
      </c>
      <c r="I125" s="16">
        <f t="shared" si="10"/>
        <v>2088.9874707031013</v>
      </c>
      <c r="J125" s="15">
        <f t="shared" si="11"/>
        <v>7.6184809288953367E-2</v>
      </c>
      <c r="K125" s="50" t="s">
        <v>198</v>
      </c>
      <c r="L125" s="116" t="s">
        <v>575</v>
      </c>
      <c r="M125" s="104"/>
      <c r="N125" s="104"/>
      <c r="O125" s="104"/>
      <c r="P125" s="104"/>
      <c r="Q125" s="104"/>
    </row>
    <row r="126" spans="1:17" ht="15.6">
      <c r="A126" s="24" t="str">
        <v>X415</v>
      </c>
      <c r="B126" s="25" t="str">
        <v>NY</v>
      </c>
      <c r="C126" s="25" t="str">
        <f>Sites[[#This Row],[SOL'#]]</f>
        <v>SOL-10429</v>
      </c>
      <c r="D126" s="54">
        <v>17466.560488281299</v>
      </c>
      <c r="E126" s="10">
        <v>0</v>
      </c>
      <c r="F126" s="10">
        <f t="shared" si="8"/>
        <v>17466.560488281299</v>
      </c>
      <c r="G126" s="11" t="str">
        <f t="shared" si="9"/>
        <v/>
      </c>
      <c r="H126" s="67">
        <v>15528</v>
      </c>
      <c r="I126" s="12">
        <f t="shared" si="10"/>
        <v>1938.5604882812986</v>
      </c>
      <c r="J126" s="13">
        <f t="shared" si="11"/>
        <v>0.12484289594804859</v>
      </c>
      <c r="K126" s="56" t="s">
        <v>183</v>
      </c>
      <c r="L126" s="110" t="s">
        <v>576</v>
      </c>
      <c r="M126" s="104"/>
      <c r="N126" s="104"/>
      <c r="O126" s="104"/>
      <c r="P126" s="104"/>
      <c r="Q126" s="104"/>
    </row>
    <row r="127" spans="1:17" ht="15.6">
      <c r="A127" s="26" t="str">
        <v>K198</v>
      </c>
      <c r="B127" s="27" t="str">
        <v>NY</v>
      </c>
      <c r="C127" s="27" t="str">
        <f>Sites[[#This Row],[SOL'#]]</f>
        <v>SOL-10930</v>
      </c>
      <c r="D127" s="66">
        <v>14187.056640625</v>
      </c>
      <c r="E127" s="14">
        <v>0</v>
      </c>
      <c r="F127" s="14">
        <f t="shared" si="8"/>
        <v>14187.056640625</v>
      </c>
      <c r="G127" s="15" t="str">
        <f t="shared" si="9"/>
        <v/>
      </c>
      <c r="H127" s="69">
        <v>12752</v>
      </c>
      <c r="I127" s="16">
        <f t="shared" si="10"/>
        <v>1435.056640625</v>
      </c>
      <c r="J127" s="15">
        <f t="shared" si="11"/>
        <v>0.11253580933382999</v>
      </c>
      <c r="K127" s="38" t="s">
        <v>185</v>
      </c>
      <c r="L127" s="112" t="s">
        <v>577</v>
      </c>
      <c r="M127" s="104"/>
      <c r="N127" s="104"/>
      <c r="O127" s="104"/>
      <c r="P127" s="104"/>
      <c r="Q127" s="104"/>
    </row>
    <row r="128" spans="1:17" ht="40.5" customHeight="1">
      <c r="A128" s="24" t="str">
        <v>K203</v>
      </c>
      <c r="B128" s="25" t="str">
        <v>NY</v>
      </c>
      <c r="C128" s="25" t="str">
        <f>Sites[[#This Row],[SOL'#]]</f>
        <v>SOL-11190</v>
      </c>
      <c r="D128" s="54">
        <v>13616</v>
      </c>
      <c r="E128" s="10">
        <v>0</v>
      </c>
      <c r="F128" s="10">
        <f t="shared" si="8"/>
        <v>13616</v>
      </c>
      <c r="G128" s="11" t="str">
        <f t="shared" si="9"/>
        <v/>
      </c>
      <c r="H128" s="67">
        <v>0</v>
      </c>
      <c r="I128" s="12">
        <f t="shared" si="10"/>
        <v>13616</v>
      </c>
      <c r="J128" s="13" t="str">
        <f t="shared" si="11"/>
        <v/>
      </c>
      <c r="K128" s="56" t="s">
        <v>578</v>
      </c>
      <c r="L128" s="110" t="s">
        <v>579</v>
      </c>
      <c r="M128" s="104"/>
      <c r="N128" s="104"/>
      <c r="O128" s="104"/>
      <c r="P128" s="104"/>
      <c r="Q128" s="104"/>
    </row>
    <row r="129" spans="1:17" ht="40.5" customHeight="1">
      <c r="A129" s="26" t="str">
        <v>K213</v>
      </c>
      <c r="B129" s="27" t="str">
        <v>NY</v>
      </c>
      <c r="C129" s="27" t="str">
        <f>Sites[[#This Row],[SOL'#]]</f>
        <v>SOL-11191</v>
      </c>
      <c r="D129" s="66">
        <v>19107.2</v>
      </c>
      <c r="E129" s="14">
        <v>20224.73</v>
      </c>
      <c r="F129" s="14">
        <f t="shared" si="8"/>
        <v>-1117.5299999999988</v>
      </c>
      <c r="G129" s="15">
        <f t="shared" si="9"/>
        <v>-5.5255620223360155E-2</v>
      </c>
      <c r="H129" s="69">
        <v>18782</v>
      </c>
      <c r="I129" s="16">
        <f t="shared" si="10"/>
        <v>325.20000000000073</v>
      </c>
      <c r="J129" s="15">
        <f t="shared" si="11"/>
        <v>1.7314450005324285E-2</v>
      </c>
      <c r="K129" s="38" t="s">
        <v>580</v>
      </c>
      <c r="L129" s="102" t="s">
        <v>581</v>
      </c>
      <c r="M129" s="104"/>
      <c r="N129" s="104"/>
      <c r="O129" s="104"/>
      <c r="P129" s="104"/>
      <c r="Q129" s="104"/>
    </row>
    <row r="130" spans="1:17" ht="15.6">
      <c r="A130" s="24" t="str">
        <v>K217</v>
      </c>
      <c r="B130" s="25" t="str">
        <v>NY</v>
      </c>
      <c r="C130" s="25" t="str">
        <f>Sites[[#This Row],[SOL'#]]</f>
        <v>SOL-10933</v>
      </c>
      <c r="D130" s="54">
        <v>10504.974609375</v>
      </c>
      <c r="E130" s="10">
        <v>0</v>
      </c>
      <c r="F130" s="10">
        <f t="shared" si="8"/>
        <v>10504.974609375</v>
      </c>
      <c r="G130" s="11" t="str">
        <f t="shared" si="9"/>
        <v/>
      </c>
      <c r="H130" s="67">
        <v>9298</v>
      </c>
      <c r="I130" s="12">
        <f t="shared" si="10"/>
        <v>1206.974609375</v>
      </c>
      <c r="J130" s="13">
        <f t="shared" si="11"/>
        <v>0.12981013221929447</v>
      </c>
      <c r="K130" s="56" t="s">
        <v>185</v>
      </c>
      <c r="L130" s="110" t="s">
        <v>582</v>
      </c>
      <c r="M130" s="104"/>
      <c r="N130" s="104"/>
      <c r="O130" s="104"/>
      <c r="P130" s="104"/>
      <c r="Q130" s="104"/>
    </row>
    <row r="131" spans="1:17" ht="15.6">
      <c r="A131" s="26" t="str">
        <v>K307</v>
      </c>
      <c r="B131" s="27" t="str">
        <v>NY</v>
      </c>
      <c r="C131" s="27" t="str">
        <f>Sites[[#This Row],[SOL'#]]</f>
        <v>SOL-10876</v>
      </c>
      <c r="D131" s="66">
        <v>22224.359747958501</v>
      </c>
      <c r="E131" s="14">
        <v>0</v>
      </c>
      <c r="F131" s="14">
        <f t="shared" si="8"/>
        <v>22224.359747958501</v>
      </c>
      <c r="G131" s="15" t="str">
        <f t="shared" si="9"/>
        <v/>
      </c>
      <c r="H131" s="69">
        <v>19546</v>
      </c>
      <c r="I131" s="16">
        <f t="shared" si="10"/>
        <v>2678.3597479585005</v>
      </c>
      <c r="J131" s="15">
        <f t="shared" si="11"/>
        <v>0.13702853514573318</v>
      </c>
      <c r="K131" s="38"/>
      <c r="L131" s="17"/>
      <c r="M131" s="104"/>
      <c r="N131" s="104"/>
      <c r="O131" s="104"/>
      <c r="P131" s="104"/>
      <c r="Q131" s="104"/>
    </row>
    <row r="132" spans="1:17" ht="15.6">
      <c r="A132" s="24" t="str">
        <v>K610</v>
      </c>
      <c r="B132" s="25" t="str">
        <v>NY</v>
      </c>
      <c r="C132" s="25" t="str">
        <f>Sites[[#This Row],[SOL'#]]</f>
        <v>SOL-11158</v>
      </c>
      <c r="D132" s="54">
        <v>25056.5</v>
      </c>
      <c r="E132" s="10">
        <v>24720.240000000002</v>
      </c>
      <c r="F132" s="10">
        <f t="shared" si="8"/>
        <v>336.2599999999984</v>
      </c>
      <c r="G132" s="11">
        <f t="shared" si="9"/>
        <v>1.3602618744801764E-2</v>
      </c>
      <c r="H132" s="67">
        <v>24582</v>
      </c>
      <c r="I132" s="12">
        <f t="shared" si="10"/>
        <v>474.5</v>
      </c>
      <c r="J132" s="13">
        <f t="shared" si="11"/>
        <v>1.9302741843625418E-2</v>
      </c>
      <c r="K132" s="56"/>
      <c r="L132" s="37"/>
      <c r="M132" s="104"/>
      <c r="N132" s="104"/>
      <c r="O132" s="104"/>
      <c r="P132" s="104"/>
      <c r="Q132" s="104"/>
    </row>
    <row r="133" spans="1:17" ht="84.75" customHeight="1">
      <c r="A133" s="26" t="str">
        <v>M025</v>
      </c>
      <c r="B133" s="27" t="str">
        <v>NY</v>
      </c>
      <c r="C133" s="27" t="str">
        <f>Sites[[#This Row],[SOL'#]]</f>
        <v>SOL-10392</v>
      </c>
      <c r="D133" s="66">
        <v>8008.9453125</v>
      </c>
      <c r="E133" s="14">
        <v>0</v>
      </c>
      <c r="F133" s="14">
        <f t="shared" si="8"/>
        <v>8008.9453125</v>
      </c>
      <c r="G133" s="15" t="str">
        <f t="shared" si="9"/>
        <v/>
      </c>
      <c r="H133" s="69">
        <v>21500</v>
      </c>
      <c r="I133" s="16">
        <f t="shared" si="10"/>
        <v>-13491.0546875</v>
      </c>
      <c r="J133" s="15">
        <f t="shared" si="11"/>
        <v>-0.62749091569767446</v>
      </c>
      <c r="K133" s="38" t="s">
        <v>583</v>
      </c>
      <c r="L133" s="123" t="s">
        <v>584</v>
      </c>
      <c r="M133" s="103" t="s">
        <v>585</v>
      </c>
      <c r="N133" s="103" t="s">
        <v>586</v>
      </c>
      <c r="O133" s="104"/>
      <c r="P133" s="104"/>
      <c r="Q133" s="104"/>
    </row>
    <row r="134" spans="1:17" ht="15.6">
      <c r="A134" s="24" t="str">
        <v>M028</v>
      </c>
      <c r="B134" s="25" t="str">
        <v>NY</v>
      </c>
      <c r="C134" s="25" t="str">
        <f>Sites[[#This Row],[SOL'#]]</f>
        <v>SOL-10381</v>
      </c>
      <c r="D134" s="54">
        <v>17546.9861221723</v>
      </c>
      <c r="E134" s="10">
        <v>0</v>
      </c>
      <c r="F134" s="10">
        <f t="shared" si="8"/>
        <v>17546.9861221723</v>
      </c>
      <c r="G134" s="11" t="str">
        <f t="shared" si="9"/>
        <v/>
      </c>
      <c r="H134" s="67">
        <v>15744</v>
      </c>
      <c r="I134" s="12">
        <f t="shared" si="10"/>
        <v>1802.9861221723004</v>
      </c>
      <c r="J134" s="13">
        <f t="shared" si="11"/>
        <v>0.11451893560545608</v>
      </c>
      <c r="K134" s="56" t="s">
        <v>189</v>
      </c>
      <c r="L134" s="110" t="s">
        <v>587</v>
      </c>
      <c r="M134" s="104"/>
      <c r="N134" s="104"/>
      <c r="O134" s="104"/>
      <c r="P134" s="104"/>
      <c r="Q134" s="104"/>
    </row>
    <row r="135" spans="1:17" ht="15.6">
      <c r="A135" s="26" t="str">
        <v>Q030</v>
      </c>
      <c r="B135" s="27" t="str">
        <v>NY</v>
      </c>
      <c r="C135" s="27" t="str">
        <f>Sites[[#This Row],[SOL'#]]</f>
        <v>SOL-10878</v>
      </c>
      <c r="D135" s="66">
        <v>21809.5740617148</v>
      </c>
      <c r="E135" s="14">
        <v>0</v>
      </c>
      <c r="F135" s="14">
        <f t="shared" si="8"/>
        <v>21809.5740617148</v>
      </c>
      <c r="G135" s="15" t="str">
        <f t="shared" si="9"/>
        <v/>
      </c>
      <c r="H135" s="69">
        <v>19517</v>
      </c>
      <c r="I135" s="16">
        <f t="shared" si="10"/>
        <v>2292.5740617148003</v>
      </c>
      <c r="J135" s="15">
        <f t="shared" si="11"/>
        <v>0.11746549478479276</v>
      </c>
      <c r="K135" s="38"/>
      <c r="L135" s="17"/>
      <c r="M135" s="104"/>
      <c r="N135" s="104"/>
      <c r="O135" s="104"/>
      <c r="P135" s="104"/>
      <c r="Q135" s="104"/>
    </row>
    <row r="136" spans="1:17" ht="15.6">
      <c r="A136" s="24" t="str">
        <v>Q130</v>
      </c>
      <c r="B136" s="25" t="str">
        <v>NY</v>
      </c>
      <c r="C136" s="25" t="str">
        <f>Sites[[#This Row],[SOL'#]]</f>
        <v>SOL-10877</v>
      </c>
      <c r="D136" s="54">
        <v>12271.604096679701</v>
      </c>
      <c r="E136" s="10">
        <v>0</v>
      </c>
      <c r="F136" s="10">
        <f t="shared" si="8"/>
        <v>12271.604096679701</v>
      </c>
      <c r="G136" s="11" t="str">
        <f t="shared" si="9"/>
        <v/>
      </c>
      <c r="H136" s="67">
        <v>10779.37</v>
      </c>
      <c r="I136" s="12">
        <f t="shared" si="10"/>
        <v>1492.2340966797001</v>
      </c>
      <c r="J136" s="13">
        <f t="shared" si="11"/>
        <v>0.1384342588369914</v>
      </c>
      <c r="K136" s="56" t="s">
        <v>191</v>
      </c>
      <c r="L136" s="110" t="s">
        <v>588</v>
      </c>
      <c r="M136" s="104"/>
      <c r="N136" s="104"/>
      <c r="O136" s="104"/>
      <c r="P136" s="104"/>
      <c r="Q136" s="104"/>
    </row>
    <row r="137" spans="1:17" ht="15.6">
      <c r="A137" s="26" t="str">
        <v>Q196</v>
      </c>
      <c r="B137" s="27" t="str">
        <v>NY</v>
      </c>
      <c r="C137" s="27" t="str">
        <f>Sites[[#This Row],[SOL'#]]</f>
        <v>SOL-10879</v>
      </c>
      <c r="D137" s="66">
        <v>15423.1352070312</v>
      </c>
      <c r="E137" s="14">
        <v>0</v>
      </c>
      <c r="F137" s="14">
        <f t="shared" si="8"/>
        <v>15423.1352070312</v>
      </c>
      <c r="G137" s="15" t="str">
        <f t="shared" si="9"/>
        <v/>
      </c>
      <c r="H137" s="69">
        <v>14155</v>
      </c>
      <c r="I137" s="16">
        <f t="shared" si="10"/>
        <v>1268.1352070312005</v>
      </c>
      <c r="J137" s="15">
        <f t="shared" si="11"/>
        <v>8.9589205724563789E-2</v>
      </c>
      <c r="K137" s="38" t="s">
        <v>191</v>
      </c>
      <c r="L137" s="112" t="s">
        <v>589</v>
      </c>
      <c r="M137" s="104"/>
      <c r="N137" s="104"/>
      <c r="O137" s="104"/>
      <c r="P137" s="104"/>
      <c r="Q137" s="104"/>
    </row>
    <row r="138" spans="1:17" ht="28.9">
      <c r="A138" s="24" t="str">
        <v>Q220</v>
      </c>
      <c r="B138" s="25" t="str">
        <v>NY</v>
      </c>
      <c r="C138" s="25" t="str">
        <f>Sites[[#This Row],[SOL'#]]</f>
        <v>SOL-10873</v>
      </c>
      <c r="D138" s="54">
        <v>18632.917666015601</v>
      </c>
      <c r="E138" s="10">
        <v>0</v>
      </c>
      <c r="F138" s="10">
        <f t="shared" si="8"/>
        <v>18632.917666015601</v>
      </c>
      <c r="G138" s="11" t="str">
        <f t="shared" si="9"/>
        <v/>
      </c>
      <c r="H138" s="67">
        <v>15807</v>
      </c>
      <c r="I138" s="12">
        <f t="shared" si="10"/>
        <v>2825.9176660156008</v>
      </c>
      <c r="J138" s="13">
        <f t="shared" si="11"/>
        <v>0.17877634377273366</v>
      </c>
      <c r="K138" s="56" t="s">
        <v>360</v>
      </c>
      <c r="L138" s="110" t="s">
        <v>590</v>
      </c>
      <c r="M138" s="104"/>
      <c r="N138" s="104"/>
      <c r="O138" s="104"/>
      <c r="P138" s="104"/>
      <c r="Q138" s="104"/>
    </row>
    <row r="139" spans="1:17" ht="28.9">
      <c r="A139" s="26" t="str">
        <v>Q205</v>
      </c>
      <c r="B139" s="27" t="str">
        <v>NY</v>
      </c>
      <c r="C139" s="27" t="str">
        <f>Sites[[#This Row],[SOL'#]]</f>
        <v>SOL-10922</v>
      </c>
      <c r="D139" s="66">
        <v>22716.95703125</v>
      </c>
      <c r="E139" s="14">
        <v>25173.09</v>
      </c>
      <c r="F139" s="14">
        <f t="shared" si="8"/>
        <v>-2456.1329687500001</v>
      </c>
      <c r="G139" s="15">
        <f t="shared" si="9"/>
        <v>-9.7569784589416717E-2</v>
      </c>
      <c r="H139" s="69">
        <v>19352</v>
      </c>
      <c r="I139" s="16">
        <f t="shared" si="10"/>
        <v>3364.95703125</v>
      </c>
      <c r="J139" s="15">
        <f t="shared" si="11"/>
        <v>0.17388161591825135</v>
      </c>
      <c r="K139" s="38" t="s">
        <v>591</v>
      </c>
      <c r="L139" s="115" t="s">
        <v>592</v>
      </c>
      <c r="M139" s="104"/>
      <c r="N139" s="104"/>
      <c r="O139" s="104"/>
      <c r="P139" s="104"/>
      <c r="Q139" s="104"/>
    </row>
    <row r="140" spans="1:17" ht="99.75" customHeight="1">
      <c r="A140" s="24" t="str">
        <v>Q400</v>
      </c>
      <c r="B140" s="25" t="str">
        <v>NY</v>
      </c>
      <c r="C140" s="25" t="str">
        <f>Sites[[#This Row],[SOL'#]]</f>
        <v>SOL-10871</v>
      </c>
      <c r="D140" s="54">
        <v>24511.88671875</v>
      </c>
      <c r="E140" s="10">
        <v>0</v>
      </c>
      <c r="F140" s="10">
        <f t="shared" si="8"/>
        <v>24511.88671875</v>
      </c>
      <c r="G140" s="11" t="str">
        <f t="shared" si="9"/>
        <v/>
      </c>
      <c r="H140" s="67">
        <v>30789</v>
      </c>
      <c r="I140" s="12">
        <f t="shared" si="10"/>
        <v>-6277.11328125</v>
      </c>
      <c r="J140" s="13">
        <f t="shared" si="11"/>
        <v>-0.20387519182987432</v>
      </c>
      <c r="K140" s="56" t="s">
        <v>593</v>
      </c>
      <c r="L140" s="110" t="s">
        <v>594</v>
      </c>
      <c r="M140" s="103" t="s">
        <v>197</v>
      </c>
      <c r="N140" s="103" t="s">
        <v>197</v>
      </c>
      <c r="O140" s="103" t="s">
        <v>595</v>
      </c>
      <c r="P140" s="103" t="s">
        <v>596</v>
      </c>
      <c r="Q140" s="103" t="s">
        <v>597</v>
      </c>
    </row>
    <row r="141" spans="1:17" ht="15.6">
      <c r="A141" s="26" t="str">
        <v>R003</v>
      </c>
      <c r="B141" s="27" t="str">
        <v>NY</v>
      </c>
      <c r="C141" s="27" t="str">
        <f>Sites[[#This Row],[SOL'#]]</f>
        <v>SOL-10416</v>
      </c>
      <c r="D141" s="66">
        <v>33952.875429687498</v>
      </c>
      <c r="E141" s="14">
        <v>0</v>
      </c>
      <c r="F141" s="14">
        <f t="shared" si="8"/>
        <v>33952.875429687498</v>
      </c>
      <c r="G141" s="15" t="str">
        <f t="shared" si="9"/>
        <v/>
      </c>
      <c r="H141" s="69">
        <v>29898</v>
      </c>
      <c r="I141" s="16">
        <f t="shared" si="10"/>
        <v>4054.8754296874977</v>
      </c>
      <c r="J141" s="15">
        <f t="shared" si="11"/>
        <v>0.13562363468083141</v>
      </c>
      <c r="K141" s="38" t="s">
        <v>198</v>
      </c>
      <c r="L141" s="112" t="s">
        <v>598</v>
      </c>
      <c r="M141" s="104"/>
      <c r="N141" s="104"/>
      <c r="O141" s="104"/>
      <c r="P141" s="104"/>
      <c r="Q141" s="104"/>
    </row>
    <row r="142" spans="1:17" ht="15.6">
      <c r="A142" s="24" t="str">
        <v>R007</v>
      </c>
      <c r="B142" s="25" t="str">
        <v>NY</v>
      </c>
      <c r="C142" s="25" t="str">
        <f>Sites[[#This Row],[SOL'#]]</f>
        <v>SOL-10417</v>
      </c>
      <c r="D142" s="54">
        <v>35228.1171875</v>
      </c>
      <c r="E142" s="10">
        <v>0</v>
      </c>
      <c r="F142" s="10">
        <f t="shared" si="8"/>
        <v>35228.1171875</v>
      </c>
      <c r="G142" s="11" t="str">
        <f t="shared" si="9"/>
        <v/>
      </c>
      <c r="H142" s="67">
        <v>29854</v>
      </c>
      <c r="I142" s="12">
        <f t="shared" si="10"/>
        <v>5374.1171875</v>
      </c>
      <c r="J142" s="13">
        <f t="shared" si="11"/>
        <v>0.1800133043310779</v>
      </c>
      <c r="K142" s="56"/>
      <c r="L142" s="37"/>
      <c r="M142" s="104"/>
      <c r="N142" s="104"/>
      <c r="O142" s="104"/>
      <c r="P142" s="104"/>
      <c r="Q142" s="104"/>
    </row>
    <row r="143" spans="1:17" ht="57.6">
      <c r="A143" s="26" t="str">
        <v>BK16</v>
      </c>
      <c r="B143" s="27" t="str">
        <v>NY</v>
      </c>
      <c r="C143" s="27" t="str">
        <f>Sites[[#This Row],[SOL'#]]</f>
        <v>SOL-11093</v>
      </c>
      <c r="D143" s="66">
        <v>33612.486104633099</v>
      </c>
      <c r="E143" s="14">
        <v>0</v>
      </c>
      <c r="F143" s="14">
        <f t="shared" si="8"/>
        <v>33612.486104633099</v>
      </c>
      <c r="G143" s="15" t="str">
        <f t="shared" si="9"/>
        <v/>
      </c>
      <c r="H143" s="69">
        <v>31346</v>
      </c>
      <c r="I143" s="16">
        <f t="shared" si="10"/>
        <v>2266.4861046330989</v>
      </c>
      <c r="J143" s="15">
        <f t="shared" si="11"/>
        <v>7.230543305790528E-2</v>
      </c>
      <c r="K143" s="38" t="s">
        <v>599</v>
      </c>
      <c r="L143" s="123" t="s">
        <v>600</v>
      </c>
      <c r="M143" s="103" t="s">
        <v>365</v>
      </c>
      <c r="N143" s="104"/>
      <c r="O143" s="104"/>
      <c r="P143" s="104"/>
      <c r="Q143" s="104"/>
    </row>
    <row r="144" spans="1:17" ht="57.6">
      <c r="A144" s="24" t="str">
        <v>Trenton - Trenton East</v>
      </c>
      <c r="B144" s="25" t="str">
        <v>IL</v>
      </c>
      <c r="C144" s="25" t="str">
        <f>Sites[[#This Row],[SOL'#]]</f>
        <v>SOL-11060</v>
      </c>
      <c r="D144" s="54">
        <v>211494</v>
      </c>
      <c r="E144" s="10">
        <v>225513.7</v>
      </c>
      <c r="F144" s="10">
        <f t="shared" si="8"/>
        <v>-14019.700000000012</v>
      </c>
      <c r="G144" s="11">
        <f t="shared" si="9"/>
        <v>-6.2167841687666918E-2</v>
      </c>
      <c r="H144" s="67">
        <v>362877</v>
      </c>
      <c r="I144" s="12">
        <f t="shared" si="10"/>
        <v>-151383</v>
      </c>
      <c r="J144" s="13">
        <f t="shared" si="11"/>
        <v>-0.41717441447101911</v>
      </c>
      <c r="K144" s="56" t="s">
        <v>601</v>
      </c>
      <c r="L144" s="110" t="s">
        <v>602</v>
      </c>
      <c r="M144" s="103" t="s">
        <v>603</v>
      </c>
      <c r="N144" s="104"/>
      <c r="O144" s="104"/>
      <c r="P144" s="104"/>
      <c r="Q144" s="104"/>
    </row>
    <row r="145" spans="1:17" ht="43.15">
      <c r="A145" s="26" t="str">
        <v>Trenton - Trenton West</v>
      </c>
      <c r="B145" s="27" t="str">
        <v>IL</v>
      </c>
      <c r="C145" s="27" t="str">
        <f>Sites[[#This Row],[SOL'#]]</f>
        <v>SOL-11061</v>
      </c>
      <c r="D145" s="66">
        <v>225476</v>
      </c>
      <c r="E145" s="14">
        <v>234876</v>
      </c>
      <c r="F145" s="14">
        <f t="shared" si="8"/>
        <v>-9400</v>
      </c>
      <c r="G145" s="15">
        <f t="shared" si="9"/>
        <v>-4.0021117525843426E-2</v>
      </c>
      <c r="H145" s="69">
        <v>363840</v>
      </c>
      <c r="I145" s="16">
        <f t="shared" si="10"/>
        <v>-138364</v>
      </c>
      <c r="J145" s="15">
        <f t="shared" si="11"/>
        <v>-0.38028803869832895</v>
      </c>
      <c r="K145" s="38" t="s">
        <v>604</v>
      </c>
      <c r="L145" s="123" t="s">
        <v>605</v>
      </c>
      <c r="M145" s="103" t="s">
        <v>606</v>
      </c>
      <c r="N145" s="104"/>
      <c r="O145" s="104"/>
      <c r="P145" s="104"/>
      <c r="Q145" s="104"/>
    </row>
    <row r="146" spans="1:17" ht="57.6">
      <c r="A146" s="24" t="str">
        <v>Dakota - Dakota Solar 1</v>
      </c>
      <c r="B146" s="25" t="str">
        <v>IL</v>
      </c>
      <c r="C146" s="25" t="str">
        <f>Sites[[#This Row],[SOL'#]]</f>
        <v>SOL-11113</v>
      </c>
      <c r="D146" s="54">
        <v>369540</v>
      </c>
      <c r="E146" s="10">
        <v>463142.3</v>
      </c>
      <c r="F146" s="10">
        <f t="shared" si="8"/>
        <v>-93602.299999999988</v>
      </c>
      <c r="G146" s="11">
        <f t="shared" si="9"/>
        <v>-0.20210267988909669</v>
      </c>
      <c r="H146" s="67">
        <v>0</v>
      </c>
      <c r="I146" s="12">
        <f t="shared" si="10"/>
        <v>369540</v>
      </c>
      <c r="J146" s="13" t="str">
        <f t="shared" si="11"/>
        <v/>
      </c>
      <c r="K146" s="56" t="s">
        <v>607</v>
      </c>
      <c r="L146" s="110" t="s">
        <v>608</v>
      </c>
      <c r="M146" s="103" t="s">
        <v>609</v>
      </c>
      <c r="N146" s="104"/>
      <c r="O146" s="104"/>
      <c r="P146" s="104"/>
      <c r="Q146" s="104"/>
    </row>
    <row r="147" spans="1:17" ht="43.15">
      <c r="A147" s="26" t="str">
        <v>X018</v>
      </c>
      <c r="B147" s="27" t="str">
        <v>NY</v>
      </c>
      <c r="C147" s="27" t="str">
        <f>Sites[[#This Row],[SOL'#]]</f>
        <v>SOL-10418</v>
      </c>
      <c r="D147" s="66">
        <v>11486.863984375001</v>
      </c>
      <c r="E147" s="14">
        <v>15507.42</v>
      </c>
      <c r="F147" s="14">
        <f t="shared" si="8"/>
        <v>-4020.5560156249994</v>
      </c>
      <c r="G147" s="15">
        <f t="shared" si="9"/>
        <v>-0.25926659725634565</v>
      </c>
      <c r="H147" s="69">
        <v>15457</v>
      </c>
      <c r="I147" s="16">
        <f t="shared" si="10"/>
        <v>-3970.1360156249993</v>
      </c>
      <c r="J147" s="15">
        <f t="shared" si="11"/>
        <v>-0.25685036007148859</v>
      </c>
      <c r="K147" s="38" t="s">
        <v>610</v>
      </c>
      <c r="L147" s="123" t="s">
        <v>611</v>
      </c>
      <c r="M147" s="103" t="s">
        <v>612</v>
      </c>
      <c r="N147" s="104"/>
      <c r="O147" s="104"/>
      <c r="P147" s="104"/>
      <c r="Q147" s="104"/>
    </row>
    <row r="148" spans="1:17" ht="43.15">
      <c r="A148" s="24" t="str">
        <v>Janiak Solar</v>
      </c>
      <c r="B148" s="25" t="str">
        <v>NY</v>
      </c>
      <c r="C148" s="25" t="str">
        <f>Sites[[#This Row],[SOL'#]]</f>
        <v>SOL-10898</v>
      </c>
      <c r="D148" s="54">
        <v>344324.17412935401</v>
      </c>
      <c r="E148" s="10">
        <v>359649.1</v>
      </c>
      <c r="F148" s="10">
        <f t="shared" si="8"/>
        <v>-15324.925870645966</v>
      </c>
      <c r="G148" s="11">
        <f t="shared" si="9"/>
        <v>-4.2610772196137757E-2</v>
      </c>
      <c r="H148" s="67">
        <v>346875</v>
      </c>
      <c r="I148" s="12">
        <f t="shared" si="10"/>
        <v>-2550.8258706459892</v>
      </c>
      <c r="J148" s="13">
        <f t="shared" si="11"/>
        <v>-7.3537322397001495E-3</v>
      </c>
      <c r="K148" s="56" t="s">
        <v>613</v>
      </c>
      <c r="L148" s="110" t="s">
        <v>614</v>
      </c>
      <c r="M148" s="103" t="s">
        <v>615</v>
      </c>
      <c r="N148" s="104"/>
      <c r="O148" s="104"/>
      <c r="P148" s="104"/>
      <c r="Q148" s="104"/>
    </row>
    <row r="149" spans="1:17" ht="28.9">
      <c r="A149" s="26" t="str">
        <v>County Route 11B</v>
      </c>
      <c r="B149" s="27" t="str">
        <v>NY</v>
      </c>
      <c r="C149" s="27" t="str">
        <f>Sites[[#This Row],[SOL'#]]</f>
        <v>SOL-10983</v>
      </c>
      <c r="D149" s="66">
        <v>880286</v>
      </c>
      <c r="E149" s="14">
        <v>0</v>
      </c>
      <c r="F149" s="14">
        <f t="shared" si="8"/>
        <v>880286</v>
      </c>
      <c r="G149" s="15" t="str">
        <f t="shared" si="9"/>
        <v/>
      </c>
      <c r="H149" s="69">
        <v>0</v>
      </c>
      <c r="I149" s="16">
        <f t="shared" si="10"/>
        <v>880286</v>
      </c>
      <c r="J149" s="15" t="str">
        <f t="shared" si="11"/>
        <v/>
      </c>
      <c r="K149" s="38" t="s">
        <v>616</v>
      </c>
      <c r="L149" s="115" t="s">
        <v>617</v>
      </c>
      <c r="M149" s="104"/>
      <c r="N149" s="104"/>
      <c r="O149" s="104"/>
      <c r="P149" s="104"/>
      <c r="Q149" s="104"/>
    </row>
    <row r="150" spans="1:17" ht="100.5" customHeight="1">
      <c r="A150" s="24" t="str">
        <v>Barone</v>
      </c>
      <c r="B150" s="25" t="str">
        <v>NY</v>
      </c>
      <c r="C150" s="25" t="str">
        <f>Sites[[#This Row],[SOL'#]]</f>
        <v>SOL-11034</v>
      </c>
      <c r="D150" s="54">
        <v>469114</v>
      </c>
      <c r="E150" s="10">
        <v>0</v>
      </c>
      <c r="F150" s="10">
        <f t="shared" si="8"/>
        <v>469114</v>
      </c>
      <c r="G150" s="11" t="str">
        <f t="shared" si="9"/>
        <v/>
      </c>
      <c r="H150" s="67">
        <v>519583</v>
      </c>
      <c r="I150" s="12">
        <f t="shared" si="10"/>
        <v>-50469</v>
      </c>
      <c r="J150" s="13">
        <f t="shared" si="11"/>
        <v>-9.7133662956640235E-2</v>
      </c>
      <c r="K150" s="56" t="s">
        <v>618</v>
      </c>
      <c r="L150" s="110" t="s">
        <v>619</v>
      </c>
      <c r="M150" s="103" t="s">
        <v>620</v>
      </c>
      <c r="N150" s="103" t="s">
        <v>621</v>
      </c>
      <c r="O150" s="104"/>
      <c r="P150" s="104"/>
      <c r="Q150" s="104"/>
    </row>
    <row r="151" spans="1:17" ht="15.6">
      <c r="A151" s="26" t="str">
        <v>Cedarville</v>
      </c>
      <c r="B151" s="27" t="str">
        <v>IL</v>
      </c>
      <c r="C151" s="27" t="str">
        <f>Sites[[#This Row],[SOL'#]]</f>
        <v>SOL-11069</v>
      </c>
      <c r="D151" s="66">
        <v>355589</v>
      </c>
      <c r="E151" s="14">
        <v>362281.6</v>
      </c>
      <c r="F151" s="14">
        <f t="shared" si="8"/>
        <v>-6692.5999999999767</v>
      </c>
      <c r="G151" s="15">
        <f t="shared" si="9"/>
        <v>-1.847347477763148E-2</v>
      </c>
      <c r="H151" s="69">
        <v>365444</v>
      </c>
      <c r="I151" s="16">
        <f t="shared" si="10"/>
        <v>-9855</v>
      </c>
      <c r="J151" s="15">
        <f t="shared" si="11"/>
        <v>-2.696719606834426E-2</v>
      </c>
      <c r="K151" s="38"/>
      <c r="L151" s="17"/>
      <c r="M151" s="104"/>
      <c r="N151" s="104"/>
      <c r="O151" s="104"/>
      <c r="P151" s="104"/>
      <c r="Q151" s="104"/>
    </row>
    <row r="152" spans="1:17" ht="57.6">
      <c r="A152" s="24" t="str">
        <v xml:space="preserve"> O'Brien Hill #1</v>
      </c>
      <c r="B152" s="25" t="str">
        <v>NY</v>
      </c>
      <c r="C152" s="25" t="str">
        <f>Sites[[#This Row],[SOL'#]]</f>
        <v>SOL-11098</v>
      </c>
      <c r="D152" s="54">
        <v>67337</v>
      </c>
      <c r="E152" s="10">
        <v>0</v>
      </c>
      <c r="F152" s="10">
        <f t="shared" si="8"/>
        <v>67337</v>
      </c>
      <c r="G152" s="11" t="str">
        <f t="shared" si="9"/>
        <v/>
      </c>
      <c r="H152" s="67">
        <v>0</v>
      </c>
      <c r="I152" s="12">
        <f t="shared" si="10"/>
        <v>67337</v>
      </c>
      <c r="J152" s="13" t="str">
        <f t="shared" ref="J152:J164" si="12">IFERROR(I152/H152, "")</f>
        <v/>
      </c>
      <c r="K152" s="56" t="s">
        <v>622</v>
      </c>
      <c r="L152" s="110" t="s">
        <v>623</v>
      </c>
      <c r="M152" s="103" t="s">
        <v>624</v>
      </c>
      <c r="N152" s="103" t="s">
        <v>625</v>
      </c>
      <c r="O152" s="104"/>
      <c r="P152" s="104"/>
      <c r="Q152" s="104"/>
    </row>
    <row r="153" spans="1:17" ht="57.6">
      <c r="A153" s="26" t="str">
        <v xml:space="preserve"> O'Brien Hill #2</v>
      </c>
      <c r="B153" s="27" t="str">
        <v>NY</v>
      </c>
      <c r="C153" s="27" t="str">
        <f>Sites[[#This Row],[SOL'#]]</f>
        <v>SOL-11099</v>
      </c>
      <c r="D153" s="66">
        <v>126051</v>
      </c>
      <c r="E153" s="14">
        <v>0</v>
      </c>
      <c r="F153" s="14">
        <f t="shared" si="8"/>
        <v>126051</v>
      </c>
      <c r="G153" s="15" t="str">
        <f t="shared" si="9"/>
        <v/>
      </c>
      <c r="H153" s="69">
        <v>0</v>
      </c>
      <c r="I153" s="16">
        <f t="shared" si="10"/>
        <v>126051</v>
      </c>
      <c r="J153" s="15" t="str">
        <f t="shared" si="12"/>
        <v/>
      </c>
      <c r="K153" s="38" t="s">
        <v>626</v>
      </c>
      <c r="L153" s="115" t="s">
        <v>627</v>
      </c>
      <c r="M153" s="104"/>
      <c r="N153" s="104"/>
      <c r="O153" s="104"/>
      <c r="P153" s="104"/>
      <c r="Q153" s="104"/>
    </row>
    <row r="154" spans="1:17" ht="15.6">
      <c r="A154" s="24" t="str">
        <v>Trinity - Freeport</v>
      </c>
      <c r="B154" s="25" t="str">
        <v>IL</v>
      </c>
      <c r="C154" s="25" t="str">
        <f>Sites[[#This Row],[SOL'#]]</f>
        <v>SOL-11057</v>
      </c>
      <c r="D154" s="54">
        <v>380764</v>
      </c>
      <c r="E154" s="10">
        <v>262931.7</v>
      </c>
      <c r="F154" s="10">
        <f t="shared" si="8"/>
        <v>117832.29999999999</v>
      </c>
      <c r="G154" s="11">
        <f t="shared" si="9"/>
        <v>0.44814794108127692</v>
      </c>
      <c r="H154" s="67">
        <v>0</v>
      </c>
      <c r="I154" s="12">
        <f t="shared" si="10"/>
        <v>380764</v>
      </c>
      <c r="J154" s="13" t="str">
        <f t="shared" si="12"/>
        <v/>
      </c>
      <c r="K154" s="56" t="s">
        <v>628</v>
      </c>
      <c r="L154" s="110" t="s">
        <v>629</v>
      </c>
      <c r="M154" s="104"/>
      <c r="N154" s="104"/>
      <c r="O154" s="104"/>
      <c r="P154" s="104"/>
      <c r="Q154" s="104"/>
    </row>
    <row r="155" spans="1:17" ht="86.45">
      <c r="A155" s="26" t="str">
        <v>Ransom</v>
      </c>
      <c r="B155" s="27" t="str">
        <v>NY</v>
      </c>
      <c r="C155" s="27" t="str">
        <f>Sites[[#This Row],[SOL'#]]</f>
        <v>SOL-11157</v>
      </c>
      <c r="D155" s="66">
        <v>573181.69999999995</v>
      </c>
      <c r="E155" s="14">
        <v>0</v>
      </c>
      <c r="F155" s="14">
        <f t="shared" si="8"/>
        <v>573181.69999999995</v>
      </c>
      <c r="G155" s="15" t="str">
        <f t="shared" ref="G155:G164" si="13">IFERROR(F155/E155, "")</f>
        <v/>
      </c>
      <c r="H155" s="69">
        <v>0</v>
      </c>
      <c r="I155" s="16">
        <f t="shared" si="10"/>
        <v>573181.69999999995</v>
      </c>
      <c r="J155" s="15" t="str">
        <f t="shared" si="12"/>
        <v/>
      </c>
      <c r="K155" s="38" t="s">
        <v>630</v>
      </c>
      <c r="L155" s="123" t="s">
        <v>631</v>
      </c>
      <c r="M155" s="103" t="s">
        <v>632</v>
      </c>
      <c r="N155" s="104"/>
      <c r="O155" s="104"/>
      <c r="P155" s="104"/>
      <c r="Q155" s="104"/>
    </row>
    <row r="156" spans="1:17" ht="28.9">
      <c r="A156" s="24" t="str">
        <v>Horseheads - Wedge</v>
      </c>
      <c r="B156" s="25" t="str">
        <v>NY</v>
      </c>
      <c r="C156" s="25" t="str">
        <f>Sites[[#This Row],[SOL'#]]</f>
        <v>SOL-11160</v>
      </c>
      <c r="D156" s="54">
        <v>351172</v>
      </c>
      <c r="E156" s="10">
        <v>0</v>
      </c>
      <c r="F156" s="10">
        <f t="shared" si="8"/>
        <v>351172</v>
      </c>
      <c r="G156" s="11" t="str">
        <f t="shared" si="13"/>
        <v/>
      </c>
      <c r="H156" s="67">
        <v>0</v>
      </c>
      <c r="I156" s="12">
        <f t="shared" si="10"/>
        <v>351172</v>
      </c>
      <c r="J156" s="13" t="str">
        <f t="shared" si="12"/>
        <v/>
      </c>
      <c r="K156" s="56" t="s">
        <v>633</v>
      </c>
      <c r="L156" s="110" t="s">
        <v>634</v>
      </c>
      <c r="M156" s="103" t="s">
        <v>635</v>
      </c>
      <c r="N156" s="104"/>
      <c r="O156" s="104"/>
      <c r="P156" s="104"/>
      <c r="Q156" s="104"/>
    </row>
    <row r="157" spans="1:17" ht="43.15">
      <c r="A157" s="26" t="str">
        <v>Otisville - Shoddy Hollow</v>
      </c>
      <c r="B157" s="27" t="str">
        <v>NY</v>
      </c>
      <c r="C157" s="27" t="str">
        <f>Sites[[#This Row],[SOL'#]]</f>
        <v>SOL-11185</v>
      </c>
      <c r="D157" s="66">
        <v>770722.7</v>
      </c>
      <c r="E157" s="14">
        <v>0</v>
      </c>
      <c r="F157" s="14">
        <f t="shared" si="8"/>
        <v>770722.7</v>
      </c>
      <c r="G157" s="15" t="str">
        <f t="shared" si="13"/>
        <v/>
      </c>
      <c r="H157" s="69">
        <v>0</v>
      </c>
      <c r="I157" s="16">
        <f t="shared" si="10"/>
        <v>770722.7</v>
      </c>
      <c r="J157" s="15" t="str">
        <f t="shared" si="12"/>
        <v/>
      </c>
      <c r="K157" s="38" t="s">
        <v>636</v>
      </c>
      <c r="L157" s="123" t="s">
        <v>637</v>
      </c>
      <c r="M157" s="104"/>
      <c r="N157" s="104"/>
      <c r="O157" s="104"/>
      <c r="P157" s="104"/>
      <c r="Q157" s="104"/>
    </row>
    <row r="158" spans="1:17" ht="15.6">
      <c r="A158" s="24" t="str">
        <v>Wellsville - Chenunda Creek</v>
      </c>
      <c r="B158" s="25" t="str">
        <v>NY</v>
      </c>
      <c r="C158" s="25" t="str">
        <f>Sites[[#This Row],[SOL'#]]</f>
        <v>SOL-11187</v>
      </c>
      <c r="D158" s="54">
        <v>367949.8</v>
      </c>
      <c r="E158" s="10">
        <v>0</v>
      </c>
      <c r="F158" s="10">
        <f t="shared" si="8"/>
        <v>367949.8</v>
      </c>
      <c r="G158" s="11" t="str">
        <f t="shared" si="13"/>
        <v/>
      </c>
      <c r="H158" s="67">
        <v>0</v>
      </c>
      <c r="I158" s="12">
        <f t="shared" ref="I158:I164" si="14">IF(AND(ISNUMBER(D158),ISNUMBER(H158)), D158-H158, "")</f>
        <v>367949.8</v>
      </c>
      <c r="J158" s="13" t="str">
        <f t="shared" si="12"/>
        <v/>
      </c>
      <c r="K158" s="56" t="s">
        <v>638</v>
      </c>
      <c r="L158" s="110" t="s">
        <v>639</v>
      </c>
      <c r="M158" s="104"/>
      <c r="N158" s="104"/>
      <c r="O158" s="104"/>
      <c r="P158" s="104"/>
      <c r="Q158" s="104"/>
    </row>
    <row r="159" spans="1:17" ht="15.6">
      <c r="A159" s="26" t="str">
        <v>DC: Washington - Essex Condominium</v>
      </c>
      <c r="B159" s="27" t="str">
        <v>DC</v>
      </c>
      <c r="C159" s="27" t="str">
        <f>Sites[[#This Row],[SOL'#]]</f>
        <v>SOL-10036</v>
      </c>
      <c r="D159" s="66">
        <v>3125</v>
      </c>
      <c r="E159" s="14">
        <v>3748.7629999999999</v>
      </c>
      <c r="F159" s="14">
        <f t="shared" ref="F159:F164" si="15">IF(AND(ISNUMBER(D159),ISNUMBER(E159)), D159-E159, "")</f>
        <v>-623.76299999999992</v>
      </c>
      <c r="G159" s="68">
        <f t="shared" si="13"/>
        <v>-0.16639168707117519</v>
      </c>
      <c r="H159" s="69">
        <v>4003.5810000000001</v>
      </c>
      <c r="I159" s="69">
        <f t="shared" si="14"/>
        <v>-878.58100000000013</v>
      </c>
      <c r="J159" s="68">
        <f t="shared" si="12"/>
        <v>-0.21944878847212035</v>
      </c>
      <c r="K159" s="38" t="s">
        <v>640</v>
      </c>
      <c r="L159" s="123"/>
    </row>
    <row r="160" spans="1:17" ht="100.9">
      <c r="A160" s="24" t="str">
        <v>HI: Waipahu - 94-246 Leoku St - E.F.G.</v>
      </c>
      <c r="B160" s="25" t="str">
        <v>HI</v>
      </c>
      <c r="C160" s="25" t="str">
        <f>Sites[[#This Row],[SOL'#]]</f>
        <v>SOL-10071</v>
      </c>
      <c r="D160" s="54">
        <v>12007</v>
      </c>
      <c r="E160" s="10">
        <v>11698.62</v>
      </c>
      <c r="F160" s="10">
        <f t="shared" si="15"/>
        <v>308.3799999999992</v>
      </c>
      <c r="G160" s="55">
        <f t="shared" si="13"/>
        <v>2.6360374129598123E-2</v>
      </c>
      <c r="H160" s="67">
        <v>12392.76</v>
      </c>
      <c r="I160" s="67">
        <f t="shared" si="14"/>
        <v>-385.76000000000022</v>
      </c>
      <c r="J160" s="64">
        <f t="shared" si="12"/>
        <v>-3.11278520684658E-2</v>
      </c>
      <c r="K160" s="56" t="s">
        <v>641</v>
      </c>
      <c r="L160" s="117" t="s">
        <v>642</v>
      </c>
    </row>
    <row r="161" spans="1:12" ht="15.6">
      <c r="A161" s="26" t="str">
        <v>HI: Waipahu - 94-099 Waipahu St - PV</v>
      </c>
      <c r="B161" s="27" t="str">
        <v>HI</v>
      </c>
      <c r="C161" s="27" t="str">
        <f>Sites[[#This Row],[SOL'#]]</f>
        <v>SOL-10068</v>
      </c>
      <c r="D161" s="66">
        <v>13948</v>
      </c>
      <c r="E161" s="14">
        <v>11218.65</v>
      </c>
      <c r="F161" s="14">
        <f t="shared" si="15"/>
        <v>2729.3500000000004</v>
      </c>
      <c r="G161" s="68">
        <f t="shared" si="13"/>
        <v>0.24328684823931582</v>
      </c>
      <c r="H161" s="69">
        <v>12386.12</v>
      </c>
      <c r="I161" s="69">
        <f t="shared" si="14"/>
        <v>1561.8799999999992</v>
      </c>
      <c r="J161" s="68">
        <f t="shared" si="12"/>
        <v>0.12609921428179277</v>
      </c>
      <c r="K161" s="38"/>
      <c r="L161" s="123"/>
    </row>
    <row r="162" spans="1:12" ht="15.6">
      <c r="A162" s="24" t="str">
        <v>IL: Prophetstown - 5170 Yager Road (PW)</v>
      </c>
      <c r="B162" s="25" t="str">
        <v>IL</v>
      </c>
      <c r="C162" s="25" t="str">
        <f>Sites[[#This Row],[SOL'#]]</f>
        <v>SOL-11149</v>
      </c>
      <c r="D162" s="54"/>
      <c r="E162" s="10"/>
      <c r="F162" s="10" t="str">
        <f t="shared" si="15"/>
        <v/>
      </c>
      <c r="G162" s="55" t="str">
        <f t="shared" si="13"/>
        <v/>
      </c>
      <c r="H162" s="67"/>
      <c r="I162" s="67" t="str">
        <f t="shared" si="14"/>
        <v/>
      </c>
      <c r="J162" s="64" t="str">
        <f t="shared" si="12"/>
        <v/>
      </c>
      <c r="K162" s="56"/>
      <c r="L162" s="117"/>
    </row>
    <row r="163" spans="1:12" ht="15.6">
      <c r="A163" s="26" t="str">
        <v>IL: Viola - Goldenrod - (PW)</v>
      </c>
      <c r="B163" s="27" t="str">
        <v>IL</v>
      </c>
      <c r="C163" s="27" t="str">
        <f>Sites[[#This Row],[SOL'#]]</f>
        <v>SOL-11132</v>
      </c>
      <c r="D163" s="66"/>
      <c r="E163" s="14"/>
      <c r="F163" s="14" t="str">
        <f t="shared" si="15"/>
        <v/>
      </c>
      <c r="G163" s="68" t="str">
        <f t="shared" si="13"/>
        <v/>
      </c>
      <c r="H163" s="69"/>
      <c r="I163" s="69" t="str">
        <f t="shared" si="14"/>
        <v/>
      </c>
      <c r="J163" s="68" t="str">
        <f t="shared" si="12"/>
        <v/>
      </c>
      <c r="K163" s="38"/>
      <c r="L163" s="123"/>
    </row>
    <row r="164" spans="1:12" ht="15.6">
      <c r="A164" s="24" t="str">
        <v>IL: Marengo - Grant - (PW)</v>
      </c>
      <c r="B164" s="25" t="str">
        <v>IL</v>
      </c>
      <c r="C164" s="25" t="str">
        <f>Sites[[#This Row],[SOL'#]]</f>
        <v>SOL-11147</v>
      </c>
      <c r="D164" s="54"/>
      <c r="E164" s="10"/>
      <c r="F164" s="10" t="str">
        <f t="shared" si="15"/>
        <v/>
      </c>
      <c r="G164" s="55" t="str">
        <f t="shared" si="13"/>
        <v/>
      </c>
      <c r="H164" s="67"/>
      <c r="I164" s="67" t="str">
        <f t="shared" si="14"/>
        <v/>
      </c>
      <c r="J164" s="64" t="str">
        <f t="shared" si="12"/>
        <v/>
      </c>
      <c r="K164" s="56"/>
      <c r="L164" s="117"/>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sheetData>
  <mergeCells count="4">
    <mergeCell ref="H1:J1"/>
    <mergeCell ref="A1:D1"/>
    <mergeCell ref="E1:G1"/>
    <mergeCell ref="A2:B2"/>
  </mergeCells>
  <phoneticPr fontId="40" type="noConversion"/>
  <conditionalFormatting sqref="G2 J2 G4:G164 J4:J164">
    <cfRule type="cellIs" dxfId="36" priority="35" stopIfTrue="1" operator="lessThanOrEqual">
      <formula>-0.1</formula>
    </cfRule>
    <cfRule type="expression" dxfId="35" priority="36">
      <formula>AND(ISNUMBER(G2), G2&gt;=0.1)</formula>
    </cfRule>
  </conditionalFormatting>
  <hyperlinks>
    <hyperlink ref="L6" r:id="rId1" display="https://us3.assetplanner.com/service_request?ID=098810" xr:uid="{98A1365D-C7E8-47D7-BA04-843DC88B5B32}"/>
    <hyperlink ref="L7" r:id="rId2" display="https://us3.assetplanner.com/service_request?ID=097569" xr:uid="{155031D0-4A83-4E2D-80C8-88F93BD0EC65}"/>
    <hyperlink ref="L8" r:id="rId3" display="https://us3.assetplanner.com/service_request?ID=093291" xr:uid="{2FC4CBA4-B4A3-4A69-BC46-E22F8EAC5521}"/>
    <hyperlink ref="L12" r:id="rId4" display="https://us3.assetplanner.com/service_request?ID=093633" xr:uid="{48A93FB6-8B3B-4677-B38E-EFAAC9840B43}"/>
    <hyperlink ref="L14" r:id="rId5" display="https://us3.assetplanner.com/service_request?ID=086842" xr:uid="{CD9B2B2D-255C-4EDE-9FFC-0D059DF6D7D6}"/>
    <hyperlink ref="M14" r:id="rId6" display="https://us3.assetplanner.com/service_request?ID=093294" xr:uid="{D07BB9A8-0199-4C39-8690-610C06191364}"/>
    <hyperlink ref="N14" r:id="rId7" display="https://us3.assetplanner.com/service_request?ID=098958" xr:uid="{CECDB9D2-2E5A-4CE4-8CFF-97F7A488E438}"/>
    <hyperlink ref="L16" r:id="rId8" display="https://us3.assetplanner.com/service_request?ID=098114" xr:uid="{17850673-0979-40E2-8B74-DE516B00135F}"/>
    <hyperlink ref="M16" r:id="rId9" display="https://us3.assetplanner.com/service_request?ID=099228" xr:uid="{957FA365-76D0-4B77-84F2-8D7F329CB347}"/>
    <hyperlink ref="L20" r:id="rId10" display="https://us3.assetplanner.com/service_request?ID=093196" xr:uid="{7155EF5D-CEE9-4FC0-8AA2-FE3B239BFF4A}"/>
    <hyperlink ref="L26" r:id="rId11" display="https://us3.assetplanner.com/service_request?ID=099136" xr:uid="{E91F8A3F-25BA-454F-A02A-D1AC8EF27835}"/>
    <hyperlink ref="M26" r:id="rId12" display="https://us3.assetplanner.com/service_request?ID=099136" xr:uid="{50115042-A6B6-4ED7-9B42-580CF39BC150}"/>
    <hyperlink ref="L28" r:id="rId13" display="https://us3.assetplanner.com/service_request?ID=098734" xr:uid="{BEE6F746-1370-40D2-B9D5-334E58DEA20C}"/>
    <hyperlink ref="M28" r:id="rId14" display="https://us3.assetplanner.com/service_request?ID=098981" xr:uid="{DC4B06B0-93C0-45BC-BAC2-7E78A122B686}"/>
    <hyperlink ref="L35" r:id="rId15" display="https://us3.assetplanner.com/service_request?ID=096202" xr:uid="{AB8ACEF4-74CF-4549-A935-80D9F587C7E7}"/>
    <hyperlink ref="M35" r:id="rId16" display="https://us3.assetplanner.com/service_request?ID=098365" xr:uid="{6A3161EB-0D67-4C44-8114-5E9B2AC0C2FC}"/>
    <hyperlink ref="L41" r:id="rId17" display="https://us3.assetplanner.com/service_request?ID=098781" xr:uid="{A235A07C-87E1-4BB4-ADFC-E63577FA37C6}"/>
    <hyperlink ref="M41" r:id="rId18" display="https://us3.assetplanner.com/service_request?ID=098781" xr:uid="{7F7E2E03-3B2C-4F0C-A5CE-A2883086C029}"/>
    <hyperlink ref="N41" r:id="rId19" display="https://us3.assetplanner.com/service_request?ID=098905" xr:uid="{DB5AC7EA-B788-48FA-A153-3DC03A8D985D}"/>
    <hyperlink ref="L42" r:id="rId20" display="https://us3.assetplanner.com/service_request?ID=098312" xr:uid="{B0ED38D4-4F47-45E7-93C4-F68346236366}"/>
    <hyperlink ref="M42" r:id="rId21" display="https://us3.assetplanner.com/service_request?ID=099139" xr:uid="{4460C8E9-6615-4AC6-BD3A-20B185CF38ED}"/>
    <hyperlink ref="L43" r:id="rId22" display="https://us3.assetplanner.com/service_request?ID=093326" xr:uid="{C1226E7E-C5E4-4E28-831C-0D6BACE4BC8B}"/>
    <hyperlink ref="L52" r:id="rId23" display="https://us3.assetplanner.com/service_request?ID=099036" xr:uid="{34623853-C7C6-40DE-9D33-8A0596845430}"/>
    <hyperlink ref="L54" r:id="rId24" display="https://us3.assetplanner.com/service_request?ID=098313" xr:uid="{5CFE7FA9-68BF-4A3E-AD17-0FEDCBF649A3}"/>
    <hyperlink ref="L56" r:id="rId25" display="https://us3.assetplanner.com/service_request?ID=099002" xr:uid="{47E09372-28E3-4FF5-AD27-73A8C446240A}"/>
    <hyperlink ref="L57" r:id="rId26" display="https://us3.assetplanner.com/service_request?ID=098155" xr:uid="{327768C9-AE89-401F-AB78-2AE456B06258}"/>
    <hyperlink ref="M57" r:id="rId27" display="https://us3.assetplanner.com/service_request?ID=098987" xr:uid="{819CC397-2AD6-485A-9C34-3B24051E4C97}"/>
    <hyperlink ref="L58" r:id="rId28" display="https://us3.assetplanner.com/service_request?ID=099130" xr:uid="{2974CEE5-7CD8-4235-9933-2ADA972221E4}"/>
    <hyperlink ref="M58" r:id="rId29" display="https://us3.assetplanner.com/service_request?ID=098641" xr:uid="{22F3703E-51CD-4C8C-B3DE-919C62CFC407}"/>
    <hyperlink ref="L59" r:id="rId30" display="https://us3.assetplanner.com/service_request?ID=098279" xr:uid="{1470B8C8-DD70-4C7E-9A5B-644FCCEE8C9C}"/>
    <hyperlink ref="M59" r:id="rId31" display="https://us3.assetplanner.com/service_request?ID=098699" xr:uid="{6D918256-287F-4188-8DB5-A6491C9D0EC0}"/>
    <hyperlink ref="N59" r:id="rId32" display="https://us3.assetplanner.com/service_request?ID=098853" xr:uid="{C7163650-E2B4-4D19-9B1F-D55DBA2B7CCE}"/>
    <hyperlink ref="O59" r:id="rId33" display="https://us3.assetplanner.com/service_request?ID=098892" xr:uid="{2770134F-93F4-4D83-B126-20066F025FDD}"/>
    <hyperlink ref="L61" r:id="rId34" display="https://us3.assetplanner.com/service_request?ID=099149" xr:uid="{C8E25F58-DB47-447A-BD06-31E98ED05ECB}"/>
    <hyperlink ref="L62" r:id="rId35" display="https://us3.assetplanner.com/service_request?ID=093972" xr:uid="{1D751DEB-8D13-4122-94A6-95929A02DE75}"/>
    <hyperlink ref="M62" r:id="rId36" display="https://us3.assetplanner.com/service_request?ID=098708" xr:uid="{524AF5C2-A784-4CF0-8E59-C02FF0D6D03D}"/>
    <hyperlink ref="N62" r:id="rId37" display="https://us3.assetplanner.com/service_request?ID=098708" xr:uid="{DBC5DF69-31C0-45F7-8E53-BD816CAECF56}"/>
    <hyperlink ref="L63" r:id="rId38" display="https://us3.assetplanner.com/service_request?ID=098869" xr:uid="{9F99A80D-164A-4237-9DD0-B73A11B4BDDF}"/>
    <hyperlink ref="L66" r:id="rId39" display="https://us3.assetplanner.com/service_request?ID=093024" xr:uid="{5B616F51-3803-4B9A-95C2-761E0A171331}"/>
    <hyperlink ref="M66" r:id="rId40" display="https://us3.assetplanner.com/service_request?ID=098551" xr:uid="{06C8252F-566E-40D3-9604-CF4301111BBE}"/>
    <hyperlink ref="L69" r:id="rId41" display="https://us3.assetplanner.com/service_request?ID=096004" xr:uid="{63EE2B76-1D5D-4BB6-BFF7-01DF188BC97C}"/>
    <hyperlink ref="M69" r:id="rId42" display="https://us3.assetplanner.com/service_request?ID=098071" xr:uid="{4A019858-96AD-47DF-9A0C-71C2DD85F344}"/>
    <hyperlink ref="N69" r:id="rId43" display="https://us3.assetplanner.com/service_request?ID=094278" xr:uid="{21FF2833-018B-4EEF-9432-6D73DD50F4FB}"/>
    <hyperlink ref="O69" r:id="rId44" display="https://us3.assetplanner.com/service_request?ID=098510" xr:uid="{D598FD39-BB9F-4E49-B284-F7863D3DCBEC}"/>
    <hyperlink ref="P69" r:id="rId45" display="https://us3.assetplanner.com/service_request?ID=098510" xr:uid="{C4EF176A-BB68-49A9-8C9B-1C1DAA34B0F1}"/>
    <hyperlink ref="Q69" r:id="rId46" display="https://us3.assetplanner.com/service_request?ID=098998" xr:uid="{384C677F-C437-41C9-B9D1-4C37CFFB9E18}"/>
    <hyperlink ref="L70" r:id="rId47" display="https://us3.assetplanner.com/service_request?ID=098500" xr:uid="{7825F62A-A88B-4B64-B8B0-F704BA6A8C43}"/>
    <hyperlink ref="L71" r:id="rId48" display="https://us3.assetplanner.com/service_request?ID=092964" xr:uid="{09549A2D-788F-4B3F-A00F-CB50ECD49038}"/>
    <hyperlink ref="M71" r:id="rId49" display="https://us3.assetplanner.com/service_request?ID=097603" xr:uid="{5142A14C-253C-4FB1-A120-89DD55E2610B}"/>
    <hyperlink ref="N71" r:id="rId50" display="https://us3.assetplanner.com/service_request?ID=095253" xr:uid="{8C83EC2E-C5FE-4248-A503-4C4E54EE96CB}"/>
    <hyperlink ref="O71" r:id="rId51" display="https://us3.assetplanner.com/service_request?ID=098558" xr:uid="{A0CF4F33-12EC-42D7-A32C-F978F8D5C1D9}"/>
    <hyperlink ref="P71" r:id="rId52" display="https://us3.assetplanner.com/service_request?ID=099047" xr:uid="{5A9E9905-FF88-4E1D-A8CB-AD9450C91B00}"/>
    <hyperlink ref="Q71" r:id="rId53" display="https://us3.assetplanner.com/service_request?ID=099053" xr:uid="{A76EB5D9-7825-45B6-B282-C69CF6193331}"/>
    <hyperlink ref="L73" r:id="rId54" display="https://us3.assetplanner.com/service_request?ID=096238" xr:uid="{BAF310E9-9AE4-4C34-B6C5-0DEF76EBA14D}"/>
    <hyperlink ref="M73" r:id="rId55" display="https://us3.assetplanner.com/service_request?ID=097926" xr:uid="{C499832E-C686-48CD-BBA6-6ECC9C05E603}"/>
    <hyperlink ref="N73" r:id="rId56" display="https://us3.assetplanner.com/service_request?ID=098992" xr:uid="{B0BA06A8-B38A-42A2-8611-F19EB0DFA376}"/>
    <hyperlink ref="L74" r:id="rId57" display="https://us3.assetplanner.com/service_request?ID=097930" xr:uid="{1E90A012-9E02-496F-B95B-938713164F84}"/>
    <hyperlink ref="M74" r:id="rId58" display="https://us3.assetplanner.com/service_request?ID=098005" xr:uid="{C1EE0ADF-42C0-4B4D-BEAA-F51703B5AFD7}"/>
    <hyperlink ref="N74" r:id="rId59" display="https://us3.assetplanner.com/service_request?ID=093436" xr:uid="{BE37EEB3-E9C8-4893-9DBB-ED1734EF1DE4}"/>
    <hyperlink ref="O74" r:id="rId60" display="https://us3.assetplanner.com/service_request?ID=098295" xr:uid="{CD9E5339-832D-4B0B-ABC2-86D2585B42CE}"/>
    <hyperlink ref="P74" r:id="rId61" display="https://us3.assetplanner.com/service_request?ID=098354" xr:uid="{46FDAA50-ECE7-4381-8611-42342261BFDF}"/>
    <hyperlink ref="Q74" r:id="rId62" display="https://us3.assetplanner.com/service_request?ID=098414" xr:uid="{7697F983-619F-4F98-B1A0-873B8392440F}"/>
    <hyperlink ref="R74" r:id="rId63" display="https://us3.assetplanner.com/service_request?ID=098415" xr:uid="{7A1E193A-BF1B-48D6-ACC9-94247287028D}"/>
    <hyperlink ref="S74" r:id="rId64" display="https://us3.assetplanner.com/service_request?ID=098594" xr:uid="{EEADDCD6-EA20-4596-AF2C-369655F36EA1}"/>
    <hyperlink ref="T74" r:id="rId65" display="https://us3.assetplanner.com/service_request?ID=098779" xr:uid="{5FF14E2E-F774-4DD6-87F2-602DF01B1AD7}"/>
    <hyperlink ref="U74" r:id="rId66" display="https://us3.assetplanner.com/service_request?ID=098902" xr:uid="{8CDED041-EE62-4DB7-BB47-4EA0838E39B7}"/>
    <hyperlink ref="L75" r:id="rId67" display="https://us3.assetplanner.com/service_request?ID=097883" xr:uid="{1EE49EF7-0CE5-4C46-A64E-07973216538C}"/>
    <hyperlink ref="M75" r:id="rId68" display="https://us3.assetplanner.com/service_request?ID=098644" xr:uid="{16C3CB37-DC37-47EE-B5AE-1AAC861F6BC5}"/>
    <hyperlink ref="N75" r:id="rId69" display="https://us3.assetplanner.com/service_request?ID=098891" xr:uid="{84868EA8-CBB9-452F-8884-9A7A4F7AD301}"/>
    <hyperlink ref="O75" r:id="rId70" display="https://us3.assetplanner.com/service_request?ID=099054" xr:uid="{B3F1C2B1-EFB4-4019-A86C-9635CC50BF0D}"/>
    <hyperlink ref="P75" r:id="rId71" display="https://us3.assetplanner.com/service_request?ID=099129" xr:uid="{06401C3F-5AAA-476E-8FE6-6E1CBB0A2201}"/>
    <hyperlink ref="L76" r:id="rId72" display="https://us3.assetplanner.com/service_request?ID=098570" xr:uid="{B7DD82FE-7F50-44B9-B3D1-5E388AD10E1A}"/>
    <hyperlink ref="L79" r:id="rId73" display="https://us3.assetplanner.com/service_request?ID=097526" xr:uid="{73584330-C925-4ED1-8E31-35ABEEB5495F}"/>
    <hyperlink ref="M79" r:id="rId74" display="https://us3.assetplanner.com/service_request?ID=098462" xr:uid="{EF0C271A-EF51-4A8C-83E4-2DADB7E5D5E4}"/>
    <hyperlink ref="L82" r:id="rId75" display="https://us3.assetplanner.com/service_request?ID=098994" xr:uid="{27D17D85-D17A-4E6B-A846-29CFCE6AD387}"/>
    <hyperlink ref="M82" r:id="rId76" display="https://us3.assetplanner.com/service_request?ID=098630" xr:uid="{3066306A-14C7-4763-BB26-2F643BBC1D04}"/>
    <hyperlink ref="L83" r:id="rId77" display="https://us3.assetplanner.com/service_request?ID=098222" xr:uid="{E5B5F784-BB0C-4E89-AD1F-7148BB6E5B3F}"/>
    <hyperlink ref="M83" r:id="rId78" display="https://us3.assetplanner.com/service_request?ID=098632" xr:uid="{30865713-C3BA-4A1B-A180-BD84AE6CA995}"/>
    <hyperlink ref="N83" r:id="rId79" display="https://us3.assetplanner.com/service_request?ID=098995" xr:uid="{7C18664B-752F-4F37-A0EE-34FC9BA5A65A}"/>
    <hyperlink ref="L84" r:id="rId80" display="https://us3.assetplanner.com/service_request?ID=098731" xr:uid="{AD2AD401-8FF4-4135-90D9-C5DA245E792E}"/>
    <hyperlink ref="L85" r:id="rId81" display="https://us3.assetplanner.com/service_request?ID=095109" xr:uid="{8C6EDA8A-BB63-4781-A64B-4A0F54FC3821}"/>
    <hyperlink ref="M85" r:id="rId82" display="https://us3.assetplanner.com/service_request?ID=098366" xr:uid="{B432A7CC-829C-454D-B621-734A6129FBE7}"/>
    <hyperlink ref="L86" r:id="rId83" display="https://us3.assetplanner.com/service_request?ID=098629" xr:uid="{C8891FE3-2027-4CCB-93A3-00F66E267839}"/>
    <hyperlink ref="M86" r:id="rId84" display="https://us3.assetplanner.com/service_request?ID=098996" xr:uid="{59D4357A-8E06-4CBA-8F72-29FED808D232}"/>
    <hyperlink ref="L87" r:id="rId85" display="https://us3.assetplanner.com/service_request?ID=098631" xr:uid="{4517D46D-6E53-4DED-A56C-DC0558BCA5CC}"/>
    <hyperlink ref="M87" r:id="rId86" display="https://us3.assetplanner.com/service_request?ID=098997" xr:uid="{B2F6743A-63F3-4C80-9131-7262CBD74B6B}"/>
    <hyperlink ref="L88" r:id="rId87" display="https://us3.assetplanner.com/service_request?ID=097854" xr:uid="{0BB54DD5-53DF-42C5-A50B-3F913768B25A}"/>
    <hyperlink ref="M88" r:id="rId88" display="https://us3.assetplanner.com/service_request?ID=098349" xr:uid="{AFDC4694-AAE8-451F-8DFA-5D9652BE05E4}"/>
    <hyperlink ref="N88" r:id="rId89" display="https://us3.assetplanner.com/service_request?ID=098635" xr:uid="{344B2587-1F06-412F-A71B-4C5F5DA6599F}"/>
    <hyperlink ref="L89" r:id="rId90" display="https://us3.assetplanner.com/service_request?ID=098636" xr:uid="{FF82276C-2D73-474D-872C-E0A809BA4B55}"/>
    <hyperlink ref="L90" r:id="rId91" display="https://us3.assetplanner.com/service_request?ID=097829" xr:uid="{43FDB32E-1B35-4479-BFD2-21B8B452A6DD}"/>
    <hyperlink ref="M90" r:id="rId92" display="https://us3.assetplanner.com/service_request?ID=098637" xr:uid="{488B996B-24A1-44DC-950C-7202613B6685}"/>
    <hyperlink ref="L91" r:id="rId93" display="https://us3.assetplanner.com/service_request?ID=098643" xr:uid="{00D2159D-EDB2-4BDB-B9B4-C1DA02BACA01}"/>
    <hyperlink ref="M91" r:id="rId94" display="https://us3.assetplanner.com/service_request?ID=098841" xr:uid="{C928AC06-AE97-42C2-82EE-4B14975C2963}"/>
    <hyperlink ref="L94" r:id="rId95" display="https://us3.assetplanner.com/service_request?ID=098930" xr:uid="{A6A3C136-371C-44C8-9988-8A4DAF7655E6}"/>
    <hyperlink ref="L95" r:id="rId96" display="https://us3.assetplanner.com/service_request?ID=095073" xr:uid="{0ACF914F-4FC0-4545-A525-1E04DB587667}"/>
    <hyperlink ref="L96" r:id="rId97" display="https://us3.assetplanner.com/service_request?ID=097436" xr:uid="{D9256485-B2C0-4D53-886B-AC75B23D4539}"/>
    <hyperlink ref="M96" r:id="rId98" display="https://us3.assetplanner.com/service_request?ID=097751" xr:uid="{3A7532B2-C035-4C57-BEB5-1691F58E6BA8}"/>
    <hyperlink ref="L97" r:id="rId99" display="https://us3.assetplanner.com/service_request?ID=095821" xr:uid="{B1F3C9E2-C8E3-4F43-827B-64012DD51B16}"/>
    <hyperlink ref="M97" r:id="rId100" display="https://us3.assetplanner.com/service_request?ID=098459" xr:uid="{6E4D0CB5-B0F2-436F-BF5D-4AD72C684319}"/>
    <hyperlink ref="L99" r:id="rId101" display="https://us3.assetplanner.com/service_request?ID=098259" xr:uid="{D83737CE-7889-4EAA-A6F5-02E395F02D6C}"/>
    <hyperlink ref="M99" r:id="rId102" display="https://us3.assetplanner.com/service_request?ID=098259" xr:uid="{B8BA15CE-02E3-4029-9F3A-784F94F8335A}"/>
    <hyperlink ref="L100" r:id="rId103" display="https://us3.assetplanner.com/service_request?ID=098612" xr:uid="{4B85B5E3-F9EF-4471-93B7-EAA23AA2E5A3}"/>
    <hyperlink ref="L101" r:id="rId104" display="https://us3.assetplanner.com/service_request?ID=097565" xr:uid="{C01A6ED0-0579-4514-BCCC-347AF2F94EC2}"/>
    <hyperlink ref="M101" r:id="rId105" display="https://us3.assetplanner.com/service_request?ID=098893" xr:uid="{0E3A04D0-4873-479A-8FC8-4D6A67B48605}"/>
    <hyperlink ref="N101" r:id="rId106" display="https://us3.assetplanner.com/service_request?ID=098901" xr:uid="{1EFE5CA1-0F79-4EF3-B977-B24EE88F2859}"/>
    <hyperlink ref="O101" r:id="rId107" display="https://us3.assetplanner.com/service_request?ID=098959" xr:uid="{4DFD4AE9-7BF4-4C64-A5AB-707836D4DD31}"/>
    <hyperlink ref="L103" r:id="rId108" display="https://us3.assetplanner.com/service_request?ID=098196" xr:uid="{C2ACD49B-E3A0-4643-BA62-51C1112226D7}"/>
    <hyperlink ref="M103" r:id="rId109" display="https://us3.assetplanner.com/service_request?ID=098275" xr:uid="{F1F45BD8-6F4F-437E-8C23-061D1AFBF453}"/>
    <hyperlink ref="N103" r:id="rId110" display="https://us3.assetplanner.com/service_request?ID=098655" xr:uid="{3CE4B72F-8FA5-4DD0-B230-CB3D4281BF11}"/>
    <hyperlink ref="O103" r:id="rId111" display="https://us3.assetplanner.com/service_request?ID=098626" xr:uid="{48268E19-631C-4997-83E2-22284935DFB5}"/>
    <hyperlink ref="L106" r:id="rId112" display="https://us3.assetplanner.com/service_request?ID=095624" xr:uid="{ED2BA226-0CF1-4696-A519-E3C6CC7D8AF0}"/>
    <hyperlink ref="M106" r:id="rId113" display="https://us3.assetplanner.com/service_request?ID=097725" xr:uid="{42D0B739-1562-4151-9383-81C7A9EAEBCD}"/>
    <hyperlink ref="L108" r:id="rId114" display="https://us3.assetplanner.com/service_request?ID=096042" xr:uid="{730FF703-BA86-40FF-A06A-ACF476693B3B}"/>
    <hyperlink ref="M108" r:id="rId115" display="https://us3.assetplanner.com/service_request?ID=098021" xr:uid="{DAE402AA-1447-4E80-973B-0665A3028AC4}"/>
    <hyperlink ref="N108" r:id="rId116" display="https://us3.assetplanner.com/service_request?ID=098809" xr:uid="{443C537F-1E9A-4C8E-A8FB-94DA9E36FBAA}"/>
    <hyperlink ref="O108" r:id="rId117" display="https://us3.assetplanner.com/service_request?ID=096682" xr:uid="{3FF31722-FEB7-4E37-A84D-8A2D345F7CDF}"/>
    <hyperlink ref="L109" r:id="rId118" display="https://us3.assetplanner.com/service_request?ID=096006" xr:uid="{950E4A13-1CD7-460C-B88C-EF692D81D865}"/>
    <hyperlink ref="L111" r:id="rId119" display="https://us3.assetplanner.com/service_request?ID=098692" xr:uid="{470FF21D-7744-4C57-B5BB-DFA9DFBC86AB}"/>
    <hyperlink ref="L112" r:id="rId120" display="https://us3.assetplanner.com/service_request?ID=098627" xr:uid="{A50613A0-C4DA-4980-A176-6D33DFBDC633}"/>
    <hyperlink ref="M112" r:id="rId121" display="https://us3.assetplanner.com/service_request?ID=094820" xr:uid="{876D92FB-6340-4DD6-9878-5351F1C6131B}"/>
    <hyperlink ref="L113" r:id="rId122" display="https://us3.assetplanner.com/service_request?ID=098628" xr:uid="{FC790C81-5DCA-4790-9021-C1541CEBE468}"/>
    <hyperlink ref="M113" r:id="rId123" display="https://us3.assetplanner.com/service_request?ID=098888" xr:uid="{8B5C79A6-46D3-46A5-858C-56939DEF1BC0}"/>
    <hyperlink ref="N113" r:id="rId124" display="https://us3.assetplanner.com/service_request?ID=098955" xr:uid="{476BA732-D56D-47B8-9807-563871ABD53F}"/>
    <hyperlink ref="O113" r:id="rId125" display="https://us3.assetplanner.com/service_request?ID=099024" xr:uid="{E4F9E870-AD33-4500-8B2F-CF6E4C135C83}"/>
    <hyperlink ref="P113" r:id="rId126" display="https://us3.assetplanner.com/service_request?ID=095759" xr:uid="{EEFA41B0-2DBD-4B86-96AD-FD4774C8176D}"/>
    <hyperlink ref="L114" r:id="rId127" display="https://us3.assetplanner.com/service_request?ID=097454" xr:uid="{01E7EDF6-2E1C-4C71-8F0B-BDD55779E999}"/>
    <hyperlink ref="M114" r:id="rId128" display="https://us3.assetplanner.com/service_request?ID=099118" xr:uid="{8C4C3961-CC4E-4819-B088-3B75BE5D4F2C}"/>
    <hyperlink ref="L116" r:id="rId129" display="https://us3.assetplanner.com/service_request?ID=098624" xr:uid="{D702439D-7463-430F-8482-5251F8911F73}"/>
    <hyperlink ref="L119" r:id="rId130" display="https://us3.assetplanner.com/service_request?ID=098733" xr:uid="{B02A8F3B-01A5-4F1B-BBE1-AAC39A652549}"/>
    <hyperlink ref="L123" r:id="rId131" display="https://us3.assetplanner.com/service_request?ID=095945" xr:uid="{1662AA6B-E0C8-4251-A162-18DA17C9D49A}"/>
    <hyperlink ref="M123" r:id="rId132" display="https://us3.assetplanner.com/service_request?ID=097637" xr:uid="{84375940-06D0-4ACD-BCA4-BA5DF9C2CD20}"/>
    <hyperlink ref="N123" r:id="rId133" display="https://us3.assetplanner.com/service_request?ID=098724" xr:uid="{464D0B2D-E20E-4AB5-B444-55D37F74004F}"/>
    <hyperlink ref="L124" r:id="rId134" display="https://us3.assetplanner.com/service_request?ID=095946" xr:uid="{65D197FB-3776-480C-8FE4-F51A51FF568A}"/>
    <hyperlink ref="M124" r:id="rId135" display="https://us3.assetplanner.com/service_request?ID=098988" xr:uid="{3237C859-2A1D-48AB-80F2-7377226686D4}"/>
    <hyperlink ref="L125" r:id="rId136" display="https://us3.assetplanner.com/service_request?ID=095948" xr:uid="{F89F5BF3-A34B-447D-97A9-8DEE3DBC2231}"/>
    <hyperlink ref="L126" r:id="rId137" display="https://us3.assetplanner.com/service_request?ID=095950" xr:uid="{8337800E-45C8-4D5F-9A91-E68AACC8E68B}"/>
    <hyperlink ref="L127" r:id="rId138" display="https://us3.assetplanner.com/service_request?ID=095962" xr:uid="{2EC89688-939A-4DAE-95B5-5BBE88D1C010}"/>
    <hyperlink ref="L128" r:id="rId139" display="https://us3.assetplanner.com/service_request?ID=095954" xr:uid="{6A8A66EA-B896-442F-AB95-6BECF29CBEA1}"/>
    <hyperlink ref="L129" r:id="rId140" display="https://us3.assetplanner.com/service_request?ID=095951" xr:uid="{E8CB6E28-4DC0-49E2-AE70-90EAC56DE04B}"/>
    <hyperlink ref="L130" r:id="rId141" display="https://us3.assetplanner.com/service_request?ID=095960" xr:uid="{4A78AE7F-7673-4941-A28D-D27422444EC1}"/>
    <hyperlink ref="L133" r:id="rId142" display="https://us3.assetplanner.com/service_request?ID=098235" xr:uid="{59B47157-2B8D-485B-ACEE-179FD590123C}"/>
    <hyperlink ref="M133" r:id="rId143" display="https://us3.assetplanner.com/service_request?ID=098264" xr:uid="{9575FF9A-4EF4-4DE4-8CD8-3A14C10F59BF}"/>
    <hyperlink ref="N133" r:id="rId144" display="https://us3.assetplanner.com/service_request?ID=095956" xr:uid="{1AA2B02C-B1D3-4DAB-92FB-E3019DD2486D}"/>
    <hyperlink ref="L134" r:id="rId145" display="https://us3.assetplanner.com/service_request?ID=095955" xr:uid="{CA418CC8-7E78-4EAE-9EEA-DA39DB5BBA1C}"/>
    <hyperlink ref="L136" r:id="rId146" display="https://us3.assetplanner.com/service_request?ID=095937" xr:uid="{FCEEA69A-F48F-4215-A4B4-EB4022DB29EB}"/>
    <hyperlink ref="L137" r:id="rId147" display="https://us3.assetplanner.com/service_request?ID=095938" xr:uid="{95980348-B5E0-46FF-810A-05EE29FADAA2}"/>
    <hyperlink ref="L138" r:id="rId148" display="https://us3.assetplanner.com/service_request?ID=095939" xr:uid="{002AA20E-7511-476C-9127-3E0BADF574A4}"/>
    <hyperlink ref="L139" r:id="rId149" display="https://us3.assetplanner.com/service_request?ID=098903" xr:uid="{75E266E9-58C9-4D3B-ACAC-588B177DBC9B}"/>
    <hyperlink ref="L140" r:id="rId150" display="https://us3.assetplanner.com/service_request?ID=095941" xr:uid="{984A33B5-DF5B-4ED6-9F84-737A0DC7C003}"/>
    <hyperlink ref="M140" r:id="rId151" display="https://us3.assetplanner.com/service_request?ID=095940" xr:uid="{93083783-FE78-4614-942B-E6C44F514AC4}"/>
    <hyperlink ref="N140" r:id="rId152" display="https://us3.assetplanner.com/service_request?ID=095940" xr:uid="{287817FB-F698-4BBF-A90E-6E74303EB76B}"/>
    <hyperlink ref="O140" r:id="rId153" display="https://us3.assetplanner.com/service_request?ID=098413" xr:uid="{CFE8BE41-140C-48FF-BDDA-72EB98F85643}"/>
    <hyperlink ref="P140" r:id="rId154" display="https://us3.assetplanner.com/service_request?ID=098490" xr:uid="{F0985A10-C727-4990-8DFD-A86DF4EFBD84}"/>
    <hyperlink ref="Q140" r:id="rId155" display="https://us3.assetplanner.com/service_request?ID=099138" xr:uid="{39F6BF40-A1D6-4C02-8397-9741F8465DD5}"/>
    <hyperlink ref="L141" r:id="rId156" display="https://us3.assetplanner.com/service_request?ID=095942" xr:uid="{DD2CE797-8812-421F-AA7E-7811F4404FBF}"/>
    <hyperlink ref="L143" r:id="rId157" display="https://us3.assetplanner.com/service_request?ID=095961" xr:uid="{46CC9C58-C1D6-4F50-A31E-47AA0F765805}"/>
    <hyperlink ref="M143" r:id="rId158" display="https://us3.assetplanner.com/service_request?ID=097620" xr:uid="{7A78EAD3-4858-47AC-B89A-5FE39C601CB4}"/>
    <hyperlink ref="L144" r:id="rId159" display="https://us3.assetplanner.com/service_request?ID=098003" xr:uid="{9AADE240-A2D9-4C81-A831-181429BDF85D}"/>
    <hyperlink ref="M144" r:id="rId160" display="https://us3.assetplanner.com/service_request?ID=098172" xr:uid="{C4384D1A-719F-48A2-8877-953D8804188B}"/>
    <hyperlink ref="L145" r:id="rId161" display="https://us3.assetplanner.com/service_request?ID=098251" xr:uid="{575AC835-ED34-49FF-80A5-8CC3DBBB8391}"/>
    <hyperlink ref="M145" r:id="rId162" display="https://us3.assetplanner.com/service_request?ID=098665" xr:uid="{D5DBE949-AB12-4DB6-8FEE-6180DB784DAB}"/>
    <hyperlink ref="L146" r:id="rId163" display="https://us3.assetplanner.com/service_request?ID=098315" xr:uid="{D28B2FE3-A9AC-473A-A3A2-3CCFBB972499}"/>
    <hyperlink ref="M146" r:id="rId164" display="https://us3.assetplanner.com/service_request?ID=098593" xr:uid="{26F1E061-CBE3-4E33-898C-532E3F94424E}"/>
    <hyperlink ref="L147" r:id="rId165" display="https://us3.assetplanner.com/service_request?ID=096257" xr:uid="{E8A35227-473C-4750-8352-17151C1590D0}"/>
    <hyperlink ref="M147" r:id="rId166" display="https://us3.assetplanner.com/service_request?ID=099018" xr:uid="{18273D9C-FA2D-46FE-89E1-0698914F4365}"/>
    <hyperlink ref="L148" r:id="rId167" display="https://us3.assetplanner.com/service_request?ID=098319" xr:uid="{A6EA163D-27DD-4CCB-BA71-7F89EBF83D90}"/>
    <hyperlink ref="M148" r:id="rId168" display="https://us3.assetplanner.com/service_request?ID=098898" xr:uid="{973106DE-151E-464B-AF6C-E89D70DF2538}"/>
    <hyperlink ref="L149" r:id="rId169" display="https://us3.assetplanner.com/service_request?ID=097816" xr:uid="{1A4B8BC1-6323-478C-9E93-492589149863}"/>
    <hyperlink ref="L150" r:id="rId170" display="https://us3.assetplanner.com/service_request?ID=097951" xr:uid="{BA0D8308-3BC2-49C7-916E-287499E833DF}"/>
    <hyperlink ref="M150" r:id="rId171" display="https://us3.assetplanner.com/service_request?ID=098899" xr:uid="{AA0855EC-DEE9-4B50-B7F1-5BB3D80FBBAC}"/>
    <hyperlink ref="N150" r:id="rId172" display="https://us3.assetplanner.com/service_request?ID=097600" xr:uid="{9145F69C-07C9-45D1-9D47-3FF569F67CB9}"/>
    <hyperlink ref="L152" r:id="rId173" display="https://us3.assetplanner.com/service_request?ID=098029" xr:uid="{AF193B1D-AC50-48A7-BD67-6CA3A8D14E72}"/>
    <hyperlink ref="M152" r:id="rId174" display="https://us3.assetplanner.com/service_request?ID=098028" xr:uid="{31E3D875-0D07-4248-9C65-02055A923A6C}"/>
    <hyperlink ref="N152" r:id="rId175" display="https://us3.assetplanner.com/service_request?ID=098278" xr:uid="{93C84338-7401-4CF5-89FD-ED3E0A3E5C83}"/>
    <hyperlink ref="L153" r:id="rId176" display="https://us3.assetplanner.com/service_request?ID=098029" xr:uid="{EC1E6008-31B0-4E3A-A38B-01C538659058}"/>
    <hyperlink ref="L154" r:id="rId177" display="https://us3.assetplanner.com/service_request?ID=098066" xr:uid="{A82A7336-39F5-4CFF-B066-EDEA8B78762F}"/>
    <hyperlink ref="L155" r:id="rId178" display="https://us3.assetplanner.com/service_request?ID=098233" xr:uid="{9913E760-EC5E-4857-94B3-A2C1C98B803A}"/>
    <hyperlink ref="M155" r:id="rId179" display="https://us3.assetplanner.com/service_request?ID=098646" xr:uid="{005B33F4-793F-40ED-AE1A-7A9FA3EB6ED6}"/>
    <hyperlink ref="L156" r:id="rId180" display="https://us3.assetplanner.com/service_request?ID=098634" xr:uid="{26227257-3379-4EDA-8ED7-B38788BA97A8}"/>
    <hyperlink ref="M156" r:id="rId181" display="https://us3.assetplanner.com/service_request?ID=099014" xr:uid="{91424393-DD00-46C7-BDE3-37E34362202C}"/>
    <hyperlink ref="L157" r:id="rId182" display="https://us3.assetplanner.com/service_request?ID=098433" xr:uid="{E27E0639-3E18-40DF-9A77-A462B91CEECA}"/>
    <hyperlink ref="L158" r:id="rId183" display="https://us3.assetplanner.com/service_request?ID=098638" xr:uid="{2341B44C-71E7-4D23-B8E3-496741F27D5F}"/>
    <hyperlink ref="M63" r:id="rId184" display="https://us3.assetplanner.com/service_request?ID=099403" xr:uid="{C233A105-E677-4D9A-B80A-9368F6BC0DE5}"/>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172"/>
  <sheetViews>
    <sheetView zoomScale="70" zoomScaleNormal="70" workbookViewId="0">
      <pane xSplit="2" ySplit="3" topLeftCell="C155" activePane="bottomRight" state="frozen"/>
      <selection pane="bottomRight" activeCell="H170" sqref="H170"/>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2.85546875" customWidth="1"/>
  </cols>
  <sheetData>
    <row r="1" spans="1:20" ht="19.5" customHeight="1">
      <c r="A1" s="187" t="str" cm="1">
        <f t="array" ref="A1">portfolio</f>
        <v>Generate Capital</v>
      </c>
      <c r="B1" s="187"/>
      <c r="C1" s="187"/>
      <c r="D1" s="187"/>
      <c r="E1" s="188" t="s">
        <v>643</v>
      </c>
      <c r="F1" s="188"/>
      <c r="G1" s="188"/>
      <c r="H1" s="186" t="s">
        <v>644</v>
      </c>
      <c r="I1" s="186"/>
      <c r="J1" s="186"/>
      <c r="K1" s="4"/>
      <c r="L1" s="4"/>
    </row>
    <row r="2" spans="1:20" ht="19.5" customHeight="1">
      <c r="A2" s="189" t="s">
        <v>2</v>
      </c>
      <c r="B2" s="189"/>
      <c r="C2" s="57"/>
      <c r="D2" s="5">
        <f>SUM(D4:D118)</f>
        <v>30893478.154752173</v>
      </c>
      <c r="E2" s="5">
        <f>SUM(E4:E118)</f>
        <v>10291122.958999999</v>
      </c>
      <c r="F2" s="5">
        <f>D2-E2</f>
        <v>20602355.195752174</v>
      </c>
      <c r="G2" s="6">
        <f>IFERROR(F2/E2, 0)</f>
        <v>2.0019540411510279</v>
      </c>
      <c r="H2" s="5">
        <f>SUM(H4:H118)</f>
        <v>37349149.895000011</v>
      </c>
      <c r="I2" s="7">
        <f>D2-H2</f>
        <v>-6455671.7402478382</v>
      </c>
      <c r="J2" s="6">
        <f>IFERROR(I2/H2, 0)</f>
        <v>-0.1728465509495323</v>
      </c>
      <c r="K2" s="22"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0" ht="14.25" customHeight="1">
      <c r="A3" s="8" t="s">
        <v>3</v>
      </c>
      <c r="B3" s="8" t="s">
        <v>4</v>
      </c>
      <c r="C3" s="8" t="s">
        <v>5</v>
      </c>
      <c r="D3" s="19" t="s">
        <v>6</v>
      </c>
      <c r="E3" s="31" t="s">
        <v>7</v>
      </c>
      <c r="F3" s="31" t="s">
        <v>8</v>
      </c>
      <c r="G3" s="32" t="s">
        <v>9</v>
      </c>
      <c r="H3" s="33" t="s">
        <v>10</v>
      </c>
      <c r="I3" s="34" t="s">
        <v>8</v>
      </c>
      <c r="J3" s="35" t="s">
        <v>9</v>
      </c>
      <c r="K3" s="21" t="s">
        <v>21</v>
      </c>
      <c r="L3" s="21" t="s">
        <v>22</v>
      </c>
    </row>
    <row r="4" spans="1:20" ht="15.6">
      <c r="A4" s="26" t="str" cm="1">
        <f t="array" ref="A4:A172">Sites[Site]</f>
        <v>K026</v>
      </c>
      <c r="B4" s="27" t="str" cm="1">
        <f t="array" ref="B4:B172">Sites[State]</f>
        <v>NY</v>
      </c>
      <c r="C4" s="27" t="str">
        <f>Sites[[#This Row],[SOL'#]]</f>
        <v>SOL-10356</v>
      </c>
      <c r="D4" s="9">
        <v>26899.1250000002</v>
      </c>
      <c r="E4" s="14">
        <v>34350.14</v>
      </c>
      <c r="F4" s="14">
        <f t="shared" ref="F4:F51" si="0">IF(AND(ISNUMBER(D4),ISNUMBER(E4)), D4-E4, "")</f>
        <v>-7451.0149999997993</v>
      </c>
      <c r="G4" s="15">
        <f t="shared" ref="G4:G52" si="1">IFERROR(F4/E4, "")</f>
        <v>-0.21691367196756112</v>
      </c>
      <c r="H4" s="16">
        <v>33051.22</v>
      </c>
      <c r="I4" s="16">
        <f t="shared" ref="I4:I51" si="2">IF(AND(ISNUMBER(D4),ISNUMBER(H4)), D4-H4, "")</f>
        <v>-6152.0949999998011</v>
      </c>
      <c r="J4" s="15">
        <f t="shared" ref="J4:J51" si="3">IFERROR(I4/H4, "")</f>
        <v>-0.18613821214465914</v>
      </c>
      <c r="K4" s="38" t="s">
        <v>645</v>
      </c>
      <c r="L4" s="39"/>
      <c r="M4" s="104"/>
      <c r="N4" s="104"/>
      <c r="O4" s="104"/>
      <c r="P4" s="104"/>
      <c r="Q4" s="104"/>
      <c r="R4" s="104"/>
      <c r="S4" s="104"/>
      <c r="T4" s="104"/>
    </row>
    <row r="5" spans="1:20" ht="15.6">
      <c r="A5" s="24" t="str">
        <v>K041</v>
      </c>
      <c r="B5" s="25" t="str">
        <v>NY</v>
      </c>
      <c r="C5" s="25" t="str">
        <f>Sites[[#This Row],[SOL'#]]</f>
        <v>SOL-10357</v>
      </c>
      <c r="D5" s="20">
        <v>24174.125</v>
      </c>
      <c r="E5" s="10">
        <v>27175.15</v>
      </c>
      <c r="F5" s="10">
        <f t="shared" si="0"/>
        <v>-3001.0250000000015</v>
      </c>
      <c r="G5" s="11">
        <f t="shared" si="1"/>
        <v>-0.11043269310380996</v>
      </c>
      <c r="H5" s="12">
        <v>26573</v>
      </c>
      <c r="I5" s="12">
        <f t="shared" si="2"/>
        <v>-2398.875</v>
      </c>
      <c r="J5" s="64">
        <f t="shared" si="3"/>
        <v>-9.027490309712867E-2</v>
      </c>
      <c r="K5" s="58" t="s">
        <v>645</v>
      </c>
      <c r="L5" s="58"/>
      <c r="M5" s="104"/>
      <c r="N5" s="104"/>
      <c r="O5" s="104"/>
      <c r="P5" s="104"/>
      <c r="Q5" s="104"/>
      <c r="R5" s="104"/>
      <c r="S5" s="104"/>
      <c r="T5" s="104"/>
    </row>
    <row r="6" spans="1:20" ht="15.6">
      <c r="A6" s="26" t="str">
        <v>K043</v>
      </c>
      <c r="B6" s="27" t="str">
        <v>NY</v>
      </c>
      <c r="C6" s="27" t="str">
        <f>Sites[[#This Row],[SOL'#]]</f>
        <v>SOL-10358</v>
      </c>
      <c r="D6" s="9">
        <v>30214.1875</v>
      </c>
      <c r="E6" s="14">
        <v>30097.14</v>
      </c>
      <c r="F6" s="14">
        <f t="shared" si="0"/>
        <v>117.04750000000058</v>
      </c>
      <c r="G6" s="15">
        <f t="shared" si="1"/>
        <v>3.8889907811838795E-3</v>
      </c>
      <c r="H6" s="16">
        <v>5845</v>
      </c>
      <c r="I6" s="16">
        <f t="shared" si="2"/>
        <v>24369.1875</v>
      </c>
      <c r="J6" s="15">
        <f t="shared" si="3"/>
        <v>4.1692365269461078</v>
      </c>
      <c r="K6" s="50" t="s">
        <v>23</v>
      </c>
      <c r="L6" s="39"/>
      <c r="M6" s="104"/>
      <c r="N6" s="104"/>
      <c r="O6" s="104"/>
      <c r="P6" s="104"/>
      <c r="Q6" s="104"/>
      <c r="R6" s="104"/>
      <c r="S6" s="104"/>
      <c r="T6" s="104"/>
    </row>
    <row r="7" spans="1:20" ht="28.9">
      <c r="A7" s="24" t="str">
        <v>K058</v>
      </c>
      <c r="B7" s="25" t="str">
        <v>NY</v>
      </c>
      <c r="C7" s="25" t="str">
        <f>Sites[[#This Row],[SOL'#]]</f>
        <v>SOL-10360</v>
      </c>
      <c r="D7" s="20">
        <v>0</v>
      </c>
      <c r="E7" s="10">
        <v>0</v>
      </c>
      <c r="F7" s="10">
        <f t="shared" si="0"/>
        <v>0</v>
      </c>
      <c r="G7" s="11" t="str">
        <f t="shared" si="1"/>
        <v/>
      </c>
      <c r="H7" s="12">
        <v>0</v>
      </c>
      <c r="I7" s="12">
        <f t="shared" si="2"/>
        <v>0</v>
      </c>
      <c r="J7" s="64" t="str">
        <f t="shared" si="3"/>
        <v/>
      </c>
      <c r="K7" s="37" t="s">
        <v>646</v>
      </c>
      <c r="L7" s="110" t="s">
        <v>221</v>
      </c>
      <c r="M7" s="104"/>
      <c r="N7" s="104"/>
      <c r="O7" s="104"/>
      <c r="P7" s="104"/>
      <c r="Q7" s="104"/>
      <c r="R7" s="104"/>
      <c r="S7" s="104"/>
      <c r="T7" s="104"/>
    </row>
    <row r="8" spans="1:20" ht="15.6">
      <c r="A8" s="26" t="str">
        <v>K115</v>
      </c>
      <c r="B8" s="27" t="str">
        <v>NY</v>
      </c>
      <c r="C8" s="27" t="str">
        <f>Sites[[#This Row],[SOL'#]]</f>
        <v>SOL-10361</v>
      </c>
      <c r="D8" s="9">
        <v>6317.3125</v>
      </c>
      <c r="E8" s="14">
        <v>10208.200000000001</v>
      </c>
      <c r="F8" s="14">
        <f t="shared" si="0"/>
        <v>-3890.8875000000007</v>
      </c>
      <c r="G8" s="15">
        <f t="shared" si="1"/>
        <v>-0.38115314159205349</v>
      </c>
      <c r="H8" s="16">
        <v>15164.8</v>
      </c>
      <c r="I8" s="16">
        <f t="shared" si="2"/>
        <v>-8847.4874999999993</v>
      </c>
      <c r="J8" s="15">
        <f t="shared" si="3"/>
        <v>-0.58342263003798267</v>
      </c>
      <c r="K8" s="61" t="s">
        <v>647</v>
      </c>
      <c r="L8" s="129" t="s">
        <v>25</v>
      </c>
      <c r="M8" s="104"/>
      <c r="N8" s="104"/>
      <c r="O8" s="104"/>
      <c r="P8" s="104"/>
      <c r="Q8" s="104"/>
      <c r="R8" s="104"/>
      <c r="S8" s="104"/>
      <c r="T8" s="104"/>
    </row>
    <row r="9" spans="1:20" ht="15.6">
      <c r="A9" s="24" t="str">
        <v>K152</v>
      </c>
      <c r="B9" s="25" t="str">
        <v>NY</v>
      </c>
      <c r="C9" s="25" t="str">
        <f>Sites[[#This Row],[SOL'#]]</f>
        <v>SOL-10362</v>
      </c>
      <c r="D9" s="20">
        <v>8946.03125</v>
      </c>
      <c r="E9" s="10">
        <v>9193.9009999999998</v>
      </c>
      <c r="F9" s="10">
        <f t="shared" si="0"/>
        <v>-247.86974999999984</v>
      </c>
      <c r="G9" s="11">
        <f t="shared" si="1"/>
        <v>-2.69602370092956E-2</v>
      </c>
      <c r="H9" s="12">
        <v>9488</v>
      </c>
      <c r="I9" s="12">
        <f t="shared" si="2"/>
        <v>-541.96875</v>
      </c>
      <c r="J9" s="64">
        <f t="shared" si="3"/>
        <v>-5.7121495573355816E-2</v>
      </c>
      <c r="K9" s="37"/>
      <c r="L9" s="37"/>
      <c r="M9" s="104"/>
      <c r="N9" s="104"/>
      <c r="O9" s="104"/>
      <c r="P9" s="104"/>
      <c r="Q9" s="104"/>
      <c r="R9" s="104"/>
      <c r="S9" s="104"/>
      <c r="T9" s="104"/>
    </row>
    <row r="10" spans="1:20" ht="15.6">
      <c r="A10" s="26" t="str">
        <v>K166</v>
      </c>
      <c r="B10" s="27" t="str">
        <v>NY</v>
      </c>
      <c r="C10" s="27" t="str">
        <f>Sites[[#This Row],[SOL'#]]</f>
        <v>SOL-10363</v>
      </c>
      <c r="D10" s="9">
        <v>32963.625</v>
      </c>
      <c r="E10" s="14">
        <v>35000.76</v>
      </c>
      <c r="F10" s="14">
        <f t="shared" si="0"/>
        <v>-2037.135000000002</v>
      </c>
      <c r="G10" s="15">
        <f t="shared" si="1"/>
        <v>-5.8202593315116638E-2</v>
      </c>
      <c r="H10" s="16">
        <v>34655.660000000003</v>
      </c>
      <c r="I10" s="16">
        <f t="shared" si="2"/>
        <v>-1692.0350000000035</v>
      </c>
      <c r="J10" s="15">
        <f t="shared" si="3"/>
        <v>-4.8824203607722473E-2</v>
      </c>
      <c r="K10" s="38"/>
      <c r="L10" s="39"/>
      <c r="M10" s="104"/>
      <c r="N10" s="104"/>
      <c r="O10" s="104"/>
      <c r="P10" s="104"/>
      <c r="Q10" s="104"/>
      <c r="R10" s="104"/>
      <c r="S10" s="104"/>
      <c r="T10" s="104"/>
    </row>
    <row r="11" spans="1:20" ht="15.6">
      <c r="A11" s="24" t="str">
        <v>K206</v>
      </c>
      <c r="B11" s="25" t="str">
        <v>NY</v>
      </c>
      <c r="C11" s="25" t="str">
        <f>Sites[[#This Row],[SOL'#]]</f>
        <v>SOL-10927</v>
      </c>
      <c r="D11" s="20">
        <v>19081.796875</v>
      </c>
      <c r="E11" s="10">
        <v>18878.37</v>
      </c>
      <c r="F11" s="10">
        <f t="shared" si="0"/>
        <v>203.42687500000102</v>
      </c>
      <c r="G11" s="11">
        <f t="shared" si="1"/>
        <v>1.0775658862497187E-2</v>
      </c>
      <c r="H11" s="12">
        <v>19705</v>
      </c>
      <c r="I11" s="12">
        <f t="shared" si="2"/>
        <v>-623.203125</v>
      </c>
      <c r="J11" s="64">
        <f t="shared" si="3"/>
        <v>-3.1626649327581829E-2</v>
      </c>
      <c r="K11" s="37"/>
      <c r="L11" s="37"/>
      <c r="M11" s="104"/>
      <c r="N11" s="104"/>
      <c r="O11" s="104"/>
      <c r="P11" s="104"/>
      <c r="Q11" s="104"/>
      <c r="R11" s="104"/>
      <c r="S11" s="104"/>
      <c r="T11" s="104"/>
    </row>
    <row r="12" spans="1:20" ht="28.9">
      <c r="A12" s="26" t="str">
        <v>K251</v>
      </c>
      <c r="B12" s="27" t="str">
        <v>NY</v>
      </c>
      <c r="C12" s="27" t="str">
        <f>Sites[[#This Row],[SOL'#]]</f>
        <v>SOL-10365</v>
      </c>
      <c r="D12" s="9">
        <v>20736.1875</v>
      </c>
      <c r="E12" s="14">
        <v>0</v>
      </c>
      <c r="F12" s="14">
        <f t="shared" si="0"/>
        <v>20736.1875</v>
      </c>
      <c r="G12" s="15" t="str">
        <f t="shared" si="1"/>
        <v/>
      </c>
      <c r="H12" s="16">
        <v>21903.15</v>
      </c>
      <c r="I12" s="16">
        <f t="shared" si="2"/>
        <v>-1166.9625000000015</v>
      </c>
      <c r="J12" s="15">
        <f t="shared" si="3"/>
        <v>-5.3278295587621025E-2</v>
      </c>
      <c r="K12" s="59" t="s">
        <v>648</v>
      </c>
      <c r="L12" s="129" t="s">
        <v>223</v>
      </c>
      <c r="M12" s="104"/>
      <c r="N12" s="104"/>
      <c r="O12" s="104"/>
      <c r="P12" s="104"/>
      <c r="Q12" s="104"/>
      <c r="R12" s="104"/>
      <c r="S12" s="104"/>
      <c r="T12" s="104"/>
    </row>
    <row r="13" spans="1:20" ht="15.6">
      <c r="A13" s="24" t="str">
        <v>K269</v>
      </c>
      <c r="B13" s="25" t="str">
        <v>NY</v>
      </c>
      <c r="C13" s="25" t="str">
        <f>Sites[[#This Row],[SOL'#]]</f>
        <v>SOL-10366</v>
      </c>
      <c r="D13" s="20">
        <v>19317.125</v>
      </c>
      <c r="E13" s="10">
        <v>22321.96</v>
      </c>
      <c r="F13" s="10">
        <f t="shared" si="0"/>
        <v>-3004.8349999999991</v>
      </c>
      <c r="G13" s="11">
        <f t="shared" si="1"/>
        <v>-0.13461340312409839</v>
      </c>
      <c r="H13" s="12">
        <v>20834.2</v>
      </c>
      <c r="I13" s="12">
        <f t="shared" si="2"/>
        <v>-1517.0750000000007</v>
      </c>
      <c r="J13" s="64">
        <f t="shared" si="3"/>
        <v>-7.2816570830653474E-2</v>
      </c>
      <c r="K13" s="37" t="s">
        <v>645</v>
      </c>
      <c r="L13" s="37"/>
      <c r="M13" s="104"/>
      <c r="N13" s="104"/>
      <c r="O13" s="104"/>
      <c r="P13" s="104"/>
      <c r="Q13" s="104"/>
      <c r="R13" s="104"/>
      <c r="S13" s="104"/>
      <c r="T13" s="104"/>
    </row>
    <row r="14" spans="1:20" ht="72">
      <c r="A14" s="26" t="str">
        <v>K273</v>
      </c>
      <c r="B14" s="27" t="str">
        <v>NY</v>
      </c>
      <c r="C14" s="27" t="str">
        <f>Sites[[#This Row],[SOL'#]]</f>
        <v>SOL-10367</v>
      </c>
      <c r="D14" s="9">
        <v>20828.125</v>
      </c>
      <c r="E14" s="14">
        <v>0</v>
      </c>
      <c r="F14" s="14">
        <f t="shared" si="0"/>
        <v>20828.125</v>
      </c>
      <c r="G14" s="15" t="str">
        <f t="shared" si="1"/>
        <v/>
      </c>
      <c r="H14" s="16">
        <v>26398</v>
      </c>
      <c r="I14" s="16">
        <f t="shared" si="2"/>
        <v>-5569.875</v>
      </c>
      <c r="J14" s="15">
        <f t="shared" si="3"/>
        <v>-0.21099609818925677</v>
      </c>
      <c r="K14" s="59" t="s">
        <v>649</v>
      </c>
      <c r="L14" s="129" t="s">
        <v>392</v>
      </c>
      <c r="M14" s="103" t="s">
        <v>31</v>
      </c>
      <c r="N14" s="103" t="s">
        <v>393</v>
      </c>
      <c r="O14" s="104"/>
      <c r="P14" s="104"/>
      <c r="Q14" s="104"/>
      <c r="R14" s="104"/>
      <c r="S14" s="104"/>
      <c r="T14" s="104"/>
    </row>
    <row r="15" spans="1:20" ht="15.6">
      <c r="A15" s="24" t="str">
        <v>K287</v>
      </c>
      <c r="B15" s="25" t="str">
        <v>NY</v>
      </c>
      <c r="C15" s="25" t="str">
        <f>Sites[[#This Row],[SOL'#]]</f>
        <v>SOL-10919</v>
      </c>
      <c r="D15" s="20">
        <v>16925.28125</v>
      </c>
      <c r="E15" s="10">
        <v>14857.87</v>
      </c>
      <c r="F15" s="10">
        <f t="shared" si="0"/>
        <v>2067.4112499999992</v>
      </c>
      <c r="G15" s="11">
        <f t="shared" si="1"/>
        <v>0.13914587016846958</v>
      </c>
      <c r="H15" s="12">
        <v>18269</v>
      </c>
      <c r="I15" s="12">
        <f t="shared" si="2"/>
        <v>-1343.71875</v>
      </c>
      <c r="J15" s="64">
        <f t="shared" si="3"/>
        <v>-7.3551850128633203E-2</v>
      </c>
      <c r="K15" s="37"/>
      <c r="L15" s="37"/>
      <c r="M15" s="104"/>
      <c r="N15" s="104"/>
      <c r="O15" s="104"/>
      <c r="P15" s="104"/>
      <c r="Q15" s="104"/>
      <c r="R15" s="104"/>
      <c r="S15" s="104"/>
      <c r="T15" s="104"/>
    </row>
    <row r="16" spans="1:20" ht="28.5" customHeight="1">
      <c r="A16" s="26" t="str">
        <v>K298</v>
      </c>
      <c r="B16" s="27" t="str">
        <v>NY</v>
      </c>
      <c r="C16" s="27" t="str">
        <f>Sites[[#This Row],[SOL'#]]</f>
        <v>SOL-10368</v>
      </c>
      <c r="D16" s="9">
        <v>18291.09375</v>
      </c>
      <c r="E16" s="14">
        <v>19537.97</v>
      </c>
      <c r="F16" s="14">
        <f t="shared" si="0"/>
        <v>-1246.8762500000012</v>
      </c>
      <c r="G16" s="15">
        <f t="shared" si="1"/>
        <v>-6.381810648700971E-2</v>
      </c>
      <c r="H16" s="16">
        <v>20871</v>
      </c>
      <c r="I16" s="16">
        <f t="shared" si="2"/>
        <v>-2579.90625</v>
      </c>
      <c r="J16" s="15">
        <f t="shared" si="3"/>
        <v>-0.12361200948684778</v>
      </c>
      <c r="K16" s="50" t="s">
        <v>650</v>
      </c>
      <c r="L16" s="111" t="s">
        <v>651</v>
      </c>
      <c r="M16" s="104"/>
      <c r="N16" s="104"/>
      <c r="O16" s="104"/>
      <c r="P16" s="104"/>
      <c r="Q16" s="104"/>
      <c r="R16" s="104"/>
      <c r="S16" s="104"/>
      <c r="T16" s="104"/>
    </row>
    <row r="17" spans="1:20" ht="15.6">
      <c r="A17" s="24" t="str">
        <v>K335</v>
      </c>
      <c r="B17" s="25" t="str">
        <v>NY</v>
      </c>
      <c r="C17" s="25" t="str">
        <f>Sites[[#This Row],[SOL'#]]</f>
        <v>SOL-10370</v>
      </c>
      <c r="D17" s="20">
        <v>19606.1875</v>
      </c>
      <c r="E17" s="10">
        <v>21354.86</v>
      </c>
      <c r="F17" s="10">
        <f t="shared" si="0"/>
        <v>-1748.6725000000006</v>
      </c>
      <c r="G17" s="11">
        <f t="shared" si="1"/>
        <v>-8.188639494709872E-2</v>
      </c>
      <c r="H17" s="12">
        <v>21969</v>
      </c>
      <c r="I17" s="12">
        <f t="shared" si="2"/>
        <v>-2362.8125</v>
      </c>
      <c r="J17" s="64">
        <f t="shared" si="3"/>
        <v>-0.10755211889480631</v>
      </c>
      <c r="K17" s="58" t="s">
        <v>645</v>
      </c>
      <c r="L17" s="58"/>
      <c r="M17" s="104"/>
      <c r="N17" s="104"/>
      <c r="O17" s="104"/>
      <c r="P17" s="104"/>
      <c r="Q17" s="104"/>
      <c r="R17" s="104"/>
      <c r="S17" s="104"/>
      <c r="T17" s="104"/>
    </row>
    <row r="18" spans="1:20" ht="15.6">
      <c r="A18" s="26" t="str">
        <v>K345</v>
      </c>
      <c r="B18" s="27" t="str">
        <v>NY</v>
      </c>
      <c r="C18" s="27" t="str">
        <f>Sites[[#This Row],[SOL'#]]</f>
        <v>SOL-10920</v>
      </c>
      <c r="D18" s="9">
        <v>22556.40625</v>
      </c>
      <c r="E18" s="14">
        <v>13563.33</v>
      </c>
      <c r="F18" s="14">
        <f t="shared" si="0"/>
        <v>8993.0762500000001</v>
      </c>
      <c r="G18" s="15">
        <f t="shared" si="1"/>
        <v>0.66304338610061098</v>
      </c>
      <c r="H18" s="16">
        <v>24273</v>
      </c>
      <c r="I18" s="16">
        <f t="shared" si="2"/>
        <v>-1716.59375</v>
      </c>
      <c r="J18" s="15">
        <f t="shared" si="3"/>
        <v>-7.0720296213900219E-2</v>
      </c>
      <c r="K18" s="59" t="s">
        <v>652</v>
      </c>
      <c r="L18" s="60"/>
      <c r="M18" s="104"/>
      <c r="N18" s="104"/>
      <c r="O18" s="104"/>
      <c r="P18" s="104"/>
      <c r="Q18" s="104"/>
      <c r="R18" s="104"/>
      <c r="S18" s="104"/>
      <c r="T18" s="104"/>
    </row>
    <row r="19" spans="1:20" ht="15.6">
      <c r="A19" s="24" t="str">
        <v>K445</v>
      </c>
      <c r="B19" s="25" t="str">
        <v>NY</v>
      </c>
      <c r="C19" s="25" t="str">
        <f>Sites[[#This Row],[SOL'#]]</f>
        <v>SOL-10373</v>
      </c>
      <c r="D19" s="20">
        <v>18283.4375</v>
      </c>
      <c r="E19" s="10">
        <v>19900.89</v>
      </c>
      <c r="F19" s="10">
        <f t="shared" si="0"/>
        <v>-1617.4524999999994</v>
      </c>
      <c r="G19" s="11">
        <f t="shared" si="1"/>
        <v>-8.1275385171215936E-2</v>
      </c>
      <c r="H19" s="12">
        <v>19373.38</v>
      </c>
      <c r="I19" s="12">
        <f t="shared" si="2"/>
        <v>-1089.942500000001</v>
      </c>
      <c r="J19" s="64">
        <f t="shared" si="3"/>
        <v>-5.6259800819475021E-2</v>
      </c>
      <c r="K19" s="37"/>
      <c r="L19" s="37"/>
      <c r="M19" s="104"/>
      <c r="N19" s="104"/>
      <c r="O19" s="104"/>
      <c r="P19" s="104"/>
      <c r="Q19" s="104"/>
      <c r="R19" s="104"/>
      <c r="S19" s="104"/>
      <c r="T19" s="104"/>
    </row>
    <row r="20" spans="1:20" ht="172.5" customHeight="1">
      <c r="A20" s="26" t="str">
        <v>K495</v>
      </c>
      <c r="B20" s="27" t="str">
        <v>NY</v>
      </c>
      <c r="C20" s="27" t="str">
        <f>Sites[[#This Row],[SOL'#]]</f>
        <v>SOL-10374</v>
      </c>
      <c r="D20" s="9">
        <v>38230.5</v>
      </c>
      <c r="E20" s="14">
        <v>77931</v>
      </c>
      <c r="F20" s="14">
        <f t="shared" si="0"/>
        <v>-39700.5</v>
      </c>
      <c r="G20" s="15">
        <f t="shared" si="1"/>
        <v>-0.50943142010239828</v>
      </c>
      <c r="H20" s="16">
        <v>89545.34</v>
      </c>
      <c r="I20" s="16">
        <f t="shared" si="2"/>
        <v>-51314.84</v>
      </c>
      <c r="J20" s="15">
        <f t="shared" si="3"/>
        <v>-0.57305985995474473</v>
      </c>
      <c r="K20" s="50" t="s">
        <v>653</v>
      </c>
      <c r="L20" s="111" t="s">
        <v>654</v>
      </c>
      <c r="M20" s="103" t="s">
        <v>655</v>
      </c>
      <c r="N20" s="103" t="s">
        <v>656</v>
      </c>
      <c r="O20" s="104"/>
      <c r="P20" s="104"/>
      <c r="Q20" s="104"/>
      <c r="R20" s="104"/>
      <c r="S20" s="104"/>
      <c r="T20" s="104"/>
    </row>
    <row r="21" spans="1:20" ht="43.15">
      <c r="A21" s="24" t="str">
        <v>M020</v>
      </c>
      <c r="B21" s="25" t="str">
        <v>NY</v>
      </c>
      <c r="C21" s="25" t="str">
        <f>Sites[[#This Row],[SOL'#]]</f>
        <v>SOL-10380</v>
      </c>
      <c r="D21" s="20">
        <v>18382.46875</v>
      </c>
      <c r="E21" s="10">
        <v>21440.02</v>
      </c>
      <c r="F21" s="10">
        <f t="shared" si="0"/>
        <v>-3057.5512500000004</v>
      </c>
      <c r="G21" s="11">
        <f t="shared" si="1"/>
        <v>-0.14260953347991281</v>
      </c>
      <c r="H21" s="12">
        <v>22928</v>
      </c>
      <c r="I21" s="12">
        <f t="shared" si="2"/>
        <v>-4545.53125</v>
      </c>
      <c r="J21" s="64">
        <f t="shared" si="3"/>
        <v>-0.19825240971737612</v>
      </c>
      <c r="K21" s="37" t="s">
        <v>657</v>
      </c>
      <c r="L21" s="110" t="s">
        <v>658</v>
      </c>
      <c r="M21" s="104"/>
      <c r="N21" s="104"/>
      <c r="O21" s="104"/>
      <c r="P21" s="104"/>
      <c r="Q21" s="104"/>
      <c r="R21" s="104"/>
      <c r="S21" s="104"/>
      <c r="T21" s="104"/>
    </row>
    <row r="22" spans="1:20" ht="15.6">
      <c r="A22" s="26" t="str">
        <v>M092</v>
      </c>
      <c r="B22" s="27" t="str">
        <v>NY</v>
      </c>
      <c r="C22" s="27" t="str">
        <f>Sites[[#This Row],[SOL'#]]</f>
        <v>SOL-10383</v>
      </c>
      <c r="D22" s="9">
        <v>20002.3125</v>
      </c>
      <c r="E22" s="14">
        <v>21125.88</v>
      </c>
      <c r="F22" s="14">
        <f t="shared" si="0"/>
        <v>-1123.567500000001</v>
      </c>
      <c r="G22" s="15">
        <f t="shared" si="1"/>
        <v>-5.31844117262808E-2</v>
      </c>
      <c r="H22" s="16">
        <v>22220.51</v>
      </c>
      <c r="I22" s="16">
        <f t="shared" si="2"/>
        <v>-2218.1974999999984</v>
      </c>
      <c r="J22" s="15">
        <f t="shared" si="3"/>
        <v>-9.9826579137922505E-2</v>
      </c>
      <c r="K22" s="38"/>
      <c r="L22" s="39"/>
      <c r="M22" s="104"/>
      <c r="N22" s="104"/>
      <c r="O22" s="104"/>
      <c r="P22" s="104"/>
      <c r="Q22" s="104"/>
      <c r="R22" s="104"/>
      <c r="S22" s="104"/>
      <c r="T22" s="104"/>
    </row>
    <row r="23" spans="1:20" ht="28.9">
      <c r="A23" s="24" t="str">
        <v>M143</v>
      </c>
      <c r="B23" s="25" t="str">
        <v>NY</v>
      </c>
      <c r="C23" s="25" t="str">
        <f>Sites[[#This Row],[SOL'#]]</f>
        <v>SOL-10384</v>
      </c>
      <c r="D23" s="20">
        <v>23438.6875</v>
      </c>
      <c r="E23" s="10">
        <v>26600.75</v>
      </c>
      <c r="F23" s="10">
        <f t="shared" si="0"/>
        <v>-3162.0625</v>
      </c>
      <c r="G23" s="11">
        <f t="shared" si="1"/>
        <v>-0.1188711784442168</v>
      </c>
      <c r="H23" s="12">
        <v>24656.400000000001</v>
      </c>
      <c r="I23" s="12">
        <f t="shared" si="2"/>
        <v>-1217.7125000000015</v>
      </c>
      <c r="J23" s="64">
        <f t="shared" si="3"/>
        <v>-4.9387278759267426E-2</v>
      </c>
      <c r="K23" s="37" t="s">
        <v>659</v>
      </c>
      <c r="L23" s="110" t="s">
        <v>660</v>
      </c>
      <c r="M23" s="104"/>
      <c r="N23" s="104"/>
      <c r="O23" s="104"/>
      <c r="P23" s="104"/>
      <c r="Q23" s="104"/>
      <c r="R23" s="104"/>
      <c r="S23" s="104"/>
      <c r="T23" s="104"/>
    </row>
    <row r="24" spans="1:20" ht="15.6">
      <c r="A24" s="26" t="str">
        <v>M144</v>
      </c>
      <c r="B24" s="27" t="str">
        <v>NY</v>
      </c>
      <c r="C24" s="27" t="str">
        <f>Sites[[#This Row],[SOL'#]]</f>
        <v>SOL-10385</v>
      </c>
      <c r="D24" s="9">
        <v>33364.5625</v>
      </c>
      <c r="E24" s="14" t="s">
        <v>661</v>
      </c>
      <c r="F24" s="14" t="str">
        <f t="shared" si="0"/>
        <v/>
      </c>
      <c r="G24" s="15" t="str">
        <f t="shared" si="1"/>
        <v/>
      </c>
      <c r="H24" s="16">
        <v>35364</v>
      </c>
      <c r="I24" s="16">
        <f t="shared" si="2"/>
        <v>-1999.4375</v>
      </c>
      <c r="J24" s="15">
        <f t="shared" si="3"/>
        <v>-5.6538782377559098E-2</v>
      </c>
      <c r="K24" s="38"/>
      <c r="L24" s="38"/>
      <c r="M24" s="104"/>
      <c r="N24" s="104"/>
      <c r="O24" s="104"/>
      <c r="P24" s="104"/>
      <c r="Q24" s="104"/>
      <c r="R24" s="104"/>
      <c r="S24" s="104"/>
      <c r="T24" s="104"/>
    </row>
    <row r="25" spans="1:20" ht="15.6">
      <c r="A25" s="24" t="str">
        <v>M167</v>
      </c>
      <c r="B25" s="25" t="str">
        <v>NY</v>
      </c>
      <c r="C25" s="25" t="str">
        <f>Sites[[#This Row],[SOL'#]]</f>
        <v>SOL-10386</v>
      </c>
      <c r="D25" s="20">
        <v>24800.40625</v>
      </c>
      <c r="E25" s="10">
        <v>18540.54</v>
      </c>
      <c r="F25" s="10">
        <f t="shared" si="0"/>
        <v>6259.8662499999991</v>
      </c>
      <c r="G25" s="11">
        <f t="shared" si="1"/>
        <v>0.33763127988720926</v>
      </c>
      <c r="H25" s="12">
        <v>29218.68</v>
      </c>
      <c r="I25" s="12">
        <f t="shared" si="2"/>
        <v>-4418.2737500000003</v>
      </c>
      <c r="J25" s="64">
        <f t="shared" si="3"/>
        <v>-0.15121400932554108</v>
      </c>
      <c r="K25" s="58" t="s">
        <v>662</v>
      </c>
      <c r="L25" s="58"/>
      <c r="M25" s="104"/>
      <c r="N25" s="104"/>
      <c r="O25" s="104"/>
      <c r="P25" s="104"/>
      <c r="Q25" s="104"/>
      <c r="R25" s="104"/>
      <c r="S25" s="104"/>
      <c r="T25" s="104"/>
    </row>
    <row r="26" spans="1:20" ht="155.25" customHeight="1">
      <c r="A26" s="26" t="str">
        <v>M188</v>
      </c>
      <c r="B26" s="27" t="str">
        <v>NY</v>
      </c>
      <c r="C26" s="27" t="str">
        <f>Sites[[#This Row],[SOL'#]]</f>
        <v>SOL-10387</v>
      </c>
      <c r="D26" s="9">
        <v>15083.375</v>
      </c>
      <c r="E26" s="14" t="s">
        <v>661</v>
      </c>
      <c r="F26" s="14" t="str">
        <f t="shared" si="0"/>
        <v/>
      </c>
      <c r="G26" s="15" t="str">
        <f t="shared" si="1"/>
        <v/>
      </c>
      <c r="H26" s="16">
        <v>18637</v>
      </c>
      <c r="I26" s="16">
        <f t="shared" si="2"/>
        <v>-3553.625</v>
      </c>
      <c r="J26" s="15">
        <f t="shared" si="3"/>
        <v>-0.19067580619198368</v>
      </c>
      <c r="K26" s="51" t="s">
        <v>663</v>
      </c>
      <c r="L26" s="111" t="s">
        <v>664</v>
      </c>
      <c r="M26" s="103" t="s">
        <v>665</v>
      </c>
      <c r="N26" s="103" t="s">
        <v>666</v>
      </c>
      <c r="O26" s="103" t="s">
        <v>667</v>
      </c>
      <c r="P26" s="104"/>
      <c r="Q26" s="104"/>
      <c r="R26" s="104"/>
      <c r="S26" s="104"/>
      <c r="T26" s="104"/>
    </row>
    <row r="27" spans="1:20" ht="15.75" customHeight="1">
      <c r="A27" s="24" t="str">
        <v>EMHC</v>
      </c>
      <c r="B27" s="25" t="str">
        <v>NY</v>
      </c>
      <c r="C27" s="25" t="str">
        <f>Sites[[#This Row],[SOL'#]]</f>
        <v>SOL-10351</v>
      </c>
      <c r="D27" s="20">
        <v>6770.2578125</v>
      </c>
      <c r="E27" s="10">
        <v>5752.7079999999996</v>
      </c>
      <c r="F27" s="10">
        <f t="shared" si="0"/>
        <v>1017.5498125000004</v>
      </c>
      <c r="G27" s="11">
        <f t="shared" si="1"/>
        <v>0.17688188110712388</v>
      </c>
      <c r="H27" s="12">
        <v>8755.6389999999992</v>
      </c>
      <c r="I27" s="12">
        <f t="shared" si="2"/>
        <v>-1985.3811874999992</v>
      </c>
      <c r="J27" s="64">
        <f t="shared" si="3"/>
        <v>-0.22675457353826481</v>
      </c>
      <c r="K27" s="37" t="s">
        <v>668</v>
      </c>
      <c r="L27" s="110" t="s">
        <v>669</v>
      </c>
      <c r="M27" s="104"/>
      <c r="N27" s="104"/>
      <c r="O27" s="104"/>
      <c r="P27" s="104"/>
      <c r="Q27" s="104"/>
      <c r="R27" s="104"/>
      <c r="S27" s="104"/>
      <c r="T27" s="104"/>
    </row>
    <row r="28" spans="1:20" ht="28.9">
      <c r="A28" s="26" t="str">
        <v>Q008</v>
      </c>
      <c r="B28" s="27" t="str">
        <v>NY</v>
      </c>
      <c r="C28" s="27" t="str">
        <f>Sites[[#This Row],[SOL'#]]</f>
        <v>SOL-10397</v>
      </c>
      <c r="D28" s="9">
        <v>0</v>
      </c>
      <c r="E28" s="14">
        <v>0</v>
      </c>
      <c r="F28" s="14">
        <f t="shared" si="0"/>
        <v>0</v>
      </c>
      <c r="G28" s="15" t="str">
        <f t="shared" si="1"/>
        <v/>
      </c>
      <c r="H28" s="16">
        <v>0</v>
      </c>
      <c r="I28" s="16">
        <f t="shared" si="2"/>
        <v>0</v>
      </c>
      <c r="J28" s="15" t="str">
        <f t="shared" si="3"/>
        <v/>
      </c>
      <c r="K28" s="38" t="s">
        <v>670</v>
      </c>
      <c r="L28" s="113" t="s">
        <v>671</v>
      </c>
      <c r="M28" s="104"/>
      <c r="N28" s="104"/>
      <c r="O28" s="104"/>
      <c r="P28" s="104"/>
      <c r="Q28" s="104"/>
      <c r="R28" s="104"/>
      <c r="S28" s="104"/>
      <c r="T28" s="104"/>
    </row>
    <row r="29" spans="1:20" ht="15.6">
      <c r="A29" s="24" t="str">
        <v>Q018</v>
      </c>
      <c r="B29" s="25" t="str">
        <v>NY</v>
      </c>
      <c r="C29" s="25" t="str">
        <f>Sites[[#This Row],[SOL'#]]</f>
        <v>SOL-10398</v>
      </c>
      <c r="D29" s="20">
        <v>18729.875</v>
      </c>
      <c r="E29" s="10">
        <v>19231.93</v>
      </c>
      <c r="F29" s="10">
        <f t="shared" si="0"/>
        <v>-502.05500000000029</v>
      </c>
      <c r="G29" s="11">
        <f t="shared" si="1"/>
        <v>-2.610528428504057E-2</v>
      </c>
      <c r="H29" s="12">
        <v>17292.689999999999</v>
      </c>
      <c r="I29" s="12">
        <f t="shared" si="2"/>
        <v>1437.1850000000013</v>
      </c>
      <c r="J29" s="64">
        <f t="shared" si="3"/>
        <v>8.3109394778950033E-2</v>
      </c>
      <c r="K29" s="37"/>
      <c r="L29" s="37"/>
      <c r="M29" s="104"/>
      <c r="N29" s="104"/>
      <c r="O29" s="104"/>
      <c r="P29" s="104"/>
      <c r="Q29" s="104"/>
      <c r="R29" s="104"/>
      <c r="S29" s="104"/>
      <c r="T29" s="104"/>
    </row>
    <row r="30" spans="1:20" ht="15.6">
      <c r="A30" s="26" t="str">
        <v>Q021</v>
      </c>
      <c r="B30" s="27" t="str">
        <v>NY</v>
      </c>
      <c r="C30" s="27" t="str">
        <f>Sites[[#This Row],[SOL'#]]</f>
        <v>SOL-10399</v>
      </c>
      <c r="D30" s="9">
        <v>14665.9375</v>
      </c>
      <c r="E30" s="14">
        <v>14406.07</v>
      </c>
      <c r="F30" s="14">
        <f t="shared" si="0"/>
        <v>259.86750000000029</v>
      </c>
      <c r="G30" s="15">
        <f t="shared" si="1"/>
        <v>1.8038750332325215E-2</v>
      </c>
      <c r="H30" s="16">
        <v>14385.87</v>
      </c>
      <c r="I30" s="16">
        <f t="shared" si="2"/>
        <v>280.0674999999992</v>
      </c>
      <c r="J30" s="15">
        <f t="shared" si="3"/>
        <v>1.9468235150185507E-2</v>
      </c>
      <c r="K30" s="38"/>
      <c r="L30" s="39"/>
      <c r="M30" s="104"/>
      <c r="N30" s="104"/>
      <c r="O30" s="104"/>
      <c r="P30" s="104"/>
      <c r="Q30" s="104"/>
      <c r="R30" s="104"/>
      <c r="S30" s="104"/>
      <c r="T30" s="104"/>
    </row>
    <row r="31" spans="1:20" ht="15.6">
      <c r="A31" s="24" t="str">
        <v>Q025</v>
      </c>
      <c r="B31" s="25" t="str">
        <v>NY</v>
      </c>
      <c r="C31" s="25" t="str">
        <f>Sites[[#This Row],[SOL'#]]</f>
        <v>SOL-10400</v>
      </c>
      <c r="D31" s="20">
        <v>25002.125</v>
      </c>
      <c r="E31" s="10">
        <v>24715.96</v>
      </c>
      <c r="F31" s="10">
        <f t="shared" si="0"/>
        <v>286.16500000000087</v>
      </c>
      <c r="G31" s="11">
        <f t="shared" si="1"/>
        <v>1.1578146266622898E-2</v>
      </c>
      <c r="H31" s="12">
        <v>13314</v>
      </c>
      <c r="I31" s="12">
        <f t="shared" si="2"/>
        <v>11688.125</v>
      </c>
      <c r="J31" s="64">
        <f t="shared" si="3"/>
        <v>0.87788230434129488</v>
      </c>
      <c r="K31" s="58"/>
      <c r="L31" s="58"/>
      <c r="M31" s="104"/>
      <c r="N31" s="104"/>
      <c r="O31" s="104"/>
      <c r="P31" s="104"/>
      <c r="Q31" s="104"/>
      <c r="R31" s="104"/>
      <c r="S31" s="104"/>
      <c r="T31" s="104"/>
    </row>
    <row r="32" spans="1:20" ht="15.6">
      <c r="A32" s="26" t="str">
        <v>Q074</v>
      </c>
      <c r="B32" s="27" t="str">
        <v>NY</v>
      </c>
      <c r="C32" s="27" t="str">
        <f>Sites[[#This Row],[SOL'#]]</f>
        <v>SOL-10402</v>
      </c>
      <c r="D32" s="9">
        <v>16554.25</v>
      </c>
      <c r="E32" s="14">
        <v>16150.24</v>
      </c>
      <c r="F32" s="14">
        <f t="shared" si="0"/>
        <v>404.01000000000022</v>
      </c>
      <c r="G32" s="15">
        <f t="shared" si="1"/>
        <v>2.5015727320460885E-2</v>
      </c>
      <c r="H32" s="16">
        <v>16444.09</v>
      </c>
      <c r="I32" s="16">
        <f t="shared" si="2"/>
        <v>110.15999999999985</v>
      </c>
      <c r="J32" s="15">
        <f t="shared" si="3"/>
        <v>6.6990633108916248E-3</v>
      </c>
      <c r="K32" s="38"/>
      <c r="L32" s="39"/>
      <c r="M32" s="104"/>
      <c r="N32" s="104"/>
      <c r="O32" s="104"/>
      <c r="P32" s="104"/>
      <c r="Q32" s="104"/>
      <c r="R32" s="104"/>
      <c r="S32" s="104"/>
      <c r="T32" s="104"/>
    </row>
    <row r="33" spans="1:20" ht="15.6">
      <c r="A33" s="24" t="str">
        <v>Q115</v>
      </c>
      <c r="B33" s="25" t="str">
        <v>NY</v>
      </c>
      <c r="C33" s="25" t="str">
        <f>Sites[[#This Row],[SOL'#]]</f>
        <v>SOL-10872</v>
      </c>
      <c r="D33" s="20">
        <v>20844.875</v>
      </c>
      <c r="E33" s="10">
        <v>21900.79</v>
      </c>
      <c r="F33" s="10">
        <f t="shared" si="0"/>
        <v>-1055.9150000000009</v>
      </c>
      <c r="G33" s="11">
        <f t="shared" si="1"/>
        <v>-4.8213557593127954E-2</v>
      </c>
      <c r="H33" s="12">
        <v>21477.78</v>
      </c>
      <c r="I33" s="12">
        <f t="shared" si="2"/>
        <v>-632.90499999999884</v>
      </c>
      <c r="J33" s="64">
        <f t="shared" si="3"/>
        <v>-2.9467896588939772E-2</v>
      </c>
      <c r="K33" s="37"/>
      <c r="L33" s="37"/>
      <c r="M33" s="104"/>
      <c r="N33" s="104"/>
      <c r="O33" s="104"/>
      <c r="P33" s="104"/>
      <c r="Q33" s="104"/>
      <c r="R33" s="104"/>
      <c r="S33" s="104"/>
      <c r="T33" s="104"/>
    </row>
    <row r="34" spans="1:20" ht="15.6">
      <c r="A34" s="26" t="str">
        <v>Q139</v>
      </c>
      <c r="B34" s="27" t="str">
        <v>NY</v>
      </c>
      <c r="C34" s="27" t="str">
        <f>Sites[[#This Row],[SOL'#]]</f>
        <v>SOL-10403</v>
      </c>
      <c r="D34" s="9">
        <v>12667.03125</v>
      </c>
      <c r="E34" s="14">
        <v>13725.07</v>
      </c>
      <c r="F34" s="14">
        <f t="shared" si="0"/>
        <v>-1058.0387499999997</v>
      </c>
      <c r="G34" s="15">
        <f t="shared" si="1"/>
        <v>-7.7088040352435341E-2</v>
      </c>
      <c r="H34" s="16">
        <v>13801</v>
      </c>
      <c r="I34" s="16">
        <f t="shared" si="2"/>
        <v>-1133.96875</v>
      </c>
      <c r="J34" s="15">
        <f t="shared" si="3"/>
        <v>-8.2165694514890225E-2</v>
      </c>
      <c r="K34" s="38"/>
      <c r="L34" s="39"/>
      <c r="M34" s="104"/>
      <c r="N34" s="104"/>
      <c r="O34" s="104"/>
      <c r="P34" s="104"/>
      <c r="Q34" s="104"/>
      <c r="R34" s="104"/>
      <c r="S34" s="104"/>
      <c r="T34" s="104"/>
    </row>
    <row r="35" spans="1:20" ht="121.5" customHeight="1">
      <c r="A35" s="24" t="str">
        <v>Q157</v>
      </c>
      <c r="B35" s="25" t="str">
        <v>NY</v>
      </c>
      <c r="C35" s="25" t="str">
        <f>Sites[[#This Row],[SOL'#]]</f>
        <v>SOL-10404</v>
      </c>
      <c r="D35" s="20">
        <v>22285.3125</v>
      </c>
      <c r="E35" s="10">
        <v>24006.62</v>
      </c>
      <c r="F35" s="10">
        <f t="shared" si="0"/>
        <v>-1721.307499999999</v>
      </c>
      <c r="G35" s="11">
        <f t="shared" si="1"/>
        <v>-7.1701368205936492E-2</v>
      </c>
      <c r="H35" s="12">
        <v>24481.19</v>
      </c>
      <c r="I35" s="12">
        <f t="shared" si="2"/>
        <v>-2195.8774999999987</v>
      </c>
      <c r="J35" s="64">
        <f t="shared" si="3"/>
        <v>-8.9696518020570035E-2</v>
      </c>
      <c r="K35" s="37" t="s">
        <v>672</v>
      </c>
      <c r="L35" s="110" t="s">
        <v>673</v>
      </c>
      <c r="M35" s="103" t="s">
        <v>674</v>
      </c>
      <c r="N35" s="103" t="s">
        <v>675</v>
      </c>
      <c r="O35" s="104"/>
      <c r="P35" s="104"/>
      <c r="Q35" s="104"/>
      <c r="R35" s="104"/>
      <c r="S35" s="104"/>
      <c r="T35" s="104"/>
    </row>
    <row r="36" spans="1:20" ht="15.6">
      <c r="A36" s="26" t="str">
        <v>Q192</v>
      </c>
      <c r="B36" s="27" t="str">
        <v>NY</v>
      </c>
      <c r="C36" s="27" t="str">
        <f>Sites[[#This Row],[SOL'#]]</f>
        <v>SOL-10406</v>
      </c>
      <c r="D36" s="9">
        <v>34496</v>
      </c>
      <c r="E36" s="14">
        <v>36955.21</v>
      </c>
      <c r="F36" s="14">
        <f t="shared" si="0"/>
        <v>-2459.2099999999991</v>
      </c>
      <c r="G36" s="15">
        <f t="shared" si="1"/>
        <v>-6.6545691392363868E-2</v>
      </c>
      <c r="H36" s="16">
        <v>35580.410000000003</v>
      </c>
      <c r="I36" s="16">
        <f t="shared" si="2"/>
        <v>-1084.4100000000035</v>
      </c>
      <c r="J36" s="15">
        <f t="shared" si="3"/>
        <v>-3.0477726366840725E-2</v>
      </c>
      <c r="K36" s="38"/>
      <c r="L36" s="38"/>
      <c r="M36" s="104"/>
      <c r="N36" s="104"/>
      <c r="O36" s="104"/>
      <c r="P36" s="104"/>
      <c r="Q36" s="104"/>
      <c r="R36" s="104"/>
      <c r="S36" s="104"/>
      <c r="T36" s="104"/>
    </row>
    <row r="37" spans="1:20" ht="15.6">
      <c r="A37" s="24" t="str">
        <v>Q210</v>
      </c>
      <c r="B37" s="25" t="str">
        <v>NY</v>
      </c>
      <c r="C37" s="25" t="str">
        <f>Sites[[#This Row],[SOL'#]]</f>
        <v>SOL-10407</v>
      </c>
      <c r="D37" s="20">
        <v>28207.625</v>
      </c>
      <c r="E37" s="10">
        <v>28315.17</v>
      </c>
      <c r="F37" s="10">
        <f t="shared" si="0"/>
        <v>-107.54499999999825</v>
      </c>
      <c r="G37" s="11">
        <f t="shared" si="1"/>
        <v>-3.7981407139705769E-3</v>
      </c>
      <c r="H37" s="12">
        <v>29628</v>
      </c>
      <c r="I37" s="12">
        <f t="shared" si="2"/>
        <v>-1420.375</v>
      </c>
      <c r="J37" s="64">
        <f t="shared" si="3"/>
        <v>-4.7940292966113136E-2</v>
      </c>
      <c r="K37" s="58"/>
      <c r="L37" s="58"/>
      <c r="M37" s="104"/>
      <c r="N37" s="104"/>
      <c r="O37" s="104"/>
      <c r="P37" s="104"/>
      <c r="Q37" s="104"/>
      <c r="R37" s="104"/>
      <c r="S37" s="104"/>
      <c r="T37" s="104"/>
    </row>
    <row r="38" spans="1:20" ht="43.15">
      <c r="A38" s="26" t="str">
        <v>Q229</v>
      </c>
      <c r="B38" s="27" t="str">
        <v>NY</v>
      </c>
      <c r="C38" s="27" t="str">
        <f>Sites[[#This Row],[SOL'#]]</f>
        <v>SOL-10408</v>
      </c>
      <c r="D38" s="9">
        <v>12297.09375</v>
      </c>
      <c r="E38" s="14">
        <v>13702.72</v>
      </c>
      <c r="F38" s="14">
        <f t="shared" si="0"/>
        <v>-1405.6262499999993</v>
      </c>
      <c r="G38" s="15">
        <f t="shared" si="1"/>
        <v>-0.10258008993834797</v>
      </c>
      <c r="H38" s="16">
        <v>12576.04</v>
      </c>
      <c r="I38" s="16">
        <f t="shared" si="2"/>
        <v>-278.94625000000087</v>
      </c>
      <c r="J38" s="15">
        <f t="shared" si="3"/>
        <v>-2.2180769940299241E-2</v>
      </c>
      <c r="K38" s="38" t="s">
        <v>676</v>
      </c>
      <c r="L38" s="100" t="s">
        <v>677</v>
      </c>
      <c r="M38" s="104"/>
      <c r="N38" s="104"/>
      <c r="O38" s="104"/>
      <c r="P38" s="104"/>
      <c r="Q38" s="104"/>
      <c r="R38" s="104"/>
      <c r="S38" s="104"/>
      <c r="T38" s="104"/>
    </row>
    <row r="39" spans="1:20" ht="15.6">
      <c r="A39" s="24" t="str">
        <v>Q231</v>
      </c>
      <c r="B39" s="25" t="str">
        <v>NY</v>
      </c>
      <c r="C39" s="25" t="str">
        <f>Sites[[#This Row],[SOL'#]]</f>
        <v>SOL-10870</v>
      </c>
      <c r="D39" s="20">
        <v>45258.625</v>
      </c>
      <c r="E39" s="10">
        <v>47488.82</v>
      </c>
      <c r="F39" s="10">
        <f t="shared" si="0"/>
        <v>-2230.1949999999997</v>
      </c>
      <c r="G39" s="11">
        <f t="shared" si="1"/>
        <v>-4.6962527180081537E-2</v>
      </c>
      <c r="H39" s="12">
        <v>48847</v>
      </c>
      <c r="I39" s="12">
        <f t="shared" si="2"/>
        <v>-3588.375</v>
      </c>
      <c r="J39" s="64">
        <f t="shared" si="3"/>
        <v>-7.3461522713779759E-2</v>
      </c>
      <c r="K39" s="37"/>
      <c r="L39" s="37"/>
      <c r="M39" s="104"/>
      <c r="N39" s="104"/>
      <c r="O39" s="104"/>
      <c r="P39" s="104"/>
      <c r="Q39" s="104"/>
      <c r="R39" s="104"/>
      <c r="S39" s="104"/>
      <c r="T39" s="104"/>
    </row>
    <row r="40" spans="1:20" ht="28.9">
      <c r="A40" s="26" t="str">
        <v>Q405</v>
      </c>
      <c r="B40" s="27" t="str">
        <v>NY</v>
      </c>
      <c r="C40" s="27" t="str">
        <f>Sites[[#This Row],[SOL'#]]</f>
        <v>SOL-10409</v>
      </c>
      <c r="D40" s="9">
        <v>50011.75</v>
      </c>
      <c r="E40" s="14">
        <v>57219.12</v>
      </c>
      <c r="F40" s="14">
        <f t="shared" si="0"/>
        <v>-7207.3700000000026</v>
      </c>
      <c r="G40" s="15">
        <f t="shared" si="1"/>
        <v>-0.12596086762606629</v>
      </c>
      <c r="H40" s="16">
        <v>52997.85</v>
      </c>
      <c r="I40" s="16">
        <f t="shared" si="2"/>
        <v>-2986.0999999999985</v>
      </c>
      <c r="J40" s="15">
        <f t="shared" si="3"/>
        <v>-5.6343795078479572E-2</v>
      </c>
      <c r="K40" s="59" t="s">
        <v>678</v>
      </c>
      <c r="L40" s="129" t="s">
        <v>679</v>
      </c>
      <c r="M40" s="104"/>
      <c r="N40" s="104"/>
      <c r="O40" s="104"/>
      <c r="P40" s="104"/>
      <c r="Q40" s="104"/>
      <c r="R40" s="104"/>
      <c r="S40" s="104"/>
      <c r="T40" s="104"/>
    </row>
    <row r="41" spans="1:20" ht="86.45">
      <c r="A41" s="24" t="str">
        <v>Q435</v>
      </c>
      <c r="B41" s="25" t="str">
        <v>NY</v>
      </c>
      <c r="C41" s="25" t="str">
        <f>Sites[[#This Row],[SOL'#]]</f>
        <v>SOL-10923</v>
      </c>
      <c r="D41" s="20">
        <v>66318.250000000102</v>
      </c>
      <c r="E41" s="10">
        <v>51348.37</v>
      </c>
      <c r="F41" s="10">
        <f t="shared" si="0"/>
        <v>14969.880000000099</v>
      </c>
      <c r="G41" s="11">
        <f t="shared" si="1"/>
        <v>0.29153564173507551</v>
      </c>
      <c r="H41" s="12">
        <v>70048</v>
      </c>
      <c r="I41" s="12">
        <f t="shared" si="2"/>
        <v>-3729.7499999998981</v>
      </c>
      <c r="J41" s="64">
        <f t="shared" si="3"/>
        <v>-5.3245631566924086E-2</v>
      </c>
      <c r="K41" s="37" t="s">
        <v>680</v>
      </c>
      <c r="L41" s="110" t="s">
        <v>681</v>
      </c>
      <c r="M41" s="103" t="s">
        <v>682</v>
      </c>
      <c r="N41" s="103" t="s">
        <v>683</v>
      </c>
      <c r="O41" s="104"/>
      <c r="P41" s="104"/>
      <c r="Q41" s="104"/>
      <c r="R41" s="104"/>
      <c r="S41" s="104"/>
      <c r="T41" s="104"/>
    </row>
    <row r="42" spans="1:20" ht="72">
      <c r="A42" s="26" t="str">
        <v>Q485</v>
      </c>
      <c r="B42" s="27" t="str">
        <v>NY</v>
      </c>
      <c r="C42" s="27" t="str">
        <f>Sites[[#This Row],[SOL'#]]</f>
        <v>SOL-10869</v>
      </c>
      <c r="D42" s="9">
        <v>59771.25</v>
      </c>
      <c r="E42" s="14">
        <v>48000.36</v>
      </c>
      <c r="F42" s="14">
        <f t="shared" si="0"/>
        <v>11770.89</v>
      </c>
      <c r="G42" s="15">
        <f t="shared" si="1"/>
        <v>0.2452250358122314</v>
      </c>
      <c r="H42" s="16">
        <v>65592.800000000003</v>
      </c>
      <c r="I42" s="16">
        <f t="shared" si="2"/>
        <v>-5821.5500000000029</v>
      </c>
      <c r="J42" s="15">
        <f t="shared" si="3"/>
        <v>-8.8752881413813753E-2</v>
      </c>
      <c r="K42" s="59" t="s">
        <v>684</v>
      </c>
      <c r="L42" s="111" t="s">
        <v>685</v>
      </c>
      <c r="M42" s="103" t="s">
        <v>686</v>
      </c>
      <c r="N42" s="104"/>
      <c r="O42" s="104"/>
      <c r="P42" s="104"/>
      <c r="Q42" s="104"/>
      <c r="R42" s="104"/>
      <c r="S42" s="104"/>
      <c r="T42" s="104"/>
    </row>
    <row r="43" spans="1:20" ht="48.75" customHeight="1">
      <c r="A43" s="24" t="str">
        <v>Q490</v>
      </c>
      <c r="B43" s="25" t="str">
        <v>NY</v>
      </c>
      <c r="C43" s="25" t="str">
        <f>Sites[[#This Row],[SOL'#]]</f>
        <v>SOL-10411</v>
      </c>
      <c r="D43" s="20">
        <v>44293.5</v>
      </c>
      <c r="E43" s="10" t="s">
        <v>661</v>
      </c>
      <c r="F43" s="10" t="str">
        <f t="shared" si="0"/>
        <v/>
      </c>
      <c r="G43" s="11" t="str">
        <f t="shared" si="1"/>
        <v/>
      </c>
      <c r="H43" s="12">
        <v>46036.53</v>
      </c>
      <c r="I43" s="12">
        <f t="shared" si="2"/>
        <v>-1743.0299999999988</v>
      </c>
      <c r="J43" s="64">
        <f t="shared" si="3"/>
        <v>-3.7861889243172735E-2</v>
      </c>
      <c r="K43" s="37" t="s">
        <v>687</v>
      </c>
      <c r="L43" s="110" t="s">
        <v>415</v>
      </c>
      <c r="M43" s="104"/>
      <c r="N43" s="104"/>
      <c r="O43" s="104"/>
      <c r="P43" s="104"/>
      <c r="Q43" s="104"/>
      <c r="R43" s="104"/>
      <c r="S43" s="104"/>
      <c r="T43" s="104"/>
    </row>
    <row r="44" spans="1:20" ht="15.6">
      <c r="A44" s="26" t="str">
        <v>Q620</v>
      </c>
      <c r="B44" s="27" t="str">
        <v>NY</v>
      </c>
      <c r="C44" s="27" t="str">
        <f>Sites[[#This Row],[SOL'#]]</f>
        <v>SOL-10867</v>
      </c>
      <c r="D44" s="9">
        <v>66703</v>
      </c>
      <c r="E44" s="14">
        <v>66971.199999999997</v>
      </c>
      <c r="F44" s="14">
        <f t="shared" si="0"/>
        <v>-268.19999999999709</v>
      </c>
      <c r="G44" s="15">
        <f t="shared" si="1"/>
        <v>-4.0047065007047375E-3</v>
      </c>
      <c r="H44" s="16">
        <v>69242.320000000007</v>
      </c>
      <c r="I44" s="16">
        <f t="shared" si="2"/>
        <v>-2539.320000000007</v>
      </c>
      <c r="J44" s="15">
        <f t="shared" si="3"/>
        <v>-3.6672947989033394E-2</v>
      </c>
      <c r="K44" s="38"/>
      <c r="L44" s="39"/>
      <c r="M44" s="104"/>
      <c r="N44" s="104"/>
      <c r="O44" s="104"/>
      <c r="P44" s="104"/>
      <c r="Q44" s="104"/>
      <c r="R44" s="104"/>
      <c r="S44" s="104"/>
      <c r="T44" s="104"/>
    </row>
    <row r="45" spans="1:20" ht="15.6">
      <c r="A45" s="24" t="str">
        <v>QMOA</v>
      </c>
      <c r="B45" s="25" t="str">
        <v>NY</v>
      </c>
      <c r="C45" s="25" t="str">
        <f>Sites[[#This Row],[SOL'#]]</f>
        <v>SOL-10415</v>
      </c>
      <c r="D45" s="20">
        <v>5623.6000000000104</v>
      </c>
      <c r="E45" s="10"/>
      <c r="F45" s="10" t="str">
        <f t="shared" si="0"/>
        <v/>
      </c>
      <c r="G45" s="11" t="str">
        <f t="shared" si="1"/>
        <v/>
      </c>
      <c r="H45" s="12">
        <v>6308.0259999999998</v>
      </c>
      <c r="I45" s="12">
        <f t="shared" si="2"/>
        <v>-684.42599999998947</v>
      </c>
      <c r="J45" s="64">
        <f t="shared" si="3"/>
        <v>-0.10850082101754012</v>
      </c>
      <c r="K45" s="37" t="s">
        <v>688</v>
      </c>
      <c r="L45" s="37"/>
      <c r="M45" s="104"/>
      <c r="N45" s="104"/>
      <c r="O45" s="104"/>
      <c r="P45" s="104"/>
      <c r="Q45" s="104"/>
      <c r="R45" s="104"/>
      <c r="S45" s="104"/>
      <c r="T45" s="104"/>
    </row>
    <row r="46" spans="1:20" ht="15.6">
      <c r="A46" s="26" t="str">
        <v>X024</v>
      </c>
      <c r="B46" s="27" t="str">
        <v>NY</v>
      </c>
      <c r="C46" s="27" t="str">
        <f>Sites[[#This Row],[SOL'#]]</f>
        <v>SOL-10419</v>
      </c>
      <c r="D46" s="9">
        <v>25538.59375</v>
      </c>
      <c r="E46" s="14">
        <v>26404.74</v>
      </c>
      <c r="F46" s="14">
        <f t="shared" si="0"/>
        <v>-866.1462500000016</v>
      </c>
      <c r="G46" s="15">
        <f t="shared" si="1"/>
        <v>-3.2802680503576313E-2</v>
      </c>
      <c r="H46" s="16">
        <v>24516</v>
      </c>
      <c r="I46" s="16">
        <f t="shared" si="2"/>
        <v>1022.59375</v>
      </c>
      <c r="J46" s="15">
        <f t="shared" si="3"/>
        <v>4.1711280388317833E-2</v>
      </c>
      <c r="K46" s="38"/>
      <c r="L46" s="39"/>
      <c r="M46" s="104"/>
      <c r="N46" s="104"/>
      <c r="O46" s="104"/>
      <c r="P46" s="104"/>
      <c r="Q46" s="104"/>
      <c r="R46" s="104"/>
      <c r="S46" s="104"/>
      <c r="T46" s="104"/>
    </row>
    <row r="47" spans="1:20" ht="28.9">
      <c r="A47" s="24" t="str">
        <v>X026</v>
      </c>
      <c r="B47" s="25" t="str">
        <v>NY</v>
      </c>
      <c r="C47" s="25" t="str">
        <f>Sites[[#This Row],[SOL'#]]</f>
        <v>SOL-10420</v>
      </c>
      <c r="D47" s="20">
        <v>23114.9</v>
      </c>
      <c r="E47" s="10">
        <v>21577.1</v>
      </c>
      <c r="F47" s="10">
        <f t="shared" si="0"/>
        <v>1537.8000000000029</v>
      </c>
      <c r="G47" s="11">
        <f t="shared" si="1"/>
        <v>7.1270003846670912E-2</v>
      </c>
      <c r="H47" s="12">
        <v>33098.879999999997</v>
      </c>
      <c r="I47" s="12">
        <f t="shared" si="2"/>
        <v>-9983.9799999999959</v>
      </c>
      <c r="J47" s="64">
        <f t="shared" si="3"/>
        <v>-0.30164102229440987</v>
      </c>
      <c r="K47" s="37" t="s">
        <v>689</v>
      </c>
      <c r="L47" s="110" t="s">
        <v>690</v>
      </c>
      <c r="M47" s="104"/>
      <c r="N47" s="104"/>
      <c r="O47" s="104"/>
      <c r="P47" s="104"/>
      <c r="Q47" s="104"/>
      <c r="R47" s="104"/>
      <c r="S47" s="104"/>
      <c r="T47" s="104"/>
    </row>
    <row r="48" spans="1:20" ht="15.6">
      <c r="A48" s="26" t="str">
        <v>X090</v>
      </c>
      <c r="B48" s="27" t="str">
        <v>NY</v>
      </c>
      <c r="C48" s="27" t="str">
        <f>Sites[[#This Row],[SOL'#]]</f>
        <v>SOL-10925</v>
      </c>
      <c r="D48" s="9">
        <v>19359.6875</v>
      </c>
      <c r="E48" s="14">
        <v>17087.05</v>
      </c>
      <c r="F48" s="14">
        <f t="shared" si="0"/>
        <v>2272.6375000000007</v>
      </c>
      <c r="G48" s="15">
        <f t="shared" si="1"/>
        <v>0.13300350265259367</v>
      </c>
      <c r="H48" s="16">
        <v>20356</v>
      </c>
      <c r="I48" s="16">
        <f t="shared" si="2"/>
        <v>-996.3125</v>
      </c>
      <c r="J48" s="15">
        <f t="shared" si="3"/>
        <v>-4.8944414423265865E-2</v>
      </c>
      <c r="K48" s="38"/>
      <c r="L48" s="38"/>
      <c r="M48" s="104"/>
      <c r="N48" s="104"/>
      <c r="O48" s="104"/>
      <c r="P48" s="104"/>
      <c r="Q48" s="104"/>
      <c r="R48" s="104"/>
      <c r="S48" s="104"/>
      <c r="T48" s="104"/>
    </row>
    <row r="49" spans="1:20" ht="15.6">
      <c r="A49" s="24" t="str">
        <v>X117</v>
      </c>
      <c r="B49" s="25" t="str">
        <v>NY</v>
      </c>
      <c r="C49" s="25" t="str">
        <f>Sites[[#This Row],[SOL'#]]</f>
        <v>SOL-10422</v>
      </c>
      <c r="D49" s="20">
        <v>16727.599999999999</v>
      </c>
      <c r="E49" s="10">
        <v>18316.150000000001</v>
      </c>
      <c r="F49" s="10">
        <f t="shared" si="0"/>
        <v>-1588.5500000000029</v>
      </c>
      <c r="G49" s="11">
        <f t="shared" si="1"/>
        <v>-8.6729470985987933E-2</v>
      </c>
      <c r="H49" s="12">
        <v>17700.560000000001</v>
      </c>
      <c r="I49" s="12">
        <f t="shared" si="2"/>
        <v>-972.96000000000276</v>
      </c>
      <c r="J49" s="64">
        <f t="shared" si="3"/>
        <v>-5.4967752432691544E-2</v>
      </c>
      <c r="K49" s="37"/>
      <c r="L49" s="37"/>
      <c r="M49" s="104"/>
      <c r="N49" s="104"/>
      <c r="O49" s="104"/>
      <c r="P49" s="104"/>
      <c r="Q49" s="104"/>
      <c r="R49" s="104"/>
      <c r="S49" s="104"/>
      <c r="T49" s="104"/>
    </row>
    <row r="50" spans="1:20" ht="15.6">
      <c r="A50" s="26" t="str">
        <v>X125</v>
      </c>
      <c r="B50" s="27" t="str">
        <v>NY</v>
      </c>
      <c r="C50" s="27" t="str">
        <f>Sites[[#This Row],[SOL'#]]</f>
        <v>SOL-10423</v>
      </c>
      <c r="D50" s="9">
        <v>30152.75</v>
      </c>
      <c r="E50" s="14">
        <v>31320.93</v>
      </c>
      <c r="F50" s="14">
        <f t="shared" si="0"/>
        <v>-1168.1800000000003</v>
      </c>
      <c r="G50" s="15">
        <f t="shared" si="1"/>
        <v>-3.7297104524035535E-2</v>
      </c>
      <c r="H50" s="16">
        <v>31615.96</v>
      </c>
      <c r="I50" s="16">
        <f t="shared" si="2"/>
        <v>-1463.2099999999991</v>
      </c>
      <c r="J50" s="15">
        <f t="shared" si="3"/>
        <v>-4.6280739221582996E-2</v>
      </c>
      <c r="K50" s="59"/>
      <c r="L50" s="60"/>
      <c r="M50" s="104"/>
      <c r="N50" s="104"/>
      <c r="O50" s="104"/>
      <c r="P50" s="104"/>
      <c r="Q50" s="104"/>
      <c r="R50" s="104"/>
      <c r="S50" s="104"/>
      <c r="T50" s="104"/>
    </row>
    <row r="51" spans="1:20" ht="15.6">
      <c r="A51" s="24" t="str">
        <v>X134</v>
      </c>
      <c r="B51" s="25" t="str">
        <v>NY</v>
      </c>
      <c r="C51" s="25" t="str">
        <f>Sites[[#This Row],[SOL'#]]</f>
        <v>SOL-10424</v>
      </c>
      <c r="D51" s="20">
        <v>29330.90625</v>
      </c>
      <c r="E51" s="10" t="s">
        <v>661</v>
      </c>
      <c r="F51" s="10" t="str">
        <f t="shared" si="0"/>
        <v/>
      </c>
      <c r="G51" s="11" t="str">
        <f t="shared" si="1"/>
        <v/>
      </c>
      <c r="H51" s="12">
        <v>31287</v>
      </c>
      <c r="I51" s="12">
        <f t="shared" si="2"/>
        <v>-1956.09375</v>
      </c>
      <c r="J51" s="64">
        <f t="shared" si="3"/>
        <v>-6.2520975165404155E-2</v>
      </c>
      <c r="K51" s="58"/>
      <c r="L51" s="62"/>
      <c r="M51" s="104"/>
      <c r="N51" s="104"/>
      <c r="O51" s="104"/>
      <c r="P51" s="104"/>
      <c r="Q51" s="104"/>
      <c r="R51" s="104"/>
      <c r="S51" s="104"/>
      <c r="T51" s="104"/>
    </row>
    <row r="52" spans="1:20" ht="28.5" customHeight="1">
      <c r="A52" s="26" t="str">
        <v>X135</v>
      </c>
      <c r="B52" s="27" t="str">
        <v>NY</v>
      </c>
      <c r="C52" s="27" t="str">
        <f>Sites[[#This Row],[SOL'#]]</f>
        <v>SOL-10425</v>
      </c>
      <c r="D52" s="9">
        <v>22792.75</v>
      </c>
      <c r="E52" s="14">
        <v>23516.71</v>
      </c>
      <c r="F52" s="14">
        <f t="shared" ref="F52:F95" si="4">IF(AND(ISNUMBER(D52),ISNUMBER(E52)), D52-E52, "")</f>
        <v>-723.95999999999913</v>
      </c>
      <c r="G52" s="15">
        <f t="shared" si="1"/>
        <v>-3.0784918468612282E-2</v>
      </c>
      <c r="H52" s="16">
        <v>25004</v>
      </c>
      <c r="I52" s="16">
        <f t="shared" ref="I52:I95" si="5">IF(AND(ISNUMBER(D52),ISNUMBER(H52)), D52-H52, "")</f>
        <v>-2211.25</v>
      </c>
      <c r="J52" s="15">
        <f t="shared" ref="J52:J95" si="6">IFERROR(I52/H52, "")</f>
        <v>-8.8435850263957769E-2</v>
      </c>
      <c r="K52" s="38" t="s">
        <v>691</v>
      </c>
      <c r="L52" s="111" t="s">
        <v>692</v>
      </c>
      <c r="M52" s="104"/>
      <c r="N52" s="104"/>
      <c r="O52" s="104"/>
      <c r="P52" s="104"/>
      <c r="Q52" s="104"/>
      <c r="R52" s="104"/>
      <c r="S52" s="104"/>
      <c r="T52" s="104"/>
    </row>
    <row r="53" spans="1:20" ht="15.6">
      <c r="A53" s="24" t="str">
        <v>X139 JHS 222</v>
      </c>
      <c r="B53" s="25" t="str">
        <v>NY</v>
      </c>
      <c r="C53" s="25" t="str">
        <f>Sites[[#This Row],[SOL'#]]</f>
        <v>SOL-10426</v>
      </c>
      <c r="D53" s="20">
        <v>36186.616609999997</v>
      </c>
      <c r="E53" s="10">
        <v>39537.839999999997</v>
      </c>
      <c r="F53" s="10">
        <f t="shared" si="4"/>
        <v>-3351.2233899999992</v>
      </c>
      <c r="G53" s="11">
        <f t="shared" ref="G53:G95" si="7">IFERROR(F53/E53, "")</f>
        <v>-8.4759900642017869E-2</v>
      </c>
      <c r="H53" s="12">
        <v>38484</v>
      </c>
      <c r="I53" s="12">
        <f t="shared" si="5"/>
        <v>-2297.3833900000027</v>
      </c>
      <c r="J53" s="64">
        <f t="shared" si="6"/>
        <v>-5.9697105030662161E-2</v>
      </c>
      <c r="K53" s="37"/>
      <c r="L53" s="37"/>
      <c r="M53" s="104"/>
      <c r="N53" s="104"/>
      <c r="O53" s="104"/>
      <c r="P53" s="104"/>
      <c r="Q53" s="104"/>
      <c r="R53" s="104"/>
      <c r="S53" s="104"/>
      <c r="T53" s="104"/>
    </row>
    <row r="54" spans="1:20" ht="43.15">
      <c r="A54" s="26" t="str">
        <v>X140</v>
      </c>
      <c r="B54" s="27" t="str">
        <v>NY</v>
      </c>
      <c r="C54" s="27" t="str">
        <f>Sites[[#This Row],[SOL'#]]</f>
        <v>SOL-10926</v>
      </c>
      <c r="D54" s="9">
        <v>20803.484375</v>
      </c>
      <c r="E54" s="14">
        <v>17164.099999999999</v>
      </c>
      <c r="F54" s="14">
        <f t="shared" si="4"/>
        <v>3639.3843750000015</v>
      </c>
      <c r="G54" s="15">
        <f t="shared" si="7"/>
        <v>0.21203467557285274</v>
      </c>
      <c r="H54" s="16">
        <v>20901</v>
      </c>
      <c r="I54" s="16">
        <f t="shared" si="5"/>
        <v>-97.515625</v>
      </c>
      <c r="J54" s="15">
        <f t="shared" si="6"/>
        <v>-4.6655961437251803E-3</v>
      </c>
      <c r="K54" s="38" t="s">
        <v>693</v>
      </c>
      <c r="L54" s="111" t="s">
        <v>419</v>
      </c>
      <c r="M54" s="104"/>
      <c r="N54" s="104" t="s">
        <v>694</v>
      </c>
      <c r="O54" s="104"/>
      <c r="P54" s="104"/>
      <c r="Q54" s="104"/>
      <c r="R54" s="104"/>
      <c r="S54" s="104"/>
      <c r="T54" s="104"/>
    </row>
    <row r="55" spans="1:20" ht="15.6">
      <c r="A55" s="24" t="str">
        <v>X166</v>
      </c>
      <c r="B55" s="25" t="str">
        <v>NY</v>
      </c>
      <c r="C55" s="25" t="str">
        <f>Sites[[#This Row],[SOL'#]]</f>
        <v>SOL-10427</v>
      </c>
      <c r="D55" s="20">
        <v>21565.7</v>
      </c>
      <c r="E55" s="10">
        <v>21010.73</v>
      </c>
      <c r="F55" s="10">
        <f t="shared" si="4"/>
        <v>554.97000000000116</v>
      </c>
      <c r="G55" s="11">
        <f t="shared" si="7"/>
        <v>2.6413646741450733E-2</v>
      </c>
      <c r="H55" s="12">
        <v>23280</v>
      </c>
      <c r="I55" s="12">
        <f t="shared" si="5"/>
        <v>-1714.2999999999993</v>
      </c>
      <c r="J55" s="64">
        <f t="shared" si="6"/>
        <v>-7.3638316151202712E-2</v>
      </c>
      <c r="K55" s="37"/>
      <c r="L55" s="37"/>
      <c r="M55" s="104"/>
      <c r="N55" s="104"/>
      <c r="O55" s="104"/>
      <c r="P55" s="104"/>
      <c r="Q55" s="104"/>
      <c r="R55" s="104"/>
      <c r="S55" s="104"/>
      <c r="T55" s="104"/>
    </row>
    <row r="56" spans="1:20" ht="71.25" customHeight="1">
      <c r="A56" s="26" t="str">
        <v>Murphy</v>
      </c>
      <c r="B56" s="27" t="str">
        <v>MN</v>
      </c>
      <c r="C56" s="27" t="str">
        <f>Sites[[#This Row],[SOL'#]]</f>
        <v>SOL-10094</v>
      </c>
      <c r="D56" s="9">
        <v>864010</v>
      </c>
      <c r="E56" s="14">
        <v>922487.8</v>
      </c>
      <c r="F56" s="14">
        <f t="shared" si="4"/>
        <v>-58477.800000000047</v>
      </c>
      <c r="G56" s="15">
        <f t="shared" si="7"/>
        <v>-6.3391407452759854E-2</v>
      </c>
      <c r="H56" s="16">
        <v>882116.8</v>
      </c>
      <c r="I56" s="16">
        <f t="shared" si="5"/>
        <v>-18106.800000000047</v>
      </c>
      <c r="J56" s="15">
        <f t="shared" si="6"/>
        <v>-2.0526533447724888E-2</v>
      </c>
      <c r="K56" s="50" t="s">
        <v>695</v>
      </c>
      <c r="L56" s="123" t="s">
        <v>696</v>
      </c>
      <c r="M56" s="103" t="s">
        <v>697</v>
      </c>
      <c r="N56" s="104"/>
      <c r="O56" s="104"/>
      <c r="P56" s="104"/>
      <c r="Q56" s="104"/>
      <c r="R56" s="104"/>
      <c r="S56" s="104"/>
      <c r="T56" s="104"/>
    </row>
    <row r="57" spans="1:20" ht="57" customHeight="1">
      <c r="A57" s="24" t="str">
        <v>Terning</v>
      </c>
      <c r="B57" s="25" t="str">
        <v>MN</v>
      </c>
      <c r="C57" s="25" t="str">
        <f>Sites[[#This Row],[SOL'#]]</f>
        <v>SOL-10093</v>
      </c>
      <c r="D57" s="20">
        <v>909272</v>
      </c>
      <c r="E57" s="10">
        <v>948523.9</v>
      </c>
      <c r="F57" s="10">
        <f t="shared" si="4"/>
        <v>-39251.900000000023</v>
      </c>
      <c r="G57" s="11">
        <f t="shared" si="7"/>
        <v>-4.1382088527236925E-2</v>
      </c>
      <c r="H57" s="12">
        <v>883558.1</v>
      </c>
      <c r="I57" s="12">
        <f t="shared" si="5"/>
        <v>25713.900000000023</v>
      </c>
      <c r="J57" s="64">
        <f t="shared" si="6"/>
        <v>2.9102670214895911E-2</v>
      </c>
      <c r="K57" s="37" t="s">
        <v>698</v>
      </c>
      <c r="L57" s="110" t="s">
        <v>699</v>
      </c>
      <c r="M57" s="104"/>
      <c r="N57" s="104"/>
      <c r="O57" s="104"/>
      <c r="P57" s="104"/>
      <c r="Q57" s="104"/>
      <c r="R57" s="104"/>
      <c r="S57" s="104"/>
      <c r="T57" s="104"/>
    </row>
    <row r="58" spans="1:20" ht="15.6">
      <c r="A58" s="26" t="str">
        <v>Boas Road 04</v>
      </c>
      <c r="B58" s="27" t="str">
        <v>NY</v>
      </c>
      <c r="C58" s="27" t="str">
        <f>Sites[[#This Row],[SOL'#]]</f>
        <v>SOL-10908</v>
      </c>
      <c r="D58" s="9">
        <v>0</v>
      </c>
      <c r="E58" s="14">
        <v>349319.05</v>
      </c>
      <c r="F58" s="14">
        <f t="shared" si="4"/>
        <v>-349319.05</v>
      </c>
      <c r="G58" s="15">
        <f t="shared" si="7"/>
        <v>-1</v>
      </c>
      <c r="H58" s="16">
        <v>331584.58</v>
      </c>
      <c r="I58" s="16">
        <f t="shared" si="5"/>
        <v>-331584.58</v>
      </c>
      <c r="J58" s="15">
        <f t="shared" si="6"/>
        <v>-1</v>
      </c>
      <c r="K58" s="38" t="s">
        <v>700</v>
      </c>
      <c r="L58" s="129" t="s">
        <v>701</v>
      </c>
      <c r="M58" s="104"/>
      <c r="N58" s="104"/>
      <c r="O58" s="104"/>
      <c r="P58" s="104"/>
      <c r="Q58" s="104"/>
      <c r="R58" s="104"/>
      <c r="S58" s="104"/>
      <c r="T58" s="104"/>
    </row>
    <row r="59" spans="1:20" ht="202.5" customHeight="1">
      <c r="A59" s="24" t="str">
        <v>Kelly Bridge Farm</v>
      </c>
      <c r="B59" s="25" t="str">
        <v>NY</v>
      </c>
      <c r="C59" s="25" t="str">
        <f>Sites[[#This Row],[SOL'#]]</f>
        <v>SOL-10911</v>
      </c>
      <c r="D59" s="20">
        <v>0</v>
      </c>
      <c r="E59" s="10">
        <v>331817.21000000002</v>
      </c>
      <c r="F59" s="10">
        <f t="shared" si="4"/>
        <v>-331817.21000000002</v>
      </c>
      <c r="G59" s="11">
        <f t="shared" si="7"/>
        <v>-1</v>
      </c>
      <c r="H59" s="12">
        <v>342312.31</v>
      </c>
      <c r="I59" s="12">
        <f t="shared" si="5"/>
        <v>-342312.31</v>
      </c>
      <c r="J59" s="64">
        <f t="shared" si="6"/>
        <v>-1</v>
      </c>
      <c r="K59" s="37" t="s">
        <v>702</v>
      </c>
      <c r="L59" s="110" t="s">
        <v>703</v>
      </c>
      <c r="M59" s="103" t="s">
        <v>704</v>
      </c>
      <c r="N59" s="103" t="s">
        <v>705</v>
      </c>
      <c r="O59" s="103" t="s">
        <v>706</v>
      </c>
      <c r="P59" s="104"/>
      <c r="Q59" s="104"/>
      <c r="R59" s="104"/>
      <c r="S59" s="104"/>
      <c r="T59" s="104"/>
    </row>
    <row r="60" spans="1:20" ht="15.6">
      <c r="A60" s="26" t="str">
        <v>Pool Brook Road</v>
      </c>
      <c r="B60" s="27" t="str">
        <v>NY</v>
      </c>
      <c r="C60" s="27" t="str">
        <f>Sites[[#This Row],[SOL'#]]</f>
        <v>SOL-10909</v>
      </c>
      <c r="D60" s="9">
        <v>295639</v>
      </c>
      <c r="E60" s="14">
        <v>304056.86</v>
      </c>
      <c r="F60" s="14">
        <f t="shared" si="4"/>
        <v>-8417.859999999986</v>
      </c>
      <c r="G60" s="15">
        <f t="shared" si="7"/>
        <v>-2.7685150731346718E-2</v>
      </c>
      <c r="H60" s="16">
        <v>317202.12</v>
      </c>
      <c r="I60" s="16">
        <f t="shared" si="5"/>
        <v>-21563.119999999995</v>
      </c>
      <c r="J60" s="15">
        <f t="shared" si="6"/>
        <v>-6.7979116911324536E-2</v>
      </c>
      <c r="K60" s="38"/>
      <c r="L60" s="38"/>
      <c r="M60" s="104"/>
      <c r="N60" s="104"/>
      <c r="O60" s="104"/>
      <c r="P60" s="104"/>
      <c r="Q60" s="104"/>
      <c r="R60" s="104"/>
      <c r="S60" s="104"/>
      <c r="T60" s="104"/>
    </row>
    <row r="61" spans="1:20" ht="249" customHeight="1">
      <c r="A61" s="24" t="str">
        <v>Sackett Lake</v>
      </c>
      <c r="B61" s="25" t="str">
        <v>NY</v>
      </c>
      <c r="C61" s="25" t="str">
        <f>Sites[[#This Row],[SOL'#]]</f>
        <v>SOL-10910</v>
      </c>
      <c r="D61" s="20">
        <v>177037</v>
      </c>
      <c r="E61" s="10">
        <v>313070.33</v>
      </c>
      <c r="F61" s="10">
        <f t="shared" si="4"/>
        <v>-136033.33000000002</v>
      </c>
      <c r="G61" s="11">
        <f t="shared" si="7"/>
        <v>-0.43451364426644967</v>
      </c>
      <c r="H61" s="12">
        <v>334933.92</v>
      </c>
      <c r="I61" s="12">
        <f t="shared" si="5"/>
        <v>-157896.91999999998</v>
      </c>
      <c r="J61" s="64">
        <f t="shared" si="6"/>
        <v>-0.47142708030288477</v>
      </c>
      <c r="K61" s="37" t="s">
        <v>707</v>
      </c>
      <c r="L61" s="110" t="s">
        <v>708</v>
      </c>
      <c r="M61" s="103" t="s">
        <v>709</v>
      </c>
      <c r="N61" s="103" t="s">
        <v>710</v>
      </c>
      <c r="O61" s="103" t="s">
        <v>711</v>
      </c>
      <c r="P61" s="104"/>
      <c r="Q61" s="104"/>
      <c r="R61" s="104"/>
      <c r="S61" s="104"/>
      <c r="T61" s="104"/>
    </row>
    <row r="62" spans="1:20" ht="132" customHeight="1">
      <c r="A62" s="26" t="str">
        <v>Burritt Road</v>
      </c>
      <c r="B62" s="27" t="str">
        <v>NY</v>
      </c>
      <c r="C62" s="27" t="str">
        <f>Sites[[#This Row],[SOL'#]]</f>
        <v>SOL-10913</v>
      </c>
      <c r="D62" s="9">
        <v>280190</v>
      </c>
      <c r="E62" s="14">
        <v>116936.81</v>
      </c>
      <c r="F62" s="14">
        <f t="shared" si="4"/>
        <v>163253.19</v>
      </c>
      <c r="G62" s="15">
        <f t="shared" si="7"/>
        <v>1.3960804130025439</v>
      </c>
      <c r="H62" s="16">
        <v>329579.98</v>
      </c>
      <c r="I62" s="16">
        <f t="shared" si="5"/>
        <v>-49389.979999999981</v>
      </c>
      <c r="J62" s="15">
        <f t="shared" si="6"/>
        <v>-0.14985734266990364</v>
      </c>
      <c r="K62" s="50" t="s">
        <v>712</v>
      </c>
      <c r="L62" s="100" t="s">
        <v>713</v>
      </c>
      <c r="M62" s="103" t="s">
        <v>437</v>
      </c>
      <c r="N62" s="103" t="s">
        <v>714</v>
      </c>
      <c r="O62" s="104"/>
      <c r="P62" s="104"/>
      <c r="Q62" s="104"/>
      <c r="R62" s="104"/>
      <c r="S62" s="104"/>
      <c r="T62" s="104"/>
    </row>
    <row r="63" spans="1:20" ht="28.9">
      <c r="A63" s="24" t="str">
        <v>Villa Roma 1</v>
      </c>
      <c r="B63" s="25" t="str">
        <v>NY</v>
      </c>
      <c r="C63" s="25" t="str">
        <f>Sites[[#This Row],[SOL'#]]</f>
        <v>SOL-10914</v>
      </c>
      <c r="D63" s="20">
        <v>286622</v>
      </c>
      <c r="E63" s="10">
        <v>194.46</v>
      </c>
      <c r="F63" s="10">
        <f t="shared" si="4"/>
        <v>286427.53999999998</v>
      </c>
      <c r="G63" s="11">
        <f t="shared" si="7"/>
        <v>1472.9380849532035</v>
      </c>
      <c r="H63" s="12">
        <v>298485.21999999997</v>
      </c>
      <c r="I63" s="12">
        <f t="shared" si="5"/>
        <v>-11863.219999999972</v>
      </c>
      <c r="J63" s="64">
        <f t="shared" si="6"/>
        <v>-3.9744748500444925E-2</v>
      </c>
      <c r="K63" s="37" t="s">
        <v>715</v>
      </c>
      <c r="L63" s="110" t="s">
        <v>716</v>
      </c>
      <c r="M63" s="104"/>
      <c r="N63" s="104"/>
      <c r="O63" s="104"/>
      <c r="P63" s="104"/>
      <c r="Q63" s="104"/>
      <c r="R63" s="104"/>
      <c r="S63" s="104"/>
      <c r="T63" s="104"/>
    </row>
    <row r="64" spans="1:20" ht="15.6">
      <c r="A64" s="26" t="str">
        <v>Villa Roma 2</v>
      </c>
      <c r="B64" s="27" t="str">
        <v>NY</v>
      </c>
      <c r="C64" s="27" t="str">
        <f>Sites[[#This Row],[SOL'#]]</f>
        <v>SOL-10915</v>
      </c>
      <c r="D64" s="9">
        <v>279010</v>
      </c>
      <c r="E64" s="14">
        <v>291410.62</v>
      </c>
      <c r="F64" s="14">
        <f t="shared" si="4"/>
        <v>-12400.619999999995</v>
      </c>
      <c r="G64" s="15">
        <f t="shared" si="7"/>
        <v>-4.2553768287511264E-2</v>
      </c>
      <c r="H64" s="16">
        <v>290604.43</v>
      </c>
      <c r="I64" s="16">
        <f t="shared" si="5"/>
        <v>-11594.429999999993</v>
      </c>
      <c r="J64" s="15">
        <f t="shared" si="6"/>
        <v>-3.989763679789738E-2</v>
      </c>
      <c r="K64" s="63"/>
      <c r="L64" s="39"/>
      <c r="M64" s="104"/>
      <c r="N64" s="104"/>
      <c r="O64" s="104"/>
      <c r="P64" s="104"/>
      <c r="Q64" s="104"/>
      <c r="R64" s="104"/>
      <c r="S64" s="104"/>
      <c r="T64" s="104"/>
    </row>
    <row r="65" spans="1:20" ht="15.6">
      <c r="A65" s="24" t="str">
        <v>Washington 1</v>
      </c>
      <c r="B65" s="25" t="str">
        <v>NY</v>
      </c>
      <c r="C65" s="25" t="str">
        <f>Sites[[#This Row],[SOL'#]]</f>
        <v>SOL-10912</v>
      </c>
      <c r="D65" s="20">
        <v>315950</v>
      </c>
      <c r="E65" s="10">
        <v>331351.51</v>
      </c>
      <c r="F65" s="10">
        <f t="shared" si="4"/>
        <v>-15401.510000000009</v>
      </c>
      <c r="G65" s="11">
        <f t="shared" si="7"/>
        <v>-4.6480880681666455E-2</v>
      </c>
      <c r="H65" s="12">
        <v>326068.02</v>
      </c>
      <c r="I65" s="12">
        <f t="shared" si="5"/>
        <v>-10118.020000000019</v>
      </c>
      <c r="J65" s="64">
        <f t="shared" si="6"/>
        <v>-3.1030396663861787E-2</v>
      </c>
      <c r="K65" s="37"/>
      <c r="L65" s="37"/>
      <c r="M65" s="104"/>
      <c r="N65" s="104"/>
      <c r="O65" s="104"/>
      <c r="P65" s="104"/>
      <c r="Q65" s="104"/>
      <c r="R65" s="104"/>
      <c r="S65" s="104"/>
      <c r="T65" s="104"/>
    </row>
    <row r="66" spans="1:20" ht="137.25" customHeight="1">
      <c r="A66" s="26" t="str">
        <v>Washington 3</v>
      </c>
      <c r="B66" s="27" t="str">
        <v>NY</v>
      </c>
      <c r="C66" s="27" t="str">
        <f>Sites[[#This Row],[SOL'#]]</f>
        <v>SOL-10828</v>
      </c>
      <c r="D66" s="9">
        <v>371264</v>
      </c>
      <c r="E66" s="14">
        <v>55062.59</v>
      </c>
      <c r="F66" s="14">
        <f t="shared" si="4"/>
        <v>316201.41000000003</v>
      </c>
      <c r="G66" s="15">
        <f t="shared" si="7"/>
        <v>5.7425814877215196</v>
      </c>
      <c r="H66" s="16">
        <v>398873.79</v>
      </c>
      <c r="I66" s="16">
        <f t="shared" si="5"/>
        <v>-27609.789999999979</v>
      </c>
      <c r="J66" s="15">
        <f t="shared" si="6"/>
        <v>-6.9219363849402041E-2</v>
      </c>
      <c r="K66" s="50" t="s">
        <v>717</v>
      </c>
      <c r="L66" s="100" t="s">
        <v>718</v>
      </c>
      <c r="M66" s="103" t="s">
        <v>719</v>
      </c>
      <c r="N66" s="104"/>
      <c r="O66" s="104"/>
      <c r="P66" s="104"/>
      <c r="Q66" s="104"/>
      <c r="R66" s="104"/>
      <c r="S66" s="104"/>
      <c r="T66" s="104"/>
    </row>
    <row r="67" spans="1:20" ht="15.6">
      <c r="A67" s="24" t="str">
        <v>Washington 4</v>
      </c>
      <c r="B67" s="25" t="str">
        <v>NY</v>
      </c>
      <c r="C67" s="25" t="str">
        <f>Sites[[#This Row],[SOL'#]]</f>
        <v>SOL-10829</v>
      </c>
      <c r="D67" s="20">
        <v>381372.7</v>
      </c>
      <c r="E67" s="10">
        <v>396735.8</v>
      </c>
      <c r="F67" s="10">
        <f t="shared" si="4"/>
        <v>-15363.099999999977</v>
      </c>
      <c r="G67" s="11">
        <f t="shared" si="7"/>
        <v>-3.8723755204344998E-2</v>
      </c>
      <c r="H67" s="12">
        <v>399701.27</v>
      </c>
      <c r="I67" s="12">
        <f t="shared" si="5"/>
        <v>-18328.570000000007</v>
      </c>
      <c r="J67" s="64">
        <f t="shared" si="6"/>
        <v>-4.5855671161615291E-2</v>
      </c>
      <c r="K67" s="37"/>
      <c r="L67" s="37"/>
      <c r="M67" s="104"/>
      <c r="N67" s="104"/>
      <c r="O67" s="104"/>
      <c r="P67" s="104"/>
      <c r="Q67" s="104"/>
      <c r="R67" s="104"/>
      <c r="S67" s="104"/>
      <c r="T67" s="104"/>
    </row>
    <row r="68" spans="1:20" ht="15.6">
      <c r="A68" s="26" t="str">
        <v>Big Tree</v>
      </c>
      <c r="B68" s="27" t="str">
        <v>NY</v>
      </c>
      <c r="C68" s="27" t="str">
        <f>Sites[[#This Row],[SOL'#]]</f>
        <v>SOL-10966</v>
      </c>
      <c r="D68" s="9">
        <v>321144</v>
      </c>
      <c r="E68" s="14" t="s">
        <v>661</v>
      </c>
      <c r="F68" s="14" t="str">
        <f t="shared" si="4"/>
        <v/>
      </c>
      <c r="G68" s="15" t="str">
        <f t="shared" si="7"/>
        <v/>
      </c>
      <c r="H68" s="16">
        <v>323746.34999999998</v>
      </c>
      <c r="I68" s="16">
        <f t="shared" si="5"/>
        <v>-2602.3499999999767</v>
      </c>
      <c r="J68" s="15">
        <f t="shared" si="6"/>
        <v>-8.0382373422896568E-3</v>
      </c>
      <c r="K68" s="70" t="s">
        <v>720</v>
      </c>
      <c r="L68" s="123" t="s">
        <v>721</v>
      </c>
      <c r="M68" s="104"/>
      <c r="N68" s="104"/>
      <c r="O68" s="104"/>
      <c r="P68" s="104"/>
      <c r="Q68" s="104"/>
      <c r="R68" s="104"/>
      <c r="S68" s="104"/>
      <c r="T68" s="104"/>
    </row>
    <row r="69" spans="1:20" ht="40.5" customHeight="1">
      <c r="A69" s="24" t="str">
        <v>Canoga</v>
      </c>
      <c r="B69" s="25" t="str">
        <v>NY</v>
      </c>
      <c r="C69" s="25" t="str">
        <f>Sites[[#This Row],[SOL'#]]</f>
        <v>SOL-10965</v>
      </c>
      <c r="D69" s="20">
        <v>0</v>
      </c>
      <c r="E69" s="10" t="s">
        <v>661</v>
      </c>
      <c r="F69" s="10" t="str">
        <f t="shared" si="4"/>
        <v/>
      </c>
      <c r="G69" s="11" t="str">
        <f t="shared" si="7"/>
        <v/>
      </c>
      <c r="H69" s="12"/>
      <c r="I69" s="12" t="str">
        <f t="shared" si="5"/>
        <v/>
      </c>
      <c r="J69" s="64" t="str">
        <f t="shared" si="6"/>
        <v/>
      </c>
      <c r="K69" s="37" t="s">
        <v>722</v>
      </c>
      <c r="L69" s="110" t="s">
        <v>723</v>
      </c>
      <c r="M69" s="104"/>
      <c r="N69" s="104"/>
      <c r="O69" s="104"/>
      <c r="P69" s="104"/>
      <c r="Q69" s="104"/>
      <c r="R69" s="104"/>
      <c r="S69" s="104"/>
      <c r="T69" s="104"/>
    </row>
    <row r="70" spans="1:20" ht="15.6">
      <c r="A70" s="26" t="str">
        <v>County Route 84</v>
      </c>
      <c r="B70" s="27" t="str">
        <v>NY</v>
      </c>
      <c r="C70" s="27" t="str">
        <f>Sites[[#This Row],[SOL'#]]</f>
        <v>SOL-10967</v>
      </c>
      <c r="D70" s="9">
        <v>854850</v>
      </c>
      <c r="E70" s="14" t="s">
        <v>661</v>
      </c>
      <c r="F70" s="14" t="str">
        <f t="shared" si="4"/>
        <v/>
      </c>
      <c r="G70" s="15" t="str">
        <f t="shared" si="7"/>
        <v/>
      </c>
      <c r="H70" s="16">
        <v>857242.25</v>
      </c>
      <c r="I70" s="16">
        <f t="shared" si="5"/>
        <v>-2392.25</v>
      </c>
      <c r="J70" s="15">
        <f t="shared" si="6"/>
        <v>-2.790634735980407E-3</v>
      </c>
      <c r="K70" s="59" t="s">
        <v>724</v>
      </c>
      <c r="L70" s="129" t="s">
        <v>725</v>
      </c>
      <c r="M70" s="104"/>
      <c r="N70" s="104"/>
      <c r="O70" s="104"/>
      <c r="P70" s="104"/>
      <c r="Q70" s="104"/>
      <c r="R70" s="104"/>
      <c r="S70" s="104"/>
      <c r="T70" s="104"/>
    </row>
    <row r="71" spans="1:20" ht="106.5" customHeight="1">
      <c r="A71" s="24" t="str">
        <v>Donati</v>
      </c>
      <c r="B71" s="25" t="str">
        <v>NY</v>
      </c>
      <c r="C71" s="25" t="str">
        <f>Sites[[#This Row],[SOL'#]]</f>
        <v>SOL-10968</v>
      </c>
      <c r="D71" s="20">
        <v>338220</v>
      </c>
      <c r="E71" s="10" t="s">
        <v>661</v>
      </c>
      <c r="F71" s="10" t="str">
        <f t="shared" si="4"/>
        <v/>
      </c>
      <c r="G71" s="11" t="str">
        <f t="shared" si="7"/>
        <v/>
      </c>
      <c r="H71" s="12">
        <v>408878.12</v>
      </c>
      <c r="I71" s="12">
        <f t="shared" si="5"/>
        <v>-70658.12</v>
      </c>
      <c r="J71" s="64">
        <f t="shared" si="6"/>
        <v>-0.17280973606511396</v>
      </c>
      <c r="K71" s="58" t="s">
        <v>726</v>
      </c>
      <c r="L71" s="130" t="s">
        <v>727</v>
      </c>
      <c r="M71" s="103" t="s">
        <v>458</v>
      </c>
      <c r="N71" s="103" t="s">
        <v>728</v>
      </c>
      <c r="O71" s="103" t="s">
        <v>729</v>
      </c>
      <c r="P71" s="104"/>
      <c r="Q71" s="104"/>
      <c r="R71" s="104"/>
      <c r="S71" s="104"/>
      <c r="T71" s="104"/>
    </row>
    <row r="72" spans="1:20" ht="211.5" customHeight="1">
      <c r="A72" s="26" t="str">
        <v>Henrietta</v>
      </c>
      <c r="B72" s="27" t="str">
        <v>NY</v>
      </c>
      <c r="C72" s="27" t="str">
        <f>Sites[[#This Row],[SOL'#]]</f>
        <v>SOL-10972</v>
      </c>
      <c r="D72" s="9">
        <v>414260</v>
      </c>
      <c r="E72" s="14" t="s">
        <v>661</v>
      </c>
      <c r="F72" s="14" t="str">
        <f t="shared" si="4"/>
        <v/>
      </c>
      <c r="G72" s="15" t="str">
        <f t="shared" si="7"/>
        <v/>
      </c>
      <c r="H72" s="16">
        <v>858985.29</v>
      </c>
      <c r="I72" s="16">
        <f t="shared" si="5"/>
        <v>-444725.29000000004</v>
      </c>
      <c r="J72" s="15">
        <f t="shared" si="6"/>
        <v>-0.51773330134675533</v>
      </c>
      <c r="K72" s="132" t="s">
        <v>730</v>
      </c>
      <c r="L72" s="111" t="s">
        <v>731</v>
      </c>
      <c r="M72" s="103" t="s">
        <v>732</v>
      </c>
      <c r="N72" s="103" t="s">
        <v>732</v>
      </c>
      <c r="O72" s="103" t="s">
        <v>733</v>
      </c>
      <c r="P72" s="103" t="s">
        <v>734</v>
      </c>
      <c r="Q72" s="104"/>
      <c r="R72" s="104"/>
      <c r="S72" s="104"/>
      <c r="T72" s="104"/>
    </row>
    <row r="73" spans="1:20" ht="116.25" customHeight="1">
      <c r="A73" s="24" t="str">
        <v>NY 70</v>
      </c>
      <c r="B73" s="25" t="str">
        <v>NY</v>
      </c>
      <c r="C73" s="25" t="str">
        <f>Sites[[#This Row],[SOL'#]]</f>
        <v>SOL-10970</v>
      </c>
      <c r="D73" s="20">
        <v>756760</v>
      </c>
      <c r="E73" s="10" t="s">
        <v>661</v>
      </c>
      <c r="F73" s="10" t="str">
        <f t="shared" si="4"/>
        <v/>
      </c>
      <c r="G73" s="11" t="str">
        <f t="shared" si="7"/>
        <v/>
      </c>
      <c r="H73" s="12">
        <v>978510.51</v>
      </c>
      <c r="I73" s="12">
        <f t="shared" si="5"/>
        <v>-221750.51</v>
      </c>
      <c r="J73" s="64">
        <f t="shared" si="6"/>
        <v>-0.22662046828704988</v>
      </c>
      <c r="K73" s="58" t="s">
        <v>735</v>
      </c>
      <c r="L73" s="130" t="s">
        <v>736</v>
      </c>
      <c r="M73" s="103" t="s">
        <v>737</v>
      </c>
      <c r="N73" s="103" t="s">
        <v>738</v>
      </c>
      <c r="O73" s="104"/>
      <c r="P73" s="104"/>
      <c r="Q73" s="104"/>
      <c r="R73" s="104"/>
      <c r="S73" s="104"/>
      <c r="T73" s="104"/>
    </row>
    <row r="74" spans="1:20" ht="316.89999999999998">
      <c r="A74" s="26" t="str">
        <v>Reid</v>
      </c>
      <c r="B74" s="27" t="str">
        <v>NY</v>
      </c>
      <c r="C74" s="27" t="str">
        <f>Sites[[#This Row],[SOL'#]]</f>
        <v>SOL-10991</v>
      </c>
      <c r="D74" s="9">
        <v>661842.94276094402</v>
      </c>
      <c r="E74" s="14">
        <v>631012</v>
      </c>
      <c r="F74" s="14">
        <f t="shared" si="4"/>
        <v>30830.942760944017</v>
      </c>
      <c r="G74" s="15">
        <f t="shared" si="7"/>
        <v>4.885951893299021E-2</v>
      </c>
      <c r="H74" s="16">
        <v>766909</v>
      </c>
      <c r="I74" s="16">
        <f t="shared" si="5"/>
        <v>-105066.05723905598</v>
      </c>
      <c r="J74" s="15">
        <f t="shared" si="6"/>
        <v>-0.13699937963833517</v>
      </c>
      <c r="K74" s="50" t="s">
        <v>739</v>
      </c>
      <c r="L74" s="111" t="s">
        <v>740</v>
      </c>
      <c r="M74" s="103" t="s">
        <v>741</v>
      </c>
      <c r="N74" s="103" t="s">
        <v>470</v>
      </c>
      <c r="O74" s="103" t="s">
        <v>742</v>
      </c>
      <c r="P74" s="103" t="s">
        <v>743</v>
      </c>
      <c r="Q74" s="103" t="s">
        <v>744</v>
      </c>
      <c r="R74" s="103" t="s">
        <v>745</v>
      </c>
      <c r="S74" s="103" t="s">
        <v>746</v>
      </c>
      <c r="T74" s="103" t="s">
        <v>747</v>
      </c>
    </row>
    <row r="75" spans="1:20" ht="125.25" customHeight="1">
      <c r="A75" s="24" t="str">
        <v>Sangolqui</v>
      </c>
      <c r="B75" s="25" t="str">
        <v>NY</v>
      </c>
      <c r="C75" s="25" t="str">
        <f>Sites[[#This Row],[SOL'#]]</f>
        <v>SOL-10975</v>
      </c>
      <c r="D75" s="20">
        <v>351500</v>
      </c>
      <c r="E75" s="10" t="s">
        <v>661</v>
      </c>
      <c r="F75" s="10" t="str">
        <f t="shared" si="4"/>
        <v/>
      </c>
      <c r="G75" s="11" t="str">
        <f t="shared" si="7"/>
        <v/>
      </c>
      <c r="H75" s="12">
        <v>400067.19</v>
      </c>
      <c r="I75" s="12">
        <f t="shared" si="5"/>
        <v>-48567.19</v>
      </c>
      <c r="J75" s="64">
        <f t="shared" si="6"/>
        <v>-0.12139758324095511</v>
      </c>
      <c r="K75" s="37" t="s">
        <v>748</v>
      </c>
      <c r="L75" s="110" t="s">
        <v>749</v>
      </c>
      <c r="M75" s="103" t="s">
        <v>750</v>
      </c>
      <c r="N75" s="103" t="s">
        <v>751</v>
      </c>
      <c r="O75" s="104"/>
      <c r="P75" s="104"/>
      <c r="Q75" s="104"/>
      <c r="R75" s="104"/>
      <c r="S75" s="104"/>
      <c r="T75" s="104"/>
    </row>
    <row r="76" spans="1:20" ht="15.6">
      <c r="A76" s="26" t="str">
        <v>State Highway 17B</v>
      </c>
      <c r="B76" s="27" t="str">
        <v>NY</v>
      </c>
      <c r="C76" s="27" t="str">
        <f>Sites[[#This Row],[SOL'#]]</f>
        <v>SOL-10988</v>
      </c>
      <c r="D76" s="9">
        <v>690070</v>
      </c>
      <c r="E76" s="14" t="s">
        <v>661</v>
      </c>
      <c r="F76" s="14" t="str">
        <f t="shared" si="4"/>
        <v/>
      </c>
      <c r="G76" s="15" t="str">
        <f t="shared" si="7"/>
        <v/>
      </c>
      <c r="H76" s="16">
        <v>753209.8</v>
      </c>
      <c r="I76" s="16">
        <f t="shared" si="5"/>
        <v>-63139.800000000047</v>
      </c>
      <c r="J76" s="15">
        <f t="shared" si="6"/>
        <v>-8.3827640054603705E-2</v>
      </c>
      <c r="K76" s="38"/>
      <c r="L76" s="39"/>
      <c r="M76" s="104"/>
      <c r="N76" s="104"/>
      <c r="O76" s="104"/>
      <c r="P76" s="104"/>
      <c r="Q76" s="104"/>
      <c r="R76" s="104"/>
      <c r="S76" s="104"/>
      <c r="T76" s="104"/>
    </row>
    <row r="77" spans="1:20" ht="49.5" customHeight="1">
      <c r="A77" s="24" t="str">
        <v>State Route 14A</v>
      </c>
      <c r="B77" s="25" t="str">
        <v>NY</v>
      </c>
      <c r="C77" s="25" t="str">
        <f>Sites[[#This Row],[SOL'#]]</f>
        <v>SOL-10997</v>
      </c>
      <c r="D77" s="20">
        <v>44015</v>
      </c>
      <c r="E77" s="10" t="s">
        <v>661</v>
      </c>
      <c r="F77" s="10" t="str">
        <f t="shared" si="4"/>
        <v/>
      </c>
      <c r="G77" s="11" t="str">
        <f t="shared" si="7"/>
        <v/>
      </c>
      <c r="H77" s="12">
        <v>848546.08</v>
      </c>
      <c r="I77" s="12">
        <f t="shared" si="5"/>
        <v>-804531.08</v>
      </c>
      <c r="J77" s="64">
        <f t="shared" si="6"/>
        <v>-0.94812892188483155</v>
      </c>
      <c r="K77" s="58" t="s">
        <v>752</v>
      </c>
      <c r="L77" s="130" t="s">
        <v>753</v>
      </c>
      <c r="M77" s="104"/>
      <c r="N77" s="104"/>
      <c r="O77" s="104"/>
      <c r="P77" s="104"/>
      <c r="Q77" s="104"/>
      <c r="R77" s="104"/>
      <c r="S77" s="104"/>
      <c r="T77" s="104"/>
    </row>
    <row r="78" spans="1:20" ht="28.9">
      <c r="A78" s="26" t="str">
        <v>West Creek</v>
      </c>
      <c r="B78" s="27" t="str">
        <v>NY</v>
      </c>
      <c r="C78" s="27" t="str">
        <f>Sites[[#This Row],[SOL'#]]</f>
        <v>SOL-10995</v>
      </c>
      <c r="D78" s="9">
        <v>776940</v>
      </c>
      <c r="E78" s="14" t="s">
        <v>661</v>
      </c>
      <c r="F78" s="14" t="str">
        <f t="shared" si="4"/>
        <v/>
      </c>
      <c r="G78" s="15" t="str">
        <f t="shared" si="7"/>
        <v/>
      </c>
      <c r="H78" s="16">
        <v>828525.56</v>
      </c>
      <c r="I78" s="16">
        <f t="shared" si="5"/>
        <v>-51585.560000000056</v>
      </c>
      <c r="J78" s="15">
        <f t="shared" si="6"/>
        <v>-6.2261881214624268E-2</v>
      </c>
      <c r="K78" s="61" t="s">
        <v>754</v>
      </c>
      <c r="L78" s="102" t="s">
        <v>755</v>
      </c>
      <c r="M78" s="104"/>
      <c r="N78" s="104"/>
      <c r="O78" s="104"/>
      <c r="P78" s="104"/>
      <c r="Q78" s="104"/>
      <c r="R78" s="104"/>
      <c r="S78" s="104"/>
      <c r="T78" s="104"/>
    </row>
    <row r="79" spans="1:20" ht="15.6">
      <c r="A79" s="24" t="str">
        <v>Wildflower</v>
      </c>
      <c r="B79" s="25" t="str">
        <v>NY</v>
      </c>
      <c r="C79" s="25" t="str">
        <f>Sites[[#This Row],[SOL'#]]</f>
        <v>SOL-10982</v>
      </c>
      <c r="D79" s="20">
        <v>759563</v>
      </c>
      <c r="E79" s="10" t="s">
        <v>661</v>
      </c>
      <c r="F79" s="10" t="str">
        <f t="shared" si="4"/>
        <v/>
      </c>
      <c r="G79" s="11" t="str">
        <f t="shared" si="7"/>
        <v/>
      </c>
      <c r="H79" s="12">
        <v>842400.75</v>
      </c>
      <c r="I79" s="12">
        <f t="shared" si="5"/>
        <v>-82837.75</v>
      </c>
      <c r="J79" s="64">
        <f t="shared" si="6"/>
        <v>-9.8335323181989093E-2</v>
      </c>
      <c r="K79" s="37"/>
      <c r="L79" s="37"/>
      <c r="M79" s="104"/>
      <c r="N79" s="104"/>
      <c r="O79" s="104"/>
      <c r="P79" s="104"/>
      <c r="Q79" s="104"/>
      <c r="R79" s="104"/>
      <c r="S79" s="104"/>
      <c r="T79" s="104"/>
    </row>
    <row r="80" spans="1:20" ht="15.6">
      <c r="A80" s="26" t="str">
        <v>Glen Mary 1</v>
      </c>
      <c r="B80" s="27" t="str">
        <v>NY</v>
      </c>
      <c r="C80" s="27" t="str">
        <f>Sites[[#This Row],[SOL'#]]</f>
        <v>SOL-10993</v>
      </c>
      <c r="D80" s="9">
        <v>806620</v>
      </c>
      <c r="E80" s="14" t="s">
        <v>661</v>
      </c>
      <c r="F80" s="14" t="str">
        <f t="shared" si="4"/>
        <v/>
      </c>
      <c r="G80" s="15" t="str">
        <f t="shared" si="7"/>
        <v/>
      </c>
      <c r="H80" s="16">
        <v>858725.86</v>
      </c>
      <c r="I80" s="16">
        <f t="shared" si="5"/>
        <v>-52105.859999999986</v>
      </c>
      <c r="J80" s="15">
        <f t="shared" si="6"/>
        <v>-6.0678107446304211E-2</v>
      </c>
      <c r="K80" s="38"/>
      <c r="L80" s="39"/>
      <c r="M80" s="104"/>
      <c r="N80" s="104"/>
      <c r="O80" s="104"/>
      <c r="P80" s="104"/>
      <c r="Q80" s="104"/>
      <c r="R80" s="104"/>
      <c r="S80" s="104"/>
      <c r="T80" s="104"/>
    </row>
    <row r="81" spans="1:20" ht="15.6">
      <c r="A81" s="24" t="str">
        <v>Glen Mary 2</v>
      </c>
      <c r="B81" s="25" t="str">
        <v>NY</v>
      </c>
      <c r="C81" s="25" t="str">
        <f>Sites[[#This Row],[SOL'#]]</f>
        <v>SOL-10994</v>
      </c>
      <c r="D81" s="20">
        <v>352610</v>
      </c>
      <c r="E81" s="10" t="s">
        <v>661</v>
      </c>
      <c r="F81" s="10" t="str">
        <f t="shared" si="4"/>
        <v/>
      </c>
      <c r="G81" s="11" t="str">
        <f t="shared" si="7"/>
        <v/>
      </c>
      <c r="H81" s="12">
        <v>366971.2</v>
      </c>
      <c r="I81" s="12">
        <f t="shared" si="5"/>
        <v>-14361.200000000012</v>
      </c>
      <c r="J81" s="64">
        <f t="shared" si="6"/>
        <v>-3.9134406187733561E-2</v>
      </c>
      <c r="K81" s="37"/>
      <c r="L81" s="37"/>
      <c r="M81" s="104"/>
      <c r="N81" s="104"/>
      <c r="O81" s="104"/>
      <c r="P81" s="104"/>
      <c r="Q81" s="104"/>
      <c r="R81" s="104"/>
      <c r="S81" s="104"/>
      <c r="T81" s="104"/>
    </row>
    <row r="82" spans="1:20" ht="15.6">
      <c r="A82" s="26" t="str">
        <v>Telegraph 1</v>
      </c>
      <c r="B82" s="27" t="str">
        <v>NY</v>
      </c>
      <c r="C82" s="27" t="str">
        <f>Sites[[#This Row],[SOL'#]]</f>
        <v>SOL-11003</v>
      </c>
      <c r="D82" s="9">
        <v>609182</v>
      </c>
      <c r="E82" s="14" t="s">
        <v>661</v>
      </c>
      <c r="F82" s="14" t="str">
        <f t="shared" si="4"/>
        <v/>
      </c>
      <c r="G82" s="15" t="str">
        <f t="shared" si="7"/>
        <v/>
      </c>
      <c r="H82" s="16">
        <v>599655.38</v>
      </c>
      <c r="I82" s="16">
        <f t="shared" si="5"/>
        <v>9526.6199999999953</v>
      </c>
      <c r="J82" s="15">
        <f t="shared" si="6"/>
        <v>1.5886824862640266E-2</v>
      </c>
      <c r="K82" s="38" t="s">
        <v>756</v>
      </c>
      <c r="L82" s="111" t="s">
        <v>757</v>
      </c>
      <c r="M82" s="104"/>
      <c r="N82" s="104"/>
      <c r="O82" s="104"/>
      <c r="P82" s="104"/>
      <c r="Q82" s="104"/>
      <c r="R82" s="104"/>
      <c r="S82" s="104"/>
      <c r="T82" s="104"/>
    </row>
    <row r="83" spans="1:20" ht="43.15">
      <c r="A83" s="24" t="str">
        <v>Telegraph 2</v>
      </c>
      <c r="B83" s="25" t="str">
        <v>NY</v>
      </c>
      <c r="C83" s="25" t="str">
        <f>Sites[[#This Row],[SOL'#]]</f>
        <v>SOL-11004</v>
      </c>
      <c r="D83" s="20">
        <v>322296</v>
      </c>
      <c r="E83" s="10" t="s">
        <v>661</v>
      </c>
      <c r="F83" s="10" t="str">
        <f t="shared" si="4"/>
        <v/>
      </c>
      <c r="G83" s="11" t="str">
        <f t="shared" si="7"/>
        <v/>
      </c>
      <c r="H83" s="12">
        <v>311979</v>
      </c>
      <c r="I83" s="12">
        <f t="shared" si="5"/>
        <v>10317</v>
      </c>
      <c r="J83" s="64">
        <f t="shared" si="6"/>
        <v>3.306953352629504E-2</v>
      </c>
      <c r="K83" s="37" t="s">
        <v>758</v>
      </c>
      <c r="L83" s="110" t="s">
        <v>759</v>
      </c>
      <c r="M83" s="103" t="s">
        <v>760</v>
      </c>
      <c r="N83" s="104"/>
      <c r="O83" s="104"/>
      <c r="P83" s="104"/>
      <c r="Q83" s="104"/>
      <c r="R83" s="104"/>
      <c r="S83" s="104"/>
      <c r="T83" s="104"/>
    </row>
    <row r="84" spans="1:20" ht="15.6">
      <c r="A84" s="26" t="str">
        <v>Cafferty Hill</v>
      </c>
      <c r="B84" s="27" t="str">
        <v>NY</v>
      </c>
      <c r="C84" s="27" t="str">
        <f>Sites[[#This Row],[SOL'#]]</f>
        <v>SOL-10996</v>
      </c>
      <c r="D84" s="9">
        <v>768050</v>
      </c>
      <c r="E84" s="14" t="s">
        <v>661</v>
      </c>
      <c r="F84" s="14" t="str">
        <f t="shared" si="4"/>
        <v/>
      </c>
      <c r="G84" s="15" t="str">
        <f t="shared" si="7"/>
        <v/>
      </c>
      <c r="H84" s="16">
        <v>806343.49</v>
      </c>
      <c r="I84" s="16">
        <f t="shared" si="5"/>
        <v>-38293.489999999991</v>
      </c>
      <c r="J84" s="15">
        <f t="shared" si="6"/>
        <v>-4.7490294737792191E-2</v>
      </c>
      <c r="K84" s="38"/>
      <c r="L84" s="38"/>
      <c r="M84" s="104"/>
      <c r="N84" s="104"/>
      <c r="O84" s="104"/>
      <c r="P84" s="104"/>
      <c r="Q84" s="104"/>
      <c r="R84" s="104"/>
      <c r="S84" s="104"/>
      <c r="T84" s="104"/>
    </row>
    <row r="85" spans="1:20" ht="138.75" customHeight="1">
      <c r="A85" s="24" t="str">
        <v>Dunkleman</v>
      </c>
      <c r="B85" s="25" t="str">
        <v>NY</v>
      </c>
      <c r="C85" s="25" t="str">
        <f>Sites[[#This Row],[SOL'#]]</f>
        <v>SOL-11008</v>
      </c>
      <c r="D85" s="20">
        <v>865550</v>
      </c>
      <c r="E85" s="10" t="s">
        <v>661</v>
      </c>
      <c r="F85" s="10" t="str">
        <f t="shared" si="4"/>
        <v/>
      </c>
      <c r="G85" s="11" t="str">
        <f t="shared" si="7"/>
        <v/>
      </c>
      <c r="H85" s="12">
        <v>1009142.13</v>
      </c>
      <c r="I85" s="12">
        <f t="shared" si="5"/>
        <v>-143592.13</v>
      </c>
      <c r="J85" s="64">
        <f t="shared" si="6"/>
        <v>-0.14229128457851623</v>
      </c>
      <c r="K85" s="37" t="s">
        <v>761</v>
      </c>
      <c r="L85" s="130" t="s">
        <v>762</v>
      </c>
      <c r="M85" s="103" t="s">
        <v>763</v>
      </c>
      <c r="N85" s="104"/>
      <c r="O85" s="104"/>
      <c r="P85" s="104"/>
      <c r="Q85" s="104"/>
      <c r="R85" s="104"/>
      <c r="S85" s="104"/>
      <c r="T85" s="104"/>
    </row>
    <row r="86" spans="1:20" ht="15.6">
      <c r="A86" s="26" t="str">
        <v>Route 19 1</v>
      </c>
      <c r="B86" s="27" t="str">
        <v>NY</v>
      </c>
      <c r="C86" s="27" t="str">
        <f>Sites[[#This Row],[SOL'#]]</f>
        <v>SOL-11001</v>
      </c>
      <c r="D86" s="9">
        <v>377130</v>
      </c>
      <c r="E86" s="14" t="s">
        <v>661</v>
      </c>
      <c r="F86" s="14" t="str">
        <f t="shared" si="4"/>
        <v/>
      </c>
      <c r="G86" s="15" t="str">
        <f t="shared" si="7"/>
        <v/>
      </c>
      <c r="H86" s="16">
        <v>405489.67</v>
      </c>
      <c r="I86" s="16">
        <f t="shared" si="5"/>
        <v>-28359.669999999984</v>
      </c>
      <c r="J86" s="15">
        <f t="shared" si="6"/>
        <v>-6.9939315593415693E-2</v>
      </c>
      <c r="K86" s="38" t="s">
        <v>764</v>
      </c>
      <c r="L86" s="102" t="s">
        <v>765</v>
      </c>
      <c r="M86" s="104"/>
      <c r="N86" s="104"/>
      <c r="O86" s="104"/>
      <c r="P86" s="104"/>
      <c r="Q86" s="104"/>
      <c r="R86" s="104"/>
      <c r="S86" s="104"/>
      <c r="T86" s="104"/>
    </row>
    <row r="87" spans="1:20" ht="15.6">
      <c r="A87" s="24" t="str">
        <v>Route 19 2</v>
      </c>
      <c r="B87" s="25" t="str">
        <v>NY</v>
      </c>
      <c r="C87" s="25" t="str">
        <f>Sites[[#This Row],[SOL'#]]</f>
        <v>SOL-11002</v>
      </c>
      <c r="D87" s="20">
        <v>925110</v>
      </c>
      <c r="E87" s="10" t="s">
        <v>661</v>
      </c>
      <c r="F87" s="10" t="str">
        <f t="shared" si="4"/>
        <v/>
      </c>
      <c r="G87" s="11" t="str">
        <f t="shared" si="7"/>
        <v/>
      </c>
      <c r="H87" s="12">
        <v>1002309.25</v>
      </c>
      <c r="I87" s="12">
        <f t="shared" si="5"/>
        <v>-77199.25</v>
      </c>
      <c r="J87" s="64">
        <f t="shared" si="6"/>
        <v>-7.702138835893213E-2</v>
      </c>
      <c r="K87" s="37" t="s">
        <v>766</v>
      </c>
      <c r="L87" s="110" t="s">
        <v>767</v>
      </c>
      <c r="M87" s="104"/>
      <c r="N87" s="104"/>
      <c r="O87" s="104"/>
      <c r="P87" s="104"/>
      <c r="Q87" s="104"/>
      <c r="R87" s="104"/>
      <c r="S87" s="104"/>
      <c r="T87" s="104"/>
    </row>
    <row r="88" spans="1:20" ht="15.6">
      <c r="A88" s="26" t="str">
        <v>Yellow Mills 1</v>
      </c>
      <c r="B88" s="27" t="str">
        <v>NY</v>
      </c>
      <c r="C88" s="27" t="str">
        <f>Sites[[#This Row],[SOL'#]]</f>
        <v>SOL-11006</v>
      </c>
      <c r="D88" s="9">
        <v>344742</v>
      </c>
      <c r="E88" s="14" t="s">
        <v>661</v>
      </c>
      <c r="F88" s="14" t="str">
        <f t="shared" si="4"/>
        <v/>
      </c>
      <c r="G88" s="15" t="str">
        <f t="shared" si="7"/>
        <v/>
      </c>
      <c r="H88" s="16">
        <v>353655.16</v>
      </c>
      <c r="I88" s="16">
        <f t="shared" si="5"/>
        <v>-8913.1599999999744</v>
      </c>
      <c r="J88" s="15">
        <f t="shared" si="6"/>
        <v>-2.5202968903380273E-2</v>
      </c>
      <c r="K88" s="38"/>
      <c r="L88" s="39"/>
      <c r="M88" s="104"/>
      <c r="N88" s="104"/>
      <c r="O88" s="104"/>
      <c r="P88" s="104"/>
      <c r="Q88" s="104"/>
      <c r="R88" s="104"/>
      <c r="S88" s="104"/>
      <c r="T88" s="104"/>
    </row>
    <row r="89" spans="1:20" ht="15.6">
      <c r="A89" s="24" t="str">
        <v>Yellow Mills 2</v>
      </c>
      <c r="B89" s="25" t="str">
        <v>NY</v>
      </c>
      <c r="C89" s="25" t="str">
        <f>Sites[[#This Row],[SOL'#]]</f>
        <v>SOL-11005</v>
      </c>
      <c r="D89" s="20">
        <v>340313</v>
      </c>
      <c r="E89" s="10" t="s">
        <v>661</v>
      </c>
      <c r="F89" s="10" t="str">
        <f t="shared" si="4"/>
        <v/>
      </c>
      <c r="G89" s="11" t="str">
        <f t="shared" si="7"/>
        <v/>
      </c>
      <c r="H89" s="12">
        <v>363985.19</v>
      </c>
      <c r="I89" s="12">
        <f t="shared" si="5"/>
        <v>-23672.190000000002</v>
      </c>
      <c r="J89" s="64">
        <f t="shared" si="6"/>
        <v>-6.5036135124069208E-2</v>
      </c>
      <c r="K89" s="37"/>
      <c r="L89" s="37"/>
      <c r="M89" s="118"/>
      <c r="N89" s="104"/>
      <c r="O89" s="104"/>
      <c r="P89" s="104"/>
      <c r="Q89" s="104"/>
      <c r="R89" s="104"/>
      <c r="S89" s="104"/>
      <c r="T89" s="104"/>
    </row>
    <row r="90" spans="1:20" ht="15.6">
      <c r="A90" s="26" t="str">
        <v>Yellow Mills 3</v>
      </c>
      <c r="B90" s="27" t="str">
        <v>NY</v>
      </c>
      <c r="C90" s="27" t="str">
        <f>Sites[[#This Row],[SOL'#]]</f>
        <v>SOL-11007</v>
      </c>
      <c r="D90" s="9">
        <v>335936</v>
      </c>
      <c r="E90" s="14" t="s">
        <v>661</v>
      </c>
      <c r="F90" s="14" t="str">
        <f t="shared" si="4"/>
        <v/>
      </c>
      <c r="G90" s="15" t="str">
        <f t="shared" si="7"/>
        <v/>
      </c>
      <c r="H90" s="16">
        <v>348598.8</v>
      </c>
      <c r="I90" s="16">
        <f t="shared" si="5"/>
        <v>-12662.799999999988</v>
      </c>
      <c r="J90" s="15">
        <f t="shared" si="6"/>
        <v>-3.6324852523875552E-2</v>
      </c>
      <c r="K90" s="38"/>
      <c r="L90" s="39"/>
      <c r="M90" s="104"/>
      <c r="N90" s="104"/>
      <c r="O90" s="104"/>
      <c r="P90" s="104"/>
      <c r="Q90" s="104"/>
      <c r="R90" s="104"/>
      <c r="S90" s="104"/>
      <c r="T90" s="104"/>
    </row>
    <row r="91" spans="1:20" ht="43.15">
      <c r="A91" s="24" t="str">
        <v>Catskill</v>
      </c>
      <c r="B91" s="25" t="str">
        <v>NY</v>
      </c>
      <c r="C91" s="25" t="str">
        <f>Sites[[#This Row],[SOL'#]]</f>
        <v>SOL-11021</v>
      </c>
      <c r="D91" s="20">
        <v>600100</v>
      </c>
      <c r="E91" s="10" t="s">
        <v>661</v>
      </c>
      <c r="F91" s="10" t="str">
        <f t="shared" si="4"/>
        <v/>
      </c>
      <c r="G91" s="11" t="str">
        <f t="shared" si="7"/>
        <v/>
      </c>
      <c r="H91" s="12">
        <v>621136.5</v>
      </c>
      <c r="I91" s="12">
        <f t="shared" si="5"/>
        <v>-21036.5</v>
      </c>
      <c r="J91" s="64">
        <f t="shared" si="6"/>
        <v>-3.386775692621509E-2</v>
      </c>
      <c r="K91" s="37" t="s">
        <v>768</v>
      </c>
      <c r="L91" s="110" t="s">
        <v>769</v>
      </c>
      <c r="M91" s="104"/>
      <c r="N91" s="104"/>
      <c r="O91" s="104"/>
      <c r="P91" s="104"/>
      <c r="Q91" s="104"/>
      <c r="R91" s="104"/>
      <c r="S91" s="104"/>
      <c r="T91" s="104"/>
    </row>
    <row r="92" spans="1:20" ht="15.6">
      <c r="A92" s="26" t="str">
        <v>Eddy Ridge</v>
      </c>
      <c r="B92" s="27" t="str">
        <v>NY</v>
      </c>
      <c r="C92" s="27" t="str">
        <f>Sites[[#This Row],[SOL'#]]</f>
        <v>SOL-11054</v>
      </c>
      <c r="D92" s="9">
        <v>434509</v>
      </c>
      <c r="E92" s="14" t="s">
        <v>661</v>
      </c>
      <c r="F92" s="14" t="str">
        <f t="shared" si="4"/>
        <v/>
      </c>
      <c r="G92" s="15" t="str">
        <f t="shared" si="7"/>
        <v/>
      </c>
      <c r="H92" s="16">
        <v>474615</v>
      </c>
      <c r="I92" s="16">
        <f t="shared" si="5"/>
        <v>-40106</v>
      </c>
      <c r="J92" s="15">
        <f t="shared" si="6"/>
        <v>-8.450217544746795E-2</v>
      </c>
      <c r="K92" s="38"/>
      <c r="L92" s="39"/>
      <c r="M92" s="104"/>
      <c r="N92" s="104"/>
      <c r="O92" s="104"/>
      <c r="P92" s="104"/>
      <c r="Q92" s="104"/>
      <c r="R92" s="104"/>
      <c r="S92" s="104"/>
      <c r="T92" s="104"/>
    </row>
    <row r="93" spans="1:20" ht="100.9">
      <c r="A93" s="24" t="str">
        <v>Ridgeway #1</v>
      </c>
      <c r="B93" s="25" t="str">
        <v>NY</v>
      </c>
      <c r="C93" s="25" t="str">
        <f>Sites[[#This Row],[SOL'#]]</f>
        <v>SOL-11018</v>
      </c>
      <c r="D93" s="20">
        <v>902744</v>
      </c>
      <c r="E93" s="10" t="s">
        <v>661</v>
      </c>
      <c r="F93" s="10" t="str">
        <f t="shared" si="4"/>
        <v/>
      </c>
      <c r="G93" s="11" t="str">
        <f t="shared" si="7"/>
        <v/>
      </c>
      <c r="H93" s="12">
        <v>1036704.57</v>
      </c>
      <c r="I93" s="12">
        <f t="shared" si="5"/>
        <v>-133960.56999999995</v>
      </c>
      <c r="J93" s="64">
        <f t="shared" si="6"/>
        <v>-0.12921769024322904</v>
      </c>
      <c r="K93" s="37" t="s">
        <v>770</v>
      </c>
      <c r="L93" s="110" t="s">
        <v>771</v>
      </c>
      <c r="M93" s="103" t="s">
        <v>772</v>
      </c>
      <c r="N93" s="104"/>
      <c r="O93" s="104"/>
      <c r="P93" s="104"/>
      <c r="Q93" s="104"/>
      <c r="R93" s="104"/>
      <c r="S93" s="104"/>
      <c r="T93" s="104"/>
    </row>
    <row r="94" spans="1:20" ht="154.5" customHeight="1">
      <c r="A94" s="26" t="str">
        <v>Rivard 1</v>
      </c>
      <c r="B94" s="27" t="str">
        <v>NY</v>
      </c>
      <c r="C94" s="27" t="str">
        <f>Sites[[#This Row],[SOL'#]]</f>
        <v>SOL-11011</v>
      </c>
      <c r="D94" s="9">
        <v>606969.71676649305</v>
      </c>
      <c r="E94" s="14">
        <v>103072.2</v>
      </c>
      <c r="F94" s="14">
        <f t="shared" si="4"/>
        <v>503897.51676649303</v>
      </c>
      <c r="G94" s="15">
        <f t="shared" si="7"/>
        <v>4.8887820068504704</v>
      </c>
      <c r="H94" s="16">
        <v>838372.6</v>
      </c>
      <c r="I94" s="16">
        <f t="shared" si="5"/>
        <v>-231402.88323350693</v>
      </c>
      <c r="J94" s="15">
        <f t="shared" si="6"/>
        <v>-0.27601436787593836</v>
      </c>
      <c r="K94" s="51" t="s">
        <v>773</v>
      </c>
      <c r="L94" s="111" t="s">
        <v>774</v>
      </c>
      <c r="M94" s="103" t="s">
        <v>775</v>
      </c>
      <c r="N94" s="103" t="s">
        <v>776</v>
      </c>
      <c r="O94" s="104"/>
      <c r="P94" s="104"/>
      <c r="Q94" s="104"/>
      <c r="R94" s="104"/>
      <c r="S94" s="104"/>
      <c r="T94" s="104"/>
    </row>
    <row r="95" spans="1:20" ht="43.15">
      <c r="A95" s="24" t="str">
        <v>Rivard 2</v>
      </c>
      <c r="B95" s="25" t="str">
        <v>NY</v>
      </c>
      <c r="C95" s="25" t="str">
        <f>Sites[[#This Row],[SOL'#]]</f>
        <v>SOL-11012</v>
      </c>
      <c r="D95" s="20">
        <v>739966.08955223905</v>
      </c>
      <c r="E95" s="10">
        <v>739025.9</v>
      </c>
      <c r="F95" s="10">
        <f t="shared" si="4"/>
        <v>940.18955223902594</v>
      </c>
      <c r="G95" s="11">
        <f t="shared" si="7"/>
        <v>1.2722010855628009E-3</v>
      </c>
      <c r="H95" s="12">
        <v>810690.4</v>
      </c>
      <c r="I95" s="12">
        <f t="shared" si="5"/>
        <v>-70724.310447760974</v>
      </c>
      <c r="J95" s="64">
        <f t="shared" si="6"/>
        <v>-8.7239605215210361E-2</v>
      </c>
      <c r="K95" s="58" t="s">
        <v>777</v>
      </c>
      <c r="L95" s="130" t="s">
        <v>316</v>
      </c>
      <c r="M95" s="104"/>
      <c r="N95" s="104"/>
      <c r="O95" s="104"/>
      <c r="P95" s="104"/>
      <c r="Q95" s="104"/>
      <c r="R95" s="104"/>
      <c r="S95" s="104"/>
      <c r="T95" s="104"/>
    </row>
    <row r="96" spans="1:20" ht="129.75" customHeight="1">
      <c r="A96" s="24" t="str">
        <v>Ridgeway #2</v>
      </c>
      <c r="B96" s="25" t="str">
        <v>NY</v>
      </c>
      <c r="C96" s="25" t="str">
        <f>Sites[[#This Row],[SOL'#]]</f>
        <v>SOL-11027</v>
      </c>
      <c r="D96" s="20">
        <v>403955</v>
      </c>
      <c r="E96" s="10" t="s">
        <v>661</v>
      </c>
      <c r="F96" s="10" t="str">
        <f t="shared" ref="F96:F127" si="8">IF(AND(ISNUMBER(D96),ISNUMBER(E96)), D96-E96, "")</f>
        <v/>
      </c>
      <c r="G96" s="11" t="str">
        <f t="shared" ref="G96:G127" si="9">IFERROR(F96/E96, "")</f>
        <v/>
      </c>
      <c r="H96" s="12">
        <v>525809.26</v>
      </c>
      <c r="I96" s="12">
        <f t="shared" ref="I96:I97" si="10">IF(AND(ISNUMBER(D96),ISNUMBER(H96)), D96-H96, "")</f>
        <v>-121854.26000000001</v>
      </c>
      <c r="J96" s="64">
        <f t="shared" ref="J96:J97" si="11">IFERROR(I96/H96, "")</f>
        <v>-0.23174612786393303</v>
      </c>
      <c r="K96" s="37" t="s">
        <v>778</v>
      </c>
      <c r="L96" s="110" t="s">
        <v>779</v>
      </c>
      <c r="M96" s="103" t="s">
        <v>780</v>
      </c>
      <c r="N96" s="103" t="s">
        <v>781</v>
      </c>
      <c r="O96" s="103" t="s">
        <v>782</v>
      </c>
      <c r="P96" s="104"/>
      <c r="Q96" s="104"/>
      <c r="R96" s="104"/>
      <c r="S96" s="104"/>
      <c r="T96" s="104"/>
    </row>
    <row r="97" spans="1:20" ht="144">
      <c r="A97" s="26" t="str">
        <v>Spencer</v>
      </c>
      <c r="B97" s="27" t="str">
        <v>NY</v>
      </c>
      <c r="C97" s="27" t="str">
        <f>Sites[[#This Row],[SOL'#]]</f>
        <v>SOL-11017</v>
      </c>
      <c r="D97" s="9">
        <v>803402</v>
      </c>
      <c r="E97" s="14" t="s">
        <v>661</v>
      </c>
      <c r="F97" s="14" t="str">
        <f t="shared" si="8"/>
        <v/>
      </c>
      <c r="G97" s="15" t="str">
        <f t="shared" si="9"/>
        <v/>
      </c>
      <c r="H97" s="16">
        <v>1003955</v>
      </c>
      <c r="I97" s="16">
        <f t="shared" si="10"/>
        <v>-200553</v>
      </c>
      <c r="J97" s="15">
        <f t="shared" si="11"/>
        <v>-0.19976293758186373</v>
      </c>
      <c r="K97" s="38" t="s">
        <v>783</v>
      </c>
      <c r="L97" s="111" t="s">
        <v>784</v>
      </c>
      <c r="M97" s="103" t="s">
        <v>785</v>
      </c>
      <c r="N97" s="103" t="s">
        <v>786</v>
      </c>
      <c r="O97" s="103" t="s">
        <v>787</v>
      </c>
      <c r="P97" s="104"/>
      <c r="Q97" s="104"/>
      <c r="R97" s="104"/>
      <c r="S97" s="104"/>
      <c r="T97" s="104"/>
    </row>
    <row r="98" spans="1:20" ht="28.9">
      <c r="A98" s="28" t="str">
        <v>Reisender</v>
      </c>
      <c r="B98" s="25" t="str">
        <v>NY</v>
      </c>
      <c r="C98" s="25" t="str">
        <f>Sites[[#This Row],[SOL'#]]</f>
        <v>SOL-10886</v>
      </c>
      <c r="D98" s="54">
        <v>311820</v>
      </c>
      <c r="E98" s="10">
        <v>324363.73</v>
      </c>
      <c r="F98" s="10">
        <f t="shared" si="8"/>
        <v>-12543.729999999981</v>
      </c>
      <c r="G98" s="55">
        <f t="shared" si="9"/>
        <v>-3.867180217714225E-2</v>
      </c>
      <c r="H98" s="67">
        <v>345476.75</v>
      </c>
      <c r="I98" s="67">
        <f t="shared" ref="I98:I129" si="12">IF(AND(ISNUMBER(D98),ISNUMBER(H98)), D98-H98, "")</f>
        <v>-33656.75</v>
      </c>
      <c r="J98" s="64">
        <f t="shared" ref="J98:J129" si="13">IFERROR(I98/H98, "")</f>
        <v>-9.7421172336488629E-2</v>
      </c>
      <c r="K98" s="56" t="s">
        <v>788</v>
      </c>
      <c r="L98" s="110" t="s">
        <v>789</v>
      </c>
      <c r="M98" s="104"/>
      <c r="N98" s="104"/>
      <c r="O98" s="104"/>
      <c r="P98" s="104"/>
      <c r="Q98" s="104"/>
      <c r="R98" s="104"/>
      <c r="S98" s="104"/>
      <c r="T98" s="104"/>
    </row>
    <row r="99" spans="1:20" ht="15.6">
      <c r="A99" s="26" t="str">
        <v>Finney</v>
      </c>
      <c r="B99" s="27" t="str">
        <v>NY</v>
      </c>
      <c r="C99" s="27" t="str">
        <f>Sites[[#This Row],[SOL'#]]</f>
        <v>SOL-10999</v>
      </c>
      <c r="D99" s="66">
        <v>981210</v>
      </c>
      <c r="E99" s="14" t="s">
        <v>661</v>
      </c>
      <c r="F99" s="14" t="str">
        <f t="shared" si="8"/>
        <v/>
      </c>
      <c r="G99" s="68" t="str">
        <f t="shared" si="9"/>
        <v/>
      </c>
      <c r="H99" s="69">
        <v>1005784.59</v>
      </c>
      <c r="I99" s="69">
        <f t="shared" si="12"/>
        <v>-24574.589999999967</v>
      </c>
      <c r="J99" s="68">
        <f t="shared" si="13"/>
        <v>-2.4433253645295926E-2</v>
      </c>
      <c r="K99" s="38"/>
      <c r="L99" s="17"/>
      <c r="M99" s="104"/>
      <c r="N99" s="104"/>
      <c r="O99" s="104"/>
      <c r="P99" s="104"/>
      <c r="Q99" s="104"/>
      <c r="R99" s="104"/>
      <c r="S99" s="104"/>
      <c r="T99" s="104"/>
    </row>
    <row r="100" spans="1:20" ht="28.9">
      <c r="A100" s="24" t="str">
        <v>Davis Solar</v>
      </c>
      <c r="B100" s="25" t="str">
        <v>NY</v>
      </c>
      <c r="C100" s="25" t="str">
        <f>Sites[[#This Row],[SOL'#]]</f>
        <v>SOL-10958</v>
      </c>
      <c r="D100" s="54">
        <v>360765</v>
      </c>
      <c r="E100" s="10">
        <v>355139.1</v>
      </c>
      <c r="F100" s="10">
        <f t="shared" si="8"/>
        <v>5625.9000000000233</v>
      </c>
      <c r="G100" s="55">
        <f t="shared" si="9"/>
        <v>1.5841398483017004E-2</v>
      </c>
      <c r="H100" s="67">
        <v>402689</v>
      </c>
      <c r="I100" s="67">
        <f t="shared" si="12"/>
        <v>-41924</v>
      </c>
      <c r="J100" s="64">
        <f t="shared" si="13"/>
        <v>-0.10411011972018108</v>
      </c>
      <c r="K100" s="56" t="s">
        <v>790</v>
      </c>
      <c r="L100" s="110" t="s">
        <v>791</v>
      </c>
      <c r="M100" s="104"/>
      <c r="N100" s="104"/>
      <c r="O100" s="104"/>
      <c r="P100" s="104"/>
      <c r="Q100" s="104"/>
      <c r="R100" s="104"/>
      <c r="S100" s="104"/>
      <c r="T100" s="104"/>
    </row>
    <row r="101" spans="1:20" ht="144">
      <c r="A101" s="26" t="str">
        <v>Genesee</v>
      </c>
      <c r="B101" s="27" t="str">
        <v>NY</v>
      </c>
      <c r="C101" s="27" t="str">
        <f>Sites[[#This Row],[SOL'#]]</f>
        <v>SOL-10951</v>
      </c>
      <c r="D101" s="66">
        <v>353751</v>
      </c>
      <c r="E101" s="14" t="s">
        <v>661</v>
      </c>
      <c r="F101" s="14" t="str">
        <f t="shared" si="8"/>
        <v/>
      </c>
      <c r="G101" s="68" t="str">
        <f t="shared" si="9"/>
        <v/>
      </c>
      <c r="H101" s="69">
        <v>766542.12</v>
      </c>
      <c r="I101" s="69">
        <f t="shared" si="12"/>
        <v>-412791.12</v>
      </c>
      <c r="J101" s="68">
        <f t="shared" si="13"/>
        <v>-0.53851068223100385</v>
      </c>
      <c r="K101" s="38" t="s">
        <v>792</v>
      </c>
      <c r="L101" s="123" t="s">
        <v>793</v>
      </c>
      <c r="M101" s="103" t="s">
        <v>794</v>
      </c>
      <c r="N101" s="103" t="s">
        <v>795</v>
      </c>
      <c r="O101" s="103" t="s">
        <v>796</v>
      </c>
      <c r="P101" s="104"/>
      <c r="Q101" s="104"/>
      <c r="R101" s="104"/>
      <c r="S101" s="104"/>
      <c r="T101" s="104"/>
    </row>
    <row r="102" spans="1:20" ht="15.6">
      <c r="A102" s="24" t="str">
        <v>Landau I</v>
      </c>
      <c r="B102" s="25" t="str">
        <v>NY</v>
      </c>
      <c r="C102" s="25" t="str">
        <f>Sites[[#This Row],[SOL'#]]</f>
        <v>SOL-10891</v>
      </c>
      <c r="D102" s="54">
        <v>338540</v>
      </c>
      <c r="E102" s="10" t="s">
        <v>661</v>
      </c>
      <c r="F102" s="10" t="str">
        <f t="shared" si="8"/>
        <v/>
      </c>
      <c r="G102" s="55" t="str">
        <f t="shared" si="9"/>
        <v/>
      </c>
      <c r="H102" s="67">
        <v>368283.57</v>
      </c>
      <c r="I102" s="67">
        <f t="shared" si="12"/>
        <v>-29743.570000000007</v>
      </c>
      <c r="J102" s="64">
        <f t="shared" si="13"/>
        <v>-8.0762685123314096E-2</v>
      </c>
      <c r="K102" s="56"/>
      <c r="L102" s="37"/>
      <c r="M102" s="104"/>
      <c r="N102" s="104"/>
      <c r="O102" s="104"/>
      <c r="P102" s="104"/>
      <c r="Q102" s="104"/>
      <c r="R102" s="104"/>
      <c r="S102" s="104"/>
      <c r="T102" s="104"/>
    </row>
    <row r="103" spans="1:20" ht="261.75" customHeight="1">
      <c r="A103" s="26" t="str">
        <v>Landau II</v>
      </c>
      <c r="B103" s="27" t="str">
        <v>NY</v>
      </c>
      <c r="C103" s="27" t="str">
        <f>Sites[[#This Row],[SOL'#]]</f>
        <v>SOL-10895</v>
      </c>
      <c r="D103" s="66">
        <v>392870</v>
      </c>
      <c r="E103" s="14" t="s">
        <v>661</v>
      </c>
      <c r="F103" s="14" t="str">
        <f t="shared" si="8"/>
        <v/>
      </c>
      <c r="G103" s="68" t="str">
        <f t="shared" si="9"/>
        <v/>
      </c>
      <c r="H103" s="69">
        <v>825724.48</v>
      </c>
      <c r="I103" s="69">
        <f t="shared" si="12"/>
        <v>-432854.48</v>
      </c>
      <c r="J103" s="68">
        <f t="shared" si="13"/>
        <v>-0.52421175644447404</v>
      </c>
      <c r="K103" s="38" t="s">
        <v>797</v>
      </c>
      <c r="L103" s="123" t="s">
        <v>798</v>
      </c>
      <c r="M103" s="103" t="s">
        <v>799</v>
      </c>
      <c r="N103" s="103" t="s">
        <v>800</v>
      </c>
      <c r="O103" s="103" t="s">
        <v>801</v>
      </c>
      <c r="P103" s="103" t="s">
        <v>802</v>
      </c>
      <c r="Q103" s="103" t="s">
        <v>803</v>
      </c>
      <c r="R103" s="104"/>
      <c r="S103" s="104"/>
      <c r="T103" s="104"/>
    </row>
    <row r="104" spans="1:20" ht="15.6">
      <c r="A104" s="24" t="str">
        <v>New Beginnings</v>
      </c>
      <c r="B104" s="25" t="str">
        <v>NY</v>
      </c>
      <c r="C104" s="25" t="str">
        <f>Sites[[#This Row],[SOL'#]]</f>
        <v>SOL-10890</v>
      </c>
      <c r="D104" s="54">
        <v>340660</v>
      </c>
      <c r="E104" s="10">
        <v>352166.13</v>
      </c>
      <c r="F104" s="10">
        <f t="shared" si="8"/>
        <v>-11506.130000000005</v>
      </c>
      <c r="G104" s="55">
        <f t="shared" si="9"/>
        <v>-3.2672449221621637E-2</v>
      </c>
      <c r="H104" s="67">
        <v>358496.22</v>
      </c>
      <c r="I104" s="67">
        <f t="shared" si="12"/>
        <v>-17836.219999999972</v>
      </c>
      <c r="J104" s="64">
        <f t="shared" si="13"/>
        <v>-4.9752881634288842E-2</v>
      </c>
      <c r="K104" s="56"/>
      <c r="L104" s="37"/>
      <c r="M104" s="104"/>
      <c r="N104" s="104"/>
      <c r="O104" s="104"/>
      <c r="P104" s="104"/>
      <c r="Q104" s="104"/>
      <c r="R104" s="104"/>
      <c r="S104" s="104"/>
      <c r="T104" s="104"/>
    </row>
    <row r="105" spans="1:20" ht="15.6">
      <c r="A105" s="26" t="str">
        <v>Bullitt Farm Solar, LLC</v>
      </c>
      <c r="B105" s="27" t="str">
        <v>NY</v>
      </c>
      <c r="C105" s="27" t="str">
        <f>Sites[[#This Row],[SOL'#]]</f>
        <v>SOL-10998</v>
      </c>
      <c r="D105" s="66">
        <v>822842</v>
      </c>
      <c r="E105" s="14">
        <v>852227.3</v>
      </c>
      <c r="F105" s="14">
        <f t="shared" si="8"/>
        <v>-29385.300000000047</v>
      </c>
      <c r="G105" s="68">
        <f t="shared" si="9"/>
        <v>-3.4480589861413787E-2</v>
      </c>
      <c r="H105" s="69">
        <v>940853.4</v>
      </c>
      <c r="I105" s="69">
        <f t="shared" si="12"/>
        <v>-118011.40000000002</v>
      </c>
      <c r="J105" s="68">
        <f t="shared" si="13"/>
        <v>-0.12543016797303386</v>
      </c>
      <c r="K105" s="38"/>
      <c r="L105" s="17"/>
      <c r="M105" s="104"/>
      <c r="N105" s="104"/>
      <c r="O105" s="104"/>
      <c r="P105" s="104"/>
      <c r="Q105" s="104"/>
      <c r="R105" s="104"/>
      <c r="S105" s="104"/>
      <c r="T105" s="104"/>
    </row>
    <row r="106" spans="1:20" ht="28.9">
      <c r="A106" s="24" t="str">
        <v>Brodhead Solar, LLC</v>
      </c>
      <c r="B106" s="25" t="str">
        <v>NY</v>
      </c>
      <c r="C106" s="25" t="str">
        <f>Sites[[#This Row],[SOL'#]]</f>
        <v>SOL-10899</v>
      </c>
      <c r="D106" s="54">
        <v>389556</v>
      </c>
      <c r="E106" s="10">
        <v>404968.9</v>
      </c>
      <c r="F106" s="10">
        <f t="shared" si="8"/>
        <v>-15412.900000000023</v>
      </c>
      <c r="G106" s="55">
        <f t="shared" si="9"/>
        <v>-3.8059465800954151E-2</v>
      </c>
      <c r="H106" s="67">
        <v>465928.9</v>
      </c>
      <c r="I106" s="67">
        <f t="shared" si="12"/>
        <v>-76372.900000000023</v>
      </c>
      <c r="J106" s="64">
        <f t="shared" si="13"/>
        <v>-0.16391535275017288</v>
      </c>
      <c r="K106" s="56" t="s">
        <v>540</v>
      </c>
      <c r="L106" s="110" t="s">
        <v>804</v>
      </c>
      <c r="M106" s="103" t="s">
        <v>542</v>
      </c>
      <c r="N106" s="104"/>
      <c r="O106" s="104"/>
      <c r="P106" s="104"/>
      <c r="Q106" s="104"/>
      <c r="R106" s="104"/>
      <c r="S106" s="104"/>
      <c r="T106" s="104"/>
    </row>
    <row r="107" spans="1:20" ht="100.9">
      <c r="A107" s="26" t="str">
        <v>Svenski</v>
      </c>
      <c r="B107" s="27" t="str">
        <v>NY</v>
      </c>
      <c r="C107" s="27" t="str">
        <f>Sites[[#This Row],[SOL'#]]</f>
        <v>SOL-10894</v>
      </c>
      <c r="D107" s="66">
        <v>328257</v>
      </c>
      <c r="E107" s="14" t="s">
        <v>661</v>
      </c>
      <c r="F107" s="14" t="str">
        <f t="shared" si="8"/>
        <v/>
      </c>
      <c r="G107" s="68" t="str">
        <f t="shared" si="9"/>
        <v/>
      </c>
      <c r="H107" s="69">
        <v>401358.09</v>
      </c>
      <c r="I107" s="69">
        <f t="shared" si="12"/>
        <v>-73101.090000000026</v>
      </c>
      <c r="J107" s="68">
        <f t="shared" si="13"/>
        <v>-0.18213433794245937</v>
      </c>
      <c r="K107" s="38" t="s">
        <v>805</v>
      </c>
      <c r="L107" s="123" t="s">
        <v>806</v>
      </c>
      <c r="M107" s="103" t="s">
        <v>807</v>
      </c>
      <c r="N107" s="103" t="s">
        <v>808</v>
      </c>
      <c r="O107" s="104"/>
      <c r="P107" s="104"/>
      <c r="Q107" s="104"/>
      <c r="R107" s="104"/>
      <c r="S107" s="104"/>
      <c r="T107" s="104"/>
    </row>
    <row r="108" spans="1:20" ht="101.1" customHeight="1">
      <c r="A108" s="24" t="str">
        <v>Bantam</v>
      </c>
      <c r="B108" s="25" t="str">
        <v>NY</v>
      </c>
      <c r="C108" s="25" t="str">
        <f>Sites[[#This Row],[SOL'#]]</f>
        <v>SOL-10986</v>
      </c>
      <c r="D108" s="54">
        <v>47670</v>
      </c>
      <c r="E108" s="10" t="s">
        <v>661</v>
      </c>
      <c r="F108" s="10" t="str">
        <f t="shared" si="8"/>
        <v/>
      </c>
      <c r="G108" s="55" t="str">
        <f t="shared" si="9"/>
        <v/>
      </c>
      <c r="H108" s="67">
        <v>981035.1</v>
      </c>
      <c r="I108" s="67">
        <f t="shared" si="12"/>
        <v>-933365.1</v>
      </c>
      <c r="J108" s="64">
        <f t="shared" si="13"/>
        <v>-0.95140846642490162</v>
      </c>
      <c r="K108" s="56" t="s">
        <v>809</v>
      </c>
      <c r="L108" s="110" t="s">
        <v>810</v>
      </c>
      <c r="M108" s="103" t="s">
        <v>811</v>
      </c>
      <c r="N108" s="103" t="s">
        <v>812</v>
      </c>
      <c r="O108" s="103" t="s">
        <v>813</v>
      </c>
      <c r="P108" s="104"/>
      <c r="Q108" s="104"/>
      <c r="R108" s="104"/>
      <c r="S108" s="104"/>
      <c r="T108" s="104"/>
    </row>
    <row r="109" spans="1:20" ht="28.9">
      <c r="A109" s="26" t="str">
        <v>Bogart</v>
      </c>
      <c r="B109" s="27" t="str">
        <v>NY</v>
      </c>
      <c r="C109" s="27" t="str">
        <f>Sites[[#This Row],[SOL'#]]</f>
        <v>SOL-10887</v>
      </c>
      <c r="D109" s="66">
        <v>349160</v>
      </c>
      <c r="E109" s="14">
        <v>349181.8</v>
      </c>
      <c r="F109" s="14">
        <f t="shared" si="8"/>
        <v>-21.799999999988358</v>
      </c>
      <c r="G109" s="68">
        <f t="shared" si="9"/>
        <v>-6.243166167305501E-5</v>
      </c>
      <c r="H109" s="69">
        <v>356914.17</v>
      </c>
      <c r="I109" s="69">
        <f t="shared" si="12"/>
        <v>-7754.1699999999837</v>
      </c>
      <c r="J109" s="68">
        <f t="shared" si="13"/>
        <v>-2.1725587415035899E-2</v>
      </c>
      <c r="K109" s="38" t="s">
        <v>548</v>
      </c>
      <c r="L109" s="115" t="s">
        <v>159</v>
      </c>
      <c r="M109" s="104"/>
      <c r="N109" s="104"/>
      <c r="O109" s="104"/>
      <c r="P109" s="104"/>
      <c r="Q109" s="104"/>
      <c r="R109" s="104"/>
      <c r="S109" s="104"/>
      <c r="T109" s="104"/>
    </row>
    <row r="110" spans="1:20" ht="48.75" customHeight="1">
      <c r="A110" s="24" t="str">
        <v>Dubois</v>
      </c>
      <c r="B110" s="25" t="str">
        <v>NY</v>
      </c>
      <c r="C110" s="25" t="str">
        <f>Sites[[#This Row],[SOL'#]]</f>
        <v>SOL-10892</v>
      </c>
      <c r="D110" s="54">
        <v>330690</v>
      </c>
      <c r="E110" s="10" t="s">
        <v>661</v>
      </c>
      <c r="F110" s="10" t="str">
        <f t="shared" si="8"/>
        <v/>
      </c>
      <c r="G110" s="55" t="str">
        <f t="shared" si="9"/>
        <v/>
      </c>
      <c r="H110" s="67"/>
      <c r="I110" s="67" t="str">
        <f t="shared" si="12"/>
        <v/>
      </c>
      <c r="J110" s="64" t="str">
        <f t="shared" si="13"/>
        <v/>
      </c>
      <c r="K110" s="56" t="s">
        <v>814</v>
      </c>
      <c r="L110" s="110" t="s">
        <v>815</v>
      </c>
      <c r="M110" s="104"/>
      <c r="N110" s="104"/>
      <c r="O110" s="104"/>
      <c r="P110" s="104"/>
      <c r="Q110" s="104"/>
      <c r="R110" s="104"/>
      <c r="S110" s="104"/>
      <c r="T110" s="104"/>
    </row>
    <row r="111" spans="1:20" ht="84" customHeight="1">
      <c r="A111" s="26" t="str">
        <v>Salt Point</v>
      </c>
      <c r="B111" s="27" t="str">
        <v>NY</v>
      </c>
      <c r="C111" s="27" t="str">
        <f>Sites[[#This Row],[SOL'#]]</f>
        <v>SOL-10888</v>
      </c>
      <c r="D111" s="66">
        <v>331500</v>
      </c>
      <c r="E111" s="14" t="s">
        <v>661</v>
      </c>
      <c r="F111" s="14" t="str">
        <f t="shared" si="8"/>
        <v/>
      </c>
      <c r="G111" s="68" t="str">
        <f t="shared" si="9"/>
        <v/>
      </c>
      <c r="H111" s="69">
        <v>419761.74</v>
      </c>
      <c r="I111" s="69">
        <f t="shared" si="12"/>
        <v>-88261.739999999991</v>
      </c>
      <c r="J111" s="68">
        <f t="shared" si="13"/>
        <v>-0.21026628105743986</v>
      </c>
      <c r="K111" s="182" t="s">
        <v>550</v>
      </c>
      <c r="L111" s="115" t="s">
        <v>816</v>
      </c>
      <c r="M111" s="104"/>
      <c r="N111" s="104"/>
      <c r="O111" s="104"/>
      <c r="P111" s="104"/>
      <c r="Q111" s="104"/>
      <c r="R111" s="104"/>
      <c r="S111" s="104"/>
      <c r="T111" s="104"/>
    </row>
    <row r="112" spans="1:20" ht="198" customHeight="1">
      <c r="A112" s="24" t="str">
        <v>Wheatland 2A</v>
      </c>
      <c r="B112" s="25" t="str">
        <v>NY</v>
      </c>
      <c r="C112" s="25" t="str">
        <f>Sites[[#This Row],[SOL'#]]</f>
        <v>SOL-10971</v>
      </c>
      <c r="D112" s="54">
        <v>778710</v>
      </c>
      <c r="E112" s="10" t="s">
        <v>661</v>
      </c>
      <c r="F112" s="10" t="str">
        <f t="shared" si="8"/>
        <v/>
      </c>
      <c r="G112" s="55" t="str">
        <f t="shared" si="9"/>
        <v/>
      </c>
      <c r="H112" s="67">
        <v>839262.6</v>
      </c>
      <c r="I112" s="67">
        <f t="shared" si="12"/>
        <v>-60552.599999999977</v>
      </c>
      <c r="J112" s="64">
        <f t="shared" si="13"/>
        <v>-7.2149765758655254E-2</v>
      </c>
      <c r="K112" s="56" t="s">
        <v>817</v>
      </c>
      <c r="L112" s="110" t="s">
        <v>818</v>
      </c>
      <c r="M112" s="103" t="s">
        <v>819</v>
      </c>
      <c r="N112" s="103" t="s">
        <v>820</v>
      </c>
      <c r="O112" s="104"/>
      <c r="P112" s="104"/>
      <c r="Q112" s="104"/>
      <c r="R112" s="104"/>
      <c r="S112" s="104"/>
      <c r="T112" s="104"/>
    </row>
    <row r="113" spans="1:20" ht="89.25" customHeight="1">
      <c r="A113" s="26" t="str">
        <v>Wheatland 2B</v>
      </c>
      <c r="B113" s="27" t="str">
        <v>NY</v>
      </c>
      <c r="C113" s="27" t="str">
        <f>Sites[[#This Row],[SOL'#]]</f>
        <v>SOL-10961</v>
      </c>
      <c r="D113" s="66">
        <v>784270</v>
      </c>
      <c r="E113" s="14" t="s">
        <v>661</v>
      </c>
      <c r="F113" s="14" t="str">
        <f t="shared" si="8"/>
        <v/>
      </c>
      <c r="G113" s="68" t="str">
        <f t="shared" si="9"/>
        <v/>
      </c>
      <c r="H113" s="69">
        <v>833219.63</v>
      </c>
      <c r="I113" s="69">
        <f t="shared" si="12"/>
        <v>-48949.630000000005</v>
      </c>
      <c r="J113" s="68">
        <f t="shared" si="13"/>
        <v>-5.8747571753680367E-2</v>
      </c>
      <c r="K113" s="50" t="s">
        <v>821</v>
      </c>
      <c r="L113" s="123" t="s">
        <v>822</v>
      </c>
      <c r="M113" s="103" t="s">
        <v>823</v>
      </c>
      <c r="N113" s="104"/>
      <c r="O113" s="104"/>
      <c r="P113" s="104"/>
      <c r="Q113" s="104"/>
      <c r="R113" s="104"/>
      <c r="S113" s="104"/>
      <c r="T113" s="104"/>
    </row>
    <row r="114" spans="1:20" ht="103.5" customHeight="1">
      <c r="A114" s="24" t="str">
        <v>Brickchurch</v>
      </c>
      <c r="B114" s="25" t="str">
        <v>NY</v>
      </c>
      <c r="C114" s="25" t="str">
        <f>Sites[[#This Row],[SOL'#]]</f>
        <v>SOL-10889</v>
      </c>
      <c r="D114" s="54">
        <v>289240</v>
      </c>
      <c r="E114" s="10">
        <v>278002.32</v>
      </c>
      <c r="F114" s="10">
        <f t="shared" si="8"/>
        <v>11237.679999999993</v>
      </c>
      <c r="G114" s="55">
        <f t="shared" si="9"/>
        <v>4.0422972009729961E-2</v>
      </c>
      <c r="H114" s="67">
        <v>411677.08</v>
      </c>
      <c r="I114" s="67">
        <f t="shared" si="12"/>
        <v>-122437.08000000002</v>
      </c>
      <c r="J114" s="64">
        <f t="shared" si="13"/>
        <v>-0.29741048493639727</v>
      </c>
      <c r="K114" s="56" t="s">
        <v>824</v>
      </c>
      <c r="L114" s="110" t="s">
        <v>825</v>
      </c>
      <c r="M114" s="103" t="s">
        <v>343</v>
      </c>
      <c r="N114" s="103" t="s">
        <v>826</v>
      </c>
      <c r="O114" s="104"/>
      <c r="P114" s="104"/>
      <c r="Q114" s="104"/>
      <c r="R114" s="104"/>
      <c r="S114" s="104"/>
      <c r="T114" s="104"/>
    </row>
    <row r="115" spans="1:20" ht="15.6">
      <c r="A115" s="26" t="str">
        <v>McCarthy Solar</v>
      </c>
      <c r="B115" s="27" t="str">
        <v>NY</v>
      </c>
      <c r="C115" s="27" t="str">
        <f>Sites[[#This Row],[SOL'#]]</f>
        <v>SOL-10992</v>
      </c>
      <c r="D115" s="66">
        <v>342590</v>
      </c>
      <c r="E115" s="14" t="s">
        <v>661</v>
      </c>
      <c r="F115" s="14" t="str">
        <f t="shared" si="8"/>
        <v/>
      </c>
      <c r="G115" s="68" t="str">
        <f t="shared" si="9"/>
        <v/>
      </c>
      <c r="H115" s="69">
        <v>359833.18</v>
      </c>
      <c r="I115" s="69">
        <f t="shared" si="12"/>
        <v>-17243.179999999993</v>
      </c>
      <c r="J115" s="68">
        <f t="shared" si="13"/>
        <v>-4.7919927784313809E-2</v>
      </c>
      <c r="K115" s="38"/>
      <c r="L115" s="17"/>
      <c r="M115" s="104"/>
      <c r="N115" s="104"/>
      <c r="O115" s="104"/>
      <c r="P115" s="104"/>
      <c r="Q115" s="104"/>
      <c r="R115" s="104"/>
      <c r="S115" s="104"/>
      <c r="T115" s="104"/>
    </row>
    <row r="116" spans="1:20" ht="57.6">
      <c r="A116" s="24" t="str">
        <v>Costanza</v>
      </c>
      <c r="B116" s="25" t="str">
        <v>NY</v>
      </c>
      <c r="C116" s="25" t="str">
        <f>Sites[[#This Row],[SOL'#]]</f>
        <v>SOL-10907</v>
      </c>
      <c r="D116" s="54">
        <v>360380</v>
      </c>
      <c r="E116" s="10" t="s">
        <v>661</v>
      </c>
      <c r="F116" s="10" t="str">
        <f t="shared" si="8"/>
        <v/>
      </c>
      <c r="G116" s="55" t="str">
        <f t="shared" si="9"/>
        <v/>
      </c>
      <c r="H116" s="67">
        <v>375749.63</v>
      </c>
      <c r="I116" s="67">
        <f t="shared" si="12"/>
        <v>-15369.630000000005</v>
      </c>
      <c r="J116" s="64">
        <f t="shared" si="13"/>
        <v>-4.0903912533460124E-2</v>
      </c>
      <c r="K116" s="56" t="s">
        <v>827</v>
      </c>
      <c r="L116" s="110" t="s">
        <v>828</v>
      </c>
      <c r="M116" s="103" t="s">
        <v>829</v>
      </c>
      <c r="N116" s="104"/>
      <c r="O116" s="104"/>
      <c r="P116" s="104"/>
      <c r="Q116" s="104"/>
      <c r="R116" s="104"/>
      <c r="S116" s="104"/>
      <c r="T116" s="104"/>
    </row>
    <row r="117" spans="1:20" ht="15.6">
      <c r="A117" s="26" t="str">
        <v>Lockenhurst Pond</v>
      </c>
      <c r="B117" s="27" t="str">
        <v>NY</v>
      </c>
      <c r="C117" s="27" t="str">
        <f>Sites[[#This Row],[SOL'#]]</f>
        <v>SOL-11000</v>
      </c>
      <c r="D117" s="66">
        <v>368615</v>
      </c>
      <c r="E117" s="14">
        <v>393092.2</v>
      </c>
      <c r="F117" s="14">
        <f t="shared" si="8"/>
        <v>-24477.200000000012</v>
      </c>
      <c r="G117" s="68">
        <f t="shared" si="9"/>
        <v>-6.2268343152064608E-2</v>
      </c>
      <c r="H117" s="69">
        <v>397088</v>
      </c>
      <c r="I117" s="69">
        <f t="shared" si="12"/>
        <v>-28473</v>
      </c>
      <c r="J117" s="68">
        <f t="shared" si="13"/>
        <v>-7.1704508824240468E-2</v>
      </c>
      <c r="K117" s="38"/>
      <c r="L117" s="17"/>
      <c r="M117" s="104"/>
      <c r="N117" s="104"/>
      <c r="O117" s="104"/>
      <c r="P117" s="104"/>
      <c r="Q117" s="104"/>
      <c r="R117" s="104"/>
      <c r="S117" s="104"/>
      <c r="T117" s="104"/>
    </row>
    <row r="118" spans="1:20" ht="15.6">
      <c r="A118" s="24" t="str">
        <v>Drinkwater</v>
      </c>
      <c r="B118" s="25" t="str">
        <v>NY</v>
      </c>
      <c r="C118" s="25" t="str">
        <f>Sites[[#This Row],[SOL'#]]</f>
        <v>SOL-10896</v>
      </c>
      <c r="D118" s="54">
        <v>347150</v>
      </c>
      <c r="E118" s="10" t="s">
        <v>661</v>
      </c>
      <c r="F118" s="10" t="str">
        <f t="shared" si="8"/>
        <v/>
      </c>
      <c r="G118" s="55" t="str">
        <f t="shared" si="9"/>
        <v/>
      </c>
      <c r="H118" s="67">
        <v>359295.77</v>
      </c>
      <c r="I118" s="67">
        <f t="shared" si="12"/>
        <v>-12145.770000000019</v>
      </c>
      <c r="J118" s="64">
        <f t="shared" si="13"/>
        <v>-3.3804377936316972E-2</v>
      </c>
      <c r="K118" s="56"/>
      <c r="L118" s="37"/>
      <c r="M118" s="104"/>
      <c r="N118" s="104"/>
      <c r="O118" s="104"/>
      <c r="P118" s="104"/>
      <c r="Q118" s="104"/>
      <c r="R118" s="104"/>
      <c r="S118" s="104"/>
      <c r="T118" s="104"/>
    </row>
    <row r="119" spans="1:20" ht="28.9">
      <c r="A119" s="26" t="str">
        <v>Altamont</v>
      </c>
      <c r="B119" s="27" t="str">
        <v>NY</v>
      </c>
      <c r="C119" s="27" t="str">
        <f>Sites[[#This Row],[SOL'#]]</f>
        <v>SOL-11085</v>
      </c>
      <c r="D119" s="66">
        <v>724960</v>
      </c>
      <c r="E119" s="14">
        <v>765286.5</v>
      </c>
      <c r="F119" s="14">
        <f t="shared" si="8"/>
        <v>-40326.5</v>
      </c>
      <c r="G119" s="68">
        <f t="shared" si="9"/>
        <v>-5.2694644424016363E-2</v>
      </c>
      <c r="H119" s="69">
        <v>639559.6</v>
      </c>
      <c r="I119" s="69">
        <f t="shared" si="12"/>
        <v>85400.400000000023</v>
      </c>
      <c r="J119" s="68">
        <f t="shared" si="13"/>
        <v>0.13353001033836412</v>
      </c>
      <c r="K119" s="38" t="s">
        <v>830</v>
      </c>
      <c r="L119" s="115" t="s">
        <v>831</v>
      </c>
      <c r="M119" s="104"/>
      <c r="N119" s="104"/>
      <c r="O119" s="104"/>
      <c r="P119" s="104"/>
      <c r="Q119" s="104"/>
      <c r="R119" s="104"/>
      <c r="S119" s="104"/>
      <c r="T119" s="104"/>
    </row>
    <row r="120" spans="1:20" ht="15.6">
      <c r="A120" s="24" t="str">
        <v>Krumkill North</v>
      </c>
      <c r="B120" s="25" t="str">
        <v>NY</v>
      </c>
      <c r="C120" s="25" t="str">
        <f>Sites[[#This Row],[SOL'#]]</f>
        <v>SOL-11086</v>
      </c>
      <c r="D120" s="54">
        <v>687550</v>
      </c>
      <c r="E120" s="10">
        <v>744225.3</v>
      </c>
      <c r="F120" s="10">
        <f t="shared" si="8"/>
        <v>-56675.300000000047</v>
      </c>
      <c r="G120" s="55">
        <f t="shared" si="9"/>
        <v>-7.6153417520205297E-2</v>
      </c>
      <c r="H120" s="67">
        <v>744683.1</v>
      </c>
      <c r="I120" s="67">
        <f t="shared" si="12"/>
        <v>-57133.099999999977</v>
      </c>
      <c r="J120" s="64">
        <f t="shared" si="13"/>
        <v>-7.6721359730065011E-2</v>
      </c>
      <c r="K120" s="56"/>
      <c r="L120" s="37"/>
      <c r="M120" s="104"/>
      <c r="N120" s="104"/>
      <c r="O120" s="104"/>
      <c r="P120" s="104"/>
      <c r="Q120" s="104"/>
      <c r="R120" s="104"/>
      <c r="S120" s="104"/>
      <c r="T120" s="104"/>
    </row>
    <row r="121" spans="1:20" ht="15.6">
      <c r="A121" s="26" t="str">
        <v>Krumkill South</v>
      </c>
      <c r="B121" s="27" t="str">
        <v>NY</v>
      </c>
      <c r="C121" s="27" t="str">
        <f>Sites[[#This Row],[SOL'#]]</f>
        <v>SOL-11087</v>
      </c>
      <c r="D121" s="66">
        <v>571189</v>
      </c>
      <c r="E121" s="14">
        <v>585762.4</v>
      </c>
      <c r="F121" s="14">
        <f t="shared" si="8"/>
        <v>-14573.400000000023</v>
      </c>
      <c r="G121" s="68">
        <f t="shared" si="9"/>
        <v>-2.4879370884850278E-2</v>
      </c>
      <c r="H121" s="69">
        <v>583809.6</v>
      </c>
      <c r="I121" s="69">
        <f t="shared" si="12"/>
        <v>-12620.599999999977</v>
      </c>
      <c r="J121" s="68">
        <f t="shared" si="13"/>
        <v>-2.1617664389211786E-2</v>
      </c>
      <c r="K121" s="38"/>
      <c r="L121" s="17"/>
      <c r="M121" s="104"/>
      <c r="N121" s="104"/>
      <c r="O121" s="104"/>
      <c r="P121" s="104"/>
      <c r="Q121" s="104"/>
      <c r="R121" s="104"/>
      <c r="S121" s="104"/>
      <c r="T121" s="104"/>
    </row>
    <row r="122" spans="1:20" ht="15.6">
      <c r="A122" s="24" t="str">
        <v>X092</v>
      </c>
      <c r="B122" s="25" t="str">
        <v>NY</v>
      </c>
      <c r="C122" s="25" t="str">
        <f>Sites[[#This Row],[SOL'#]]</f>
        <v>SOL-11189</v>
      </c>
      <c r="D122" s="54">
        <v>17692.400000000001</v>
      </c>
      <c r="E122" s="10">
        <v>17742.88</v>
      </c>
      <c r="F122" s="10">
        <f t="shared" si="8"/>
        <v>-50.479999999999563</v>
      </c>
      <c r="G122" s="55">
        <f t="shared" si="9"/>
        <v>-2.8450849016619377E-3</v>
      </c>
      <c r="H122" s="67">
        <v>19404</v>
      </c>
      <c r="I122" s="67">
        <f t="shared" si="12"/>
        <v>-1711.5999999999985</v>
      </c>
      <c r="J122" s="64">
        <f t="shared" si="13"/>
        <v>-8.8208616780045282E-2</v>
      </c>
      <c r="K122" s="56"/>
      <c r="L122" s="37"/>
      <c r="M122" s="104"/>
      <c r="N122" s="104"/>
      <c r="O122" s="104"/>
      <c r="P122" s="104"/>
      <c r="Q122" s="104"/>
      <c r="R122" s="104"/>
      <c r="S122" s="104"/>
      <c r="T122" s="104"/>
    </row>
    <row r="123" spans="1:20" ht="107.25" customHeight="1">
      <c r="A123" s="26" t="str">
        <v>X093</v>
      </c>
      <c r="B123" s="27" t="str">
        <v>NY</v>
      </c>
      <c r="C123" s="27" t="str">
        <f>Sites[[#This Row],[SOL'#]]</f>
        <v>SOL-10932</v>
      </c>
      <c r="D123" s="66">
        <v>839.66496093750197</v>
      </c>
      <c r="E123" s="14">
        <v>0</v>
      </c>
      <c r="F123" s="14">
        <f t="shared" si="8"/>
        <v>839.66496093750197</v>
      </c>
      <c r="G123" s="68" t="str">
        <f t="shared" si="9"/>
        <v/>
      </c>
      <c r="H123" s="69">
        <v>13699</v>
      </c>
      <c r="I123" s="69">
        <f t="shared" si="12"/>
        <v>-12859.335039062498</v>
      </c>
      <c r="J123" s="68">
        <f t="shared" si="13"/>
        <v>-0.93870611278651717</v>
      </c>
      <c r="K123" s="124" t="s">
        <v>832</v>
      </c>
      <c r="L123" s="123" t="s">
        <v>833</v>
      </c>
      <c r="M123" s="103" t="s">
        <v>355</v>
      </c>
      <c r="N123" s="103" t="s">
        <v>834</v>
      </c>
      <c r="O123" s="103" t="s">
        <v>835</v>
      </c>
      <c r="P123" s="104"/>
      <c r="Q123" s="104"/>
      <c r="R123" s="104"/>
      <c r="S123" s="104"/>
      <c r="T123" s="104"/>
    </row>
    <row r="124" spans="1:20" ht="15.6">
      <c r="A124" s="24" t="str">
        <v>X095</v>
      </c>
      <c r="B124" s="25" t="str">
        <v>NY</v>
      </c>
      <c r="C124" s="25" t="str">
        <f>Sites[[#This Row],[SOL'#]]</f>
        <v>SOL-10929</v>
      </c>
      <c r="D124" s="54">
        <v>17585.31640625</v>
      </c>
      <c r="E124" s="10" t="s">
        <v>661</v>
      </c>
      <c r="F124" s="10" t="str">
        <f t="shared" si="8"/>
        <v/>
      </c>
      <c r="G124" s="55" t="str">
        <f t="shared" si="9"/>
        <v/>
      </c>
      <c r="H124" s="67">
        <v>18495</v>
      </c>
      <c r="I124" s="67">
        <f t="shared" si="12"/>
        <v>-909.68359375</v>
      </c>
      <c r="J124" s="64">
        <f t="shared" si="13"/>
        <v>-4.9185379494457962E-2</v>
      </c>
      <c r="K124" s="56"/>
      <c r="L124" s="37"/>
      <c r="M124" s="104"/>
      <c r="N124" s="104"/>
      <c r="O124" s="104"/>
      <c r="P124" s="104"/>
      <c r="Q124" s="104"/>
      <c r="R124" s="104"/>
      <c r="S124" s="104"/>
      <c r="T124" s="104"/>
    </row>
    <row r="125" spans="1:20" ht="15.6">
      <c r="A125" s="26" t="str">
        <v>X181</v>
      </c>
      <c r="B125" s="27" t="str">
        <v>NY</v>
      </c>
      <c r="C125" s="27" t="str">
        <f>Sites[[#This Row],[SOL'#]]</f>
        <v>SOL-10428</v>
      </c>
      <c r="D125" s="66">
        <v>32407.290390624999</v>
      </c>
      <c r="E125" s="14" t="s">
        <v>661</v>
      </c>
      <c r="F125" s="14" t="str">
        <f t="shared" si="8"/>
        <v/>
      </c>
      <c r="G125" s="68" t="str">
        <f t="shared" si="9"/>
        <v/>
      </c>
      <c r="H125" s="69">
        <v>33412</v>
      </c>
      <c r="I125" s="69">
        <f t="shared" si="12"/>
        <v>-1004.7096093750006</v>
      </c>
      <c r="J125" s="68">
        <f t="shared" si="13"/>
        <v>-3.0070322320573464E-2</v>
      </c>
      <c r="K125" s="38"/>
      <c r="L125" s="17"/>
      <c r="M125" s="104"/>
      <c r="N125" s="104"/>
      <c r="O125" s="104"/>
      <c r="P125" s="104"/>
      <c r="Q125" s="104"/>
      <c r="R125" s="104"/>
      <c r="S125" s="104"/>
      <c r="T125" s="104"/>
    </row>
    <row r="126" spans="1:20" ht="15.6">
      <c r="A126" s="24" t="str">
        <v>X415</v>
      </c>
      <c r="B126" s="25" t="str">
        <v>NY</v>
      </c>
      <c r="C126" s="25" t="str">
        <f>Sites[[#This Row],[SOL'#]]</f>
        <v>SOL-10429</v>
      </c>
      <c r="D126" s="54">
        <v>20488.828125</v>
      </c>
      <c r="E126" s="10" t="s">
        <v>661</v>
      </c>
      <c r="F126" s="10" t="str">
        <f t="shared" si="8"/>
        <v/>
      </c>
      <c r="G126" s="55" t="str">
        <f t="shared" si="9"/>
        <v/>
      </c>
      <c r="H126" s="67">
        <v>19306</v>
      </c>
      <c r="I126" s="67">
        <f t="shared" si="12"/>
        <v>1182.828125</v>
      </c>
      <c r="J126" s="64">
        <f t="shared" si="13"/>
        <v>6.1267384491867811E-2</v>
      </c>
      <c r="K126" s="56"/>
      <c r="L126" s="37"/>
      <c r="M126" s="104"/>
      <c r="N126" s="104"/>
      <c r="O126" s="104"/>
      <c r="P126" s="104"/>
      <c r="Q126" s="104"/>
      <c r="R126" s="104"/>
      <c r="S126" s="104"/>
      <c r="T126" s="104"/>
    </row>
    <row r="127" spans="1:20" ht="15.6">
      <c r="A127" s="26" t="str">
        <v>K198</v>
      </c>
      <c r="B127" s="27" t="str">
        <v>NY</v>
      </c>
      <c r="C127" s="27" t="str">
        <f>Sites[[#This Row],[SOL'#]]</f>
        <v>SOL-10930</v>
      </c>
      <c r="D127" s="66">
        <v>14934.17578125</v>
      </c>
      <c r="E127" s="14" t="s">
        <v>661</v>
      </c>
      <c r="F127" s="14" t="str">
        <f t="shared" si="8"/>
        <v/>
      </c>
      <c r="G127" s="68" t="str">
        <f t="shared" si="9"/>
        <v/>
      </c>
      <c r="H127" s="69">
        <v>15025</v>
      </c>
      <c r="I127" s="69">
        <f t="shared" si="12"/>
        <v>-90.82421875</v>
      </c>
      <c r="J127" s="68">
        <f t="shared" si="13"/>
        <v>-6.0448731281198004E-3</v>
      </c>
      <c r="K127" s="38"/>
      <c r="L127" s="17"/>
      <c r="M127" s="104"/>
      <c r="N127" s="104"/>
      <c r="O127" s="104"/>
      <c r="P127" s="104"/>
      <c r="Q127" s="104"/>
      <c r="R127" s="104"/>
      <c r="S127" s="104"/>
      <c r="T127" s="104"/>
    </row>
    <row r="128" spans="1:20" ht="15.6">
      <c r="A128" s="24" t="str">
        <v>K203</v>
      </c>
      <c r="B128" s="25" t="str">
        <v>NY</v>
      </c>
      <c r="C128" s="25" t="str">
        <f>Sites[[#This Row],[SOL'#]]</f>
        <v>SOL-11190</v>
      </c>
      <c r="D128" s="54">
        <v>18670.099999999999</v>
      </c>
      <c r="E128" s="10">
        <v>17017.400000000001</v>
      </c>
      <c r="F128" s="10">
        <f t="shared" ref="F128:F157" si="14">IF(AND(ISNUMBER(D128),ISNUMBER(E128)), D128-E128, "")</f>
        <v>1652.6999999999971</v>
      </c>
      <c r="G128" s="55">
        <f t="shared" ref="G128:G157" si="15">IFERROR(F128/E128, "")</f>
        <v>9.711824367999794E-2</v>
      </c>
      <c r="H128" s="67">
        <v>20769</v>
      </c>
      <c r="I128" s="67">
        <f t="shared" si="12"/>
        <v>-2098.9000000000015</v>
      </c>
      <c r="J128" s="64">
        <f t="shared" si="13"/>
        <v>-0.10105927102893743</v>
      </c>
      <c r="K128" s="56" t="s">
        <v>836</v>
      </c>
      <c r="L128" s="110" t="s">
        <v>579</v>
      </c>
      <c r="M128" s="104"/>
      <c r="N128" s="104"/>
      <c r="O128" s="104"/>
      <c r="P128" s="104"/>
      <c r="Q128" s="104"/>
      <c r="R128" s="104"/>
      <c r="S128" s="104"/>
      <c r="T128" s="104"/>
    </row>
    <row r="129" spans="1:20" ht="57.6">
      <c r="A129" s="26" t="str">
        <v>K213</v>
      </c>
      <c r="B129" s="27" t="str">
        <v>NY</v>
      </c>
      <c r="C129" s="27" t="str">
        <f>Sites[[#This Row],[SOL'#]]</f>
        <v>SOL-11191</v>
      </c>
      <c r="D129" s="66">
        <v>19403.7</v>
      </c>
      <c r="E129" s="14">
        <v>21842</v>
      </c>
      <c r="F129" s="14">
        <f t="shared" si="14"/>
        <v>-2438.2999999999993</v>
      </c>
      <c r="G129" s="68">
        <f t="shared" si="15"/>
        <v>-0.11163355004120498</v>
      </c>
      <c r="H129" s="69">
        <v>21777</v>
      </c>
      <c r="I129" s="69">
        <f t="shared" si="12"/>
        <v>-2373.2999999999993</v>
      </c>
      <c r="J129" s="68">
        <f t="shared" si="13"/>
        <v>-0.10898195343711252</v>
      </c>
      <c r="K129" s="38" t="s">
        <v>837</v>
      </c>
      <c r="L129" s="115" t="s">
        <v>838</v>
      </c>
      <c r="M129" s="104"/>
      <c r="N129" s="104"/>
      <c r="O129" s="104"/>
      <c r="P129" s="104"/>
      <c r="Q129" s="104"/>
      <c r="R129" s="104"/>
      <c r="S129" s="104"/>
      <c r="T129" s="104"/>
    </row>
    <row r="130" spans="1:20" ht="15.6">
      <c r="A130" s="24" t="str">
        <v>K217</v>
      </c>
      <c r="B130" s="25" t="str">
        <v>NY</v>
      </c>
      <c r="C130" s="25" t="str">
        <f>Sites[[#This Row],[SOL'#]]</f>
        <v>SOL-10933</v>
      </c>
      <c r="D130" s="54">
        <v>11456.6484375</v>
      </c>
      <c r="E130" s="10">
        <v>0</v>
      </c>
      <c r="F130" s="10">
        <f t="shared" si="14"/>
        <v>11456.6484375</v>
      </c>
      <c r="G130" s="55" t="str">
        <f t="shared" si="15"/>
        <v/>
      </c>
      <c r="H130" s="67">
        <v>11653</v>
      </c>
      <c r="I130" s="67">
        <f t="shared" ref="I130:I157" si="16">IF(AND(ISNUMBER(D130),ISNUMBER(H130)), D130-H130, "")</f>
        <v>-196.3515625</v>
      </c>
      <c r="J130" s="64">
        <f t="shared" ref="J130:J157" si="17">IFERROR(I130/H130, "")</f>
        <v>-1.6849872350467691E-2</v>
      </c>
      <c r="K130" s="56"/>
      <c r="L130" s="37"/>
      <c r="M130" s="104"/>
      <c r="N130" s="104"/>
      <c r="O130" s="104"/>
      <c r="P130" s="104"/>
      <c r="Q130" s="104"/>
      <c r="R130" s="104"/>
      <c r="S130" s="104"/>
      <c r="T130" s="104"/>
    </row>
    <row r="131" spans="1:20" ht="15.6">
      <c r="A131" s="26" t="str">
        <v>K307</v>
      </c>
      <c r="B131" s="27" t="str">
        <v>NY</v>
      </c>
      <c r="C131" s="27" t="str">
        <f>Sites[[#This Row],[SOL'#]]</f>
        <v>SOL-10876</v>
      </c>
      <c r="D131" s="66">
        <v>23795.59375</v>
      </c>
      <c r="E131" s="14" t="s">
        <v>661</v>
      </c>
      <c r="F131" s="14" t="str">
        <f t="shared" si="14"/>
        <v/>
      </c>
      <c r="G131" s="68" t="str">
        <f t="shared" si="15"/>
        <v/>
      </c>
      <c r="H131" s="69">
        <v>24665</v>
      </c>
      <c r="I131" s="69">
        <f t="shared" si="16"/>
        <v>-869.40625</v>
      </c>
      <c r="J131" s="68">
        <f t="shared" si="17"/>
        <v>-3.52485809852017E-2</v>
      </c>
      <c r="K131" s="38"/>
      <c r="L131" s="17"/>
      <c r="M131" s="104"/>
      <c r="N131" s="104"/>
      <c r="O131" s="104"/>
      <c r="P131" s="104"/>
      <c r="Q131" s="104"/>
      <c r="R131" s="104"/>
      <c r="S131" s="104"/>
      <c r="T131" s="104"/>
    </row>
    <row r="132" spans="1:20" ht="15.6">
      <c r="A132" s="24" t="str">
        <v>K610</v>
      </c>
      <c r="B132" s="25" t="str">
        <v>NY</v>
      </c>
      <c r="C132" s="25" t="str">
        <f>Sites[[#This Row],[SOL'#]]</f>
        <v>SOL-11158</v>
      </c>
      <c r="D132" s="54">
        <v>28474.6</v>
      </c>
      <c r="E132" s="10">
        <v>27807.7</v>
      </c>
      <c r="F132" s="10">
        <f t="shared" si="14"/>
        <v>666.89999999999782</v>
      </c>
      <c r="G132" s="55">
        <f t="shared" si="15"/>
        <v>2.3982565979926346E-2</v>
      </c>
      <c r="H132" s="67">
        <v>28774</v>
      </c>
      <c r="I132" s="67">
        <f t="shared" si="16"/>
        <v>-299.40000000000146</v>
      </c>
      <c r="J132" s="64">
        <f t="shared" si="17"/>
        <v>-1.0405226940988443E-2</v>
      </c>
      <c r="K132" s="56"/>
      <c r="L132" s="37"/>
      <c r="M132" s="104"/>
      <c r="N132" s="104"/>
      <c r="O132" s="104"/>
      <c r="P132" s="104"/>
      <c r="Q132" s="104"/>
      <c r="R132" s="104"/>
      <c r="S132" s="104"/>
      <c r="T132" s="104"/>
    </row>
    <row r="133" spans="1:20" ht="282" customHeight="1">
      <c r="A133" s="26" t="str">
        <v>M025</v>
      </c>
      <c r="B133" s="27" t="str">
        <v>NY</v>
      </c>
      <c r="C133" s="27" t="str">
        <f>Sites[[#This Row],[SOL'#]]</f>
        <v>SOL-10392</v>
      </c>
      <c r="D133" s="66">
        <v>10017.521484375</v>
      </c>
      <c r="E133" s="14" t="s">
        <v>661</v>
      </c>
      <c r="F133" s="14" t="str">
        <f t="shared" si="14"/>
        <v/>
      </c>
      <c r="G133" s="68" t="str">
        <f t="shared" si="15"/>
        <v/>
      </c>
      <c r="H133" s="69">
        <v>24960</v>
      </c>
      <c r="I133" s="69">
        <f t="shared" si="16"/>
        <v>-14942.478515625</v>
      </c>
      <c r="J133" s="68">
        <f t="shared" si="17"/>
        <v>-0.59865699181189902</v>
      </c>
      <c r="K133" s="50" t="s">
        <v>839</v>
      </c>
      <c r="L133" s="123" t="s">
        <v>840</v>
      </c>
      <c r="M133" s="103" t="s">
        <v>841</v>
      </c>
      <c r="N133" s="103" t="s">
        <v>585</v>
      </c>
      <c r="O133" s="103" t="s">
        <v>586</v>
      </c>
      <c r="P133" s="103" t="s">
        <v>841</v>
      </c>
      <c r="Q133" s="103" t="s">
        <v>842</v>
      </c>
      <c r="R133" s="103" t="s">
        <v>843</v>
      </c>
      <c r="S133" s="104"/>
      <c r="T133" s="104"/>
    </row>
    <row r="134" spans="1:20" ht="15.6">
      <c r="A134" s="24" t="str">
        <v>M028</v>
      </c>
      <c r="B134" s="25" t="str">
        <v>NY</v>
      </c>
      <c r="C134" s="25" t="str">
        <f>Sites[[#This Row],[SOL'#]]</f>
        <v>SOL-10381</v>
      </c>
      <c r="D134" s="54">
        <v>19247.710762593299</v>
      </c>
      <c r="E134" s="10" t="s">
        <v>661</v>
      </c>
      <c r="F134" s="10" t="str">
        <f t="shared" si="14"/>
        <v/>
      </c>
      <c r="G134" s="55" t="str">
        <f t="shared" si="15"/>
        <v/>
      </c>
      <c r="H134" s="67">
        <v>19348</v>
      </c>
      <c r="I134" s="67">
        <f t="shared" si="16"/>
        <v>-100.28923740670143</v>
      </c>
      <c r="J134" s="64">
        <f t="shared" si="17"/>
        <v>-5.18344208221529E-3</v>
      </c>
      <c r="K134" s="56"/>
      <c r="L134" s="37"/>
      <c r="M134" s="104"/>
      <c r="N134" s="104"/>
      <c r="O134" s="104"/>
      <c r="P134" s="104"/>
      <c r="Q134" s="104"/>
      <c r="R134" s="104"/>
      <c r="S134" s="104"/>
      <c r="T134" s="104"/>
    </row>
    <row r="135" spans="1:20" ht="15.6">
      <c r="A135" s="26" t="str">
        <v>Q030</v>
      </c>
      <c r="B135" s="27" t="str">
        <v>NY</v>
      </c>
      <c r="C135" s="27" t="str">
        <f>Sites[[#This Row],[SOL'#]]</f>
        <v>SOL-10878</v>
      </c>
      <c r="D135" s="66">
        <v>23074.4142195352</v>
      </c>
      <c r="E135" s="14" t="s">
        <v>661</v>
      </c>
      <c r="F135" s="14" t="str">
        <f t="shared" si="14"/>
        <v/>
      </c>
      <c r="G135" s="68" t="str">
        <f t="shared" si="15"/>
        <v/>
      </c>
      <c r="H135" s="69">
        <v>23554</v>
      </c>
      <c r="I135" s="69">
        <f t="shared" si="16"/>
        <v>-479.58578046480034</v>
      </c>
      <c r="J135" s="68">
        <f t="shared" si="17"/>
        <v>-2.0361118301129334E-2</v>
      </c>
      <c r="K135" s="38"/>
      <c r="L135" s="17"/>
      <c r="M135" s="104"/>
      <c r="N135" s="104"/>
      <c r="O135" s="104"/>
      <c r="P135" s="104"/>
      <c r="Q135" s="104"/>
      <c r="R135" s="104"/>
      <c r="S135" s="104"/>
      <c r="T135" s="104"/>
    </row>
    <row r="136" spans="1:20" ht="15.6">
      <c r="A136" s="24" t="str">
        <v>Q130</v>
      </c>
      <c r="B136" s="25" t="str">
        <v>NY</v>
      </c>
      <c r="C136" s="25" t="str">
        <f>Sites[[#This Row],[SOL'#]]</f>
        <v>SOL-10877</v>
      </c>
      <c r="D136" s="54">
        <v>13305.36328125</v>
      </c>
      <c r="E136" s="10" t="s">
        <v>661</v>
      </c>
      <c r="F136" s="10" t="str">
        <f t="shared" si="14"/>
        <v/>
      </c>
      <c r="G136" s="55" t="str">
        <f t="shared" si="15"/>
        <v/>
      </c>
      <c r="H136" s="67">
        <v>13284.82</v>
      </c>
      <c r="I136" s="67">
        <f t="shared" si="16"/>
        <v>20.543281250000291</v>
      </c>
      <c r="J136" s="64">
        <f t="shared" si="17"/>
        <v>1.5463725703472302E-3</v>
      </c>
      <c r="K136" s="56"/>
      <c r="L136" s="37"/>
      <c r="M136" s="104"/>
      <c r="N136" s="104"/>
      <c r="O136" s="104"/>
      <c r="P136" s="104"/>
      <c r="Q136" s="104"/>
      <c r="R136" s="104"/>
      <c r="S136" s="104"/>
      <c r="T136" s="104"/>
    </row>
    <row r="137" spans="1:20" ht="15.6">
      <c r="A137" s="26" t="str">
        <v>Q196</v>
      </c>
      <c r="B137" s="27" t="str">
        <v>NY</v>
      </c>
      <c r="C137" s="27" t="str">
        <f>Sites[[#This Row],[SOL'#]]</f>
        <v>SOL-10879</v>
      </c>
      <c r="D137" s="66">
        <v>17258.2402929688</v>
      </c>
      <c r="E137" s="14" t="s">
        <v>661</v>
      </c>
      <c r="F137" s="14" t="str">
        <f t="shared" si="14"/>
        <v/>
      </c>
      <c r="G137" s="68" t="str">
        <f t="shared" si="15"/>
        <v/>
      </c>
      <c r="H137" s="69">
        <v>17187</v>
      </c>
      <c r="I137" s="69">
        <f t="shared" si="16"/>
        <v>71.240292968799622</v>
      </c>
      <c r="J137" s="68">
        <f t="shared" si="17"/>
        <v>4.1450103548495735E-3</v>
      </c>
      <c r="K137" s="38"/>
      <c r="L137" s="17"/>
      <c r="M137" s="104"/>
      <c r="N137" s="104"/>
      <c r="O137" s="104"/>
      <c r="P137" s="104"/>
      <c r="Q137" s="104"/>
      <c r="R137" s="104"/>
      <c r="S137" s="104"/>
      <c r="T137" s="104"/>
    </row>
    <row r="138" spans="1:20" ht="28.9">
      <c r="A138" s="24" t="str">
        <v>Q220</v>
      </c>
      <c r="B138" s="25" t="str">
        <v>NY</v>
      </c>
      <c r="C138" s="25" t="str">
        <f>Sites[[#This Row],[SOL'#]]</f>
        <v>SOL-10873</v>
      </c>
      <c r="D138" s="54">
        <v>20521.2734375</v>
      </c>
      <c r="E138" s="10">
        <v>0</v>
      </c>
      <c r="F138" s="10">
        <f t="shared" si="14"/>
        <v>20521.2734375</v>
      </c>
      <c r="G138" s="55" t="str">
        <f t="shared" si="15"/>
        <v/>
      </c>
      <c r="H138" s="67">
        <v>19984</v>
      </c>
      <c r="I138" s="67">
        <f t="shared" si="16"/>
        <v>537.2734375</v>
      </c>
      <c r="J138" s="64">
        <f t="shared" si="17"/>
        <v>2.6885180019015211E-2</v>
      </c>
      <c r="K138" s="56" t="s">
        <v>844</v>
      </c>
      <c r="L138" s="110" t="s">
        <v>845</v>
      </c>
      <c r="M138" s="104"/>
      <c r="N138" s="104"/>
      <c r="O138" s="104"/>
      <c r="P138" s="104"/>
      <c r="Q138" s="104"/>
      <c r="R138" s="104"/>
      <c r="S138" s="104"/>
      <c r="T138" s="104"/>
    </row>
    <row r="139" spans="1:20" ht="54" customHeight="1">
      <c r="A139" s="26" t="str">
        <v>Q205</v>
      </c>
      <c r="B139" s="27" t="str">
        <v>NY</v>
      </c>
      <c r="C139" s="27" t="str">
        <f>Sites[[#This Row],[SOL'#]]</f>
        <v>SOL-10922</v>
      </c>
      <c r="D139" s="66">
        <v>24109.1171875</v>
      </c>
      <c r="E139" s="14">
        <v>26692.9</v>
      </c>
      <c r="F139" s="14">
        <f t="shared" si="14"/>
        <v>-2583.7828125000015</v>
      </c>
      <c r="G139" s="68">
        <f t="shared" si="15"/>
        <v>-9.6796631782234271E-2</v>
      </c>
      <c r="H139" s="69">
        <v>23997</v>
      </c>
      <c r="I139" s="69">
        <f t="shared" si="16"/>
        <v>112.1171875</v>
      </c>
      <c r="J139" s="68">
        <f t="shared" si="17"/>
        <v>4.6721334958536483E-3</v>
      </c>
      <c r="K139" s="38" t="s">
        <v>846</v>
      </c>
      <c r="L139" s="115" t="s">
        <v>847</v>
      </c>
      <c r="M139" s="104"/>
      <c r="N139" s="104"/>
      <c r="O139" s="104"/>
      <c r="P139" s="104"/>
      <c r="Q139" s="104"/>
      <c r="R139" s="104"/>
      <c r="S139" s="104"/>
      <c r="T139" s="104"/>
    </row>
    <row r="140" spans="1:20" ht="158.25" customHeight="1">
      <c r="A140" s="24" t="str">
        <v>Q400</v>
      </c>
      <c r="B140" s="25" t="str">
        <v>NY</v>
      </c>
      <c r="C140" s="25" t="str">
        <f>Sites[[#This Row],[SOL'#]]</f>
        <v>SOL-10871</v>
      </c>
      <c r="D140" s="54">
        <v>27707.125</v>
      </c>
      <c r="E140" s="10" t="s">
        <v>661</v>
      </c>
      <c r="F140" s="10" t="str">
        <f t="shared" si="14"/>
        <v/>
      </c>
      <c r="G140" s="55" t="str">
        <f t="shared" si="15"/>
        <v/>
      </c>
      <c r="H140" s="67">
        <v>38017</v>
      </c>
      <c r="I140" s="67">
        <f t="shared" si="16"/>
        <v>-10309.875</v>
      </c>
      <c r="J140" s="64">
        <f t="shared" si="17"/>
        <v>-0.27119117763105977</v>
      </c>
      <c r="K140" s="56" t="s">
        <v>848</v>
      </c>
      <c r="L140" s="110" t="s">
        <v>849</v>
      </c>
      <c r="M140" s="103" t="s">
        <v>595</v>
      </c>
      <c r="N140" s="103" t="s">
        <v>596</v>
      </c>
      <c r="O140" s="103" t="s">
        <v>597</v>
      </c>
      <c r="P140" s="103" t="s">
        <v>850</v>
      </c>
      <c r="Q140" s="103" t="s">
        <v>851</v>
      </c>
      <c r="R140" s="104"/>
      <c r="S140" s="104"/>
      <c r="T140" s="104"/>
    </row>
    <row r="141" spans="1:20" ht="15.6">
      <c r="A141" s="26" t="str">
        <v>R003</v>
      </c>
      <c r="B141" s="27" t="str">
        <v>NY</v>
      </c>
      <c r="C141" s="27" t="str">
        <f>Sites[[#This Row],[SOL'#]]</f>
        <v>SOL-10416</v>
      </c>
      <c r="D141" s="66">
        <v>34622.038632812502</v>
      </c>
      <c r="E141" s="14" t="s">
        <v>661</v>
      </c>
      <c r="F141" s="14" t="str">
        <f t="shared" si="14"/>
        <v/>
      </c>
      <c r="G141" s="68" t="str">
        <f t="shared" si="15"/>
        <v/>
      </c>
      <c r="H141" s="69">
        <v>35285</v>
      </c>
      <c r="I141" s="69">
        <f t="shared" si="16"/>
        <v>-662.96136718749767</v>
      </c>
      <c r="J141" s="68">
        <f t="shared" si="17"/>
        <v>-1.8788759166430427E-2</v>
      </c>
      <c r="K141" s="38"/>
      <c r="L141" s="17"/>
      <c r="M141" s="104"/>
      <c r="N141" s="104"/>
      <c r="O141" s="104"/>
      <c r="P141" s="104"/>
      <c r="Q141" s="104"/>
      <c r="R141" s="104"/>
      <c r="S141" s="104"/>
      <c r="T141" s="104"/>
    </row>
    <row r="142" spans="1:20" ht="15.6">
      <c r="A142" s="24" t="str">
        <v>R007</v>
      </c>
      <c r="B142" s="25" t="str">
        <v>NY</v>
      </c>
      <c r="C142" s="25" t="str">
        <f>Sites[[#This Row],[SOL'#]]</f>
        <v>SOL-10417</v>
      </c>
      <c r="D142" s="54">
        <v>35700.671875</v>
      </c>
      <c r="E142" s="10" t="s">
        <v>661</v>
      </c>
      <c r="F142" s="10" t="str">
        <f t="shared" si="14"/>
        <v/>
      </c>
      <c r="G142" s="55" t="str">
        <f t="shared" si="15"/>
        <v/>
      </c>
      <c r="H142" s="67">
        <v>36329</v>
      </c>
      <c r="I142" s="67">
        <f t="shared" si="16"/>
        <v>-628.328125</v>
      </c>
      <c r="J142" s="64">
        <f t="shared" si="17"/>
        <v>-1.7295497398772331E-2</v>
      </c>
      <c r="K142" s="56"/>
      <c r="L142" s="37"/>
      <c r="M142" s="104"/>
      <c r="N142" s="104"/>
      <c r="O142" s="104"/>
      <c r="P142" s="104"/>
      <c r="Q142" s="104"/>
      <c r="R142" s="104"/>
      <c r="S142" s="104"/>
      <c r="T142" s="104"/>
    </row>
    <row r="143" spans="1:20" ht="28.9">
      <c r="A143" s="26" t="str">
        <v>BK16</v>
      </c>
      <c r="B143" s="27" t="str">
        <v>NY</v>
      </c>
      <c r="C143" s="27" t="str">
        <f>Sites[[#This Row],[SOL'#]]</f>
        <v>SOL-11093</v>
      </c>
      <c r="D143" s="66">
        <v>37304.8046875</v>
      </c>
      <c r="E143" s="14" t="s">
        <v>661</v>
      </c>
      <c r="F143" s="14" t="str">
        <f t="shared" si="14"/>
        <v/>
      </c>
      <c r="G143" s="68" t="str">
        <f t="shared" si="15"/>
        <v/>
      </c>
      <c r="H143" s="69">
        <v>37404</v>
      </c>
      <c r="I143" s="69">
        <f t="shared" si="16"/>
        <v>-99.1953125</v>
      </c>
      <c r="J143" s="68">
        <f t="shared" si="17"/>
        <v>-2.6519974467971341E-3</v>
      </c>
      <c r="K143" s="38" t="s">
        <v>852</v>
      </c>
      <c r="L143" s="103" t="s">
        <v>853</v>
      </c>
      <c r="M143" s="104"/>
      <c r="N143" s="104"/>
      <c r="O143" s="104"/>
      <c r="P143" s="104"/>
      <c r="Q143" s="104"/>
      <c r="R143" s="104"/>
      <c r="S143" s="104"/>
      <c r="T143" s="104"/>
    </row>
    <row r="144" spans="1:20" ht="179.25" customHeight="1">
      <c r="A144" s="24" t="str">
        <v>Trenton - Trenton East</v>
      </c>
      <c r="B144" s="25" t="str">
        <v>IL</v>
      </c>
      <c r="C144" s="25" t="str">
        <f>Sites[[#This Row],[SOL'#]]</f>
        <v>SOL-11060</v>
      </c>
      <c r="D144" s="54">
        <v>101250.499765288</v>
      </c>
      <c r="E144" s="10">
        <v>140508.70000000001</v>
      </c>
      <c r="F144" s="10">
        <f t="shared" si="14"/>
        <v>-39258.200234712014</v>
      </c>
      <c r="G144" s="55">
        <f t="shared" si="15"/>
        <v>-0.27940049430897879</v>
      </c>
      <c r="H144" s="67">
        <v>444673</v>
      </c>
      <c r="I144" s="67">
        <f t="shared" si="16"/>
        <v>-343422.50023471203</v>
      </c>
      <c r="J144" s="64">
        <f t="shared" si="17"/>
        <v>-0.77230346846944165</v>
      </c>
      <c r="K144" s="56" t="s">
        <v>854</v>
      </c>
      <c r="L144" s="117" t="s">
        <v>855</v>
      </c>
      <c r="M144" s="103" t="s">
        <v>856</v>
      </c>
      <c r="N144" s="104"/>
      <c r="O144" s="104"/>
      <c r="P144" s="104"/>
      <c r="Q144" s="104"/>
      <c r="R144" s="104"/>
      <c r="S144" s="104"/>
      <c r="T144" s="104"/>
    </row>
    <row r="145" spans="1:20" ht="75.75" customHeight="1">
      <c r="A145" s="26" t="str">
        <v>Trenton - Trenton West</v>
      </c>
      <c r="B145" s="27" t="str">
        <v>IL</v>
      </c>
      <c r="C145" s="27" t="str">
        <f>Sites[[#This Row],[SOL'#]]</f>
        <v>SOL-11061</v>
      </c>
      <c r="D145" s="66">
        <v>14787</v>
      </c>
      <c r="E145" s="14">
        <v>48258.98</v>
      </c>
      <c r="F145" s="14">
        <f t="shared" si="14"/>
        <v>-33471.980000000003</v>
      </c>
      <c r="G145" s="68">
        <f t="shared" si="15"/>
        <v>-0.6935907058126799</v>
      </c>
      <c r="H145" s="69">
        <v>445728</v>
      </c>
      <c r="I145" s="69">
        <f t="shared" si="16"/>
        <v>-430941</v>
      </c>
      <c r="J145" s="68">
        <f t="shared" si="17"/>
        <v>-0.96682505922894679</v>
      </c>
      <c r="K145" s="50" t="s">
        <v>857</v>
      </c>
      <c r="L145" s="115" t="s">
        <v>858</v>
      </c>
      <c r="M145" s="103" t="s">
        <v>859</v>
      </c>
      <c r="N145" s="104"/>
      <c r="O145" s="104"/>
      <c r="P145" s="104"/>
      <c r="Q145" s="104"/>
      <c r="R145" s="104"/>
      <c r="S145" s="104"/>
      <c r="T145" s="104"/>
    </row>
    <row r="146" spans="1:20" ht="15.6">
      <c r="A146" s="24" t="str">
        <v>Dakota - Dakota Solar 1</v>
      </c>
      <c r="B146" s="25" t="str">
        <v>IL</v>
      </c>
      <c r="C146" s="25" t="str">
        <f>Sites[[#This Row],[SOL'#]]</f>
        <v>SOL-11113</v>
      </c>
      <c r="D146" s="54">
        <v>404459</v>
      </c>
      <c r="E146" s="10">
        <v>493295.8</v>
      </c>
      <c r="F146" s="10">
        <f t="shared" si="14"/>
        <v>-88836.799999999988</v>
      </c>
      <c r="G146" s="55">
        <f t="shared" si="15"/>
        <v>-0.18008829590683723</v>
      </c>
      <c r="H146" s="128" t="s">
        <v>661</v>
      </c>
      <c r="I146" s="67" t="str">
        <f t="shared" si="16"/>
        <v/>
      </c>
      <c r="J146" s="64" t="str">
        <f t="shared" si="17"/>
        <v/>
      </c>
      <c r="K146" s="56" t="s">
        <v>860</v>
      </c>
      <c r="L146" s="117" t="s">
        <v>861</v>
      </c>
      <c r="M146" s="104"/>
      <c r="N146" s="104"/>
      <c r="O146" s="104"/>
      <c r="P146" s="104"/>
      <c r="Q146" s="104"/>
      <c r="R146" s="104"/>
      <c r="S146" s="104"/>
      <c r="T146" s="104"/>
    </row>
    <row r="147" spans="1:20" ht="43.15">
      <c r="A147" s="26" t="str">
        <v>X018</v>
      </c>
      <c r="B147" s="27" t="str">
        <v>NY</v>
      </c>
      <c r="C147" s="27" t="str">
        <f>Sites[[#This Row],[SOL'#]]</f>
        <v>SOL-10418</v>
      </c>
      <c r="D147" s="66">
        <v>10373.8268715019</v>
      </c>
      <c r="E147" s="14">
        <v>11138.39</v>
      </c>
      <c r="F147" s="14">
        <f t="shared" si="14"/>
        <v>-764.5631284980991</v>
      </c>
      <c r="G147" s="68">
        <f t="shared" si="15"/>
        <v>-6.8642158202226633E-2</v>
      </c>
      <c r="H147" s="69">
        <v>19186</v>
      </c>
      <c r="I147" s="69">
        <f t="shared" si="16"/>
        <v>-8812.1731284980997</v>
      </c>
      <c r="J147" s="68">
        <f t="shared" si="17"/>
        <v>-0.45930225833931509</v>
      </c>
      <c r="K147" s="38" t="s">
        <v>862</v>
      </c>
      <c r="L147" s="123" t="s">
        <v>863</v>
      </c>
      <c r="M147" s="103" t="s">
        <v>864</v>
      </c>
      <c r="N147" s="103" t="s">
        <v>865</v>
      </c>
      <c r="O147" s="104"/>
      <c r="P147" s="104"/>
      <c r="Q147" s="104"/>
      <c r="R147" s="104"/>
      <c r="S147" s="104"/>
      <c r="T147" s="104"/>
    </row>
    <row r="148" spans="1:20" ht="28.9">
      <c r="A148" s="24" t="str">
        <v>Janiak Solar</v>
      </c>
      <c r="B148" s="25" t="str">
        <v>NY</v>
      </c>
      <c r="C148" s="25" t="str">
        <f>Sites[[#This Row],[SOL'#]]</f>
        <v>SOL-10898</v>
      </c>
      <c r="D148" s="54">
        <v>322430</v>
      </c>
      <c r="E148" s="10">
        <v>338915.4</v>
      </c>
      <c r="F148" s="10">
        <f t="shared" si="14"/>
        <v>-16485.400000000023</v>
      </c>
      <c r="G148" s="55">
        <f t="shared" si="15"/>
        <v>-4.8641637411578294E-2</v>
      </c>
      <c r="H148" s="67">
        <v>362726</v>
      </c>
      <c r="I148" s="67">
        <f t="shared" si="16"/>
        <v>-40296</v>
      </c>
      <c r="J148" s="64">
        <f t="shared" si="17"/>
        <v>-0.11109211912021746</v>
      </c>
      <c r="K148" s="56" t="s">
        <v>866</v>
      </c>
      <c r="L148" s="117" t="s">
        <v>867</v>
      </c>
      <c r="M148" s="104"/>
      <c r="N148" s="104"/>
      <c r="O148" s="104"/>
      <c r="P148" s="104"/>
      <c r="Q148" s="104"/>
      <c r="R148" s="104"/>
      <c r="S148" s="104"/>
      <c r="T148" s="104"/>
    </row>
    <row r="149" spans="1:20" ht="231.75" customHeight="1">
      <c r="A149" s="26" t="str">
        <v>County Route 11B</v>
      </c>
      <c r="B149" s="27" t="str">
        <v>NY</v>
      </c>
      <c r="C149" s="27" t="str">
        <f>Sites[[#This Row],[SOL'#]]</f>
        <v>SOL-10983</v>
      </c>
      <c r="D149" s="66">
        <v>746347</v>
      </c>
      <c r="E149" s="14" t="s">
        <v>661</v>
      </c>
      <c r="F149" s="14" t="str">
        <f t="shared" si="14"/>
        <v/>
      </c>
      <c r="G149" s="68" t="str">
        <f t="shared" si="15"/>
        <v/>
      </c>
      <c r="H149" s="127" t="s">
        <v>661</v>
      </c>
      <c r="I149" s="69" t="str">
        <f t="shared" si="16"/>
        <v/>
      </c>
      <c r="J149" s="68" t="str">
        <f t="shared" si="17"/>
        <v/>
      </c>
      <c r="K149" s="38" t="s">
        <v>868</v>
      </c>
      <c r="L149" s="102" t="s">
        <v>869</v>
      </c>
      <c r="M149" s="103" t="s">
        <v>870</v>
      </c>
      <c r="N149" s="103" t="s">
        <v>871</v>
      </c>
      <c r="O149" s="104"/>
      <c r="P149" s="104"/>
      <c r="Q149" s="104"/>
      <c r="R149" s="104"/>
      <c r="S149" s="104"/>
      <c r="T149" s="104"/>
    </row>
    <row r="150" spans="1:20" ht="115.15">
      <c r="A150" s="24" t="str">
        <v>Barone</v>
      </c>
      <c r="B150" s="25" t="str">
        <v>NY</v>
      </c>
      <c r="C150" s="25" t="str">
        <f>Sites[[#This Row],[SOL'#]]</f>
        <v>SOL-11034</v>
      </c>
      <c r="D150" s="54">
        <v>580700</v>
      </c>
      <c r="E150" s="10" t="s">
        <v>661</v>
      </c>
      <c r="F150" s="10" t="str">
        <f t="shared" si="14"/>
        <v/>
      </c>
      <c r="G150" s="55" t="str">
        <f t="shared" si="15"/>
        <v/>
      </c>
      <c r="H150" s="67">
        <v>550368.69999999995</v>
      </c>
      <c r="I150" s="67">
        <f t="shared" si="16"/>
        <v>30331.300000000047</v>
      </c>
      <c r="J150" s="64">
        <f t="shared" si="17"/>
        <v>5.5110873856016977E-2</v>
      </c>
      <c r="K150" s="56" t="s">
        <v>872</v>
      </c>
      <c r="L150" s="117" t="s">
        <v>873</v>
      </c>
      <c r="M150" s="103" t="s">
        <v>621</v>
      </c>
      <c r="N150" s="103" t="s">
        <v>874</v>
      </c>
      <c r="O150" s="104"/>
      <c r="P150" s="104"/>
      <c r="Q150" s="104"/>
      <c r="R150" s="104"/>
      <c r="S150" s="104"/>
      <c r="T150" s="104"/>
    </row>
    <row r="151" spans="1:20" ht="15.6">
      <c r="A151" s="26" t="str">
        <v>Cedarville</v>
      </c>
      <c r="B151" s="27" t="str">
        <v>IL</v>
      </c>
      <c r="C151" s="27" t="str">
        <f>Sites[[#This Row],[SOL'#]]</f>
        <v>SOL-11069</v>
      </c>
      <c r="D151" s="66">
        <v>374283</v>
      </c>
      <c r="E151" s="14">
        <v>381711.3</v>
      </c>
      <c r="F151" s="14">
        <f t="shared" si="14"/>
        <v>-7428.2999999999884</v>
      </c>
      <c r="G151" s="68">
        <f t="shared" si="15"/>
        <v>-1.9460518983849807E-2</v>
      </c>
      <c r="H151" s="69">
        <v>419207.7</v>
      </c>
      <c r="I151" s="69">
        <f t="shared" si="16"/>
        <v>-44924.700000000012</v>
      </c>
      <c r="J151" s="68">
        <f t="shared" si="17"/>
        <v>-0.10716573192715689</v>
      </c>
      <c r="K151" s="38"/>
      <c r="L151" s="17"/>
      <c r="M151" s="104"/>
      <c r="N151" s="104"/>
      <c r="O151" s="104"/>
      <c r="P151" s="104"/>
      <c r="Q151" s="104"/>
      <c r="R151" s="104"/>
      <c r="S151" s="104"/>
      <c r="T151" s="104"/>
    </row>
    <row r="152" spans="1:20" ht="28.9">
      <c r="A152" s="24" t="str">
        <v xml:space="preserve"> O'Brien Hill #1</v>
      </c>
      <c r="B152" s="25" t="str">
        <v>NY</v>
      </c>
      <c r="C152" s="25" t="str">
        <f>Sites[[#This Row],[SOL'#]]</f>
        <v>SOL-11098</v>
      </c>
      <c r="D152" s="54">
        <v>68017</v>
      </c>
      <c r="E152" s="10" t="s">
        <v>661</v>
      </c>
      <c r="F152" s="10" t="str">
        <f t="shared" si="14"/>
        <v/>
      </c>
      <c r="G152" s="55" t="str">
        <f t="shared" si="15"/>
        <v/>
      </c>
      <c r="H152" s="125" t="s">
        <v>661</v>
      </c>
      <c r="I152" s="67" t="str">
        <f t="shared" si="16"/>
        <v/>
      </c>
      <c r="J152" s="64" t="str">
        <f t="shared" si="17"/>
        <v/>
      </c>
      <c r="K152" s="56" t="s">
        <v>875</v>
      </c>
      <c r="L152" s="117" t="s">
        <v>876</v>
      </c>
      <c r="M152" s="103" t="s">
        <v>877</v>
      </c>
      <c r="N152" s="104"/>
      <c r="O152" s="104"/>
      <c r="P152" s="104"/>
      <c r="Q152" s="104"/>
      <c r="R152" s="104"/>
      <c r="S152" s="104"/>
      <c r="T152" s="104"/>
    </row>
    <row r="153" spans="1:20" ht="72">
      <c r="A153" s="26" t="str">
        <v xml:space="preserve"> O'Brien Hill #2</v>
      </c>
      <c r="B153" s="27" t="str">
        <v>NY</v>
      </c>
      <c r="C153" s="27" t="str">
        <f>Sites[[#This Row],[SOL'#]]</f>
        <v>SOL-11099</v>
      </c>
      <c r="D153" s="66">
        <v>682515.06</v>
      </c>
      <c r="E153" s="14" t="s">
        <v>661</v>
      </c>
      <c r="F153" s="14" t="str">
        <f t="shared" si="14"/>
        <v/>
      </c>
      <c r="G153" s="68" t="str">
        <f t="shared" si="15"/>
        <v/>
      </c>
      <c r="H153" s="126" t="s">
        <v>661</v>
      </c>
      <c r="I153" s="69" t="str">
        <f t="shared" si="16"/>
        <v/>
      </c>
      <c r="J153" s="68" t="str">
        <f t="shared" si="17"/>
        <v/>
      </c>
      <c r="K153" s="38" t="s">
        <v>878</v>
      </c>
      <c r="L153" s="102" t="s">
        <v>879</v>
      </c>
      <c r="M153" s="103" t="s">
        <v>880</v>
      </c>
      <c r="N153" s="103" t="s">
        <v>881</v>
      </c>
      <c r="O153" s="104"/>
      <c r="P153" s="104"/>
      <c r="Q153" s="104"/>
      <c r="R153" s="104"/>
      <c r="S153" s="104"/>
      <c r="T153" s="104"/>
    </row>
    <row r="154" spans="1:20" ht="43.15">
      <c r="A154" s="24" t="str">
        <v>Trinity - Freeport</v>
      </c>
      <c r="B154" s="25" t="str">
        <v>IL</v>
      </c>
      <c r="C154" s="25" t="str">
        <f>Sites[[#This Row],[SOL'#]]</f>
        <v>SOL-11057</v>
      </c>
      <c r="D154" s="54">
        <v>391942</v>
      </c>
      <c r="E154" s="10">
        <v>280122.09999999998</v>
      </c>
      <c r="F154" s="10">
        <f t="shared" si="14"/>
        <v>111819.90000000002</v>
      </c>
      <c r="G154" s="55">
        <f t="shared" si="15"/>
        <v>0.39918271353813223</v>
      </c>
      <c r="H154" s="125" t="s">
        <v>661</v>
      </c>
      <c r="I154" s="67" t="str">
        <f t="shared" si="16"/>
        <v/>
      </c>
      <c r="J154" s="64" t="str">
        <f t="shared" si="17"/>
        <v/>
      </c>
      <c r="K154" s="56" t="s">
        <v>882</v>
      </c>
      <c r="L154" s="117" t="s">
        <v>883</v>
      </c>
      <c r="M154" s="103" t="s">
        <v>884</v>
      </c>
      <c r="N154" s="104"/>
      <c r="O154" s="104"/>
      <c r="P154" s="104"/>
      <c r="Q154" s="104"/>
      <c r="R154" s="104"/>
      <c r="S154" s="104"/>
      <c r="T154" s="104"/>
    </row>
    <row r="155" spans="1:20" ht="115.15">
      <c r="A155" s="26" t="str">
        <v>Ransom</v>
      </c>
      <c r="B155" s="27" t="str">
        <v>NY</v>
      </c>
      <c r="C155" s="27" t="str">
        <f>Sites[[#This Row],[SOL'#]]</f>
        <v>SOL-11157</v>
      </c>
      <c r="D155" s="66">
        <v>761571</v>
      </c>
      <c r="E155" s="14" t="s">
        <v>661</v>
      </c>
      <c r="F155" s="14" t="str">
        <f t="shared" si="14"/>
        <v/>
      </c>
      <c r="G155" s="68" t="str">
        <f t="shared" si="15"/>
        <v/>
      </c>
      <c r="H155" s="126" t="s">
        <v>661</v>
      </c>
      <c r="I155" s="69" t="str">
        <f t="shared" si="16"/>
        <v/>
      </c>
      <c r="J155" s="68" t="str">
        <f t="shared" si="17"/>
        <v/>
      </c>
      <c r="K155" s="38" t="s">
        <v>885</v>
      </c>
      <c r="L155" s="123" t="s">
        <v>886</v>
      </c>
      <c r="M155" s="103" t="s">
        <v>887</v>
      </c>
      <c r="N155" s="103" t="s">
        <v>888</v>
      </c>
      <c r="O155" s="103" t="s">
        <v>889</v>
      </c>
      <c r="P155" s="104"/>
      <c r="Q155" s="104"/>
      <c r="R155" s="104"/>
      <c r="S155" s="104"/>
      <c r="T155" s="104"/>
    </row>
    <row r="156" spans="1:20" ht="28.9">
      <c r="A156" s="24" t="str">
        <v>Horseheads - Wedge</v>
      </c>
      <c r="B156" s="25" t="str">
        <v>NY</v>
      </c>
      <c r="C156" s="25" t="str">
        <f>Sites[[#This Row],[SOL'#]]</f>
        <v>SOL-11160</v>
      </c>
      <c r="D156" s="54">
        <v>504647</v>
      </c>
      <c r="E156" s="10" t="s">
        <v>661</v>
      </c>
      <c r="F156" s="10" t="str">
        <f t="shared" si="14"/>
        <v/>
      </c>
      <c r="G156" s="55" t="str">
        <f t="shared" si="15"/>
        <v/>
      </c>
      <c r="H156" s="125" t="s">
        <v>661</v>
      </c>
      <c r="I156" s="67" t="str">
        <f t="shared" si="16"/>
        <v/>
      </c>
      <c r="J156" s="64" t="str">
        <f t="shared" si="17"/>
        <v/>
      </c>
      <c r="K156" s="56" t="s">
        <v>890</v>
      </c>
      <c r="L156" s="117" t="s">
        <v>891</v>
      </c>
      <c r="M156" s="104"/>
      <c r="N156" s="104"/>
      <c r="O156" s="104"/>
      <c r="P156" s="104"/>
      <c r="Q156" s="104"/>
      <c r="R156" s="104"/>
      <c r="S156" s="104"/>
      <c r="T156" s="104"/>
    </row>
    <row r="157" spans="1:20" ht="115.15">
      <c r="A157" s="26" t="str">
        <v>Otisville - Shoddy Hollow</v>
      </c>
      <c r="B157" s="27" t="str">
        <v>NY</v>
      </c>
      <c r="C157" s="27" t="str">
        <f>Sites[[#This Row],[SOL'#]]</f>
        <v>SOL-11185</v>
      </c>
      <c r="D157" s="66">
        <v>883361.3</v>
      </c>
      <c r="E157" s="14" t="s">
        <v>661</v>
      </c>
      <c r="F157" s="14" t="str">
        <f t="shared" si="14"/>
        <v/>
      </c>
      <c r="G157" s="68" t="str">
        <f t="shared" si="15"/>
        <v/>
      </c>
      <c r="H157" s="126" t="s">
        <v>661</v>
      </c>
      <c r="I157" s="69" t="str">
        <f t="shared" si="16"/>
        <v/>
      </c>
      <c r="J157" s="68" t="str">
        <f t="shared" si="17"/>
        <v/>
      </c>
      <c r="K157" s="38" t="s">
        <v>892</v>
      </c>
      <c r="L157" s="102" t="s">
        <v>893</v>
      </c>
      <c r="M157" s="103" t="s">
        <v>894</v>
      </c>
      <c r="N157" s="103" t="s">
        <v>895</v>
      </c>
      <c r="O157" s="103" t="s">
        <v>896</v>
      </c>
      <c r="P157" s="104"/>
      <c r="Q157" s="104"/>
      <c r="R157" s="104"/>
      <c r="S157" s="104"/>
      <c r="T157" s="104"/>
    </row>
    <row r="158" spans="1:20" ht="142.5" customHeight="1">
      <c r="A158" s="24" t="str">
        <v>Wellsville - Chenunda Creek</v>
      </c>
      <c r="B158" s="25" t="str">
        <v>NY</v>
      </c>
      <c r="C158" s="25" t="str">
        <f>Sites[[#This Row],[SOL'#]]</f>
        <v>SOL-11187</v>
      </c>
      <c r="D158" s="54">
        <v>424764.9</v>
      </c>
      <c r="E158" s="10" t="s">
        <v>661</v>
      </c>
      <c r="F158" s="10" t="str">
        <f t="shared" ref="F158:F164" si="18">IF(AND(ISNUMBER(D158),ISNUMBER(E158)), D158-E158, "")</f>
        <v/>
      </c>
      <c r="G158" s="55" t="str">
        <f t="shared" ref="G158:G164" si="19">IFERROR(F158/E158, "")</f>
        <v/>
      </c>
      <c r="H158" s="125" t="s">
        <v>661</v>
      </c>
      <c r="I158" s="67" t="str">
        <f t="shared" ref="I158:I164" si="20">IF(AND(ISNUMBER(D158),ISNUMBER(H158)), D158-H158, "")</f>
        <v/>
      </c>
      <c r="J158" s="64" t="str">
        <f t="shared" ref="J158:J164" si="21">IFERROR(I158/H158, "")</f>
        <v/>
      </c>
      <c r="K158" s="56" t="s">
        <v>897</v>
      </c>
      <c r="L158" s="101" t="s">
        <v>898</v>
      </c>
      <c r="M158" s="103" t="s">
        <v>899</v>
      </c>
      <c r="N158" s="103" t="s">
        <v>900</v>
      </c>
      <c r="O158" s="103" t="s">
        <v>901</v>
      </c>
      <c r="P158" s="103" t="s">
        <v>902</v>
      </c>
      <c r="Q158" s="104"/>
      <c r="R158" s="104"/>
      <c r="S158" s="104"/>
      <c r="T158" s="104"/>
    </row>
    <row r="159" spans="1:20" ht="15.6">
      <c r="A159" s="26" t="str">
        <v>DC: Washington - Essex Condominium</v>
      </c>
      <c r="B159" s="27" t="str">
        <v>DC</v>
      </c>
      <c r="C159" s="27" t="str">
        <f>Sites[[#This Row],[SOL'#]]</f>
        <v>SOL-10036</v>
      </c>
      <c r="D159" s="66">
        <v>3803</v>
      </c>
      <c r="E159" s="14">
        <v>4645.7359999999999</v>
      </c>
      <c r="F159" s="14">
        <f t="shared" si="18"/>
        <v>-842.73599999999988</v>
      </c>
      <c r="G159" s="68">
        <f t="shared" si="19"/>
        <v>-0.18139989013581484</v>
      </c>
      <c r="H159" s="126">
        <v>5003.5889999999999</v>
      </c>
      <c r="I159" s="69">
        <f t="shared" si="20"/>
        <v>-1200.5889999999999</v>
      </c>
      <c r="J159" s="68">
        <f t="shared" si="21"/>
        <v>-0.23994556707195575</v>
      </c>
      <c r="K159" s="38"/>
      <c r="L159" s="102"/>
    </row>
    <row r="160" spans="1:20" ht="15.6">
      <c r="A160" s="24" t="str">
        <v>HI: Waipahu - 94-246 Leoku St - E.F.G.</v>
      </c>
      <c r="B160" s="25" t="str">
        <v>HI</v>
      </c>
      <c r="C160" s="25" t="str">
        <f>Sites[[#This Row],[SOL'#]]</f>
        <v>SOL-10071</v>
      </c>
      <c r="D160" s="54">
        <v>8225</v>
      </c>
      <c r="E160" s="10">
        <v>10609.08</v>
      </c>
      <c r="F160" s="10">
        <f t="shared" si="18"/>
        <v>-2384.08</v>
      </c>
      <c r="G160" s="55">
        <f t="shared" si="19"/>
        <v>-0.22472071093817747</v>
      </c>
      <c r="H160" s="125">
        <v>12308.47</v>
      </c>
      <c r="I160" s="67">
        <f t="shared" si="20"/>
        <v>-4083.4699999999993</v>
      </c>
      <c r="J160" s="64">
        <f t="shared" si="21"/>
        <v>-0.33176097435343299</v>
      </c>
      <c r="K160" s="56"/>
      <c r="L160" s="101"/>
    </row>
    <row r="161" spans="1:12" ht="15.6">
      <c r="A161" s="26" t="str">
        <v>HI: Waipahu - 94-099 Waipahu St - PV</v>
      </c>
      <c r="B161" s="27" t="str">
        <v>HI</v>
      </c>
      <c r="C161" s="27" t="str">
        <f>Sites[[#This Row],[SOL'#]]</f>
        <v>SOL-10068</v>
      </c>
      <c r="D161" s="66">
        <v>12389</v>
      </c>
      <c r="E161" s="14">
        <v>9959.866</v>
      </c>
      <c r="F161" s="14">
        <f t="shared" si="18"/>
        <v>2429.134</v>
      </c>
      <c r="G161" s="68">
        <f t="shared" si="19"/>
        <v>0.24389223710439478</v>
      </c>
      <c r="H161" s="126">
        <v>12301.88</v>
      </c>
      <c r="I161" s="69">
        <f t="shared" si="20"/>
        <v>87.1200000000008</v>
      </c>
      <c r="J161" s="68">
        <f t="shared" si="21"/>
        <v>7.0818444010184462E-3</v>
      </c>
      <c r="K161" s="38"/>
      <c r="L161" s="102"/>
    </row>
    <row r="162" spans="1:12" ht="15.6">
      <c r="A162" s="24" t="str">
        <v>IL: Prophetstown - 5170 Yager Road (PW)</v>
      </c>
      <c r="B162" s="25" t="str">
        <v>IL</v>
      </c>
      <c r="C162" s="25" t="str">
        <f>Sites[[#This Row],[SOL'#]]</f>
        <v>SOL-11149</v>
      </c>
      <c r="D162" s="54"/>
      <c r="E162" s="10"/>
      <c r="F162" s="10" t="str">
        <f t="shared" si="18"/>
        <v/>
      </c>
      <c r="G162" s="55" t="str">
        <f t="shared" si="19"/>
        <v/>
      </c>
      <c r="H162" s="125"/>
      <c r="I162" s="67" t="str">
        <f t="shared" si="20"/>
        <v/>
      </c>
      <c r="J162" s="64" t="str">
        <f t="shared" si="21"/>
        <v/>
      </c>
      <c r="K162" s="56"/>
      <c r="L162" s="101"/>
    </row>
    <row r="163" spans="1:12" ht="15.6">
      <c r="A163" s="26" t="str">
        <v>IL: Viola - Goldenrod - (PW)</v>
      </c>
      <c r="B163" s="27" t="str">
        <v>IL</v>
      </c>
      <c r="C163" s="27" t="str">
        <f>Sites[[#This Row],[SOL'#]]</f>
        <v>SOL-11132</v>
      </c>
      <c r="D163" s="66"/>
      <c r="E163" s="14"/>
      <c r="F163" s="14" t="str">
        <f t="shared" si="18"/>
        <v/>
      </c>
      <c r="G163" s="68" t="str">
        <f t="shared" si="19"/>
        <v/>
      </c>
      <c r="H163" s="126"/>
      <c r="I163" s="69" t="str">
        <f t="shared" si="20"/>
        <v/>
      </c>
      <c r="J163" s="68" t="str">
        <f t="shared" si="21"/>
        <v/>
      </c>
      <c r="K163" s="38"/>
      <c r="L163" s="102"/>
    </row>
    <row r="164" spans="1:12" ht="15.6">
      <c r="A164" s="24" t="str">
        <v>IL: Marengo - Grant - (PW)</v>
      </c>
      <c r="B164" s="25" t="str">
        <v>IL</v>
      </c>
      <c r="C164" s="25" t="str">
        <f>Sites[[#This Row],[SOL'#]]</f>
        <v>SOL-11147</v>
      </c>
      <c r="D164" s="54"/>
      <c r="E164" s="10"/>
      <c r="F164" s="10" t="str">
        <f t="shared" si="18"/>
        <v/>
      </c>
      <c r="G164" s="55" t="str">
        <f t="shared" si="19"/>
        <v/>
      </c>
      <c r="H164" s="125"/>
      <c r="I164" s="67" t="str">
        <f t="shared" si="20"/>
        <v/>
      </c>
      <c r="J164" s="64" t="str">
        <f t="shared" si="21"/>
        <v/>
      </c>
      <c r="K164" s="56"/>
      <c r="L164" s="101"/>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sheetData>
  <mergeCells count="4">
    <mergeCell ref="H1:J1"/>
    <mergeCell ref="A1:D1"/>
    <mergeCell ref="E1:G1"/>
    <mergeCell ref="A2:B2"/>
  </mergeCells>
  <phoneticPr fontId="40" type="noConversion"/>
  <conditionalFormatting sqref="G2 J2 G4:G164 J4:J164">
    <cfRule type="cellIs" dxfId="34" priority="27" stopIfTrue="1" operator="lessThanOrEqual">
      <formula>-0.1</formula>
    </cfRule>
    <cfRule type="expression" dxfId="33" priority="28">
      <formula>AND(ISNUMBER(G2), G2&gt;=0.1)</formula>
    </cfRule>
  </conditionalFormatting>
  <hyperlinks>
    <hyperlink ref="L7" r:id="rId1" display="https://us3.assetplanner.com/service_request?ID=097569" xr:uid="{F3E783CD-8643-4C8A-81F4-AF9B082581BF}"/>
    <hyperlink ref="L8" r:id="rId2" display="https://us3.assetplanner.com/service_request?ID=093291" xr:uid="{D86BFBEE-421C-4A19-966E-D92491F0BF84}"/>
    <hyperlink ref="L12" r:id="rId3" display="https://us3.assetplanner.com/service_request?ID=093633" xr:uid="{2FC2CDBB-B433-4F35-8DC0-93B03D41B538}"/>
    <hyperlink ref="L14" r:id="rId4" display="https://us3.assetplanner.com/service_request?ID=086842" xr:uid="{4172F9A0-AC58-4CF8-805A-E48FB69B4E4B}"/>
    <hyperlink ref="M14" r:id="rId5" display="https://us3.assetplanner.com/service_request?ID=093294" xr:uid="{55B06B14-510E-4BA7-8646-127DE1ACBB48}"/>
    <hyperlink ref="N14" r:id="rId6" display="https://us3.assetplanner.com/service_request?ID=098958" xr:uid="{20BB5227-157F-4542-83B1-D0E5CA9301E3}"/>
    <hyperlink ref="L16" r:id="rId7" display="https://us3.assetplanner.com/service_request?ID=099824" xr:uid="{14E6F634-CFE4-464E-8496-DFD277FE17E1}"/>
    <hyperlink ref="L20" r:id="rId8" display="https://us3.assetplanner.com/service_request?ID=099648" xr:uid="{43A3DA8D-B88D-45BE-BFC8-D391137FF3CE}"/>
    <hyperlink ref="M20" r:id="rId9" display="https://us3.assetplanner.com/service_request?ID=093196" xr:uid="{C184CC67-9051-4406-A2E8-B9FE4BC1666D}"/>
    <hyperlink ref="N20" r:id="rId10" display="https://us3.assetplanner.com/service_request?ID=100035" xr:uid="{99348D60-D8DD-4075-8655-6C6A6176E836}"/>
    <hyperlink ref="L21" r:id="rId11" display="https://us3.assetplanner.com/service_request?ID=100481" xr:uid="{902A51F9-6847-4F5A-93AA-044F38FC6DEB}"/>
    <hyperlink ref="L23" r:id="rId12" display="https://us3.assetplanner.com/service_request?ID=093306" xr:uid="{91AB0306-FFD8-4804-8DD7-D4F3E7A37042}"/>
    <hyperlink ref="L26" r:id="rId13" display="https://us3.assetplanner.com/service_request?ID=099539" xr:uid="{124E2583-D4B7-420B-922B-D8D4345A318F}"/>
    <hyperlink ref="M26" r:id="rId14" display="https://us3.assetplanner.com/service_request?ID=099754" xr:uid="{91B0E2B4-3541-4E47-BE2E-B90045B8CE50}"/>
    <hyperlink ref="N26" r:id="rId15" display="https://us3.assetplanner.com/service_request?ID=099858" xr:uid="{01D88EF7-395B-4E9C-9195-06F59B221A91}"/>
    <hyperlink ref="O26" r:id="rId16" display="https://us3.assetplanner.com/service_request?ID=100476" xr:uid="{28852FC7-B1CF-483B-8CCD-44F9BF063A8E}"/>
    <hyperlink ref="L27" r:id="rId17" display="https://us3.assetplanner.com/service_request?ID=093236" xr:uid="{0CC2B401-5BB3-47DA-B71D-09D2F683B3A5}"/>
    <hyperlink ref="L28" r:id="rId18" display="https://us3.assetplanner.com/service_request?ID=098981" xr:uid="{DF9F661F-C504-4463-8D6F-621A36E36354}"/>
    <hyperlink ref="L35" r:id="rId19" display="https://us3.assetplanner.com/service_request?ID=098365" xr:uid="{C2D503CA-33A9-479B-904F-6256BDE55C65}"/>
    <hyperlink ref="M35" r:id="rId20" display="https://us3.assetplanner.com/service_request?ID=100362" xr:uid="{6B0267DF-2404-425F-B810-0E2176B07FB2}"/>
    <hyperlink ref="N35" r:id="rId21" display="https://us3.assetplanner.com/service_request?ID=100496" xr:uid="{55413C01-54E9-4DFD-BD97-0ACB4D604485}"/>
    <hyperlink ref="L38" r:id="rId22" display="https://us3.assetplanner.com/service_request?ID=088813" xr:uid="{24F8E499-D9D6-4391-86EA-DF6745D328C7}"/>
    <hyperlink ref="L40" r:id="rId23" display="https://us3.assetplanner.com/service_request?ID=093324" xr:uid="{19434BFC-ECD1-4947-B47C-A25F3AEC443D}"/>
    <hyperlink ref="L41" r:id="rId24" display="https://us3.assetplanner.com/service_request?ID=099970" xr:uid="{D30373A7-8701-40C0-ACFD-FFF4A8F08498}"/>
    <hyperlink ref="M41" r:id="rId25" display="https://us3.assetplanner.com/service_request?ID=099971" xr:uid="{F6BD3921-CF38-486F-A548-DBDBBBC9652E}"/>
    <hyperlink ref="N41" r:id="rId26" display="https://us3.assetplanner.com/service_request?ID=100732" xr:uid="{78DFC8A8-D8DD-4DB3-8F4F-B9B5670C4512}"/>
    <hyperlink ref="L42" r:id="rId27" display="https://us3.assetplanner.com/service_request?ID=099139" xr:uid="{A822A241-A56D-4140-B810-8EBC6F22DC8D}"/>
    <hyperlink ref="M42" r:id="rId28" display="https://us3.assetplanner.com/service_request?ID=099856" xr:uid="{9905989B-6AF2-4C98-9F32-E5763317DFAA}"/>
    <hyperlink ref="L43" r:id="rId29" display="https://us3.assetplanner.com/service_request?ID=093326" xr:uid="{B7F06D2F-7D94-4FC8-944B-65118E0D59FA}"/>
    <hyperlink ref="L47" r:id="rId30" display="https://us3.assetplanner.com/service_request?ID=095662" xr:uid="{57D87857-B0F6-44BB-8619-25DD82082598}"/>
    <hyperlink ref="L52" r:id="rId31" display="https://us3.assetplanner.com/service_request?ID=100434" xr:uid="{E01CFEFF-645D-4601-A097-F40B79F4686E}"/>
    <hyperlink ref="L54" r:id="rId32" display="https://us3.assetplanner.com/service_request?ID=098313" xr:uid="{63AD18B4-661D-4F75-979B-9DC3EA789644}"/>
    <hyperlink ref="L56" r:id="rId33" display="https://us3.assetplanner.com/service_request?ID=099293" xr:uid="{349E0FFE-F9A6-444A-BAAD-C9D1CFCC9109}"/>
    <hyperlink ref="M56" r:id="rId34" display="https://us3.assetplanner.com/service_request?ID=100141" xr:uid="{14651FBA-A8F9-4018-81AD-6D815C998F08}"/>
    <hyperlink ref="L57" r:id="rId35" display="https://us3.assetplanner.com/service_request?ID=098987" xr:uid="{F0C3EFEA-98B6-498C-AE33-E3096877DECE}"/>
    <hyperlink ref="L58" r:id="rId36" display="https://us3.assetplanner.com/service_request?ID=098641" xr:uid="{3F008801-2B7C-4ADD-94E0-08B13B19EA96}"/>
    <hyperlink ref="L59" r:id="rId37" display="https://us3.assetplanner.com/service_request?ID=098640" xr:uid="{12BB85CD-9CA5-434F-8202-57BFBD1B1866}"/>
    <hyperlink ref="M59" r:id="rId38" display="https://us3.assetplanner.com/service_request?ID=099427" xr:uid="{B6BC8998-AC2D-48EF-B553-1543C4E91DED}"/>
    <hyperlink ref="N59" r:id="rId39" display="https://us3.assetplanner.com/service_request?ID=100447" xr:uid="{D330DFB7-914E-4784-806E-FBBB0500FF53}"/>
    <hyperlink ref="O59" r:id="rId40" display="https://us3.assetplanner.com/service_request?ID=100604" xr:uid="{473C165E-634C-4327-A7BB-3646B6BBF670}"/>
    <hyperlink ref="L61" r:id="rId41" display="https://us3.assetplanner.com/service_request?ID=099149" xr:uid="{3B23A56C-A18B-4272-A3F0-F43739CAC205}"/>
    <hyperlink ref="M61" r:id="rId42" display="https://us3.assetplanner.com/service_request?ID=099576" xr:uid="{0F625489-5B5A-4840-83A8-BCB3347395F0}"/>
    <hyperlink ref="N61" r:id="rId43" display="https://us3.assetplanner.com/service_request?ID=100361" xr:uid="{336ABFEF-78D8-4D90-AA9B-15DD6F4B76E8}"/>
    <hyperlink ref="O61" r:id="rId44" display="https://us3.assetplanner.com/service_request?ID=100623" xr:uid="{9A4E2AB6-1231-4B50-8CB6-29AC7A1419FC}"/>
    <hyperlink ref="L62" r:id="rId45" display="https://us3.assetplanner.com/service_request?ID=093972" xr:uid="{A5102B23-B7AB-4F6C-A470-7B28BE916FCB}"/>
    <hyperlink ref="M62" r:id="rId46" display="https://us3.assetplanner.com/service_request?ID=098708" xr:uid="{22EA9E2A-9371-48FA-8C0C-FDF26BFBC576}"/>
    <hyperlink ref="N62" r:id="rId47" display="https://us3.assetplanner.com/service_request?ID=100079" xr:uid="{5497F2FC-A493-4CDA-9C03-57C037D4489D}"/>
    <hyperlink ref="L63" r:id="rId48" display="https://us3.assetplanner.com/service_request?ID=099403" xr:uid="{2B6EA298-A06A-459B-8198-CF0F51218750}"/>
    <hyperlink ref="L66" r:id="rId49" display="https://us3.assetplanner.com/service_request?ID=100629" xr:uid="{C593A282-F8E0-46BD-AE18-BA991BCB5402}"/>
    <hyperlink ref="M66" r:id="rId50" display="https://us3.assetplanner.com/service_request?ID=093024" xr:uid="{3FEAFA0F-EFE3-46A1-BC8B-8B11831621E8}"/>
    <hyperlink ref="L68" r:id="rId51" display="https://us3.assetplanner.com/service_request?ID=098866" xr:uid="{2C2ED7D3-A6F5-4E91-A877-621322592909}"/>
    <hyperlink ref="L69" r:id="rId52" display="https://us3.assetplanner.com/service_request?ID=098998" xr:uid="{BD72E62D-7B09-418C-828C-10FBCAEDB496}"/>
    <hyperlink ref="L70" r:id="rId53" display="https://us3.assetplanner.com/service_request?ID=099911" xr:uid="{2D26C8E8-704D-4ED1-85D4-9E3E5809C0E4}"/>
    <hyperlink ref="L71" r:id="rId54" display="https://us3.assetplanner.com/service_request?ID=092964" xr:uid="{F5B9FCFB-EA59-4087-96C6-1A72ACC5C855}"/>
    <hyperlink ref="M71" r:id="rId55" display="https://us3.assetplanner.com/service_request?ID=097603" xr:uid="{530F8D1C-685D-4350-B526-220FD4184495}"/>
    <hyperlink ref="N71" r:id="rId56" display="https://us3.assetplanner.com/service_request?ID=098877" xr:uid="{90841FA6-FD34-4D8F-AB82-0C69B28E0659}"/>
    <hyperlink ref="O71" r:id="rId57" display="https://us3.assetplanner.com/service_request?ID=099353" xr:uid="{06BE780A-4A2C-4D74-8568-1C7C3AB178B1}"/>
    <hyperlink ref="L72" r:id="rId58" display="https://us3.assetplanner.com/service_request?ID=099272" xr:uid="{611C7343-083B-4CE1-AF67-3D4C96476C54}"/>
    <hyperlink ref="M72" r:id="rId59" display="https://us3.assetplanner.com/service_request?ID=099864" xr:uid="{98297EF6-C944-43AC-B946-5840E9A82313}"/>
    <hyperlink ref="N72" r:id="rId60" display="https://us3.assetplanner.com/service_request?ID=099864" xr:uid="{E4CE6ED0-7DAB-4BC2-82D3-FE2FDAFAB82B}"/>
    <hyperlink ref="O72" r:id="rId61" display="https://us3.assetplanner.com/service_request?ID=100426" xr:uid="{541F4B48-3AB0-4B87-879E-0BC14E39F3CF}"/>
    <hyperlink ref="P72" r:id="rId62" display="https://us3.assetplanner.com/service_request?ID=099490" xr:uid="{373D6EE5-DDB8-4A2B-B087-3B04889C9A29}"/>
    <hyperlink ref="L73" r:id="rId63" display="https://us3.assetplanner.com/service_request?ID=099828" xr:uid="{EA8A9880-A645-4EB5-9679-771598DA0261}"/>
    <hyperlink ref="M73" r:id="rId64" display="https://us3.assetplanner.com/service_request?ID=100395" xr:uid="{E26352B4-6632-4647-99A6-D8355455A459}"/>
    <hyperlink ref="N73" r:id="rId65" display="https://us3.assetplanner.com/service_request?ID=100721" xr:uid="{39CFDB83-6357-448B-B43A-035D05ACE731}"/>
    <hyperlink ref="L74" r:id="rId66" display="https://us3.assetplanner.com/service_request?ID=099418" xr:uid="{92B74243-A7B4-4BD7-B316-03739A9B449D}"/>
    <hyperlink ref="M74" r:id="rId67" display="https://us3.assetplanner.com/service_request?ID=100197" xr:uid="{9D99C620-9E8E-4553-83CC-E68C7094EBB5}"/>
    <hyperlink ref="N74" r:id="rId68" display="https://us3.assetplanner.com/service_request?ID=098354" xr:uid="{C7B56D94-CA9B-4940-8579-7FD56322E714}"/>
    <hyperlink ref="O74" r:id="rId69" display="https://us3.assetplanner.com/service_request?ID=100037" xr:uid="{C0BF4D1E-E13B-4AA9-9B40-93B65C2ADB2E}"/>
    <hyperlink ref="P74" r:id="rId70" display="https://us3.assetplanner.com/service_request?ID=100198" xr:uid="{6FA1BEA3-A9E6-4D35-8000-487792D174CE}"/>
    <hyperlink ref="Q74" r:id="rId71" display="https://us3.assetplanner.com/service_request?ID=100038" xr:uid="{BD1EBA6F-0B1A-4457-8B85-7DF55D776231}"/>
    <hyperlink ref="R74" r:id="rId72" display="https://us3.assetplanner.com/service_request?ID=100212" xr:uid="{5E96BE9E-B711-424E-B58A-B7E15D03509F}"/>
    <hyperlink ref="S74" r:id="rId73" display="https://us3.assetplanner.com/service_request?ID=100544" xr:uid="{0B052219-6DEE-4612-BC9C-8E8DE7DDD189}"/>
    <hyperlink ref="T74" r:id="rId74" display="https://us3.assetplanner.com/service_request?ID=100674" xr:uid="{8B49C881-AC0A-48F1-8B60-C391BDD6B7EA}"/>
    <hyperlink ref="L75" r:id="rId75" display="https://us3.assetplanner.com/service_request?ID=099129" xr:uid="{321F4661-36F8-4532-8B9C-3035799E846E}"/>
    <hyperlink ref="M75" r:id="rId76" display="https://us3.assetplanner.com/service_request?ID=099351" xr:uid="{1B628970-FC17-479B-B034-43EF948AD6BE}"/>
    <hyperlink ref="N75" r:id="rId77" display="https://us3.assetplanner.com/service_request?ID=100013" xr:uid="{A5B10DA1-346A-43BC-9333-E4C8FA5C45FF}"/>
    <hyperlink ref="L77" r:id="rId78" display="https://us3.assetplanner.com/service_request?ID=099347" xr:uid="{E64C7F82-64BF-4E0D-B3E4-EF105CB57954}"/>
    <hyperlink ref="L78" r:id="rId79" display="https://us3.assetplanner.com/service_request?ID=099823" xr:uid="{C14D8413-4DD3-41EF-A6ED-ABF81F94EA2E}"/>
    <hyperlink ref="L82" r:id="rId80" display="https://us3.assetplanner.com/service_request?ID=100152" xr:uid="{75176DCA-B60B-4A84-96A4-77F9FF553D68}"/>
    <hyperlink ref="L83" r:id="rId81" display="https://us3.assetplanner.com/service_request?ID=098995" xr:uid="{E6DFBB8C-9E84-420A-84F8-52B20173881D}"/>
    <hyperlink ref="M83" r:id="rId82" display="https://us3.assetplanner.com/service_request?ID=100154" xr:uid="{AD9B4B84-4CD7-402E-A739-BB488955CFA3}"/>
    <hyperlink ref="L85" r:id="rId83" display="https://us3.assetplanner.com/service_request?ID=095109" xr:uid="{209D8E87-6FA3-47C1-AAAB-4090BC145DD9}"/>
    <hyperlink ref="M85" r:id="rId84" display="https://us3.assetplanner.com/service_request?ID=099284" xr:uid="{D8D31EBC-26F4-4CED-8339-D8DBDB509BE2}"/>
    <hyperlink ref="L86" r:id="rId85" display="https://us3.assetplanner.com/service_request?ID=100161" xr:uid="{9094F4E4-7ADA-4887-BE5E-A95EDD8AB5C0}"/>
    <hyperlink ref="L87" r:id="rId86" display="https://us3.assetplanner.com/service_request?ID=100162" xr:uid="{5C5E8E91-FB36-4F3B-9325-A000F29412CB}"/>
    <hyperlink ref="L91" r:id="rId87" display="https://us3.assetplanner.com/service_request?ID=099690" xr:uid="{0F60545E-CEF6-4F7F-87C9-0D243A39C386}"/>
    <hyperlink ref="L93" r:id="rId88" display="https://us3.assetplanner.com/service_request?ID=099687" xr:uid="{6D5C1D45-224E-4940-8F2F-AEFB2A9308DA}"/>
    <hyperlink ref="M93" r:id="rId89" display="https://us3.assetplanner.com/service_request?ID=100044" xr:uid="{17D806EE-E019-4292-B32F-44C5630F2A69}"/>
    <hyperlink ref="L94" r:id="rId90" display="https://us3.assetplanner.com/service_request?ID=099146" xr:uid="{A7280CAB-EE64-47EA-B496-73EBE632C567}"/>
    <hyperlink ref="M94" r:id="rId91" display="https://us3.assetplanner.com/service_request?ID=099726" xr:uid="{E3FD381C-4C7E-4B4A-9FCC-9EDCC878DD28}"/>
    <hyperlink ref="N94" r:id="rId92" display="https://us3.assetplanner.com/service_request?ID=100241" xr:uid="{DF4075F7-58CF-46CB-871F-BEFDCE24A46C}"/>
    <hyperlink ref="L95" r:id="rId93" display="https://us3.assetplanner.com/service_request?ID=095073" xr:uid="{F81FE624-9548-436F-AF6A-B4C3F110C7C3}"/>
    <hyperlink ref="L96" r:id="rId94" display="https://us3.assetplanner.com/service_request?ID=099656" xr:uid="{B1A01322-1B3C-4D30-B489-183CD614FEBD}"/>
    <hyperlink ref="M96" r:id="rId95" display="https://us3.assetplanner.com/service_request?ID=100042" xr:uid="{74607215-F22F-468E-B440-5E5D3F3C206E}"/>
    <hyperlink ref="N96" r:id="rId96" display="https://us3.assetplanner.com/service_request?ID=100303" xr:uid="{E9F7D589-E86E-41C1-9598-757F4D480163}"/>
    <hyperlink ref="O96" r:id="rId97" display="https://us3.assetplanner.com/service_request?ID=100429" xr:uid="{1F955E0D-A8D8-4069-805B-AFFC4D1BD7C6}"/>
    <hyperlink ref="L97" r:id="rId98" display="https://us3.assetplanner.com/service_request?ID=095821" xr:uid="{C37212A8-8150-4624-9FD6-D4A3BD092C48}"/>
    <hyperlink ref="M97" r:id="rId99" display="https://us3.assetplanner.com/service_request?ID=099986" xr:uid="{0C6B1BAD-DE94-4C2E-81C8-4D43C7624B91}"/>
    <hyperlink ref="N97" r:id="rId100" display="https://us3.assetplanner.com/service_request?ID=100055" xr:uid="{26041FFA-B56B-4BEA-AC75-EBD186606545}"/>
    <hyperlink ref="O97" r:id="rId101" display="https://us3.assetplanner.com/service_request?ID=100400" xr:uid="{E25BF6A3-3454-46BA-BF8B-EE5A7CAC0881}"/>
    <hyperlink ref="L98" r:id="rId102" display="https://us3.assetplanner.com/service_request?ID=099313" xr:uid="{BE0E3261-B37C-4B04-A73E-182ADB0E448A}"/>
    <hyperlink ref="L100" r:id="rId103" display="https://us3.assetplanner.com/service_request?ID=100032" xr:uid="{5D400542-4D34-4811-8888-5839E6F232C5}"/>
    <hyperlink ref="L101" r:id="rId104" display="https://us3.assetplanner.com/service_request?ID=098959" xr:uid="{75563EEC-B926-47FB-B2B5-4EF225AD8C89}"/>
    <hyperlink ref="M101" r:id="rId105" display="https://us3.assetplanner.com/service_request?ID=099387" xr:uid="{15674739-3758-432F-AC9B-EBF82F9FE46A}"/>
    <hyperlink ref="N101" r:id="rId106" display="https://us3.assetplanner.com/service_request?ID=099967" xr:uid="{14BE45AA-EB99-4970-A58C-4C70216E48A1}"/>
    <hyperlink ref="O101" r:id="rId107" display="https://us3.assetplanner.com/service_request?ID=100101" xr:uid="{FBA2E210-1423-40BA-AD4B-1A506DD05950}"/>
    <hyperlink ref="L103" r:id="rId108" display="https://us3.assetplanner.com/service_request?ID=098626" xr:uid="{04A78A98-F76F-45F5-8EC3-9A75961CAFDF}"/>
    <hyperlink ref="M103" r:id="rId109" display="https://us3.assetplanner.com/service_request?ID=098559" xr:uid="{0FF50144-7DEC-4C71-81FC-3BBC1690405D}"/>
    <hyperlink ref="N103" r:id="rId110" display="https://us3.assetplanner.com/service_request?ID=100034" xr:uid="{B4F95E99-CF81-4E04-AFCA-C43384C50028}"/>
    <hyperlink ref="O103" r:id="rId111" display="https://us3.assetplanner.com/service_request?ID=100067" xr:uid="{8FFECC86-335E-4C87-B389-8A47E8825458}"/>
    <hyperlink ref="P103" r:id="rId112" display="https://us3.assetplanner.com/service_request?ID=100448" xr:uid="{C9418C60-62D3-414E-BD5B-9B66A541F459}"/>
    <hyperlink ref="Q103" r:id="rId113" display="https://us3.assetplanner.com/service_request?ID=100460" xr:uid="{D6B72AF2-26DF-40C8-A7CF-9D4A35C7A234}"/>
    <hyperlink ref="L106" r:id="rId114" display="https://us3.assetplanner.com/service_request?ID=095624" xr:uid="{E65CFC77-BB1F-4857-89BB-3BE3BAE9E356}"/>
    <hyperlink ref="M106" r:id="rId115" display="https://us3.assetplanner.com/service_request?ID=097725" xr:uid="{A94F9111-F364-467C-A20F-DF8530F9D3EC}"/>
    <hyperlink ref="L107" r:id="rId116" display="https://us3.assetplanner.com/service_request?ID=099393" xr:uid="{A61AE232-9AA9-4844-BFA9-3F975DAE24B8}"/>
    <hyperlink ref="M107" r:id="rId117" display="https://us3.assetplanner.com/service_request?ID=099740" xr:uid="{E4D1CB77-DE9A-4F99-B753-B6A7FBFE520C}"/>
    <hyperlink ref="N107" r:id="rId118" display="https://us3.assetplanner.com/service_request?ID=100471" xr:uid="{BD020C8F-E4A4-4F64-8E94-0C23F1DD616D}"/>
    <hyperlink ref="L108" r:id="rId119" display="https://us3.assetplanner.com/service_request?ID=096042" xr:uid="{62627137-564B-415A-A049-F6AB4A875C03}"/>
    <hyperlink ref="M108" r:id="rId120" display="https://us3.assetplanner.com/service_request?ID=099324" xr:uid="{6BE4123A-4E2A-4C36-81FE-A5947D5DE242}"/>
    <hyperlink ref="N108" r:id="rId121" display="https://us3.assetplanner.com/service_request?ID=096042" xr:uid="{8FF7F881-4863-4468-B24E-2F70709FB2D8}"/>
    <hyperlink ref="O108" r:id="rId122" display="https://us3.assetplanner.com/service_request?ID=100652" xr:uid="{D6E38B93-A31F-45FC-A737-83EF9FB7701D}"/>
    <hyperlink ref="L109" r:id="rId123" display="https://us3.assetplanner.com/service_request?ID=096006" xr:uid="{FD535562-F752-4A7C-A7D8-70FE6637193B}"/>
    <hyperlink ref="L110" r:id="rId124" display="https://us3.assetplanner.com/service_request?ID=099916" xr:uid="{B97B63E6-3DD8-40C8-8DE5-779485DABD10}"/>
    <hyperlink ref="L111" r:id="rId125" display="https://us3.assetplanner.com/service_request?ID=098692" xr:uid="{5DC33C21-29A3-4471-98EC-4E6620F64367}"/>
    <hyperlink ref="L112" r:id="rId126" display="https://us3.assetplanner.com/service_request?ID=094820" xr:uid="{254EB793-9016-4E3B-8696-8F455CFCFCC8}"/>
    <hyperlink ref="M112" r:id="rId127" display="https://us3.assetplanner.com/service_request?ID=099686" xr:uid="{585567B9-20BD-439C-BFD1-8FA5796224C2}"/>
    <hyperlink ref="N112" r:id="rId128" display="https://us3.assetplanner.com/service_request?ID=099386" xr:uid="{3EBEED6D-2F26-4624-9299-A3CC7C2F422F}"/>
    <hyperlink ref="L113" r:id="rId129" display="https://us3.assetplanner.com/service_request?ID=099385" xr:uid="{FA30D866-CB76-46F8-B9A8-DDEBE83F4A24}"/>
    <hyperlink ref="M113" r:id="rId130" display="https://us3.assetplanner.com/service_request?ID=098860" xr:uid="{9680BC3C-A859-45FF-8C15-DC3A6D74D6AE}"/>
    <hyperlink ref="L114" r:id="rId131" display="https://us3.assetplanner.com/service_request?ID=099118" xr:uid="{67FD3F06-FC48-44B7-8837-BF18BB75CAFA}"/>
    <hyperlink ref="M114" r:id="rId132" display="https://us3.assetplanner.com/service_request?ID=097454" xr:uid="{919DC37B-6FFC-47E9-86DA-18BA116C8D21}"/>
    <hyperlink ref="N114" r:id="rId133" display="https://us3.assetplanner.com/service_request?ID=099466" xr:uid="{92273C85-54CF-490A-BF80-DC6098998753}"/>
    <hyperlink ref="L116" r:id="rId134" display="https://us3.assetplanner.com/service_request?ID=099345" xr:uid="{747AE10B-F46B-4A4A-A2F3-9B5C3CC9F5C6}"/>
    <hyperlink ref="M116" r:id="rId135" display="https://us3.assetplanner.com/service_request?ID=100252" xr:uid="{BB8E7BC5-79B6-40CD-9B52-2372D0A6BD1A}"/>
    <hyperlink ref="L119" r:id="rId136" display="https://us3.assetplanner.com/service_request?ID=099977" xr:uid="{2F7134AA-99EA-416C-9FD1-1AD900FD581A}"/>
    <hyperlink ref="L123" r:id="rId137" display="https://us3.assetplanner.com/service_request?ID=098724" xr:uid="{F0858129-E60A-4F7C-A349-1567EA14A8B6}"/>
    <hyperlink ref="M123" r:id="rId138" display="https://us3.assetplanner.com/service_request?ID=097637" xr:uid="{9A37CB3F-651F-4123-A4C6-FF91061E72AA}"/>
    <hyperlink ref="N123" r:id="rId139" display="https://us3.assetplanner.com/service_request?ID=098293" xr:uid="{E908ACD9-3B02-4D32-93D5-7CD450BFE378}"/>
    <hyperlink ref="O123" r:id="rId140" display="https://us3.assetplanner.com/service_request?ID=095945" xr:uid="{835BF1DD-6891-40EA-9B7F-B803E7205985}"/>
    <hyperlink ref="L128" r:id="rId141" display="https://us3.assetplanner.com/service_request?ID=095954" xr:uid="{D4408729-3F1A-4967-80F6-79C749E63521}"/>
    <hyperlink ref="L129" r:id="rId142" display="https://us3.assetplanner.com/service_request?ID=099930" xr:uid="{2AC7585B-E524-42DF-A6EE-03E4FFA8D454}"/>
    <hyperlink ref="L133" r:id="rId143" display="https://us3.assetplanner.com/service_request?ID=098235" xr:uid="{15C88D45-50B0-4663-96E5-8F6478DDD4E1}"/>
    <hyperlink ref="M133" r:id="rId144" display="https://us3.assetplanner.com/service_request?ID=099791" xr:uid="{20548D7A-71BD-4072-A46F-AA156638995A}"/>
    <hyperlink ref="N133" r:id="rId145" display="https://us3.assetplanner.com/service_request?ID=098264" xr:uid="{50681EA1-2F56-402F-9D02-B73BB597793B}"/>
    <hyperlink ref="O133" r:id="rId146" display="https://us3.assetplanner.com/service_request?ID=095956" xr:uid="{7896C8E4-A219-4057-BB88-EDED9117D16F}"/>
    <hyperlink ref="P133" r:id="rId147" display="https://us3.assetplanner.com/service_request?ID=099791" xr:uid="{A105354A-1DFF-4F70-B4B1-DF0EC645E27D}"/>
    <hyperlink ref="Q133" r:id="rId148" display="https://us3.assetplanner.com/service_request?ID=099792" xr:uid="{D44C3965-274A-4141-AA12-2E75E8171D2D}"/>
    <hyperlink ref="R133" r:id="rId149" display="https://us3.assetplanner.com/service_request?ID=099793" xr:uid="{88C9D38B-9C2E-407D-8F34-5D7D0885D127}"/>
    <hyperlink ref="L138" r:id="rId150" display="https://us3.assetplanner.com/service_request?ID=100524" xr:uid="{CBB0C521-2482-498F-B0A3-112DC129103C}"/>
    <hyperlink ref="L139" r:id="rId151" display="https://us3.assetplanner.com/service_request?ID=100036" xr:uid="{097C5940-A282-4974-A99C-CAF003D0860C}"/>
    <hyperlink ref="L140" r:id="rId152" display="https://us3.assetplanner.com/service_request?ID=095941" xr:uid="{22BB40D3-9465-4DAB-9894-6FE48A301C5B}"/>
    <hyperlink ref="M140" r:id="rId153" display="https://us3.assetplanner.com/service_request?ID=098413" xr:uid="{DE79A79C-097B-4AD8-8194-35B6B202F409}"/>
    <hyperlink ref="N140" r:id="rId154" display="https://us3.assetplanner.com/service_request?ID=098490" xr:uid="{7214392F-67DD-4489-A409-971E0F438A75}"/>
    <hyperlink ref="O140" r:id="rId155" display="https://us3.assetplanner.com/service_request?ID=099138" xr:uid="{294034E5-7CC3-46ED-BD9F-81D0D596EB8E}"/>
    <hyperlink ref="P140" r:id="rId156" display="https://us3.assetplanner.com/service_request?ID=099857" xr:uid="{D4CA26EA-35D0-4645-86A9-D72BC481B0D1}"/>
    <hyperlink ref="Q140" r:id="rId157" display="https://us3.assetplanner.com/service_request?ID=100587" xr:uid="{BFFB81B1-AA7E-4C57-B866-E2BB01AE993E}"/>
    <hyperlink ref="L143" r:id="rId158" display="https://us3.assetplanner.com/service_request?ID=097620" xr:uid="{D424D84D-BA92-454F-AD50-2EEE4E06A5DF}"/>
    <hyperlink ref="L144" r:id="rId159" display="https://us3.assetplanner.com/service_request?ID=098602" xr:uid="{346BFEA6-9B4F-4369-8781-7E3EA3A6746D}"/>
    <hyperlink ref="M144" r:id="rId160" display="https://us3.assetplanner.com/service_request?ID=100220" xr:uid="{F6E438F3-88AA-465B-A11C-033ED4F6D208}"/>
    <hyperlink ref="L145" r:id="rId161" display="https://us3.assetplanner.com/service_request?ID=098665" xr:uid="{C497EB78-19A6-4FFF-8598-3B8484861F96}"/>
    <hyperlink ref="M145" r:id="rId162" display="https://us3.assetplanner.com/service_request?ID=099161" xr:uid="{0222C982-F3F0-474B-8799-DD228DE497EB}"/>
    <hyperlink ref="L146" r:id="rId163" display="https://us3.assetplanner.com/service_request?ID=098315" xr:uid="{4BD98D55-F9D7-4CCE-B2D2-FEFB190CBA9D}"/>
    <hyperlink ref="L147" r:id="rId164" display="https://us3.assetplanner.com/service_request?ID=099018" xr:uid="{BAEC5746-177B-4BB6-BA6D-3575C8722849}"/>
    <hyperlink ref="M147" r:id="rId165" display="https://us3.assetplanner.com/service_request?ID=099951" xr:uid="{FB950664-A07D-408E-9A69-F8C141199AB5}"/>
    <hyperlink ref="N147" r:id="rId166" display="https://us3.assetplanner.com/service_request?ID=096257" xr:uid="{5895841F-EE6A-42BC-8806-9E84B4C1694A}"/>
    <hyperlink ref="L148" r:id="rId167" display="https://us3.assetplanner.com/service_request?ID=099547" xr:uid="{1065D188-0C8C-4FD4-B339-158F8170E2A2}"/>
    <hyperlink ref="L149" r:id="rId168" display="https://us3.assetplanner.com/service_request?ID=099543" xr:uid="{078B4F83-06C3-4603-865B-559BB02161E6}"/>
    <hyperlink ref="M149" r:id="rId169" display="https://us3.assetplanner.com/service_request?ID=100403" xr:uid="{9B21F059-4152-48F1-9E4B-01E570D6A143}"/>
    <hyperlink ref="N149" r:id="rId170" display="https://us3.assetplanner.com/service_request?ID=097816" xr:uid="{1936B7D2-335E-4C6D-A8C2-84440BB1A249}"/>
    <hyperlink ref="L150" r:id="rId171" display="https://us3.assetplanner.com/service_request?ID=099736" xr:uid="{993FA52A-2582-4DB1-95C4-E207F7782C09}"/>
    <hyperlink ref="M150" r:id="rId172" display="https://us3.assetplanner.com/service_request?ID=097600" xr:uid="{57D0C9D3-5BB5-41E0-B554-E3C8E62C0853}"/>
    <hyperlink ref="N150" r:id="rId173" display="https://us3.assetplanner.com/service_request?ID=100609" xr:uid="{54261A71-A095-4D78-8232-684C96ABD3FB}"/>
    <hyperlink ref="L152" r:id="rId174" display="https://us3.assetplanner.com/service_request?ID=098278" xr:uid="{BE5825D2-390E-4AFD-B36C-CA02FEC69FF8}"/>
    <hyperlink ref="M152" r:id="rId175" display="https://us3.assetplanner.com/service_request?ID=098670" xr:uid="{47FC2618-7CB4-4BAB-93FD-D0F50D963106}"/>
    <hyperlink ref="L153" r:id="rId176" display="https://us3.assetplanner.com/service_request?ID=099416" xr:uid="{7CED9EE0-BA54-42AE-A11C-2DDAC6A481E3}"/>
    <hyperlink ref="M153" r:id="rId177" display="https://us3.assetplanner.com/service_request?ID=099684" xr:uid="{444282B6-DBE6-43E5-9FC4-40CB90DEE9B8}"/>
    <hyperlink ref="N153" r:id="rId178" display="https://us3.assetplanner.com/service_request?ID=100485" xr:uid="{8B446A73-B74E-4DDC-B940-5B3E0D088E99}"/>
    <hyperlink ref="L154" r:id="rId179" display="https://us3.assetplanner.com/service_request?ID=098066" xr:uid="{1F59F24F-5EBC-4D4D-ABA4-A6EBDFB44EB8}"/>
    <hyperlink ref="M154" r:id="rId180" display="https://us3.assetplanner.com/service_request?ID=099545" xr:uid="{40153328-B655-445B-906C-2F32A963103F}"/>
    <hyperlink ref="L155" r:id="rId181" display="https://us3.assetplanner.com/service_request?ID=099715" xr:uid="{1BE7EB80-C15F-4869-A2DF-B716B9E5AE0F}"/>
    <hyperlink ref="M155" r:id="rId182" display="https://us3.assetplanner.com/service_request?ID=099788" xr:uid="{298FBF8D-1DD2-4A47-9DE3-DD232FE0C4A3}"/>
    <hyperlink ref="N155" r:id="rId183" display="https://us3.assetplanner.com/service_request?ID=099974" xr:uid="{A565828F-BDFE-456B-A5BC-B996202E8039}"/>
    <hyperlink ref="O155" r:id="rId184" display="https://us3.assetplanner.com/service_request?ID=099473" xr:uid="{5D93A309-66FB-47F0-85A3-F07C9F370B8F}"/>
    <hyperlink ref="L156" r:id="rId185" display="https://us3.assetplanner.com/service_request?ID=099014" xr:uid="{07CA8FB4-BEC0-4EA7-B331-11373BB30B74}"/>
    <hyperlink ref="L157" r:id="rId186" display="https://us3.assetplanner.com/service_request?ID=099881" xr:uid="{C11D6569-FCA9-4638-90D9-4B8313AA72DF}"/>
    <hyperlink ref="M157" r:id="rId187" display="https://us3.assetplanner.com/service_request?ID=099943" xr:uid="{ADD4397B-4A60-4705-96FC-308F23BE5C5C}"/>
    <hyperlink ref="N157" r:id="rId188" display="https://us3.assetplanner.com/service_request?ID=098693" xr:uid="{A4EEA912-0EEF-4090-A08E-BFC2167EF040}"/>
    <hyperlink ref="O157" r:id="rId189" display="https://us3.assetplanner.com/service_request?ID=100729" xr:uid="{8D2B7E46-66E9-414F-9963-E01D8FEC733E}"/>
    <hyperlink ref="L158" r:id="rId190" display="https://us3.assetplanner.com/service_request?ID=099770" xr:uid="{283A72EE-FD7D-4D7E-9858-443FF0C5B654}"/>
    <hyperlink ref="M158" r:id="rId191" display="https://us3.assetplanner.com/service_request?ID=099595" xr:uid="{E12B3E5F-572A-4CBE-9D21-A288C566C983}"/>
    <hyperlink ref="N158" r:id="rId192" display="https://us3.assetplanner.com/service_request?ID=099946" xr:uid="{8CC926BA-C194-4488-AB04-DE2075921C61}"/>
    <hyperlink ref="O158" r:id="rId193" display="https://us3.assetplanner.com/service_request?ID=100462" xr:uid="{1401F90E-8BA5-4825-A3FD-E1EC7BCB3F15}"/>
    <hyperlink ref="P158" r:id="rId194" display="https://us3.assetplanner.com/service_request?ID=100662" xr:uid="{34857B90-D22E-4208-A304-6E3B42035BAC}"/>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A172"/>
  <sheetViews>
    <sheetView zoomScale="60" zoomScaleNormal="60" workbookViewId="0">
      <pane xSplit="2" ySplit="3" topLeftCell="C154" activePane="bottomRight" state="frozen"/>
      <selection pane="bottomRight" activeCell="H165" sqref="H165"/>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140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115.42578125" customWidth="1"/>
    <col min="12" max="12" width="24.85546875" customWidth="1"/>
  </cols>
  <sheetData>
    <row r="1" spans="1:27" ht="15.6">
      <c r="A1" s="187" t="str" cm="1">
        <f t="array" ref="A1">portfolio</f>
        <v>Generate Capital</v>
      </c>
      <c r="B1" s="187"/>
      <c r="C1" s="187"/>
      <c r="D1" s="187"/>
      <c r="E1" s="188" t="s">
        <v>903</v>
      </c>
      <c r="F1" s="188"/>
      <c r="G1" s="188"/>
      <c r="H1" s="186" t="s">
        <v>904</v>
      </c>
      <c r="I1" s="186"/>
      <c r="J1" s="186"/>
      <c r="K1" s="4"/>
      <c r="L1" s="4"/>
    </row>
    <row r="2" spans="1:27" ht="15.6">
      <c r="A2" s="189" t="s">
        <v>2</v>
      </c>
      <c r="B2" s="189"/>
      <c r="C2" s="57"/>
      <c r="D2" s="5">
        <f>SUM(D4:D143)</f>
        <v>32404625.820601672</v>
      </c>
      <c r="E2" s="5">
        <f>SUM(E4:E143)</f>
        <v>12561028.138000004</v>
      </c>
      <c r="F2" s="5">
        <f>D2-E2</f>
        <v>19843597.682601668</v>
      </c>
      <c r="G2" s="6">
        <f>IFERROR(F2/E2, 0)</f>
        <v>1.5797749566829018</v>
      </c>
      <c r="H2" s="5">
        <f>SUM(H4:H143)</f>
        <v>46534590.290000007</v>
      </c>
      <c r="I2" s="7">
        <f>D2-H2</f>
        <v>-14129964.469398335</v>
      </c>
      <c r="J2" s="6">
        <f>IFERROR(I2/H2, 0)</f>
        <v>-0.30364432954800885</v>
      </c>
      <c r="K2" s="22"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7" ht="15.6">
      <c r="A3" s="8" t="s">
        <v>3</v>
      </c>
      <c r="B3" s="8" t="s">
        <v>4</v>
      </c>
      <c r="C3" s="8" t="s">
        <v>5</v>
      </c>
      <c r="D3" s="19" t="s">
        <v>6</v>
      </c>
      <c r="E3" s="31" t="s">
        <v>7</v>
      </c>
      <c r="F3" s="31" t="s">
        <v>8</v>
      </c>
      <c r="G3" s="32" t="s">
        <v>9</v>
      </c>
      <c r="H3" s="33" t="s">
        <v>10</v>
      </c>
      <c r="I3" s="34" t="s">
        <v>8</v>
      </c>
      <c r="J3" s="35" t="s">
        <v>9</v>
      </c>
      <c r="K3" s="21" t="s">
        <v>21</v>
      </c>
      <c r="L3" s="21" t="s">
        <v>22</v>
      </c>
    </row>
    <row r="4" spans="1:27" ht="15.6">
      <c r="A4" s="26" t="str" cm="1">
        <f t="array" ref="A4:A172">Sites[Site]</f>
        <v>K026</v>
      </c>
      <c r="B4" s="27" t="str" cm="1">
        <f t="array" ref="B4:B172">Sites[State]</f>
        <v>NY</v>
      </c>
      <c r="C4" s="9" t="str">
        <f>Sites[[#This Row],[SOL'#]]</f>
        <v>SOL-10356</v>
      </c>
      <c r="D4" s="9">
        <v>21436.75</v>
      </c>
      <c r="E4" s="14">
        <v>35068.5</v>
      </c>
      <c r="F4" s="14">
        <f t="shared" ref="F4:F64" si="0">IF(AND(ISNUMBER(D4),ISNUMBER(E4)), D4-E4, "")</f>
        <v>-13631.75</v>
      </c>
      <c r="G4" s="15">
        <f t="shared" ref="G4:G64" si="1">IFERROR(F4/E4, "")</f>
        <v>-0.38871779517230565</v>
      </c>
      <c r="H4" s="16">
        <v>40520.26</v>
      </c>
      <c r="I4" s="16">
        <f t="shared" ref="I4:I64" si="2">IF(AND(ISNUMBER(D4),ISNUMBER(H4)), D4-H4, "")</f>
        <v>-19083.510000000002</v>
      </c>
      <c r="J4" s="15">
        <f t="shared" ref="J4:J43" si="3">IFERROR(I4/H4, "")</f>
        <v>-0.47096218040061938</v>
      </c>
      <c r="K4" s="51" t="s">
        <v>905</v>
      </c>
      <c r="L4" s="52"/>
      <c r="M4" s="104"/>
      <c r="N4" s="104"/>
      <c r="O4" s="104"/>
      <c r="P4" s="104"/>
      <c r="Q4" s="104"/>
      <c r="R4" s="104"/>
      <c r="S4" s="104"/>
      <c r="T4" s="104"/>
      <c r="U4" s="104"/>
      <c r="V4" s="104"/>
      <c r="W4" s="104"/>
      <c r="X4" s="104"/>
      <c r="Y4" s="104"/>
      <c r="Z4" s="104"/>
      <c r="AA4" s="104"/>
    </row>
    <row r="5" spans="1:27" ht="15.6">
      <c r="A5" s="24" t="str">
        <v>K041</v>
      </c>
      <c r="B5" s="25" t="str">
        <v>NY</v>
      </c>
      <c r="C5" s="25" t="str">
        <f>Sites[[#This Row],[SOL'#]]</f>
        <v>SOL-10357</v>
      </c>
      <c r="D5" s="20">
        <v>25124.5</v>
      </c>
      <c r="E5" s="10">
        <v>28857.02</v>
      </c>
      <c r="F5" s="10">
        <f t="shared" si="0"/>
        <v>-3732.5200000000004</v>
      </c>
      <c r="G5" s="11">
        <f t="shared" si="1"/>
        <v>-0.12934530315327086</v>
      </c>
      <c r="H5" s="12">
        <v>30517</v>
      </c>
      <c r="I5" s="12">
        <f t="shared" si="2"/>
        <v>-5392.5</v>
      </c>
      <c r="J5" s="13">
        <f t="shared" si="3"/>
        <v>-0.17670478749549431</v>
      </c>
      <c r="K5" s="53" t="s">
        <v>906</v>
      </c>
      <c r="L5" s="99" t="s">
        <v>907</v>
      </c>
      <c r="M5" s="104"/>
      <c r="N5" s="104"/>
      <c r="O5" s="104"/>
      <c r="P5" s="104"/>
      <c r="Q5" s="104"/>
      <c r="R5" s="104"/>
      <c r="S5" s="104"/>
      <c r="T5" s="104"/>
      <c r="U5" s="104"/>
      <c r="V5" s="104"/>
      <c r="W5" s="104"/>
      <c r="X5" s="104"/>
      <c r="Y5" s="104"/>
      <c r="Z5" s="104"/>
      <c r="AA5" s="104"/>
    </row>
    <row r="6" spans="1:27" ht="17.25" customHeight="1">
      <c r="A6" s="26" t="str">
        <v>K043</v>
      </c>
      <c r="B6" s="27" t="str">
        <v>NY</v>
      </c>
      <c r="C6" s="9" t="str">
        <f>Sites[[#This Row],[SOL'#]]</f>
        <v>SOL-10358</v>
      </c>
      <c r="D6" s="9">
        <v>31607.062999999998</v>
      </c>
      <c r="E6" s="14">
        <v>31512.476999999999</v>
      </c>
      <c r="F6" s="14">
        <f t="shared" si="0"/>
        <v>94.585999999999331</v>
      </c>
      <c r="G6" s="15">
        <f t="shared" si="1"/>
        <v>3.0015412625291034E-3</v>
      </c>
      <c r="H6" s="16">
        <v>6701.39</v>
      </c>
      <c r="I6" s="16">
        <f t="shared" si="2"/>
        <v>24905.672999999999</v>
      </c>
      <c r="J6" s="15">
        <f t="shared" si="3"/>
        <v>3.7164935931202328</v>
      </c>
      <c r="K6" s="51" t="s">
        <v>908</v>
      </c>
      <c r="L6" s="52"/>
      <c r="M6" s="104"/>
      <c r="N6" s="104"/>
      <c r="O6" s="104"/>
      <c r="P6" s="104"/>
      <c r="Q6" s="104"/>
      <c r="R6" s="104"/>
      <c r="S6" s="104"/>
      <c r="T6" s="104"/>
      <c r="U6" s="104"/>
      <c r="V6" s="104"/>
      <c r="W6" s="104"/>
      <c r="X6" s="104"/>
      <c r="Y6" s="104"/>
      <c r="Z6" s="104"/>
      <c r="AA6" s="104"/>
    </row>
    <row r="7" spans="1:27" ht="15.6">
      <c r="A7" s="24" t="str">
        <v>K058</v>
      </c>
      <c r="B7" s="25" t="str">
        <v>NY</v>
      </c>
      <c r="C7" s="25" t="str">
        <f>Sites[[#This Row],[SOL'#]]</f>
        <v>SOL-10360</v>
      </c>
      <c r="D7" s="20">
        <v>0</v>
      </c>
      <c r="E7" s="10">
        <v>0</v>
      </c>
      <c r="F7" s="10">
        <f t="shared" si="0"/>
        <v>0</v>
      </c>
      <c r="G7" s="11" t="str">
        <f t="shared" si="1"/>
        <v/>
      </c>
      <c r="H7" s="12">
        <v>30639</v>
      </c>
      <c r="I7" s="12">
        <f t="shared" si="2"/>
        <v>-30639</v>
      </c>
      <c r="J7" s="13">
        <f t="shared" si="3"/>
        <v>-1</v>
      </c>
      <c r="K7" s="53" t="s">
        <v>646</v>
      </c>
      <c r="L7" s="99" t="s">
        <v>221</v>
      </c>
      <c r="M7" s="104"/>
      <c r="N7" s="104"/>
      <c r="O7" s="104"/>
      <c r="P7" s="104"/>
      <c r="Q7" s="104"/>
      <c r="R7" s="104"/>
      <c r="S7" s="104"/>
      <c r="T7" s="104"/>
      <c r="U7" s="104"/>
      <c r="V7" s="104"/>
      <c r="W7" s="104"/>
      <c r="X7" s="104"/>
      <c r="Y7" s="104"/>
      <c r="Z7" s="104"/>
      <c r="AA7" s="104"/>
    </row>
    <row r="8" spans="1:27" ht="15.6">
      <c r="A8" s="26" t="str">
        <v>K115</v>
      </c>
      <c r="B8" s="27" t="str">
        <v>NY</v>
      </c>
      <c r="C8" s="9" t="str">
        <f>Sites[[#This Row],[SOL'#]]</f>
        <v>SOL-10361</v>
      </c>
      <c r="D8" s="9">
        <v>5905.25</v>
      </c>
      <c r="E8" s="14">
        <v>10305.36</v>
      </c>
      <c r="F8" s="14">
        <f t="shared" si="0"/>
        <v>-4400.1100000000006</v>
      </c>
      <c r="G8" s="15">
        <f t="shared" si="1"/>
        <v>-0.42697295388031087</v>
      </c>
      <c r="H8" s="16">
        <v>17376.71</v>
      </c>
      <c r="I8" s="16">
        <f t="shared" si="2"/>
        <v>-11471.46</v>
      </c>
      <c r="J8" s="15">
        <f t="shared" si="3"/>
        <v>-0.66016294223705174</v>
      </c>
      <c r="K8" s="51" t="s">
        <v>24</v>
      </c>
      <c r="L8" s="100" t="s">
        <v>25</v>
      </c>
      <c r="M8" s="104"/>
      <c r="N8" s="104"/>
      <c r="O8" s="104"/>
      <c r="P8" s="104"/>
      <c r="Q8" s="104"/>
      <c r="R8" s="104"/>
      <c r="S8" s="104"/>
      <c r="T8" s="104"/>
      <c r="U8" s="104"/>
      <c r="V8" s="104"/>
      <c r="W8" s="104"/>
      <c r="X8" s="104"/>
      <c r="Y8" s="104"/>
      <c r="Z8" s="104"/>
      <c r="AA8" s="104"/>
    </row>
    <row r="9" spans="1:27" ht="15.6">
      <c r="A9" s="24" t="str">
        <v>K152</v>
      </c>
      <c r="B9" s="25" t="str">
        <v>NY</v>
      </c>
      <c r="C9" s="25" t="str">
        <f>Sites[[#This Row],[SOL'#]]</f>
        <v>SOL-10362</v>
      </c>
      <c r="D9" s="20">
        <v>9130.96875</v>
      </c>
      <c r="E9" s="10">
        <v>9635.4830000000002</v>
      </c>
      <c r="F9" s="10">
        <f t="shared" si="0"/>
        <v>-504.51425000000017</v>
      </c>
      <c r="G9" s="11">
        <f t="shared" si="1"/>
        <v>-5.2360037374358938E-2</v>
      </c>
      <c r="H9" s="12">
        <v>11639</v>
      </c>
      <c r="I9" s="12">
        <f t="shared" si="2"/>
        <v>-2508.03125</v>
      </c>
      <c r="J9" s="13">
        <f t="shared" si="3"/>
        <v>-0.21548511470057566</v>
      </c>
      <c r="K9" s="53" t="s">
        <v>905</v>
      </c>
      <c r="L9" s="53"/>
      <c r="M9" s="104"/>
      <c r="N9" s="104"/>
      <c r="O9" s="104"/>
      <c r="P9" s="104"/>
      <c r="Q9" s="104"/>
      <c r="R9" s="104"/>
      <c r="S9" s="104"/>
      <c r="T9" s="104"/>
      <c r="U9" s="104"/>
      <c r="V9" s="104"/>
      <c r="W9" s="104"/>
      <c r="X9" s="104"/>
      <c r="Y9" s="104"/>
      <c r="Z9" s="104"/>
      <c r="AA9" s="104"/>
    </row>
    <row r="10" spans="1:27" ht="15.6">
      <c r="A10" s="26" t="str">
        <v>K166</v>
      </c>
      <c r="B10" s="27" t="str">
        <v>NY</v>
      </c>
      <c r="C10" s="9" t="str">
        <f>Sites[[#This Row],[SOL'#]]</f>
        <v>SOL-10363</v>
      </c>
      <c r="D10" s="9">
        <v>33771.875</v>
      </c>
      <c r="E10" s="14">
        <v>36654.39</v>
      </c>
      <c r="F10" s="14">
        <f t="shared" si="0"/>
        <v>-2882.5149999999994</v>
      </c>
      <c r="G10" s="15">
        <f t="shared" si="1"/>
        <v>-7.8640375682148836E-2</v>
      </c>
      <c r="H10" s="16">
        <v>42600.89</v>
      </c>
      <c r="I10" s="16">
        <f t="shared" si="2"/>
        <v>-8829.0149999999994</v>
      </c>
      <c r="J10" s="15">
        <f t="shared" si="3"/>
        <v>-0.20724954337808435</v>
      </c>
      <c r="K10" s="51" t="s">
        <v>905</v>
      </c>
      <c r="L10" s="52"/>
      <c r="M10" s="104"/>
      <c r="N10" s="104"/>
      <c r="O10" s="104"/>
      <c r="P10" s="104"/>
      <c r="Q10" s="104"/>
      <c r="R10" s="104"/>
      <c r="S10" s="104"/>
      <c r="T10" s="104"/>
      <c r="U10" s="104"/>
      <c r="V10" s="104"/>
      <c r="W10" s="104"/>
      <c r="X10" s="104"/>
      <c r="Y10" s="104"/>
      <c r="Z10" s="104"/>
      <c r="AA10" s="104"/>
    </row>
    <row r="11" spans="1:27" ht="15.6">
      <c r="A11" s="24" t="str">
        <v>K206</v>
      </c>
      <c r="B11" s="25" t="str">
        <v>NY</v>
      </c>
      <c r="C11" s="25" t="str">
        <f>Sites[[#This Row],[SOL'#]]</f>
        <v>SOL-10927</v>
      </c>
      <c r="D11" s="20">
        <v>20067.3125</v>
      </c>
      <c r="E11" s="10">
        <v>19533.63</v>
      </c>
      <c r="F11" s="10">
        <f t="shared" si="0"/>
        <v>533.68249999999898</v>
      </c>
      <c r="G11" s="11">
        <f t="shared" si="1"/>
        <v>2.7321214746055852E-2</v>
      </c>
      <c r="H11" s="12">
        <v>22532</v>
      </c>
      <c r="I11" s="12">
        <f t="shared" si="2"/>
        <v>-2464.6875</v>
      </c>
      <c r="J11" s="13">
        <f t="shared" si="3"/>
        <v>-0.10938609533108468</v>
      </c>
      <c r="K11" s="53" t="s">
        <v>905</v>
      </c>
      <c r="L11" s="53"/>
      <c r="M11" s="104"/>
      <c r="N11" s="104"/>
      <c r="O11" s="104"/>
      <c r="P11" s="104"/>
      <c r="Q11" s="104"/>
      <c r="R11" s="104"/>
      <c r="S11" s="104"/>
      <c r="T11" s="104"/>
      <c r="U11" s="104"/>
      <c r="V11" s="104"/>
      <c r="W11" s="104"/>
      <c r="X11" s="104"/>
      <c r="Y11" s="104"/>
      <c r="Z11" s="104"/>
      <c r="AA11" s="104"/>
    </row>
    <row r="12" spans="1:27" ht="16.5" customHeight="1">
      <c r="A12" s="26" t="str">
        <v>K251</v>
      </c>
      <c r="B12" s="27" t="str">
        <v>NY</v>
      </c>
      <c r="C12" s="9" t="str">
        <f>Sites[[#This Row],[SOL'#]]</f>
        <v>SOL-10365</v>
      </c>
      <c r="D12" s="9">
        <v>21288.375</v>
      </c>
      <c r="E12" s="14">
        <v>0</v>
      </c>
      <c r="F12" s="14">
        <f t="shared" si="0"/>
        <v>21288.375</v>
      </c>
      <c r="G12" s="15" t="str">
        <f t="shared" si="1"/>
        <v/>
      </c>
      <c r="H12" s="16">
        <v>26796.3</v>
      </c>
      <c r="I12" s="16">
        <f t="shared" si="2"/>
        <v>-5507.9249999999993</v>
      </c>
      <c r="J12" s="15">
        <f t="shared" si="3"/>
        <v>-0.20554796744326639</v>
      </c>
      <c r="K12" s="51" t="s">
        <v>648</v>
      </c>
      <c r="L12" s="100" t="s">
        <v>223</v>
      </c>
      <c r="M12" s="104"/>
      <c r="N12" s="104"/>
      <c r="O12" s="104"/>
      <c r="P12" s="104"/>
      <c r="Q12" s="104"/>
      <c r="R12" s="104"/>
      <c r="S12" s="104"/>
      <c r="T12" s="104"/>
      <c r="U12" s="104"/>
      <c r="V12" s="104"/>
      <c r="W12" s="104"/>
      <c r="X12" s="104"/>
      <c r="Y12" s="104"/>
      <c r="Z12" s="104"/>
      <c r="AA12" s="104"/>
    </row>
    <row r="13" spans="1:27" ht="15.6">
      <c r="A13" s="24" t="str">
        <v>K269</v>
      </c>
      <c r="B13" s="25" t="str">
        <v>NY</v>
      </c>
      <c r="C13" s="25" t="str">
        <f>Sites[[#This Row],[SOL'#]]</f>
        <v>SOL-10366</v>
      </c>
      <c r="D13" s="20">
        <v>19990.3125</v>
      </c>
      <c r="E13" s="10">
        <v>23304.22</v>
      </c>
      <c r="F13" s="10">
        <f t="shared" si="0"/>
        <v>-3313.9075000000012</v>
      </c>
      <c r="G13" s="11">
        <f t="shared" si="1"/>
        <v>-0.14220203465295131</v>
      </c>
      <c r="H13" s="12">
        <v>24102.37</v>
      </c>
      <c r="I13" s="12">
        <f t="shared" si="2"/>
        <v>-4112.057499999999</v>
      </c>
      <c r="J13" s="13">
        <f t="shared" si="3"/>
        <v>-0.17060801489646035</v>
      </c>
      <c r="K13" s="53" t="s">
        <v>905</v>
      </c>
      <c r="L13" s="53"/>
      <c r="M13" s="104"/>
      <c r="N13" s="104"/>
      <c r="O13" s="104"/>
      <c r="P13" s="104"/>
      <c r="Q13" s="104"/>
      <c r="R13" s="104"/>
      <c r="S13" s="104"/>
      <c r="T13" s="104"/>
      <c r="U13" s="104"/>
      <c r="V13" s="104"/>
      <c r="W13" s="104"/>
      <c r="X13" s="104"/>
      <c r="Y13" s="104"/>
      <c r="Z13" s="104"/>
      <c r="AA13" s="104"/>
    </row>
    <row r="14" spans="1:27" ht="57.6">
      <c r="A14" s="26" t="str">
        <v>K273</v>
      </c>
      <c r="B14" s="27" t="str">
        <v>NY</v>
      </c>
      <c r="C14" s="9" t="str">
        <f>Sites[[#This Row],[SOL'#]]</f>
        <v>SOL-10367</v>
      </c>
      <c r="D14" s="9">
        <v>21148.875</v>
      </c>
      <c r="E14" s="14">
        <v>0</v>
      </c>
      <c r="F14" s="14">
        <f t="shared" si="0"/>
        <v>21148.875</v>
      </c>
      <c r="G14" s="15" t="str">
        <f t="shared" si="1"/>
        <v/>
      </c>
      <c r="H14" s="16">
        <v>32475</v>
      </c>
      <c r="I14" s="16">
        <f t="shared" si="2"/>
        <v>-11326.125</v>
      </c>
      <c r="J14" s="15">
        <f t="shared" si="3"/>
        <v>-0.34876443418013858</v>
      </c>
      <c r="K14" s="61" t="s">
        <v>909</v>
      </c>
      <c r="L14" s="102" t="s">
        <v>910</v>
      </c>
      <c r="M14" s="103" t="s">
        <v>393</v>
      </c>
      <c r="N14" s="103" t="s">
        <v>911</v>
      </c>
      <c r="O14" s="104"/>
      <c r="P14" s="104"/>
      <c r="Q14" s="104"/>
      <c r="R14" s="104"/>
      <c r="S14" s="104"/>
      <c r="T14" s="104"/>
      <c r="U14" s="104"/>
      <c r="V14" s="104"/>
      <c r="W14" s="104"/>
      <c r="X14" s="104"/>
      <c r="Y14" s="104"/>
      <c r="Z14" s="104"/>
      <c r="AA14" s="104"/>
    </row>
    <row r="15" spans="1:27" ht="15.6">
      <c r="A15" s="24" t="str">
        <v>K287</v>
      </c>
      <c r="B15" s="25" t="str">
        <v>NY</v>
      </c>
      <c r="C15" s="25" t="str">
        <f>Sites[[#This Row],[SOL'#]]</f>
        <v>SOL-10919</v>
      </c>
      <c r="D15" s="20">
        <v>17273.5625</v>
      </c>
      <c r="E15" s="10">
        <v>15150.06</v>
      </c>
      <c r="F15" s="10">
        <f t="shared" si="0"/>
        <v>2123.5025000000005</v>
      </c>
      <c r="G15" s="11">
        <f t="shared" si="1"/>
        <v>0.14016462641072053</v>
      </c>
      <c r="H15" s="12">
        <v>21348</v>
      </c>
      <c r="I15" s="12">
        <f t="shared" si="2"/>
        <v>-4074.4375</v>
      </c>
      <c r="J15" s="13">
        <f t="shared" si="3"/>
        <v>-0.19085804290800074</v>
      </c>
      <c r="K15" s="53" t="s">
        <v>912</v>
      </c>
      <c r="L15" s="53"/>
      <c r="M15" s="104"/>
      <c r="N15" s="104"/>
      <c r="O15" s="104"/>
      <c r="P15" s="104"/>
      <c r="Q15" s="104"/>
      <c r="R15" s="104"/>
      <c r="S15" s="104"/>
      <c r="T15" s="104"/>
      <c r="U15" s="104"/>
      <c r="V15" s="104"/>
      <c r="W15" s="104"/>
      <c r="X15" s="104"/>
      <c r="Y15" s="104"/>
      <c r="Z15" s="104"/>
      <c r="AA15" s="104"/>
    </row>
    <row r="16" spans="1:27" ht="15.6">
      <c r="A16" s="26" t="str">
        <v>K298</v>
      </c>
      <c r="B16" s="27" t="str">
        <v>NY</v>
      </c>
      <c r="C16" s="9" t="str">
        <f>Sites[[#This Row],[SOL'#]]</f>
        <v>SOL-10368</v>
      </c>
      <c r="D16" s="9">
        <v>18981.46875</v>
      </c>
      <c r="E16" s="14">
        <v>19993.5</v>
      </c>
      <c r="F16" s="14">
        <f t="shared" si="0"/>
        <v>-1012.03125</v>
      </c>
      <c r="G16" s="15">
        <f t="shared" si="1"/>
        <v>-5.0618013354340158E-2</v>
      </c>
      <c r="H16" s="16">
        <v>24419</v>
      </c>
      <c r="I16" s="16">
        <f t="shared" si="2"/>
        <v>-5437.53125</v>
      </c>
      <c r="J16" s="15">
        <f t="shared" si="3"/>
        <v>-0.22267624595601784</v>
      </c>
      <c r="K16" s="51" t="s">
        <v>912</v>
      </c>
      <c r="L16" s="52"/>
      <c r="M16" s="104"/>
      <c r="N16" s="104"/>
      <c r="O16" s="104"/>
      <c r="P16" s="104"/>
      <c r="Q16" s="104"/>
      <c r="R16" s="104"/>
      <c r="S16" s="104"/>
      <c r="T16" s="104"/>
      <c r="U16" s="104"/>
      <c r="V16" s="104"/>
      <c r="W16" s="104"/>
      <c r="X16" s="104"/>
      <c r="Y16" s="104"/>
      <c r="Z16" s="104"/>
      <c r="AA16" s="104"/>
    </row>
    <row r="17" spans="1:27" ht="28.9">
      <c r="A17" s="24" t="str">
        <v>K335</v>
      </c>
      <c r="B17" s="25" t="str">
        <v>NY</v>
      </c>
      <c r="C17" s="25" t="str">
        <f>Sites[[#This Row],[SOL'#]]</f>
        <v>SOL-10370</v>
      </c>
      <c r="D17" s="20">
        <v>19889.5</v>
      </c>
      <c r="E17" s="10">
        <v>22277.63</v>
      </c>
      <c r="F17" s="10">
        <f t="shared" si="0"/>
        <v>-2388.130000000001</v>
      </c>
      <c r="G17" s="11">
        <f t="shared" si="1"/>
        <v>-0.10719856645433114</v>
      </c>
      <c r="H17" s="12">
        <v>26929</v>
      </c>
      <c r="I17" s="12">
        <f t="shared" si="2"/>
        <v>-7039.5</v>
      </c>
      <c r="J17" s="13">
        <f t="shared" si="3"/>
        <v>-0.26140963273794049</v>
      </c>
      <c r="K17" s="53" t="s">
        <v>913</v>
      </c>
      <c r="L17" s="53" t="s">
        <v>914</v>
      </c>
      <c r="M17" s="104"/>
      <c r="N17" s="104"/>
      <c r="O17" s="104"/>
      <c r="P17" s="104"/>
      <c r="Q17" s="104"/>
      <c r="R17" s="104"/>
      <c r="S17" s="104"/>
      <c r="T17" s="104"/>
      <c r="U17" s="104"/>
      <c r="V17" s="104"/>
      <c r="W17" s="104"/>
      <c r="X17" s="104"/>
      <c r="Y17" s="104"/>
      <c r="Z17" s="104"/>
      <c r="AA17" s="104"/>
    </row>
    <row r="18" spans="1:27" ht="15.6">
      <c r="A18" s="26" t="str">
        <v>K345</v>
      </c>
      <c r="B18" s="27" t="str">
        <v>NY</v>
      </c>
      <c r="C18" s="9" t="str">
        <f>Sites[[#This Row],[SOL'#]]</f>
        <v>SOL-10920</v>
      </c>
      <c r="D18" s="9">
        <v>23306.21875</v>
      </c>
      <c r="E18" s="14">
        <v>13816.51</v>
      </c>
      <c r="F18" s="14">
        <f t="shared" si="0"/>
        <v>9489.7087499999998</v>
      </c>
      <c r="G18" s="15">
        <f t="shared" si="1"/>
        <v>0.68683833688825902</v>
      </c>
      <c r="H18" s="16">
        <v>28171</v>
      </c>
      <c r="I18" s="16">
        <f t="shared" si="2"/>
        <v>-4864.78125</v>
      </c>
      <c r="J18" s="15">
        <f t="shared" si="3"/>
        <v>-0.17268755990202692</v>
      </c>
      <c r="K18" s="51" t="s">
        <v>912</v>
      </c>
      <c r="L18" s="52"/>
      <c r="M18" s="104"/>
      <c r="N18" s="104"/>
      <c r="O18" s="104"/>
      <c r="P18" s="104"/>
      <c r="Q18" s="104"/>
      <c r="R18" s="104"/>
      <c r="S18" s="104"/>
      <c r="T18" s="104"/>
      <c r="U18" s="104"/>
      <c r="V18" s="104"/>
      <c r="W18" s="104"/>
      <c r="X18" s="104"/>
      <c r="Y18" s="104"/>
      <c r="Z18" s="104"/>
      <c r="AA18" s="104"/>
    </row>
    <row r="19" spans="1:27" ht="15.6">
      <c r="A19" s="24" t="str">
        <v>K445</v>
      </c>
      <c r="B19" s="25" t="str">
        <v>NY</v>
      </c>
      <c r="C19" s="25" t="str">
        <f>Sites[[#This Row],[SOL'#]]</f>
        <v>SOL-10373</v>
      </c>
      <c r="D19" s="20">
        <v>19136.25</v>
      </c>
      <c r="E19" s="10">
        <v>20974.76</v>
      </c>
      <c r="F19" s="10">
        <f t="shared" si="0"/>
        <v>-1838.5099999999984</v>
      </c>
      <c r="G19" s="11">
        <f t="shared" si="1"/>
        <v>-8.7653446332639731E-2</v>
      </c>
      <c r="H19" s="12">
        <v>22605.72</v>
      </c>
      <c r="I19" s="12">
        <f t="shared" si="2"/>
        <v>-3469.4700000000012</v>
      </c>
      <c r="J19" s="13">
        <f t="shared" si="3"/>
        <v>-0.15347752692681327</v>
      </c>
      <c r="K19" s="53" t="s">
        <v>912</v>
      </c>
      <c r="L19" s="53"/>
      <c r="M19" s="104"/>
      <c r="N19" s="104"/>
      <c r="O19" s="104"/>
      <c r="P19" s="104"/>
      <c r="Q19" s="104"/>
      <c r="R19" s="104"/>
      <c r="S19" s="104"/>
      <c r="T19" s="104"/>
      <c r="U19" s="104"/>
      <c r="V19" s="104"/>
      <c r="W19" s="104"/>
      <c r="X19" s="104"/>
      <c r="Y19" s="104"/>
      <c r="Z19" s="104"/>
      <c r="AA19" s="104"/>
    </row>
    <row r="20" spans="1:27" ht="49.5" customHeight="1">
      <c r="A20" s="26" t="str">
        <v>K495</v>
      </c>
      <c r="B20" s="27" t="str">
        <v>NY</v>
      </c>
      <c r="C20" s="9" t="str">
        <f>Sites[[#This Row],[SOL'#]]</f>
        <v>SOL-10374</v>
      </c>
      <c r="D20" s="9">
        <v>77124.875</v>
      </c>
      <c r="E20" s="14">
        <v>80257.289999999994</v>
      </c>
      <c r="F20" s="14">
        <f t="shared" si="0"/>
        <v>-3132.4149999999936</v>
      </c>
      <c r="G20" s="15">
        <f t="shared" si="1"/>
        <v>-3.9029663224362472E-2</v>
      </c>
      <c r="H20" s="16">
        <v>96985.07</v>
      </c>
      <c r="I20" s="16">
        <f t="shared" si="2"/>
        <v>-19860.195000000007</v>
      </c>
      <c r="J20" s="15">
        <f t="shared" si="3"/>
        <v>-0.20477579693451792</v>
      </c>
      <c r="K20" s="51" t="s">
        <v>915</v>
      </c>
      <c r="L20" s="100" t="s">
        <v>916</v>
      </c>
      <c r="M20" s="104"/>
      <c r="N20" s="104"/>
      <c r="O20" s="104"/>
      <c r="P20" s="104"/>
      <c r="Q20" s="104"/>
      <c r="R20" s="104"/>
      <c r="S20" s="104"/>
      <c r="T20" s="104"/>
      <c r="U20" s="104"/>
      <c r="V20" s="104"/>
      <c r="W20" s="104"/>
      <c r="X20" s="104"/>
      <c r="Y20" s="104"/>
      <c r="Z20" s="104"/>
      <c r="AA20" s="104"/>
    </row>
    <row r="21" spans="1:27" ht="28.9">
      <c r="A21" s="24" t="str">
        <v>M020</v>
      </c>
      <c r="B21" s="25" t="str">
        <v>NY</v>
      </c>
      <c r="C21" s="25" t="str">
        <f>Sites[[#This Row],[SOL'#]]</f>
        <v>SOL-10380</v>
      </c>
      <c r="D21" s="20">
        <v>18998.15625</v>
      </c>
      <c r="E21" s="10">
        <v>22034.82</v>
      </c>
      <c r="F21" s="10">
        <f t="shared" si="0"/>
        <v>-3036.6637499999997</v>
      </c>
      <c r="G21" s="11">
        <f t="shared" si="1"/>
        <v>-0.13781205156202772</v>
      </c>
      <c r="H21" s="12">
        <v>26418</v>
      </c>
      <c r="I21" s="12">
        <f t="shared" si="2"/>
        <v>-7419.84375</v>
      </c>
      <c r="J21" s="13">
        <f t="shared" si="3"/>
        <v>-0.28086318987054282</v>
      </c>
      <c r="K21" s="53" t="s">
        <v>917</v>
      </c>
      <c r="L21" s="99" t="s">
        <v>918</v>
      </c>
      <c r="M21" s="104"/>
      <c r="N21" s="104"/>
      <c r="O21" s="104"/>
      <c r="P21" s="104"/>
      <c r="Q21" s="104"/>
      <c r="R21" s="104"/>
      <c r="S21" s="104"/>
      <c r="T21" s="104"/>
      <c r="U21" s="104"/>
      <c r="V21" s="104"/>
      <c r="W21" s="104"/>
      <c r="X21" s="104"/>
      <c r="Y21" s="104"/>
      <c r="Z21" s="104"/>
      <c r="AA21" s="104"/>
    </row>
    <row r="22" spans="1:27" ht="28.9">
      <c r="A22" s="26" t="str">
        <v>M092</v>
      </c>
      <c r="B22" s="27" t="str">
        <v>NY</v>
      </c>
      <c r="C22" s="9" t="str">
        <f>Sites[[#This Row],[SOL'#]]</f>
        <v>SOL-10383</v>
      </c>
      <c r="D22" s="9">
        <v>19958.3125</v>
      </c>
      <c r="E22" s="14">
        <v>21332.720000000001</v>
      </c>
      <c r="F22" s="14">
        <f t="shared" si="0"/>
        <v>-1374.4075000000012</v>
      </c>
      <c r="G22" s="15">
        <f t="shared" si="1"/>
        <v>-6.4427203844610578E-2</v>
      </c>
      <c r="H22" s="16">
        <v>25140.73</v>
      </c>
      <c r="I22" s="16">
        <f t="shared" si="2"/>
        <v>-5182.4174999999996</v>
      </c>
      <c r="J22" s="15">
        <f t="shared" si="3"/>
        <v>-0.20613631744185629</v>
      </c>
      <c r="K22" s="51" t="s">
        <v>919</v>
      </c>
      <c r="L22" s="51" t="s">
        <v>920</v>
      </c>
      <c r="M22" s="104"/>
      <c r="N22" s="104"/>
      <c r="O22" s="104"/>
      <c r="P22" s="104"/>
      <c r="Q22" s="104"/>
      <c r="R22" s="104"/>
      <c r="S22" s="104"/>
      <c r="T22" s="104"/>
      <c r="U22" s="104"/>
      <c r="V22" s="104"/>
      <c r="W22" s="104"/>
      <c r="X22" s="104"/>
      <c r="Y22" s="104"/>
      <c r="Z22" s="104"/>
      <c r="AA22" s="104"/>
    </row>
    <row r="23" spans="1:27" ht="28.9">
      <c r="A23" s="24" t="str">
        <v>M143</v>
      </c>
      <c r="B23" s="25" t="str">
        <v>NY</v>
      </c>
      <c r="C23" s="25" t="str">
        <f>Sites[[#This Row],[SOL'#]]</f>
        <v>SOL-10384</v>
      </c>
      <c r="D23" s="20">
        <v>22306</v>
      </c>
      <c r="E23" s="10">
        <v>26674.51</v>
      </c>
      <c r="F23" s="10">
        <f t="shared" si="0"/>
        <v>-4368.5099999999984</v>
      </c>
      <c r="G23" s="11">
        <f t="shared" si="1"/>
        <v>-0.1637709558676054</v>
      </c>
      <c r="H23" s="12">
        <v>28183.46</v>
      </c>
      <c r="I23" s="12">
        <f t="shared" si="2"/>
        <v>-5877.4599999999991</v>
      </c>
      <c r="J23" s="13">
        <f t="shared" si="3"/>
        <v>-0.20854288295333501</v>
      </c>
      <c r="K23" s="53" t="s">
        <v>921</v>
      </c>
      <c r="L23" s="99" t="s">
        <v>922</v>
      </c>
      <c r="M23" s="104"/>
      <c r="N23" s="104"/>
      <c r="O23" s="104"/>
      <c r="P23" s="104"/>
      <c r="Q23" s="104"/>
      <c r="R23" s="104"/>
      <c r="S23" s="104"/>
      <c r="T23" s="104"/>
      <c r="U23" s="104"/>
      <c r="V23" s="104"/>
      <c r="W23" s="104"/>
      <c r="X23" s="104"/>
      <c r="Y23" s="104"/>
      <c r="Z23" s="104"/>
      <c r="AA23" s="104"/>
    </row>
    <row r="24" spans="1:27" ht="15.6">
      <c r="A24" s="26" t="str">
        <v>M144</v>
      </c>
      <c r="B24" s="27" t="str">
        <v>NY</v>
      </c>
      <c r="C24" s="9" t="str">
        <f>Sites[[#This Row],[SOL'#]]</f>
        <v>SOL-10385</v>
      </c>
      <c r="D24" s="9">
        <v>33062.0625</v>
      </c>
      <c r="E24" s="14">
        <v>36664.14</v>
      </c>
      <c r="F24" s="14">
        <f t="shared" si="0"/>
        <v>-3602.0774999999994</v>
      </c>
      <c r="G24" s="15">
        <f t="shared" si="1"/>
        <v>-9.8245247263402322E-2</v>
      </c>
      <c r="H24" s="16">
        <v>48015.14</v>
      </c>
      <c r="I24" s="16">
        <f t="shared" si="2"/>
        <v>-14953.077499999999</v>
      </c>
      <c r="J24" s="15">
        <f t="shared" si="3"/>
        <v>-0.31142421952742405</v>
      </c>
      <c r="K24" s="51" t="s">
        <v>923</v>
      </c>
      <c r="L24" s="51"/>
      <c r="M24" s="104"/>
      <c r="N24" s="104"/>
      <c r="O24" s="104"/>
      <c r="P24" s="104"/>
      <c r="Q24" s="104"/>
      <c r="R24" s="104"/>
      <c r="S24" s="104"/>
      <c r="T24" s="104"/>
      <c r="U24" s="104"/>
      <c r="V24" s="104"/>
      <c r="W24" s="104"/>
      <c r="X24" s="104"/>
      <c r="Y24" s="104"/>
      <c r="Z24" s="104"/>
      <c r="AA24" s="104"/>
    </row>
    <row r="25" spans="1:27" ht="15.6">
      <c r="A25" s="24" t="str">
        <v>M167</v>
      </c>
      <c r="B25" s="25" t="str">
        <v>NY</v>
      </c>
      <c r="C25" s="25" t="str">
        <f>Sites[[#This Row],[SOL'#]]</f>
        <v>SOL-10386</v>
      </c>
      <c r="D25" s="20">
        <v>25394.96875</v>
      </c>
      <c r="E25" s="10">
        <v>18995.12</v>
      </c>
      <c r="F25" s="10">
        <f t="shared" si="0"/>
        <v>6399.848750000001</v>
      </c>
      <c r="G25" s="11">
        <f t="shared" si="1"/>
        <v>0.33692068015363952</v>
      </c>
      <c r="H25" s="12">
        <v>34279.879999999997</v>
      </c>
      <c r="I25" s="12">
        <f t="shared" si="2"/>
        <v>-8884.9112499999974</v>
      </c>
      <c r="J25" s="13">
        <f t="shared" si="3"/>
        <v>-0.25918734983903091</v>
      </c>
      <c r="K25" s="53" t="s">
        <v>923</v>
      </c>
      <c r="L25" s="53"/>
      <c r="M25" s="104"/>
      <c r="N25" s="104"/>
      <c r="O25" s="104"/>
      <c r="P25" s="104"/>
      <c r="Q25" s="104"/>
      <c r="R25" s="104"/>
      <c r="S25" s="104"/>
      <c r="T25" s="104"/>
      <c r="U25" s="104"/>
      <c r="V25" s="104"/>
      <c r="W25" s="104"/>
      <c r="X25" s="104"/>
      <c r="Y25" s="104"/>
      <c r="Z25" s="104"/>
      <c r="AA25" s="104"/>
    </row>
    <row r="26" spans="1:27" ht="45.75" customHeight="1">
      <c r="A26" s="26" t="str">
        <v>M188</v>
      </c>
      <c r="B26" s="27" t="str">
        <v>NY</v>
      </c>
      <c r="C26" s="9" t="str">
        <f>Sites[[#This Row],[SOL'#]]</f>
        <v>SOL-10387</v>
      </c>
      <c r="D26" s="9">
        <v>16312.09375</v>
      </c>
      <c r="E26" s="14">
        <v>18711.310000000001</v>
      </c>
      <c r="F26" s="14">
        <f t="shared" si="0"/>
        <v>-2399.2162500000013</v>
      </c>
      <c r="G26" s="15">
        <f t="shared" si="1"/>
        <v>-0.12822278343953475</v>
      </c>
      <c r="H26" s="16">
        <v>24466.27</v>
      </c>
      <c r="I26" s="16">
        <f t="shared" si="2"/>
        <v>-8154.1762500000004</v>
      </c>
      <c r="J26" s="15">
        <f t="shared" si="3"/>
        <v>-0.33328236179850873</v>
      </c>
      <c r="K26" s="51" t="s">
        <v>924</v>
      </c>
      <c r="L26" s="100" t="s">
        <v>925</v>
      </c>
      <c r="M26" s="103" t="s">
        <v>926</v>
      </c>
      <c r="N26" s="104"/>
      <c r="O26" s="104"/>
      <c r="P26" s="104"/>
      <c r="Q26" s="104"/>
      <c r="R26" s="104"/>
      <c r="S26" s="104"/>
      <c r="T26" s="104"/>
      <c r="U26" s="104"/>
      <c r="V26" s="104"/>
      <c r="W26" s="104"/>
      <c r="X26" s="104"/>
      <c r="Y26" s="104"/>
      <c r="Z26" s="104"/>
      <c r="AA26" s="104"/>
    </row>
    <row r="27" spans="1:27" ht="15.6">
      <c r="A27" s="24" t="str">
        <v>EMHC</v>
      </c>
      <c r="B27" s="25" t="str">
        <v>NY</v>
      </c>
      <c r="C27" s="25" t="str">
        <f>Sites[[#This Row],[SOL'#]]</f>
        <v>SOL-10351</v>
      </c>
      <c r="D27" s="20">
        <v>7420.015625</v>
      </c>
      <c r="E27" s="10">
        <v>6261.3670000000002</v>
      </c>
      <c r="F27" s="10">
        <f t="shared" si="0"/>
        <v>1158.6486249999998</v>
      </c>
      <c r="G27" s="11">
        <f t="shared" si="1"/>
        <v>0.18504723090021713</v>
      </c>
      <c r="H27" s="12">
        <v>11538.26</v>
      </c>
      <c r="I27" s="12">
        <f t="shared" si="2"/>
        <v>-4118.2443750000002</v>
      </c>
      <c r="J27" s="13">
        <f t="shared" si="3"/>
        <v>-0.35692074671570934</v>
      </c>
      <c r="K27" s="53" t="s">
        <v>927</v>
      </c>
      <c r="L27" s="53"/>
      <c r="M27" s="104"/>
      <c r="N27" s="104"/>
      <c r="O27" s="104"/>
      <c r="P27" s="104"/>
      <c r="Q27" s="104"/>
      <c r="R27" s="104"/>
      <c r="S27" s="104"/>
      <c r="T27" s="104"/>
      <c r="U27" s="104"/>
      <c r="V27" s="104"/>
      <c r="W27" s="104"/>
      <c r="X27" s="104"/>
      <c r="Y27" s="104"/>
      <c r="Z27" s="104"/>
      <c r="AA27" s="104"/>
    </row>
    <row r="28" spans="1:27" ht="28.9">
      <c r="A28" s="26" t="str">
        <v>Q008</v>
      </c>
      <c r="B28" s="27" t="str">
        <v>NY</v>
      </c>
      <c r="C28" s="9" t="str">
        <f>Sites[[#This Row],[SOL'#]]</f>
        <v>SOL-10397</v>
      </c>
      <c r="D28" s="9">
        <v>0</v>
      </c>
      <c r="E28" s="14">
        <v>0</v>
      </c>
      <c r="F28" s="14">
        <f t="shared" si="0"/>
        <v>0</v>
      </c>
      <c r="G28" s="15" t="str">
        <f t="shared" si="1"/>
        <v/>
      </c>
      <c r="H28" s="16">
        <v>34336</v>
      </c>
      <c r="I28" s="12">
        <f t="shared" si="2"/>
        <v>-34336</v>
      </c>
      <c r="J28" s="15">
        <f t="shared" si="3"/>
        <v>-1</v>
      </c>
      <c r="K28" s="51" t="s">
        <v>928</v>
      </c>
      <c r="L28" s="100" t="s">
        <v>929</v>
      </c>
      <c r="M28" s="104"/>
      <c r="N28" s="104"/>
      <c r="O28" s="104"/>
      <c r="P28" s="104"/>
      <c r="Q28" s="104"/>
      <c r="R28" s="104"/>
      <c r="S28" s="104"/>
      <c r="T28" s="104"/>
      <c r="U28" s="104"/>
      <c r="V28" s="104"/>
      <c r="W28" s="104"/>
      <c r="X28" s="104"/>
      <c r="Y28" s="104"/>
      <c r="Z28" s="104"/>
      <c r="AA28" s="104"/>
    </row>
    <row r="29" spans="1:27" ht="15.6">
      <c r="A29" s="24" t="str">
        <v>Q018</v>
      </c>
      <c r="B29" s="25" t="str">
        <v>NY</v>
      </c>
      <c r="C29" s="25" t="str">
        <f>Sites[[#This Row],[SOL'#]]</f>
        <v>SOL-10398</v>
      </c>
      <c r="D29" s="20">
        <v>18590.5625</v>
      </c>
      <c r="E29" s="10">
        <v>18781.919999999998</v>
      </c>
      <c r="F29" s="10">
        <f t="shared" si="0"/>
        <v>-191.35749999999825</v>
      </c>
      <c r="G29" s="11">
        <f t="shared" si="1"/>
        <v>-1.0188388620545625E-2</v>
      </c>
      <c r="H29" s="12">
        <v>21124.54</v>
      </c>
      <c r="I29" s="12">
        <f t="shared" si="2"/>
        <v>-2533.9775000000009</v>
      </c>
      <c r="J29" s="13">
        <f t="shared" si="3"/>
        <v>-0.11995420965379605</v>
      </c>
      <c r="K29" s="53" t="s">
        <v>927</v>
      </c>
      <c r="L29" s="53"/>
      <c r="M29" s="104"/>
      <c r="N29" s="104"/>
      <c r="O29" s="104"/>
      <c r="P29" s="104"/>
      <c r="Q29" s="104"/>
      <c r="R29" s="104"/>
      <c r="S29" s="104"/>
      <c r="T29" s="104"/>
      <c r="U29" s="104"/>
      <c r="V29" s="104"/>
      <c r="W29" s="104"/>
      <c r="X29" s="104"/>
      <c r="Y29" s="104"/>
      <c r="Z29" s="104"/>
      <c r="AA29" s="104"/>
    </row>
    <row r="30" spans="1:27" ht="15.6">
      <c r="A30" s="26" t="str">
        <v>Q021</v>
      </c>
      <c r="B30" s="27" t="str">
        <v>NY</v>
      </c>
      <c r="C30" s="9" t="str">
        <f>Sites[[#This Row],[SOL'#]]</f>
        <v>SOL-10399</v>
      </c>
      <c r="D30" s="9">
        <v>14804.96875</v>
      </c>
      <c r="E30" s="14">
        <v>14261.11</v>
      </c>
      <c r="F30" s="14">
        <f t="shared" si="0"/>
        <v>543.85874999999942</v>
      </c>
      <c r="G30" s="15">
        <f t="shared" si="1"/>
        <v>3.8135793777623161E-2</v>
      </c>
      <c r="H30" s="16">
        <v>17717.82</v>
      </c>
      <c r="I30" s="16">
        <f t="shared" si="2"/>
        <v>-2912.8512499999997</v>
      </c>
      <c r="J30" s="15">
        <f t="shared" si="3"/>
        <v>-0.16440235028914391</v>
      </c>
      <c r="K30" s="51" t="s">
        <v>927</v>
      </c>
      <c r="L30" s="52"/>
      <c r="M30" s="104"/>
      <c r="N30" s="104"/>
      <c r="O30" s="104"/>
      <c r="P30" s="104"/>
      <c r="Q30" s="104"/>
      <c r="R30" s="104"/>
      <c r="S30" s="104"/>
      <c r="T30" s="104"/>
      <c r="U30" s="104"/>
      <c r="V30" s="104"/>
      <c r="W30" s="104"/>
      <c r="X30" s="104"/>
      <c r="Y30" s="104"/>
      <c r="Z30" s="104"/>
      <c r="AA30" s="104"/>
    </row>
    <row r="31" spans="1:27" ht="15.75" customHeight="1">
      <c r="A31" s="24" t="str">
        <v>Q025</v>
      </c>
      <c r="B31" s="25" t="str">
        <v>NY</v>
      </c>
      <c r="C31" s="25" t="str">
        <f>Sites[[#This Row],[SOL'#]]</f>
        <v>SOL-10400</v>
      </c>
      <c r="D31" s="20">
        <v>25441.375</v>
      </c>
      <c r="E31" s="10">
        <v>25325.86</v>
      </c>
      <c r="F31" s="10">
        <f t="shared" si="0"/>
        <v>115.51499999999942</v>
      </c>
      <c r="G31" s="11">
        <f t="shared" si="1"/>
        <v>4.5611481702891596E-3</v>
      </c>
      <c r="H31" s="12">
        <v>15072</v>
      </c>
      <c r="I31" s="12">
        <f t="shared" si="2"/>
        <v>10369.375</v>
      </c>
      <c r="J31" s="13">
        <f t="shared" si="3"/>
        <v>0.68798931794055207</v>
      </c>
      <c r="K31" s="53"/>
      <c r="L31" s="53"/>
      <c r="M31" s="104"/>
      <c r="N31" s="104"/>
      <c r="O31" s="104"/>
      <c r="P31" s="104"/>
      <c r="Q31" s="104"/>
      <c r="R31" s="104"/>
      <c r="S31" s="104"/>
      <c r="T31" s="104"/>
      <c r="U31" s="104"/>
      <c r="V31" s="104"/>
      <c r="W31" s="104"/>
      <c r="X31" s="104"/>
      <c r="Y31" s="104"/>
      <c r="Z31" s="104"/>
      <c r="AA31" s="104"/>
    </row>
    <row r="32" spans="1:27" ht="15.6">
      <c r="A32" s="26" t="str">
        <v>Q074</v>
      </c>
      <c r="B32" s="27" t="str">
        <v>NY</v>
      </c>
      <c r="C32" s="9" t="str">
        <f>Sites[[#This Row],[SOL'#]]</f>
        <v>SOL-10402</v>
      </c>
      <c r="D32" s="9">
        <v>16785.8125</v>
      </c>
      <c r="E32" s="14">
        <v>16862.68</v>
      </c>
      <c r="F32" s="14">
        <f t="shared" si="0"/>
        <v>-76.867500000000291</v>
      </c>
      <c r="G32" s="15">
        <f t="shared" si="1"/>
        <v>-4.5584391093230906E-3</v>
      </c>
      <c r="H32" s="16">
        <v>20108.2</v>
      </c>
      <c r="I32" s="16">
        <f t="shared" si="2"/>
        <v>-3322.3875000000007</v>
      </c>
      <c r="J32" s="15">
        <f t="shared" si="3"/>
        <v>-0.16522550501785344</v>
      </c>
      <c r="K32" s="107" t="s">
        <v>927</v>
      </c>
      <c r="L32" s="52"/>
      <c r="M32" s="104"/>
      <c r="N32" s="104"/>
      <c r="O32" s="104"/>
      <c r="P32" s="104"/>
      <c r="Q32" s="104"/>
      <c r="R32" s="104"/>
      <c r="S32" s="104"/>
      <c r="T32" s="104"/>
      <c r="U32" s="104"/>
      <c r="V32" s="104"/>
      <c r="W32" s="104"/>
      <c r="X32" s="104"/>
      <c r="Y32" s="104"/>
      <c r="Z32" s="104"/>
      <c r="AA32" s="104"/>
    </row>
    <row r="33" spans="1:27" ht="15.6">
      <c r="A33" s="24" t="str">
        <v>Q115</v>
      </c>
      <c r="B33" s="25" t="str">
        <v>NY</v>
      </c>
      <c r="C33" s="25" t="str">
        <f>Sites[[#This Row],[SOL'#]]</f>
        <v>SOL-10872</v>
      </c>
      <c r="D33" s="20">
        <v>20876.125</v>
      </c>
      <c r="E33" s="10">
        <v>22397.69</v>
      </c>
      <c r="F33" s="10">
        <f t="shared" si="0"/>
        <v>-1521.5649999999987</v>
      </c>
      <c r="G33" s="11">
        <f t="shared" si="1"/>
        <v>-6.7934014623829461E-2</v>
      </c>
      <c r="H33" s="12">
        <v>26296.240000000002</v>
      </c>
      <c r="I33" s="12">
        <f t="shared" si="2"/>
        <v>-5420.1150000000016</v>
      </c>
      <c r="J33" s="13">
        <f t="shared" si="3"/>
        <v>-0.20611749056138828</v>
      </c>
      <c r="K33" s="53" t="s">
        <v>927</v>
      </c>
      <c r="L33" s="53"/>
      <c r="M33" s="104"/>
      <c r="N33" s="104"/>
      <c r="O33" s="104"/>
      <c r="P33" s="104"/>
      <c r="Q33" s="104"/>
      <c r="R33" s="104"/>
      <c r="S33" s="104"/>
      <c r="T33" s="104"/>
      <c r="U33" s="104"/>
      <c r="V33" s="104"/>
      <c r="W33" s="104"/>
      <c r="X33" s="104"/>
      <c r="Y33" s="104"/>
      <c r="Z33" s="104"/>
      <c r="AA33" s="104"/>
    </row>
    <row r="34" spans="1:27" ht="15.6">
      <c r="A34" s="26" t="str">
        <v>Q139</v>
      </c>
      <c r="B34" s="27" t="str">
        <v>NY</v>
      </c>
      <c r="C34" s="9" t="str">
        <f>Sites[[#This Row],[SOL'#]]</f>
        <v>SOL-10403</v>
      </c>
      <c r="D34" s="9">
        <v>12977.75</v>
      </c>
      <c r="E34" s="14">
        <v>14622.39</v>
      </c>
      <c r="F34" s="14">
        <f t="shared" si="0"/>
        <v>-1644.6399999999994</v>
      </c>
      <c r="G34" s="15">
        <f t="shared" si="1"/>
        <v>-0.11247408939304721</v>
      </c>
      <c r="H34" s="16">
        <v>17028</v>
      </c>
      <c r="I34" s="16">
        <f t="shared" si="2"/>
        <v>-4050.25</v>
      </c>
      <c r="J34" s="15">
        <f t="shared" si="3"/>
        <v>-0.23785823349776838</v>
      </c>
      <c r="K34" s="107" t="s">
        <v>927</v>
      </c>
      <c r="L34" s="52"/>
      <c r="M34" s="104"/>
      <c r="N34" s="104"/>
      <c r="O34" s="104"/>
      <c r="P34" s="104"/>
      <c r="Q34" s="104"/>
      <c r="R34" s="104"/>
      <c r="S34" s="104"/>
      <c r="T34" s="104"/>
      <c r="U34" s="104"/>
      <c r="V34" s="104"/>
      <c r="W34" s="104"/>
      <c r="X34" s="104"/>
      <c r="Y34" s="104"/>
      <c r="Z34" s="104"/>
      <c r="AA34" s="104"/>
    </row>
    <row r="35" spans="1:27" ht="15.6">
      <c r="A35" s="24" t="str">
        <v>Q157</v>
      </c>
      <c r="B35" s="25" t="str">
        <v>NY</v>
      </c>
      <c r="C35" s="25" t="str">
        <f>Sites[[#This Row],[SOL'#]]</f>
        <v>SOL-10404</v>
      </c>
      <c r="D35" s="20">
        <v>22952.0625</v>
      </c>
      <c r="E35" s="10">
        <v>24578.17</v>
      </c>
      <c r="F35" s="10">
        <f t="shared" si="0"/>
        <v>-1626.1074999999983</v>
      </c>
      <c r="G35" s="11">
        <f t="shared" si="1"/>
        <v>-6.6160641740210857E-2</v>
      </c>
      <c r="H35" s="12">
        <v>29961.49</v>
      </c>
      <c r="I35" s="12">
        <f t="shared" si="2"/>
        <v>-7009.4275000000016</v>
      </c>
      <c r="J35" s="13">
        <f t="shared" si="3"/>
        <v>-0.23394789444717207</v>
      </c>
      <c r="K35" s="53" t="s">
        <v>927</v>
      </c>
      <c r="L35" s="53"/>
      <c r="M35" s="104"/>
      <c r="N35" s="104"/>
      <c r="O35" s="104"/>
      <c r="P35" s="104"/>
      <c r="Q35" s="104"/>
      <c r="R35" s="104"/>
      <c r="S35" s="104"/>
      <c r="T35" s="104"/>
      <c r="U35" s="104"/>
      <c r="V35" s="104"/>
      <c r="W35" s="104"/>
      <c r="X35" s="104"/>
      <c r="Y35" s="104"/>
      <c r="Z35" s="104"/>
      <c r="AA35" s="104"/>
    </row>
    <row r="36" spans="1:27" ht="15.6">
      <c r="A36" s="26" t="str">
        <v>Q192</v>
      </c>
      <c r="B36" s="27" t="str">
        <v>NY</v>
      </c>
      <c r="C36" s="9" t="str">
        <f>Sites[[#This Row],[SOL'#]]</f>
        <v>SOL-10406</v>
      </c>
      <c r="D36" s="9">
        <v>35333.875</v>
      </c>
      <c r="E36" s="14">
        <v>38608.28</v>
      </c>
      <c r="F36" s="14">
        <f t="shared" si="0"/>
        <v>-3274.4049999999988</v>
      </c>
      <c r="G36" s="15">
        <f t="shared" si="1"/>
        <v>-8.481095246926304E-2</v>
      </c>
      <c r="H36" s="16">
        <v>43528.92</v>
      </c>
      <c r="I36" s="16">
        <f t="shared" si="2"/>
        <v>-8195.0449999999983</v>
      </c>
      <c r="J36" s="15">
        <f t="shared" si="3"/>
        <v>-0.18826667420188689</v>
      </c>
      <c r="K36" s="51" t="s">
        <v>927</v>
      </c>
      <c r="L36" s="51"/>
      <c r="M36" s="104"/>
      <c r="N36" s="104"/>
      <c r="O36" s="104"/>
      <c r="P36" s="104"/>
      <c r="Q36" s="104"/>
      <c r="R36" s="104"/>
      <c r="S36" s="104"/>
      <c r="T36" s="104"/>
      <c r="U36" s="104"/>
      <c r="V36" s="104"/>
      <c r="W36" s="104"/>
      <c r="X36" s="104"/>
      <c r="Y36" s="104"/>
      <c r="Z36" s="104"/>
      <c r="AA36" s="104"/>
    </row>
    <row r="37" spans="1:27" ht="34.5" customHeight="1">
      <c r="A37" s="24" t="str">
        <v>Q210</v>
      </c>
      <c r="B37" s="25" t="str">
        <v>NY</v>
      </c>
      <c r="C37" s="25" t="str">
        <f>Sites[[#This Row],[SOL'#]]</f>
        <v>SOL-10407</v>
      </c>
      <c r="D37" s="20">
        <v>28812.875</v>
      </c>
      <c r="E37" s="10">
        <v>29402.13</v>
      </c>
      <c r="F37" s="10">
        <f t="shared" si="0"/>
        <v>-589.25500000000102</v>
      </c>
      <c r="G37" s="11">
        <f t="shared" si="1"/>
        <v>-2.0041235107796648E-2</v>
      </c>
      <c r="H37" s="12">
        <v>36236</v>
      </c>
      <c r="I37" s="12">
        <f t="shared" si="2"/>
        <v>-7423.125</v>
      </c>
      <c r="J37" s="13">
        <f t="shared" si="3"/>
        <v>-0.20485497847444531</v>
      </c>
      <c r="K37" s="53" t="s">
        <v>930</v>
      </c>
      <c r="L37" s="53" t="s">
        <v>931</v>
      </c>
      <c r="M37" s="104"/>
      <c r="N37" s="104"/>
      <c r="O37" s="104"/>
      <c r="P37" s="104"/>
      <c r="Q37" s="104"/>
      <c r="R37" s="104"/>
      <c r="S37" s="104"/>
      <c r="T37" s="104"/>
      <c r="U37" s="104"/>
      <c r="V37" s="104"/>
      <c r="W37" s="104"/>
      <c r="X37" s="104"/>
      <c r="Y37" s="104"/>
      <c r="Z37" s="104"/>
      <c r="AA37" s="104"/>
    </row>
    <row r="38" spans="1:27" ht="15.6">
      <c r="A38" s="26" t="str">
        <v>Q229</v>
      </c>
      <c r="B38" s="27" t="str">
        <v>NY</v>
      </c>
      <c r="C38" s="9" t="str">
        <f>Sites[[#This Row],[SOL'#]]</f>
        <v>SOL-10408</v>
      </c>
      <c r="D38" s="9">
        <v>12689.875</v>
      </c>
      <c r="E38" s="14">
        <v>14323.36</v>
      </c>
      <c r="F38" s="14">
        <f t="shared" si="0"/>
        <v>-1633.4850000000006</v>
      </c>
      <c r="G38" s="15">
        <f t="shared" si="1"/>
        <v>-0.11404342277231044</v>
      </c>
      <c r="H38" s="16">
        <v>15713.58</v>
      </c>
      <c r="I38" s="16">
        <f t="shared" si="2"/>
        <v>-3023.7049999999999</v>
      </c>
      <c r="J38" s="15">
        <f t="shared" si="3"/>
        <v>-0.19242623259626387</v>
      </c>
      <c r="K38" s="51" t="s">
        <v>932</v>
      </c>
      <c r="L38" s="100" t="s">
        <v>677</v>
      </c>
      <c r="M38" s="104"/>
      <c r="N38" s="104"/>
      <c r="O38" s="104"/>
      <c r="P38" s="104"/>
      <c r="Q38" s="104"/>
      <c r="R38" s="104"/>
      <c r="S38" s="104"/>
      <c r="T38" s="104"/>
      <c r="U38" s="104"/>
      <c r="V38" s="104"/>
      <c r="W38" s="104"/>
      <c r="X38" s="104"/>
      <c r="Y38" s="104"/>
      <c r="Z38" s="104"/>
      <c r="AA38" s="104"/>
    </row>
    <row r="39" spans="1:27" ht="15.6">
      <c r="A39" s="24" t="str">
        <v>Q231</v>
      </c>
      <c r="B39" s="25" t="str">
        <v>NY</v>
      </c>
      <c r="C39" s="25" t="str">
        <f>Sites[[#This Row],[SOL'#]]</f>
        <v>SOL-10870</v>
      </c>
      <c r="D39" s="20">
        <v>46209.375</v>
      </c>
      <c r="E39" s="10">
        <v>49357.63</v>
      </c>
      <c r="F39" s="10">
        <f t="shared" si="0"/>
        <v>-3148.2549999999974</v>
      </c>
      <c r="G39" s="11">
        <f t="shared" si="1"/>
        <v>-6.3784565831057891E-2</v>
      </c>
      <c r="H39" s="12">
        <v>56670</v>
      </c>
      <c r="I39" s="12">
        <f t="shared" si="2"/>
        <v>-10460.625</v>
      </c>
      <c r="J39" s="13">
        <f t="shared" si="3"/>
        <v>-0.18458840656431974</v>
      </c>
      <c r="K39" s="53" t="s">
        <v>927</v>
      </c>
      <c r="L39" s="53"/>
      <c r="M39" s="104"/>
      <c r="N39" s="104"/>
      <c r="O39" s="104"/>
      <c r="P39" s="104"/>
      <c r="Q39" s="104"/>
      <c r="R39" s="104"/>
      <c r="S39" s="104"/>
      <c r="T39" s="104"/>
      <c r="U39" s="104"/>
      <c r="V39" s="104"/>
      <c r="W39" s="104"/>
      <c r="X39" s="104"/>
      <c r="Y39" s="104"/>
      <c r="Z39" s="104"/>
      <c r="AA39" s="104"/>
    </row>
    <row r="40" spans="1:27" ht="28.9">
      <c r="A40" s="26" t="str">
        <v>Q405</v>
      </c>
      <c r="B40" s="27" t="str">
        <v>NY</v>
      </c>
      <c r="C40" s="9" t="str">
        <f>Sites[[#This Row],[SOL'#]]</f>
        <v>SOL-10409</v>
      </c>
      <c r="D40" s="9">
        <v>50854.75</v>
      </c>
      <c r="E40" s="14">
        <v>59419.38</v>
      </c>
      <c r="F40" s="14">
        <f t="shared" si="0"/>
        <v>-8564.6299999999974</v>
      </c>
      <c r="G40" s="15">
        <f t="shared" si="1"/>
        <v>-0.14413866317689611</v>
      </c>
      <c r="H40" s="16">
        <v>64917.55</v>
      </c>
      <c r="I40" s="16">
        <f t="shared" si="2"/>
        <v>-14062.800000000003</v>
      </c>
      <c r="J40" s="15">
        <f t="shared" si="3"/>
        <v>-0.21662555040971204</v>
      </c>
      <c r="K40" s="51" t="s">
        <v>933</v>
      </c>
      <c r="L40" s="100" t="s">
        <v>934</v>
      </c>
      <c r="M40" s="104"/>
      <c r="N40" s="104"/>
      <c r="O40" s="104"/>
      <c r="P40" s="104"/>
      <c r="Q40" s="104"/>
      <c r="R40" s="104"/>
      <c r="S40" s="104"/>
      <c r="T40" s="104"/>
      <c r="U40" s="104"/>
      <c r="V40" s="104"/>
      <c r="W40" s="104"/>
      <c r="X40" s="104"/>
      <c r="Y40" s="104"/>
      <c r="Z40" s="104"/>
      <c r="AA40" s="104"/>
    </row>
    <row r="41" spans="1:27" ht="43.15">
      <c r="A41" s="24" t="str">
        <v>Q435</v>
      </c>
      <c r="B41" s="25" t="str">
        <v>NY</v>
      </c>
      <c r="C41" s="25" t="str">
        <f>Sites[[#This Row],[SOL'#]]</f>
        <v>SOL-10923</v>
      </c>
      <c r="D41" s="20">
        <v>66882.437499999796</v>
      </c>
      <c r="E41" s="10">
        <v>56241.41</v>
      </c>
      <c r="F41" s="10">
        <f t="shared" si="0"/>
        <v>10641.027499999793</v>
      </c>
      <c r="G41" s="11">
        <f t="shared" si="1"/>
        <v>0.18920271557913987</v>
      </c>
      <c r="H41" s="12">
        <v>80887</v>
      </c>
      <c r="I41" s="12">
        <f t="shared" si="2"/>
        <v>-14004.562500000204</v>
      </c>
      <c r="J41" s="13">
        <f t="shared" si="3"/>
        <v>-0.17313737065288864</v>
      </c>
      <c r="K41" s="53" t="s">
        <v>935</v>
      </c>
      <c r="L41" s="99" t="s">
        <v>936</v>
      </c>
      <c r="M41" s="103" t="s">
        <v>937</v>
      </c>
      <c r="N41" s="104"/>
      <c r="O41" s="104"/>
      <c r="P41" s="104"/>
      <c r="Q41" s="104"/>
      <c r="R41" s="104"/>
      <c r="S41" s="104"/>
      <c r="T41" s="104"/>
      <c r="U41" s="104"/>
      <c r="V41" s="104"/>
      <c r="W41" s="104"/>
      <c r="X41" s="104"/>
      <c r="Y41" s="104"/>
      <c r="Z41" s="104"/>
      <c r="AA41" s="104"/>
    </row>
    <row r="42" spans="1:27" ht="93.75" customHeight="1">
      <c r="A42" s="26" t="str">
        <v>Q485</v>
      </c>
      <c r="B42" s="27" t="str">
        <v>NY</v>
      </c>
      <c r="C42" s="9" t="str">
        <f>Sites[[#This Row],[SOL'#]]</f>
        <v>SOL-10869</v>
      </c>
      <c r="D42" s="9">
        <v>62145.125</v>
      </c>
      <c r="E42" s="14">
        <v>50337.7</v>
      </c>
      <c r="F42" s="14">
        <f t="shared" si="0"/>
        <v>11807.425000000003</v>
      </c>
      <c r="G42" s="15">
        <f t="shared" si="1"/>
        <v>0.23456425303500167</v>
      </c>
      <c r="H42" s="16">
        <v>76614.210000000006</v>
      </c>
      <c r="I42" s="16">
        <f t="shared" si="2"/>
        <v>-14469.085000000006</v>
      </c>
      <c r="J42" s="15">
        <f t="shared" si="3"/>
        <v>-0.18885641449543114</v>
      </c>
      <c r="K42" s="51" t="s">
        <v>938</v>
      </c>
      <c r="L42" s="100" t="s">
        <v>939</v>
      </c>
      <c r="M42" s="103" t="s">
        <v>940</v>
      </c>
      <c r="N42" s="104"/>
      <c r="O42" s="104"/>
      <c r="P42" s="104"/>
      <c r="Q42" s="104"/>
      <c r="R42" s="104"/>
      <c r="S42" s="104"/>
      <c r="T42" s="104"/>
      <c r="U42" s="104"/>
      <c r="V42" s="104"/>
      <c r="W42" s="104"/>
      <c r="X42" s="104"/>
      <c r="Y42" s="104"/>
      <c r="Z42" s="104"/>
      <c r="AA42" s="104"/>
    </row>
    <row r="43" spans="1:27" ht="28.9">
      <c r="A43" s="24" t="str">
        <v>Q490</v>
      </c>
      <c r="B43" s="25" t="str">
        <v>NY</v>
      </c>
      <c r="C43" s="25" t="str">
        <f>Sites[[#This Row],[SOL'#]]</f>
        <v>SOL-10411</v>
      </c>
      <c r="D43" s="20">
        <v>45396.5</v>
      </c>
      <c r="E43" s="10" t="s">
        <v>941</v>
      </c>
      <c r="F43" s="10" t="str">
        <f t="shared" si="0"/>
        <v/>
      </c>
      <c r="G43" s="11" t="str">
        <f t="shared" si="1"/>
        <v/>
      </c>
      <c r="H43" s="12">
        <v>56275.360000000001</v>
      </c>
      <c r="I43" s="12">
        <f t="shared" si="2"/>
        <v>-10878.86</v>
      </c>
      <c r="J43" s="13">
        <f t="shared" si="3"/>
        <v>-0.19331480065165288</v>
      </c>
      <c r="K43" s="53" t="s">
        <v>687</v>
      </c>
      <c r="L43" s="99" t="s">
        <v>42</v>
      </c>
      <c r="M43" s="104"/>
      <c r="N43" s="104"/>
      <c r="O43" s="104"/>
      <c r="P43" s="104"/>
      <c r="Q43" s="104"/>
      <c r="R43" s="104"/>
      <c r="S43" s="104"/>
      <c r="T43" s="104"/>
      <c r="U43" s="104"/>
      <c r="V43" s="104"/>
      <c r="W43" s="104"/>
      <c r="X43" s="104"/>
      <c r="Y43" s="104"/>
      <c r="Z43" s="104"/>
      <c r="AA43" s="104"/>
    </row>
    <row r="44" spans="1:27" ht="15.6">
      <c r="A44" s="26" t="str">
        <v>Q620</v>
      </c>
      <c r="B44" s="27" t="str">
        <v>NY</v>
      </c>
      <c r="C44" s="9" t="str">
        <f>Sites[[#This Row],[SOL'#]]</f>
        <v>SOL-10867</v>
      </c>
      <c r="D44" s="9">
        <v>68002</v>
      </c>
      <c r="E44" s="14">
        <v>69136.850000000006</v>
      </c>
      <c r="F44" s="14">
        <f t="shared" si="0"/>
        <v>-1134.8500000000058</v>
      </c>
      <c r="G44" s="15">
        <f t="shared" si="1"/>
        <v>-1.6414545933174648E-2</v>
      </c>
      <c r="H44" s="16">
        <v>80133.62</v>
      </c>
      <c r="I44" s="16">
        <f t="shared" si="2"/>
        <v>-12131.619999999995</v>
      </c>
      <c r="J44" s="15">
        <f t="shared" ref="J44:J64" si="4">IFERROR(I44/H44, "")</f>
        <v>-0.15139238686583728</v>
      </c>
      <c r="K44" s="51" t="s">
        <v>927</v>
      </c>
      <c r="L44" s="52"/>
      <c r="M44" s="104"/>
      <c r="N44" s="104"/>
      <c r="O44" s="104"/>
      <c r="P44" s="104"/>
      <c r="Q44" s="104"/>
      <c r="R44" s="104"/>
      <c r="S44" s="104"/>
      <c r="T44" s="104"/>
      <c r="U44" s="104"/>
      <c r="V44" s="104"/>
      <c r="W44" s="104"/>
      <c r="X44" s="104"/>
      <c r="Y44" s="104"/>
      <c r="Z44" s="104"/>
      <c r="AA44" s="104"/>
    </row>
    <row r="45" spans="1:27" ht="15.6">
      <c r="A45" s="24" t="str">
        <v>QMOA</v>
      </c>
      <c r="B45" s="25" t="str">
        <v>NY</v>
      </c>
      <c r="C45" s="25" t="str">
        <f>Sites[[#This Row],[SOL'#]]</f>
        <v>SOL-10415</v>
      </c>
      <c r="D45" s="20">
        <v>5822</v>
      </c>
      <c r="E45" s="10" t="s">
        <v>941</v>
      </c>
      <c r="F45" s="10" t="str">
        <f t="shared" si="0"/>
        <v/>
      </c>
      <c r="G45" s="11" t="str">
        <f t="shared" si="1"/>
        <v/>
      </c>
      <c r="H45" s="12">
        <v>6997.6819999999998</v>
      </c>
      <c r="I45" s="12">
        <f t="shared" si="2"/>
        <v>-1175.6819999999998</v>
      </c>
      <c r="J45" s="64">
        <f t="shared" si="4"/>
        <v>-0.16801020680848314</v>
      </c>
      <c r="K45" s="53" t="s">
        <v>927</v>
      </c>
      <c r="L45" s="53"/>
      <c r="M45" s="104"/>
      <c r="N45" s="104"/>
      <c r="O45" s="104"/>
      <c r="P45" s="104"/>
      <c r="Q45" s="104"/>
      <c r="R45" s="104"/>
      <c r="S45" s="104"/>
      <c r="T45" s="104"/>
      <c r="U45" s="104"/>
      <c r="V45" s="104"/>
      <c r="W45" s="104"/>
      <c r="X45" s="104"/>
      <c r="Y45" s="104"/>
      <c r="Z45" s="104"/>
      <c r="AA45" s="104"/>
    </row>
    <row r="46" spans="1:27" ht="31.5" customHeight="1">
      <c r="A46" s="26" t="str">
        <v>X024</v>
      </c>
      <c r="B46" s="27" t="str">
        <v>NY</v>
      </c>
      <c r="C46" s="9" t="str">
        <f>Sites[[#This Row],[SOL'#]]</f>
        <v>SOL-10419</v>
      </c>
      <c r="D46" s="9">
        <v>25287.875</v>
      </c>
      <c r="E46" s="14">
        <v>26148.77</v>
      </c>
      <c r="F46" s="14">
        <f t="shared" si="0"/>
        <v>-860.89500000000044</v>
      </c>
      <c r="G46" s="15">
        <f t="shared" si="1"/>
        <v>-3.2922963489296068E-2</v>
      </c>
      <c r="H46" s="16">
        <v>30453</v>
      </c>
      <c r="I46" s="16">
        <f t="shared" si="2"/>
        <v>-5165.125</v>
      </c>
      <c r="J46" s="15">
        <f t="shared" si="4"/>
        <v>-0.16960972646373099</v>
      </c>
      <c r="K46" s="51" t="s">
        <v>942</v>
      </c>
      <c r="L46" s="100" t="s">
        <v>943</v>
      </c>
      <c r="M46" s="104"/>
      <c r="N46" s="104"/>
      <c r="O46" s="104"/>
      <c r="P46" s="104"/>
      <c r="Q46" s="104"/>
      <c r="R46" s="104"/>
      <c r="S46" s="104"/>
      <c r="T46" s="104"/>
      <c r="U46" s="104"/>
      <c r="V46" s="104"/>
      <c r="W46" s="104"/>
      <c r="X46" s="104"/>
      <c r="Y46" s="104"/>
      <c r="Z46" s="104"/>
      <c r="AA46" s="104"/>
    </row>
    <row r="47" spans="1:27" ht="15.6">
      <c r="A47" s="24" t="str">
        <v>X026</v>
      </c>
      <c r="B47" s="25" t="str">
        <v>NY</v>
      </c>
      <c r="C47" s="25" t="str">
        <f>Sites[[#This Row],[SOL'#]]</f>
        <v>SOL-10420</v>
      </c>
      <c r="D47" s="20">
        <v>22873.4</v>
      </c>
      <c r="E47" s="10">
        <v>20965</v>
      </c>
      <c r="F47" s="10">
        <f t="shared" si="0"/>
        <v>1908.4000000000015</v>
      </c>
      <c r="G47" s="11">
        <f t="shared" si="1"/>
        <v>9.1027903648938771E-2</v>
      </c>
      <c r="H47" s="12">
        <v>39656.197</v>
      </c>
      <c r="I47" s="12">
        <f t="shared" si="2"/>
        <v>-16782.796999999999</v>
      </c>
      <c r="J47" s="64">
        <f t="shared" si="4"/>
        <v>-0.42320742455460364</v>
      </c>
      <c r="K47" s="53" t="s">
        <v>944</v>
      </c>
      <c r="L47" s="99" t="s">
        <v>690</v>
      </c>
      <c r="M47" s="104"/>
      <c r="N47" s="104"/>
      <c r="O47" s="104"/>
      <c r="P47" s="104"/>
      <c r="Q47" s="104"/>
      <c r="R47" s="104"/>
      <c r="S47" s="104"/>
      <c r="T47" s="104"/>
      <c r="U47" s="104"/>
      <c r="V47" s="104"/>
      <c r="W47" s="104"/>
      <c r="X47" s="104"/>
      <c r="Y47" s="104"/>
      <c r="Z47" s="104"/>
      <c r="AA47" s="104"/>
    </row>
    <row r="48" spans="1:27" ht="18.75" customHeight="1">
      <c r="A48" s="26" t="str">
        <v>X090</v>
      </c>
      <c r="B48" s="27" t="str">
        <v>NY</v>
      </c>
      <c r="C48" s="9" t="str">
        <f>Sites[[#This Row],[SOL'#]]</f>
        <v>SOL-10925</v>
      </c>
      <c r="D48" s="9">
        <v>19383.25</v>
      </c>
      <c r="E48" s="14">
        <v>17377.444</v>
      </c>
      <c r="F48" s="14">
        <f t="shared" si="0"/>
        <v>2005.8060000000005</v>
      </c>
      <c r="G48" s="15">
        <f t="shared" si="1"/>
        <v>0.11542583592845994</v>
      </c>
      <c r="H48" s="16">
        <v>23401.741999999998</v>
      </c>
      <c r="I48" s="16">
        <f t="shared" si="2"/>
        <v>-4018.4919999999984</v>
      </c>
      <c r="J48" s="15">
        <f t="shared" si="4"/>
        <v>-0.17171764392582392</v>
      </c>
      <c r="K48" s="51" t="s">
        <v>945</v>
      </c>
      <c r="L48" s="51"/>
      <c r="M48" s="104"/>
      <c r="N48" s="104"/>
      <c r="O48" s="104"/>
      <c r="P48" s="104"/>
      <c r="Q48" s="104"/>
      <c r="R48" s="104"/>
      <c r="S48" s="104"/>
      <c r="T48" s="104"/>
      <c r="U48" s="104"/>
      <c r="V48" s="104"/>
      <c r="W48" s="104"/>
      <c r="X48" s="104"/>
      <c r="Y48" s="104"/>
      <c r="Z48" s="104"/>
      <c r="AA48" s="104"/>
    </row>
    <row r="49" spans="1:27" ht="18" customHeight="1">
      <c r="A49" s="24" t="str">
        <v>X117</v>
      </c>
      <c r="B49" s="25" t="str">
        <v>NY</v>
      </c>
      <c r="C49" s="25" t="str">
        <f>Sites[[#This Row],[SOL'#]]</f>
        <v>SOL-10422</v>
      </c>
      <c r="D49" s="20">
        <v>15725.9</v>
      </c>
      <c r="E49" s="10">
        <v>18001.473000000002</v>
      </c>
      <c r="F49" s="10">
        <f t="shared" si="0"/>
        <v>-2275.5730000000021</v>
      </c>
      <c r="G49" s="11">
        <f t="shared" si="1"/>
        <v>-0.12641037763965216</v>
      </c>
      <c r="H49" s="12">
        <v>21263.503000000001</v>
      </c>
      <c r="I49" s="12">
        <f t="shared" si="2"/>
        <v>-5537.603000000001</v>
      </c>
      <c r="J49" s="64">
        <f t="shared" si="4"/>
        <v>-0.26042759746594907</v>
      </c>
      <c r="K49" s="53" t="s">
        <v>946</v>
      </c>
      <c r="L49" s="53" t="s">
        <v>947</v>
      </c>
      <c r="M49" s="104"/>
      <c r="N49" s="104"/>
      <c r="O49" s="104"/>
      <c r="P49" s="104"/>
      <c r="Q49" s="104"/>
      <c r="R49" s="104"/>
      <c r="S49" s="104"/>
      <c r="T49" s="104"/>
      <c r="U49" s="104"/>
      <c r="V49" s="104"/>
      <c r="W49" s="104"/>
      <c r="X49" s="104"/>
      <c r="Y49" s="104"/>
      <c r="Z49" s="104"/>
      <c r="AA49" s="104"/>
    </row>
    <row r="50" spans="1:27" ht="17.25" customHeight="1">
      <c r="A50" s="26" t="str">
        <v>X125</v>
      </c>
      <c r="B50" s="27" t="str">
        <v>NY</v>
      </c>
      <c r="C50" s="9" t="str">
        <f>Sites[[#This Row],[SOL'#]]</f>
        <v>SOL-10423</v>
      </c>
      <c r="D50" s="9">
        <v>30249.75</v>
      </c>
      <c r="E50" s="14">
        <v>31532.214</v>
      </c>
      <c r="F50" s="14">
        <f>IF(AND(ISNUMBER(D50),ISNUMBER(E50)), D50-E50, "")</f>
        <v>-1282.4639999999999</v>
      </c>
      <c r="G50" s="15">
        <f>IFERROR(F50/E50, "")</f>
        <v>-4.0671549419270085E-2</v>
      </c>
      <c r="H50" s="16">
        <v>36059.163999999997</v>
      </c>
      <c r="I50" s="16">
        <f>IF(AND(ISNUMBER(D50),ISNUMBER(H50)), D50-H50, "")</f>
        <v>-5809.413999999997</v>
      </c>
      <c r="J50" s="15">
        <f t="shared" si="4"/>
        <v>-0.16110783932761163</v>
      </c>
      <c r="K50" s="51" t="s">
        <v>948</v>
      </c>
      <c r="L50" s="97" t="s">
        <v>949</v>
      </c>
      <c r="M50" s="104"/>
      <c r="N50" s="104"/>
      <c r="O50" s="104"/>
      <c r="P50" s="104"/>
      <c r="Q50" s="104"/>
      <c r="R50" s="104"/>
      <c r="S50" s="104"/>
      <c r="T50" s="104"/>
      <c r="U50" s="104"/>
      <c r="V50" s="104"/>
      <c r="W50" s="104"/>
      <c r="X50" s="104"/>
      <c r="Y50" s="104"/>
      <c r="Z50" s="104"/>
      <c r="AA50" s="104"/>
    </row>
    <row r="51" spans="1:27" ht="20.25" customHeight="1">
      <c r="A51" s="24" t="str">
        <v>X134</v>
      </c>
      <c r="B51" s="25" t="str">
        <v>NY</v>
      </c>
      <c r="C51" s="25" t="str">
        <f>Sites[[#This Row],[SOL'#]]</f>
        <v>SOL-10424</v>
      </c>
      <c r="D51" s="20">
        <v>29069.219000000001</v>
      </c>
      <c r="E51" s="10">
        <v>30539.795999999998</v>
      </c>
      <c r="F51" s="10">
        <f t="shared" si="0"/>
        <v>-1470.5769999999975</v>
      </c>
      <c r="G51" s="11">
        <f t="shared" si="1"/>
        <v>-4.8152810189039823E-2</v>
      </c>
      <c r="H51" s="12">
        <v>36309.353999999999</v>
      </c>
      <c r="I51" s="12">
        <f t="shared" si="2"/>
        <v>-7240.1349999999984</v>
      </c>
      <c r="J51" s="64">
        <f t="shared" si="4"/>
        <v>-0.19940137188890769</v>
      </c>
      <c r="K51" s="53" t="s">
        <v>945</v>
      </c>
      <c r="L51" s="53"/>
      <c r="M51" s="104"/>
      <c r="N51" s="104"/>
      <c r="O51" s="104"/>
      <c r="P51" s="104"/>
      <c r="Q51" s="104"/>
      <c r="R51" s="104"/>
      <c r="S51" s="104"/>
      <c r="T51" s="104"/>
      <c r="U51" s="104"/>
      <c r="V51" s="104"/>
      <c r="W51" s="104"/>
      <c r="X51" s="104"/>
      <c r="Y51" s="104"/>
      <c r="Z51" s="104"/>
      <c r="AA51" s="104"/>
    </row>
    <row r="52" spans="1:27" ht="18" customHeight="1">
      <c r="A52" s="26" t="str">
        <v>X135</v>
      </c>
      <c r="B52" s="27" t="str">
        <v>NY</v>
      </c>
      <c r="C52" s="9" t="str">
        <f>Sites[[#This Row],[SOL'#]]</f>
        <v>SOL-10425</v>
      </c>
      <c r="D52" s="9">
        <v>23534.405999999999</v>
      </c>
      <c r="E52" s="14">
        <v>22643.745999999999</v>
      </c>
      <c r="F52" s="14">
        <f t="shared" si="0"/>
        <v>890.65999999999985</v>
      </c>
      <c r="G52" s="15">
        <f t="shared" si="1"/>
        <v>3.9333597894977264E-2</v>
      </c>
      <c r="H52" s="16">
        <v>28985.517</v>
      </c>
      <c r="I52" s="16">
        <f t="shared" si="2"/>
        <v>-5451.1110000000008</v>
      </c>
      <c r="J52" s="15">
        <f t="shared" si="4"/>
        <v>-0.18806326621671093</v>
      </c>
      <c r="K52" s="51" t="s">
        <v>945</v>
      </c>
      <c r="L52" s="52"/>
      <c r="M52" s="104"/>
      <c r="N52" s="104"/>
      <c r="O52" s="104"/>
      <c r="P52" s="104"/>
      <c r="Q52" s="104"/>
      <c r="R52" s="104"/>
      <c r="S52" s="104"/>
      <c r="T52" s="104"/>
      <c r="U52" s="104"/>
      <c r="V52" s="104"/>
      <c r="W52" s="104"/>
      <c r="X52" s="104"/>
      <c r="Y52" s="104"/>
      <c r="Z52" s="104"/>
      <c r="AA52" s="104"/>
    </row>
    <row r="53" spans="1:27" ht="18" customHeight="1">
      <c r="A53" s="24" t="str">
        <v>X139 JHS 222</v>
      </c>
      <c r="B53" s="25" t="str">
        <v>NY</v>
      </c>
      <c r="C53" s="25" t="str">
        <f>Sites[[#This Row],[SOL'#]]</f>
        <v>SOL-10426</v>
      </c>
      <c r="D53" s="20">
        <v>36602.392</v>
      </c>
      <c r="E53" s="10">
        <v>39736.466</v>
      </c>
      <c r="F53" s="10">
        <f t="shared" si="0"/>
        <v>-3134.0740000000005</v>
      </c>
      <c r="G53" s="11">
        <f t="shared" si="1"/>
        <v>-7.8871482934592133E-2</v>
      </c>
      <c r="H53" s="12">
        <v>45112.114000000001</v>
      </c>
      <c r="I53" s="12">
        <f t="shared" si="2"/>
        <v>-8509.7220000000016</v>
      </c>
      <c r="J53" s="64">
        <f t="shared" si="4"/>
        <v>-0.18863496399215521</v>
      </c>
      <c r="K53" s="53" t="s">
        <v>945</v>
      </c>
      <c r="L53" s="53"/>
      <c r="M53" s="104"/>
      <c r="N53" s="104"/>
      <c r="O53" s="104"/>
      <c r="P53" s="104"/>
      <c r="Q53" s="104"/>
      <c r="R53" s="104"/>
      <c r="S53" s="104"/>
      <c r="T53" s="104"/>
      <c r="U53" s="104"/>
      <c r="V53" s="104"/>
      <c r="W53" s="104"/>
      <c r="X53" s="104"/>
      <c r="Y53" s="104"/>
      <c r="Z53" s="104"/>
      <c r="AA53" s="104"/>
    </row>
    <row r="54" spans="1:27" ht="18.75" customHeight="1">
      <c r="A54" s="26" t="str">
        <v>X140</v>
      </c>
      <c r="B54" s="27" t="str">
        <v>NY</v>
      </c>
      <c r="C54" s="9" t="str">
        <f>Sites[[#This Row],[SOL'#]]</f>
        <v>SOL-10926</v>
      </c>
      <c r="D54" s="9">
        <v>20987.125</v>
      </c>
      <c r="E54" s="14">
        <v>17423.439999999999</v>
      </c>
      <c r="F54" s="14">
        <f t="shared" si="0"/>
        <v>3563.6850000000013</v>
      </c>
      <c r="G54" s="15">
        <f t="shared" si="1"/>
        <v>0.20453394966780392</v>
      </c>
      <c r="H54" s="16">
        <v>24233</v>
      </c>
      <c r="I54" s="16">
        <f t="shared" si="2"/>
        <v>-3245.875</v>
      </c>
      <c r="J54" s="15">
        <f t="shared" si="4"/>
        <v>-0.13394441464119175</v>
      </c>
      <c r="K54" s="51" t="s">
        <v>945</v>
      </c>
      <c r="L54" s="52"/>
      <c r="M54" s="104"/>
      <c r="N54" s="104"/>
      <c r="O54" s="104"/>
      <c r="P54" s="104"/>
      <c r="Q54" s="104"/>
      <c r="R54" s="104"/>
      <c r="S54" s="104"/>
      <c r="T54" s="104"/>
      <c r="U54" s="104"/>
      <c r="V54" s="104"/>
      <c r="W54" s="104"/>
      <c r="X54" s="104"/>
      <c r="Y54" s="104"/>
      <c r="Z54" s="104"/>
      <c r="AA54" s="104"/>
    </row>
    <row r="55" spans="1:27" ht="17.25" customHeight="1">
      <c r="A55" s="24" t="str">
        <v>X166</v>
      </c>
      <c r="B55" s="25" t="str">
        <v>NY</v>
      </c>
      <c r="C55" s="25" t="str">
        <f>Sites[[#This Row],[SOL'#]]</f>
        <v>SOL-10427</v>
      </c>
      <c r="D55" s="20">
        <v>21361</v>
      </c>
      <c r="E55" s="10">
        <v>21039.116000000002</v>
      </c>
      <c r="F55" s="10">
        <f t="shared" si="0"/>
        <v>321.8839999999982</v>
      </c>
      <c r="G55" s="11">
        <f t="shared" si="1"/>
        <v>1.5299312005314205E-2</v>
      </c>
      <c r="H55" s="12">
        <v>26944.807000000001</v>
      </c>
      <c r="I55" s="12">
        <f t="shared" si="2"/>
        <v>-5583.8070000000007</v>
      </c>
      <c r="J55" s="64">
        <f t="shared" si="4"/>
        <v>-0.20723128579098751</v>
      </c>
      <c r="K55" s="53" t="s">
        <v>950</v>
      </c>
      <c r="L55" s="53" t="s">
        <v>951</v>
      </c>
      <c r="M55" s="104"/>
      <c r="N55" s="104"/>
      <c r="O55" s="104"/>
      <c r="P55" s="104"/>
      <c r="Q55" s="104"/>
      <c r="R55" s="104"/>
      <c r="S55" s="104"/>
      <c r="T55" s="104"/>
      <c r="U55" s="104"/>
      <c r="V55" s="104"/>
      <c r="W55" s="104"/>
      <c r="X55" s="104"/>
      <c r="Y55" s="104"/>
      <c r="Z55" s="104"/>
      <c r="AA55" s="104"/>
    </row>
    <row r="56" spans="1:27" ht="107.25" customHeight="1">
      <c r="A56" s="26" t="str">
        <v>Murphy</v>
      </c>
      <c r="B56" s="27" t="str">
        <v>MN</v>
      </c>
      <c r="C56" s="9" t="str">
        <f>Sites[[#This Row],[SOL'#]]</f>
        <v>SOL-10094</v>
      </c>
      <c r="D56" s="9">
        <v>910700</v>
      </c>
      <c r="E56" s="14">
        <v>1021693</v>
      </c>
      <c r="F56" s="14">
        <f t="shared" si="0"/>
        <v>-110993</v>
      </c>
      <c r="G56" s="15">
        <f t="shared" si="1"/>
        <v>-0.10863635162421588</v>
      </c>
      <c r="H56" s="16">
        <v>942079.6</v>
      </c>
      <c r="I56" s="16">
        <f t="shared" si="2"/>
        <v>-31379.599999999977</v>
      </c>
      <c r="J56" s="15">
        <f t="shared" si="4"/>
        <v>-3.3308862648124403E-2</v>
      </c>
      <c r="K56" s="51" t="s">
        <v>952</v>
      </c>
      <c r="L56" s="100" t="s">
        <v>953</v>
      </c>
      <c r="M56" s="103" t="s">
        <v>954</v>
      </c>
      <c r="N56" s="103" t="s">
        <v>697</v>
      </c>
      <c r="O56" s="104"/>
      <c r="P56" s="104"/>
      <c r="Q56" s="104"/>
      <c r="R56" s="104"/>
      <c r="S56" s="104"/>
      <c r="T56" s="104"/>
      <c r="U56" s="104"/>
      <c r="V56" s="104"/>
      <c r="W56" s="104"/>
      <c r="X56" s="104"/>
      <c r="Y56" s="104"/>
      <c r="Z56" s="104"/>
      <c r="AA56" s="104"/>
    </row>
    <row r="57" spans="1:27" ht="15.6">
      <c r="A57" s="24" t="str">
        <v>Terning</v>
      </c>
      <c r="B57" s="25" t="str">
        <v>MN</v>
      </c>
      <c r="C57" s="25" t="str">
        <f>Sites[[#This Row],[SOL'#]]</f>
        <v>SOL-10093</v>
      </c>
      <c r="D57" s="20">
        <v>1038972</v>
      </c>
      <c r="E57" s="10">
        <v>1072323</v>
      </c>
      <c r="F57" s="10">
        <f t="shared" si="0"/>
        <v>-33351</v>
      </c>
      <c r="G57" s="11">
        <f t="shared" si="1"/>
        <v>-3.1101636353971705E-2</v>
      </c>
      <c r="H57" s="12">
        <v>943772.2</v>
      </c>
      <c r="I57" s="12">
        <f t="shared" si="2"/>
        <v>95199.800000000047</v>
      </c>
      <c r="J57" s="64">
        <f t="shared" si="4"/>
        <v>0.10087158744451262</v>
      </c>
      <c r="K57" s="53"/>
      <c r="L57" s="53"/>
      <c r="M57" s="104"/>
      <c r="N57" s="104"/>
      <c r="O57" s="104"/>
      <c r="P57" s="104"/>
      <c r="Q57" s="104"/>
      <c r="R57" s="104"/>
      <c r="S57" s="104"/>
      <c r="T57" s="104"/>
      <c r="U57" s="104"/>
      <c r="V57" s="104"/>
      <c r="W57" s="104"/>
      <c r="X57" s="104"/>
      <c r="Y57" s="104"/>
      <c r="Z57" s="104"/>
      <c r="AA57" s="104"/>
    </row>
    <row r="58" spans="1:27" ht="48.75" customHeight="1">
      <c r="A58" s="26" t="str">
        <v>Boas Road 04</v>
      </c>
      <c r="B58" s="27" t="str">
        <v>NY</v>
      </c>
      <c r="C58" s="9" t="str">
        <f>Sites[[#This Row],[SOL'#]]</f>
        <v>SOL-10908</v>
      </c>
      <c r="D58" s="9">
        <v>0</v>
      </c>
      <c r="E58" s="14">
        <v>285541.90999999997</v>
      </c>
      <c r="F58" s="14">
        <f t="shared" si="0"/>
        <v>-285541.90999999997</v>
      </c>
      <c r="G58" s="15">
        <f t="shared" si="1"/>
        <v>-1</v>
      </c>
      <c r="H58" s="16">
        <v>380347.01</v>
      </c>
      <c r="I58" s="16">
        <f t="shared" si="2"/>
        <v>-380347.01</v>
      </c>
      <c r="J58" s="15">
        <f t="shared" si="4"/>
        <v>-1</v>
      </c>
      <c r="K58" s="51" t="s">
        <v>955</v>
      </c>
      <c r="L58" s="100" t="s">
        <v>956</v>
      </c>
      <c r="M58" s="103" t="s">
        <v>427</v>
      </c>
      <c r="N58" s="104"/>
      <c r="O58" s="104"/>
      <c r="P58" s="104"/>
      <c r="Q58" s="104"/>
      <c r="R58" s="104"/>
      <c r="S58" s="104"/>
      <c r="T58" s="104"/>
      <c r="U58" s="104"/>
      <c r="V58" s="104"/>
      <c r="W58" s="104"/>
      <c r="X58" s="104"/>
      <c r="Y58" s="104"/>
      <c r="Z58" s="104"/>
      <c r="AA58" s="104"/>
    </row>
    <row r="59" spans="1:27" ht="61.5" customHeight="1">
      <c r="A59" s="24" t="str">
        <v>Kelly Bridge Farm</v>
      </c>
      <c r="B59" s="25" t="str">
        <v>NY</v>
      </c>
      <c r="C59" s="25" t="str">
        <f>Sites[[#This Row],[SOL'#]]</f>
        <v>SOL-10911</v>
      </c>
      <c r="D59" s="20">
        <v>0</v>
      </c>
      <c r="E59" s="10">
        <v>312509.3</v>
      </c>
      <c r="F59" s="10">
        <f t="shared" si="0"/>
        <v>-312509.3</v>
      </c>
      <c r="G59" s="11">
        <f t="shared" si="1"/>
        <v>-1</v>
      </c>
      <c r="H59" s="12">
        <v>378396.52</v>
      </c>
      <c r="I59" s="12">
        <f t="shared" si="2"/>
        <v>-378396.52</v>
      </c>
      <c r="J59" s="64">
        <f t="shared" si="4"/>
        <v>-1</v>
      </c>
      <c r="K59" s="53" t="s">
        <v>957</v>
      </c>
      <c r="L59" s="99" t="s">
        <v>958</v>
      </c>
      <c r="M59" s="103" t="s">
        <v>705</v>
      </c>
      <c r="N59" s="103" t="s">
        <v>959</v>
      </c>
      <c r="O59" s="104"/>
      <c r="P59" s="104"/>
      <c r="Q59" s="104"/>
      <c r="R59" s="104"/>
      <c r="S59" s="104"/>
      <c r="T59" s="104"/>
      <c r="U59" s="104"/>
      <c r="V59" s="104"/>
      <c r="W59" s="104"/>
      <c r="X59" s="104"/>
      <c r="Y59" s="104"/>
      <c r="Z59" s="104"/>
      <c r="AA59" s="104"/>
    </row>
    <row r="60" spans="1:27" ht="15.6">
      <c r="A60" s="26" t="str">
        <v>Pool Brook Road</v>
      </c>
      <c r="B60" s="27" t="str">
        <v>NY</v>
      </c>
      <c r="C60" s="9" t="str">
        <f>Sites[[#This Row],[SOL'#]]</f>
        <v>SOL-10909</v>
      </c>
      <c r="D60" s="9">
        <v>265159</v>
      </c>
      <c r="E60" s="14">
        <v>270156.58</v>
      </c>
      <c r="F60" s="14">
        <f t="shared" si="0"/>
        <v>-4997.5800000000163</v>
      </c>
      <c r="G60" s="15">
        <f t="shared" si="1"/>
        <v>-1.8498827605827762E-2</v>
      </c>
      <c r="H60" s="16">
        <v>374337.91</v>
      </c>
      <c r="I60" s="16">
        <f t="shared" si="2"/>
        <v>-109178.90999999997</v>
      </c>
      <c r="J60" s="15">
        <f t="shared" si="4"/>
        <v>-0.29165870483168532</v>
      </c>
      <c r="K60" s="51" t="s">
        <v>960</v>
      </c>
      <c r="L60" s="51"/>
      <c r="M60" s="104"/>
      <c r="N60" s="104"/>
      <c r="O60" s="104"/>
      <c r="P60" s="104"/>
      <c r="Q60" s="104"/>
      <c r="R60" s="104"/>
      <c r="S60" s="104"/>
      <c r="T60" s="104"/>
      <c r="U60" s="104"/>
      <c r="V60" s="104"/>
      <c r="W60" s="104"/>
      <c r="X60" s="104"/>
      <c r="Y60" s="104"/>
      <c r="Z60" s="104"/>
      <c r="AA60" s="104"/>
    </row>
    <row r="61" spans="1:27" ht="26.25" customHeight="1">
      <c r="A61" s="24" t="str">
        <v>Sackett Lake</v>
      </c>
      <c r="B61" s="25" t="str">
        <v>NY</v>
      </c>
      <c r="C61" s="25" t="str">
        <f>Sites[[#This Row],[SOL'#]]</f>
        <v>SOL-10910</v>
      </c>
      <c r="D61" s="20">
        <v>142347</v>
      </c>
      <c r="E61" s="10">
        <v>302419.78000000003</v>
      </c>
      <c r="F61" s="10">
        <f t="shared" si="0"/>
        <v>-160072.78000000003</v>
      </c>
      <c r="G61" s="11">
        <f t="shared" si="1"/>
        <v>-0.52930658173218703</v>
      </c>
      <c r="H61" s="12">
        <v>375323.01</v>
      </c>
      <c r="I61" s="12">
        <f t="shared" si="2"/>
        <v>-232976.01</v>
      </c>
      <c r="J61" s="64">
        <f t="shared" si="4"/>
        <v>-0.62073468397261333</v>
      </c>
      <c r="K61" s="53" t="s">
        <v>961</v>
      </c>
      <c r="L61" s="99" t="s">
        <v>962</v>
      </c>
      <c r="M61" s="103" t="s">
        <v>963</v>
      </c>
      <c r="N61" s="103" t="s">
        <v>964</v>
      </c>
      <c r="O61" s="104"/>
      <c r="P61" s="104"/>
      <c r="Q61" s="104"/>
      <c r="R61" s="104"/>
      <c r="S61" s="104"/>
      <c r="T61" s="104"/>
      <c r="U61" s="104"/>
      <c r="V61" s="104"/>
      <c r="W61" s="104"/>
      <c r="X61" s="104"/>
      <c r="Y61" s="104"/>
      <c r="Z61" s="104"/>
      <c r="AA61" s="104"/>
    </row>
    <row r="62" spans="1:27" ht="19.5" customHeight="1">
      <c r="A62" s="26" t="str">
        <v>Burritt Road</v>
      </c>
      <c r="B62" s="27" t="str">
        <v>NY</v>
      </c>
      <c r="C62" s="9" t="str">
        <f>Sites[[#This Row],[SOL'#]]</f>
        <v>SOL-10913</v>
      </c>
      <c r="D62" s="9">
        <v>329840</v>
      </c>
      <c r="E62" s="14">
        <v>351436.43</v>
      </c>
      <c r="F62" s="14">
        <f t="shared" si="0"/>
        <v>-21596.429999999993</v>
      </c>
      <c r="G62" s="15">
        <f t="shared" si="1"/>
        <v>-6.1451881923567209E-2</v>
      </c>
      <c r="H62" s="16">
        <v>387566.99</v>
      </c>
      <c r="I62" s="16">
        <f t="shared" si="2"/>
        <v>-57726.989999999991</v>
      </c>
      <c r="J62" s="15">
        <f t="shared" si="4"/>
        <v>-0.14894712782427624</v>
      </c>
      <c r="K62" s="51" t="s">
        <v>965</v>
      </c>
      <c r="L62" s="51" t="s">
        <v>966</v>
      </c>
      <c r="M62" s="104"/>
      <c r="N62" s="104"/>
      <c r="O62" s="104"/>
      <c r="P62" s="104"/>
      <c r="Q62" s="104"/>
      <c r="R62" s="104"/>
      <c r="S62" s="104"/>
      <c r="T62" s="104"/>
      <c r="U62" s="104"/>
      <c r="V62" s="104"/>
      <c r="W62" s="104"/>
      <c r="X62" s="104"/>
      <c r="Y62" s="104"/>
      <c r="Z62" s="104"/>
      <c r="AA62" s="104"/>
    </row>
    <row r="63" spans="1:27" ht="20.25" customHeight="1">
      <c r="A63" s="24" t="str">
        <v>Villa Roma 1</v>
      </c>
      <c r="B63" s="25" t="str">
        <v>NY</v>
      </c>
      <c r="C63" s="25" t="str">
        <f>Sites[[#This Row],[SOL'#]]</f>
        <v>SOL-10914</v>
      </c>
      <c r="D63" s="20">
        <v>274928</v>
      </c>
      <c r="E63" s="10">
        <v>146.62</v>
      </c>
      <c r="F63" s="10">
        <f t="shared" si="0"/>
        <v>274781.38</v>
      </c>
      <c r="G63" s="11">
        <f t="shared" si="1"/>
        <v>1874.1057154549173</v>
      </c>
      <c r="H63" s="12">
        <v>361531.61</v>
      </c>
      <c r="I63" s="12">
        <f t="shared" si="2"/>
        <v>-86603.609999999986</v>
      </c>
      <c r="J63" s="64">
        <f t="shared" si="4"/>
        <v>-0.23954643965986816</v>
      </c>
      <c r="K63" s="53" t="s">
        <v>967</v>
      </c>
      <c r="L63" s="99" t="s">
        <v>968</v>
      </c>
      <c r="M63" s="104"/>
      <c r="N63" s="104"/>
      <c r="O63" s="104"/>
      <c r="P63" s="104"/>
      <c r="Q63" s="104"/>
      <c r="R63" s="104"/>
      <c r="S63" s="104"/>
      <c r="T63" s="104"/>
      <c r="U63" s="104"/>
      <c r="V63" s="104"/>
      <c r="W63" s="104"/>
      <c r="X63" s="104"/>
      <c r="Y63" s="104"/>
      <c r="Z63" s="104"/>
      <c r="AA63" s="104"/>
    </row>
    <row r="64" spans="1:27" ht="20.25" customHeight="1">
      <c r="A64" s="26" t="str">
        <v>Villa Roma 2</v>
      </c>
      <c r="B64" s="27" t="str">
        <v>NY</v>
      </c>
      <c r="C64" s="9" t="str">
        <f>Sites[[#This Row],[SOL'#]]</f>
        <v>SOL-10915</v>
      </c>
      <c r="D64" s="9">
        <v>272744</v>
      </c>
      <c r="E64" s="14">
        <v>276952.67</v>
      </c>
      <c r="F64" s="14">
        <f t="shared" si="0"/>
        <v>-4208.6699999999837</v>
      </c>
      <c r="G64" s="15">
        <f t="shared" si="1"/>
        <v>-1.5196351058828874E-2</v>
      </c>
      <c r="H64" s="16">
        <v>350695.51</v>
      </c>
      <c r="I64" s="16">
        <f t="shared" si="2"/>
        <v>-77951.510000000009</v>
      </c>
      <c r="J64" s="15">
        <f t="shared" si="4"/>
        <v>-0.22227689769965978</v>
      </c>
      <c r="K64" s="51" t="s">
        <v>969</v>
      </c>
      <c r="L64" s="52"/>
      <c r="M64" s="104"/>
      <c r="N64" s="104"/>
      <c r="O64" s="104"/>
      <c r="P64" s="104"/>
      <c r="Q64" s="104"/>
      <c r="R64" s="104"/>
      <c r="S64" s="104"/>
      <c r="T64" s="104"/>
      <c r="U64" s="104"/>
      <c r="V64" s="104"/>
      <c r="W64" s="104"/>
      <c r="X64" s="104"/>
      <c r="Y64" s="104"/>
      <c r="Z64" s="104"/>
      <c r="AA64" s="104"/>
    </row>
    <row r="65" spans="1:27" ht="15.6">
      <c r="A65" s="24" t="str">
        <v>Washington 1</v>
      </c>
      <c r="B65" s="25" t="str">
        <v>NY</v>
      </c>
      <c r="C65" s="25" t="str">
        <f>Sites[[#This Row],[SOL'#]]</f>
        <v>SOL-10912</v>
      </c>
      <c r="D65" s="20">
        <v>343030</v>
      </c>
      <c r="E65" s="10">
        <v>352474.11</v>
      </c>
      <c r="F65" s="10">
        <f t="shared" ref="F65:F110" si="5">IF(AND(ISNUMBER(D65),ISNUMBER(E65)), D65-E65, "")</f>
        <v>-9444.109999999986</v>
      </c>
      <c r="G65" s="11">
        <f t="shared" ref="G65:G128" si="6">IFERROR(F65/E65, "")</f>
        <v>-2.6793769335285326E-2</v>
      </c>
      <c r="H65" s="12">
        <v>383203.8</v>
      </c>
      <c r="I65" s="12">
        <f t="shared" ref="I65:I128" si="7">IF(AND(ISNUMBER(D65),ISNUMBER(H65)), D65-H65, "")</f>
        <v>-40173.799999999988</v>
      </c>
      <c r="J65" s="64">
        <f t="shared" ref="J65:J128" si="8">IFERROR(I65/H65, "")</f>
        <v>-0.10483664306042892</v>
      </c>
      <c r="K65" s="53" t="s">
        <v>970</v>
      </c>
      <c r="L65" s="53"/>
      <c r="M65" s="104"/>
      <c r="N65" s="104"/>
      <c r="O65" s="104"/>
      <c r="P65" s="104"/>
      <c r="Q65" s="104"/>
      <c r="R65" s="104"/>
      <c r="S65" s="104"/>
      <c r="T65" s="104"/>
      <c r="U65" s="104"/>
      <c r="V65" s="104"/>
      <c r="W65" s="104"/>
      <c r="X65" s="104"/>
      <c r="Y65" s="104"/>
      <c r="Z65" s="104"/>
      <c r="AA65" s="104"/>
    </row>
    <row r="66" spans="1:27" ht="63" customHeight="1">
      <c r="A66" s="26" t="str">
        <v>Washington 3</v>
      </c>
      <c r="B66" s="27" t="str">
        <v>NY</v>
      </c>
      <c r="C66" s="9" t="str">
        <f>Sites[[#This Row],[SOL'#]]</f>
        <v>SOL-10828</v>
      </c>
      <c r="D66" s="9">
        <v>385488</v>
      </c>
      <c r="E66" s="14">
        <v>0</v>
      </c>
      <c r="F66" s="14">
        <f t="shared" si="5"/>
        <v>385488</v>
      </c>
      <c r="G66" s="15" t="str">
        <f t="shared" si="6"/>
        <v/>
      </c>
      <c r="H66" s="16">
        <v>469462.09</v>
      </c>
      <c r="I66" s="16">
        <f t="shared" si="7"/>
        <v>-83974.090000000026</v>
      </c>
      <c r="J66" s="15">
        <f t="shared" si="8"/>
        <v>-0.17887299483542968</v>
      </c>
      <c r="K66" s="51" t="s">
        <v>971</v>
      </c>
      <c r="L66" s="100" t="s">
        <v>972</v>
      </c>
      <c r="M66" s="103" t="s">
        <v>973</v>
      </c>
      <c r="N66" s="103" t="s">
        <v>719</v>
      </c>
      <c r="O66" s="104"/>
      <c r="P66" s="104"/>
      <c r="Q66" s="104"/>
      <c r="R66" s="104"/>
      <c r="S66" s="104"/>
      <c r="T66" s="104"/>
      <c r="U66" s="104"/>
      <c r="V66" s="104"/>
      <c r="W66" s="104"/>
      <c r="X66" s="104"/>
      <c r="Y66" s="104"/>
      <c r="Z66" s="104"/>
      <c r="AA66" s="104"/>
    </row>
    <row r="67" spans="1:27" ht="48.75" customHeight="1">
      <c r="A67" s="24" t="str">
        <v>Washington 4</v>
      </c>
      <c r="B67" s="25" t="str">
        <v>NY</v>
      </c>
      <c r="C67" s="25" t="str">
        <f>Sites[[#This Row],[SOL'#]]</f>
        <v>SOL-10829</v>
      </c>
      <c r="D67" s="20">
        <v>328690.8</v>
      </c>
      <c r="E67" s="10">
        <v>422376.6</v>
      </c>
      <c r="F67" s="10">
        <f t="shared" si="5"/>
        <v>-93685.799999999988</v>
      </c>
      <c r="G67" s="10">
        <f t="shared" si="6"/>
        <v>-0.2218063216570236</v>
      </c>
      <c r="H67" s="12">
        <v>470453.1</v>
      </c>
      <c r="I67" s="12">
        <f t="shared" si="7"/>
        <v>-141762.29999999999</v>
      </c>
      <c r="J67" s="64">
        <f t="shared" si="8"/>
        <v>-0.301331418583489</v>
      </c>
      <c r="K67" s="53" t="s">
        <v>974</v>
      </c>
      <c r="L67" s="99" t="s">
        <v>975</v>
      </c>
      <c r="M67" s="103" t="s">
        <v>976</v>
      </c>
      <c r="N67" s="104"/>
      <c r="O67" s="104"/>
      <c r="P67" s="104"/>
      <c r="Q67" s="104"/>
      <c r="R67" s="104"/>
      <c r="S67" s="104"/>
      <c r="T67" s="104"/>
      <c r="U67" s="104"/>
      <c r="V67" s="104"/>
      <c r="W67" s="104"/>
      <c r="X67" s="104"/>
      <c r="Y67" s="104"/>
      <c r="Z67" s="104"/>
      <c r="AA67" s="104"/>
    </row>
    <row r="68" spans="1:27" ht="15.6">
      <c r="A68" s="26" t="str">
        <v>Big Tree</v>
      </c>
      <c r="B68" s="27" t="str">
        <v>NY</v>
      </c>
      <c r="C68" s="9" t="str">
        <f>Sites[[#This Row],[SOL'#]]</f>
        <v>SOL-10966</v>
      </c>
      <c r="D68" s="9">
        <v>334799</v>
      </c>
      <c r="E68" s="14" t="s">
        <v>941</v>
      </c>
      <c r="F68" s="14" t="str">
        <f t="shared" si="5"/>
        <v/>
      </c>
      <c r="G68" s="43" t="str">
        <f t="shared" si="6"/>
        <v/>
      </c>
      <c r="H68" s="43">
        <v>396020</v>
      </c>
      <c r="I68" s="43">
        <f t="shared" si="7"/>
        <v>-61221</v>
      </c>
      <c r="J68" s="15">
        <f t="shared" si="8"/>
        <v>-0.15459067723852329</v>
      </c>
      <c r="K68" s="51" t="s">
        <v>977</v>
      </c>
      <c r="L68" s="100" t="s">
        <v>721</v>
      </c>
      <c r="M68" s="104"/>
      <c r="N68" s="104"/>
      <c r="O68" s="104"/>
      <c r="P68" s="104"/>
      <c r="Q68" s="104"/>
      <c r="R68" s="104"/>
      <c r="S68" s="104"/>
      <c r="T68" s="104"/>
      <c r="U68" s="104"/>
      <c r="V68" s="104"/>
      <c r="W68" s="104"/>
      <c r="X68" s="104"/>
      <c r="Y68" s="104"/>
      <c r="Z68" s="104"/>
      <c r="AA68" s="104"/>
    </row>
    <row r="69" spans="1:27" ht="36" customHeight="1">
      <c r="A69" s="24" t="str">
        <v>Canoga</v>
      </c>
      <c r="B69" s="25" t="str">
        <v>NY</v>
      </c>
      <c r="C69" s="25" t="str">
        <f>Sites[[#This Row],[SOL'#]]</f>
        <v>SOL-10965</v>
      </c>
      <c r="D69" s="20">
        <v>0</v>
      </c>
      <c r="E69" s="10" t="s">
        <v>941</v>
      </c>
      <c r="F69" s="10" t="str">
        <f t="shared" si="5"/>
        <v/>
      </c>
      <c r="G69" s="10" t="str">
        <f t="shared" si="6"/>
        <v/>
      </c>
      <c r="H69" s="12">
        <v>0</v>
      </c>
      <c r="I69" s="12">
        <f t="shared" si="7"/>
        <v>0</v>
      </c>
      <c r="J69" s="64" t="str">
        <f t="shared" si="8"/>
        <v/>
      </c>
      <c r="K69" s="53" t="s">
        <v>978</v>
      </c>
      <c r="L69" s="99" t="s">
        <v>723</v>
      </c>
      <c r="M69" s="104"/>
      <c r="N69" s="104"/>
      <c r="O69" s="104"/>
      <c r="P69" s="104"/>
      <c r="Q69" s="104"/>
      <c r="R69" s="104"/>
      <c r="S69" s="104"/>
      <c r="T69" s="104"/>
      <c r="U69" s="104"/>
      <c r="V69" s="104"/>
      <c r="W69" s="104"/>
      <c r="X69" s="104"/>
      <c r="Y69" s="104"/>
      <c r="Z69" s="104"/>
      <c r="AA69" s="104"/>
    </row>
    <row r="70" spans="1:27" ht="18" customHeight="1">
      <c r="A70" s="26" t="str">
        <v>County Route 84</v>
      </c>
      <c r="B70" s="27" t="str">
        <v>NY</v>
      </c>
      <c r="C70" s="9" t="str">
        <f>Sites[[#This Row],[SOL'#]]</f>
        <v>SOL-10967</v>
      </c>
      <c r="D70" s="9">
        <v>766800</v>
      </c>
      <c r="E70" s="14" t="s">
        <v>941</v>
      </c>
      <c r="F70" s="43" t="str">
        <f t="shared" si="5"/>
        <v/>
      </c>
      <c r="G70" s="43" t="str">
        <f t="shared" si="6"/>
        <v/>
      </c>
      <c r="H70" s="16">
        <v>954472.22</v>
      </c>
      <c r="I70" s="16">
        <f t="shared" si="7"/>
        <v>-187672.21999999997</v>
      </c>
      <c r="J70" s="15">
        <f t="shared" si="8"/>
        <v>-0.19662407775471974</v>
      </c>
      <c r="K70" s="51" t="s">
        <v>979</v>
      </c>
      <c r="L70" s="100" t="s">
        <v>980</v>
      </c>
      <c r="M70" s="104"/>
      <c r="N70" s="104"/>
      <c r="O70" s="104"/>
      <c r="P70" s="104"/>
      <c r="Q70" s="104"/>
      <c r="R70" s="104"/>
      <c r="S70" s="104"/>
      <c r="T70" s="104"/>
      <c r="U70" s="104"/>
      <c r="V70" s="104"/>
      <c r="W70" s="104"/>
      <c r="X70" s="104"/>
      <c r="Y70" s="104"/>
      <c r="Z70" s="104"/>
      <c r="AA70" s="104"/>
    </row>
    <row r="71" spans="1:27" ht="30.75" customHeight="1">
      <c r="A71" s="24" t="str">
        <v>Donati</v>
      </c>
      <c r="B71" s="25" t="str">
        <v>NY</v>
      </c>
      <c r="C71" s="25" t="str">
        <f>Sites[[#This Row],[SOL'#]]</f>
        <v>SOL-10968</v>
      </c>
      <c r="D71" s="20">
        <v>355625</v>
      </c>
      <c r="E71" s="10" t="s">
        <v>941</v>
      </c>
      <c r="F71" s="10" t="str">
        <f t="shared" si="5"/>
        <v/>
      </c>
      <c r="G71" s="10" t="str">
        <f t="shared" si="6"/>
        <v/>
      </c>
      <c r="H71" s="12">
        <v>496637.33</v>
      </c>
      <c r="I71" s="12">
        <f t="shared" si="7"/>
        <v>-141012.33000000002</v>
      </c>
      <c r="J71" s="64">
        <f t="shared" si="8"/>
        <v>-0.28393421412764119</v>
      </c>
      <c r="K71" s="53" t="s">
        <v>981</v>
      </c>
      <c r="L71" s="99" t="s">
        <v>982</v>
      </c>
      <c r="M71" s="103" t="s">
        <v>728</v>
      </c>
      <c r="N71" s="103" t="s">
        <v>83</v>
      </c>
      <c r="O71" s="104"/>
      <c r="P71" s="104"/>
      <c r="Q71" s="104"/>
      <c r="R71" s="104"/>
      <c r="S71" s="104"/>
      <c r="T71" s="104"/>
      <c r="U71" s="104"/>
      <c r="V71" s="104"/>
      <c r="W71" s="104"/>
      <c r="X71" s="104"/>
      <c r="Y71" s="104"/>
      <c r="Z71" s="104"/>
      <c r="AA71" s="104"/>
    </row>
    <row r="72" spans="1:27" ht="108.75" customHeight="1">
      <c r="A72" s="26" t="str">
        <v>Henrietta</v>
      </c>
      <c r="B72" s="27" t="str">
        <v>NY</v>
      </c>
      <c r="C72" s="9" t="str">
        <f>Sites[[#This Row],[SOL'#]]</f>
        <v>SOL-10972</v>
      </c>
      <c r="D72" s="9">
        <v>649490</v>
      </c>
      <c r="E72" s="14" t="s">
        <v>941</v>
      </c>
      <c r="F72" s="14" t="str">
        <f t="shared" si="5"/>
        <v/>
      </c>
      <c r="G72" s="14" t="str">
        <f t="shared" si="6"/>
        <v/>
      </c>
      <c r="H72" s="14">
        <v>1054030.1200000001</v>
      </c>
      <c r="I72" s="14">
        <f t="shared" si="7"/>
        <v>-404540.12000000011</v>
      </c>
      <c r="J72" s="15">
        <f t="shared" si="8"/>
        <v>-0.38380318771156186</v>
      </c>
      <c r="K72" s="51" t="s">
        <v>983</v>
      </c>
      <c r="L72" s="100" t="s">
        <v>984</v>
      </c>
      <c r="M72" s="103" t="s">
        <v>985</v>
      </c>
      <c r="N72" s="104"/>
      <c r="O72" s="104"/>
      <c r="P72" s="104"/>
      <c r="Q72" s="104"/>
      <c r="R72" s="104"/>
      <c r="S72" s="104"/>
      <c r="T72" s="104"/>
      <c r="U72" s="104"/>
      <c r="V72" s="104"/>
      <c r="W72" s="104"/>
      <c r="X72" s="104"/>
      <c r="Y72" s="104"/>
      <c r="Z72" s="104"/>
      <c r="AA72" s="104"/>
    </row>
    <row r="73" spans="1:27" ht="66" customHeight="1">
      <c r="A73" s="24" t="str">
        <v>NY 70</v>
      </c>
      <c r="B73" s="25" t="str">
        <v>NY</v>
      </c>
      <c r="C73" s="25" t="str">
        <f>Sites[[#This Row],[SOL'#]]</f>
        <v>SOL-10970</v>
      </c>
      <c r="D73" s="20">
        <v>886000</v>
      </c>
      <c r="E73" s="10" t="s">
        <v>941</v>
      </c>
      <c r="F73" s="10" t="str">
        <f t="shared" si="5"/>
        <v/>
      </c>
      <c r="G73" s="11" t="str">
        <f t="shared" si="6"/>
        <v/>
      </c>
      <c r="H73" s="12">
        <v>1183305.28</v>
      </c>
      <c r="I73" s="12">
        <f t="shared" si="7"/>
        <v>-297305.28000000003</v>
      </c>
      <c r="J73" s="64">
        <f t="shared" si="8"/>
        <v>-0.25124985498247759</v>
      </c>
      <c r="K73" s="53" t="s">
        <v>986</v>
      </c>
      <c r="L73" s="99" t="s">
        <v>987</v>
      </c>
      <c r="M73" s="103" t="s">
        <v>738</v>
      </c>
      <c r="N73" s="103" t="s">
        <v>988</v>
      </c>
      <c r="O73" s="104"/>
      <c r="P73" s="104"/>
      <c r="Q73" s="104"/>
      <c r="R73" s="104"/>
      <c r="S73" s="104"/>
      <c r="T73" s="104"/>
      <c r="U73" s="104"/>
      <c r="V73" s="104"/>
      <c r="W73" s="104"/>
      <c r="X73" s="104"/>
      <c r="Y73" s="104"/>
      <c r="Z73" s="104"/>
      <c r="AA73" s="104"/>
    </row>
    <row r="74" spans="1:27" ht="345.6">
      <c r="A74" s="26" t="str">
        <v>Reid</v>
      </c>
      <c r="B74" s="27" t="str">
        <v>NY</v>
      </c>
      <c r="C74" s="9" t="str">
        <f>Sites[[#This Row],[SOL'#]]</f>
        <v>SOL-10991</v>
      </c>
      <c r="D74" s="9">
        <v>616581.13167259796</v>
      </c>
      <c r="E74" s="14">
        <v>583641.80000000005</v>
      </c>
      <c r="F74" s="14">
        <f t="shared" si="5"/>
        <v>32939.331672597909</v>
      </c>
      <c r="G74" s="15">
        <f t="shared" si="6"/>
        <v>5.6437581531339785E-2</v>
      </c>
      <c r="H74" s="16">
        <v>970735</v>
      </c>
      <c r="I74" s="16">
        <f t="shared" si="7"/>
        <v>-354153.86832740204</v>
      </c>
      <c r="J74" s="15">
        <f t="shared" si="8"/>
        <v>-0.36483063691677137</v>
      </c>
      <c r="K74" s="50" t="s">
        <v>989</v>
      </c>
      <c r="L74" s="100" t="s">
        <v>990</v>
      </c>
      <c r="M74" s="103" t="s">
        <v>991</v>
      </c>
      <c r="N74" s="103" t="s">
        <v>992</v>
      </c>
      <c r="O74" s="103" t="s">
        <v>993</v>
      </c>
      <c r="P74" s="103" t="s">
        <v>994</v>
      </c>
      <c r="Q74" s="103" t="s">
        <v>992</v>
      </c>
      <c r="R74" s="103" t="s">
        <v>993</v>
      </c>
      <c r="S74" s="103" t="s">
        <v>994</v>
      </c>
      <c r="T74" s="103" t="s">
        <v>992</v>
      </c>
      <c r="U74" s="103" t="s">
        <v>993</v>
      </c>
      <c r="V74" s="103" t="s">
        <v>992</v>
      </c>
      <c r="W74" s="103" t="s">
        <v>995</v>
      </c>
      <c r="X74" s="103" t="s">
        <v>992</v>
      </c>
      <c r="Y74" s="104"/>
      <c r="Z74" s="104"/>
      <c r="AA74" s="104"/>
    </row>
    <row r="75" spans="1:27" ht="15.6">
      <c r="A75" s="24" t="str">
        <v>Sangolqui</v>
      </c>
      <c r="B75" s="25" t="str">
        <v>NY</v>
      </c>
      <c r="C75" s="25" t="str">
        <f>Sites[[#This Row],[SOL'#]]</f>
        <v>SOL-10975</v>
      </c>
      <c r="D75" s="20">
        <v>354940</v>
      </c>
      <c r="E75" s="10" t="s">
        <v>941</v>
      </c>
      <c r="F75" s="10" t="str">
        <f t="shared" si="5"/>
        <v/>
      </c>
      <c r="G75" s="11" t="str">
        <f t="shared" si="6"/>
        <v/>
      </c>
      <c r="H75" s="12">
        <v>486092.87</v>
      </c>
      <c r="I75" s="12">
        <f t="shared" si="7"/>
        <v>-131152.87</v>
      </c>
      <c r="J75" s="64">
        <f t="shared" si="8"/>
        <v>-0.26981031423069424</v>
      </c>
      <c r="K75" s="53" t="s">
        <v>996</v>
      </c>
      <c r="L75" s="53"/>
      <c r="M75" s="104"/>
      <c r="N75" s="104"/>
      <c r="O75" s="104"/>
      <c r="P75" s="104"/>
      <c r="Q75" s="104"/>
      <c r="R75" s="104"/>
      <c r="S75" s="104"/>
      <c r="T75" s="104"/>
      <c r="U75" s="104"/>
      <c r="V75" s="104"/>
      <c r="W75" s="104"/>
      <c r="X75" s="104"/>
      <c r="Y75" s="104"/>
      <c r="Z75" s="104"/>
      <c r="AA75" s="104"/>
    </row>
    <row r="76" spans="1:27" ht="15.6">
      <c r="A76" s="26" t="str">
        <v>State Highway 17B</v>
      </c>
      <c r="B76" s="27" t="str">
        <v>NY</v>
      </c>
      <c r="C76" s="9" t="str">
        <f>Sites[[#This Row],[SOL'#]]</f>
        <v>SOL-10988</v>
      </c>
      <c r="D76" s="9">
        <v>683720</v>
      </c>
      <c r="E76" s="14" t="s">
        <v>941</v>
      </c>
      <c r="F76" s="14" t="str">
        <f t="shared" si="5"/>
        <v/>
      </c>
      <c r="G76" s="15" t="str">
        <f t="shared" si="6"/>
        <v/>
      </c>
      <c r="H76" s="16">
        <v>753209.85</v>
      </c>
      <c r="I76" s="16">
        <f t="shared" si="7"/>
        <v>-69489.849999999977</v>
      </c>
      <c r="J76" s="15">
        <f t="shared" si="8"/>
        <v>-9.2258286319542929E-2</v>
      </c>
      <c r="K76" s="51"/>
      <c r="L76" s="52"/>
      <c r="M76" s="104"/>
      <c r="N76" s="104"/>
      <c r="O76" s="104"/>
      <c r="P76" s="104"/>
      <c r="Q76" s="104"/>
      <c r="R76" s="104"/>
      <c r="S76" s="104"/>
      <c r="T76" s="104"/>
      <c r="U76" s="104"/>
      <c r="V76" s="104"/>
      <c r="W76" s="104"/>
      <c r="X76" s="104"/>
      <c r="Y76" s="104"/>
      <c r="Z76" s="104"/>
      <c r="AA76" s="104"/>
    </row>
    <row r="77" spans="1:27" ht="47.25" customHeight="1">
      <c r="A77" s="24" t="str">
        <v>State Route 14A</v>
      </c>
      <c r="B77" s="25" t="str">
        <v>NY</v>
      </c>
      <c r="C77" s="25" t="str">
        <f>Sites[[#This Row],[SOL'#]]</f>
        <v>SOL-10997</v>
      </c>
      <c r="D77" s="20">
        <v>190293</v>
      </c>
      <c r="E77" s="10" t="s">
        <v>941</v>
      </c>
      <c r="F77" s="10" t="str">
        <f t="shared" si="5"/>
        <v/>
      </c>
      <c r="G77" s="11" t="str">
        <f t="shared" si="6"/>
        <v/>
      </c>
      <c r="H77" s="12">
        <v>966912.78</v>
      </c>
      <c r="I77" s="12">
        <f t="shared" si="7"/>
        <v>-776619.78</v>
      </c>
      <c r="J77" s="64">
        <f t="shared" si="8"/>
        <v>-0.80319527889578624</v>
      </c>
      <c r="K77" s="53" t="s">
        <v>997</v>
      </c>
      <c r="L77" s="99" t="s">
        <v>998</v>
      </c>
      <c r="M77" s="103" t="s">
        <v>999</v>
      </c>
      <c r="N77" s="104"/>
      <c r="O77" s="104"/>
      <c r="P77" s="104"/>
      <c r="Q77" s="104"/>
      <c r="R77" s="104"/>
      <c r="S77" s="104"/>
      <c r="T77" s="104"/>
      <c r="U77" s="104"/>
      <c r="V77" s="104"/>
      <c r="W77" s="104"/>
      <c r="X77" s="104"/>
      <c r="Y77" s="104"/>
      <c r="Z77" s="104"/>
      <c r="AA77" s="104"/>
    </row>
    <row r="78" spans="1:27" ht="68.25" customHeight="1">
      <c r="A78" s="26" t="str">
        <v>West Creek</v>
      </c>
      <c r="B78" s="27" t="str">
        <v>NY</v>
      </c>
      <c r="C78" s="9" t="str">
        <f>Sites[[#This Row],[SOL'#]]</f>
        <v>SOL-10995</v>
      </c>
      <c r="D78" s="9">
        <v>565640</v>
      </c>
      <c r="E78" s="14" t="s">
        <v>941</v>
      </c>
      <c r="F78" s="14" t="str">
        <f t="shared" si="5"/>
        <v/>
      </c>
      <c r="G78" s="15" t="str">
        <f t="shared" si="6"/>
        <v/>
      </c>
      <c r="H78" s="16">
        <v>985279.61</v>
      </c>
      <c r="I78" s="16">
        <f t="shared" si="7"/>
        <v>-419639.61</v>
      </c>
      <c r="J78" s="15">
        <f t="shared" si="8"/>
        <v>-0.42590915892393227</v>
      </c>
      <c r="K78" s="51" t="s">
        <v>1000</v>
      </c>
      <c r="L78" s="100" t="s">
        <v>1001</v>
      </c>
      <c r="M78" s="103" t="s">
        <v>1002</v>
      </c>
      <c r="N78" s="104"/>
      <c r="O78" s="104"/>
      <c r="P78" s="104"/>
      <c r="Q78" s="104"/>
      <c r="R78" s="104"/>
      <c r="S78" s="104"/>
      <c r="T78" s="104"/>
      <c r="U78" s="104"/>
      <c r="V78" s="104"/>
      <c r="W78" s="104"/>
      <c r="X78" s="104"/>
      <c r="Y78" s="104"/>
      <c r="Z78" s="104"/>
      <c r="AA78" s="104"/>
    </row>
    <row r="79" spans="1:27" ht="65.25" customHeight="1">
      <c r="A79" s="24" t="str">
        <v>Wildflower</v>
      </c>
      <c r="B79" s="25" t="str">
        <v>NY</v>
      </c>
      <c r="C79" s="25" t="str">
        <f>Sites[[#This Row],[SOL'#]]</f>
        <v>SOL-10982</v>
      </c>
      <c r="D79" s="20">
        <v>637034</v>
      </c>
      <c r="E79" s="10" t="s">
        <v>941</v>
      </c>
      <c r="F79" s="10" t="str">
        <f t="shared" si="5"/>
        <v/>
      </c>
      <c r="G79" s="11" t="str">
        <f t="shared" si="6"/>
        <v/>
      </c>
      <c r="H79" s="12">
        <v>991234.8</v>
      </c>
      <c r="I79" s="12">
        <f t="shared" si="7"/>
        <v>-354200.80000000005</v>
      </c>
      <c r="J79" s="64">
        <f t="shared" si="8"/>
        <v>-0.35733289428498682</v>
      </c>
      <c r="K79" s="53" t="s">
        <v>1003</v>
      </c>
      <c r="L79" s="99" t="s">
        <v>1004</v>
      </c>
      <c r="M79" s="103" t="s">
        <v>1005</v>
      </c>
      <c r="N79" s="103" t="s">
        <v>1006</v>
      </c>
      <c r="O79" s="104"/>
      <c r="P79" s="104"/>
      <c r="Q79" s="104"/>
      <c r="R79" s="104"/>
      <c r="S79" s="104"/>
      <c r="T79" s="104"/>
      <c r="U79" s="104"/>
      <c r="V79" s="104"/>
      <c r="W79" s="104"/>
      <c r="X79" s="104"/>
      <c r="Y79" s="104"/>
      <c r="Z79" s="104"/>
      <c r="AA79" s="104"/>
    </row>
    <row r="80" spans="1:27" ht="43.15">
      <c r="A80" s="26" t="str">
        <v>Glen Mary 1</v>
      </c>
      <c r="B80" s="27" t="str">
        <v>NY</v>
      </c>
      <c r="C80" s="9" t="str">
        <f>Sites[[#This Row],[SOL'#]]</f>
        <v>SOL-10993</v>
      </c>
      <c r="D80" s="9">
        <v>564170</v>
      </c>
      <c r="E80" s="14" t="s">
        <v>941</v>
      </c>
      <c r="F80" s="14" t="str">
        <f t="shared" si="5"/>
        <v/>
      </c>
      <c r="G80" s="15" t="str">
        <f t="shared" si="6"/>
        <v/>
      </c>
      <c r="H80" s="16">
        <v>1014571.98</v>
      </c>
      <c r="I80" s="16">
        <f t="shared" si="7"/>
        <v>-450401.98</v>
      </c>
      <c r="J80" s="15">
        <f t="shared" si="8"/>
        <v>-0.4439329972428373</v>
      </c>
      <c r="K80" s="51" t="s">
        <v>1007</v>
      </c>
      <c r="L80" s="100" t="s">
        <v>1008</v>
      </c>
      <c r="M80" s="103" t="s">
        <v>1009</v>
      </c>
      <c r="N80" s="103" t="s">
        <v>1010</v>
      </c>
      <c r="O80" s="104"/>
      <c r="P80" s="104"/>
      <c r="Q80" s="104"/>
      <c r="R80" s="104"/>
      <c r="S80" s="104"/>
      <c r="T80" s="104"/>
      <c r="U80" s="104"/>
      <c r="V80" s="104"/>
      <c r="W80" s="104"/>
      <c r="X80" s="104"/>
      <c r="Y80" s="104"/>
      <c r="Z80" s="104"/>
      <c r="AA80" s="104"/>
    </row>
    <row r="81" spans="1:27" ht="35.25" customHeight="1">
      <c r="A81" s="24" t="str">
        <v>Glen Mary 2</v>
      </c>
      <c r="B81" s="25" t="str">
        <v>NY</v>
      </c>
      <c r="C81" s="25" t="str">
        <f>Sites[[#This Row],[SOL'#]]</f>
        <v>SOL-10994</v>
      </c>
      <c r="D81" s="20">
        <v>248380</v>
      </c>
      <c r="E81" s="10" t="s">
        <v>941</v>
      </c>
      <c r="F81" s="10" t="str">
        <f t="shared" si="5"/>
        <v/>
      </c>
      <c r="G81" s="11" t="str">
        <f t="shared" si="6"/>
        <v/>
      </c>
      <c r="H81" s="12">
        <v>432204.17</v>
      </c>
      <c r="I81" s="12">
        <f t="shared" si="7"/>
        <v>-183824.16999999998</v>
      </c>
      <c r="J81" s="64">
        <f t="shared" si="8"/>
        <v>-0.42531790010262971</v>
      </c>
      <c r="K81" s="53" t="s">
        <v>1011</v>
      </c>
      <c r="L81" s="99" t="s">
        <v>1012</v>
      </c>
      <c r="M81" s="103" t="s">
        <v>1013</v>
      </c>
      <c r="N81" s="104"/>
      <c r="O81" s="104"/>
      <c r="P81" s="104"/>
      <c r="Q81" s="104"/>
      <c r="R81" s="104"/>
      <c r="S81" s="104"/>
      <c r="T81" s="104"/>
      <c r="U81" s="104"/>
      <c r="V81" s="104"/>
      <c r="W81" s="104"/>
      <c r="X81" s="104"/>
      <c r="Y81" s="104"/>
      <c r="Z81" s="104"/>
      <c r="AA81" s="104"/>
    </row>
    <row r="82" spans="1:27" ht="15.6">
      <c r="A82" s="26" t="str">
        <v>Telegraph 1</v>
      </c>
      <c r="B82" s="27" t="str">
        <v>NY</v>
      </c>
      <c r="C82" s="9" t="str">
        <f>Sites[[#This Row],[SOL'#]]</f>
        <v>SOL-11003</v>
      </c>
      <c r="D82" s="9">
        <v>609457</v>
      </c>
      <c r="E82" s="14" t="s">
        <v>941</v>
      </c>
      <c r="F82" s="14" t="str">
        <f t="shared" si="5"/>
        <v/>
      </c>
      <c r="G82" s="15" t="str">
        <f t="shared" si="6"/>
        <v/>
      </c>
      <c r="H82" s="16">
        <v>722853.26</v>
      </c>
      <c r="I82" s="16">
        <f t="shared" si="7"/>
        <v>-113396.26000000001</v>
      </c>
      <c r="J82" s="15">
        <f t="shared" si="8"/>
        <v>-0.15687313909326495</v>
      </c>
      <c r="K82" s="51" t="s">
        <v>1014</v>
      </c>
      <c r="L82" s="52"/>
      <c r="M82" s="104"/>
      <c r="N82" s="104"/>
      <c r="O82" s="104"/>
      <c r="P82" s="104"/>
      <c r="Q82" s="104"/>
      <c r="R82" s="104"/>
      <c r="S82" s="104"/>
      <c r="T82" s="104"/>
      <c r="U82" s="104"/>
      <c r="V82" s="104"/>
      <c r="W82" s="104"/>
      <c r="X82" s="104"/>
      <c r="Y82" s="104"/>
      <c r="Z82" s="104"/>
      <c r="AA82" s="104"/>
    </row>
    <row r="83" spans="1:27" ht="15.6">
      <c r="A83" s="24" t="str">
        <v>Telegraph 2</v>
      </c>
      <c r="B83" s="25" t="str">
        <v>NY</v>
      </c>
      <c r="C83" s="25" t="str">
        <f>Sites[[#This Row],[SOL'#]]</f>
        <v>SOL-11004</v>
      </c>
      <c r="D83" s="20">
        <v>322890</v>
      </c>
      <c r="E83" s="10" t="s">
        <v>941</v>
      </c>
      <c r="F83" s="10" t="str">
        <f t="shared" si="5"/>
        <v/>
      </c>
      <c r="G83" s="11" t="str">
        <f t="shared" si="6"/>
        <v/>
      </c>
      <c r="H83" s="12">
        <v>376205.85</v>
      </c>
      <c r="I83" s="12">
        <f t="shared" si="7"/>
        <v>-53315.849999999977</v>
      </c>
      <c r="J83" s="64">
        <f t="shared" si="8"/>
        <v>-0.14171988553607015</v>
      </c>
      <c r="K83" s="73" t="s">
        <v>1015</v>
      </c>
      <c r="L83" s="53"/>
      <c r="M83" s="104"/>
      <c r="N83" s="104"/>
      <c r="O83" s="104"/>
      <c r="P83" s="104"/>
      <c r="Q83" s="104"/>
      <c r="R83" s="104"/>
      <c r="S83" s="104"/>
      <c r="T83" s="104"/>
      <c r="U83" s="104"/>
      <c r="V83" s="104"/>
      <c r="W83" s="104"/>
      <c r="X83" s="104"/>
      <c r="Y83" s="104"/>
      <c r="Z83" s="104"/>
      <c r="AA83" s="104"/>
    </row>
    <row r="84" spans="1:27" ht="15.6">
      <c r="A84" s="26" t="str">
        <v>Cafferty Hill</v>
      </c>
      <c r="B84" s="27" t="str">
        <v>NY</v>
      </c>
      <c r="C84" s="9" t="str">
        <f>Sites[[#This Row],[SOL'#]]</f>
        <v>SOL-10996</v>
      </c>
      <c r="D84" s="9">
        <v>699070</v>
      </c>
      <c r="E84" s="14" t="s">
        <v>941</v>
      </c>
      <c r="F84" s="14" t="str">
        <f t="shared" si="5"/>
        <v/>
      </c>
      <c r="G84" s="15" t="str">
        <f t="shared" si="6"/>
        <v/>
      </c>
      <c r="H84" s="16">
        <v>925815.16</v>
      </c>
      <c r="I84" s="16">
        <f t="shared" si="7"/>
        <v>-226745.16000000003</v>
      </c>
      <c r="J84" s="15">
        <f t="shared" si="8"/>
        <v>-0.24491407118457645</v>
      </c>
      <c r="K84" s="51" t="s">
        <v>1016</v>
      </c>
      <c r="L84" s="51"/>
      <c r="M84" s="104"/>
      <c r="N84" s="104"/>
      <c r="O84" s="104"/>
      <c r="P84" s="104"/>
      <c r="Q84" s="104"/>
      <c r="R84" s="104"/>
      <c r="S84" s="104"/>
      <c r="T84" s="104"/>
      <c r="U84" s="104"/>
      <c r="V84" s="104"/>
      <c r="W84" s="104"/>
      <c r="X84" s="104"/>
      <c r="Y84" s="104"/>
      <c r="Z84" s="104"/>
      <c r="AA84" s="104"/>
    </row>
    <row r="85" spans="1:27" ht="57.6">
      <c r="A85" s="24" t="str">
        <v>Dunkleman</v>
      </c>
      <c r="B85" s="25" t="str">
        <v>NY</v>
      </c>
      <c r="C85" s="25" t="str">
        <f>Sites[[#This Row],[SOL'#]]</f>
        <v>SOL-11008</v>
      </c>
      <c r="D85" s="20">
        <v>931420</v>
      </c>
      <c r="E85" s="10" t="s">
        <v>941</v>
      </c>
      <c r="F85" s="10" t="str">
        <f t="shared" si="5"/>
        <v/>
      </c>
      <c r="G85" s="11" t="str">
        <f t="shared" si="6"/>
        <v/>
      </c>
      <c r="H85" s="12">
        <v>1222284.26</v>
      </c>
      <c r="I85" s="12">
        <f t="shared" si="7"/>
        <v>-290864.26</v>
      </c>
      <c r="J85" s="64">
        <f t="shared" si="8"/>
        <v>-0.23796777027955837</v>
      </c>
      <c r="K85" s="53" t="s">
        <v>1017</v>
      </c>
      <c r="L85" s="99" t="s">
        <v>301</v>
      </c>
      <c r="M85" s="104"/>
      <c r="N85" s="104"/>
      <c r="O85" s="104"/>
      <c r="P85" s="104"/>
      <c r="Q85" s="104"/>
      <c r="R85" s="104"/>
      <c r="S85" s="104"/>
      <c r="T85" s="104"/>
      <c r="U85" s="104"/>
      <c r="V85" s="104"/>
      <c r="W85" s="104"/>
      <c r="X85" s="104"/>
      <c r="Y85" s="104"/>
      <c r="Z85" s="104"/>
      <c r="AA85" s="104"/>
    </row>
    <row r="86" spans="1:27" ht="15.6">
      <c r="A86" s="26" t="str">
        <v>Route 19 1</v>
      </c>
      <c r="B86" s="27" t="str">
        <v>NY</v>
      </c>
      <c r="C86" s="9" t="str">
        <f>Sites[[#This Row],[SOL'#]]</f>
        <v>SOL-11001</v>
      </c>
      <c r="D86" s="9">
        <v>384140</v>
      </c>
      <c r="E86" s="14" t="s">
        <v>941</v>
      </c>
      <c r="F86" s="14" t="str">
        <f t="shared" si="5"/>
        <v/>
      </c>
      <c r="G86" s="15" t="str">
        <f t="shared" si="6"/>
        <v/>
      </c>
      <c r="H86" s="16">
        <v>492648.27</v>
      </c>
      <c r="I86" s="16">
        <f t="shared" si="7"/>
        <v>-108508.27000000002</v>
      </c>
      <c r="J86" s="15">
        <f t="shared" si="8"/>
        <v>-0.22025505133713352</v>
      </c>
      <c r="K86" s="51" t="s">
        <v>1018</v>
      </c>
      <c r="L86" s="51"/>
      <c r="M86" s="104"/>
      <c r="N86" s="104"/>
      <c r="O86" s="104"/>
      <c r="P86" s="104"/>
      <c r="Q86" s="104"/>
      <c r="R86" s="104"/>
      <c r="S86" s="104"/>
      <c r="T86" s="104"/>
      <c r="U86" s="104"/>
      <c r="V86" s="104"/>
      <c r="W86" s="104"/>
      <c r="X86" s="104"/>
      <c r="Y86" s="104"/>
      <c r="Z86" s="104"/>
      <c r="AA86" s="104"/>
    </row>
    <row r="87" spans="1:27" ht="15.6">
      <c r="A87" s="24" t="str">
        <v>Route 19 2</v>
      </c>
      <c r="B87" s="25" t="str">
        <v>NY</v>
      </c>
      <c r="C87" s="25" t="str">
        <f>Sites[[#This Row],[SOL'#]]</f>
        <v>SOL-11002</v>
      </c>
      <c r="D87" s="20">
        <v>926520</v>
      </c>
      <c r="E87" s="10" t="s">
        <v>941</v>
      </c>
      <c r="F87" s="10" t="str">
        <f t="shared" si="5"/>
        <v/>
      </c>
      <c r="G87" s="11" t="str">
        <f t="shared" si="6"/>
        <v/>
      </c>
      <c r="H87" s="12">
        <v>1226350.1399999999</v>
      </c>
      <c r="I87" s="12">
        <f t="shared" si="7"/>
        <v>-299830.1399999999</v>
      </c>
      <c r="J87" s="64">
        <f t="shared" si="8"/>
        <v>-0.24448983224317969</v>
      </c>
      <c r="K87" s="53" t="s">
        <v>1018</v>
      </c>
      <c r="L87" s="53"/>
      <c r="M87" s="104"/>
      <c r="N87" s="104"/>
      <c r="O87" s="104"/>
      <c r="P87" s="104"/>
      <c r="Q87" s="104"/>
      <c r="R87" s="104"/>
      <c r="S87" s="104"/>
      <c r="T87" s="104"/>
      <c r="U87" s="104"/>
      <c r="V87" s="104"/>
      <c r="W87" s="104"/>
      <c r="X87" s="104"/>
      <c r="Y87" s="104"/>
      <c r="Z87" s="104"/>
      <c r="AA87" s="104"/>
    </row>
    <row r="88" spans="1:27" ht="33" customHeight="1">
      <c r="A88" s="26" t="str">
        <v>Yellow Mills 1</v>
      </c>
      <c r="B88" s="27" t="str">
        <v>NY</v>
      </c>
      <c r="C88" s="9" t="str">
        <f>Sites[[#This Row],[SOL'#]]</f>
        <v>SOL-11006</v>
      </c>
      <c r="D88" s="9">
        <v>309410</v>
      </c>
      <c r="E88" s="14" t="s">
        <v>941</v>
      </c>
      <c r="F88" s="14" t="str">
        <f t="shared" si="5"/>
        <v/>
      </c>
      <c r="G88" s="15" t="str">
        <f t="shared" si="6"/>
        <v/>
      </c>
      <c r="H88" s="16">
        <v>416192.42</v>
      </c>
      <c r="I88" s="16">
        <f t="shared" si="7"/>
        <v>-106782.41999999998</v>
      </c>
      <c r="J88" s="15">
        <f t="shared" si="8"/>
        <v>-0.25656983373219527</v>
      </c>
      <c r="K88" s="51" t="s">
        <v>1019</v>
      </c>
      <c r="L88" s="100" t="s">
        <v>1020</v>
      </c>
      <c r="M88" s="104"/>
      <c r="N88" s="104"/>
      <c r="O88" s="104"/>
      <c r="P88" s="104"/>
      <c r="Q88" s="104"/>
      <c r="R88" s="104"/>
      <c r="S88" s="104"/>
      <c r="T88" s="104"/>
      <c r="U88" s="104"/>
      <c r="V88" s="104"/>
      <c r="W88" s="104"/>
      <c r="X88" s="104"/>
      <c r="Y88" s="104"/>
      <c r="Z88" s="104"/>
      <c r="AA88" s="104"/>
    </row>
    <row r="89" spans="1:27" ht="33.75" customHeight="1">
      <c r="A89" s="24" t="str">
        <v>Yellow Mills 2</v>
      </c>
      <c r="B89" s="25" t="str">
        <v>NY</v>
      </c>
      <c r="C89" s="25" t="str">
        <f>Sites[[#This Row],[SOL'#]]</f>
        <v>SOL-11005</v>
      </c>
      <c r="D89" s="20">
        <v>325193</v>
      </c>
      <c r="E89" s="10" t="s">
        <v>941</v>
      </c>
      <c r="F89" s="10" t="str">
        <f t="shared" si="5"/>
        <v/>
      </c>
      <c r="G89" s="11" t="str">
        <f t="shared" si="6"/>
        <v/>
      </c>
      <c r="H89" s="12">
        <v>429297.84</v>
      </c>
      <c r="I89" s="12">
        <f t="shared" si="7"/>
        <v>-104104.84000000003</v>
      </c>
      <c r="J89" s="64">
        <f t="shared" si="8"/>
        <v>-0.24250026508402656</v>
      </c>
      <c r="K89" s="53" t="s">
        <v>1021</v>
      </c>
      <c r="L89" s="99" t="s">
        <v>1022</v>
      </c>
      <c r="M89" s="104"/>
      <c r="N89" s="104"/>
      <c r="O89" s="104"/>
      <c r="P89" s="104"/>
      <c r="Q89" s="104"/>
      <c r="R89" s="104"/>
      <c r="S89" s="104"/>
      <c r="T89" s="104"/>
      <c r="U89" s="104"/>
      <c r="V89" s="104"/>
      <c r="W89" s="104"/>
      <c r="X89" s="104"/>
      <c r="Y89" s="104"/>
      <c r="Z89" s="104"/>
      <c r="AA89" s="104"/>
    </row>
    <row r="90" spans="1:27" ht="17.25" customHeight="1">
      <c r="A90" s="26" t="str">
        <v>Yellow Mills 3</v>
      </c>
      <c r="B90" s="27" t="str">
        <v>NY</v>
      </c>
      <c r="C90" s="9" t="str">
        <f>Sites[[#This Row],[SOL'#]]</f>
        <v>SOL-11007</v>
      </c>
      <c r="D90" s="9">
        <v>319142</v>
      </c>
      <c r="E90" s="14" t="s">
        <v>941</v>
      </c>
      <c r="F90" s="14" t="str">
        <f t="shared" si="5"/>
        <v/>
      </c>
      <c r="G90" s="15" t="str">
        <f t="shared" si="6"/>
        <v/>
      </c>
      <c r="H90" s="16">
        <v>411178.38</v>
      </c>
      <c r="I90" s="16">
        <f t="shared" si="7"/>
        <v>-92036.38</v>
      </c>
      <c r="J90" s="15">
        <f t="shared" si="8"/>
        <v>-0.2238356501137049</v>
      </c>
      <c r="K90" s="51" t="s">
        <v>1023</v>
      </c>
      <c r="L90" s="100" t="s">
        <v>1024</v>
      </c>
      <c r="M90" s="104"/>
      <c r="N90" s="104"/>
      <c r="O90" s="104"/>
      <c r="P90" s="104"/>
      <c r="Q90" s="104"/>
      <c r="R90" s="104"/>
      <c r="S90" s="104"/>
      <c r="T90" s="104"/>
      <c r="U90" s="104"/>
      <c r="V90" s="104"/>
      <c r="W90" s="104"/>
      <c r="X90" s="104"/>
      <c r="Y90" s="104"/>
      <c r="Z90" s="104"/>
      <c r="AA90" s="104"/>
    </row>
    <row r="91" spans="1:27" ht="15.6">
      <c r="A91" s="24" t="str">
        <v>Catskill</v>
      </c>
      <c r="B91" s="25" t="str">
        <v>NY</v>
      </c>
      <c r="C91" s="25" t="str">
        <f>Sites[[#This Row],[SOL'#]]</f>
        <v>SOL-11021</v>
      </c>
      <c r="D91" s="20">
        <v>575300</v>
      </c>
      <c r="E91" s="10" t="s">
        <v>941</v>
      </c>
      <c r="F91" s="10" t="str">
        <f t="shared" si="5"/>
        <v/>
      </c>
      <c r="G91" s="11" t="str">
        <f t="shared" si="6"/>
        <v/>
      </c>
      <c r="H91" s="12">
        <v>720288.86</v>
      </c>
      <c r="I91" s="12">
        <f t="shared" si="7"/>
        <v>-144988.85999999999</v>
      </c>
      <c r="J91" s="64">
        <f t="shared" si="8"/>
        <v>-0.20129265917010017</v>
      </c>
      <c r="K91" s="53" t="s">
        <v>1025</v>
      </c>
      <c r="L91" s="53"/>
      <c r="M91" s="104"/>
      <c r="N91" s="104"/>
      <c r="O91" s="104"/>
      <c r="P91" s="104"/>
      <c r="Q91" s="104"/>
      <c r="R91" s="104"/>
      <c r="S91" s="104"/>
      <c r="T91" s="104"/>
      <c r="U91" s="104"/>
      <c r="V91" s="104"/>
      <c r="W91" s="104"/>
      <c r="X91" s="104"/>
      <c r="Y91" s="104"/>
      <c r="Z91" s="104"/>
      <c r="AA91" s="104"/>
    </row>
    <row r="92" spans="1:27" ht="36" customHeight="1">
      <c r="A92" s="26" t="str">
        <v>Eddy Ridge</v>
      </c>
      <c r="B92" s="27" t="str">
        <v>NY</v>
      </c>
      <c r="C92" s="9" t="str">
        <f>Sites[[#This Row],[SOL'#]]</f>
        <v>SOL-11054</v>
      </c>
      <c r="D92" s="9">
        <v>466429</v>
      </c>
      <c r="E92" s="14" t="s">
        <v>941</v>
      </c>
      <c r="F92" s="14" t="str">
        <f t="shared" si="5"/>
        <v/>
      </c>
      <c r="G92" s="15" t="str">
        <f t="shared" si="6"/>
        <v/>
      </c>
      <c r="H92" s="16">
        <v>589040</v>
      </c>
      <c r="I92" s="16">
        <f t="shared" si="7"/>
        <v>-122611</v>
      </c>
      <c r="J92" s="15">
        <f t="shared" si="8"/>
        <v>-0.20815394540268911</v>
      </c>
      <c r="K92" s="51" t="s">
        <v>1026</v>
      </c>
      <c r="L92" s="100" t="s">
        <v>1027</v>
      </c>
      <c r="M92" s="103" t="s">
        <v>1028</v>
      </c>
      <c r="N92" s="104"/>
      <c r="O92" s="104"/>
      <c r="P92" s="104"/>
      <c r="Q92" s="104"/>
      <c r="R92" s="104"/>
      <c r="S92" s="104"/>
      <c r="T92" s="104"/>
      <c r="U92" s="104"/>
      <c r="V92" s="104"/>
      <c r="W92" s="104"/>
      <c r="X92" s="104"/>
      <c r="Y92" s="104"/>
      <c r="Z92" s="104"/>
      <c r="AA92" s="104"/>
    </row>
    <row r="93" spans="1:27" ht="31.5" customHeight="1">
      <c r="A93" s="24" t="str">
        <v>Ridgeway #1</v>
      </c>
      <c r="B93" s="25" t="str">
        <v>NY</v>
      </c>
      <c r="C93" s="25" t="str">
        <f>Sites[[#This Row],[SOL'#]]</f>
        <v>SOL-11018</v>
      </c>
      <c r="D93" s="20">
        <v>1046948</v>
      </c>
      <c r="E93" s="10" t="s">
        <v>941</v>
      </c>
      <c r="F93" s="10" t="str">
        <f t="shared" si="5"/>
        <v/>
      </c>
      <c r="G93" s="11" t="str">
        <f t="shared" si="6"/>
        <v/>
      </c>
      <c r="H93" s="12">
        <v>1246214.3799999999</v>
      </c>
      <c r="I93" s="12">
        <f t="shared" si="7"/>
        <v>-199266.37999999989</v>
      </c>
      <c r="J93" s="64">
        <f t="shared" si="8"/>
        <v>-0.15989735249243386</v>
      </c>
      <c r="K93" s="53" t="s">
        <v>1029</v>
      </c>
      <c r="L93" s="99" t="s">
        <v>1030</v>
      </c>
      <c r="M93" s="103" t="s">
        <v>1031</v>
      </c>
      <c r="N93" s="104"/>
      <c r="O93" s="104"/>
      <c r="P93" s="104"/>
      <c r="Q93" s="104"/>
      <c r="R93" s="104"/>
      <c r="S93" s="104"/>
      <c r="T93" s="104"/>
      <c r="U93" s="104"/>
      <c r="V93" s="104"/>
      <c r="W93" s="104"/>
      <c r="X93" s="104"/>
      <c r="Y93" s="104"/>
      <c r="Z93" s="104"/>
      <c r="AA93" s="104"/>
    </row>
    <row r="94" spans="1:27" ht="37.5" customHeight="1">
      <c r="A94" s="26" t="str">
        <v>Rivard 1</v>
      </c>
      <c r="B94" s="27" t="str">
        <v>NY</v>
      </c>
      <c r="C94" s="9" t="str">
        <f>Sites[[#This Row],[SOL'#]]</f>
        <v>SOL-11011</v>
      </c>
      <c r="D94" s="9">
        <v>867771.68571428605</v>
      </c>
      <c r="E94" s="14">
        <v>0</v>
      </c>
      <c r="F94" s="14">
        <f t="shared" si="5"/>
        <v>867771.68571428605</v>
      </c>
      <c r="G94" s="15" t="str">
        <f t="shared" si="6"/>
        <v/>
      </c>
      <c r="H94" s="16">
        <v>898187.05</v>
      </c>
      <c r="I94" s="16">
        <f t="shared" si="7"/>
        <v>-30415.364285713993</v>
      </c>
      <c r="J94" s="15">
        <f t="shared" si="8"/>
        <v>-3.3863062583360547E-2</v>
      </c>
      <c r="K94" s="51" t="s">
        <v>1032</v>
      </c>
      <c r="L94" s="100" t="s">
        <v>1033</v>
      </c>
      <c r="M94" s="104"/>
      <c r="N94" s="104"/>
      <c r="O94" s="104"/>
      <c r="P94" s="104"/>
      <c r="Q94" s="104"/>
      <c r="R94" s="104"/>
      <c r="S94" s="104"/>
      <c r="T94" s="104"/>
      <c r="U94" s="104"/>
      <c r="V94" s="104"/>
      <c r="W94" s="104"/>
      <c r="X94" s="104"/>
      <c r="Y94" s="104"/>
      <c r="Z94" s="104"/>
      <c r="AA94" s="104"/>
    </row>
    <row r="95" spans="1:27" ht="31.5" customHeight="1">
      <c r="A95" s="24" t="str">
        <v>Rivard 2</v>
      </c>
      <c r="B95" s="25" t="str">
        <v>NY</v>
      </c>
      <c r="C95" s="25" t="str">
        <f>Sites[[#This Row],[SOL'#]]</f>
        <v>SOL-11012</v>
      </c>
      <c r="D95" s="20">
        <v>825788.24500000104</v>
      </c>
      <c r="E95" s="10">
        <v>821072.9</v>
      </c>
      <c r="F95" s="10">
        <f t="shared" si="5"/>
        <v>4715.3450000010198</v>
      </c>
      <c r="G95" s="11">
        <f t="shared" si="6"/>
        <v>5.7429066286331211E-3</v>
      </c>
      <c r="H95" s="12">
        <v>1008005</v>
      </c>
      <c r="I95" s="12">
        <f t="shared" si="7"/>
        <v>-182216.75499999896</v>
      </c>
      <c r="J95" s="64">
        <f t="shared" si="8"/>
        <v>-0.18076969360270928</v>
      </c>
      <c r="K95" s="53" t="s">
        <v>1034</v>
      </c>
      <c r="L95" s="99" t="s">
        <v>316</v>
      </c>
      <c r="M95" s="104"/>
      <c r="N95" s="104"/>
      <c r="O95" s="104"/>
      <c r="P95" s="104"/>
      <c r="Q95" s="104"/>
      <c r="R95" s="104"/>
      <c r="S95" s="104"/>
      <c r="T95" s="104"/>
      <c r="U95" s="104"/>
      <c r="V95" s="104"/>
      <c r="W95" s="104"/>
      <c r="X95" s="104"/>
      <c r="Y95" s="104"/>
      <c r="Z95" s="104"/>
      <c r="AA95" s="104"/>
    </row>
    <row r="96" spans="1:27" ht="28.9">
      <c r="A96" s="26" t="str">
        <v>Ridgeway #2</v>
      </c>
      <c r="B96" s="27" t="str">
        <v>NY</v>
      </c>
      <c r="C96" s="9" t="str">
        <f>Sites[[#This Row],[SOL'#]]</f>
        <v>SOL-11027</v>
      </c>
      <c r="D96" s="9">
        <v>529391</v>
      </c>
      <c r="E96" s="14" t="s">
        <v>941</v>
      </c>
      <c r="F96" s="14" t="str">
        <f t="shared" si="5"/>
        <v/>
      </c>
      <c r="G96" s="15" t="str">
        <f t="shared" si="6"/>
        <v/>
      </c>
      <c r="H96" s="16">
        <v>632557</v>
      </c>
      <c r="I96" s="16">
        <f t="shared" si="7"/>
        <v>-103166</v>
      </c>
      <c r="J96" s="15">
        <f t="shared" si="8"/>
        <v>-0.16309360263185768</v>
      </c>
      <c r="K96" s="51" t="s">
        <v>1035</v>
      </c>
      <c r="L96" s="100" t="s">
        <v>1036</v>
      </c>
      <c r="M96" s="104"/>
      <c r="N96" s="104"/>
      <c r="O96" s="104"/>
      <c r="P96" s="104"/>
      <c r="Q96" s="104"/>
      <c r="R96" s="104"/>
      <c r="S96" s="104"/>
      <c r="T96" s="104"/>
      <c r="U96" s="104"/>
      <c r="V96" s="104"/>
      <c r="W96" s="104"/>
      <c r="X96" s="104"/>
      <c r="Y96" s="104"/>
      <c r="Z96" s="104"/>
      <c r="AA96" s="104"/>
    </row>
    <row r="97" spans="1:27" ht="43.15">
      <c r="A97" s="24" t="str">
        <v>Spencer</v>
      </c>
      <c r="B97" s="25" t="str">
        <v>NY</v>
      </c>
      <c r="C97" s="25" t="str">
        <f>Sites[[#This Row],[SOL'#]]</f>
        <v>SOL-11017</v>
      </c>
      <c r="D97" s="20">
        <v>862283</v>
      </c>
      <c r="E97" s="10" t="s">
        <v>941</v>
      </c>
      <c r="F97" s="10" t="str">
        <f t="shared" si="5"/>
        <v/>
      </c>
      <c r="G97" s="11" t="str">
        <f t="shared" si="6"/>
        <v/>
      </c>
      <c r="H97" s="12">
        <v>1213900</v>
      </c>
      <c r="I97" s="12">
        <f t="shared" si="7"/>
        <v>-351617</v>
      </c>
      <c r="J97" s="64">
        <f t="shared" si="8"/>
        <v>-0.28965895049015572</v>
      </c>
      <c r="K97" s="70" t="s">
        <v>1037</v>
      </c>
      <c r="L97" s="139" t="s">
        <v>1038</v>
      </c>
      <c r="S97" s="104"/>
      <c r="T97" s="104"/>
      <c r="U97" s="104"/>
      <c r="V97" s="104"/>
      <c r="W97" s="104"/>
      <c r="X97" s="104"/>
      <c r="Y97" s="104"/>
      <c r="Z97" s="104"/>
      <c r="AA97" s="104"/>
    </row>
    <row r="98" spans="1:27" ht="15.6">
      <c r="A98" s="26" t="str">
        <v>Reisender</v>
      </c>
      <c r="B98" s="27" t="str">
        <v>NY</v>
      </c>
      <c r="C98" s="9" t="str">
        <f>Sites[[#This Row],[SOL'#]]</f>
        <v>SOL-10886</v>
      </c>
      <c r="D98" s="9">
        <v>302280</v>
      </c>
      <c r="E98" s="14">
        <v>302943.39</v>
      </c>
      <c r="F98" s="14">
        <f t="shared" si="5"/>
        <v>-663.39000000001397</v>
      </c>
      <c r="G98" s="15">
        <f t="shared" si="6"/>
        <v>-2.1898150674289807E-3</v>
      </c>
      <c r="H98" s="16">
        <v>387404</v>
      </c>
      <c r="I98" s="16">
        <f t="shared" si="7"/>
        <v>-85124</v>
      </c>
      <c r="J98" s="15">
        <f t="shared" si="8"/>
        <v>-0.21972927486551508</v>
      </c>
      <c r="K98" s="137" t="s">
        <v>1039</v>
      </c>
      <c r="L98" s="137"/>
      <c r="S98" s="104"/>
      <c r="T98" s="104"/>
      <c r="U98" s="104"/>
      <c r="V98" s="104"/>
      <c r="W98" s="104"/>
      <c r="X98" s="104"/>
      <c r="Y98" s="104"/>
      <c r="Z98" s="104"/>
      <c r="AA98" s="104"/>
    </row>
    <row r="99" spans="1:27" ht="15.6">
      <c r="A99" s="24" t="str">
        <v>Finney</v>
      </c>
      <c r="B99" s="25" t="str">
        <v>NY</v>
      </c>
      <c r="C99" s="25" t="str">
        <f>Sites[[#This Row],[SOL'#]]</f>
        <v>SOL-10999</v>
      </c>
      <c r="D99" s="20">
        <v>870110</v>
      </c>
      <c r="E99" s="10" t="s">
        <v>941</v>
      </c>
      <c r="F99" s="10" t="str">
        <f t="shared" si="5"/>
        <v/>
      </c>
      <c r="G99" s="11" t="str">
        <f t="shared" si="6"/>
        <v/>
      </c>
      <c r="H99" s="12">
        <v>1165223</v>
      </c>
      <c r="I99" s="12">
        <f t="shared" si="7"/>
        <v>-295113</v>
      </c>
      <c r="J99" s="64">
        <f t="shared" si="8"/>
        <v>-0.25326740031736417</v>
      </c>
      <c r="K99" s="70" t="s">
        <v>1040</v>
      </c>
      <c r="L99" s="17"/>
      <c r="S99" s="104"/>
      <c r="T99" s="104"/>
      <c r="U99" s="104"/>
      <c r="V99" s="104"/>
      <c r="W99" s="104"/>
      <c r="X99" s="104"/>
      <c r="Y99" s="104"/>
      <c r="Z99" s="104"/>
      <c r="AA99" s="104"/>
    </row>
    <row r="100" spans="1:27" ht="57.6">
      <c r="A100" s="26" t="str">
        <v>Davis Solar</v>
      </c>
      <c r="B100" s="27" t="str">
        <v>NY</v>
      </c>
      <c r="C100" s="9" t="str">
        <f>Sites[[#This Row],[SOL'#]]</f>
        <v>SOL-10958</v>
      </c>
      <c r="D100" s="9">
        <v>224681</v>
      </c>
      <c r="E100" s="14">
        <v>326104.5</v>
      </c>
      <c r="F100" s="14">
        <f t="shared" si="5"/>
        <v>-101423.5</v>
      </c>
      <c r="G100" s="15">
        <f t="shared" si="6"/>
        <v>-0.31101533404169524</v>
      </c>
      <c r="H100" s="16">
        <v>450157</v>
      </c>
      <c r="I100" s="16">
        <f t="shared" si="7"/>
        <v>-225476</v>
      </c>
      <c r="J100" s="15">
        <f t="shared" si="8"/>
        <v>-0.500883025255633</v>
      </c>
      <c r="K100" s="137" t="s">
        <v>1041</v>
      </c>
      <c r="L100" s="138" t="s">
        <v>1042</v>
      </c>
      <c r="M100" s="140" t="s">
        <v>1043</v>
      </c>
      <c r="N100" s="140" t="s">
        <v>1044</v>
      </c>
      <c r="S100" s="104"/>
      <c r="T100" s="104"/>
      <c r="U100" s="104"/>
      <c r="V100" s="104"/>
      <c r="W100" s="104"/>
      <c r="X100" s="104"/>
      <c r="Y100" s="104"/>
      <c r="Z100" s="104"/>
      <c r="AA100" s="104"/>
    </row>
    <row r="101" spans="1:27" ht="28.9">
      <c r="A101" s="24" t="str">
        <v>Genesee</v>
      </c>
      <c r="B101" s="25" t="str">
        <v>NY</v>
      </c>
      <c r="C101" s="25" t="str">
        <f>Sites[[#This Row],[SOL'#]]</f>
        <v>SOL-10951</v>
      </c>
      <c r="D101" s="20">
        <v>0</v>
      </c>
      <c r="E101" s="10">
        <v>0</v>
      </c>
      <c r="F101" s="10">
        <f t="shared" si="5"/>
        <v>0</v>
      </c>
      <c r="G101" s="11" t="str">
        <f t="shared" si="6"/>
        <v/>
      </c>
      <c r="H101" s="12">
        <v>942025</v>
      </c>
      <c r="I101" s="12">
        <f t="shared" si="7"/>
        <v>-942025</v>
      </c>
      <c r="J101" s="64">
        <f t="shared" si="8"/>
        <v>-1</v>
      </c>
      <c r="K101" s="70" t="s">
        <v>1045</v>
      </c>
      <c r="L101" s="140" t="s">
        <v>1046</v>
      </c>
      <c r="S101" s="104"/>
      <c r="T101" s="104"/>
      <c r="U101" s="104"/>
      <c r="V101" s="104"/>
      <c r="W101" s="104"/>
      <c r="X101" s="104"/>
      <c r="Y101" s="104"/>
      <c r="Z101" s="104"/>
      <c r="AA101" s="104"/>
    </row>
    <row r="102" spans="1:27" ht="15.6">
      <c r="A102" s="26" t="str">
        <v>Landau I</v>
      </c>
      <c r="B102" s="27" t="str">
        <v>NY</v>
      </c>
      <c r="C102" s="9" t="str">
        <f>Sites[[#This Row],[SOL'#]]</f>
        <v>SOL-10891</v>
      </c>
      <c r="D102" s="9">
        <v>336380</v>
      </c>
      <c r="E102" s="14" t="s">
        <v>941</v>
      </c>
      <c r="F102" s="14" t="str">
        <f t="shared" si="5"/>
        <v/>
      </c>
      <c r="G102" s="15" t="str">
        <f t="shared" si="6"/>
        <v/>
      </c>
      <c r="H102" s="16">
        <v>409363</v>
      </c>
      <c r="I102" s="16">
        <f t="shared" si="7"/>
        <v>-72983</v>
      </c>
      <c r="J102" s="15">
        <f t="shared" si="8"/>
        <v>-0.17828431001336223</v>
      </c>
      <c r="K102" s="137" t="s">
        <v>1047</v>
      </c>
      <c r="L102" s="137"/>
      <c r="S102" s="104"/>
      <c r="T102" s="104"/>
      <c r="U102" s="104"/>
      <c r="V102" s="104"/>
      <c r="W102" s="104"/>
      <c r="X102" s="104"/>
      <c r="Y102" s="104"/>
      <c r="Z102" s="104"/>
      <c r="AA102" s="104"/>
    </row>
    <row r="103" spans="1:27" ht="158.44999999999999">
      <c r="A103" s="24" t="str">
        <v>Landau II</v>
      </c>
      <c r="B103" s="25" t="str">
        <v>NY</v>
      </c>
      <c r="C103" s="25" t="str">
        <f>Sites[[#This Row],[SOL'#]]</f>
        <v>SOL-10895</v>
      </c>
      <c r="D103" s="20">
        <v>343090</v>
      </c>
      <c r="E103" s="10" t="s">
        <v>941</v>
      </c>
      <c r="F103" s="10" t="str">
        <f t="shared" si="5"/>
        <v/>
      </c>
      <c r="G103" s="11" t="str">
        <f t="shared" si="6"/>
        <v/>
      </c>
      <c r="H103" s="12">
        <v>889569</v>
      </c>
      <c r="I103" s="12">
        <f t="shared" si="7"/>
        <v>-546479</v>
      </c>
      <c r="J103" s="64">
        <f t="shared" si="8"/>
        <v>-0.61431884429425931</v>
      </c>
      <c r="K103" s="70" t="s">
        <v>1048</v>
      </c>
      <c r="L103" s="139" t="s">
        <v>1049</v>
      </c>
      <c r="M103" s="140" t="s">
        <v>802</v>
      </c>
      <c r="N103" s="140" t="s">
        <v>1050</v>
      </c>
      <c r="O103" s="140" t="s">
        <v>1051</v>
      </c>
      <c r="P103" s="140" t="s">
        <v>1052</v>
      </c>
      <c r="Q103" s="140" t="s">
        <v>1053</v>
      </c>
      <c r="R103" s="140" t="s">
        <v>1054</v>
      </c>
      <c r="S103" s="104"/>
      <c r="T103" s="104"/>
      <c r="U103" s="104"/>
      <c r="V103" s="104"/>
      <c r="W103" s="104"/>
      <c r="X103" s="104"/>
      <c r="Y103" s="104"/>
      <c r="Z103" s="104"/>
      <c r="AA103" s="104"/>
    </row>
    <row r="104" spans="1:27" ht="122.25" customHeight="1">
      <c r="A104" s="26" t="str">
        <v>New Beginnings</v>
      </c>
      <c r="B104" s="27" t="str">
        <v>NY</v>
      </c>
      <c r="C104" s="9" t="str">
        <f>Sites[[#This Row],[SOL'#]]</f>
        <v>SOL-10890</v>
      </c>
      <c r="D104" s="9">
        <v>247740</v>
      </c>
      <c r="E104" s="14">
        <v>331745.40999999997</v>
      </c>
      <c r="F104" s="14">
        <f>IF(AND(ISNUMBER(D104),ISNUMBER(E104)), D104-E104, "")</f>
        <v>-84005.409999999974</v>
      </c>
      <c r="G104" s="15">
        <f>IFERROR(F104/E104, "")</f>
        <v>-0.25322252386250038</v>
      </c>
      <c r="H104" s="16">
        <v>401712</v>
      </c>
      <c r="I104" s="16">
        <f>IF(AND(ISNUMBER(D104),ISNUMBER(H104)), D104-H104, "")</f>
        <v>-153972</v>
      </c>
      <c r="J104" s="15">
        <f t="shared" si="8"/>
        <v>-0.38328952085075874</v>
      </c>
      <c r="K104" s="137" t="s">
        <v>1055</v>
      </c>
      <c r="L104" s="138" t="s">
        <v>1056</v>
      </c>
      <c r="S104" s="104"/>
      <c r="T104" s="104"/>
      <c r="U104" s="104"/>
      <c r="V104" s="104"/>
      <c r="W104" s="104"/>
      <c r="X104" s="104"/>
      <c r="Y104" s="104"/>
      <c r="Z104" s="104"/>
      <c r="AA104" s="104"/>
    </row>
    <row r="105" spans="1:27" ht="15.6">
      <c r="A105" s="24" t="str">
        <v>Bullitt Farm Solar, LLC</v>
      </c>
      <c r="B105" s="25" t="str">
        <v>NY</v>
      </c>
      <c r="C105" s="25" t="str">
        <f>Sites[[#This Row],[SOL'#]]</f>
        <v>SOL-10998</v>
      </c>
      <c r="D105" s="20">
        <v>772282</v>
      </c>
      <c r="E105" s="10">
        <v>739504.40700000001</v>
      </c>
      <c r="F105" s="10">
        <f t="shared" si="5"/>
        <v>32777.592999999993</v>
      </c>
      <c r="G105" s="11">
        <f t="shared" si="6"/>
        <v>4.4323729094423087E-2</v>
      </c>
      <c r="H105" s="12">
        <v>1157050</v>
      </c>
      <c r="I105" s="12">
        <f t="shared" si="7"/>
        <v>-384768</v>
      </c>
      <c r="J105" s="64">
        <f t="shared" si="8"/>
        <v>-0.3325422410440344</v>
      </c>
      <c r="K105" s="70" t="s">
        <v>1057</v>
      </c>
      <c r="L105" s="17"/>
      <c r="S105" s="104"/>
      <c r="T105" s="104"/>
      <c r="U105" s="104"/>
      <c r="V105" s="104"/>
      <c r="W105" s="104"/>
      <c r="X105" s="104"/>
      <c r="Y105" s="104"/>
      <c r="Z105" s="104"/>
      <c r="AA105" s="104"/>
    </row>
    <row r="106" spans="1:27" ht="28.9">
      <c r="A106" s="26" t="str">
        <v>Brodhead Solar, LLC</v>
      </c>
      <c r="B106" s="27" t="str">
        <v>NY</v>
      </c>
      <c r="C106" s="9" t="str">
        <f>Sites[[#This Row],[SOL'#]]</f>
        <v>SOL-10899</v>
      </c>
      <c r="D106" s="9">
        <v>380716</v>
      </c>
      <c r="E106" s="14">
        <v>391433.11900000001</v>
      </c>
      <c r="F106" s="14">
        <f t="shared" si="5"/>
        <v>-10717.119000000006</v>
      </c>
      <c r="G106" s="15">
        <f t="shared" si="6"/>
        <v>-2.7379183006739923E-2</v>
      </c>
      <c r="H106" s="16">
        <v>506277</v>
      </c>
      <c r="I106" s="16">
        <f t="shared" si="7"/>
        <v>-125561</v>
      </c>
      <c r="J106" s="15">
        <f t="shared" si="8"/>
        <v>-0.24800850127499374</v>
      </c>
      <c r="K106" s="137" t="s">
        <v>1058</v>
      </c>
      <c r="L106" s="138" t="s">
        <v>1059</v>
      </c>
      <c r="M106" s="140" t="s">
        <v>542</v>
      </c>
      <c r="S106" s="104"/>
      <c r="T106" s="104"/>
      <c r="U106" s="104"/>
      <c r="V106" s="104"/>
      <c r="W106" s="104"/>
      <c r="X106" s="104"/>
      <c r="Y106" s="104"/>
      <c r="Z106" s="104"/>
      <c r="AA106" s="104"/>
    </row>
    <row r="107" spans="1:27" ht="72">
      <c r="A107" s="24" t="str">
        <v>Svenski</v>
      </c>
      <c r="B107" s="25" t="str">
        <v>NY</v>
      </c>
      <c r="C107" s="25" t="str">
        <f>Sites[[#This Row],[SOL'#]]</f>
        <v>SOL-10894</v>
      </c>
      <c r="D107" s="20">
        <v>278263</v>
      </c>
      <c r="E107" s="10" t="s">
        <v>941</v>
      </c>
      <c r="F107" s="10" t="str">
        <f t="shared" si="5"/>
        <v/>
      </c>
      <c r="G107" s="11" t="str">
        <f t="shared" si="6"/>
        <v/>
      </c>
      <c r="H107" s="12">
        <v>431419</v>
      </c>
      <c r="I107" s="12">
        <f t="shared" si="7"/>
        <v>-153156</v>
      </c>
      <c r="J107" s="64">
        <f t="shared" si="8"/>
        <v>-0.35500522693715392</v>
      </c>
      <c r="K107" s="70" t="s">
        <v>1060</v>
      </c>
      <c r="L107" s="139" t="s">
        <v>1061</v>
      </c>
      <c r="M107" s="140" t="s">
        <v>1062</v>
      </c>
      <c r="N107" s="140" t="s">
        <v>1063</v>
      </c>
      <c r="S107" s="104"/>
      <c r="T107" s="104"/>
      <c r="U107" s="104"/>
      <c r="V107" s="104"/>
      <c r="W107" s="104"/>
      <c r="X107" s="104"/>
      <c r="Y107" s="104"/>
      <c r="Z107" s="104"/>
      <c r="AA107" s="104"/>
    </row>
    <row r="108" spans="1:27" ht="187.15">
      <c r="A108" s="26" t="str">
        <v>Bantam</v>
      </c>
      <c r="B108" s="27" t="str">
        <v>NY</v>
      </c>
      <c r="C108" s="9" t="str">
        <f>Sites[[#This Row],[SOL'#]]</f>
        <v>SOL-10986</v>
      </c>
      <c r="D108" s="9">
        <v>108270</v>
      </c>
      <c r="E108" s="14" t="s">
        <v>941</v>
      </c>
      <c r="F108" s="14" t="str">
        <f t="shared" si="5"/>
        <v/>
      </c>
      <c r="G108" s="15" t="str">
        <f t="shared" si="6"/>
        <v/>
      </c>
      <c r="H108" s="16">
        <v>1155000</v>
      </c>
      <c r="I108" s="16">
        <f t="shared" si="7"/>
        <v>-1046730</v>
      </c>
      <c r="J108" s="15">
        <f t="shared" si="8"/>
        <v>-0.90625974025974021</v>
      </c>
      <c r="K108" s="137" t="s">
        <v>1064</v>
      </c>
      <c r="L108" s="138" t="s">
        <v>1065</v>
      </c>
      <c r="M108" s="140" t="s">
        <v>1066</v>
      </c>
      <c r="N108" s="140" t="s">
        <v>1067</v>
      </c>
      <c r="O108" s="140" t="s">
        <v>1068</v>
      </c>
      <c r="P108" s="140" t="s">
        <v>1069</v>
      </c>
      <c r="S108" s="104"/>
      <c r="T108" s="104"/>
      <c r="U108" s="104"/>
      <c r="V108" s="104"/>
      <c r="W108" s="104"/>
      <c r="X108" s="104"/>
      <c r="Y108" s="104"/>
      <c r="Z108" s="104"/>
      <c r="AA108" s="104"/>
    </row>
    <row r="109" spans="1:27" ht="121.5" customHeight="1">
      <c r="A109" s="24" t="str">
        <v>Bogart</v>
      </c>
      <c r="B109" s="25" t="str">
        <v>NY</v>
      </c>
      <c r="C109" s="25" t="str">
        <f>Sites[[#This Row],[SOL'#]]</f>
        <v>SOL-10887</v>
      </c>
      <c r="D109" s="20">
        <v>315310</v>
      </c>
      <c r="E109" s="10">
        <v>313452.79999999999</v>
      </c>
      <c r="F109" s="10">
        <f t="shared" si="5"/>
        <v>1857.2000000000116</v>
      </c>
      <c r="G109" s="11">
        <f t="shared" si="6"/>
        <v>5.9249749882598329E-3</v>
      </c>
      <c r="H109" s="12">
        <v>393903</v>
      </c>
      <c r="I109" s="12">
        <f t="shared" si="7"/>
        <v>-78593</v>
      </c>
      <c r="J109" s="64">
        <f t="shared" si="8"/>
        <v>-0.19952374061634462</v>
      </c>
      <c r="K109" s="70" t="s">
        <v>548</v>
      </c>
      <c r="L109" s="140" t="s">
        <v>159</v>
      </c>
      <c r="S109" s="104"/>
      <c r="T109" s="104"/>
      <c r="U109" s="104"/>
      <c r="V109" s="104"/>
      <c r="W109" s="104"/>
      <c r="X109" s="104"/>
      <c r="Y109" s="104"/>
      <c r="Z109" s="104"/>
      <c r="AA109" s="104"/>
    </row>
    <row r="110" spans="1:27" ht="165.75" customHeight="1">
      <c r="A110" s="26" t="str">
        <v>Dubois</v>
      </c>
      <c r="B110" s="27" t="str">
        <v>NY</v>
      </c>
      <c r="C110" s="9" t="str">
        <f>Sites[[#This Row],[SOL'#]]</f>
        <v>SOL-10892</v>
      </c>
      <c r="D110" s="9"/>
      <c r="E110" s="14" t="s">
        <v>941</v>
      </c>
      <c r="F110" s="14" t="str">
        <f t="shared" si="5"/>
        <v/>
      </c>
      <c r="G110" s="15" t="str">
        <f t="shared" si="6"/>
        <v/>
      </c>
      <c r="H110" s="16"/>
      <c r="I110" s="16" t="str">
        <f t="shared" si="7"/>
        <v/>
      </c>
      <c r="J110" s="15" t="str">
        <f t="shared" si="8"/>
        <v/>
      </c>
      <c r="K110" s="137" t="s">
        <v>1070</v>
      </c>
      <c r="L110" s="138" t="s">
        <v>1071</v>
      </c>
      <c r="M110" s="140" t="s">
        <v>1072</v>
      </c>
      <c r="N110" s="140" t="s">
        <v>1073</v>
      </c>
      <c r="O110" s="140" t="s">
        <v>1074</v>
      </c>
      <c r="P110" s="140" t="s">
        <v>1075</v>
      </c>
      <c r="Q110" s="140" t="s">
        <v>1075</v>
      </c>
      <c r="S110" s="103" t="s">
        <v>1076</v>
      </c>
      <c r="T110" s="103" t="s">
        <v>1077</v>
      </c>
      <c r="U110" s="103" t="s">
        <v>1078</v>
      </c>
      <c r="V110" s="103" t="s">
        <v>1079</v>
      </c>
      <c r="W110" s="103" t="s">
        <v>1080</v>
      </c>
      <c r="X110" s="103" t="s">
        <v>1081</v>
      </c>
      <c r="Y110" s="103" t="s">
        <v>1082</v>
      </c>
      <c r="Z110" s="104"/>
      <c r="AA110" s="104"/>
    </row>
    <row r="111" spans="1:27" ht="64.5" customHeight="1">
      <c r="A111" s="24" t="str">
        <v>Salt Point</v>
      </c>
      <c r="B111" s="25" t="str">
        <v>NY</v>
      </c>
      <c r="C111" s="25" t="str">
        <f>Sites[[#This Row],[SOL'#]]</f>
        <v>SOL-10888</v>
      </c>
      <c r="D111" s="20">
        <v>338230</v>
      </c>
      <c r="E111" s="10" t="s">
        <v>941</v>
      </c>
      <c r="F111" s="10" t="str">
        <f t="shared" ref="F111:F142" si="9">IF(AND(ISNUMBER(D111),ISNUMBER(E111)), D111-E111, "")</f>
        <v/>
      </c>
      <c r="G111" s="11" t="str">
        <f t="shared" si="6"/>
        <v/>
      </c>
      <c r="H111" s="12">
        <v>482241</v>
      </c>
      <c r="I111" s="12">
        <f t="shared" si="7"/>
        <v>-144011</v>
      </c>
      <c r="J111" s="64">
        <f t="shared" si="8"/>
        <v>-0.29862869395177932</v>
      </c>
      <c r="K111" s="70" t="s">
        <v>1083</v>
      </c>
      <c r="L111" s="140" t="s">
        <v>551</v>
      </c>
      <c r="S111" s="104"/>
      <c r="T111" s="104"/>
      <c r="U111" s="104"/>
      <c r="V111" s="104"/>
      <c r="W111" s="104"/>
      <c r="X111" s="104"/>
      <c r="Y111" s="104"/>
      <c r="Z111" s="104"/>
      <c r="AA111" s="104"/>
    </row>
    <row r="112" spans="1:27" ht="48" customHeight="1">
      <c r="A112" s="26" t="str">
        <v>Wheatland 2A</v>
      </c>
      <c r="B112" s="27" t="str">
        <v>NY</v>
      </c>
      <c r="C112" s="9" t="str">
        <f>Sites[[#This Row],[SOL'#]]</f>
        <v>SOL-10971</v>
      </c>
      <c r="D112" s="9">
        <v>681340</v>
      </c>
      <c r="E112" s="14" t="s">
        <v>941</v>
      </c>
      <c r="F112" s="14" t="str">
        <f t="shared" si="9"/>
        <v/>
      </c>
      <c r="G112" s="15" t="str">
        <f t="shared" si="6"/>
        <v/>
      </c>
      <c r="H112" s="16">
        <v>1053225</v>
      </c>
      <c r="I112" s="16">
        <f t="shared" si="7"/>
        <v>-371885</v>
      </c>
      <c r="J112" s="15">
        <f t="shared" si="8"/>
        <v>-0.35309169455719336</v>
      </c>
      <c r="K112" s="137" t="s">
        <v>1084</v>
      </c>
      <c r="L112" s="138" t="s">
        <v>1085</v>
      </c>
      <c r="M112" s="140" t="s">
        <v>554</v>
      </c>
      <c r="N112" s="140" t="s">
        <v>1086</v>
      </c>
      <c r="O112" s="140" t="s">
        <v>1087</v>
      </c>
      <c r="S112" s="104"/>
      <c r="T112" s="104"/>
      <c r="U112" s="104"/>
      <c r="V112" s="104"/>
      <c r="W112" s="104"/>
      <c r="X112" s="104"/>
      <c r="Y112" s="104"/>
      <c r="Z112" s="104"/>
      <c r="AA112" s="104"/>
    </row>
    <row r="113" spans="1:27" ht="63" customHeight="1">
      <c r="A113" s="24" t="str">
        <v>Wheatland 2B</v>
      </c>
      <c r="B113" s="25" t="str">
        <v>NY</v>
      </c>
      <c r="C113" s="25" t="str">
        <f>Sites[[#This Row],[SOL'#]]</f>
        <v>SOL-10961</v>
      </c>
      <c r="D113" s="20">
        <v>812620</v>
      </c>
      <c r="E113" s="10" t="s">
        <v>941</v>
      </c>
      <c r="F113" s="10" t="str">
        <f t="shared" si="9"/>
        <v/>
      </c>
      <c r="G113" s="11" t="str">
        <f t="shared" si="6"/>
        <v/>
      </c>
      <c r="H113" s="12">
        <v>1046530</v>
      </c>
      <c r="I113" s="12">
        <f t="shared" si="7"/>
        <v>-233910</v>
      </c>
      <c r="J113" s="64">
        <f t="shared" si="8"/>
        <v>-0.22351007615644081</v>
      </c>
      <c r="K113" s="70" t="s">
        <v>1088</v>
      </c>
      <c r="L113" s="140" t="s">
        <v>1089</v>
      </c>
      <c r="S113" s="104"/>
      <c r="T113" s="104"/>
      <c r="U113" s="104"/>
      <c r="V113" s="104"/>
      <c r="W113" s="104"/>
      <c r="X113" s="104"/>
      <c r="Y113" s="104"/>
      <c r="Z113" s="104"/>
      <c r="AA113" s="104"/>
    </row>
    <row r="114" spans="1:27" ht="28.9">
      <c r="A114" s="26" t="str">
        <v>Brickchurch</v>
      </c>
      <c r="B114" s="27" t="str">
        <v>NY</v>
      </c>
      <c r="C114" s="9" t="str">
        <f>Sites[[#This Row],[SOL'#]]</f>
        <v>SOL-10889</v>
      </c>
      <c r="D114" s="9">
        <v>350550</v>
      </c>
      <c r="E114" s="14">
        <v>335777.97</v>
      </c>
      <c r="F114" s="14">
        <f t="shared" si="9"/>
        <v>14772.030000000028</v>
      </c>
      <c r="G114" s="15">
        <f t="shared" si="6"/>
        <v>4.3993446026253685E-2</v>
      </c>
      <c r="H114" s="16">
        <v>499952</v>
      </c>
      <c r="I114" s="16">
        <f t="shared" si="7"/>
        <v>-149402</v>
      </c>
      <c r="J114" s="15">
        <f t="shared" si="8"/>
        <v>-0.29883268793804207</v>
      </c>
      <c r="K114" s="137" t="s">
        <v>1090</v>
      </c>
      <c r="L114" s="138" t="s">
        <v>1091</v>
      </c>
      <c r="M114" s="140" t="s">
        <v>563</v>
      </c>
      <c r="S114" s="104"/>
      <c r="T114" s="104"/>
      <c r="U114" s="104"/>
      <c r="V114" s="104"/>
      <c r="W114" s="104"/>
      <c r="X114" s="104"/>
      <c r="Y114" s="104"/>
      <c r="Z114" s="104"/>
      <c r="AA114" s="104"/>
    </row>
    <row r="115" spans="1:27" ht="15.6">
      <c r="A115" s="24" t="str">
        <v>McCarthy Solar</v>
      </c>
      <c r="B115" s="25" t="str">
        <v>NY</v>
      </c>
      <c r="C115" s="25" t="str">
        <f>Sites[[#This Row],[SOL'#]]</f>
        <v>SOL-10992</v>
      </c>
      <c r="D115" s="20">
        <v>333660</v>
      </c>
      <c r="E115" s="10" t="s">
        <v>941</v>
      </c>
      <c r="F115" s="10" t="str">
        <f t="shared" si="9"/>
        <v/>
      </c>
      <c r="G115" s="11" t="str">
        <f t="shared" si="6"/>
        <v/>
      </c>
      <c r="H115" s="12">
        <v>404377</v>
      </c>
      <c r="I115" s="12">
        <f t="shared" si="7"/>
        <v>-70717</v>
      </c>
      <c r="J115" s="64">
        <f t="shared" si="8"/>
        <v>-0.17487888777057053</v>
      </c>
      <c r="K115" s="70" t="s">
        <v>1092</v>
      </c>
      <c r="L115" s="17"/>
      <c r="S115" s="104"/>
      <c r="T115" s="104"/>
      <c r="U115" s="104"/>
      <c r="V115" s="104"/>
      <c r="W115" s="104"/>
      <c r="X115" s="104"/>
      <c r="Y115" s="104"/>
      <c r="Z115" s="104"/>
      <c r="AA115" s="104"/>
    </row>
    <row r="116" spans="1:27" ht="72">
      <c r="A116" s="26" t="str">
        <v>Costanza</v>
      </c>
      <c r="B116" s="27" t="str">
        <v>NY</v>
      </c>
      <c r="C116" s="9" t="str">
        <f>Sites[[#This Row],[SOL'#]]</f>
        <v>SOL-10907</v>
      </c>
      <c r="D116" s="9">
        <v>281340</v>
      </c>
      <c r="E116" s="14" t="s">
        <v>941</v>
      </c>
      <c r="F116" s="14" t="str">
        <f t="shared" si="9"/>
        <v/>
      </c>
      <c r="G116" s="15" t="str">
        <f t="shared" si="6"/>
        <v/>
      </c>
      <c r="H116" s="16">
        <v>411426</v>
      </c>
      <c r="I116" s="16">
        <f t="shared" si="7"/>
        <v>-130086</v>
      </c>
      <c r="J116" s="15">
        <f t="shared" si="8"/>
        <v>-0.31618322614516342</v>
      </c>
      <c r="K116" s="137" t="s">
        <v>1093</v>
      </c>
      <c r="L116" s="138" t="s">
        <v>1094</v>
      </c>
      <c r="M116" s="140" t="s">
        <v>1095</v>
      </c>
      <c r="N116" s="140" t="s">
        <v>1096</v>
      </c>
      <c r="O116" s="140" t="s">
        <v>1097</v>
      </c>
      <c r="S116" s="104"/>
      <c r="T116" s="104"/>
      <c r="U116" s="104"/>
      <c r="V116" s="104"/>
      <c r="W116" s="104"/>
      <c r="X116" s="104"/>
      <c r="Y116" s="104"/>
      <c r="Z116" s="104"/>
      <c r="AA116" s="104"/>
    </row>
    <row r="117" spans="1:27" ht="15.6">
      <c r="A117" s="24" t="str">
        <v>Lockenhurst Pond</v>
      </c>
      <c r="B117" s="25" t="str">
        <v>NY</v>
      </c>
      <c r="C117" s="25" t="str">
        <f>Sites[[#This Row],[SOL'#]]</f>
        <v>SOL-11000</v>
      </c>
      <c r="D117" s="20">
        <v>343913.716417911</v>
      </c>
      <c r="E117" s="10">
        <v>369550</v>
      </c>
      <c r="F117" s="10">
        <f t="shared" si="9"/>
        <v>-25636.283582089003</v>
      </c>
      <c r="G117" s="11">
        <f t="shared" si="6"/>
        <v>-6.9371623818398065E-2</v>
      </c>
      <c r="H117" s="12">
        <v>473503</v>
      </c>
      <c r="I117" s="12">
        <f t="shared" si="7"/>
        <v>-129589.283582089</v>
      </c>
      <c r="J117" s="64">
        <f t="shared" si="8"/>
        <v>-0.27368207504934289</v>
      </c>
      <c r="K117" s="70" t="s">
        <v>1098</v>
      </c>
      <c r="L117" s="140" t="s">
        <v>1099</v>
      </c>
      <c r="S117" s="104"/>
      <c r="T117" s="104"/>
      <c r="U117" s="104"/>
      <c r="V117" s="104"/>
      <c r="W117" s="104"/>
      <c r="X117" s="104"/>
      <c r="Y117" s="104"/>
      <c r="Z117" s="104"/>
      <c r="AA117" s="104"/>
    </row>
    <row r="118" spans="1:27" ht="15.6">
      <c r="A118" s="26" t="str">
        <v>Drinkwater</v>
      </c>
      <c r="B118" s="27" t="str">
        <v>NY</v>
      </c>
      <c r="C118" s="9" t="str">
        <f>Sites[[#This Row],[SOL'#]]</f>
        <v>SOL-10896</v>
      </c>
      <c r="D118" s="9">
        <v>322920</v>
      </c>
      <c r="E118" s="14" t="s">
        <v>941</v>
      </c>
      <c r="F118" s="14" t="str">
        <f t="shared" si="9"/>
        <v/>
      </c>
      <c r="G118" s="15" t="str">
        <f t="shared" si="6"/>
        <v/>
      </c>
      <c r="H118" s="16">
        <v>423973</v>
      </c>
      <c r="I118" s="12">
        <f t="shared" si="7"/>
        <v>-101053</v>
      </c>
      <c r="J118" s="15">
        <f t="shared" si="8"/>
        <v>-0.23834772497305254</v>
      </c>
      <c r="K118" s="137" t="s">
        <v>1100</v>
      </c>
      <c r="L118" s="137"/>
      <c r="S118" s="104"/>
      <c r="T118" s="104"/>
      <c r="U118" s="104"/>
      <c r="V118" s="104"/>
      <c r="W118" s="104"/>
      <c r="X118" s="104"/>
      <c r="Y118" s="104"/>
      <c r="Z118" s="104"/>
      <c r="AA118" s="104"/>
    </row>
    <row r="119" spans="1:27" ht="15.6">
      <c r="A119" s="24" t="str">
        <v>Altamont</v>
      </c>
      <c r="B119" s="25" t="str">
        <v>NY</v>
      </c>
      <c r="C119" s="25" t="str">
        <f>Sites[[#This Row],[SOL'#]]</f>
        <v>SOL-11085</v>
      </c>
      <c r="D119" s="20">
        <v>668025</v>
      </c>
      <c r="E119" s="10">
        <v>683749.6</v>
      </c>
      <c r="F119" s="10">
        <f t="shared" si="9"/>
        <v>-15724.599999999977</v>
      </c>
      <c r="G119" s="11">
        <f t="shared" si="6"/>
        <v>-2.2997600291100685E-2</v>
      </c>
      <c r="H119" s="12">
        <v>709911</v>
      </c>
      <c r="I119" s="12">
        <f t="shared" si="7"/>
        <v>-41886</v>
      </c>
      <c r="J119" s="64">
        <f t="shared" si="8"/>
        <v>-5.9001762192725564E-2</v>
      </c>
      <c r="K119" s="70" t="s">
        <v>1100</v>
      </c>
      <c r="L119" s="17"/>
      <c r="S119" s="104"/>
      <c r="T119" s="104"/>
      <c r="U119" s="104"/>
      <c r="V119" s="104"/>
      <c r="W119" s="104"/>
      <c r="X119" s="104"/>
      <c r="Y119" s="104"/>
      <c r="Z119" s="104"/>
      <c r="AA119" s="104"/>
    </row>
    <row r="120" spans="1:27" ht="37.5" customHeight="1">
      <c r="A120" s="26" t="str">
        <v>Krumkill North</v>
      </c>
      <c r="B120" s="27" t="str">
        <v>NY</v>
      </c>
      <c r="C120" s="9" t="str">
        <f>Sites[[#This Row],[SOL'#]]</f>
        <v>SOL-11086</v>
      </c>
      <c r="D120" s="9">
        <v>624527</v>
      </c>
      <c r="E120" s="14">
        <v>670096.30000000005</v>
      </c>
      <c r="F120" s="14">
        <f t="shared" si="9"/>
        <v>-45569.300000000047</v>
      </c>
      <c r="G120" s="15">
        <f t="shared" si="6"/>
        <v>-6.8004106275471224E-2</v>
      </c>
      <c r="H120" s="16">
        <v>776930</v>
      </c>
      <c r="I120" s="16">
        <f t="shared" si="7"/>
        <v>-152403</v>
      </c>
      <c r="J120" s="15">
        <f t="shared" si="8"/>
        <v>-0.19616052926261054</v>
      </c>
      <c r="K120" s="137" t="s">
        <v>1100</v>
      </c>
      <c r="L120" s="137"/>
      <c r="S120" s="104"/>
      <c r="T120" s="104"/>
      <c r="U120" s="104"/>
      <c r="V120" s="104"/>
      <c r="W120" s="104"/>
      <c r="X120" s="104"/>
      <c r="Y120" s="104"/>
      <c r="Z120" s="104"/>
      <c r="AA120" s="104"/>
    </row>
    <row r="121" spans="1:27" ht="15.6">
      <c r="A121" s="24" t="str">
        <v>Krumkill South</v>
      </c>
      <c r="B121" s="25" t="str">
        <v>NY</v>
      </c>
      <c r="C121" s="25" t="str">
        <f>Sites[[#This Row],[SOL'#]]</f>
        <v>SOL-11087</v>
      </c>
      <c r="D121" s="20">
        <v>515330</v>
      </c>
      <c r="E121" s="10">
        <v>532603.6</v>
      </c>
      <c r="F121" s="10">
        <f t="shared" si="9"/>
        <v>-17273.599999999977</v>
      </c>
      <c r="G121" s="11">
        <f t="shared" si="6"/>
        <v>-3.2432375597911803E-2</v>
      </c>
      <c r="H121" s="12">
        <v>609090</v>
      </c>
      <c r="I121" s="12">
        <f t="shared" si="7"/>
        <v>-93760</v>
      </c>
      <c r="J121" s="64">
        <f t="shared" si="8"/>
        <v>-0.15393455811128076</v>
      </c>
      <c r="K121" s="70" t="s">
        <v>1100</v>
      </c>
      <c r="L121" s="17"/>
      <c r="S121" s="104"/>
      <c r="T121" s="104"/>
      <c r="U121" s="104"/>
      <c r="V121" s="104"/>
      <c r="W121" s="104"/>
      <c r="X121" s="104"/>
      <c r="Y121" s="104"/>
      <c r="Z121" s="104"/>
      <c r="AA121" s="104"/>
    </row>
    <row r="122" spans="1:27" ht="51.75" customHeight="1">
      <c r="A122" s="26" t="str">
        <v>X092</v>
      </c>
      <c r="B122" s="27" t="str">
        <v>NY</v>
      </c>
      <c r="C122" s="9" t="str">
        <f>Sites[[#This Row],[SOL'#]]</f>
        <v>SOL-11189</v>
      </c>
      <c r="D122" s="9">
        <v>17684.400000000001</v>
      </c>
      <c r="E122" s="14">
        <v>18009.21</v>
      </c>
      <c r="F122" s="14">
        <f t="shared" si="9"/>
        <v>-324.80999999999767</v>
      </c>
      <c r="G122" s="15">
        <f t="shared" si="6"/>
        <v>-1.8035771696815001E-2</v>
      </c>
      <c r="H122" s="16">
        <v>22323</v>
      </c>
      <c r="I122" s="16">
        <f t="shared" si="7"/>
        <v>-4638.5999999999985</v>
      </c>
      <c r="J122" s="15">
        <f t="shared" si="8"/>
        <v>-0.20779465125655147</v>
      </c>
      <c r="K122" s="137" t="s">
        <v>1101</v>
      </c>
      <c r="L122" s="137"/>
      <c r="S122" s="104"/>
      <c r="T122" s="104"/>
      <c r="U122" s="104"/>
      <c r="V122" s="104"/>
      <c r="W122" s="104"/>
      <c r="X122" s="104"/>
      <c r="Y122" s="104"/>
      <c r="Z122" s="104"/>
      <c r="AA122" s="104"/>
    </row>
    <row r="123" spans="1:27" ht="43.15">
      <c r="A123" s="28" t="str">
        <v>X093</v>
      </c>
      <c r="B123" s="25" t="str">
        <v>NY</v>
      </c>
      <c r="C123" s="25" t="str">
        <f>Sites[[#This Row],[SOL'#]]</f>
        <v>SOL-10932</v>
      </c>
      <c r="D123" s="54">
        <v>1862.18017578125</v>
      </c>
      <c r="E123" s="10">
        <v>12441.15</v>
      </c>
      <c r="F123" s="10">
        <f t="shared" si="9"/>
        <v>-10578.96982421875</v>
      </c>
      <c r="G123" s="55">
        <f t="shared" si="6"/>
        <v>-0.85032089671925426</v>
      </c>
      <c r="H123" s="67">
        <v>15637</v>
      </c>
      <c r="I123" s="67">
        <f t="shared" si="7"/>
        <v>-13774.81982421875</v>
      </c>
      <c r="J123" s="64">
        <f t="shared" si="8"/>
        <v>-0.88091192838899723</v>
      </c>
      <c r="K123" s="70" t="s">
        <v>1102</v>
      </c>
      <c r="L123" s="139" t="s">
        <v>1103</v>
      </c>
      <c r="M123" s="140" t="s">
        <v>835</v>
      </c>
      <c r="S123" s="104"/>
      <c r="T123" s="104"/>
      <c r="U123" s="104"/>
      <c r="V123" s="104"/>
      <c r="W123" s="104"/>
      <c r="X123" s="104"/>
      <c r="Y123" s="104"/>
      <c r="Z123" s="104"/>
      <c r="AA123" s="104"/>
    </row>
    <row r="124" spans="1:27" ht="15.6">
      <c r="A124" s="26" t="str">
        <v>X095</v>
      </c>
      <c r="B124" s="27" t="str">
        <v>NY</v>
      </c>
      <c r="C124" s="9" t="str">
        <f>Sites[[#This Row],[SOL'#]]</f>
        <v>SOL-10929</v>
      </c>
      <c r="D124" s="66">
        <v>17538.34765625</v>
      </c>
      <c r="E124" s="14" t="s">
        <v>941</v>
      </c>
      <c r="F124" s="14" t="str">
        <f t="shared" si="9"/>
        <v/>
      </c>
      <c r="G124" s="68" t="str">
        <f t="shared" si="6"/>
        <v/>
      </c>
      <c r="H124" s="69">
        <v>21123</v>
      </c>
      <c r="I124" s="69">
        <f t="shared" si="7"/>
        <v>-3584.65234375</v>
      </c>
      <c r="J124" s="68">
        <f t="shared" si="8"/>
        <v>-0.1697037515386072</v>
      </c>
      <c r="K124" s="137" t="s">
        <v>1104</v>
      </c>
      <c r="L124" s="138" t="s">
        <v>180</v>
      </c>
      <c r="S124" s="104"/>
      <c r="T124" s="104"/>
      <c r="U124" s="104"/>
      <c r="V124" s="104"/>
      <c r="W124" s="104"/>
      <c r="X124" s="104"/>
      <c r="Y124" s="104"/>
      <c r="Z124" s="104"/>
      <c r="AA124" s="104"/>
    </row>
    <row r="125" spans="1:27" ht="63" customHeight="1">
      <c r="A125" s="24" t="str">
        <v>X181</v>
      </c>
      <c r="B125" s="25" t="str">
        <v>NY</v>
      </c>
      <c r="C125" s="25" t="str">
        <f>Sites[[#This Row],[SOL'#]]</f>
        <v>SOL-10428</v>
      </c>
      <c r="D125" s="54">
        <v>32339.283828125001</v>
      </c>
      <c r="E125" s="10" t="s">
        <v>941</v>
      </c>
      <c r="F125" s="10" t="str">
        <f t="shared" si="9"/>
        <v/>
      </c>
      <c r="G125" s="55" t="str">
        <f t="shared" si="6"/>
        <v/>
      </c>
      <c r="H125" s="67">
        <v>39535</v>
      </c>
      <c r="I125" s="67">
        <f t="shared" si="7"/>
        <v>-7195.7161718749994</v>
      </c>
      <c r="J125" s="64">
        <f t="shared" si="8"/>
        <v>-0.18200875608637915</v>
      </c>
      <c r="K125" s="70" t="s">
        <v>1092</v>
      </c>
      <c r="L125" s="17"/>
      <c r="S125" s="104"/>
      <c r="T125" s="104"/>
      <c r="U125" s="104"/>
      <c r="V125" s="104"/>
      <c r="W125" s="104"/>
      <c r="X125" s="104"/>
      <c r="Y125" s="104"/>
      <c r="Z125" s="104"/>
      <c r="AA125" s="104"/>
    </row>
    <row r="126" spans="1:27" ht="15.6">
      <c r="A126" s="26" t="str">
        <v>X415</v>
      </c>
      <c r="B126" s="27" t="str">
        <v>NY</v>
      </c>
      <c r="C126" s="9" t="str">
        <f>Sites[[#This Row],[SOL'#]]</f>
        <v>SOL-10429</v>
      </c>
      <c r="D126" s="66">
        <v>20586.1640625</v>
      </c>
      <c r="E126" s="14" t="s">
        <v>941</v>
      </c>
      <c r="F126" s="14" t="str">
        <f t="shared" si="9"/>
        <v/>
      </c>
      <c r="G126" s="68">
        <v>0</v>
      </c>
      <c r="H126" s="69">
        <v>23011</v>
      </c>
      <c r="I126" s="69">
        <f t="shared" si="7"/>
        <v>-2424.8359375</v>
      </c>
      <c r="J126" s="68">
        <f t="shared" si="8"/>
        <v>-0.10537725164051975</v>
      </c>
      <c r="K126" s="137" t="s">
        <v>1092</v>
      </c>
      <c r="L126" s="137"/>
      <c r="S126" s="104"/>
      <c r="T126" s="104"/>
      <c r="U126" s="104"/>
      <c r="V126" s="104"/>
      <c r="W126" s="104"/>
      <c r="X126" s="104"/>
      <c r="Y126" s="104"/>
      <c r="Z126" s="104"/>
      <c r="AA126" s="104"/>
    </row>
    <row r="127" spans="1:27" ht="15.6">
      <c r="A127" s="24" t="str">
        <v>K198</v>
      </c>
      <c r="B127" s="25" t="str">
        <v>NY</v>
      </c>
      <c r="C127" s="25" t="str">
        <f>Sites[[#This Row],[SOL'#]]</f>
        <v>SOL-10930</v>
      </c>
      <c r="D127" s="54">
        <v>15353.96875</v>
      </c>
      <c r="E127" s="10">
        <v>14993.88</v>
      </c>
      <c r="F127" s="10">
        <f t="shared" si="9"/>
        <v>360.0887500000008</v>
      </c>
      <c r="G127" s="55">
        <f t="shared" si="6"/>
        <v>2.4015715078418716E-2</v>
      </c>
      <c r="H127" s="67">
        <v>17463</v>
      </c>
      <c r="I127" s="67">
        <f t="shared" si="7"/>
        <v>-2109.03125</v>
      </c>
      <c r="J127" s="64">
        <f t="shared" si="8"/>
        <v>-0.12077141670961461</v>
      </c>
      <c r="K127" s="70" t="s">
        <v>1092</v>
      </c>
      <c r="L127" s="17"/>
      <c r="S127" s="104"/>
      <c r="T127" s="104"/>
      <c r="U127" s="104"/>
      <c r="V127" s="104"/>
      <c r="W127" s="104"/>
      <c r="X127" s="104"/>
      <c r="Y127" s="104"/>
      <c r="Z127" s="104"/>
      <c r="AA127" s="104"/>
    </row>
    <row r="128" spans="1:27" ht="159" customHeight="1">
      <c r="A128" s="26" t="str">
        <v>K203</v>
      </c>
      <c r="B128" s="27" t="str">
        <v>NY</v>
      </c>
      <c r="C128" s="9" t="str">
        <f>Sites[[#This Row],[SOL'#]]</f>
        <v>SOL-11190</v>
      </c>
      <c r="D128" s="66">
        <v>19346.2</v>
      </c>
      <c r="E128" s="14">
        <v>17609.03</v>
      </c>
      <c r="F128" s="14">
        <f t="shared" si="9"/>
        <v>1737.1700000000019</v>
      </c>
      <c r="G128" s="68">
        <f t="shared" si="6"/>
        <v>9.8652225591074699E-2</v>
      </c>
      <c r="H128" s="69">
        <v>23537</v>
      </c>
      <c r="I128" s="69">
        <f t="shared" si="7"/>
        <v>-4190.7999999999993</v>
      </c>
      <c r="J128" s="68">
        <f t="shared" si="8"/>
        <v>-0.17805157836597693</v>
      </c>
      <c r="K128" s="137" t="s">
        <v>1092</v>
      </c>
      <c r="L128" s="137"/>
      <c r="S128" s="103" t="s">
        <v>1105</v>
      </c>
      <c r="T128" s="103" t="s">
        <v>1106</v>
      </c>
      <c r="U128" s="104"/>
      <c r="V128" s="104"/>
      <c r="W128" s="104"/>
      <c r="X128" s="104"/>
      <c r="Y128" s="104"/>
      <c r="Z128" s="104"/>
      <c r="AA128" s="104"/>
    </row>
    <row r="129" spans="1:27" ht="28.9">
      <c r="A129" s="24" t="str">
        <v>K213</v>
      </c>
      <c r="B129" s="25" t="str">
        <v>NY</v>
      </c>
      <c r="C129" s="25" t="str">
        <f>Sites[[#This Row],[SOL'#]]</f>
        <v>SOL-11191</v>
      </c>
      <c r="D129" s="54">
        <v>19297.599999999999</v>
      </c>
      <c r="E129" s="10">
        <v>23171.24</v>
      </c>
      <c r="F129" s="10">
        <f t="shared" si="9"/>
        <v>-3873.6400000000031</v>
      </c>
      <c r="G129" s="55">
        <f t="shared" ref="G129:G143" si="10">IFERROR(F129/E129, "")</f>
        <v>-0.16717448008824745</v>
      </c>
      <c r="H129" s="67">
        <v>24815</v>
      </c>
      <c r="I129" s="67">
        <f t="shared" ref="I129:I151" si="11">IF(AND(ISNUMBER(D129),ISNUMBER(H129)), D129-H129, "")</f>
        <v>-5517.4000000000015</v>
      </c>
      <c r="J129" s="64">
        <f t="shared" ref="J129:J151" si="12">IFERROR(I129/H129, "")</f>
        <v>-0.22234132581100147</v>
      </c>
      <c r="K129" s="70" t="s">
        <v>1107</v>
      </c>
      <c r="L129" s="140" t="s">
        <v>838</v>
      </c>
      <c r="S129" s="104"/>
      <c r="T129" s="104"/>
      <c r="U129" s="104"/>
      <c r="V129" s="104"/>
      <c r="W129" s="104"/>
      <c r="X129" s="104"/>
      <c r="Y129" s="104"/>
      <c r="Z129" s="104"/>
      <c r="AA129" s="104"/>
    </row>
    <row r="130" spans="1:27" ht="28.9">
      <c r="A130" s="26" t="str">
        <v>K217</v>
      </c>
      <c r="B130" s="27" t="str">
        <v>NY</v>
      </c>
      <c r="C130" s="9" t="str">
        <f>Sites[[#This Row],[SOL'#]]</f>
        <v>SOL-10933</v>
      </c>
      <c r="D130" s="66">
        <v>10659.7265625</v>
      </c>
      <c r="E130" s="14">
        <v>0</v>
      </c>
      <c r="F130" s="14">
        <f t="shared" si="9"/>
        <v>10659.7265625</v>
      </c>
      <c r="G130" s="68" t="str">
        <f t="shared" si="10"/>
        <v/>
      </c>
      <c r="H130" s="69">
        <v>13842</v>
      </c>
      <c r="I130" s="69">
        <f t="shared" si="11"/>
        <v>-3182.2734375</v>
      </c>
      <c r="J130" s="68">
        <f t="shared" si="12"/>
        <v>-0.22989982932379713</v>
      </c>
      <c r="K130" s="137" t="s">
        <v>1108</v>
      </c>
      <c r="L130" s="138" t="s">
        <v>1109</v>
      </c>
      <c r="S130" s="104"/>
      <c r="T130" s="104"/>
      <c r="U130" s="104"/>
      <c r="V130" s="104"/>
      <c r="W130" s="104"/>
      <c r="X130" s="104"/>
      <c r="Y130" s="104"/>
      <c r="Z130" s="104"/>
      <c r="AA130" s="104"/>
    </row>
    <row r="131" spans="1:27" ht="15.6">
      <c r="A131" s="24" t="str">
        <v>K307</v>
      </c>
      <c r="B131" s="25" t="str">
        <v>NY</v>
      </c>
      <c r="C131" s="25" t="str">
        <f>Sites[[#This Row],[SOL'#]]</f>
        <v>SOL-10876</v>
      </c>
      <c r="D131" s="54">
        <v>24381.5</v>
      </c>
      <c r="E131" s="10" t="s">
        <v>941</v>
      </c>
      <c r="F131" s="10" t="str">
        <f t="shared" si="9"/>
        <v/>
      </c>
      <c r="G131" s="55" t="str">
        <f t="shared" si="10"/>
        <v/>
      </c>
      <c r="H131" s="67">
        <v>28916</v>
      </c>
      <c r="I131" s="67">
        <f t="shared" si="11"/>
        <v>-4534.5</v>
      </c>
      <c r="J131" s="64">
        <f t="shared" si="12"/>
        <v>-0.15681629547655276</v>
      </c>
      <c r="K131" s="70" t="s">
        <v>1092</v>
      </c>
      <c r="L131" s="17"/>
      <c r="S131" s="104"/>
      <c r="T131" s="104"/>
      <c r="U131" s="104"/>
      <c r="V131" s="104"/>
      <c r="W131" s="104"/>
      <c r="X131" s="104"/>
      <c r="Y131" s="104"/>
      <c r="Z131" s="104"/>
      <c r="AA131" s="104"/>
    </row>
    <row r="132" spans="1:27" ht="15.6">
      <c r="A132" s="26" t="str">
        <v>K610</v>
      </c>
      <c r="B132" s="27" t="str">
        <v>NY</v>
      </c>
      <c r="C132" s="9" t="str">
        <f>Sites[[#This Row],[SOL'#]]</f>
        <v>SOL-11158</v>
      </c>
      <c r="D132" s="66">
        <v>29119.200000000001</v>
      </c>
      <c r="E132" s="14">
        <v>28022.01</v>
      </c>
      <c r="F132" s="14">
        <f t="shared" si="9"/>
        <v>1097.1900000000023</v>
      </c>
      <c r="G132" s="68">
        <f t="shared" si="10"/>
        <v>3.9154578847127752E-2</v>
      </c>
      <c r="H132" s="69">
        <v>33621</v>
      </c>
      <c r="I132" s="69">
        <f t="shared" si="11"/>
        <v>-4501.7999999999993</v>
      </c>
      <c r="J132" s="68">
        <f t="shared" si="12"/>
        <v>-0.13389845632194161</v>
      </c>
      <c r="K132" s="137" t="s">
        <v>1110</v>
      </c>
      <c r="L132" s="138" t="s">
        <v>1111</v>
      </c>
      <c r="S132" s="104"/>
      <c r="T132" s="104"/>
      <c r="U132" s="104"/>
      <c r="V132" s="104"/>
      <c r="W132" s="104"/>
      <c r="X132" s="104"/>
      <c r="Y132" s="104"/>
      <c r="Z132" s="104"/>
      <c r="AA132" s="104"/>
    </row>
    <row r="133" spans="1:27" ht="185.25" customHeight="1">
      <c r="A133" s="24" t="str">
        <v>M025</v>
      </c>
      <c r="B133" s="25" t="str">
        <v>NY</v>
      </c>
      <c r="C133" s="25" t="str">
        <f>Sites[[#This Row],[SOL'#]]</f>
        <v>SOL-10392</v>
      </c>
      <c r="D133" s="54">
        <v>12201.24609375</v>
      </c>
      <c r="E133" s="10">
        <v>25807.5</v>
      </c>
      <c r="F133" s="10">
        <f t="shared" si="9"/>
        <v>-13606.25390625</v>
      </c>
      <c r="G133" s="55">
        <f t="shared" si="10"/>
        <v>-0.52722092051729152</v>
      </c>
      <c r="H133" s="67">
        <v>28833</v>
      </c>
      <c r="I133" s="67">
        <f t="shared" si="11"/>
        <v>-16631.75390625</v>
      </c>
      <c r="J133" s="64">
        <f t="shared" si="12"/>
        <v>-0.57683050345957754</v>
      </c>
      <c r="K133" s="70" t="s">
        <v>1112</v>
      </c>
      <c r="L133" s="139" t="s">
        <v>1113</v>
      </c>
      <c r="M133" s="140" t="s">
        <v>841</v>
      </c>
      <c r="N133" s="140" t="s">
        <v>841</v>
      </c>
      <c r="O133" s="140" t="s">
        <v>842</v>
      </c>
      <c r="P133" s="140" t="s">
        <v>843</v>
      </c>
      <c r="S133" s="104"/>
      <c r="T133" s="104"/>
      <c r="U133" s="104"/>
      <c r="V133" s="104"/>
      <c r="W133" s="104"/>
      <c r="X133" s="104"/>
      <c r="Y133" s="104"/>
      <c r="Z133" s="104"/>
      <c r="AA133" s="104"/>
    </row>
    <row r="134" spans="1:27" ht="15.6">
      <c r="A134" s="26" t="str">
        <v>M028</v>
      </c>
      <c r="B134" s="27" t="str">
        <v>NY</v>
      </c>
      <c r="C134" s="9" t="str">
        <f>Sites[[#This Row],[SOL'#]]</f>
        <v>SOL-10381</v>
      </c>
      <c r="D134" s="66">
        <v>19068.1171875</v>
      </c>
      <c r="E134" s="14">
        <v>18609.490000000002</v>
      </c>
      <c r="F134" s="14">
        <f t="shared" si="9"/>
        <v>458.6271874999984</v>
      </c>
      <c r="G134" s="68">
        <f t="shared" si="10"/>
        <v>2.4644801523308717E-2</v>
      </c>
      <c r="H134" s="69">
        <v>22886</v>
      </c>
      <c r="I134" s="69">
        <f t="shared" si="11"/>
        <v>-3817.8828125</v>
      </c>
      <c r="J134" s="68">
        <f t="shared" si="12"/>
        <v>-0.16682176057415013</v>
      </c>
      <c r="K134" s="137" t="s">
        <v>927</v>
      </c>
      <c r="L134" s="137"/>
      <c r="S134" s="104"/>
      <c r="T134" s="104"/>
      <c r="U134" s="104"/>
      <c r="V134" s="104"/>
      <c r="W134" s="104"/>
      <c r="X134" s="104"/>
      <c r="Y134" s="104"/>
      <c r="Z134" s="104"/>
      <c r="AA134" s="104"/>
    </row>
    <row r="135" spans="1:27" ht="96" customHeight="1">
      <c r="A135" s="24" t="str">
        <v>Q030</v>
      </c>
      <c r="B135" s="25" t="str">
        <v>NY</v>
      </c>
      <c r="C135" s="25" t="str">
        <f>Sites[[#This Row],[SOL'#]]</f>
        <v>SOL-10878</v>
      </c>
      <c r="D135" s="54">
        <v>23733.2421875</v>
      </c>
      <c r="E135" s="10" t="s">
        <v>941</v>
      </c>
      <c r="F135" s="10" t="str">
        <f t="shared" si="9"/>
        <v/>
      </c>
      <c r="G135" s="55" t="str">
        <f t="shared" si="10"/>
        <v/>
      </c>
      <c r="H135" s="67">
        <v>27337</v>
      </c>
      <c r="I135" s="67">
        <f t="shared" si="11"/>
        <v>-3603.7578125</v>
      </c>
      <c r="J135" s="64">
        <f t="shared" si="12"/>
        <v>-0.13182711389325821</v>
      </c>
      <c r="K135" s="70" t="s">
        <v>927</v>
      </c>
      <c r="L135" s="17"/>
      <c r="S135" s="104"/>
      <c r="T135" s="104"/>
      <c r="U135" s="104"/>
      <c r="V135" s="104"/>
      <c r="W135" s="104"/>
      <c r="X135" s="104"/>
      <c r="Y135" s="104"/>
      <c r="Z135" s="104"/>
      <c r="AA135" s="104"/>
    </row>
    <row r="136" spans="1:27" ht="49.5" customHeight="1">
      <c r="A136" s="26" t="str">
        <v>Q130</v>
      </c>
      <c r="B136" s="27" t="str">
        <v>NY</v>
      </c>
      <c r="C136" s="9" t="str">
        <f>Sites[[#This Row],[SOL'#]]</f>
        <v>SOL-10877</v>
      </c>
      <c r="D136" s="66">
        <v>13589.536328124999</v>
      </c>
      <c r="E136" s="14" t="s">
        <v>941</v>
      </c>
      <c r="F136" s="14" t="str">
        <f t="shared" si="9"/>
        <v/>
      </c>
      <c r="G136" s="68" t="str">
        <f t="shared" si="10"/>
        <v/>
      </c>
      <c r="H136" s="69">
        <v>15497</v>
      </c>
      <c r="I136" s="69">
        <f t="shared" si="11"/>
        <v>-1907.4636718750007</v>
      </c>
      <c r="J136" s="68">
        <f t="shared" si="12"/>
        <v>-0.12308599547493068</v>
      </c>
      <c r="K136" s="137" t="s">
        <v>927</v>
      </c>
      <c r="L136" s="137"/>
      <c r="S136" s="104"/>
      <c r="T136" s="104"/>
      <c r="U136" s="104"/>
      <c r="V136" s="104"/>
      <c r="W136" s="104"/>
      <c r="X136" s="104"/>
      <c r="Y136" s="104"/>
      <c r="Z136" s="104"/>
      <c r="AA136" s="104"/>
    </row>
    <row r="137" spans="1:27" ht="108.75" customHeight="1">
      <c r="A137" s="24" t="str">
        <v>Q196</v>
      </c>
      <c r="B137" s="25" t="str">
        <v>NY</v>
      </c>
      <c r="C137" s="25" t="str">
        <f>Sites[[#This Row],[SOL'#]]</f>
        <v>SOL-10879</v>
      </c>
      <c r="D137" s="54">
        <v>17875.938339843698</v>
      </c>
      <c r="E137" s="10" t="s">
        <v>941</v>
      </c>
      <c r="F137" s="10" t="str">
        <f t="shared" si="9"/>
        <v/>
      </c>
      <c r="G137" s="55" t="str">
        <f t="shared" si="10"/>
        <v/>
      </c>
      <c r="H137" s="67">
        <v>20173</v>
      </c>
      <c r="I137" s="67">
        <f t="shared" si="11"/>
        <v>-2297.0616601563015</v>
      </c>
      <c r="J137" s="64">
        <f t="shared" si="12"/>
        <v>-0.11386812373748582</v>
      </c>
      <c r="K137" s="70" t="s">
        <v>927</v>
      </c>
      <c r="L137" s="17"/>
      <c r="S137" s="104"/>
      <c r="T137" s="104"/>
      <c r="U137" s="104"/>
      <c r="V137" s="104"/>
      <c r="W137" s="104"/>
      <c r="X137" s="104"/>
      <c r="Y137" s="104"/>
      <c r="Z137" s="104"/>
      <c r="AA137" s="104"/>
    </row>
    <row r="138" spans="1:27" ht="15.6">
      <c r="A138" s="26" t="str">
        <v>Q220</v>
      </c>
      <c r="B138" s="27" t="str">
        <v>NY</v>
      </c>
      <c r="C138" s="9" t="str">
        <f>Sites[[#This Row],[SOL'#]]</f>
        <v>SOL-10873</v>
      </c>
      <c r="D138" s="66">
        <v>20956.796875</v>
      </c>
      <c r="E138" s="14" t="s">
        <v>941</v>
      </c>
      <c r="F138" s="14" t="str">
        <f t="shared" si="9"/>
        <v/>
      </c>
      <c r="G138" s="68" t="str">
        <f t="shared" si="10"/>
        <v/>
      </c>
      <c r="H138" s="69">
        <v>23174</v>
      </c>
      <c r="I138" s="69">
        <f t="shared" si="11"/>
        <v>-2217.203125</v>
      </c>
      <c r="J138" s="68">
        <f t="shared" si="12"/>
        <v>-9.5676323681712264E-2</v>
      </c>
      <c r="K138" s="137" t="s">
        <v>1114</v>
      </c>
      <c r="L138" s="138" t="s">
        <v>845</v>
      </c>
      <c r="S138" s="104"/>
      <c r="T138" s="104"/>
      <c r="U138" s="104"/>
      <c r="V138" s="104"/>
      <c r="W138" s="104"/>
      <c r="X138" s="104"/>
      <c r="Y138" s="104"/>
      <c r="Z138" s="104"/>
      <c r="AA138" s="104"/>
    </row>
    <row r="139" spans="1:27" ht="100.9">
      <c r="A139" s="24" t="str">
        <v>Q205</v>
      </c>
      <c r="B139" s="25" t="str">
        <v>NY</v>
      </c>
      <c r="C139" s="25" t="str">
        <f>Sites[[#This Row],[SOL'#]]</f>
        <v>SOL-10922</v>
      </c>
      <c r="D139" s="54">
        <v>24385.046875</v>
      </c>
      <c r="E139" s="10">
        <v>28274.799999999999</v>
      </c>
      <c r="F139" s="10">
        <f t="shared" si="9"/>
        <v>-3889.7531249999993</v>
      </c>
      <c r="G139" s="55">
        <f t="shared" si="10"/>
        <v>-0.13756960703523985</v>
      </c>
      <c r="H139" s="67">
        <v>28124</v>
      </c>
      <c r="I139" s="67">
        <f t="shared" si="11"/>
        <v>-3738.953125</v>
      </c>
      <c r="J139" s="64">
        <f t="shared" si="12"/>
        <v>-0.13294528249893328</v>
      </c>
      <c r="K139" s="70" t="s">
        <v>1115</v>
      </c>
      <c r="L139" s="139" t="s">
        <v>1116</v>
      </c>
      <c r="M139" s="140" t="s">
        <v>1117</v>
      </c>
      <c r="N139" s="140" t="s">
        <v>1118</v>
      </c>
      <c r="S139" s="104"/>
      <c r="T139" s="104"/>
      <c r="U139" s="104"/>
      <c r="V139" s="104"/>
      <c r="W139" s="104"/>
      <c r="X139" s="104"/>
      <c r="Y139" s="104"/>
      <c r="Z139" s="104"/>
      <c r="AA139" s="104"/>
    </row>
    <row r="140" spans="1:27" ht="115.15">
      <c r="A140" s="26" t="str">
        <v>Q400</v>
      </c>
      <c r="B140" s="27" t="str">
        <v>NY</v>
      </c>
      <c r="C140" s="9" t="str">
        <f>Sites[[#This Row],[SOL'#]]</f>
        <v>SOL-10871</v>
      </c>
      <c r="D140" s="66">
        <v>26544.5859375</v>
      </c>
      <c r="E140" s="14" t="s">
        <v>941</v>
      </c>
      <c r="F140" s="14" t="str">
        <f t="shared" si="9"/>
        <v/>
      </c>
      <c r="G140" s="68" t="str">
        <f t="shared" si="10"/>
        <v/>
      </c>
      <c r="H140" s="69">
        <v>45134</v>
      </c>
      <c r="I140" s="69">
        <f t="shared" si="11"/>
        <v>-18589.4140625</v>
      </c>
      <c r="J140" s="68">
        <f t="shared" si="12"/>
        <v>-0.41187162809633537</v>
      </c>
      <c r="K140" s="137" t="s">
        <v>1119</v>
      </c>
      <c r="L140" s="138" t="s">
        <v>1120</v>
      </c>
      <c r="M140" s="140" t="s">
        <v>596</v>
      </c>
      <c r="N140" s="140" t="s">
        <v>597</v>
      </c>
      <c r="O140" s="140" t="s">
        <v>850</v>
      </c>
      <c r="P140" s="140" t="s">
        <v>851</v>
      </c>
      <c r="S140" s="104"/>
      <c r="T140" s="104"/>
      <c r="U140" s="104"/>
      <c r="V140" s="104"/>
      <c r="W140" s="104"/>
      <c r="X140" s="104"/>
      <c r="Y140" s="104"/>
      <c r="Z140" s="104"/>
      <c r="AA140" s="104"/>
    </row>
    <row r="141" spans="1:27" ht="80.25" customHeight="1">
      <c r="A141" s="24" t="str">
        <v>R003</v>
      </c>
      <c r="B141" s="25" t="str">
        <v>NY</v>
      </c>
      <c r="C141" s="25" t="str">
        <f>Sites[[#This Row],[SOL'#]]</f>
        <v>SOL-10416</v>
      </c>
      <c r="D141" s="54">
        <v>35329.273125</v>
      </c>
      <c r="E141" s="10" t="s">
        <v>941</v>
      </c>
      <c r="F141" s="10" t="str">
        <f t="shared" si="9"/>
        <v/>
      </c>
      <c r="G141" s="55" t="str">
        <f t="shared" si="10"/>
        <v/>
      </c>
      <c r="H141" s="67">
        <v>40507</v>
      </c>
      <c r="I141" s="67">
        <f t="shared" si="11"/>
        <v>-5177.7268750000003</v>
      </c>
      <c r="J141" s="64">
        <f t="shared" si="12"/>
        <v>-0.12782301515787395</v>
      </c>
      <c r="K141" s="70" t="s">
        <v>1121</v>
      </c>
      <c r="L141" s="17"/>
      <c r="S141" s="104"/>
      <c r="T141" s="104"/>
      <c r="U141" s="104"/>
      <c r="V141" s="104"/>
      <c r="W141" s="104"/>
      <c r="X141" s="104"/>
      <c r="Y141" s="104"/>
      <c r="Z141" s="104"/>
      <c r="AA141" s="104"/>
    </row>
    <row r="142" spans="1:27" ht="15.6">
      <c r="A142" s="26" t="str">
        <v>R007</v>
      </c>
      <c r="B142" s="27" t="str">
        <v>NY</v>
      </c>
      <c r="C142" s="9" t="str">
        <f>Sites[[#This Row],[SOL'#]]</f>
        <v>SOL-10417</v>
      </c>
      <c r="D142" s="66">
        <v>37098.3671875</v>
      </c>
      <c r="E142" s="14">
        <v>37305.19</v>
      </c>
      <c r="F142" s="14">
        <f t="shared" si="9"/>
        <v>-206.82281250000233</v>
      </c>
      <c r="G142" s="68">
        <f t="shared" si="10"/>
        <v>-5.5440761057644339E-3</v>
      </c>
      <c r="H142" s="69">
        <v>45612</v>
      </c>
      <c r="I142" s="69">
        <f t="shared" si="11"/>
        <v>-8513.6328125</v>
      </c>
      <c r="J142" s="68">
        <f t="shared" si="12"/>
        <v>-0.18665335465447688</v>
      </c>
      <c r="K142" s="137" t="s">
        <v>1121</v>
      </c>
      <c r="L142" s="137"/>
      <c r="S142" s="104"/>
      <c r="T142" s="104"/>
      <c r="U142" s="104"/>
      <c r="V142" s="104"/>
      <c r="W142" s="104"/>
      <c r="X142" s="104"/>
      <c r="Y142" s="104"/>
      <c r="Z142" s="104"/>
      <c r="AA142" s="104"/>
    </row>
    <row r="143" spans="1:27" ht="15.6">
      <c r="A143" s="24" t="str">
        <v>BK16</v>
      </c>
      <c r="B143" s="25" t="str">
        <v>NY</v>
      </c>
      <c r="C143" s="25" t="str">
        <f>Sites[[#This Row],[SOL'#]]</f>
        <v>SOL-11093</v>
      </c>
      <c r="D143" s="54">
        <v>39286.96875</v>
      </c>
      <c r="E143" s="10" t="s">
        <v>941</v>
      </c>
      <c r="F143" s="10" t="str">
        <f t="shared" ref="F143:F164" si="13">IF(AND(ISNUMBER(D143),ISNUMBER(E143)), D143-E143, "")</f>
        <v/>
      </c>
      <c r="G143" s="55" t="str">
        <f t="shared" si="10"/>
        <v/>
      </c>
      <c r="H143" s="67">
        <v>43901</v>
      </c>
      <c r="I143" s="67">
        <f t="shared" si="11"/>
        <v>-4614.03125</v>
      </c>
      <c r="J143" s="64">
        <f t="shared" si="12"/>
        <v>-0.10510082344365732</v>
      </c>
      <c r="K143" s="70" t="s">
        <v>1121</v>
      </c>
      <c r="L143" s="17"/>
      <c r="S143" s="104"/>
      <c r="T143" s="104"/>
      <c r="U143" s="104"/>
      <c r="V143" s="104"/>
      <c r="W143" s="104"/>
      <c r="X143" s="104"/>
      <c r="Y143" s="104"/>
      <c r="Z143" s="104"/>
      <c r="AA143" s="104"/>
    </row>
    <row r="144" spans="1:27" ht="86.45">
      <c r="A144" s="26" t="str">
        <v>Trenton - Trenton East</v>
      </c>
      <c r="B144" s="27" t="str">
        <v>IL</v>
      </c>
      <c r="C144" s="9" t="str">
        <f>Sites[[#This Row],[SOL'#]]</f>
        <v>SOL-11060</v>
      </c>
      <c r="D144" s="66">
        <v>401135</v>
      </c>
      <c r="E144" s="14">
        <v>427249</v>
      </c>
      <c r="F144" s="14">
        <f t="shared" si="13"/>
        <v>-26114</v>
      </c>
      <c r="G144" s="68">
        <f t="shared" ref="G144:G164" si="14">IFERROR(F144/E144, "")</f>
        <v>-6.1121266521396191E-2</v>
      </c>
      <c r="H144" s="69">
        <v>488196</v>
      </c>
      <c r="I144" s="69">
        <f t="shared" si="11"/>
        <v>-87061</v>
      </c>
      <c r="J144" s="68">
        <f t="shared" si="12"/>
        <v>-0.17833206335160467</v>
      </c>
      <c r="K144" s="137" t="s">
        <v>1122</v>
      </c>
      <c r="L144" s="138" t="s">
        <v>1123</v>
      </c>
      <c r="S144" s="104"/>
      <c r="T144" s="104"/>
      <c r="U144" s="104"/>
      <c r="V144" s="104"/>
      <c r="W144" s="104"/>
      <c r="X144" s="104"/>
      <c r="Y144" s="104"/>
      <c r="Z144" s="104"/>
      <c r="AA144" s="104"/>
    </row>
    <row r="145" spans="1:27" ht="15.6">
      <c r="A145" s="24" t="str">
        <v>Trenton - Trenton West</v>
      </c>
      <c r="B145" s="25" t="str">
        <v>IL</v>
      </c>
      <c r="C145" s="25" t="str">
        <f>Sites[[#This Row],[SOL'#]]</f>
        <v>SOL-11061</v>
      </c>
      <c r="D145" s="54">
        <v>154211</v>
      </c>
      <c r="E145" s="10">
        <v>253964.7</v>
      </c>
      <c r="F145" s="10">
        <f t="shared" si="13"/>
        <v>-99753.700000000012</v>
      </c>
      <c r="G145" s="55">
        <f t="shared" si="14"/>
        <v>-0.39278569029475358</v>
      </c>
      <c r="H145" s="67">
        <v>486768</v>
      </c>
      <c r="I145" s="67">
        <f t="shared" si="11"/>
        <v>-332557</v>
      </c>
      <c r="J145" s="64">
        <f t="shared" si="12"/>
        <v>-0.6831940472668705</v>
      </c>
      <c r="K145" s="70" t="s">
        <v>1124</v>
      </c>
      <c r="L145" s="140" t="s">
        <v>1125</v>
      </c>
      <c r="S145" s="104"/>
      <c r="T145" s="104"/>
      <c r="U145" s="104"/>
      <c r="V145" s="104"/>
      <c r="W145" s="104"/>
      <c r="X145" s="104"/>
      <c r="Y145" s="104"/>
      <c r="Z145" s="104"/>
      <c r="AA145" s="104"/>
    </row>
    <row r="146" spans="1:27" ht="57.6">
      <c r="A146" s="26" t="str">
        <v>Dakota - Dakota Solar 1</v>
      </c>
      <c r="B146" s="27" t="str">
        <v>IL</v>
      </c>
      <c r="C146" s="9" t="str">
        <f>Sites[[#This Row],[SOL'#]]</f>
        <v>SOL-11113</v>
      </c>
      <c r="D146" s="66">
        <v>504703</v>
      </c>
      <c r="E146" s="14">
        <v>600136</v>
      </c>
      <c r="F146" s="14">
        <f t="shared" si="13"/>
        <v>-95433</v>
      </c>
      <c r="G146" s="68">
        <f t="shared" si="14"/>
        <v>-0.1590189557033739</v>
      </c>
      <c r="H146" s="69">
        <v>0</v>
      </c>
      <c r="I146" s="69">
        <f t="shared" si="11"/>
        <v>504703</v>
      </c>
      <c r="J146" s="68" t="str">
        <f t="shared" si="12"/>
        <v/>
      </c>
      <c r="K146" s="137" t="s">
        <v>1126</v>
      </c>
      <c r="L146" s="138" t="s">
        <v>1127</v>
      </c>
      <c r="M146" s="140" t="s">
        <v>1128</v>
      </c>
      <c r="N146" s="140" t="s">
        <v>1129</v>
      </c>
      <c r="S146" s="104"/>
      <c r="T146" s="104"/>
      <c r="U146" s="104"/>
      <c r="V146" s="104"/>
      <c r="W146" s="104"/>
      <c r="X146" s="104"/>
      <c r="Y146" s="104"/>
      <c r="Z146" s="104"/>
      <c r="AA146" s="104"/>
    </row>
    <row r="147" spans="1:27" ht="72">
      <c r="A147" s="24" t="str">
        <v>X018</v>
      </c>
      <c r="B147" s="25" t="str">
        <v>NY</v>
      </c>
      <c r="C147" s="25" t="str">
        <f>Sites[[#This Row],[SOL'#]]</f>
        <v>SOL-10418</v>
      </c>
      <c r="D147" s="54">
        <v>13614.8196128731</v>
      </c>
      <c r="E147" s="10">
        <v>11268.16</v>
      </c>
      <c r="F147" s="10">
        <f t="shared" si="13"/>
        <v>2346.6596128730998</v>
      </c>
      <c r="G147" s="55">
        <f t="shared" si="14"/>
        <v>0.20825579445740031</v>
      </c>
      <c r="H147" s="67">
        <v>22512</v>
      </c>
      <c r="I147" s="67">
        <f t="shared" si="11"/>
        <v>-8897.1803871269003</v>
      </c>
      <c r="J147" s="64">
        <f t="shared" si="12"/>
        <v>-0.39521945571814587</v>
      </c>
      <c r="K147" s="70" t="s">
        <v>1130</v>
      </c>
      <c r="L147" s="139" t="s">
        <v>1131</v>
      </c>
      <c r="M147" s="140" t="s">
        <v>612</v>
      </c>
      <c r="N147" s="140" t="s">
        <v>864</v>
      </c>
      <c r="S147" s="104"/>
      <c r="T147" s="104"/>
      <c r="U147" s="104"/>
      <c r="V147" s="104"/>
      <c r="W147" s="104"/>
      <c r="X147" s="104"/>
      <c r="Y147" s="104"/>
      <c r="Z147" s="104"/>
      <c r="AA147" s="104"/>
    </row>
    <row r="148" spans="1:27" ht="28.9">
      <c r="A148" s="26" t="str">
        <v>Janiak Solar</v>
      </c>
      <c r="B148" s="27" t="str">
        <v>NY</v>
      </c>
      <c r="C148" s="9" t="str">
        <f>Sites[[#This Row],[SOL'#]]</f>
        <v>SOL-10898</v>
      </c>
      <c r="D148" s="66">
        <v>318017</v>
      </c>
      <c r="E148" s="14">
        <v>333604</v>
      </c>
      <c r="F148" s="14">
        <f t="shared" si="13"/>
        <v>-15587</v>
      </c>
      <c r="G148" s="68">
        <f t="shared" si="14"/>
        <v>-4.6723060874569851E-2</v>
      </c>
      <c r="H148" s="69">
        <v>412625</v>
      </c>
      <c r="I148" s="69">
        <f t="shared" si="11"/>
        <v>-94608</v>
      </c>
      <c r="J148" s="68">
        <f t="shared" si="12"/>
        <v>-0.22928324750075735</v>
      </c>
      <c r="K148" s="137" t="s">
        <v>1132</v>
      </c>
      <c r="L148" s="138" t="s">
        <v>1133</v>
      </c>
      <c r="S148" s="104"/>
      <c r="T148" s="104"/>
      <c r="U148" s="104"/>
      <c r="V148" s="104"/>
      <c r="W148" s="104"/>
      <c r="X148" s="104"/>
      <c r="Y148" s="104"/>
      <c r="Z148" s="104"/>
      <c r="AA148" s="104"/>
    </row>
    <row r="149" spans="1:27" ht="86.45">
      <c r="A149" s="24" t="str">
        <v>County Route 11B</v>
      </c>
      <c r="B149" s="25" t="str">
        <v>NY</v>
      </c>
      <c r="C149" s="25" t="str">
        <f>Sites[[#This Row],[SOL'#]]</f>
        <v>SOL-10983</v>
      </c>
      <c r="D149" s="54">
        <v>556820</v>
      </c>
      <c r="E149" s="10" t="s">
        <v>941</v>
      </c>
      <c r="F149" s="10" t="str">
        <f t="shared" si="13"/>
        <v/>
      </c>
      <c r="G149" s="55" t="str">
        <f t="shared" si="14"/>
        <v/>
      </c>
      <c r="H149" s="67" t="s">
        <v>941</v>
      </c>
      <c r="I149" s="67" t="str">
        <f t="shared" si="11"/>
        <v/>
      </c>
      <c r="J149" s="64" t="str">
        <f t="shared" si="12"/>
        <v/>
      </c>
      <c r="K149" s="70" t="s">
        <v>1134</v>
      </c>
      <c r="L149" s="139" t="s">
        <v>1135</v>
      </c>
      <c r="M149" s="140" t="s">
        <v>871</v>
      </c>
      <c r="N149" s="140" t="s">
        <v>1136</v>
      </c>
      <c r="S149" s="104"/>
      <c r="T149" s="104"/>
      <c r="U149" s="104"/>
      <c r="V149" s="104"/>
      <c r="W149" s="104"/>
      <c r="X149" s="104"/>
      <c r="Y149" s="104"/>
      <c r="Z149" s="104"/>
      <c r="AA149" s="104"/>
    </row>
    <row r="150" spans="1:27" ht="86.45">
      <c r="A150" s="26" t="str">
        <v>Barone</v>
      </c>
      <c r="B150" s="27" t="str">
        <v>NY</v>
      </c>
      <c r="C150" s="9" t="str">
        <f>Sites[[#This Row],[SOL'#]]</f>
        <v>SOL-11034</v>
      </c>
      <c r="D150" s="66">
        <v>549573</v>
      </c>
      <c r="E150" s="14" t="s">
        <v>941</v>
      </c>
      <c r="F150" s="14" t="str">
        <f t="shared" si="13"/>
        <v/>
      </c>
      <c r="G150" s="68" t="str">
        <f t="shared" si="14"/>
        <v/>
      </c>
      <c r="H150" s="69">
        <v>684560</v>
      </c>
      <c r="I150" s="69">
        <f t="shared" si="11"/>
        <v>-134987</v>
      </c>
      <c r="J150" s="68">
        <f t="shared" si="12"/>
        <v>-0.19718797475750846</v>
      </c>
      <c r="K150" s="137" t="s">
        <v>1137</v>
      </c>
      <c r="L150" s="138" t="s">
        <v>1138</v>
      </c>
      <c r="M150" s="140" t="s">
        <v>874</v>
      </c>
      <c r="S150" s="104"/>
      <c r="T150" s="104"/>
      <c r="U150" s="104"/>
      <c r="V150" s="104"/>
      <c r="W150" s="104"/>
      <c r="X150" s="104"/>
      <c r="Y150" s="104"/>
      <c r="Z150" s="104"/>
      <c r="AA150" s="104"/>
    </row>
    <row r="151" spans="1:27" ht="43.15">
      <c r="A151" s="24" t="str">
        <v>Cedarville</v>
      </c>
      <c r="B151" s="25" t="str">
        <v>IL</v>
      </c>
      <c r="C151" s="25" t="str">
        <f>Sites[[#This Row],[SOL'#]]</f>
        <v>SOL-11069</v>
      </c>
      <c r="D151" s="54">
        <v>428027</v>
      </c>
      <c r="E151" s="10">
        <v>423775.7</v>
      </c>
      <c r="F151" s="10">
        <f t="shared" si="13"/>
        <v>4251.2999999999884</v>
      </c>
      <c r="G151" s="55">
        <f t="shared" si="14"/>
        <v>1.0031957943789575E-2</v>
      </c>
      <c r="H151" s="67">
        <v>525848</v>
      </c>
      <c r="I151" s="67">
        <f t="shared" si="11"/>
        <v>-97821</v>
      </c>
      <c r="J151" s="64">
        <f t="shared" si="12"/>
        <v>-0.18602523923262995</v>
      </c>
      <c r="K151" s="70" t="s">
        <v>1139</v>
      </c>
      <c r="L151" s="139" t="s">
        <v>1140</v>
      </c>
      <c r="M151" s="140" t="s">
        <v>1141</v>
      </c>
      <c r="S151" s="104"/>
      <c r="T151" s="104"/>
      <c r="U151" s="104"/>
      <c r="V151" s="104"/>
      <c r="W151" s="104"/>
      <c r="X151" s="104"/>
      <c r="Y151" s="104"/>
      <c r="Z151" s="104"/>
      <c r="AA151" s="104"/>
    </row>
    <row r="152" spans="1:27" ht="28.9">
      <c r="A152" s="26" t="str">
        <v xml:space="preserve"> O'Brien Hill #1</v>
      </c>
      <c r="B152" s="27" t="str">
        <v>NY</v>
      </c>
      <c r="C152" s="9" t="str">
        <f>Sites[[#This Row],[SOL'#]]</f>
        <v>SOL-11098</v>
      </c>
      <c r="D152" s="66"/>
      <c r="E152" s="14" t="s">
        <v>941</v>
      </c>
      <c r="F152" s="14" t="str">
        <f t="shared" si="13"/>
        <v/>
      </c>
      <c r="G152" s="68" t="str">
        <f t="shared" si="14"/>
        <v/>
      </c>
      <c r="H152" s="69"/>
      <c r="I152" s="69" t="str">
        <f t="shared" ref="I152:I164" si="15">IF(AND(ISNUMBER(D152),ISNUMBER(H152)), D152-H152, "")</f>
        <v/>
      </c>
      <c r="J152" s="68" t="str">
        <f t="shared" ref="J152:J164" si="16">IFERROR(I152/H152, "")</f>
        <v/>
      </c>
      <c r="K152" s="137" t="s">
        <v>875</v>
      </c>
      <c r="L152" s="138" t="s">
        <v>876</v>
      </c>
      <c r="M152" s="140" t="s">
        <v>877</v>
      </c>
      <c r="S152" s="104"/>
      <c r="T152" s="104"/>
      <c r="U152" s="104"/>
      <c r="V152" s="104"/>
      <c r="W152" s="104"/>
      <c r="X152" s="104"/>
      <c r="Y152" s="104"/>
      <c r="Z152" s="104"/>
      <c r="AA152" s="104"/>
    </row>
    <row r="153" spans="1:27" ht="43.15">
      <c r="A153" s="24" t="str">
        <v xml:space="preserve"> O'Brien Hill #2</v>
      </c>
      <c r="B153" s="25" t="str">
        <v>NY</v>
      </c>
      <c r="C153" s="25" t="str">
        <f>Sites[[#This Row],[SOL'#]]</f>
        <v>SOL-11099</v>
      </c>
      <c r="D153" s="54">
        <v>710692</v>
      </c>
      <c r="E153" s="10" t="s">
        <v>941</v>
      </c>
      <c r="F153" s="10" t="str">
        <f t="shared" si="13"/>
        <v/>
      </c>
      <c r="G153" s="55" t="str">
        <f t="shared" si="14"/>
        <v/>
      </c>
      <c r="H153" s="148" t="s">
        <v>661</v>
      </c>
      <c r="I153" s="67" t="str">
        <f t="shared" si="15"/>
        <v/>
      </c>
      <c r="J153" s="64" t="str">
        <f t="shared" si="16"/>
        <v/>
      </c>
      <c r="K153" s="70" t="s">
        <v>1142</v>
      </c>
      <c r="L153" s="139" t="s">
        <v>1143</v>
      </c>
      <c r="M153" s="140" t="s">
        <v>1144</v>
      </c>
      <c r="S153" s="104"/>
      <c r="T153" s="104"/>
      <c r="U153" s="104"/>
      <c r="V153" s="104"/>
      <c r="W153" s="104"/>
      <c r="X153" s="104"/>
      <c r="Y153" s="104"/>
      <c r="Z153" s="104"/>
      <c r="AA153" s="104"/>
    </row>
    <row r="154" spans="1:27" ht="28.9">
      <c r="A154" s="26" t="str">
        <v>Trinity - Freeport</v>
      </c>
      <c r="B154" s="27" t="str">
        <v>IL</v>
      </c>
      <c r="C154" s="9" t="str">
        <f>Sites[[#This Row],[SOL'#]]</f>
        <v>SOL-11057</v>
      </c>
      <c r="D154" s="66">
        <v>479568</v>
      </c>
      <c r="E154" s="14">
        <v>471609</v>
      </c>
      <c r="F154" s="14">
        <f t="shared" si="13"/>
        <v>7959</v>
      </c>
      <c r="G154" s="68">
        <f t="shared" si="14"/>
        <v>1.687626826460055E-2</v>
      </c>
      <c r="H154" s="127">
        <v>522288</v>
      </c>
      <c r="I154" s="69">
        <f t="shared" si="15"/>
        <v>-42720</v>
      </c>
      <c r="J154" s="68">
        <f t="shared" si="16"/>
        <v>-8.1793952761694697E-2</v>
      </c>
      <c r="K154" s="137" t="s">
        <v>1145</v>
      </c>
      <c r="L154" s="138" t="s">
        <v>883</v>
      </c>
      <c r="M154" s="140" t="s">
        <v>884</v>
      </c>
      <c r="S154" s="104"/>
      <c r="T154" s="104"/>
      <c r="U154" s="104"/>
      <c r="V154" s="104"/>
      <c r="W154" s="104"/>
      <c r="X154" s="104"/>
      <c r="Y154" s="104"/>
      <c r="Z154" s="104"/>
      <c r="AA154" s="104"/>
    </row>
    <row r="155" spans="1:27" ht="35.25" customHeight="1">
      <c r="A155" s="24" t="str">
        <v>Ransom</v>
      </c>
      <c r="B155" s="25" t="str">
        <v>NY</v>
      </c>
      <c r="C155" s="25" t="str">
        <f>Sites[[#This Row],[SOL'#]]</f>
        <v>SOL-11157</v>
      </c>
      <c r="D155" s="54">
        <v>743877.8</v>
      </c>
      <c r="E155" s="10" t="s">
        <v>941</v>
      </c>
      <c r="F155" s="10" t="str">
        <f t="shared" si="13"/>
        <v/>
      </c>
      <c r="G155" s="55" t="str">
        <f t="shared" si="14"/>
        <v/>
      </c>
      <c r="H155" s="148" t="s">
        <v>941</v>
      </c>
      <c r="I155" s="67" t="str">
        <f t="shared" si="15"/>
        <v/>
      </c>
      <c r="J155" s="64" t="str">
        <f t="shared" si="16"/>
        <v/>
      </c>
      <c r="K155" s="70" t="s">
        <v>1146</v>
      </c>
      <c r="L155" s="139" t="s">
        <v>1147</v>
      </c>
      <c r="M155" s="140" t="s">
        <v>1148</v>
      </c>
      <c r="N155" s="140" t="s">
        <v>889</v>
      </c>
      <c r="S155" s="104"/>
      <c r="T155" s="104"/>
      <c r="U155" s="104"/>
      <c r="V155" s="104"/>
      <c r="W155" s="104"/>
      <c r="X155" s="104"/>
      <c r="Y155" s="104"/>
      <c r="Z155" s="104"/>
      <c r="AA155" s="104"/>
    </row>
    <row r="156" spans="1:27" ht="43.15">
      <c r="A156" s="26" t="str">
        <v>Horseheads - Wedge</v>
      </c>
      <c r="B156" s="27" t="str">
        <v>NY</v>
      </c>
      <c r="C156" s="9" t="str">
        <f>Sites[[#This Row],[SOL'#]]</f>
        <v>SOL-11160</v>
      </c>
      <c r="D156" s="66">
        <v>523669</v>
      </c>
      <c r="E156" s="14" t="s">
        <v>941</v>
      </c>
      <c r="F156" s="14" t="str">
        <f t="shared" si="13"/>
        <v/>
      </c>
      <c r="G156" s="68" t="str">
        <f t="shared" si="14"/>
        <v/>
      </c>
      <c r="H156" s="127" t="s">
        <v>941</v>
      </c>
      <c r="I156" s="69" t="str">
        <f t="shared" si="15"/>
        <v/>
      </c>
      <c r="J156" s="68" t="str">
        <f t="shared" si="16"/>
        <v/>
      </c>
      <c r="K156" s="137" t="s">
        <v>1149</v>
      </c>
      <c r="L156" s="138" t="s">
        <v>1150</v>
      </c>
      <c r="M156" s="140" t="s">
        <v>1151</v>
      </c>
      <c r="S156" s="104"/>
      <c r="T156" s="104"/>
      <c r="U156" s="104"/>
      <c r="V156" s="104"/>
      <c r="W156" s="104"/>
      <c r="X156" s="104"/>
      <c r="Y156" s="104"/>
      <c r="Z156" s="104"/>
      <c r="AA156" s="104"/>
    </row>
    <row r="157" spans="1:27" ht="28.9">
      <c r="A157" s="24" t="str">
        <v>Otisville - Shoddy Hollow</v>
      </c>
      <c r="B157" s="25" t="str">
        <v>NY</v>
      </c>
      <c r="C157" s="25" t="str">
        <f>Sites[[#This Row],[SOL'#]]</f>
        <v>SOL-11185</v>
      </c>
      <c r="D157" s="54">
        <v>758134.8</v>
      </c>
      <c r="E157" s="10" t="s">
        <v>941</v>
      </c>
      <c r="F157" s="10" t="str">
        <f t="shared" si="13"/>
        <v/>
      </c>
      <c r="G157" s="55" t="str">
        <f t="shared" si="14"/>
        <v/>
      </c>
      <c r="H157" s="148" t="s">
        <v>941</v>
      </c>
      <c r="I157" s="67" t="str">
        <f t="shared" si="15"/>
        <v/>
      </c>
      <c r="J157" s="64" t="str">
        <f t="shared" si="16"/>
        <v/>
      </c>
      <c r="K157" s="70" t="s">
        <v>1152</v>
      </c>
      <c r="L157" s="139" t="s">
        <v>1153</v>
      </c>
      <c r="M157" s="140" t="s">
        <v>896</v>
      </c>
      <c r="S157" s="104"/>
      <c r="T157" s="104"/>
      <c r="U157" s="104"/>
      <c r="V157" s="104"/>
      <c r="W157" s="104"/>
      <c r="X157" s="104"/>
      <c r="Y157" s="104"/>
      <c r="Z157" s="104"/>
      <c r="AA157" s="104"/>
    </row>
    <row r="158" spans="1:27" ht="176.25" customHeight="1">
      <c r="A158" s="26" t="str">
        <v>Wellsville - Chenunda Creek</v>
      </c>
      <c r="B158" s="27" t="str">
        <v>NY</v>
      </c>
      <c r="C158" s="9" t="str">
        <f>Sites[[#This Row],[SOL'#]]</f>
        <v>SOL-11187</v>
      </c>
      <c r="D158" s="66">
        <v>395137</v>
      </c>
      <c r="E158" s="14" t="s">
        <v>941</v>
      </c>
      <c r="F158" s="14" t="str">
        <f t="shared" si="13"/>
        <v/>
      </c>
      <c r="G158" s="68" t="str">
        <f t="shared" si="14"/>
        <v/>
      </c>
      <c r="H158" s="127" t="s">
        <v>941</v>
      </c>
      <c r="I158" s="69" t="str">
        <f t="shared" si="15"/>
        <v/>
      </c>
      <c r="J158" s="68" t="str">
        <f t="shared" si="16"/>
        <v/>
      </c>
      <c r="K158" s="58" t="s">
        <v>1154</v>
      </c>
      <c r="L158" s="138" t="s">
        <v>1155</v>
      </c>
      <c r="M158" s="140" t="s">
        <v>1156</v>
      </c>
      <c r="N158" s="140" t="s">
        <v>1157</v>
      </c>
      <c r="S158" s="104"/>
      <c r="T158" s="104"/>
      <c r="U158" s="104"/>
      <c r="V158" s="104"/>
      <c r="W158" s="104"/>
      <c r="X158" s="104"/>
      <c r="Y158" s="104"/>
      <c r="Z158" s="104"/>
      <c r="AA158" s="104"/>
    </row>
    <row r="159" spans="1:27" ht="15.6">
      <c r="A159" s="24" t="str">
        <v>DC: Washington - Essex Condominium</v>
      </c>
      <c r="B159" s="25" t="str">
        <v>DC</v>
      </c>
      <c r="C159" s="25" t="str">
        <f>Sites[[#This Row],[SOL'#]]</f>
        <v>SOL-10036</v>
      </c>
      <c r="D159" s="54">
        <v>3982</v>
      </c>
      <c r="E159" s="10">
        <v>5103.5370000000003</v>
      </c>
      <c r="F159" s="10">
        <f t="shared" si="13"/>
        <v>-1121.5370000000003</v>
      </c>
      <c r="G159" s="55">
        <f t="shared" si="14"/>
        <v>-0.21975680787657662</v>
      </c>
      <c r="H159" s="67">
        <v>4750.2120000000004</v>
      </c>
      <c r="I159" s="67">
        <f t="shared" si="15"/>
        <v>-768.21200000000044</v>
      </c>
      <c r="J159" s="64">
        <f t="shared" si="16"/>
        <v>-0.16172162421382463</v>
      </c>
      <c r="K159" s="107" t="s">
        <v>1158</v>
      </c>
      <c r="L159" s="116"/>
    </row>
    <row r="160" spans="1:27" ht="144">
      <c r="A160" s="26" t="str">
        <v>HI: Waipahu - 94-246 Leoku St - E.F.G.</v>
      </c>
      <c r="B160" s="27" t="str">
        <v>HI</v>
      </c>
      <c r="C160" s="66" t="str">
        <f>Sites[[#This Row],[SOL'#]]</f>
        <v>SOL-10071</v>
      </c>
      <c r="D160" s="66">
        <v>9634</v>
      </c>
      <c r="E160" s="14">
        <v>13220.9</v>
      </c>
      <c r="F160" s="14">
        <f t="shared" si="13"/>
        <v>-3586.8999999999996</v>
      </c>
      <c r="G160" s="68">
        <f t="shared" si="14"/>
        <v>-0.27130528178868307</v>
      </c>
      <c r="H160" s="69">
        <v>13467.537</v>
      </c>
      <c r="I160" s="69">
        <f t="shared" si="15"/>
        <v>-3833.5370000000003</v>
      </c>
      <c r="J160" s="68">
        <f t="shared" si="16"/>
        <v>-0.28465019253334889</v>
      </c>
      <c r="K160" s="137" t="s">
        <v>1159</v>
      </c>
      <c r="L160" s="100" t="s">
        <v>1160</v>
      </c>
    </row>
    <row r="161" spans="1:12" ht="15.6">
      <c r="A161" s="24" t="str">
        <v>HI: Waipahu - 94-099 Waipahu St - PV</v>
      </c>
      <c r="B161" s="25" t="str">
        <v>HI</v>
      </c>
      <c r="C161" s="25" t="str">
        <f>Sites[[#This Row],[SOL'#]]</f>
        <v>SOL-10068</v>
      </c>
      <c r="D161" s="54">
        <v>14874</v>
      </c>
      <c r="E161" s="10">
        <v>11763.123</v>
      </c>
      <c r="F161" s="10">
        <f t="shared" si="13"/>
        <v>3110.8770000000004</v>
      </c>
      <c r="G161" s="55">
        <f t="shared" si="14"/>
        <v>0.26446012678775871</v>
      </c>
      <c r="H161" s="67">
        <v>13460.33</v>
      </c>
      <c r="I161" s="67">
        <f t="shared" si="15"/>
        <v>1413.67</v>
      </c>
      <c r="J161" s="64">
        <f t="shared" si="16"/>
        <v>0.10502491395084668</v>
      </c>
      <c r="K161" s="70"/>
      <c r="L161" s="116"/>
    </row>
    <row r="162" spans="1:12" ht="15.6">
      <c r="A162" s="26" t="str">
        <v>IL: Prophetstown - 5170 Yager Road (PW)</v>
      </c>
      <c r="B162" s="27" t="str">
        <v>IL</v>
      </c>
      <c r="C162" s="66" t="str">
        <f>Sites[[#This Row],[SOL'#]]</f>
        <v>SOL-11149</v>
      </c>
      <c r="D162" s="66"/>
      <c r="E162" s="14"/>
      <c r="F162" s="14" t="str">
        <f t="shared" si="13"/>
        <v/>
      </c>
      <c r="G162" s="68" t="str">
        <f t="shared" si="14"/>
        <v/>
      </c>
      <c r="H162" s="69"/>
      <c r="I162" s="69" t="str">
        <f t="shared" si="15"/>
        <v/>
      </c>
      <c r="J162" s="68" t="str">
        <f t="shared" si="16"/>
        <v/>
      </c>
      <c r="K162" s="137"/>
      <c r="L162" s="164"/>
    </row>
    <row r="163" spans="1:12" ht="15.6">
      <c r="A163" s="24" t="str">
        <v>IL: Viola - Goldenrod - (PW)</v>
      </c>
      <c r="B163" s="25" t="str">
        <v>IL</v>
      </c>
      <c r="C163" s="25" t="str">
        <f>Sites[[#This Row],[SOL'#]]</f>
        <v>SOL-11132</v>
      </c>
      <c r="D163" s="54"/>
      <c r="E163" s="10"/>
      <c r="F163" s="10" t="str">
        <f t="shared" si="13"/>
        <v/>
      </c>
      <c r="G163" s="55" t="str">
        <f t="shared" si="14"/>
        <v/>
      </c>
      <c r="H163" s="67"/>
      <c r="I163" s="67" t="str">
        <f t="shared" si="15"/>
        <v/>
      </c>
      <c r="J163" s="64" t="str">
        <f t="shared" si="16"/>
        <v/>
      </c>
      <c r="K163" s="70"/>
      <c r="L163" s="116"/>
    </row>
    <row r="164" spans="1:12" ht="15.6">
      <c r="A164" s="26" t="str">
        <v>IL: Marengo - Grant - (PW)</v>
      </c>
      <c r="B164" s="27" t="str">
        <v>IL</v>
      </c>
      <c r="C164" s="66" t="str">
        <f>Sites[[#This Row],[SOL'#]]</f>
        <v>SOL-11147</v>
      </c>
      <c r="D164" s="66"/>
      <c r="E164" s="14"/>
      <c r="F164" s="14" t="str">
        <f t="shared" si="13"/>
        <v/>
      </c>
      <c r="G164" s="68" t="str">
        <f t="shared" si="14"/>
        <v/>
      </c>
      <c r="H164" s="69"/>
      <c r="I164" s="69" t="str">
        <f t="shared" si="15"/>
        <v/>
      </c>
      <c r="J164" s="68" t="str">
        <f t="shared" si="16"/>
        <v/>
      </c>
      <c r="K164" s="137"/>
      <c r="L164" s="164"/>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sheetData>
  <mergeCells count="4">
    <mergeCell ref="H1:J1"/>
    <mergeCell ref="A1:D1"/>
    <mergeCell ref="E1:G1"/>
    <mergeCell ref="A2:B2"/>
  </mergeCells>
  <phoneticPr fontId="40" type="noConversion"/>
  <conditionalFormatting sqref="G2 J2 G4:G66 J4:J164">
    <cfRule type="cellIs" dxfId="32" priority="15" stopIfTrue="1" operator="lessThanOrEqual">
      <formula>-0.1</formula>
    </cfRule>
    <cfRule type="expression" dxfId="31" priority="16">
      <formula>AND(ISNUMBER(G2), G2&gt;=0.1)</formula>
    </cfRule>
  </conditionalFormatting>
  <conditionalFormatting sqref="G73:G164">
    <cfRule type="cellIs" dxfId="30" priority="3" stopIfTrue="1" operator="lessThanOrEqual">
      <formula>-0.1</formula>
    </cfRule>
    <cfRule type="expression" dxfId="29" priority="4">
      <formula>AND(ISNUMBER(G73), G73&gt;=0.1)</formula>
    </cfRule>
  </conditionalFormatting>
  <hyperlinks>
    <hyperlink ref="L5" r:id="rId1" display="https://us3.assetplanner.com/service_request?ID=093289" xr:uid="{4E7B79EA-868B-47F8-9351-3A58DA2293BD}"/>
    <hyperlink ref="L7" r:id="rId2" display="https://us3.assetplanner.com/service_request?ID=097569" xr:uid="{2B789D45-B01F-429A-B04E-C5ABF89D5B1D}"/>
    <hyperlink ref="L8" r:id="rId3" display="https://us3.assetplanner.com/service_request?ID=093291" xr:uid="{F8C16F4A-D5D1-494F-BAEC-E6C2462F6C71}"/>
    <hyperlink ref="L12" r:id="rId4" display="https://us3.assetplanner.com/service_request?ID=093633" xr:uid="{6CC04766-84EE-43F9-AF4A-C22D6222E3F9}"/>
    <hyperlink ref="L14" r:id="rId5" display="https://us3.assetplanner.com/service_request?ID=093294" xr:uid="{8A2DE366-EE52-4FEE-AC04-37BC385175BB}"/>
    <hyperlink ref="M14" r:id="rId6" display="https://us3.assetplanner.com/service_request?ID=098958" xr:uid="{60076131-B611-48EF-B44C-F74A9D2C1389}"/>
    <hyperlink ref="N14" r:id="rId7" display="https://us3.assetplanner.com/service_request?ID=086842" xr:uid="{406B2646-5CE3-4C0F-9135-DAFBF0D12C28}"/>
    <hyperlink ref="L20" r:id="rId8" display="https://us3.assetplanner.com/service_request?ID=101786" xr:uid="{7773A07A-57CD-4993-990A-0F42F23BE6A5}"/>
    <hyperlink ref="L21" r:id="rId9" display="https://us3.assetplanner.com/service_request?ID=101646" xr:uid="{75D8F3C2-B8DB-4469-AD22-867B0F701BE4}"/>
    <hyperlink ref="L23" r:id="rId10" display="https://us3.assetplanner.com/service_request?ID=101363" xr:uid="{C63E9E28-8699-4707-B3EF-EF2E417AB46F}"/>
    <hyperlink ref="L26" r:id="rId11" display="https://us3.assetplanner.com/service_request?ID=100476" xr:uid="{567B0581-4AA8-4442-892E-69D820834131}"/>
    <hyperlink ref="M26" r:id="rId12" display="https://us3.assetplanner.com/service_request?ID=101267" xr:uid="{2F79F746-BFB7-4E7F-86FF-DF4E62E9E834}"/>
    <hyperlink ref="L28" r:id="rId13" display="https://us3.assetplanner.com/service_request?ID=098981" xr:uid="{458F2900-22CA-42CB-8023-364ECCDF60E6}"/>
    <hyperlink ref="L38" r:id="rId14" display="https://us3.assetplanner.com/service_request?ID=088813" xr:uid="{278B1CEA-7275-43CE-93FB-35313DF5CA26}"/>
    <hyperlink ref="L40" r:id="rId15" display="https://us3.assetplanner.com/service_request?ID=093324" xr:uid="{5B689C14-D9F6-466C-BAB2-0AEBACC2E857}"/>
    <hyperlink ref="L41" r:id="rId16" display="https://us3.assetplanner.com/service_request?ID=099970" xr:uid="{0435229B-EACC-4927-9551-3C268283C682}"/>
    <hyperlink ref="M41" r:id="rId17" display="https://us3.assetplanner.com/service_request?ID=101290" xr:uid="{52BD2614-8804-4EE3-B947-961D3863CDFC}"/>
    <hyperlink ref="L42" r:id="rId18" display="https://us3.assetplanner.com/service_request?ID=100803" xr:uid="{7738AA48-FDBB-4F2F-B6DD-DDF49A0D38C4}"/>
    <hyperlink ref="M42" r:id="rId19" display="https://us3.assetplanner.com/service_request?ID=101356" xr:uid="{B70DCBC4-B82B-49AB-913F-4540D3486F03}"/>
    <hyperlink ref="L43" r:id="rId20" display="https://us3.assetplanner.com/service_request?ID=093326" xr:uid="{534E9D83-EE63-443B-AD8E-2F2CC792ECC9}"/>
    <hyperlink ref="L46" r:id="rId21" display="https://us3.assetplanner.com/service_request?ID=096294" xr:uid="{6E94727C-8F60-4714-ACA7-30D791D1C4C8}"/>
    <hyperlink ref="L47" r:id="rId22" display="https://us3.assetplanner.com/service_request?ID=095662" xr:uid="{7B38EAE2-2487-4A06-A0FF-05103A9C80AB}"/>
    <hyperlink ref="L56" r:id="rId23" display="https://us3.assetplanner.com/service_request?ID=101910" xr:uid="{56A11ABF-3DFE-4829-B4D7-6B87EE884D77}"/>
    <hyperlink ref="M56" r:id="rId24" display="https://us3.assetplanner.com/service_request?ID=101354" xr:uid="{061AC3EF-41AE-437E-B24F-465D7C9559A0}"/>
    <hyperlink ref="N56" r:id="rId25" display="https://us3.assetplanner.com/service_request?ID=100141" xr:uid="{C16A1603-2BEF-4FA5-B58D-4465EA2D5D7F}"/>
    <hyperlink ref="L58" r:id="rId26" display="https://us3.assetplanner.com/service_request?ID=101620" xr:uid="{7C1701D1-3EC1-4A3A-9F15-189DDAC2DE38}"/>
    <hyperlink ref="M58" r:id="rId27" display="https://us3.assetplanner.com/service_request?ID=098641" xr:uid="{D9B28777-1539-4C18-A0DE-5218DB8404B3}"/>
    <hyperlink ref="L59" r:id="rId28" display="https://us3.assetplanner.com/service_request?ID=101641" xr:uid="{927E4FA3-07FB-4D14-8CD9-154F00F99914}"/>
    <hyperlink ref="M59" r:id="rId29" display="https://us3.assetplanner.com/service_request?ID=100447" xr:uid="{CE21FF06-FDBB-4D4D-9811-F291A51A37C1}"/>
    <hyperlink ref="N59" r:id="rId30" display="https://us3.assetplanner.com/service_request?ID=098640" xr:uid="{4AFCB0B8-9600-4741-B293-21EEDB35C80B}"/>
    <hyperlink ref="L61" r:id="rId31" display="https://us3.assetplanner.com/service_request?ID=100623" xr:uid="{77711C60-1929-497A-8CBC-497FA58A1124}"/>
    <hyperlink ref="M61" r:id="rId32" display="https://us3.assetplanner.com/service_request?ID=099149" xr:uid="{9CED785C-8F51-4939-BB77-512D9DE81F86}"/>
    <hyperlink ref="N61" r:id="rId33" display="https://us3.assetplanner.com/service_request?ID=101482" xr:uid="{B4578398-C2D1-4D38-A8E5-CE56D9434B23}"/>
    <hyperlink ref="L63" r:id="rId34" display="https://us3.assetplanner.com/service_request?ID=099403" xr:uid="{7D3D9E79-3CC6-425F-9FBF-3BD6EAC63A07}"/>
    <hyperlink ref="L66" r:id="rId35" display="https://us3.assetplanner.com/service_request?ID=100629" xr:uid="{171CA2B4-B4FE-45ED-BB6A-4ACCF3DC68E3}"/>
    <hyperlink ref="M66" r:id="rId36" display="https://us3.assetplanner.com/service_request?ID=100190" xr:uid="{8B307F83-BC6A-4301-89C0-56B45106B198}"/>
    <hyperlink ref="N66" r:id="rId37" display="https://us3.assetplanner.com/service_request?ID=093024" xr:uid="{6F3DAF43-56B5-45DE-AC9B-29D63A1BE890}"/>
    <hyperlink ref="L67" r:id="rId38" display="https://us3.assetplanner.com/service_request?ID=100200" xr:uid="{3840B1DA-4370-4ECE-991C-E3C064B78C60}"/>
    <hyperlink ref="M67" r:id="rId39" display="https://us3.assetplanner.com/service_request?ID=098198" xr:uid="{A06EED58-F4A1-4CFE-9551-DAF6733B2A83}"/>
    <hyperlink ref="L68" r:id="rId40" display="https://us3.assetplanner.com/service_request?ID=098866" xr:uid="{CB8BB1C6-67CB-4287-A470-59317925CE61}"/>
    <hyperlink ref="L69" r:id="rId41" display="https://us3.assetplanner.com/service_request?ID=098998" xr:uid="{A27D94B8-C12E-4A8A-B504-8047AE4E06C3}"/>
    <hyperlink ref="L70" r:id="rId42" display="https://us3.assetplanner.com/service_request?ID=101929" xr:uid="{8AB757E3-5415-4632-B68F-B257B9DC5A27}"/>
    <hyperlink ref="L71" r:id="rId43" display="https://us3.assetplanner.com/service_request?ID=092964" xr:uid="{23C5EEB6-5D5C-4744-B8ED-5B87AFD65150}"/>
    <hyperlink ref="M71" r:id="rId44" display="https://us3.assetplanner.com/service_request?ID=098877" xr:uid="{C309FC4C-28CD-45E5-BDFD-7B2481A1154B}"/>
    <hyperlink ref="N71" r:id="rId45" display="https://us3.assetplanner.com/service_request?ID=095253" xr:uid="{0D3EEA9F-81CF-41A5-B03D-C64A5BD3F11B}"/>
    <hyperlink ref="L72" r:id="rId46" display="https://us3.assetplanner.com/service_request?ID=101625" xr:uid="{57036A39-6059-4EDB-A0F2-6AB73EE246D5}"/>
    <hyperlink ref="M72" r:id="rId47" display="https://us3.assetplanner.com/service_request?ID=101020" xr:uid="{5F88FA7A-7EA5-4403-B12D-179B5B326CD6}"/>
    <hyperlink ref="L73" r:id="rId48" display="https://us3.assetplanner.com/service_request?ID=100387" xr:uid="{DC73D2AD-0350-42F5-9713-79410566F2DE}"/>
    <hyperlink ref="M73" r:id="rId49" display="https://us3.assetplanner.com/service_request?ID=100721" xr:uid="{5DE19295-DBB6-4054-9AF2-CCB6E897A9F1}"/>
    <hyperlink ref="N73" r:id="rId50" display="https://us3.assetplanner.com/service_request?ID=100387" xr:uid="{0146222A-D350-4632-9852-C5BB279FBBCB}"/>
    <hyperlink ref="L74" r:id="rId51" display="https://us3.assetplanner.com/service_request?ID=100811" xr:uid="{9CBF7224-FE1A-4CCD-A69A-3AA7183981E7}"/>
    <hyperlink ref="M74" r:id="rId52" display="https://us3.assetplanner.com/service_request?ID=101403" xr:uid="{4A17B8C9-80EF-4981-B15A-93B2057F9BCC}"/>
    <hyperlink ref="N74" r:id="rId53" display="https://us3.assetplanner.com/service_request?ID=101938" xr:uid="{EFBEA9FF-C3B3-4567-82CB-34C2DDE6A9F2}"/>
    <hyperlink ref="O74" r:id="rId54" display="https://us3.assetplanner.com/service_request?ID=101263" xr:uid="{29DBB7DA-CF8E-4BC3-92FB-56CD4E1A3E5E}"/>
    <hyperlink ref="P74" r:id="rId55" display="https://us3.assetplanner.com/service_request?ID=101594" xr:uid="{1D0FFDCB-F7DB-4833-B669-1100714393FE}"/>
    <hyperlink ref="Q74" r:id="rId56" display="https://us3.assetplanner.com/service_request?ID=101938" xr:uid="{F53C3114-88D7-4AD3-8F7F-EE9220B66C8A}"/>
    <hyperlink ref="R74" r:id="rId57" display="https://us3.assetplanner.com/service_request?ID=101263" xr:uid="{96299BB9-5ACD-44F7-AA75-38CC5A83BF41}"/>
    <hyperlink ref="S74" r:id="rId58" display="https://us3.assetplanner.com/service_request?ID=101594" xr:uid="{0C0307F8-D858-46C7-85CD-A8D30FA67A53}"/>
    <hyperlink ref="T74" r:id="rId59" display="https://us3.assetplanner.com/service_request?ID=101938" xr:uid="{7385088D-9F47-43D8-8D15-AEE55E8F6036}"/>
    <hyperlink ref="U74" r:id="rId60" display="https://us3.assetplanner.com/service_request?ID=101263" xr:uid="{6A150FE9-1D04-4337-9788-88FBDBCAE1AE}"/>
    <hyperlink ref="V74" r:id="rId61" display="https://us3.assetplanner.com/service_request?ID=101938" xr:uid="{713BC7AE-F5A5-4B9E-9C27-1819C33EEB9D}"/>
    <hyperlink ref="W74" r:id="rId62" display="https://us3.assetplanner.com/service_request?ID=101912" xr:uid="{642E0960-9FB6-4FCB-AFA4-A58DD6DEDB62}"/>
    <hyperlink ref="X74" r:id="rId63" display="https://us3.assetplanner.com/service_request?ID=101938" xr:uid="{415842AA-EE08-4048-9103-250631096226}"/>
    <hyperlink ref="L77" r:id="rId64" display="https://us3.assetplanner.com/service_request?ID=099347" xr:uid="{9A0DE0A2-31CC-48BE-9D8E-D01F9434CB2C}"/>
    <hyperlink ref="M77" r:id="rId65" display="https://us3.assetplanner.com/service_request?ID=101820" xr:uid="{B635DFD0-A012-4D3C-A02C-F3350E26C3B9}"/>
    <hyperlink ref="L78" r:id="rId66" display="https://us3.assetplanner.com/service_request?ID=101160" xr:uid="{5390AB6C-6EDA-4B33-9E9D-009FF3C8A7A3}"/>
    <hyperlink ref="M78" r:id="rId67" display="https://us3.assetplanner.com/service_request?ID=101416" xr:uid="{1F97A802-C970-46BC-AA7A-A141B8653BEB}"/>
    <hyperlink ref="L79" r:id="rId68" display="https://us3.assetplanner.com/service_request?ID=100997" xr:uid="{C1FC788B-F1B4-4AC9-8802-8D5208196170}"/>
    <hyperlink ref="M79" r:id="rId69" display="https://us3.assetplanner.com/service_request?ID=100997" xr:uid="{67163DD7-92B4-4223-A51D-D349EEDC42F6}"/>
    <hyperlink ref="N79" r:id="rId70" display="https://us3.assetplanner.com/service_request?ID=101109" xr:uid="{A079CB86-EBE3-47B8-A96F-3DEF8BF29503}"/>
    <hyperlink ref="L80" r:id="rId71" display="https://us3.assetplanner.com/service_request?ID=101078" xr:uid="{DB4D825B-055B-40FE-BBE6-E03A99ACD4D5}"/>
    <hyperlink ref="M80" r:id="rId72" display="https://us3.assetplanner.com/service_request?ID=101078" xr:uid="{597FC586-C208-4C85-9297-0151EEDB35A3}"/>
    <hyperlink ref="N80" r:id="rId73" display="https://us3.assetplanner.com/service_request?ID=101652" xr:uid="{DB38BBA0-0B4C-4331-A792-A4AFBADB2DFB}"/>
    <hyperlink ref="L81" r:id="rId74" display="https://us3.assetplanner.com/service_request?ID=101079" xr:uid="{9BEBD040-C814-41E5-BF9B-0FE2AEA3E2DA}"/>
    <hyperlink ref="M81" r:id="rId75" display="https://us3.assetplanner.com/service_request?ID=101079" xr:uid="{7C34D164-92AE-4A00-9F03-F7DC8396D39C}"/>
    <hyperlink ref="L85" r:id="rId76" display="https://us3.assetplanner.com/service_request?ID=095109" xr:uid="{89B94946-3A19-4AA8-87E6-79D1F361108D}"/>
    <hyperlink ref="L88" r:id="rId77" display="https://us3.assetplanner.com/service_request?ID=101632" xr:uid="{2966428B-8ECA-4749-9B3D-B4400B9DBD62}"/>
    <hyperlink ref="L89" r:id="rId78" display="https://us3.assetplanner.com/service_request?ID=101091" xr:uid="{A4864F73-26D7-4DA3-926E-AF50BBCA1B8B}"/>
    <hyperlink ref="L90" r:id="rId79" display="https://us3.assetplanner.com/service_request?ID=101633" xr:uid="{91A7A85C-C4F8-4C9B-BA01-52E36576CF53}"/>
    <hyperlink ref="L92" r:id="rId80" display="https://us3.assetplanner.com/service_request?ID=099360" xr:uid="{DFC07389-536E-460D-9D24-44F5DBF29570}"/>
    <hyperlink ref="M92" r:id="rId81" display="https://us3.assetplanner.com/service_request?ID=101282" xr:uid="{FB7EAFC9-5ED2-43F5-A16E-DA13C65838AB}"/>
    <hyperlink ref="L93" r:id="rId82" display="https://us3.assetplanner.com/service_request?ID=100044" xr:uid="{5132D669-642F-4C43-BDDA-54B5B345AE26}"/>
    <hyperlink ref="M93" r:id="rId83" display="https://us3.assetplanner.com/service_request?ID=099140" xr:uid="{EA1EA43F-B6DE-4302-9517-8212705311BE}"/>
    <hyperlink ref="L94" r:id="rId84" display="https://us3.assetplanner.com/service_request?ID=099726" xr:uid="{931A2A90-C589-45B8-B2B6-871CDD4B2F3D}"/>
    <hyperlink ref="L95" r:id="rId85" display="https://us3.assetplanner.com/service_request?ID=095073" xr:uid="{981BAC29-A4B5-4763-A16C-6F80B9513323}"/>
    <hyperlink ref="S110" r:id="rId86" display="https://us3.assetplanner.com/service_request?ID=101942" xr:uid="{C91CD0CE-0CE4-4B01-9B4F-F26D03DC6E5E}"/>
    <hyperlink ref="T110" r:id="rId87" display="https://us3.assetplanner.com/service_request?ID=101997" xr:uid="{55772768-F208-452E-893F-4A0ED8E5037F}"/>
    <hyperlink ref="U110" r:id="rId88" display="https://us3.assetplanner.com/service_request?ID=092209" xr:uid="{697D4D7E-BEA0-4C68-BF46-396B765BA755}"/>
    <hyperlink ref="V110" r:id="rId89" display="https://us3.assetplanner.com/service_request?ID=101998" xr:uid="{461C9542-FCF6-4410-9CC3-7E57CF419660}"/>
    <hyperlink ref="W110" r:id="rId90" display="https://us3.assetplanner.com/service_request?ID=092751" xr:uid="{2122DBBA-77EE-4232-AC8B-E2EFE469DC13}"/>
    <hyperlink ref="X110" r:id="rId91" display="https://us3.assetplanner.com/service_request?ID=092255" xr:uid="{8AB2A798-F420-422F-9562-19DA8DE94B98}"/>
    <hyperlink ref="Y110" r:id="rId92" display="https://us3.assetplanner.com/service_request?ID=092095" xr:uid="{0FB0EE5E-6C00-4B57-AE58-036261D7209A}"/>
    <hyperlink ref="S128" r:id="rId93" display="https://us3.assetplanner.com/service_request?ID=102056" xr:uid="{7CF9F1F6-2935-4C1B-92F6-7724FBD31C92}"/>
    <hyperlink ref="T128" r:id="rId94" display="https://us3.assetplanner.com/service_request?ID=101237" xr:uid="{3845B51C-CD92-47BC-8A67-3E7004329A9D}"/>
    <hyperlink ref="L96" r:id="rId95" xr:uid="{1B82254E-9591-4D31-9940-E850EFCCCD92}"/>
    <hyperlink ref="L97" r:id="rId96" xr:uid="{3AF34DAD-3BA6-485A-9D15-E4944AC6D3D6}"/>
    <hyperlink ref="L100" r:id="rId97" xr:uid="{F7B8CB4B-2897-49DD-806B-C670DA3605E6}"/>
    <hyperlink ref="M100" r:id="rId98" xr:uid="{4A97485D-48E3-4D40-8FCF-26600C3E73BF}"/>
    <hyperlink ref="N100" r:id="rId99" xr:uid="{815A83BE-AC63-4B99-9C98-986223960AA4}"/>
    <hyperlink ref="L101" r:id="rId100" xr:uid="{FF3378C5-3EA0-4363-B716-292C043B3C92}"/>
    <hyperlink ref="L103" r:id="rId101" xr:uid="{27D57AA3-67BA-4795-B9BE-83748163B2FF}"/>
    <hyperlink ref="M103" r:id="rId102" xr:uid="{F88AC4C6-D843-426F-A6D0-C8A104255C87}"/>
    <hyperlink ref="N103" r:id="rId103" xr:uid="{EB40B23C-5F31-4C94-BF9B-53D4DE721DA2}"/>
    <hyperlink ref="O103" r:id="rId104" xr:uid="{2B484E0B-99DD-454B-A10F-3A540D26102F}"/>
    <hyperlink ref="P103" r:id="rId105" xr:uid="{BA0E3BA5-C743-493F-8E6D-BE2A1DE55A9E}"/>
    <hyperlink ref="Q103" r:id="rId106" xr:uid="{CA3E855E-8740-4A4E-A60B-BAEDEA37FCCB}"/>
    <hyperlink ref="R103" r:id="rId107" xr:uid="{DCFBE1D8-70C6-4324-85AB-87167F212627}"/>
    <hyperlink ref="L104" r:id="rId108" xr:uid="{95A2B315-5751-4AAB-9AF6-13ECD2AB9A1D}"/>
    <hyperlink ref="L106" r:id="rId109" xr:uid="{F7F9CF7A-0897-44C7-B9FA-40CCA533BE84}"/>
    <hyperlink ref="M106" r:id="rId110" xr:uid="{B77423A1-D551-43E8-934E-5CDF7E9A1B84}"/>
    <hyperlink ref="L107" r:id="rId111" xr:uid="{503F6CDC-D44C-48B2-B8AD-E0193E768525}"/>
    <hyperlink ref="M107" r:id="rId112" xr:uid="{BEA21F0C-82CF-401D-B019-F4219A3262C2}"/>
    <hyperlink ref="N107" r:id="rId113" xr:uid="{1A6A31AE-4722-4683-B0B9-432A1ABE6BD3}"/>
    <hyperlink ref="L108" r:id="rId114" xr:uid="{EFE1A97B-1E99-40CA-B7B6-AC3E13C18C0E}"/>
    <hyperlink ref="M108" r:id="rId115" xr:uid="{0019608E-2D0A-4F46-9840-DACE1E42E10C}"/>
    <hyperlink ref="N108" r:id="rId116" xr:uid="{08665A74-412C-46A6-8C59-8379B35BA0DE}"/>
    <hyperlink ref="O108" r:id="rId117" xr:uid="{3173BED3-2625-4867-8716-E38C28F8FF5E}"/>
    <hyperlink ref="P108" r:id="rId118" xr:uid="{F14C1FCF-DECF-4773-9074-48E7DA309E4F}"/>
    <hyperlink ref="L109" r:id="rId119" xr:uid="{1862D04E-6359-4740-9CE2-95E567D5DD83}"/>
    <hyperlink ref="L110" r:id="rId120" xr:uid="{871FD66E-3944-4B72-9105-0E67BC885B1C}"/>
    <hyperlink ref="M110" r:id="rId121" xr:uid="{EA9A0BF0-2028-4025-9A82-375D46B2E57C}"/>
    <hyperlink ref="N110" r:id="rId122" xr:uid="{71083628-1B21-4DA8-9BEF-C4DB3C7918CD}"/>
    <hyperlink ref="O110" r:id="rId123" xr:uid="{75624B37-F7B7-40EF-A7D7-4CECCC9506B8}"/>
    <hyperlink ref="P110" r:id="rId124" xr:uid="{437DD256-B346-4EE5-B811-29DC0EA6D5E8}"/>
    <hyperlink ref="Q110" r:id="rId125" xr:uid="{8E0C8C84-15F3-4B06-8975-96FDD641789B}"/>
    <hyperlink ref="L111" r:id="rId126" xr:uid="{44140120-03FE-42E3-8BE9-F3F8A267EBEC}"/>
    <hyperlink ref="L112" r:id="rId127" xr:uid="{F68D0CEB-B7B8-414D-969F-D579DD27AF47}"/>
    <hyperlink ref="M112" r:id="rId128" xr:uid="{89B9144A-DDAB-4D7F-8E9E-416DEA268D38}"/>
    <hyperlink ref="N112" r:id="rId129" xr:uid="{8461DB84-E531-4BF6-96B0-33C577479572}"/>
    <hyperlink ref="O112" r:id="rId130" xr:uid="{3C7465AC-D42D-4EA4-9ADC-D230B6E5904E}"/>
    <hyperlink ref="L113" r:id="rId131" xr:uid="{17534FA1-0934-443B-80E4-550CBF1D4FE2}"/>
    <hyperlink ref="L114" r:id="rId132" xr:uid="{F6459583-6166-4553-94D7-0491864DF330}"/>
    <hyperlink ref="M114" r:id="rId133" xr:uid="{298E074B-56F5-446E-BDEC-B6157CC168BC}"/>
    <hyperlink ref="L116" r:id="rId134" xr:uid="{E1E97382-7B02-46F9-9F2C-352C34D4051E}"/>
    <hyperlink ref="M116" r:id="rId135" xr:uid="{F4524487-C946-4283-88EB-03CA9BA2902D}"/>
    <hyperlink ref="N116" r:id="rId136" xr:uid="{F4A19220-E134-4D62-90EF-CF6AE7DD877F}"/>
    <hyperlink ref="O116" r:id="rId137" xr:uid="{43AF7B7C-D525-45B6-B0C1-68A37471FB08}"/>
    <hyperlink ref="L117" r:id="rId138" xr:uid="{9A49D03A-01CA-428E-8A80-144D6790ED61}"/>
    <hyperlink ref="L123" r:id="rId139" xr:uid="{AC77341C-007D-42C8-AF6C-EE457146CD03}"/>
    <hyperlink ref="M123" r:id="rId140" xr:uid="{2784727B-37D7-47E3-A768-B2A772B87178}"/>
    <hyperlink ref="L124" r:id="rId141" xr:uid="{EBA27A33-8485-411D-9974-FE97A9156665}"/>
    <hyperlink ref="L129" r:id="rId142" xr:uid="{F198A674-9D0D-45AA-9132-AACA110C2AC7}"/>
    <hyperlink ref="L130" r:id="rId143" xr:uid="{267DD1FE-0862-4250-BC57-58C0ABF43A12}"/>
    <hyperlink ref="L132" r:id="rId144" xr:uid="{C615C787-508E-48B8-9E63-1299ECA5C747}"/>
    <hyperlink ref="L133" r:id="rId145" xr:uid="{FB886AC5-5364-4088-A4E4-BEBD474810EF}"/>
    <hyperlink ref="M133" r:id="rId146" xr:uid="{4C72ABDE-A039-4FD9-AF99-7F4FDB403491}"/>
    <hyperlink ref="N133" r:id="rId147" xr:uid="{4920571B-D7E8-43B7-9295-22F36EACE15B}"/>
    <hyperlink ref="O133" r:id="rId148" xr:uid="{443A0A60-4839-47B0-8B29-A448FDBCE638}"/>
    <hyperlink ref="P133" r:id="rId149" xr:uid="{BEED1FEA-4F65-4C61-8704-204920EDBA77}"/>
    <hyperlink ref="L138" r:id="rId150" xr:uid="{26904D46-569A-433C-8EE1-DE3D721D5CE2}"/>
    <hyperlink ref="L139" r:id="rId151" xr:uid="{9582710A-8311-4A5A-9D53-32D0A1B2BB8F}"/>
    <hyperlink ref="M139" r:id="rId152" xr:uid="{A1C41637-587C-41CD-8580-15F52052D605}"/>
    <hyperlink ref="N139" r:id="rId153" xr:uid="{52D56933-05C4-4C7A-943E-C94FD8CACDA6}"/>
    <hyperlink ref="L140" r:id="rId154" xr:uid="{A408C281-1DA5-4632-99F1-2A2CE5BCADF0}"/>
    <hyperlink ref="M140" r:id="rId155" xr:uid="{276C34AE-41DE-43A7-9543-B8F63CCAE6C2}"/>
    <hyperlink ref="N140" r:id="rId156" xr:uid="{1F0B3FBE-E0E3-45E6-A3F7-BB1D57EA3E26}"/>
    <hyperlink ref="O140" r:id="rId157" xr:uid="{569773EA-F474-44D1-9400-813975F41616}"/>
    <hyperlink ref="P140" r:id="rId158" xr:uid="{CD91C144-50F2-4718-A30C-9B7F68232BC5}"/>
    <hyperlink ref="L144" r:id="rId159" xr:uid="{E6DCF1AA-15D6-4D58-B56E-37EB63C1E3BA}"/>
    <hyperlink ref="L145" r:id="rId160" xr:uid="{F487A081-0939-413B-9529-EB846432FDBB}"/>
    <hyperlink ref="L146" r:id="rId161" xr:uid="{A1B281F2-3755-43AD-B2BF-B687410F7043}"/>
    <hyperlink ref="M146" r:id="rId162" xr:uid="{D4C50A8A-E050-4D00-A6FC-AAABE982A783}"/>
    <hyperlink ref="N146" r:id="rId163" xr:uid="{56D549AB-11D0-4584-A0BD-21F693B218C5}"/>
    <hyperlink ref="L147" r:id="rId164" xr:uid="{A4130723-4073-432C-8CB4-701701C0271A}"/>
    <hyperlink ref="M147" r:id="rId165" xr:uid="{4F5B34EA-04CF-4A48-97CE-610840A9B406}"/>
    <hyperlink ref="N147" r:id="rId166" xr:uid="{5948F6B8-FE08-4DAD-A14B-65ED724917DB}"/>
    <hyperlink ref="L148" r:id="rId167" xr:uid="{B785269E-359D-4B42-8C4B-53C12507CE2A}"/>
    <hyperlink ref="L149" r:id="rId168" xr:uid="{C1BE5C51-665A-4E7F-B576-A1BEEDD9F918}"/>
    <hyperlink ref="M149" r:id="rId169" xr:uid="{E166B7E7-4882-4090-864D-A572FCDA5F06}"/>
    <hyperlink ref="N149" r:id="rId170" xr:uid="{53AA3207-97DB-478A-B366-35CBCEB18654}"/>
    <hyperlink ref="L150" r:id="rId171" xr:uid="{915F3D81-0236-479E-835D-94B611D2A84A}"/>
    <hyperlink ref="M150" r:id="rId172" xr:uid="{C203D86B-207D-44AB-9172-7EAF2F1A0853}"/>
    <hyperlink ref="L151" r:id="rId173" xr:uid="{595D8BA6-04FF-4D66-B8A1-EEAB2CF72DB1}"/>
    <hyperlink ref="M151" r:id="rId174" xr:uid="{D3B77E86-8450-43E6-90A7-602E40E8AF02}"/>
    <hyperlink ref="L152" r:id="rId175" xr:uid="{E162ED3E-4D2D-4314-BBCD-1952FEECE8E4}"/>
    <hyperlink ref="M152" r:id="rId176" xr:uid="{C162A504-9C73-46F7-A814-D3690DB35BC6}"/>
    <hyperlink ref="L153" r:id="rId177" xr:uid="{6EFFCD45-3B15-4911-ABA1-24BE3B49F0FB}"/>
    <hyperlink ref="M153" r:id="rId178" xr:uid="{AA5C5A3B-B8BA-4014-8AC0-9B4A16B8FFB5}"/>
    <hyperlink ref="L154" r:id="rId179" xr:uid="{7B989046-6F41-42FE-BF99-2B72247609DE}"/>
    <hyperlink ref="M154" r:id="rId180" xr:uid="{8A1B3DD6-A9AC-4172-91E6-3D33CFA30B03}"/>
    <hyperlink ref="L155" r:id="rId181" xr:uid="{28C6C832-24A5-41AE-A6F8-11B651D0F8FD}"/>
    <hyperlink ref="M155" r:id="rId182" xr:uid="{04E0BE84-1324-4A80-B512-B444A455288F}"/>
    <hyperlink ref="N155" r:id="rId183" xr:uid="{BBF7E52D-EAE3-415B-B9CE-76860DEA07D7}"/>
    <hyperlink ref="L156" r:id="rId184" xr:uid="{1470D206-E850-483F-AD7D-8FD209732D38}"/>
    <hyperlink ref="M156" r:id="rId185" xr:uid="{D16C7004-ED99-493F-A783-37909894C78C}"/>
    <hyperlink ref="L157" r:id="rId186" xr:uid="{A31AD321-9C35-4CBB-AF80-1B0369EDEA25}"/>
    <hyperlink ref="M157" r:id="rId187" xr:uid="{18889757-BB44-48FC-BD0C-689AAC664A30}"/>
    <hyperlink ref="L158" r:id="rId188" xr:uid="{B9490522-1967-479C-9CAA-C24D1CE727D7}"/>
    <hyperlink ref="M158" r:id="rId189" xr:uid="{9DD0682C-AC91-487E-A137-D9FFC3549719}"/>
    <hyperlink ref="N158" r:id="rId190" xr:uid="{AE506C5A-76DD-4737-A01B-8AA5D12D1274}"/>
    <hyperlink ref="L160" r:id="rId191" display="https://us3.assetplanner.com/service_request?ID=100771" xr:uid="{3EC9BABF-B8F2-491F-BCDF-24F790585436}"/>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W172"/>
  <sheetViews>
    <sheetView zoomScale="70" zoomScaleNormal="70" workbookViewId="0">
      <pane xSplit="2" ySplit="3" topLeftCell="G88" activePane="bottomRight" state="frozen"/>
      <selection pane="bottomRight" activeCell="G172" sqref="G172"/>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7" bestFit="1" customWidth="1"/>
    <col min="16" max="16" width="9.85546875" bestFit="1" customWidth="1"/>
  </cols>
  <sheetData>
    <row r="1" spans="1:18" ht="19.5" customHeight="1">
      <c r="A1" s="187" t="str" cm="1">
        <f t="array" ref="A1">portfolio</f>
        <v>Generate Capital</v>
      </c>
      <c r="B1" s="187"/>
      <c r="C1" s="187"/>
      <c r="D1" s="187"/>
      <c r="E1" s="188" t="s">
        <v>1161</v>
      </c>
      <c r="F1" s="188"/>
      <c r="G1" s="188"/>
      <c r="H1" s="186" t="s">
        <v>1162</v>
      </c>
      <c r="I1" s="186"/>
      <c r="J1" s="186"/>
      <c r="K1" s="4"/>
      <c r="L1" s="4"/>
    </row>
    <row r="2" spans="1:18" ht="19.5" customHeight="1">
      <c r="A2" s="189" t="s">
        <v>2</v>
      </c>
      <c r="B2" s="189"/>
      <c r="C2" s="57"/>
      <c r="D2" s="5">
        <f>SUM(D4:D158)</f>
        <v>42369822.411805458</v>
      </c>
      <c r="E2" s="5">
        <f>SUM(E4:E158)</f>
        <v>17317666.147</v>
      </c>
      <c r="F2" s="5">
        <f>D2-E2</f>
        <v>25052156.264805458</v>
      </c>
      <c r="G2" s="6">
        <f>IFERROR(F2/E2, 0)</f>
        <v>1.4466242767444348</v>
      </c>
      <c r="H2" s="5">
        <f>SUM(H4:H158)</f>
        <v>49787445.050000004</v>
      </c>
      <c r="I2" s="7">
        <f>D2-H2</f>
        <v>-7417622.6381945461</v>
      </c>
      <c r="J2" s="6">
        <f>IFERROR(I2/H2, 0)</f>
        <v>-0.14898580617553794</v>
      </c>
      <c r="K2" s="22"/>
      <c r="L2" s="4"/>
    </row>
    <row r="3" spans="1:18" ht="14.25" customHeight="1">
      <c r="A3" s="8" t="s">
        <v>3</v>
      </c>
      <c r="B3" s="8" t="s">
        <v>4</v>
      </c>
      <c r="C3" s="8" t="s">
        <v>5</v>
      </c>
      <c r="D3" s="19" t="s">
        <v>6</v>
      </c>
      <c r="E3" s="31" t="s">
        <v>7</v>
      </c>
      <c r="F3" s="31" t="s">
        <v>8</v>
      </c>
      <c r="G3" s="32" t="s">
        <v>9</v>
      </c>
      <c r="H3" s="33" t="s">
        <v>10</v>
      </c>
      <c r="I3" s="34" t="s">
        <v>8</v>
      </c>
      <c r="J3" s="35" t="s">
        <v>9</v>
      </c>
      <c r="K3" s="21" t="s">
        <v>21</v>
      </c>
      <c r="L3" s="21" t="s">
        <v>22</v>
      </c>
    </row>
    <row r="4" spans="1:18" ht="72">
      <c r="A4" s="26" t="str" cm="1">
        <f t="array" ref="A4:A172">Sites[Site]</f>
        <v>K026</v>
      </c>
      <c r="B4" s="27" t="str" cm="1">
        <f t="array" ref="B4:B172">Sites[State]</f>
        <v>NY</v>
      </c>
      <c r="C4" s="9" t="str">
        <f>Sites[[#This Row],[SOL'#]]</f>
        <v>SOL-10356</v>
      </c>
      <c r="D4" s="9">
        <v>19970.625</v>
      </c>
      <c r="E4" s="14">
        <v>37270.35</v>
      </c>
      <c r="F4" s="14">
        <f t="shared" ref="F4:F51" si="0">IF(AND(ISNUMBER(D4),ISNUMBER(E4)), D4-E4, "")</f>
        <v>-17299.724999999999</v>
      </c>
      <c r="G4" s="15">
        <f t="shared" ref="G4:G52" si="1">IFERROR(F4/E4, "")</f>
        <v>-0.46416856831234476</v>
      </c>
      <c r="H4" s="16">
        <v>38094.400000000001</v>
      </c>
      <c r="I4" s="16">
        <f t="shared" ref="I4:I64" si="2">IF(AND(ISNUMBER(D4),ISNUMBER(H4)), D4-H4, "")</f>
        <v>-18123.775000000001</v>
      </c>
      <c r="J4" s="15">
        <f t="shared" ref="J4:J64" si="3">IFERROR(I4/H4, "")</f>
        <v>-0.47575956046033013</v>
      </c>
      <c r="K4" s="182" t="s">
        <v>1163</v>
      </c>
      <c r="L4" s="100" t="s">
        <v>1164</v>
      </c>
      <c r="M4" s="103" t="s">
        <v>1165</v>
      </c>
      <c r="N4" s="103" t="s">
        <v>1166</v>
      </c>
      <c r="O4" s="104"/>
      <c r="P4" s="104"/>
      <c r="Q4" s="104"/>
      <c r="R4" s="104"/>
    </row>
    <row r="5" spans="1:18" ht="86.25" customHeight="1">
      <c r="A5" s="24" t="str">
        <v>K041</v>
      </c>
      <c r="B5" s="25" t="str">
        <v>NY</v>
      </c>
      <c r="C5" s="25" t="str">
        <f>Sites[[#This Row],[SOL'#]]</f>
        <v>SOL-10357</v>
      </c>
      <c r="D5" s="20">
        <v>26654.78125</v>
      </c>
      <c r="E5" s="10">
        <v>30754.17</v>
      </c>
      <c r="F5" s="10">
        <f t="shared" si="0"/>
        <v>-4099.3887499999983</v>
      </c>
      <c r="G5" s="11">
        <f t="shared" si="1"/>
        <v>-0.13329537913069994</v>
      </c>
      <c r="H5" s="12">
        <v>31695</v>
      </c>
      <c r="I5" s="12">
        <f t="shared" si="2"/>
        <v>-5040.21875</v>
      </c>
      <c r="J5" s="13">
        <f t="shared" si="3"/>
        <v>-0.15902251932481465</v>
      </c>
      <c r="K5" s="47" t="s">
        <v>1167</v>
      </c>
      <c r="L5" s="99" t="s">
        <v>1168</v>
      </c>
      <c r="M5" s="104"/>
      <c r="N5" s="104"/>
      <c r="O5" s="104"/>
      <c r="P5" s="104"/>
      <c r="Q5" s="104"/>
      <c r="R5" s="104"/>
    </row>
    <row r="6" spans="1:18" ht="64.5" customHeight="1">
      <c r="A6" s="26" t="str">
        <v>K043</v>
      </c>
      <c r="B6" s="27" t="str">
        <v>NY</v>
      </c>
      <c r="C6" s="9" t="str">
        <f>Sites[[#This Row],[SOL'#]]</f>
        <v>SOL-10358</v>
      </c>
      <c r="D6" s="9">
        <v>30931</v>
      </c>
      <c r="E6" s="14">
        <v>33675</v>
      </c>
      <c r="F6" s="14">
        <f t="shared" si="0"/>
        <v>-2744</v>
      </c>
      <c r="G6" s="15">
        <f t="shared" si="1"/>
        <v>-8.148478099480326E-2</v>
      </c>
      <c r="H6" s="16">
        <v>6951</v>
      </c>
      <c r="I6" s="16">
        <f t="shared" si="2"/>
        <v>23980</v>
      </c>
      <c r="J6" s="15">
        <f t="shared" si="3"/>
        <v>3.4498633290174077</v>
      </c>
      <c r="K6" s="182" t="s">
        <v>1169</v>
      </c>
      <c r="L6" s="100" t="s">
        <v>1170</v>
      </c>
      <c r="M6" s="104"/>
      <c r="N6" s="104"/>
      <c r="O6" s="104"/>
      <c r="P6" s="104"/>
      <c r="Q6" s="104"/>
      <c r="R6" s="104"/>
    </row>
    <row r="7" spans="1:18" ht="28.9">
      <c r="A7" s="24" t="str">
        <v>K058</v>
      </c>
      <c r="B7" s="25" t="str">
        <v>NY</v>
      </c>
      <c r="C7" s="25" t="str">
        <f>Sites[[#This Row],[SOL'#]]</f>
        <v>SOL-10360</v>
      </c>
      <c r="D7" s="20">
        <v>0</v>
      </c>
      <c r="E7" s="10">
        <v>0</v>
      </c>
      <c r="F7" s="10">
        <f t="shared" si="0"/>
        <v>0</v>
      </c>
      <c r="G7" s="11" t="str">
        <f t="shared" si="1"/>
        <v/>
      </c>
      <c r="H7" s="12">
        <v>28924</v>
      </c>
      <c r="I7" s="12">
        <f t="shared" si="2"/>
        <v>-28924</v>
      </c>
      <c r="J7" s="13">
        <f t="shared" si="3"/>
        <v>-1</v>
      </c>
      <c r="K7" s="47" t="s">
        <v>646</v>
      </c>
      <c r="L7" s="99" t="s">
        <v>1171</v>
      </c>
      <c r="M7" s="104"/>
      <c r="N7" s="104"/>
      <c r="O7" s="104"/>
      <c r="P7" s="104"/>
      <c r="Q7" s="104"/>
      <c r="R7" s="104"/>
    </row>
    <row r="8" spans="1:18" ht="15.6">
      <c r="A8" s="26" t="str">
        <v>K115</v>
      </c>
      <c r="B8" s="27" t="str">
        <v>NY</v>
      </c>
      <c r="C8" s="9" t="str">
        <f>Sites[[#This Row],[SOL'#]]</f>
        <v>SOL-10361</v>
      </c>
      <c r="D8" s="9">
        <v>5326.640625</v>
      </c>
      <c r="E8" s="14">
        <v>13256.49</v>
      </c>
      <c r="F8" s="14">
        <f t="shared" si="0"/>
        <v>-7929.8493749999998</v>
      </c>
      <c r="G8" s="15">
        <f t="shared" si="1"/>
        <v>-0.59818619974065534</v>
      </c>
      <c r="H8" s="16">
        <v>18308.64</v>
      </c>
      <c r="I8" s="16">
        <f t="shared" si="2"/>
        <v>-12981.999374999999</v>
      </c>
      <c r="J8" s="15">
        <f t="shared" si="3"/>
        <v>-0.70906410170280265</v>
      </c>
      <c r="K8" s="90" t="s">
        <v>24</v>
      </c>
      <c r="L8" s="102" t="s">
        <v>1172</v>
      </c>
      <c r="M8" s="104"/>
      <c r="N8" s="104"/>
      <c r="O8" s="104"/>
      <c r="P8" s="104"/>
      <c r="Q8" s="104"/>
      <c r="R8" s="104"/>
    </row>
    <row r="9" spans="1:18" ht="15.6">
      <c r="A9" s="24" t="str">
        <v>K152</v>
      </c>
      <c r="B9" s="25" t="str">
        <v>NY</v>
      </c>
      <c r="C9" s="25" t="str">
        <f>Sites[[#This Row],[SOL'#]]</f>
        <v>SOL-10362</v>
      </c>
      <c r="D9" s="20">
        <v>9851.25</v>
      </c>
      <c r="E9" s="10">
        <v>10260.33</v>
      </c>
      <c r="F9" s="10">
        <f t="shared" si="0"/>
        <v>-409.07999999999993</v>
      </c>
      <c r="G9" s="11">
        <f t="shared" si="1"/>
        <v>-3.9870062658803364E-2</v>
      </c>
      <c r="H9" s="12">
        <v>10940</v>
      </c>
      <c r="I9" s="12">
        <f t="shared" si="2"/>
        <v>-1088.75</v>
      </c>
      <c r="J9" s="13">
        <f t="shared" si="3"/>
        <v>-9.952010968921389E-2</v>
      </c>
      <c r="K9" s="47"/>
      <c r="L9" s="47"/>
      <c r="M9" s="104"/>
      <c r="N9" s="104"/>
      <c r="O9" s="104"/>
      <c r="P9" s="104"/>
      <c r="Q9" s="104"/>
      <c r="R9" s="104"/>
    </row>
    <row r="10" spans="1:18" ht="28.9">
      <c r="A10" s="26" t="str">
        <v>K166</v>
      </c>
      <c r="B10" s="27" t="str">
        <v>NY</v>
      </c>
      <c r="C10" s="9" t="str">
        <f>Sites[[#This Row],[SOL'#]]</f>
        <v>SOL-10363</v>
      </c>
      <c r="D10" s="9">
        <v>36140</v>
      </c>
      <c r="E10" s="14">
        <v>39102.92</v>
      </c>
      <c r="F10" s="14">
        <f t="shared" si="0"/>
        <v>-2962.9199999999983</v>
      </c>
      <c r="G10" s="15">
        <f t="shared" si="1"/>
        <v>-7.5772346413004413E-2</v>
      </c>
      <c r="H10" s="16">
        <v>40314.5</v>
      </c>
      <c r="I10" s="16">
        <f t="shared" si="2"/>
        <v>-4174.5</v>
      </c>
      <c r="J10" s="15">
        <f t="shared" si="3"/>
        <v>-0.10354835108955834</v>
      </c>
      <c r="K10" s="182" t="s">
        <v>1173</v>
      </c>
      <c r="L10" s="100" t="s">
        <v>1174</v>
      </c>
      <c r="M10" s="104"/>
      <c r="N10" s="104"/>
      <c r="O10" s="104"/>
      <c r="P10" s="104"/>
      <c r="Q10" s="104"/>
      <c r="R10" s="104"/>
    </row>
    <row r="11" spans="1:18" ht="15.6">
      <c r="A11" s="24" t="str">
        <v>K206</v>
      </c>
      <c r="B11" s="25" t="str">
        <v>NY</v>
      </c>
      <c r="C11" s="25" t="str">
        <f>Sites[[#This Row],[SOL'#]]</f>
        <v>SOL-10927</v>
      </c>
      <c r="D11" s="20">
        <v>21537.671875</v>
      </c>
      <c r="E11" s="10">
        <v>20572.7</v>
      </c>
      <c r="F11" s="10">
        <f t="shared" si="0"/>
        <v>964.97187499999927</v>
      </c>
      <c r="G11" s="11">
        <f t="shared" si="1"/>
        <v>4.6905456016954471E-2</v>
      </c>
      <c r="H11" s="12">
        <v>23702</v>
      </c>
      <c r="I11" s="12">
        <f t="shared" si="2"/>
        <v>-2164.328125</v>
      </c>
      <c r="J11" s="13">
        <f t="shared" si="3"/>
        <v>-9.1314155978398454E-2</v>
      </c>
      <c r="K11" s="47"/>
      <c r="L11" s="47"/>
      <c r="M11" s="104"/>
      <c r="N11" s="104"/>
      <c r="O11" s="104"/>
      <c r="P11" s="104"/>
      <c r="Q11" s="104"/>
      <c r="R11" s="104"/>
    </row>
    <row r="12" spans="1:18" ht="72">
      <c r="A12" s="26" t="str">
        <v>K251</v>
      </c>
      <c r="B12" s="27" t="str">
        <v>NY</v>
      </c>
      <c r="C12" s="9" t="str">
        <f>Sites[[#This Row],[SOL'#]]</f>
        <v>SOL-10365</v>
      </c>
      <c r="D12" s="9">
        <v>13051.4375</v>
      </c>
      <c r="E12" s="14">
        <v>0</v>
      </c>
      <c r="F12" s="14">
        <f t="shared" si="0"/>
        <v>13051.4375</v>
      </c>
      <c r="G12" s="15" t="str">
        <f t="shared" si="1"/>
        <v/>
      </c>
      <c r="H12" s="16">
        <v>25462.41</v>
      </c>
      <c r="I12" s="16">
        <f t="shared" si="2"/>
        <v>-12410.9725</v>
      </c>
      <c r="J12" s="15">
        <f t="shared" si="3"/>
        <v>-0.4874233232439506</v>
      </c>
      <c r="K12" s="182" t="s">
        <v>1175</v>
      </c>
      <c r="L12" s="100" t="s">
        <v>1176</v>
      </c>
      <c r="M12" s="103" t="s">
        <v>1177</v>
      </c>
      <c r="N12" s="103" t="s">
        <v>1178</v>
      </c>
      <c r="O12" s="104"/>
      <c r="P12" s="104"/>
      <c r="Q12" s="104"/>
      <c r="R12" s="104"/>
    </row>
    <row r="13" spans="1:18" ht="46.5" customHeight="1">
      <c r="A13" s="24" t="str">
        <v>K269</v>
      </c>
      <c r="B13" s="25" t="str">
        <v>NY</v>
      </c>
      <c r="C13" s="25" t="str">
        <f>Sites[[#This Row],[SOL'#]]</f>
        <v>SOL-10366</v>
      </c>
      <c r="D13" s="20">
        <v>21627.8125</v>
      </c>
      <c r="E13" s="10">
        <v>25278.65</v>
      </c>
      <c r="F13" s="10">
        <f t="shared" si="0"/>
        <v>-3650.8375000000015</v>
      </c>
      <c r="G13" s="11">
        <f t="shared" si="1"/>
        <v>-0.14442375285072587</v>
      </c>
      <c r="H13" s="12">
        <v>25051.98</v>
      </c>
      <c r="I13" s="12">
        <f t="shared" si="2"/>
        <v>-3424.1674999999996</v>
      </c>
      <c r="J13" s="13">
        <f t="shared" si="3"/>
        <v>-0.13668250972577814</v>
      </c>
      <c r="K13" s="47" t="s">
        <v>1179</v>
      </c>
      <c r="L13" s="47"/>
      <c r="M13" s="104"/>
      <c r="N13" s="104"/>
      <c r="O13" s="104"/>
      <c r="P13" s="104"/>
      <c r="Q13" s="104"/>
      <c r="R13" s="104"/>
    </row>
    <row r="14" spans="1:18" ht="43.15">
      <c r="A14" s="26" t="str">
        <v>K273</v>
      </c>
      <c r="B14" s="27" t="str">
        <v>NY</v>
      </c>
      <c r="C14" s="9" t="str">
        <f>Sites[[#This Row],[SOL'#]]</f>
        <v>SOL-10367</v>
      </c>
      <c r="D14" s="9">
        <v>20960.1875</v>
      </c>
      <c r="E14" s="14">
        <v>0</v>
      </c>
      <c r="F14" s="14">
        <f t="shared" si="0"/>
        <v>20960.1875</v>
      </c>
      <c r="G14" s="15" t="str">
        <f t="shared" si="1"/>
        <v/>
      </c>
      <c r="H14" s="16">
        <v>30934</v>
      </c>
      <c r="I14" s="16">
        <f t="shared" si="2"/>
        <v>-9973.8125</v>
      </c>
      <c r="J14" s="15">
        <f t="shared" si="3"/>
        <v>-0.32242233464796016</v>
      </c>
      <c r="K14" s="182" t="s">
        <v>1180</v>
      </c>
      <c r="L14" s="100" t="s">
        <v>1181</v>
      </c>
      <c r="M14" s="104"/>
      <c r="N14" s="104"/>
      <c r="O14" s="104"/>
      <c r="P14" s="104"/>
      <c r="Q14" s="104"/>
      <c r="R14" s="104"/>
    </row>
    <row r="15" spans="1:18" ht="28.9">
      <c r="A15" s="24" t="str">
        <v>K287</v>
      </c>
      <c r="B15" s="25" t="str">
        <v>NY</v>
      </c>
      <c r="C15" s="25" t="str">
        <f>Sites[[#This Row],[SOL'#]]</f>
        <v>SOL-10919</v>
      </c>
      <c r="D15" s="20">
        <v>18763.96875</v>
      </c>
      <c r="E15" s="10">
        <v>16103.01</v>
      </c>
      <c r="F15" s="10">
        <f t="shared" si="0"/>
        <v>2660.9587499999998</v>
      </c>
      <c r="G15" s="11">
        <f t="shared" si="1"/>
        <v>0.16524604716757921</v>
      </c>
      <c r="H15" s="12">
        <v>21718</v>
      </c>
      <c r="I15" s="12">
        <f t="shared" si="2"/>
        <v>-2954.03125</v>
      </c>
      <c r="J15" s="13">
        <f t="shared" si="3"/>
        <v>-0.13601764665254629</v>
      </c>
      <c r="K15" s="47" t="s">
        <v>1182</v>
      </c>
      <c r="L15" s="47"/>
      <c r="M15" s="104"/>
      <c r="N15" s="104"/>
      <c r="O15" s="104"/>
      <c r="P15" s="104"/>
      <c r="Q15" s="104"/>
      <c r="R15" s="104"/>
    </row>
    <row r="16" spans="1:18" ht="28.9">
      <c r="A16" s="26" t="str">
        <v>K298</v>
      </c>
      <c r="B16" s="27" t="str">
        <v>NY</v>
      </c>
      <c r="C16" s="9" t="str">
        <f>Sites[[#This Row],[SOL'#]]</f>
        <v>SOL-10368</v>
      </c>
      <c r="D16" s="9">
        <v>20591.34375</v>
      </c>
      <c r="E16" s="14">
        <v>21440.240000000002</v>
      </c>
      <c r="F16" s="14">
        <f t="shared" si="0"/>
        <v>-848.8962500000016</v>
      </c>
      <c r="G16" s="15">
        <f t="shared" si="1"/>
        <v>-3.9593598299272843E-2</v>
      </c>
      <c r="H16" s="16">
        <v>25175</v>
      </c>
      <c r="I16" s="16">
        <f t="shared" si="2"/>
        <v>-4583.65625</v>
      </c>
      <c r="J16" s="15">
        <f t="shared" si="3"/>
        <v>-0.18207174776564053</v>
      </c>
      <c r="K16" s="182" t="s">
        <v>1182</v>
      </c>
      <c r="L16" s="86"/>
      <c r="M16" s="104"/>
      <c r="N16" s="104"/>
      <c r="O16" s="104"/>
      <c r="P16" s="104"/>
      <c r="Q16" s="104"/>
      <c r="R16" s="104"/>
    </row>
    <row r="17" spans="1:18" ht="28.9">
      <c r="A17" s="24" t="str">
        <v>K335</v>
      </c>
      <c r="B17" s="25" t="str">
        <v>NY</v>
      </c>
      <c r="C17" s="25" t="str">
        <f>Sites[[#This Row],[SOL'#]]</f>
        <v>SOL-10370</v>
      </c>
      <c r="D17" s="20">
        <v>20569.9375</v>
      </c>
      <c r="E17" s="10">
        <v>24021.24</v>
      </c>
      <c r="F17" s="10">
        <f t="shared" si="0"/>
        <v>-3451.3025000000016</v>
      </c>
      <c r="G17" s="11">
        <f t="shared" si="1"/>
        <v>-0.14367711658515553</v>
      </c>
      <c r="H17" s="12">
        <v>25592</v>
      </c>
      <c r="I17" s="12">
        <f t="shared" si="2"/>
        <v>-5022.0625</v>
      </c>
      <c r="J17" s="13">
        <f t="shared" si="3"/>
        <v>-0.19623564004376368</v>
      </c>
      <c r="K17" s="47" t="s">
        <v>1183</v>
      </c>
      <c r="L17" s="99" t="s">
        <v>1184</v>
      </c>
      <c r="M17" s="104"/>
      <c r="N17" s="104"/>
      <c r="O17" s="104"/>
      <c r="P17" s="104"/>
      <c r="Q17" s="104"/>
      <c r="R17" s="104"/>
    </row>
    <row r="18" spans="1:18" ht="43.5" customHeight="1">
      <c r="A18" s="26" t="str">
        <v>K345</v>
      </c>
      <c r="B18" s="27" t="str">
        <v>NY</v>
      </c>
      <c r="C18" s="9" t="str">
        <f>Sites[[#This Row],[SOL'#]]</f>
        <v>SOL-10920</v>
      </c>
      <c r="D18" s="9">
        <v>24507.28125</v>
      </c>
      <c r="E18" s="14">
        <v>14335.24</v>
      </c>
      <c r="F18" s="14">
        <f t="shared" si="0"/>
        <v>10172.04125</v>
      </c>
      <c r="G18" s="15">
        <f t="shared" si="1"/>
        <v>0.70958290548327063</v>
      </c>
      <c r="H18" s="16">
        <v>29326</v>
      </c>
      <c r="I18" s="16">
        <f t="shared" si="2"/>
        <v>-4818.71875</v>
      </c>
      <c r="J18" s="15">
        <f t="shared" si="3"/>
        <v>-0.16431558173634317</v>
      </c>
      <c r="K18" s="182" t="s">
        <v>1185</v>
      </c>
      <c r="L18" s="100" t="s">
        <v>1186</v>
      </c>
      <c r="M18" s="104"/>
      <c r="N18" s="104"/>
      <c r="O18" s="104"/>
      <c r="P18" s="104"/>
      <c r="Q18" s="104"/>
      <c r="R18" s="104"/>
    </row>
    <row r="19" spans="1:18" ht="28.9">
      <c r="A19" s="24" t="str">
        <v>K445</v>
      </c>
      <c r="B19" s="25" t="str">
        <v>NY</v>
      </c>
      <c r="C19" s="25" t="str">
        <f>Sites[[#This Row],[SOL'#]]</f>
        <v>SOL-10373</v>
      </c>
      <c r="D19" s="20">
        <v>20602.40625</v>
      </c>
      <c r="E19" s="10">
        <v>22293.98</v>
      </c>
      <c r="F19" s="10">
        <f t="shared" si="0"/>
        <v>-1691.5737499999996</v>
      </c>
      <c r="G19" s="11">
        <f t="shared" si="1"/>
        <v>-7.5875808177813003E-2</v>
      </c>
      <c r="H19" s="12">
        <v>23683.37</v>
      </c>
      <c r="I19" s="12">
        <f t="shared" si="2"/>
        <v>-3080.963749999999</v>
      </c>
      <c r="J19" s="13">
        <f t="shared" si="3"/>
        <v>-0.13008975285189561</v>
      </c>
      <c r="K19" s="47" t="s">
        <v>1182</v>
      </c>
      <c r="L19" s="47"/>
      <c r="M19" s="104"/>
      <c r="N19" s="104"/>
      <c r="O19" s="104"/>
      <c r="P19" s="104"/>
      <c r="Q19" s="104"/>
      <c r="R19" s="104"/>
    </row>
    <row r="20" spans="1:18" ht="72">
      <c r="A20" s="26" t="str">
        <v>K495</v>
      </c>
      <c r="B20" s="27" t="str">
        <v>NY</v>
      </c>
      <c r="C20" s="9" t="str">
        <f>Sites[[#This Row],[SOL'#]]</f>
        <v>SOL-10374</v>
      </c>
      <c r="D20" s="9">
        <v>84354</v>
      </c>
      <c r="E20" s="14">
        <v>83864.09</v>
      </c>
      <c r="F20" s="14">
        <f t="shared" si="0"/>
        <v>489.91000000000349</v>
      </c>
      <c r="G20" s="15">
        <f t="shared" si="1"/>
        <v>5.8417136583727731E-3</v>
      </c>
      <c r="H20" s="16">
        <v>97327.32</v>
      </c>
      <c r="I20" s="16">
        <f t="shared" si="2"/>
        <v>-12973.320000000007</v>
      </c>
      <c r="J20" s="15">
        <f t="shared" si="3"/>
        <v>-0.13329576936876517</v>
      </c>
      <c r="K20" s="182" t="s">
        <v>915</v>
      </c>
      <c r="L20" s="100" t="s">
        <v>1187</v>
      </c>
      <c r="M20" s="104"/>
      <c r="N20" s="104"/>
      <c r="O20" s="104"/>
      <c r="P20" s="104"/>
      <c r="Q20" s="104"/>
      <c r="R20" s="104"/>
    </row>
    <row r="21" spans="1:18" ht="28.9">
      <c r="A21" s="24" t="str">
        <v>M020</v>
      </c>
      <c r="B21" s="25" t="str">
        <v>NY</v>
      </c>
      <c r="C21" s="25" t="str">
        <f>Sites[[#This Row],[SOL'#]]</f>
        <v>SOL-10380</v>
      </c>
      <c r="D21" s="20">
        <v>22387.4375</v>
      </c>
      <c r="E21" s="10">
        <v>23071</v>
      </c>
      <c r="F21" s="10">
        <f t="shared" si="0"/>
        <v>-683.5625</v>
      </c>
      <c r="G21" s="11">
        <f t="shared" si="1"/>
        <v>-2.9628646352563823E-2</v>
      </c>
      <c r="H21" s="12">
        <v>27263</v>
      </c>
      <c r="I21" s="12">
        <f t="shared" si="2"/>
        <v>-4875.5625</v>
      </c>
      <c r="J21" s="13">
        <f t="shared" si="3"/>
        <v>-0.17883440927264058</v>
      </c>
      <c r="K21" s="47" t="s">
        <v>1182</v>
      </c>
      <c r="L21" s="47"/>
      <c r="M21" s="104"/>
      <c r="N21" s="104"/>
      <c r="O21" s="104"/>
      <c r="P21" s="104"/>
      <c r="Q21" s="104"/>
      <c r="R21" s="104"/>
    </row>
    <row r="22" spans="1:18" ht="28.9">
      <c r="A22" s="26" t="str">
        <v>M092</v>
      </c>
      <c r="B22" s="27" t="str">
        <v>NY</v>
      </c>
      <c r="C22" s="9" t="str">
        <f>Sites[[#This Row],[SOL'#]]</f>
        <v>SOL-10383</v>
      </c>
      <c r="D22" s="9">
        <v>22328.875</v>
      </c>
      <c r="E22" s="14">
        <v>23813.759999999998</v>
      </c>
      <c r="F22" s="14">
        <f t="shared" si="0"/>
        <v>-1484.8849999999984</v>
      </c>
      <c r="G22" s="15">
        <f t="shared" si="1"/>
        <v>-6.2354075962804636E-2</v>
      </c>
      <c r="H22" s="16">
        <v>26112.959999999999</v>
      </c>
      <c r="I22" s="16">
        <f t="shared" si="2"/>
        <v>-3784.0849999999991</v>
      </c>
      <c r="J22" s="15">
        <f t="shared" si="3"/>
        <v>-0.14491214324228274</v>
      </c>
      <c r="K22" s="182" t="s">
        <v>1182</v>
      </c>
      <c r="L22" s="86"/>
      <c r="M22" s="104"/>
      <c r="N22" s="104"/>
      <c r="O22" s="104"/>
      <c r="P22" s="104"/>
      <c r="Q22" s="104"/>
      <c r="R22" s="104"/>
    </row>
    <row r="23" spans="1:18" ht="28.9">
      <c r="A23" s="24" t="str">
        <v>M143</v>
      </c>
      <c r="B23" s="25" t="str">
        <v>NY</v>
      </c>
      <c r="C23" s="25" t="str">
        <f>Sites[[#This Row],[SOL'#]]</f>
        <v>SOL-10384</v>
      </c>
      <c r="D23" s="20">
        <v>24011.4375</v>
      </c>
      <c r="E23" s="10">
        <v>29585.279999999999</v>
      </c>
      <c r="F23" s="10">
        <f t="shared" si="0"/>
        <v>-5573.8424999999988</v>
      </c>
      <c r="G23" s="11">
        <f t="shared" si="1"/>
        <v>-0.18839918026802516</v>
      </c>
      <c r="H23" s="12">
        <v>28779.79</v>
      </c>
      <c r="I23" s="12">
        <f t="shared" si="2"/>
        <v>-4768.3525000000009</v>
      </c>
      <c r="J23" s="13">
        <f t="shared" si="3"/>
        <v>-0.16568406162796881</v>
      </c>
      <c r="K23" s="47" t="s">
        <v>1188</v>
      </c>
      <c r="L23" s="99" t="s">
        <v>1189</v>
      </c>
      <c r="M23" s="104"/>
      <c r="N23" s="104"/>
      <c r="O23" s="104"/>
      <c r="P23" s="104"/>
      <c r="Q23" s="104"/>
      <c r="R23" s="104"/>
    </row>
    <row r="24" spans="1:18" ht="28.9">
      <c r="A24" s="26" t="str">
        <v>M144</v>
      </c>
      <c r="B24" s="27" t="str">
        <v>NY</v>
      </c>
      <c r="C24" s="9" t="str">
        <f>Sites[[#This Row],[SOL'#]]</f>
        <v>SOL-10385</v>
      </c>
      <c r="D24" s="9">
        <v>36137.0625</v>
      </c>
      <c r="E24" s="14">
        <v>39456.57</v>
      </c>
      <c r="F24" s="14">
        <f t="shared" si="0"/>
        <v>-3319.5074999999997</v>
      </c>
      <c r="G24" s="15">
        <f t="shared" si="1"/>
        <v>-8.4130665691417167E-2</v>
      </c>
      <c r="H24" s="16">
        <v>47489.14</v>
      </c>
      <c r="I24" s="16">
        <f t="shared" si="2"/>
        <v>-11352.077499999999</v>
      </c>
      <c r="J24" s="15">
        <f t="shared" si="3"/>
        <v>-0.23904575867240382</v>
      </c>
      <c r="K24" s="182" t="s">
        <v>1182</v>
      </c>
      <c r="L24" s="182"/>
      <c r="M24" s="104"/>
      <c r="N24" s="104"/>
      <c r="O24" s="104"/>
      <c r="P24" s="104"/>
      <c r="Q24" s="104"/>
      <c r="R24" s="104"/>
    </row>
    <row r="25" spans="1:18" ht="28.9">
      <c r="A25" s="24" t="str">
        <v>M167</v>
      </c>
      <c r="B25" s="25" t="str">
        <v>NY</v>
      </c>
      <c r="C25" s="25" t="str">
        <f>Sites[[#This Row],[SOL'#]]</f>
        <v>SOL-10386</v>
      </c>
      <c r="D25" s="20">
        <v>28733.28125</v>
      </c>
      <c r="E25" s="10">
        <v>20908.97</v>
      </c>
      <c r="F25" s="10">
        <f t="shared" si="0"/>
        <v>7824.3112499999988</v>
      </c>
      <c r="G25" s="11">
        <f t="shared" si="1"/>
        <v>0.37420835411787373</v>
      </c>
      <c r="H25" s="12">
        <v>35467.9</v>
      </c>
      <c r="I25" s="12">
        <f t="shared" si="2"/>
        <v>-6734.6187500000015</v>
      </c>
      <c r="J25" s="13">
        <f t="shared" si="3"/>
        <v>-0.18987926406694508</v>
      </c>
      <c r="K25" s="47" t="s">
        <v>1182</v>
      </c>
      <c r="L25" s="47"/>
      <c r="M25" s="104"/>
      <c r="N25" s="104"/>
      <c r="O25" s="104"/>
      <c r="P25" s="104"/>
      <c r="Q25" s="104"/>
      <c r="R25" s="104"/>
    </row>
    <row r="26" spans="1:18" ht="28.9">
      <c r="A26" s="26" t="str">
        <v>M188</v>
      </c>
      <c r="B26" s="27" t="str">
        <v>NY</v>
      </c>
      <c r="C26" s="9" t="str">
        <f>Sites[[#This Row],[SOL'#]]</f>
        <v>SOL-10387</v>
      </c>
      <c r="D26" s="9">
        <v>19170.21875</v>
      </c>
      <c r="E26" s="14">
        <v>19623.05</v>
      </c>
      <c r="F26" s="14">
        <f t="shared" si="0"/>
        <v>-452.83124999999927</v>
      </c>
      <c r="G26" s="15">
        <f t="shared" si="1"/>
        <v>-2.307649677292772E-2</v>
      </c>
      <c r="H26" s="16">
        <v>23732.02</v>
      </c>
      <c r="I26" s="16">
        <f t="shared" si="2"/>
        <v>-4561.8012500000004</v>
      </c>
      <c r="J26" s="15">
        <f t="shared" si="3"/>
        <v>-0.19222136379456956</v>
      </c>
      <c r="K26" s="182" t="s">
        <v>1182</v>
      </c>
      <c r="L26" s="86"/>
      <c r="M26" s="104"/>
      <c r="N26" s="104"/>
      <c r="O26" s="104"/>
      <c r="P26" s="104"/>
      <c r="Q26" s="104"/>
      <c r="R26" s="104"/>
    </row>
    <row r="27" spans="1:18" ht="28.9">
      <c r="A27" s="24" t="str">
        <v>EMHC</v>
      </c>
      <c r="B27" s="25" t="str">
        <v>NY</v>
      </c>
      <c r="C27" s="25" t="str">
        <f>Sites[[#This Row],[SOL'#]]</f>
        <v>SOL-10351</v>
      </c>
      <c r="D27" s="20">
        <v>7915.9609375</v>
      </c>
      <c r="E27" s="10">
        <v>6589.2969999999996</v>
      </c>
      <c r="F27" s="10">
        <f t="shared" si="0"/>
        <v>1326.6639375000004</v>
      </c>
      <c r="G27" s="11">
        <f t="shared" si="1"/>
        <v>0.20133618768436154</v>
      </c>
      <c r="H27" s="12">
        <v>12239.52</v>
      </c>
      <c r="I27" s="12">
        <f t="shared" si="2"/>
        <v>-4323.5590625000004</v>
      </c>
      <c r="J27" s="13">
        <f t="shared" si="3"/>
        <v>-0.35324580232721547</v>
      </c>
      <c r="K27" s="47" t="s">
        <v>1182</v>
      </c>
      <c r="L27" s="47"/>
      <c r="M27" s="104"/>
      <c r="N27" s="104"/>
      <c r="O27" s="104"/>
      <c r="P27" s="104"/>
      <c r="Q27" s="104"/>
      <c r="R27" s="104"/>
    </row>
    <row r="28" spans="1:18" ht="57.6">
      <c r="A28" s="26" t="str">
        <v>Q008</v>
      </c>
      <c r="B28" s="27" t="str">
        <v>NY</v>
      </c>
      <c r="C28" s="9" t="str">
        <f>Sites[[#This Row],[SOL'#]]</f>
        <v>SOL-10397</v>
      </c>
      <c r="D28" s="9">
        <v>0</v>
      </c>
      <c r="E28" s="14">
        <v>0</v>
      </c>
      <c r="F28" s="14">
        <f t="shared" si="0"/>
        <v>0</v>
      </c>
      <c r="G28" s="15" t="str">
        <f t="shared" si="1"/>
        <v/>
      </c>
      <c r="H28" s="16">
        <v>35176</v>
      </c>
      <c r="I28" s="16">
        <f t="shared" si="2"/>
        <v>-35176</v>
      </c>
      <c r="J28" s="15">
        <f t="shared" si="3"/>
        <v>-1</v>
      </c>
      <c r="K28" s="182" t="s">
        <v>1190</v>
      </c>
      <c r="L28" s="100" t="s">
        <v>1191</v>
      </c>
      <c r="M28" s="104"/>
      <c r="N28" s="104"/>
      <c r="O28" s="104"/>
      <c r="P28" s="104"/>
      <c r="Q28" s="104"/>
      <c r="R28" s="104"/>
    </row>
    <row r="29" spans="1:18" ht="15.6">
      <c r="A29" s="24" t="str">
        <v>Q018</v>
      </c>
      <c r="B29" s="25" t="str">
        <v>NY</v>
      </c>
      <c r="C29" s="25" t="str">
        <f>Sites[[#This Row],[SOL'#]]</f>
        <v>SOL-10398</v>
      </c>
      <c r="D29" s="20">
        <v>19132.875</v>
      </c>
      <c r="E29" s="10">
        <v>20700.88</v>
      </c>
      <c r="F29" s="10">
        <f t="shared" si="0"/>
        <v>-1568.005000000001</v>
      </c>
      <c r="G29" s="11">
        <f t="shared" si="1"/>
        <v>-7.5745813704538215E-2</v>
      </c>
      <c r="H29" s="12">
        <v>19976.3</v>
      </c>
      <c r="I29" s="12">
        <f t="shared" si="2"/>
        <v>-843.42499999999927</v>
      </c>
      <c r="J29" s="13">
        <f t="shared" si="3"/>
        <v>-4.2221282219429987E-2</v>
      </c>
      <c r="K29" s="47" t="s">
        <v>1192</v>
      </c>
      <c r="L29" s="99" t="s">
        <v>1193</v>
      </c>
      <c r="M29" s="104"/>
      <c r="N29" s="104"/>
      <c r="O29" s="104"/>
      <c r="P29" s="104"/>
      <c r="Q29" s="104"/>
      <c r="R29" s="104"/>
    </row>
    <row r="30" spans="1:18" ht="15.6">
      <c r="A30" s="26" t="str">
        <v>Q021</v>
      </c>
      <c r="B30" s="27" t="str">
        <v>NY</v>
      </c>
      <c r="C30" s="9" t="str">
        <f>Sites[[#This Row],[SOL'#]]</f>
        <v>SOL-10399</v>
      </c>
      <c r="D30" s="9">
        <v>15640.0625</v>
      </c>
      <c r="E30" s="14">
        <v>15031.53</v>
      </c>
      <c r="F30" s="14">
        <f t="shared" si="0"/>
        <v>608.53249999999935</v>
      </c>
      <c r="G30" s="15">
        <f t="shared" si="1"/>
        <v>4.0483736519169991E-2</v>
      </c>
      <c r="H30" s="16">
        <v>16758.830000000002</v>
      </c>
      <c r="I30" s="16">
        <f t="shared" si="2"/>
        <v>-1118.7675000000017</v>
      </c>
      <c r="J30" s="15">
        <f t="shared" si="3"/>
        <v>-6.6756897707059601E-2</v>
      </c>
      <c r="K30" s="182"/>
      <c r="L30" s="86"/>
      <c r="M30" s="104"/>
      <c r="N30" s="104"/>
      <c r="O30" s="104"/>
      <c r="P30" s="104"/>
      <c r="Q30" s="104"/>
      <c r="R30" s="104"/>
    </row>
    <row r="31" spans="1:18" ht="15.6">
      <c r="A31" s="24" t="str">
        <v>Q025</v>
      </c>
      <c r="B31" s="25" t="str">
        <v>NY</v>
      </c>
      <c r="C31" s="25" t="str">
        <f>Sites[[#This Row],[SOL'#]]</f>
        <v>SOL-10400</v>
      </c>
      <c r="D31" s="20">
        <v>27194.3125</v>
      </c>
      <c r="E31" s="10">
        <v>26758.959999999999</v>
      </c>
      <c r="F31" s="10">
        <f t="shared" si="0"/>
        <v>435.35250000000087</v>
      </c>
      <c r="G31" s="11">
        <f t="shared" si="1"/>
        <v>1.626941032087947E-2</v>
      </c>
      <c r="H31" s="12">
        <v>15102</v>
      </c>
      <c r="I31" s="12">
        <f t="shared" si="2"/>
        <v>12092.3125</v>
      </c>
      <c r="J31" s="13">
        <f t="shared" si="3"/>
        <v>0.80070934313335984</v>
      </c>
      <c r="K31" s="47"/>
      <c r="L31" s="47"/>
      <c r="M31" s="104"/>
      <c r="N31" s="104"/>
      <c r="O31" s="104"/>
      <c r="P31" s="104"/>
      <c r="Q31" s="104"/>
      <c r="R31" s="104"/>
    </row>
    <row r="32" spans="1:18" ht="15.6">
      <c r="A32" s="26" t="str">
        <v>Q074</v>
      </c>
      <c r="B32" s="27" t="str">
        <v>NY</v>
      </c>
      <c r="C32" s="9" t="str">
        <f>Sites[[#This Row],[SOL'#]]</f>
        <v>SOL-10402</v>
      </c>
      <c r="D32" s="9">
        <v>17398.375</v>
      </c>
      <c r="E32" s="14">
        <v>17593.240000000002</v>
      </c>
      <c r="F32" s="14">
        <f t="shared" si="0"/>
        <v>-194.8650000000016</v>
      </c>
      <c r="G32" s="15">
        <f t="shared" si="1"/>
        <v>-1.1076129240549301E-2</v>
      </c>
      <c r="H32" s="16">
        <v>18971.07</v>
      </c>
      <c r="I32" s="16">
        <f t="shared" si="2"/>
        <v>-1572.6949999999997</v>
      </c>
      <c r="J32" s="15">
        <f t="shared" si="3"/>
        <v>-8.2899646672538754E-2</v>
      </c>
      <c r="K32" s="182"/>
      <c r="L32" s="86"/>
      <c r="M32" s="104"/>
      <c r="N32" s="104"/>
      <c r="O32" s="104"/>
      <c r="P32" s="104"/>
      <c r="Q32" s="104"/>
      <c r="R32" s="104"/>
    </row>
    <row r="33" spans="1:18" ht="15.6">
      <c r="A33" s="24" t="str">
        <v>Q115</v>
      </c>
      <c r="B33" s="25" t="str">
        <v>NY</v>
      </c>
      <c r="C33" s="25" t="str">
        <f>Sites[[#This Row],[SOL'#]]</f>
        <v>SOL-10872</v>
      </c>
      <c r="D33" s="20">
        <v>22855.1875</v>
      </c>
      <c r="E33" s="10">
        <v>24405.24</v>
      </c>
      <c r="F33" s="10">
        <f t="shared" si="0"/>
        <v>-1550.0525000000016</v>
      </c>
      <c r="G33" s="11">
        <f t="shared" si="1"/>
        <v>-6.3513102104302249E-2</v>
      </c>
      <c r="H33" s="12">
        <v>25038.25</v>
      </c>
      <c r="I33" s="12">
        <f t="shared" si="2"/>
        <v>-2183.0625</v>
      </c>
      <c r="J33" s="13">
        <f t="shared" si="3"/>
        <v>-8.7189100675965775E-2</v>
      </c>
      <c r="K33" s="47"/>
      <c r="L33" s="47"/>
      <c r="M33" s="104"/>
      <c r="N33" s="104"/>
      <c r="O33" s="104"/>
      <c r="P33" s="104"/>
      <c r="Q33" s="104"/>
      <c r="R33" s="104"/>
    </row>
    <row r="34" spans="1:18" ht="28.9">
      <c r="A34" s="26" t="str">
        <v>Q139</v>
      </c>
      <c r="B34" s="27" t="str">
        <v>NY</v>
      </c>
      <c r="C34" s="9" t="str">
        <f>Sites[[#This Row],[SOL'#]]</f>
        <v>SOL-10403</v>
      </c>
      <c r="D34" s="9">
        <v>13673.46875</v>
      </c>
      <c r="E34" s="14">
        <v>15136.32</v>
      </c>
      <c r="F34" s="14">
        <f t="shared" si="0"/>
        <v>-1462.8512499999997</v>
      </c>
      <c r="G34" s="15">
        <f t="shared" si="1"/>
        <v>-9.6645105943848952E-2</v>
      </c>
      <c r="H34" s="16">
        <v>16017</v>
      </c>
      <c r="I34" s="16">
        <f t="shared" si="2"/>
        <v>-2343.53125</v>
      </c>
      <c r="J34" s="15">
        <f t="shared" si="3"/>
        <v>-0.14631524317912217</v>
      </c>
      <c r="K34" s="182" t="s">
        <v>1182</v>
      </c>
      <c r="L34" s="86"/>
      <c r="M34" s="104"/>
      <c r="N34" s="104"/>
      <c r="O34" s="104"/>
      <c r="P34" s="104"/>
      <c r="Q34" s="104"/>
      <c r="R34" s="104"/>
    </row>
    <row r="35" spans="1:18" ht="15.6">
      <c r="A35" s="24" t="str">
        <v>Q157</v>
      </c>
      <c r="B35" s="25" t="str">
        <v>NY</v>
      </c>
      <c r="C35" s="25" t="str">
        <f>Sites[[#This Row],[SOL'#]]</f>
        <v>SOL-10404</v>
      </c>
      <c r="D35" s="20">
        <v>24393.5625</v>
      </c>
      <c r="E35" s="10">
        <v>25953.17</v>
      </c>
      <c r="F35" s="10">
        <f t="shared" si="0"/>
        <v>-1559.6074999999983</v>
      </c>
      <c r="G35" s="11">
        <f t="shared" si="1"/>
        <v>-6.0093140837901432E-2</v>
      </c>
      <c r="H35" s="12">
        <v>27305.78</v>
      </c>
      <c r="I35" s="12">
        <f t="shared" si="2"/>
        <v>-2912.2174999999988</v>
      </c>
      <c r="J35" s="13">
        <f t="shared" si="3"/>
        <v>-0.10665205315504625</v>
      </c>
      <c r="K35" s="47" t="s">
        <v>1194</v>
      </c>
      <c r="L35" s="99" t="s">
        <v>1195</v>
      </c>
      <c r="M35" s="104"/>
      <c r="N35" s="104"/>
      <c r="O35" s="104"/>
      <c r="P35" s="104"/>
      <c r="Q35" s="104"/>
      <c r="R35" s="104"/>
    </row>
    <row r="36" spans="1:18" ht="100.9">
      <c r="A36" s="26" t="str">
        <v>Q192</v>
      </c>
      <c r="B36" s="27" t="str">
        <v>NY</v>
      </c>
      <c r="C36" s="9" t="str">
        <f>Sites[[#This Row],[SOL'#]]</f>
        <v>SOL-10406</v>
      </c>
      <c r="D36" s="9">
        <v>37709.75</v>
      </c>
      <c r="E36" s="14">
        <v>41865.54</v>
      </c>
      <c r="F36" s="14">
        <f t="shared" si="0"/>
        <v>-4155.7900000000009</v>
      </c>
      <c r="G36" s="15">
        <f t="shared" si="1"/>
        <v>-9.9265171307954009E-2</v>
      </c>
      <c r="H36" s="16">
        <v>4113.07</v>
      </c>
      <c r="I36" s="16">
        <f t="shared" si="2"/>
        <v>33596.68</v>
      </c>
      <c r="J36" s="15">
        <f t="shared" si="3"/>
        <v>8.1682733335440449</v>
      </c>
      <c r="K36" s="182" t="s">
        <v>1196</v>
      </c>
      <c r="L36" s="182"/>
      <c r="M36" s="104"/>
      <c r="N36" s="104"/>
      <c r="O36" s="104"/>
      <c r="P36" s="104"/>
      <c r="Q36" s="104"/>
      <c r="R36" s="104"/>
    </row>
    <row r="37" spans="1:18" ht="28.9">
      <c r="A37" s="24" t="str">
        <v>Q210</v>
      </c>
      <c r="B37" s="25" t="str">
        <v>NY</v>
      </c>
      <c r="C37" s="25" t="str">
        <f>Sites[[#This Row],[SOL'#]]</f>
        <v>SOL-10407</v>
      </c>
      <c r="D37" s="20">
        <v>29576.625</v>
      </c>
      <c r="E37" s="10">
        <v>31213.15</v>
      </c>
      <c r="F37" s="10">
        <f t="shared" si="0"/>
        <v>-1636.5250000000015</v>
      </c>
      <c r="G37" s="11">
        <f t="shared" si="1"/>
        <v>-5.243062619440849E-2</v>
      </c>
      <c r="H37" s="12">
        <v>34306</v>
      </c>
      <c r="I37" s="12">
        <f t="shared" si="2"/>
        <v>-4729.375</v>
      </c>
      <c r="J37" s="13">
        <f t="shared" si="3"/>
        <v>-0.1378585378650965</v>
      </c>
      <c r="K37" s="47" t="s">
        <v>1197</v>
      </c>
      <c r="L37" s="99" t="s">
        <v>1198</v>
      </c>
      <c r="M37" s="104"/>
      <c r="N37" s="104"/>
      <c r="O37" s="104"/>
      <c r="P37" s="104"/>
      <c r="Q37" s="104"/>
      <c r="R37" s="104"/>
    </row>
    <row r="38" spans="1:18" ht="28.9">
      <c r="A38" s="26" t="str">
        <v>Q229</v>
      </c>
      <c r="B38" s="27" t="str">
        <v>NY</v>
      </c>
      <c r="C38" s="9" t="str">
        <f>Sites[[#This Row],[SOL'#]]</f>
        <v>SOL-10408</v>
      </c>
      <c r="D38" s="9">
        <v>13318.34375</v>
      </c>
      <c r="E38" s="14">
        <v>15154.58</v>
      </c>
      <c r="F38" s="14">
        <f t="shared" si="0"/>
        <v>-1836.2362499999999</v>
      </c>
      <c r="G38" s="15">
        <f t="shared" si="1"/>
        <v>-0.12116708282248666</v>
      </c>
      <c r="H38" s="16">
        <v>14832.6</v>
      </c>
      <c r="I38" s="16">
        <f t="shared" si="2"/>
        <v>-1514.2562500000004</v>
      </c>
      <c r="J38" s="15">
        <f t="shared" si="3"/>
        <v>-0.10208973814435772</v>
      </c>
      <c r="K38" s="182" t="s">
        <v>932</v>
      </c>
      <c r="L38" s="100" t="s">
        <v>1199</v>
      </c>
      <c r="M38" s="104"/>
      <c r="N38" s="104"/>
      <c r="O38" s="104"/>
      <c r="P38" s="104"/>
      <c r="Q38" s="104"/>
      <c r="R38" s="104"/>
    </row>
    <row r="39" spans="1:18" ht="28.9">
      <c r="A39" s="24" t="str">
        <v>Q231</v>
      </c>
      <c r="B39" s="25" t="str">
        <v>NY</v>
      </c>
      <c r="C39" s="25" t="str">
        <f>Sites[[#This Row],[SOL'#]]</f>
        <v>SOL-10870</v>
      </c>
      <c r="D39" s="20">
        <v>50798</v>
      </c>
      <c r="E39" s="10">
        <v>52427.44</v>
      </c>
      <c r="F39" s="10">
        <f t="shared" si="0"/>
        <v>-1629.4400000000023</v>
      </c>
      <c r="G39" s="11">
        <f t="shared" si="1"/>
        <v>-3.1079907773486598E-2</v>
      </c>
      <c r="H39" s="12">
        <v>58879</v>
      </c>
      <c r="I39" s="12">
        <f t="shared" si="2"/>
        <v>-8081</v>
      </c>
      <c r="J39" s="13">
        <f t="shared" si="3"/>
        <v>-0.13724757553626929</v>
      </c>
      <c r="K39" s="47" t="s">
        <v>1182</v>
      </c>
      <c r="L39" s="47"/>
      <c r="M39" s="104"/>
      <c r="N39" s="104"/>
      <c r="O39" s="104"/>
      <c r="P39" s="104"/>
      <c r="Q39" s="104"/>
      <c r="R39" s="104"/>
    </row>
    <row r="40" spans="1:18" ht="28.9">
      <c r="A40" s="26" t="str">
        <v>Q405</v>
      </c>
      <c r="B40" s="27" t="str">
        <v>NY</v>
      </c>
      <c r="C40" s="9" t="str">
        <f>Sites[[#This Row],[SOL'#]]</f>
        <v>SOL-10409</v>
      </c>
      <c r="D40" s="9">
        <v>56298.75</v>
      </c>
      <c r="E40" s="14">
        <v>62728.45</v>
      </c>
      <c r="F40" s="14">
        <f t="shared" si="0"/>
        <v>-6429.6999999999971</v>
      </c>
      <c r="G40" s="15">
        <f t="shared" si="1"/>
        <v>-0.10250054002609657</v>
      </c>
      <c r="H40" s="16">
        <v>61347.86</v>
      </c>
      <c r="I40" s="16">
        <f t="shared" si="2"/>
        <v>-5049.1100000000006</v>
      </c>
      <c r="J40" s="15">
        <f t="shared" si="3"/>
        <v>-8.2302952376822933E-2</v>
      </c>
      <c r="K40" s="182" t="s">
        <v>1200</v>
      </c>
      <c r="L40" s="100" t="s">
        <v>679</v>
      </c>
      <c r="M40" s="104"/>
      <c r="N40" s="104"/>
      <c r="O40" s="104"/>
      <c r="P40" s="104"/>
      <c r="Q40" s="104"/>
      <c r="R40" s="104"/>
    </row>
    <row r="41" spans="1:18" ht="48" customHeight="1">
      <c r="A41" s="24" t="str">
        <v>Q435</v>
      </c>
      <c r="B41" s="25" t="str">
        <v>NY</v>
      </c>
      <c r="C41" s="25" t="str">
        <f>Sites[[#This Row],[SOL'#]]</f>
        <v>SOL-10923</v>
      </c>
      <c r="D41" s="20">
        <v>60990.437500000102</v>
      </c>
      <c r="E41" s="10">
        <v>61208.12</v>
      </c>
      <c r="F41" s="10">
        <f t="shared" si="0"/>
        <v>-217.68249999990076</v>
      </c>
      <c r="G41" s="11">
        <f t="shared" si="1"/>
        <v>-3.5564317283376902E-3</v>
      </c>
      <c r="H41" s="12">
        <v>83541</v>
      </c>
      <c r="I41" s="12">
        <f t="shared" si="2"/>
        <v>-22550.562499999898</v>
      </c>
      <c r="J41" s="13">
        <f t="shared" si="3"/>
        <v>-0.26993407428687588</v>
      </c>
      <c r="K41" s="47" t="s">
        <v>1201</v>
      </c>
      <c r="L41" s="99" t="s">
        <v>1202</v>
      </c>
      <c r="M41" s="104"/>
      <c r="N41" s="104"/>
      <c r="O41" s="104"/>
      <c r="P41" s="104"/>
      <c r="Q41" s="104"/>
      <c r="R41" s="104"/>
    </row>
    <row r="42" spans="1:18" ht="63" customHeight="1">
      <c r="A42" s="26" t="str">
        <v>Q485</v>
      </c>
      <c r="B42" s="27" t="str">
        <v>NY</v>
      </c>
      <c r="C42" s="9" t="str">
        <f>Sites[[#This Row],[SOL'#]]</f>
        <v>SOL-10869</v>
      </c>
      <c r="D42" s="9">
        <v>68410.75</v>
      </c>
      <c r="E42" s="14">
        <v>53323.040000000001</v>
      </c>
      <c r="F42" s="14">
        <f t="shared" si="0"/>
        <v>15087.71</v>
      </c>
      <c r="G42" s="15">
        <f t="shared" si="1"/>
        <v>0.28294917169013617</v>
      </c>
      <c r="H42" s="16">
        <v>79147.91</v>
      </c>
      <c r="I42" s="16">
        <f t="shared" si="2"/>
        <v>-10737.160000000003</v>
      </c>
      <c r="J42" s="15">
        <f t="shared" si="3"/>
        <v>-0.13565942549841181</v>
      </c>
      <c r="K42" s="182" t="s">
        <v>1203</v>
      </c>
      <c r="L42" s="100" t="s">
        <v>1204</v>
      </c>
      <c r="M42" s="104"/>
      <c r="N42" s="104"/>
      <c r="O42" s="104"/>
      <c r="P42" s="104"/>
      <c r="Q42" s="104"/>
      <c r="R42" s="104"/>
    </row>
    <row r="43" spans="1:18" ht="43.15">
      <c r="A43" s="24" t="str">
        <v>Q490</v>
      </c>
      <c r="B43" s="25" t="str">
        <v>NY</v>
      </c>
      <c r="C43" s="25" t="str">
        <f>Sites[[#This Row],[SOL'#]]</f>
        <v>SOL-10411</v>
      </c>
      <c r="D43" s="20">
        <v>48688.986250000104</v>
      </c>
      <c r="E43" s="10" t="s">
        <v>661</v>
      </c>
      <c r="F43" s="10" t="str">
        <f t="shared" si="0"/>
        <v/>
      </c>
      <c r="G43" s="11" t="str">
        <f t="shared" si="1"/>
        <v/>
      </c>
      <c r="H43" s="12">
        <v>53116.12</v>
      </c>
      <c r="I43" s="12">
        <f t="shared" si="2"/>
        <v>-4427.133749999899</v>
      </c>
      <c r="J43" s="13">
        <f t="shared" si="3"/>
        <v>-8.3348214252093322E-2</v>
      </c>
      <c r="K43" s="47" t="s">
        <v>1205</v>
      </c>
      <c r="L43" s="99" t="s">
        <v>231</v>
      </c>
      <c r="M43" s="104"/>
      <c r="N43" s="104"/>
      <c r="O43" s="104"/>
      <c r="P43" s="104"/>
      <c r="Q43" s="104"/>
      <c r="R43" s="104"/>
    </row>
    <row r="44" spans="1:18" ht="15.6">
      <c r="A44" s="26" t="str">
        <v>Q620</v>
      </c>
      <c r="B44" s="27" t="str">
        <v>NY</v>
      </c>
      <c r="C44" s="9" t="str">
        <f>Sites[[#This Row],[SOL'#]]</f>
        <v>SOL-10867</v>
      </c>
      <c r="D44" s="9">
        <v>74928.25</v>
      </c>
      <c r="E44" s="14">
        <v>75703.92</v>
      </c>
      <c r="F44" s="14">
        <f t="shared" si="0"/>
        <v>-775.66999999999825</v>
      </c>
      <c r="G44" s="15">
        <f t="shared" si="1"/>
        <v>-1.0246100862412386E-2</v>
      </c>
      <c r="H44" s="16">
        <v>83113.84</v>
      </c>
      <c r="I44" s="16">
        <f t="shared" si="2"/>
        <v>-8185.5899999999965</v>
      </c>
      <c r="J44" s="15">
        <f t="shared" si="3"/>
        <v>-9.8486485523951214E-2</v>
      </c>
      <c r="K44" s="182"/>
      <c r="L44" s="86"/>
      <c r="M44" s="104"/>
      <c r="N44" s="104"/>
      <c r="O44" s="104"/>
      <c r="P44" s="104"/>
      <c r="Q44" s="104"/>
      <c r="R44" s="104"/>
    </row>
    <row r="45" spans="1:18" ht="28.9">
      <c r="A45" s="24" t="str">
        <v>QMOA</v>
      </c>
      <c r="B45" s="25" t="str">
        <v>NY</v>
      </c>
      <c r="C45" s="25" t="str">
        <f>Sites[[#This Row],[SOL'#]]</f>
        <v>SOL-10415</v>
      </c>
      <c r="D45" s="20">
        <v>6248.7999999999902</v>
      </c>
      <c r="E45" s="10" t="s">
        <v>661</v>
      </c>
      <c r="F45" s="10" t="str">
        <f t="shared" si="0"/>
        <v/>
      </c>
      <c r="G45" s="11" t="str">
        <f t="shared" si="1"/>
        <v/>
      </c>
      <c r="H45" s="12">
        <v>7429.65</v>
      </c>
      <c r="I45" s="12">
        <f t="shared" si="2"/>
        <v>-1180.8500000000095</v>
      </c>
      <c r="J45" s="13">
        <f t="shared" si="3"/>
        <v>-0.15893750042061328</v>
      </c>
      <c r="K45" s="47" t="s">
        <v>1182</v>
      </c>
      <c r="L45" s="47"/>
      <c r="M45" s="104"/>
      <c r="N45" s="104"/>
      <c r="O45" s="104"/>
      <c r="P45" s="104"/>
      <c r="Q45" s="104"/>
      <c r="R45" s="104"/>
    </row>
    <row r="46" spans="1:18" ht="57.6">
      <c r="A46" s="26" t="str">
        <v>X024</v>
      </c>
      <c r="B46" s="27" t="str">
        <v>NY</v>
      </c>
      <c r="C46" s="9" t="str">
        <f>Sites[[#This Row],[SOL'#]]</f>
        <v>SOL-10419</v>
      </c>
      <c r="D46" s="9">
        <v>27652.53125</v>
      </c>
      <c r="E46" s="14">
        <v>28471.48</v>
      </c>
      <c r="F46" s="14">
        <f t="shared" si="0"/>
        <v>-818.94874999999956</v>
      </c>
      <c r="G46" s="15">
        <f t="shared" si="1"/>
        <v>-2.8763827872664138E-2</v>
      </c>
      <c r="H46" s="16">
        <v>28806</v>
      </c>
      <c r="I46" s="16">
        <f t="shared" si="2"/>
        <v>-1153.46875</v>
      </c>
      <c r="J46" s="15">
        <f t="shared" si="3"/>
        <v>-4.004265604387975E-2</v>
      </c>
      <c r="K46" s="182" t="s">
        <v>1206</v>
      </c>
      <c r="L46" s="100" t="s">
        <v>1207</v>
      </c>
      <c r="M46" s="104"/>
      <c r="N46" s="104"/>
      <c r="O46" s="104"/>
      <c r="P46" s="104"/>
      <c r="Q46" s="104"/>
      <c r="R46" s="104"/>
    </row>
    <row r="47" spans="1:18" ht="28.9">
      <c r="A47" s="24" t="str">
        <v>X026</v>
      </c>
      <c r="B47" s="25" t="str">
        <v>NY</v>
      </c>
      <c r="C47" s="25" t="str">
        <f>Sites[[#This Row],[SOL'#]]</f>
        <v>SOL-10420</v>
      </c>
      <c r="D47" s="20">
        <v>25041</v>
      </c>
      <c r="E47" s="10">
        <v>22800</v>
      </c>
      <c r="F47" s="10">
        <f t="shared" si="0"/>
        <v>2241</v>
      </c>
      <c r="G47" s="11">
        <f t="shared" si="1"/>
        <v>9.8289473684210524E-2</v>
      </c>
      <c r="H47" s="12">
        <v>38026</v>
      </c>
      <c r="I47" s="12">
        <f t="shared" si="2"/>
        <v>-12985</v>
      </c>
      <c r="J47" s="13">
        <f t="shared" si="3"/>
        <v>-0.34147688423710093</v>
      </c>
      <c r="K47" s="47" t="s">
        <v>944</v>
      </c>
      <c r="L47" s="99" t="s">
        <v>690</v>
      </c>
      <c r="M47" s="104"/>
      <c r="N47" s="104"/>
      <c r="O47" s="104"/>
      <c r="P47" s="104"/>
      <c r="Q47" s="104"/>
      <c r="R47" s="104"/>
    </row>
    <row r="48" spans="1:18" ht="15.6">
      <c r="A48" s="26" t="str">
        <v>X090</v>
      </c>
      <c r="B48" s="27" t="str">
        <v>NY</v>
      </c>
      <c r="C48" s="9" t="str">
        <f>Sites[[#This Row],[SOL'#]]</f>
        <v>SOL-10925</v>
      </c>
      <c r="D48" s="9">
        <v>19835</v>
      </c>
      <c r="E48" s="14">
        <v>18734</v>
      </c>
      <c r="F48" s="14">
        <f t="shared" si="0"/>
        <v>1101</v>
      </c>
      <c r="G48" s="15">
        <f t="shared" si="1"/>
        <v>5.8770150528450943E-2</v>
      </c>
      <c r="H48" s="16">
        <v>23966</v>
      </c>
      <c r="I48" s="16">
        <f t="shared" si="2"/>
        <v>-4131</v>
      </c>
      <c r="J48" s="15">
        <f t="shared" si="3"/>
        <v>-0.17236918968538764</v>
      </c>
      <c r="K48" s="182" t="s">
        <v>1208</v>
      </c>
      <c r="L48" s="100" t="s">
        <v>1209</v>
      </c>
      <c r="M48" s="104"/>
      <c r="N48" s="104"/>
      <c r="O48" s="104"/>
      <c r="P48" s="104"/>
      <c r="Q48" s="104"/>
      <c r="R48" s="104"/>
    </row>
    <row r="49" spans="1:18" ht="28.9">
      <c r="A49" s="24" t="str">
        <v>X117</v>
      </c>
      <c r="B49" s="25" t="str">
        <v>NY</v>
      </c>
      <c r="C49" s="25" t="str">
        <f>Sites[[#This Row],[SOL'#]]</f>
        <v>SOL-10422</v>
      </c>
      <c r="D49" s="20">
        <v>17607</v>
      </c>
      <c r="E49" s="10">
        <v>19618</v>
      </c>
      <c r="F49" s="10">
        <f t="shared" si="0"/>
        <v>-2011</v>
      </c>
      <c r="G49" s="11">
        <f t="shared" si="1"/>
        <v>-0.10250790090733</v>
      </c>
      <c r="H49" s="12">
        <v>20473</v>
      </c>
      <c r="I49" s="12">
        <f t="shared" si="2"/>
        <v>-2866</v>
      </c>
      <c r="J49" s="13">
        <f t="shared" si="3"/>
        <v>-0.13998925413959851</v>
      </c>
      <c r="K49" s="47" t="s">
        <v>1210</v>
      </c>
      <c r="L49" s="99" t="s">
        <v>1211</v>
      </c>
      <c r="M49" s="104"/>
      <c r="N49" s="104"/>
      <c r="O49" s="104"/>
      <c r="P49" s="104"/>
      <c r="Q49" s="104"/>
      <c r="R49" s="104"/>
    </row>
    <row r="50" spans="1:18" ht="60" customHeight="1">
      <c r="A50" s="26" t="str">
        <v>X125</v>
      </c>
      <c r="B50" s="27" t="str">
        <v>NY</v>
      </c>
      <c r="C50" s="9" t="str">
        <f>Sites[[#This Row],[SOL'#]]</f>
        <v>SOL-10423</v>
      </c>
      <c r="D50" s="9">
        <v>32830</v>
      </c>
      <c r="E50" s="14">
        <v>33471</v>
      </c>
      <c r="F50" s="14">
        <f t="shared" si="0"/>
        <v>-641</v>
      </c>
      <c r="G50" s="15">
        <f t="shared" si="1"/>
        <v>-1.9150906755101432E-2</v>
      </c>
      <c r="H50" s="16">
        <v>36856.22</v>
      </c>
      <c r="I50" s="16">
        <f t="shared" si="2"/>
        <v>-4026.2200000000012</v>
      </c>
      <c r="J50" s="15">
        <f t="shared" si="3"/>
        <v>-0.10924126239750037</v>
      </c>
      <c r="K50" s="182" t="s">
        <v>1182</v>
      </c>
      <c r="L50" s="182"/>
      <c r="M50" s="104"/>
      <c r="N50" s="104"/>
      <c r="O50" s="104"/>
      <c r="P50" s="104"/>
      <c r="Q50" s="104"/>
      <c r="R50" s="104"/>
    </row>
    <row r="51" spans="1:18" ht="28.9">
      <c r="A51" s="24" t="str">
        <v>X134</v>
      </c>
      <c r="B51" s="25" t="str">
        <v>NY</v>
      </c>
      <c r="C51" s="25" t="str">
        <f>Sites[[#This Row],[SOL'#]]</f>
        <v>SOL-10424</v>
      </c>
      <c r="D51" s="20">
        <v>31871</v>
      </c>
      <c r="E51" s="10">
        <v>32985</v>
      </c>
      <c r="F51" s="10">
        <f t="shared" si="0"/>
        <v>-1114</v>
      </c>
      <c r="G51" s="11">
        <f t="shared" si="1"/>
        <v>-3.3772927088070337E-2</v>
      </c>
      <c r="H51" s="12">
        <v>37077</v>
      </c>
      <c r="I51" s="12">
        <f t="shared" si="2"/>
        <v>-5206</v>
      </c>
      <c r="J51" s="13">
        <f t="shared" si="3"/>
        <v>-0.14041049707365752</v>
      </c>
      <c r="K51" s="47" t="s">
        <v>1182</v>
      </c>
      <c r="L51" s="47"/>
      <c r="M51" s="104"/>
      <c r="N51" s="104"/>
      <c r="O51" s="104"/>
      <c r="P51" s="104"/>
      <c r="Q51" s="104"/>
      <c r="R51" s="104"/>
    </row>
    <row r="52" spans="1:18" ht="28.9">
      <c r="A52" s="26" t="str">
        <v>X135</v>
      </c>
      <c r="B52" s="27" t="str">
        <v>NY</v>
      </c>
      <c r="C52" s="9" t="str">
        <f>Sites[[#This Row],[SOL'#]]</f>
        <v>SOL-10425</v>
      </c>
      <c r="D52" s="9">
        <v>26049</v>
      </c>
      <c r="E52" s="14">
        <v>30015</v>
      </c>
      <c r="F52" s="14">
        <f t="shared" ref="F52:F95" si="4">IF(AND(ISNUMBER(D52),ISNUMBER(E52)), D52-E52, "")</f>
        <v>-3966</v>
      </c>
      <c r="G52" s="15">
        <f t="shared" si="1"/>
        <v>-0.13213393303348325</v>
      </c>
      <c r="H52" s="16">
        <v>29467</v>
      </c>
      <c r="I52" s="16">
        <f t="shared" si="2"/>
        <v>-3418</v>
      </c>
      <c r="J52" s="15">
        <f t="shared" si="3"/>
        <v>-0.11599416296195744</v>
      </c>
      <c r="K52" s="182" t="s">
        <v>1182</v>
      </c>
      <c r="L52" s="86"/>
      <c r="M52" s="104"/>
      <c r="N52" s="104"/>
      <c r="O52" s="104"/>
      <c r="P52" s="104"/>
      <c r="Q52" s="104"/>
      <c r="R52" s="104"/>
    </row>
    <row r="53" spans="1:18" ht="15.6">
      <c r="A53" s="24" t="str">
        <v>X139 JHS 222</v>
      </c>
      <c r="B53" s="25" t="str">
        <v>NY</v>
      </c>
      <c r="C53" s="25" t="str">
        <f>Sites[[#This Row],[SOL'#]]</f>
        <v>SOL-10426</v>
      </c>
      <c r="D53" s="20">
        <v>39810</v>
      </c>
      <c r="E53" s="10">
        <v>42093</v>
      </c>
      <c r="F53" s="10">
        <f t="shared" si="4"/>
        <v>-2283</v>
      </c>
      <c r="G53" s="11">
        <f t="shared" ref="G53:G95" si="5">IFERROR(F53/E53, "")</f>
        <v>-5.4237046539804719E-2</v>
      </c>
      <c r="H53" s="12">
        <v>46791</v>
      </c>
      <c r="I53" s="12">
        <f t="shared" si="2"/>
        <v>-6981</v>
      </c>
      <c r="J53" s="13">
        <f t="shared" si="3"/>
        <v>-0.14919535808168238</v>
      </c>
      <c r="K53" s="47" t="s">
        <v>1212</v>
      </c>
      <c r="L53" s="99" t="s">
        <v>1213</v>
      </c>
      <c r="M53" s="104"/>
      <c r="N53" s="104"/>
      <c r="O53" s="104"/>
      <c r="P53" s="104"/>
      <c r="Q53" s="104"/>
      <c r="R53" s="104"/>
    </row>
    <row r="54" spans="1:18" ht="15.6">
      <c r="A54" s="26" t="str">
        <v>X140</v>
      </c>
      <c r="B54" s="27" t="str">
        <v>NY</v>
      </c>
      <c r="C54" s="9" t="str">
        <f>Sites[[#This Row],[SOL'#]]</f>
        <v>SOL-10926</v>
      </c>
      <c r="D54" s="9">
        <v>22680.78125</v>
      </c>
      <c r="E54" s="14">
        <v>18924.189999999999</v>
      </c>
      <c r="F54" s="14">
        <f t="shared" si="4"/>
        <v>3756.5912500000013</v>
      </c>
      <c r="G54" s="15">
        <f t="shared" si="5"/>
        <v>0.19850737336710325</v>
      </c>
      <c r="H54" s="16">
        <v>25042</v>
      </c>
      <c r="I54" s="16">
        <f t="shared" si="2"/>
        <v>-2361.21875</v>
      </c>
      <c r="J54" s="15">
        <f t="shared" si="3"/>
        <v>-9.4290342225061899E-2</v>
      </c>
      <c r="K54" s="182"/>
      <c r="L54" s="86"/>
      <c r="M54" s="104"/>
      <c r="N54" s="104"/>
      <c r="O54" s="104"/>
      <c r="P54" s="104"/>
      <c r="Q54" s="104"/>
      <c r="R54" s="104"/>
    </row>
    <row r="55" spans="1:18" ht="72">
      <c r="A55" s="24" t="str">
        <v>X166</v>
      </c>
      <c r="B55" s="25" t="str">
        <v>NY</v>
      </c>
      <c r="C55" s="25" t="str">
        <f>Sites[[#This Row],[SOL'#]]</f>
        <v>SOL-10427</v>
      </c>
      <c r="D55" s="20">
        <v>23196</v>
      </c>
      <c r="E55" s="10">
        <v>22514</v>
      </c>
      <c r="F55" s="10">
        <f t="shared" si="4"/>
        <v>682</v>
      </c>
      <c r="G55" s="11">
        <f t="shared" si="5"/>
        <v>3.0292262592164877E-2</v>
      </c>
      <c r="H55" s="12">
        <v>27533</v>
      </c>
      <c r="I55" s="12">
        <f t="shared" si="2"/>
        <v>-4337</v>
      </c>
      <c r="J55" s="13">
        <f t="shared" si="3"/>
        <v>-0.15752006682889624</v>
      </c>
      <c r="K55" s="108" t="s">
        <v>1214</v>
      </c>
      <c r="L55" s="47"/>
      <c r="M55" s="104"/>
      <c r="N55" s="104"/>
      <c r="O55" s="104"/>
      <c r="P55" s="104"/>
      <c r="Q55" s="104"/>
      <c r="R55" s="104"/>
    </row>
    <row r="56" spans="1:18" ht="129.6">
      <c r="A56" s="26" t="str">
        <v>Murphy</v>
      </c>
      <c r="B56" s="27" t="str">
        <v>MN</v>
      </c>
      <c r="C56" s="9" t="str">
        <f>Sites[[#This Row],[SOL'#]]</f>
        <v>SOL-10094</v>
      </c>
      <c r="D56" s="9">
        <v>787760</v>
      </c>
      <c r="E56" s="14">
        <v>843351.2</v>
      </c>
      <c r="F56" s="14">
        <f t="shared" si="4"/>
        <v>-55591.199999999953</v>
      </c>
      <c r="G56" s="15">
        <f t="shared" si="5"/>
        <v>-6.591702246940534E-2</v>
      </c>
      <c r="H56" s="16">
        <v>943113.3</v>
      </c>
      <c r="I56" s="16">
        <f t="shared" si="2"/>
        <v>-155353.30000000005</v>
      </c>
      <c r="J56" s="15">
        <f t="shared" si="3"/>
        <v>-0.16472389902676596</v>
      </c>
      <c r="K56" s="182" t="s">
        <v>1215</v>
      </c>
      <c r="L56" s="100" t="s">
        <v>1216</v>
      </c>
      <c r="M56" s="103" t="s">
        <v>1217</v>
      </c>
      <c r="N56" s="104"/>
      <c r="O56" s="104"/>
      <c r="P56" s="104"/>
      <c r="Q56" s="104"/>
      <c r="R56" s="104"/>
    </row>
    <row r="57" spans="1:18" ht="15.6">
      <c r="A57" s="24" t="str">
        <v>Terning</v>
      </c>
      <c r="B57" s="25" t="str">
        <v>MN</v>
      </c>
      <c r="C57" s="25" t="str">
        <f>Sites[[#This Row],[SOL'#]]</f>
        <v>SOL-10093</v>
      </c>
      <c r="D57" s="20">
        <v>846213.99999999802</v>
      </c>
      <c r="E57" s="10">
        <v>880245.1</v>
      </c>
      <c r="F57" s="10">
        <f t="shared" si="4"/>
        <v>-34031.100000001956</v>
      </c>
      <c r="G57" s="11">
        <f t="shared" si="5"/>
        <v>-3.8660936595957145E-2</v>
      </c>
      <c r="H57" s="12">
        <v>962294.1</v>
      </c>
      <c r="I57" s="12">
        <f t="shared" si="2"/>
        <v>-116080.10000000196</v>
      </c>
      <c r="J57" s="13">
        <f t="shared" si="3"/>
        <v>-0.12062850639944894</v>
      </c>
      <c r="K57" s="47" t="s">
        <v>1218</v>
      </c>
      <c r="L57" s="99" t="s">
        <v>1219</v>
      </c>
      <c r="M57" s="104"/>
      <c r="N57" s="104"/>
      <c r="O57" s="104"/>
      <c r="P57" s="104"/>
      <c r="Q57" s="104"/>
      <c r="R57" s="104"/>
    </row>
    <row r="58" spans="1:18" ht="100.9">
      <c r="A58" s="26" t="str">
        <v>Boas Road 04</v>
      </c>
      <c r="B58" s="27" t="str">
        <v>NY</v>
      </c>
      <c r="C58" s="9" t="str">
        <f>Sites[[#This Row],[SOL'#]]</f>
        <v>SOL-10908</v>
      </c>
      <c r="D58" s="9" t="s">
        <v>1220</v>
      </c>
      <c r="E58" s="14">
        <v>399796</v>
      </c>
      <c r="F58" s="14" t="str">
        <f t="shared" si="4"/>
        <v/>
      </c>
      <c r="G58" s="15" t="str">
        <f t="shared" si="5"/>
        <v/>
      </c>
      <c r="H58" s="16">
        <v>381322</v>
      </c>
      <c r="I58" s="16" t="str">
        <f t="shared" si="2"/>
        <v/>
      </c>
      <c r="J58" s="15" t="str">
        <f t="shared" si="3"/>
        <v/>
      </c>
      <c r="K58" s="182" t="s">
        <v>1221</v>
      </c>
      <c r="L58" s="100" t="s">
        <v>1222</v>
      </c>
      <c r="M58" s="103" t="s">
        <v>1223</v>
      </c>
      <c r="N58" s="103" t="s">
        <v>1224</v>
      </c>
      <c r="O58" s="103" t="s">
        <v>1225</v>
      </c>
      <c r="P58" s="103" t="s">
        <v>1223</v>
      </c>
      <c r="Q58" s="104"/>
      <c r="R58" s="104"/>
    </row>
    <row r="59" spans="1:18" ht="187.15">
      <c r="A59" s="24" t="str">
        <v>Kelly Bridge Farm</v>
      </c>
      <c r="B59" s="25" t="str">
        <v>NY</v>
      </c>
      <c r="C59" s="25" t="str">
        <f>Sites[[#This Row],[SOL'#]]</f>
        <v>SOL-10911</v>
      </c>
      <c r="D59" s="20">
        <v>66233</v>
      </c>
      <c r="E59" s="10">
        <v>336303</v>
      </c>
      <c r="F59" s="10">
        <f t="shared" si="4"/>
        <v>-270070</v>
      </c>
      <c r="G59" s="11">
        <f t="shared" si="5"/>
        <v>-0.80305557785687309</v>
      </c>
      <c r="H59" s="12">
        <v>373520</v>
      </c>
      <c r="I59" s="12">
        <f t="shared" si="2"/>
        <v>-307287</v>
      </c>
      <c r="J59" s="13">
        <f t="shared" si="3"/>
        <v>-0.82267883915185269</v>
      </c>
      <c r="K59" s="47" t="s">
        <v>1226</v>
      </c>
      <c r="L59" s="99" t="s">
        <v>1227</v>
      </c>
      <c r="M59" s="103" t="s">
        <v>1228</v>
      </c>
      <c r="N59" s="103" t="s">
        <v>1229</v>
      </c>
      <c r="O59" s="103" t="s">
        <v>1230</v>
      </c>
      <c r="P59" s="103" t="s">
        <v>1231</v>
      </c>
      <c r="Q59" s="103" t="s">
        <v>1231</v>
      </c>
      <c r="R59" s="104"/>
    </row>
    <row r="60" spans="1:18" ht="28.9">
      <c r="A60" s="26" t="str">
        <v>Pool Brook Road</v>
      </c>
      <c r="B60" s="27" t="str">
        <v>NY</v>
      </c>
      <c r="C60" s="9" t="str">
        <f>Sites[[#This Row],[SOL'#]]</f>
        <v>SOL-10909</v>
      </c>
      <c r="D60" s="9">
        <v>207378</v>
      </c>
      <c r="E60" s="14">
        <v>242450</v>
      </c>
      <c r="F60" s="14">
        <f t="shared" si="4"/>
        <v>-35072</v>
      </c>
      <c r="G60" s="15">
        <f t="shared" si="5"/>
        <v>-0.14465663023303774</v>
      </c>
      <c r="H60" s="16">
        <v>361532</v>
      </c>
      <c r="I60" s="16">
        <f t="shared" si="2"/>
        <v>-154154</v>
      </c>
      <c r="J60" s="15">
        <f t="shared" si="3"/>
        <v>-0.42639102486086983</v>
      </c>
      <c r="K60" s="182" t="s">
        <v>1232</v>
      </c>
      <c r="L60" s="100" t="s">
        <v>1233</v>
      </c>
      <c r="M60" s="104"/>
      <c r="N60" s="104"/>
      <c r="O60" s="104"/>
      <c r="P60" s="104"/>
      <c r="Q60" s="104"/>
      <c r="R60" s="104"/>
    </row>
    <row r="61" spans="1:18" ht="100.9">
      <c r="A61" s="24" t="str">
        <v>Sackett Lake</v>
      </c>
      <c r="B61" s="25" t="str">
        <v>NY</v>
      </c>
      <c r="C61" s="25" t="str">
        <f>Sites[[#This Row],[SOL'#]]</f>
        <v>SOL-10910</v>
      </c>
      <c r="D61" s="20">
        <v>265315</v>
      </c>
      <c r="E61" s="10">
        <v>341765</v>
      </c>
      <c r="F61" s="10">
        <f t="shared" si="4"/>
        <v>-76450</v>
      </c>
      <c r="G61" s="11">
        <f t="shared" si="5"/>
        <v>-0.22369171799335802</v>
      </c>
      <c r="H61" s="12">
        <v>364487</v>
      </c>
      <c r="I61" s="12">
        <f t="shared" si="2"/>
        <v>-99172</v>
      </c>
      <c r="J61" s="13">
        <f t="shared" si="3"/>
        <v>-0.27208652160433705</v>
      </c>
      <c r="K61" s="47" t="s">
        <v>1234</v>
      </c>
      <c r="L61" s="99" t="s">
        <v>1235</v>
      </c>
      <c r="M61" s="103" t="s">
        <v>963</v>
      </c>
      <c r="N61" s="103" t="s">
        <v>964</v>
      </c>
      <c r="O61" s="103" t="s">
        <v>1236</v>
      </c>
      <c r="P61" s="104"/>
      <c r="Q61" s="104"/>
      <c r="R61" s="104"/>
    </row>
    <row r="62" spans="1:18" ht="15.6">
      <c r="A62" s="26" t="str">
        <v>Burritt Road</v>
      </c>
      <c r="B62" s="27" t="str">
        <v>NY</v>
      </c>
      <c r="C62" s="9" t="str">
        <f>Sites[[#This Row],[SOL'#]]</f>
        <v>SOL-10913</v>
      </c>
      <c r="D62" s="9">
        <v>390310</v>
      </c>
      <c r="E62" s="14">
        <v>421201</v>
      </c>
      <c r="F62" s="14">
        <f t="shared" si="4"/>
        <v>-30891</v>
      </c>
      <c r="G62" s="15">
        <f t="shared" si="5"/>
        <v>-7.3340281718229539E-2</v>
      </c>
      <c r="H62" s="16">
        <v>413053</v>
      </c>
      <c r="I62" s="16">
        <f t="shared" si="2"/>
        <v>-22743</v>
      </c>
      <c r="J62" s="15">
        <f t="shared" si="3"/>
        <v>-5.5060730705260581E-2</v>
      </c>
      <c r="K62" s="182"/>
      <c r="L62" s="182"/>
      <c r="M62" s="104"/>
      <c r="N62" s="104"/>
      <c r="O62" s="104"/>
      <c r="P62" s="104"/>
      <c r="Q62" s="104"/>
      <c r="R62" s="104"/>
    </row>
    <row r="63" spans="1:18" ht="28.9">
      <c r="A63" s="24" t="str">
        <v>Villa Roma 1</v>
      </c>
      <c r="B63" s="25" t="str">
        <v>NY</v>
      </c>
      <c r="C63" s="25" t="str">
        <f>Sites[[#This Row],[SOL'#]]</f>
        <v>SOL-10914</v>
      </c>
      <c r="D63" s="20">
        <v>298826</v>
      </c>
      <c r="E63" s="10">
        <v>2112</v>
      </c>
      <c r="F63" s="10">
        <f t="shared" si="4"/>
        <v>296714</v>
      </c>
      <c r="G63" s="11">
        <f t="shared" si="5"/>
        <v>140.48958333333334</v>
      </c>
      <c r="H63" s="12">
        <v>347740</v>
      </c>
      <c r="I63" s="12">
        <f t="shared" si="2"/>
        <v>-48914</v>
      </c>
      <c r="J63" s="13">
        <f t="shared" si="3"/>
        <v>-0.14066256398458618</v>
      </c>
      <c r="K63" s="47" t="s">
        <v>967</v>
      </c>
      <c r="L63" s="99" t="s">
        <v>1237</v>
      </c>
      <c r="M63" s="104"/>
      <c r="N63" s="104"/>
      <c r="O63" s="104"/>
      <c r="P63" s="104"/>
      <c r="Q63" s="104"/>
      <c r="R63" s="104"/>
    </row>
    <row r="64" spans="1:18" ht="15.6">
      <c r="A64" s="26" t="str">
        <v>Villa Roma 2</v>
      </c>
      <c r="B64" s="27" t="str">
        <v>NY</v>
      </c>
      <c r="C64" s="9" t="str">
        <f>Sites[[#This Row],[SOL'#]]</f>
        <v>SOL-10915</v>
      </c>
      <c r="D64" s="9">
        <v>295810</v>
      </c>
      <c r="E64" s="14">
        <v>310718</v>
      </c>
      <c r="F64" s="14">
        <f t="shared" si="4"/>
        <v>-14908</v>
      </c>
      <c r="G64" s="15">
        <f t="shared" si="5"/>
        <v>-4.7979196570523755E-2</v>
      </c>
      <c r="H64" s="16">
        <v>336904</v>
      </c>
      <c r="I64" s="16">
        <f t="shared" si="2"/>
        <v>-41094</v>
      </c>
      <c r="J64" s="15">
        <f t="shared" si="3"/>
        <v>-0.12197539952033813</v>
      </c>
      <c r="K64" s="182"/>
      <c r="L64" s="182"/>
      <c r="M64" s="104"/>
      <c r="N64" s="104"/>
      <c r="O64" s="104"/>
      <c r="P64" s="104"/>
      <c r="Q64" s="104"/>
      <c r="R64" s="104"/>
    </row>
    <row r="65" spans="1:23" ht="28.9">
      <c r="A65" s="24" t="str">
        <v>Washington 1</v>
      </c>
      <c r="B65" s="25" t="str">
        <v>NY</v>
      </c>
      <c r="C65" s="25" t="str">
        <f>Sites[[#This Row],[SOL'#]]</f>
        <v>SOL-10912</v>
      </c>
      <c r="D65" s="20">
        <v>396720</v>
      </c>
      <c r="E65" s="10">
        <v>415588</v>
      </c>
      <c r="F65" s="10">
        <f t="shared" si="4"/>
        <v>-18868</v>
      </c>
      <c r="G65" s="11">
        <f t="shared" si="5"/>
        <v>-4.5400733418674261E-2</v>
      </c>
      <c r="H65" s="12">
        <v>408816</v>
      </c>
      <c r="I65" s="12">
        <f t="shared" ref="I65:I103" si="6">IF(AND(ISNUMBER(D65),ISNUMBER(H65)), D65-H65, "")</f>
        <v>-12096</v>
      </c>
      <c r="J65" s="13">
        <f t="shared" ref="J65:J103" si="7">IFERROR(I65/H65, "")</f>
        <v>-2.9587883057414582E-2</v>
      </c>
      <c r="K65" s="47" t="s">
        <v>1238</v>
      </c>
      <c r="L65" s="99" t="s">
        <v>1239</v>
      </c>
      <c r="M65" s="104"/>
      <c r="N65" s="104"/>
      <c r="O65" s="104"/>
      <c r="P65" s="104"/>
      <c r="Q65" s="104"/>
      <c r="R65" s="104"/>
    </row>
    <row r="66" spans="1:23" ht="86.45">
      <c r="A66" s="26" t="str">
        <v>Washington 3</v>
      </c>
      <c r="B66" s="27" t="str">
        <v>NY</v>
      </c>
      <c r="C66" s="9" t="str">
        <f>Sites[[#This Row],[SOL'#]]</f>
        <v>SOL-10828</v>
      </c>
      <c r="D66" s="9">
        <v>433898</v>
      </c>
      <c r="E66" s="14">
        <v>675268</v>
      </c>
      <c r="F66" s="14">
        <f t="shared" si="4"/>
        <v>-241370</v>
      </c>
      <c r="G66" s="15">
        <f t="shared" si="5"/>
        <v>-0.35744326696955875</v>
      </c>
      <c r="H66" s="16">
        <v>499324</v>
      </c>
      <c r="I66" s="16">
        <f t="shared" si="6"/>
        <v>-65426</v>
      </c>
      <c r="J66" s="15">
        <f t="shared" si="7"/>
        <v>-0.13102915141270999</v>
      </c>
      <c r="K66" s="182" t="s">
        <v>1240</v>
      </c>
      <c r="L66" s="100" t="s">
        <v>1241</v>
      </c>
      <c r="M66" s="103" t="s">
        <v>719</v>
      </c>
      <c r="N66" s="104"/>
      <c r="O66" s="104"/>
      <c r="P66" s="104"/>
      <c r="Q66" s="104"/>
      <c r="R66" s="104"/>
    </row>
    <row r="67" spans="1:23" ht="28.9">
      <c r="A67" s="24" t="str">
        <v>Washington 4</v>
      </c>
      <c r="B67" s="25" t="str">
        <v>NY</v>
      </c>
      <c r="C67" s="25" t="str">
        <f>Sites[[#This Row],[SOL'#]]</f>
        <v>SOL-10829</v>
      </c>
      <c r="D67" s="20">
        <v>411504</v>
      </c>
      <c r="E67" s="10">
        <v>495599</v>
      </c>
      <c r="F67" s="10">
        <f t="shared" si="4"/>
        <v>-84095</v>
      </c>
      <c r="G67" s="11">
        <f t="shared" si="5"/>
        <v>-0.1696835546480118</v>
      </c>
      <c r="H67" s="12">
        <v>500452</v>
      </c>
      <c r="I67" s="12">
        <f t="shared" si="6"/>
        <v>-88948</v>
      </c>
      <c r="J67" s="13">
        <f t="shared" si="7"/>
        <v>-0.1777353272641532</v>
      </c>
      <c r="K67" s="47" t="s">
        <v>1242</v>
      </c>
      <c r="L67" s="99" t="s">
        <v>1243</v>
      </c>
      <c r="M67" s="103" t="s">
        <v>1244</v>
      </c>
      <c r="N67" s="104"/>
      <c r="O67" s="104"/>
      <c r="P67" s="104"/>
      <c r="Q67" s="104"/>
      <c r="R67" s="104"/>
    </row>
    <row r="68" spans="1:23" ht="57.6">
      <c r="A68" s="26" t="str">
        <v>Big Tree</v>
      </c>
      <c r="B68" s="27" t="str">
        <v>NY</v>
      </c>
      <c r="C68" s="9" t="str">
        <f>Sites[[#This Row],[SOL'#]]</f>
        <v>SOL-10966</v>
      </c>
      <c r="D68" s="9">
        <v>404899</v>
      </c>
      <c r="E68" s="14" t="s">
        <v>661</v>
      </c>
      <c r="F68" s="14" t="str">
        <f t="shared" si="4"/>
        <v/>
      </c>
      <c r="G68" s="15" t="str">
        <f t="shared" si="5"/>
        <v/>
      </c>
      <c r="H68" s="16">
        <v>429682</v>
      </c>
      <c r="I68" s="16">
        <f t="shared" si="6"/>
        <v>-24783</v>
      </c>
      <c r="J68" s="15">
        <f t="shared" si="7"/>
        <v>-5.7677538272489885E-2</v>
      </c>
      <c r="K68" s="182" t="s">
        <v>1245</v>
      </c>
      <c r="L68" s="100" t="s">
        <v>1246</v>
      </c>
      <c r="M68" s="103" t="s">
        <v>1247</v>
      </c>
      <c r="N68" s="104"/>
      <c r="O68" s="104"/>
      <c r="P68" s="104"/>
      <c r="Q68" s="104"/>
      <c r="R68" s="104"/>
    </row>
    <row r="69" spans="1:23" ht="15.6">
      <c r="A69" s="24" t="str">
        <v>Canoga</v>
      </c>
      <c r="B69" s="25" t="str">
        <v>NY</v>
      </c>
      <c r="C69" s="25" t="str">
        <f>Sites[[#This Row],[SOL'#]]</f>
        <v>SOL-10965</v>
      </c>
      <c r="D69" s="20" t="s">
        <v>1220</v>
      </c>
      <c r="E69" s="10" t="s">
        <v>661</v>
      </c>
      <c r="F69" s="10" t="str">
        <f t="shared" si="4"/>
        <v/>
      </c>
      <c r="G69" s="11" t="str">
        <f t="shared" si="5"/>
        <v/>
      </c>
      <c r="H69" s="12"/>
      <c r="I69" s="12" t="str">
        <f t="shared" si="6"/>
        <v/>
      </c>
      <c r="J69" s="13" t="str">
        <f t="shared" si="7"/>
        <v/>
      </c>
      <c r="K69" s="47" t="s">
        <v>1248</v>
      </c>
      <c r="L69" s="99" t="s">
        <v>723</v>
      </c>
      <c r="M69" s="104"/>
      <c r="N69" s="104"/>
      <c r="O69" s="104"/>
      <c r="P69" s="104"/>
      <c r="Q69" s="104"/>
      <c r="R69" s="104"/>
    </row>
    <row r="70" spans="1:23" ht="172.5" customHeight="1">
      <c r="A70" s="26" t="str">
        <v>County Route 84</v>
      </c>
      <c r="B70" s="27" t="str">
        <v>NY</v>
      </c>
      <c r="C70" s="9" t="str">
        <f>Sites[[#This Row],[SOL'#]]</f>
        <v>SOL-10967</v>
      </c>
      <c r="D70" s="9">
        <v>887510</v>
      </c>
      <c r="E70" s="14" t="s">
        <v>661</v>
      </c>
      <c r="F70" s="14" t="str">
        <f t="shared" si="4"/>
        <v/>
      </c>
      <c r="G70" s="15" t="str">
        <f t="shared" si="5"/>
        <v/>
      </c>
      <c r="H70" s="16">
        <v>972096</v>
      </c>
      <c r="I70" s="16">
        <f t="shared" si="6"/>
        <v>-84586</v>
      </c>
      <c r="J70" s="15">
        <f t="shared" si="7"/>
        <v>-8.7014039765619861E-2</v>
      </c>
      <c r="K70" s="182" t="s">
        <v>1249</v>
      </c>
      <c r="L70" s="100" t="s">
        <v>1250</v>
      </c>
      <c r="M70" s="103" t="s">
        <v>1251</v>
      </c>
      <c r="N70" s="104"/>
      <c r="O70" s="104"/>
      <c r="P70" s="104"/>
      <c r="Q70" s="104"/>
      <c r="R70" s="104"/>
    </row>
    <row r="71" spans="1:23" ht="57.6">
      <c r="A71" s="24" t="str">
        <v>Donati</v>
      </c>
      <c r="B71" s="25" t="str">
        <v>NY</v>
      </c>
      <c r="C71" s="25" t="str">
        <f>Sites[[#This Row],[SOL'#]]</f>
        <v>SOL-10968</v>
      </c>
      <c r="D71" s="20">
        <v>476881</v>
      </c>
      <c r="E71" s="10" t="s">
        <v>661</v>
      </c>
      <c r="F71" s="10" t="str">
        <f t="shared" si="4"/>
        <v/>
      </c>
      <c r="G71" s="11" t="str">
        <f t="shared" si="5"/>
        <v/>
      </c>
      <c r="H71" s="12">
        <v>550490</v>
      </c>
      <c r="I71" s="12">
        <f t="shared" si="6"/>
        <v>-73609</v>
      </c>
      <c r="J71" s="13">
        <f t="shared" si="7"/>
        <v>-0.13371541717379062</v>
      </c>
      <c r="K71" s="47" t="s">
        <v>1252</v>
      </c>
      <c r="L71" s="99" t="s">
        <v>1253</v>
      </c>
      <c r="M71" s="103" t="s">
        <v>83</v>
      </c>
      <c r="N71" s="103" t="s">
        <v>728</v>
      </c>
      <c r="O71" s="104"/>
      <c r="P71" s="104"/>
      <c r="Q71" s="104"/>
      <c r="R71" s="104"/>
    </row>
    <row r="72" spans="1:23" ht="15.6">
      <c r="A72" s="26" t="str">
        <v>Henrietta</v>
      </c>
      <c r="B72" s="27" t="str">
        <v>NY</v>
      </c>
      <c r="C72" s="9" t="str">
        <f>Sites[[#This Row],[SOL'#]]</f>
        <v>SOL-10972</v>
      </c>
      <c r="D72" s="9">
        <v>1065880</v>
      </c>
      <c r="E72" s="14" t="s">
        <v>661</v>
      </c>
      <c r="F72" s="14" t="str">
        <f t="shared" si="4"/>
        <v/>
      </c>
      <c r="G72" s="15" t="str">
        <f t="shared" si="5"/>
        <v/>
      </c>
      <c r="H72" s="16">
        <v>1172239</v>
      </c>
      <c r="I72" s="16">
        <f t="shared" si="6"/>
        <v>-106359</v>
      </c>
      <c r="J72" s="15">
        <f t="shared" si="7"/>
        <v>-9.0731497587096144E-2</v>
      </c>
      <c r="K72" s="182" t="s">
        <v>1254</v>
      </c>
      <c r="L72" s="100" t="s">
        <v>1255</v>
      </c>
      <c r="M72" s="104"/>
      <c r="N72" s="104"/>
      <c r="O72" s="104"/>
      <c r="P72" s="104"/>
      <c r="Q72" s="104"/>
      <c r="R72" s="104"/>
    </row>
    <row r="73" spans="1:23" ht="119.25" customHeight="1">
      <c r="A73" s="24" t="str">
        <v>NY 70</v>
      </c>
      <c r="B73" s="25" t="str">
        <v>NY</v>
      </c>
      <c r="C73" s="25" t="str">
        <f>Sites[[#This Row],[SOL'#]]</f>
        <v>SOL-10970</v>
      </c>
      <c r="D73" s="20">
        <v>1143230</v>
      </c>
      <c r="E73" s="10" t="s">
        <v>661</v>
      </c>
      <c r="F73" s="10" t="str">
        <f t="shared" si="4"/>
        <v/>
      </c>
      <c r="G73" s="11" t="str">
        <f t="shared" si="5"/>
        <v/>
      </c>
      <c r="H73" s="12">
        <v>1263015</v>
      </c>
      <c r="I73" s="12">
        <f t="shared" si="6"/>
        <v>-119785</v>
      </c>
      <c r="J73" s="13">
        <f t="shared" si="7"/>
        <v>-9.4840520500548295E-2</v>
      </c>
      <c r="K73" s="47"/>
      <c r="L73" s="47"/>
      <c r="M73" s="104"/>
      <c r="N73" s="104"/>
      <c r="O73" s="104"/>
      <c r="P73" s="104"/>
      <c r="Q73" s="104"/>
      <c r="R73" s="104"/>
    </row>
    <row r="74" spans="1:23" ht="272.25" customHeight="1">
      <c r="A74" s="26" t="str">
        <v>Reid</v>
      </c>
      <c r="B74" s="27" t="str">
        <v>NY</v>
      </c>
      <c r="C74" s="9" t="str">
        <f>Sites[[#This Row],[SOL'#]]</f>
        <v>SOL-10991</v>
      </c>
      <c r="D74" s="9">
        <v>599906.10409975797</v>
      </c>
      <c r="E74" s="14">
        <v>636437.80000000005</v>
      </c>
      <c r="F74" s="14">
        <f t="shared" si="4"/>
        <v>-36531.695900242077</v>
      </c>
      <c r="G74" s="15">
        <f t="shared" si="5"/>
        <v>-5.7400261109949904E-2</v>
      </c>
      <c r="H74" s="16">
        <v>917075</v>
      </c>
      <c r="I74" s="16">
        <f t="shared" si="6"/>
        <v>-317168.89590024203</v>
      </c>
      <c r="J74" s="15">
        <f t="shared" si="7"/>
        <v>-0.34584837216175562</v>
      </c>
      <c r="K74" s="182" t="s">
        <v>1256</v>
      </c>
      <c r="L74" s="100" t="s">
        <v>1257</v>
      </c>
      <c r="M74" s="103" t="s">
        <v>1258</v>
      </c>
      <c r="N74" s="103" t="s">
        <v>1259</v>
      </c>
      <c r="O74" s="103" t="s">
        <v>1259</v>
      </c>
      <c r="P74" s="103" t="s">
        <v>1260</v>
      </c>
      <c r="Q74" s="103" t="s">
        <v>1261</v>
      </c>
      <c r="R74" s="103" t="s">
        <v>1262</v>
      </c>
      <c r="S74" s="112" t="s">
        <v>1263</v>
      </c>
      <c r="T74" s="112" t="s">
        <v>1264</v>
      </c>
      <c r="U74" s="112" t="s">
        <v>1260</v>
      </c>
      <c r="V74" s="112" t="s">
        <v>1262</v>
      </c>
      <c r="W74" s="112" t="s">
        <v>1263</v>
      </c>
    </row>
    <row r="75" spans="1:23" ht="28.9">
      <c r="A75" s="24" t="str">
        <v>Sangolqui</v>
      </c>
      <c r="B75" s="25" t="str">
        <v>NY</v>
      </c>
      <c r="C75" s="25" t="str">
        <f>Sites[[#This Row],[SOL'#]]</f>
        <v>SOL-10975</v>
      </c>
      <c r="D75" s="20">
        <v>437080</v>
      </c>
      <c r="E75" s="10" t="s">
        <v>661</v>
      </c>
      <c r="F75" s="10" t="str">
        <f t="shared" si="4"/>
        <v/>
      </c>
      <c r="G75" s="11" t="str">
        <f t="shared" si="5"/>
        <v/>
      </c>
      <c r="H75" s="12">
        <v>538488</v>
      </c>
      <c r="I75" s="12">
        <f t="shared" si="6"/>
        <v>-101408</v>
      </c>
      <c r="J75" s="13">
        <f t="shared" si="7"/>
        <v>-0.18831988827977597</v>
      </c>
      <c r="K75" s="47" t="s">
        <v>1265</v>
      </c>
      <c r="L75" s="99" t="s">
        <v>1266</v>
      </c>
      <c r="M75" s="104"/>
      <c r="N75" s="104"/>
      <c r="O75" s="104"/>
      <c r="P75" s="104"/>
      <c r="Q75" s="104"/>
      <c r="R75" s="104"/>
    </row>
    <row r="76" spans="1:23" ht="125.25" customHeight="1">
      <c r="A76" s="26" t="str">
        <v>State Highway 17B</v>
      </c>
      <c r="B76" s="27" t="str">
        <v>NY</v>
      </c>
      <c r="C76" s="9" t="str">
        <f>Sites[[#This Row],[SOL'#]]</f>
        <v>SOL-10988</v>
      </c>
      <c r="D76" s="9">
        <v>719330</v>
      </c>
      <c r="E76" s="14" t="s">
        <v>661</v>
      </c>
      <c r="F76" s="14" t="str">
        <f t="shared" si="4"/>
        <v/>
      </c>
      <c r="G76" s="15" t="str">
        <f t="shared" si="5"/>
        <v/>
      </c>
      <c r="H76" s="16"/>
      <c r="I76" s="16" t="str">
        <f t="shared" si="6"/>
        <v/>
      </c>
      <c r="J76" s="15" t="str">
        <f t="shared" si="7"/>
        <v/>
      </c>
      <c r="K76" s="182" t="s">
        <v>1267</v>
      </c>
      <c r="L76" s="100" t="s">
        <v>1268</v>
      </c>
      <c r="M76" s="103" t="s">
        <v>1269</v>
      </c>
      <c r="N76" s="103" t="s">
        <v>1270</v>
      </c>
      <c r="O76" s="103" t="s">
        <v>1270</v>
      </c>
      <c r="P76" s="104"/>
      <c r="Q76" s="104"/>
      <c r="R76" s="104"/>
    </row>
    <row r="77" spans="1:23" ht="93" customHeight="1">
      <c r="A77" s="24" t="str">
        <v>State Route 14A</v>
      </c>
      <c r="B77" s="25" t="str">
        <v>NY</v>
      </c>
      <c r="C77" s="25" t="str">
        <f>Sites[[#This Row],[SOL'#]]</f>
        <v>SOL-10997</v>
      </c>
      <c r="D77" s="20" t="s">
        <v>1220</v>
      </c>
      <c r="E77" s="10" t="s">
        <v>661</v>
      </c>
      <c r="F77" s="10" t="str">
        <f t="shared" si="4"/>
        <v/>
      </c>
      <c r="G77" s="11" t="str">
        <f t="shared" si="5"/>
        <v/>
      </c>
      <c r="H77" s="12">
        <v>967648</v>
      </c>
      <c r="I77" s="12" t="str">
        <f t="shared" si="6"/>
        <v/>
      </c>
      <c r="J77" s="13" t="str">
        <f t="shared" si="7"/>
        <v/>
      </c>
      <c r="K77" s="47" t="s">
        <v>1271</v>
      </c>
      <c r="L77" s="99" t="s">
        <v>1272</v>
      </c>
      <c r="M77" s="103" t="s">
        <v>1273</v>
      </c>
      <c r="N77" s="104"/>
      <c r="O77" s="104"/>
      <c r="P77" s="104"/>
      <c r="Q77" s="104"/>
      <c r="R77" s="104"/>
    </row>
    <row r="78" spans="1:23" ht="30" customHeight="1">
      <c r="A78" s="26" t="str">
        <v>West Creek</v>
      </c>
      <c r="B78" s="27" t="str">
        <v>NY</v>
      </c>
      <c r="C78" s="9" t="str">
        <f>Sites[[#This Row],[SOL'#]]</f>
        <v>SOL-10995</v>
      </c>
      <c r="D78" s="9">
        <v>836200</v>
      </c>
      <c r="E78" s="14" t="s">
        <v>661</v>
      </c>
      <c r="F78" s="14" t="str">
        <f t="shared" si="4"/>
        <v/>
      </c>
      <c r="G78" s="15" t="str">
        <f t="shared" si="5"/>
        <v/>
      </c>
      <c r="H78" s="16">
        <v>960614</v>
      </c>
      <c r="I78" s="16">
        <f t="shared" si="6"/>
        <v>-124414</v>
      </c>
      <c r="J78" s="15">
        <f t="shared" si="7"/>
        <v>-0.12951508097945688</v>
      </c>
      <c r="K78" s="182" t="s">
        <v>1274</v>
      </c>
      <c r="L78" s="100" t="s">
        <v>1275</v>
      </c>
      <c r="M78" s="103" t="s">
        <v>1276</v>
      </c>
      <c r="N78" s="104"/>
      <c r="O78" s="104"/>
      <c r="P78" s="104"/>
      <c r="Q78" s="104"/>
      <c r="R78" s="104"/>
    </row>
    <row r="79" spans="1:23" ht="57.6">
      <c r="A79" s="24" t="str">
        <v>Wildflower</v>
      </c>
      <c r="B79" s="25" t="str">
        <v>NY</v>
      </c>
      <c r="C79" s="25" t="str">
        <f>Sites[[#This Row],[SOL'#]]</f>
        <v>SOL-10982</v>
      </c>
      <c r="D79" s="20">
        <v>777681</v>
      </c>
      <c r="E79" s="10" t="s">
        <v>661</v>
      </c>
      <c r="F79" s="10" t="str">
        <f t="shared" si="4"/>
        <v/>
      </c>
      <c r="G79" s="11" t="str">
        <f t="shared" si="5"/>
        <v/>
      </c>
      <c r="H79" s="12">
        <v>972382.4</v>
      </c>
      <c r="I79" s="12">
        <f t="shared" si="6"/>
        <v>-194701.40000000002</v>
      </c>
      <c r="J79" s="13">
        <f t="shared" si="7"/>
        <v>-0.20023130817670087</v>
      </c>
      <c r="K79" s="47" t="s">
        <v>1277</v>
      </c>
      <c r="L79" s="99" t="s">
        <v>1278</v>
      </c>
      <c r="M79" s="104"/>
      <c r="N79" s="104"/>
      <c r="O79" s="104"/>
      <c r="P79" s="104"/>
      <c r="Q79" s="104"/>
      <c r="R79" s="104"/>
    </row>
    <row r="80" spans="1:23" ht="33.6" customHeight="1">
      <c r="A80" s="26" t="str">
        <v>Glen Mary 1</v>
      </c>
      <c r="B80" s="27" t="str">
        <v>NY</v>
      </c>
      <c r="C80" s="9" t="str">
        <f>Sites[[#This Row],[SOL'#]]</f>
        <v>SOL-10993</v>
      </c>
      <c r="D80" s="9">
        <v>883350</v>
      </c>
      <c r="E80" s="14" t="s">
        <v>661</v>
      </c>
      <c r="F80" s="14" t="str">
        <f t="shared" si="4"/>
        <v/>
      </c>
      <c r="G80" s="15" t="str">
        <f t="shared" si="5"/>
        <v/>
      </c>
      <c r="H80" s="16">
        <v>1006679</v>
      </c>
      <c r="I80" s="16">
        <f t="shared" si="6"/>
        <v>-123329</v>
      </c>
      <c r="J80" s="15">
        <f t="shared" si="7"/>
        <v>-0.12251075069610075</v>
      </c>
      <c r="K80" s="182" t="s">
        <v>1279</v>
      </c>
      <c r="L80" s="100" t="s">
        <v>1280</v>
      </c>
      <c r="M80" s="104"/>
      <c r="N80" s="104"/>
      <c r="O80" s="104"/>
      <c r="P80" s="104"/>
      <c r="Q80" s="104"/>
      <c r="R80" s="104"/>
    </row>
    <row r="81" spans="1:18" ht="15.6">
      <c r="A81" s="24" t="str">
        <v>Glen Mary 2</v>
      </c>
      <c r="B81" s="25" t="str">
        <v>NY</v>
      </c>
      <c r="C81" s="25" t="str">
        <f>Sites[[#This Row],[SOL'#]]</f>
        <v>SOL-10994</v>
      </c>
      <c r="D81" s="20">
        <v>396430</v>
      </c>
      <c r="E81" s="10" t="s">
        <v>661</v>
      </c>
      <c r="F81" s="10" t="str">
        <f t="shared" si="4"/>
        <v/>
      </c>
      <c r="G81" s="11" t="str">
        <f t="shared" si="5"/>
        <v/>
      </c>
      <c r="H81" s="12">
        <v>429189</v>
      </c>
      <c r="I81" s="12">
        <f t="shared" si="6"/>
        <v>-32759</v>
      </c>
      <c r="J81" s="13">
        <f t="shared" si="7"/>
        <v>-7.6327678481974137E-2</v>
      </c>
      <c r="K81" s="47"/>
      <c r="L81" s="47"/>
      <c r="M81" s="104"/>
      <c r="N81" s="104"/>
      <c r="O81" s="104"/>
      <c r="P81" s="104"/>
      <c r="Q81" s="104"/>
      <c r="R81" s="104"/>
    </row>
    <row r="82" spans="1:18" ht="15.6">
      <c r="A82" s="26" t="str">
        <v>Telegraph 1</v>
      </c>
      <c r="B82" s="27" t="str">
        <v>NY</v>
      </c>
      <c r="C82" s="9" t="str">
        <f>Sites[[#This Row],[SOL'#]]</f>
        <v>SOL-11003</v>
      </c>
      <c r="D82" s="9">
        <v>724888</v>
      </c>
      <c r="E82" s="14" t="s">
        <v>661</v>
      </c>
      <c r="F82" s="14" t="str">
        <f t="shared" si="4"/>
        <v/>
      </c>
      <c r="G82" s="15" t="str">
        <f t="shared" si="5"/>
        <v/>
      </c>
      <c r="H82" s="16">
        <v>758222</v>
      </c>
      <c r="I82" s="16">
        <f t="shared" si="6"/>
        <v>-33334</v>
      </c>
      <c r="J82" s="15">
        <f t="shared" si="7"/>
        <v>-4.3963377480474054E-2</v>
      </c>
      <c r="K82" s="182"/>
      <c r="L82" s="182"/>
      <c r="M82" s="104"/>
      <c r="N82" s="104"/>
      <c r="O82" s="104"/>
      <c r="P82" s="104"/>
      <c r="Q82" s="104"/>
      <c r="R82" s="104"/>
    </row>
    <row r="83" spans="1:18" ht="15.6">
      <c r="A83" s="24" t="str">
        <v>Telegraph 2</v>
      </c>
      <c r="B83" s="25" t="str">
        <v>NY</v>
      </c>
      <c r="C83" s="25" t="str">
        <f>Sites[[#This Row],[SOL'#]]</f>
        <v>SOL-11004</v>
      </c>
      <c r="D83" s="20">
        <v>383510</v>
      </c>
      <c r="E83" s="10" t="s">
        <v>661</v>
      </c>
      <c r="F83" s="10" t="str">
        <f t="shared" si="4"/>
        <v/>
      </c>
      <c r="G83" s="11" t="str">
        <f t="shared" si="5"/>
        <v/>
      </c>
      <c r="H83" s="12">
        <v>395820</v>
      </c>
      <c r="I83" s="12">
        <f t="shared" si="6"/>
        <v>-12310</v>
      </c>
      <c r="J83" s="13">
        <f t="shared" si="7"/>
        <v>-3.1099994947198221E-2</v>
      </c>
      <c r="K83" s="47"/>
      <c r="L83" s="47"/>
      <c r="M83" s="104"/>
      <c r="N83" s="104"/>
      <c r="O83" s="104"/>
      <c r="P83" s="104"/>
      <c r="Q83" s="104"/>
      <c r="R83" s="104"/>
    </row>
    <row r="84" spans="1:18" ht="15.6">
      <c r="A84" s="26" t="str">
        <v>Cafferty Hill</v>
      </c>
      <c r="B84" s="27" t="str">
        <v>NY</v>
      </c>
      <c r="C84" s="9" t="str">
        <f>Sites[[#This Row],[SOL'#]]</f>
        <v>SOL-10996</v>
      </c>
      <c r="D84" s="9">
        <v>887090</v>
      </c>
      <c r="E84" s="14" t="s">
        <v>661</v>
      </c>
      <c r="F84" s="14" t="str">
        <f t="shared" si="4"/>
        <v/>
      </c>
      <c r="G84" s="15" t="str">
        <f t="shared" si="5"/>
        <v/>
      </c>
      <c r="H84" s="16">
        <v>945865</v>
      </c>
      <c r="I84" s="16">
        <f t="shared" si="6"/>
        <v>-58775</v>
      </c>
      <c r="J84" s="15">
        <f t="shared" si="7"/>
        <v>-6.2138888742050924E-2</v>
      </c>
      <c r="K84" s="182"/>
      <c r="L84" s="182"/>
      <c r="M84" s="104"/>
      <c r="N84" s="104"/>
      <c r="O84" s="104"/>
      <c r="P84" s="104"/>
      <c r="Q84" s="104"/>
      <c r="R84" s="104"/>
    </row>
    <row r="85" spans="1:18" ht="57.6">
      <c r="A85" s="24" t="str">
        <v>Dunkleman</v>
      </c>
      <c r="B85" s="25" t="str">
        <v>NY</v>
      </c>
      <c r="C85" s="25" t="str">
        <f>Sites[[#This Row],[SOL'#]]</f>
        <v>SOL-11008</v>
      </c>
      <c r="D85" s="20">
        <v>1191520</v>
      </c>
      <c r="E85" s="10" t="s">
        <v>661</v>
      </c>
      <c r="F85" s="10" t="str">
        <f t="shared" si="4"/>
        <v/>
      </c>
      <c r="G85" s="11" t="str">
        <f t="shared" si="5"/>
        <v/>
      </c>
      <c r="H85" s="12">
        <v>1303096</v>
      </c>
      <c r="I85" s="12">
        <f t="shared" si="6"/>
        <v>-111576</v>
      </c>
      <c r="J85" s="13">
        <f t="shared" si="7"/>
        <v>-8.5623775991945331E-2</v>
      </c>
      <c r="K85" s="47" t="s">
        <v>1281</v>
      </c>
      <c r="L85" s="99" t="s">
        <v>1282</v>
      </c>
      <c r="M85" s="104"/>
      <c r="N85" s="104"/>
      <c r="O85" s="104"/>
      <c r="P85" s="104"/>
      <c r="Q85" s="104"/>
      <c r="R85" s="104"/>
    </row>
    <row r="86" spans="1:18" ht="28.9">
      <c r="A86" s="26" t="str">
        <v>Route 19 1</v>
      </c>
      <c r="B86" s="27" t="str">
        <v>NY</v>
      </c>
      <c r="C86" s="9" t="str">
        <f>Sites[[#This Row],[SOL'#]]</f>
        <v>SOL-11001</v>
      </c>
      <c r="D86" s="9">
        <v>485730</v>
      </c>
      <c r="E86" s="14" t="s">
        <v>661</v>
      </c>
      <c r="F86" s="14" t="str">
        <f t="shared" si="4"/>
        <v/>
      </c>
      <c r="G86" s="15" t="str">
        <f t="shared" si="5"/>
        <v/>
      </c>
      <c r="H86" s="16">
        <v>540517</v>
      </c>
      <c r="I86" s="16">
        <f t="shared" si="6"/>
        <v>-54787</v>
      </c>
      <c r="J86" s="15">
        <f t="shared" si="7"/>
        <v>-0.10136036424386281</v>
      </c>
      <c r="K86" s="182" t="s">
        <v>1182</v>
      </c>
      <c r="L86" s="86"/>
      <c r="M86" s="104"/>
      <c r="N86" s="104"/>
      <c r="O86" s="104"/>
      <c r="P86" s="104"/>
      <c r="Q86" s="104"/>
      <c r="R86" s="104"/>
    </row>
    <row r="87" spans="1:18" ht="28.9">
      <c r="A87" s="24" t="str">
        <v>Route 19 2</v>
      </c>
      <c r="B87" s="25" t="str">
        <v>NY</v>
      </c>
      <c r="C87" s="25" t="str">
        <f>Sites[[#This Row],[SOL'#]]</f>
        <v>SOL-11002</v>
      </c>
      <c r="D87" s="20">
        <v>1170370</v>
      </c>
      <c r="E87" s="10" t="s">
        <v>661</v>
      </c>
      <c r="F87" s="10" t="str">
        <f t="shared" si="4"/>
        <v/>
      </c>
      <c r="G87" s="11" t="str">
        <f t="shared" si="5"/>
        <v/>
      </c>
      <c r="H87" s="12">
        <v>1328891</v>
      </c>
      <c r="I87" s="12">
        <f t="shared" si="6"/>
        <v>-158521</v>
      </c>
      <c r="J87" s="13">
        <f t="shared" si="7"/>
        <v>-0.11928818842177424</v>
      </c>
      <c r="K87" s="47" t="s">
        <v>1182</v>
      </c>
      <c r="L87" s="47"/>
      <c r="M87" s="104"/>
      <c r="N87" s="104"/>
      <c r="O87" s="104"/>
      <c r="P87" s="104"/>
      <c r="Q87" s="104"/>
      <c r="R87" s="104"/>
    </row>
    <row r="88" spans="1:18" ht="129.6">
      <c r="A88" s="26" t="str">
        <v>Yellow Mills 1</v>
      </c>
      <c r="B88" s="27" t="str">
        <v>NY</v>
      </c>
      <c r="C88" s="9" t="str">
        <f>Sites[[#This Row],[SOL'#]]</f>
        <v>SOL-11006</v>
      </c>
      <c r="D88" s="9">
        <v>271062</v>
      </c>
      <c r="E88" s="14" t="s">
        <v>661</v>
      </c>
      <c r="F88" s="14" t="str">
        <f t="shared" si="4"/>
        <v/>
      </c>
      <c r="G88" s="15" t="str">
        <f t="shared" si="5"/>
        <v/>
      </c>
      <c r="H88" s="16">
        <v>404357</v>
      </c>
      <c r="I88" s="16">
        <f t="shared" si="6"/>
        <v>-133295</v>
      </c>
      <c r="J88" s="15">
        <f t="shared" si="7"/>
        <v>-0.32964682199145806</v>
      </c>
      <c r="K88" s="182" t="s">
        <v>1283</v>
      </c>
      <c r="L88" s="100" t="s">
        <v>1284</v>
      </c>
      <c r="M88" s="103" t="s">
        <v>1285</v>
      </c>
      <c r="N88" s="103" t="s">
        <v>1286</v>
      </c>
      <c r="O88" s="104"/>
      <c r="P88" s="104"/>
      <c r="Q88" s="104"/>
      <c r="R88" s="104"/>
    </row>
    <row r="89" spans="1:18" ht="57.6">
      <c r="A89" s="24" t="str">
        <v>Yellow Mills 2</v>
      </c>
      <c r="B89" s="25" t="str">
        <v>NY</v>
      </c>
      <c r="C89" s="25" t="str">
        <f>Sites[[#This Row],[SOL'#]]</f>
        <v>SOL-11005</v>
      </c>
      <c r="D89" s="20">
        <v>368106</v>
      </c>
      <c r="E89" s="10" t="s">
        <v>661</v>
      </c>
      <c r="F89" s="10" t="str">
        <f t="shared" si="4"/>
        <v/>
      </c>
      <c r="G89" s="11" t="str">
        <f t="shared" si="5"/>
        <v/>
      </c>
      <c r="H89" s="12">
        <v>418478</v>
      </c>
      <c r="I89" s="12">
        <f t="shared" si="6"/>
        <v>-50372</v>
      </c>
      <c r="J89" s="13">
        <f t="shared" si="7"/>
        <v>-0.12036952958100545</v>
      </c>
      <c r="K89" s="47" t="s">
        <v>1287</v>
      </c>
      <c r="L89" s="99" t="s">
        <v>1288</v>
      </c>
      <c r="M89" s="104"/>
      <c r="N89" s="104"/>
      <c r="O89" s="104"/>
      <c r="P89" s="104"/>
      <c r="Q89" s="104"/>
      <c r="R89" s="104"/>
    </row>
    <row r="90" spans="1:18" ht="43.15">
      <c r="A90" s="26" t="str">
        <v>Yellow Mills 3</v>
      </c>
      <c r="B90" s="27" t="str">
        <v>NY</v>
      </c>
      <c r="C90" s="9" t="str">
        <f>Sites[[#This Row],[SOL'#]]</f>
        <v>SOL-11007</v>
      </c>
      <c r="D90" s="9">
        <v>351235</v>
      </c>
      <c r="E90" s="14" t="s">
        <v>661</v>
      </c>
      <c r="F90" s="14" t="str">
        <f t="shared" si="4"/>
        <v/>
      </c>
      <c r="G90" s="15" t="str">
        <f t="shared" si="5"/>
        <v/>
      </c>
      <c r="H90" s="16">
        <v>398512</v>
      </c>
      <c r="I90" s="16">
        <f t="shared" si="6"/>
        <v>-47277</v>
      </c>
      <c r="J90" s="15">
        <f t="shared" si="7"/>
        <v>-0.11863381780222428</v>
      </c>
      <c r="K90" s="182" t="s">
        <v>1289</v>
      </c>
      <c r="L90" s="100" t="s">
        <v>1290</v>
      </c>
      <c r="M90" s="104"/>
      <c r="N90" s="104"/>
      <c r="O90" s="104"/>
      <c r="P90" s="104"/>
      <c r="Q90" s="104"/>
      <c r="R90" s="104"/>
    </row>
    <row r="91" spans="1:18" ht="57.6">
      <c r="A91" s="24" t="str">
        <v>Catskill</v>
      </c>
      <c r="B91" s="25" t="str">
        <v>NY</v>
      </c>
      <c r="C91" s="25" t="str">
        <f>Sites[[#This Row],[SOL'#]]</f>
        <v>SOL-11021</v>
      </c>
      <c r="D91" s="20">
        <v>676307</v>
      </c>
      <c r="E91" s="10" t="s">
        <v>661</v>
      </c>
      <c r="F91" s="10" t="str">
        <f t="shared" si="4"/>
        <v/>
      </c>
      <c r="G91" s="11" t="str">
        <f t="shared" si="5"/>
        <v/>
      </c>
      <c r="H91" s="12">
        <v>722557</v>
      </c>
      <c r="I91" s="12">
        <f t="shared" si="6"/>
        <v>-46250</v>
      </c>
      <c r="J91" s="13">
        <f t="shared" si="7"/>
        <v>-6.4008791001955556E-2</v>
      </c>
      <c r="K91" s="47" t="s">
        <v>1291</v>
      </c>
      <c r="L91" s="99" t="s">
        <v>1292</v>
      </c>
      <c r="M91" s="104"/>
      <c r="N91" s="104"/>
      <c r="O91" s="104"/>
      <c r="P91" s="104"/>
      <c r="Q91" s="104"/>
      <c r="R91" s="104"/>
    </row>
    <row r="92" spans="1:18" ht="15.6">
      <c r="A92" s="26" t="str">
        <v>Eddy Ridge</v>
      </c>
      <c r="B92" s="27" t="str">
        <v>NY</v>
      </c>
      <c r="C92" s="9" t="str">
        <f>Sites[[#This Row],[SOL'#]]</f>
        <v>SOL-11054</v>
      </c>
      <c r="D92" s="9">
        <v>615336</v>
      </c>
      <c r="E92" s="14" t="s">
        <v>661</v>
      </c>
      <c r="F92" s="14" t="str">
        <f t="shared" si="4"/>
        <v/>
      </c>
      <c r="G92" s="15" t="str">
        <f t="shared" si="5"/>
        <v/>
      </c>
      <c r="H92" s="16">
        <v>626850</v>
      </c>
      <c r="I92" s="16">
        <f t="shared" si="6"/>
        <v>-11514</v>
      </c>
      <c r="J92" s="15">
        <f t="shared" si="7"/>
        <v>-1.8368030629337163E-2</v>
      </c>
      <c r="K92" s="182" t="s">
        <v>1293</v>
      </c>
      <c r="L92" s="100" t="s">
        <v>1294</v>
      </c>
      <c r="M92" s="104"/>
      <c r="N92" s="104"/>
      <c r="O92" s="104"/>
      <c r="P92" s="104"/>
      <c r="Q92" s="104"/>
      <c r="R92" s="104"/>
    </row>
    <row r="93" spans="1:18" ht="15.6">
      <c r="A93" s="24" t="str">
        <v>Ridgeway #1</v>
      </c>
      <c r="B93" s="25" t="str">
        <v>NY</v>
      </c>
      <c r="C93" s="25" t="str">
        <f>Sites[[#This Row],[SOL'#]]</f>
        <v>SOL-11018</v>
      </c>
      <c r="D93" s="20">
        <v>1316830</v>
      </c>
      <c r="E93" s="10" t="s">
        <v>661</v>
      </c>
      <c r="F93" s="10" t="str">
        <f t="shared" si="4"/>
        <v/>
      </c>
      <c r="G93" s="11" t="str">
        <f t="shared" si="5"/>
        <v/>
      </c>
      <c r="H93" s="12">
        <v>1266592.7</v>
      </c>
      <c r="I93" s="12">
        <f t="shared" si="6"/>
        <v>50237.300000000047</v>
      </c>
      <c r="J93" s="13">
        <f t="shared" si="7"/>
        <v>3.9663342446233936E-2</v>
      </c>
      <c r="K93" s="47"/>
      <c r="L93" s="47"/>
      <c r="M93" s="104"/>
      <c r="N93" s="104"/>
      <c r="O93" s="104"/>
      <c r="P93" s="104"/>
      <c r="Q93" s="104"/>
      <c r="R93" s="104"/>
    </row>
    <row r="94" spans="1:18" ht="67.5" customHeight="1">
      <c r="A94" s="26" t="str">
        <v>Rivard 1</v>
      </c>
      <c r="B94" s="27" t="str">
        <v>NY</v>
      </c>
      <c r="C94" s="9" t="str">
        <f>Sites[[#This Row],[SOL'#]]</f>
        <v>SOL-11011</v>
      </c>
      <c r="D94" s="9">
        <v>1088066.8957346</v>
      </c>
      <c r="E94" s="14">
        <v>0</v>
      </c>
      <c r="F94" s="14">
        <f t="shared" si="4"/>
        <v>1088066.8957346</v>
      </c>
      <c r="G94" s="15" t="str">
        <f t="shared" si="5"/>
        <v/>
      </c>
      <c r="H94" s="16">
        <v>138294.79999999999</v>
      </c>
      <c r="I94" s="16">
        <f t="shared" si="6"/>
        <v>949772.09573459998</v>
      </c>
      <c r="J94" s="15">
        <f t="shared" si="7"/>
        <v>6.8677354154646455</v>
      </c>
      <c r="K94" s="182" t="s">
        <v>1295</v>
      </c>
      <c r="L94" s="100" t="s">
        <v>1296</v>
      </c>
      <c r="M94" s="104"/>
      <c r="N94" s="104"/>
      <c r="O94" s="104"/>
      <c r="P94" s="104"/>
      <c r="Q94" s="104"/>
      <c r="R94" s="104"/>
    </row>
    <row r="95" spans="1:18" ht="100.9">
      <c r="A95" s="24" t="str">
        <v>Rivard 2</v>
      </c>
      <c r="B95" s="25" t="str">
        <v>NY</v>
      </c>
      <c r="C95" s="25" t="str">
        <f>Sites[[#This Row],[SOL'#]]</f>
        <v>SOL-11012</v>
      </c>
      <c r="D95" s="20">
        <v>1057218.7549999999</v>
      </c>
      <c r="E95" s="10">
        <v>1026533</v>
      </c>
      <c r="F95" s="10">
        <f t="shared" si="4"/>
        <v>30685.754999999888</v>
      </c>
      <c r="G95" s="11">
        <f t="shared" si="5"/>
        <v>2.9892614265688379E-2</v>
      </c>
      <c r="H95" s="12">
        <v>1086602</v>
      </c>
      <c r="I95" s="12">
        <f t="shared" si="6"/>
        <v>-29383.245000000112</v>
      </c>
      <c r="J95" s="13">
        <f t="shared" si="7"/>
        <v>-2.7041405224728199E-2</v>
      </c>
      <c r="K95" s="47" t="s">
        <v>1297</v>
      </c>
      <c r="L95" s="99" t="s">
        <v>1298</v>
      </c>
      <c r="M95" s="103" t="s">
        <v>1299</v>
      </c>
      <c r="N95" s="103" t="s">
        <v>1299</v>
      </c>
      <c r="O95" s="104"/>
      <c r="P95" s="104"/>
      <c r="Q95" s="104"/>
      <c r="R95" s="104"/>
    </row>
    <row r="96" spans="1:18" ht="15.6">
      <c r="A96" s="24" t="str">
        <v>Ridgeway #2</v>
      </c>
      <c r="B96" s="25" t="str">
        <v>NY</v>
      </c>
      <c r="C96" s="25" t="str">
        <f>Sites[[#This Row],[SOL'#]]</f>
        <v>SOL-11027</v>
      </c>
      <c r="D96" s="20">
        <v>659346</v>
      </c>
      <c r="E96" s="10" t="s">
        <v>661</v>
      </c>
      <c r="F96" s="10" t="str">
        <f t="shared" ref="F96:F154" si="8">IF(AND(ISNUMBER(D96),ISNUMBER(E96)), D96-E96, "")</f>
        <v/>
      </c>
      <c r="G96" s="11" t="str">
        <f t="shared" ref="G96:G155" si="9">IFERROR(F96/E96, "")</f>
        <v/>
      </c>
      <c r="H96" s="12">
        <v>645978</v>
      </c>
      <c r="I96" s="12">
        <f t="shared" si="6"/>
        <v>13368</v>
      </c>
      <c r="J96" s="13">
        <f t="shared" si="7"/>
        <v>2.069420320815879E-2</v>
      </c>
      <c r="K96" s="47"/>
      <c r="L96" s="47"/>
      <c r="M96" s="104"/>
      <c r="N96" s="104"/>
      <c r="O96" s="104"/>
      <c r="P96" s="104"/>
      <c r="Q96" s="104"/>
      <c r="R96" s="104"/>
    </row>
    <row r="97" spans="1:18" ht="15.6">
      <c r="A97" s="26" t="str">
        <v>Spencer</v>
      </c>
      <c r="B97" s="27" t="str">
        <v>NY</v>
      </c>
      <c r="C97" s="9" t="str">
        <f>Sites[[#This Row],[SOL'#]]</f>
        <v>SOL-11017</v>
      </c>
      <c r="D97" s="66">
        <v>1160891</v>
      </c>
      <c r="E97" s="14" t="s">
        <v>661</v>
      </c>
      <c r="F97" s="14" t="str">
        <f t="shared" si="8"/>
        <v/>
      </c>
      <c r="G97" s="68" t="str">
        <f t="shared" si="9"/>
        <v/>
      </c>
      <c r="H97" s="69">
        <v>1233800</v>
      </c>
      <c r="I97" s="69">
        <f t="shared" si="6"/>
        <v>-72909</v>
      </c>
      <c r="J97" s="68">
        <f t="shared" si="7"/>
        <v>-5.9093045874533963E-2</v>
      </c>
      <c r="K97" s="182" t="s">
        <v>1300</v>
      </c>
      <c r="L97" s="103" t="s">
        <v>1301</v>
      </c>
      <c r="M97" s="104"/>
      <c r="N97" s="104"/>
      <c r="O97" s="104"/>
      <c r="P97" s="104"/>
      <c r="Q97" s="104"/>
      <c r="R97" s="104"/>
    </row>
    <row r="98" spans="1:18" ht="15.6">
      <c r="A98" s="28" t="str">
        <v>Reisender</v>
      </c>
      <c r="B98" s="25" t="str">
        <v>NY</v>
      </c>
      <c r="C98" s="25" t="str">
        <f>Sites[[#This Row],[SOL'#]]</f>
        <v>SOL-10886</v>
      </c>
      <c r="D98" s="54">
        <v>331750</v>
      </c>
      <c r="E98" s="10">
        <v>333637</v>
      </c>
      <c r="F98" s="10">
        <f t="shared" si="8"/>
        <v>-1887</v>
      </c>
      <c r="G98" s="55">
        <f t="shared" si="9"/>
        <v>-5.6558475229066324E-3</v>
      </c>
      <c r="H98" s="67">
        <v>383449</v>
      </c>
      <c r="I98" s="67">
        <f t="shared" si="6"/>
        <v>-51699</v>
      </c>
      <c r="J98" s="64">
        <f t="shared" si="7"/>
        <v>-0.13482627415901463</v>
      </c>
      <c r="K98" s="108" t="s">
        <v>1302</v>
      </c>
      <c r="L98" s="99" t="s">
        <v>1303</v>
      </c>
      <c r="M98" s="104"/>
      <c r="N98" s="104"/>
      <c r="O98" s="104"/>
      <c r="P98" s="104"/>
      <c r="Q98" s="104"/>
      <c r="R98" s="104"/>
    </row>
    <row r="99" spans="1:18" ht="115.15">
      <c r="A99" s="26" t="str">
        <v>Finney</v>
      </c>
      <c r="B99" s="27" t="str">
        <v>NY</v>
      </c>
      <c r="C99" s="9" t="str">
        <f>Sites[[#This Row],[SOL'#]]</f>
        <v>SOL-10999</v>
      </c>
      <c r="D99" s="66">
        <v>1023680</v>
      </c>
      <c r="E99" s="14" t="s">
        <v>661</v>
      </c>
      <c r="F99" s="14" t="str">
        <f t="shared" si="8"/>
        <v/>
      </c>
      <c r="G99" s="68" t="str">
        <f t="shared" si="9"/>
        <v/>
      </c>
      <c r="H99" s="69">
        <v>1241407</v>
      </c>
      <c r="I99" s="69">
        <f t="shared" si="6"/>
        <v>-217727</v>
      </c>
      <c r="J99" s="68">
        <f t="shared" si="7"/>
        <v>-0.17538728233367462</v>
      </c>
      <c r="K99" s="182" t="s">
        <v>1304</v>
      </c>
      <c r="L99" s="102" t="s">
        <v>1305</v>
      </c>
      <c r="M99" s="103" t="s">
        <v>1306</v>
      </c>
      <c r="N99" s="103" t="s">
        <v>1307</v>
      </c>
      <c r="O99" s="103" t="s">
        <v>1308</v>
      </c>
      <c r="P99" s="104"/>
      <c r="Q99" s="104"/>
      <c r="R99" s="104"/>
    </row>
    <row r="100" spans="1:18" ht="99.75" customHeight="1">
      <c r="A100" s="24" t="str">
        <v>Davis Solar</v>
      </c>
      <c r="B100" s="25" t="str">
        <v>NY</v>
      </c>
      <c r="C100" s="25" t="str">
        <f>Sites[[#This Row],[SOL'#]]</f>
        <v>SOL-10958</v>
      </c>
      <c r="D100" s="54">
        <v>292865</v>
      </c>
      <c r="E100" s="10">
        <v>374601.7</v>
      </c>
      <c r="F100" s="10">
        <f t="shared" si="8"/>
        <v>-81736.700000000012</v>
      </c>
      <c r="G100" s="55">
        <f t="shared" si="9"/>
        <v>-0.21819628688284118</v>
      </c>
      <c r="H100" s="67">
        <v>452578</v>
      </c>
      <c r="I100" s="67">
        <f t="shared" si="6"/>
        <v>-159713</v>
      </c>
      <c r="J100" s="64">
        <f t="shared" si="7"/>
        <v>-0.35289607537264295</v>
      </c>
      <c r="K100" s="108" t="s">
        <v>1309</v>
      </c>
      <c r="L100" s="99" t="s">
        <v>1310</v>
      </c>
      <c r="M100" s="103" t="s">
        <v>1311</v>
      </c>
      <c r="N100" s="104"/>
      <c r="O100" s="104"/>
      <c r="P100" s="104"/>
      <c r="Q100" s="104"/>
      <c r="R100" s="104"/>
    </row>
    <row r="101" spans="1:18" ht="57.6">
      <c r="A101" s="26" t="str">
        <v>Genesee</v>
      </c>
      <c r="B101" s="27" t="str">
        <v>NY</v>
      </c>
      <c r="C101" s="9" t="str">
        <f>Sites[[#This Row],[SOL'#]]</f>
        <v>SOL-10951</v>
      </c>
      <c r="D101" s="66">
        <v>706865</v>
      </c>
      <c r="E101" s="14" t="s">
        <v>661</v>
      </c>
      <c r="F101" s="14" t="str">
        <f t="shared" si="8"/>
        <v/>
      </c>
      <c r="G101" s="68" t="str">
        <f t="shared" si="9"/>
        <v/>
      </c>
      <c r="H101" s="69">
        <v>958340</v>
      </c>
      <c r="I101" s="69">
        <f t="shared" si="6"/>
        <v>-251475</v>
      </c>
      <c r="J101" s="68">
        <f t="shared" si="7"/>
        <v>-0.26240687021307679</v>
      </c>
      <c r="K101" s="182" t="s">
        <v>1312</v>
      </c>
      <c r="L101" s="102" t="s">
        <v>1313</v>
      </c>
      <c r="M101" s="103" t="s">
        <v>1314</v>
      </c>
      <c r="N101" s="103" t="s">
        <v>1315</v>
      </c>
      <c r="O101" s="104"/>
      <c r="P101" s="104"/>
      <c r="Q101" s="104"/>
      <c r="R101" s="104"/>
    </row>
    <row r="102" spans="1:18" ht="15.6">
      <c r="A102" s="24" t="str">
        <v>Landau I</v>
      </c>
      <c r="B102" s="25" t="str">
        <v>NY</v>
      </c>
      <c r="C102" s="25" t="str">
        <f>Sites[[#This Row],[SOL'#]]</f>
        <v>SOL-10891</v>
      </c>
      <c r="D102" s="54">
        <v>378150</v>
      </c>
      <c r="E102" s="10" t="s">
        <v>661</v>
      </c>
      <c r="F102" s="10" t="str">
        <f t="shared" si="8"/>
        <v/>
      </c>
      <c r="G102" s="55" t="str">
        <f t="shared" si="9"/>
        <v/>
      </c>
      <c r="H102" s="67">
        <v>415759</v>
      </c>
      <c r="I102" s="67">
        <f t="shared" si="6"/>
        <v>-37609</v>
      </c>
      <c r="J102" s="64">
        <f t="shared" si="7"/>
        <v>-9.0458655134344659E-2</v>
      </c>
      <c r="K102" s="108"/>
      <c r="L102" s="47"/>
      <c r="M102" s="104"/>
      <c r="N102" s="104"/>
      <c r="O102" s="104"/>
      <c r="P102" s="104"/>
      <c r="Q102" s="104"/>
      <c r="R102" s="104"/>
    </row>
    <row r="103" spans="1:18" ht="43.15">
      <c r="A103" s="26" t="str">
        <v>Landau II</v>
      </c>
      <c r="B103" s="27" t="str">
        <v>NY</v>
      </c>
      <c r="C103" s="9" t="str">
        <f>Sites[[#This Row],[SOL'#]]</f>
        <v>SOL-10895</v>
      </c>
      <c r="D103" s="66">
        <v>22460</v>
      </c>
      <c r="E103" s="14" t="s">
        <v>661</v>
      </c>
      <c r="F103" s="14" t="str">
        <f t="shared" si="8"/>
        <v/>
      </c>
      <c r="G103" s="68" t="str">
        <f t="shared" si="9"/>
        <v/>
      </c>
      <c r="H103" s="69"/>
      <c r="I103" s="69" t="str">
        <f t="shared" si="6"/>
        <v/>
      </c>
      <c r="J103" s="68" t="str">
        <f t="shared" si="7"/>
        <v/>
      </c>
      <c r="K103" s="182" t="s">
        <v>1316</v>
      </c>
      <c r="L103" s="103" t="s">
        <v>1317</v>
      </c>
      <c r="M103" s="103" t="s">
        <v>1053</v>
      </c>
      <c r="N103" s="103" t="s">
        <v>1318</v>
      </c>
      <c r="O103" s="104"/>
      <c r="P103" s="104"/>
      <c r="Q103" s="104"/>
      <c r="R103" s="104"/>
    </row>
    <row r="104" spans="1:18" ht="39.75" customHeight="1">
      <c r="A104" s="24" t="str">
        <v>New Beginnings</v>
      </c>
      <c r="B104" s="25" t="str">
        <v>NY</v>
      </c>
      <c r="C104" s="25" t="str">
        <f>Sites[[#This Row],[SOL'#]]</f>
        <v>SOL-10890</v>
      </c>
      <c r="D104" s="54">
        <v>63410</v>
      </c>
      <c r="E104" s="10">
        <v>371839</v>
      </c>
      <c r="F104" s="10">
        <f t="shared" si="8"/>
        <v>-308429</v>
      </c>
      <c r="G104" s="55">
        <f t="shared" si="9"/>
        <v>-0.82946920575840621</v>
      </c>
      <c r="H104" s="67">
        <v>402875</v>
      </c>
      <c r="I104" s="67">
        <f t="shared" ref="I104:I157" si="10">IF(AND(ISNUMBER(D104),ISNUMBER(H104)), D104-H104, "")</f>
        <v>-339465</v>
      </c>
      <c r="J104" s="64">
        <f t="shared" ref="J104:J157" si="11">IFERROR(I104/H104, "")</f>
        <v>-0.84260626745268385</v>
      </c>
      <c r="K104" s="108" t="s">
        <v>1319</v>
      </c>
      <c r="L104" s="99" t="s">
        <v>1056</v>
      </c>
      <c r="M104" s="104"/>
      <c r="N104" s="104"/>
      <c r="O104" s="104"/>
      <c r="P104" s="104"/>
      <c r="Q104" s="104"/>
      <c r="R104" s="104"/>
    </row>
    <row r="105" spans="1:18" ht="15.6">
      <c r="A105" s="26" t="str">
        <v>Bullitt Farm Solar, LLC</v>
      </c>
      <c r="B105" s="27" t="str">
        <v>NY</v>
      </c>
      <c r="C105" s="9" t="str">
        <f>Sites[[#This Row],[SOL'#]]</f>
        <v>SOL-10998</v>
      </c>
      <c r="D105" s="66">
        <v>1089099</v>
      </c>
      <c r="E105" s="14">
        <v>1103979</v>
      </c>
      <c r="F105" s="14">
        <f t="shared" si="8"/>
        <v>-14880</v>
      </c>
      <c r="G105" s="68">
        <f t="shared" si="9"/>
        <v>-1.3478517254404295E-2</v>
      </c>
      <c r="H105" s="69">
        <v>1188892</v>
      </c>
      <c r="I105" s="69">
        <f t="shared" si="10"/>
        <v>-99793</v>
      </c>
      <c r="J105" s="68">
        <f t="shared" si="11"/>
        <v>-8.3937817732813405E-2</v>
      </c>
      <c r="K105" s="182"/>
      <c r="L105" s="89"/>
      <c r="M105" s="104"/>
      <c r="N105" s="104"/>
      <c r="O105" s="104"/>
      <c r="P105" s="104"/>
      <c r="Q105" s="104"/>
      <c r="R105" s="104"/>
    </row>
    <row r="106" spans="1:18" ht="86.45">
      <c r="A106" s="24" t="str">
        <v>Brodhead Solar, LLC</v>
      </c>
      <c r="B106" s="25" t="str">
        <v>NY</v>
      </c>
      <c r="C106" s="25" t="str">
        <f>Sites[[#This Row],[SOL'#]]</f>
        <v>SOL-10899</v>
      </c>
      <c r="D106" s="54">
        <v>370257</v>
      </c>
      <c r="E106" s="10">
        <v>453079</v>
      </c>
      <c r="F106" s="10">
        <f t="shared" si="8"/>
        <v>-82822</v>
      </c>
      <c r="G106" s="55">
        <f t="shared" si="9"/>
        <v>-0.18279814337014075</v>
      </c>
      <c r="H106" s="67">
        <v>517267</v>
      </c>
      <c r="I106" s="67">
        <f t="shared" si="10"/>
        <v>-147010</v>
      </c>
      <c r="J106" s="64">
        <f t="shared" si="11"/>
        <v>-0.2842052556996677</v>
      </c>
      <c r="K106" s="108" t="s">
        <v>1320</v>
      </c>
      <c r="L106" s="99" t="s">
        <v>1059</v>
      </c>
      <c r="M106" s="103" t="s">
        <v>542</v>
      </c>
      <c r="N106" s="104"/>
      <c r="O106" s="104"/>
      <c r="P106" s="104"/>
      <c r="Q106" s="104"/>
      <c r="R106" s="104"/>
    </row>
    <row r="107" spans="1:18" ht="28.9">
      <c r="A107" s="26" t="str">
        <v>Svenski</v>
      </c>
      <c r="B107" s="27" t="str">
        <v>NY</v>
      </c>
      <c r="C107" s="9" t="str">
        <f>Sites[[#This Row],[SOL'#]]</f>
        <v>SOL-10894</v>
      </c>
      <c r="D107" s="66">
        <v>365745</v>
      </c>
      <c r="E107" s="14" t="s">
        <v>661</v>
      </c>
      <c r="F107" s="14" t="str">
        <f t="shared" si="8"/>
        <v/>
      </c>
      <c r="G107" s="68" t="str">
        <f t="shared" si="9"/>
        <v/>
      </c>
      <c r="H107" s="69">
        <v>437648</v>
      </c>
      <c r="I107" s="69">
        <f t="shared" si="10"/>
        <v>-71903</v>
      </c>
      <c r="J107" s="68">
        <f t="shared" si="11"/>
        <v>-0.1642941359265894</v>
      </c>
      <c r="K107" s="182" t="s">
        <v>1321</v>
      </c>
      <c r="L107" s="103" t="s">
        <v>1322</v>
      </c>
      <c r="M107" s="104"/>
      <c r="N107" s="104"/>
      <c r="O107" s="104"/>
      <c r="P107" s="104"/>
      <c r="Q107" s="104"/>
      <c r="R107" s="104"/>
    </row>
    <row r="108" spans="1:18" ht="144">
      <c r="A108" s="24" t="str">
        <v>Bantam</v>
      </c>
      <c r="B108" s="25" t="str">
        <v>NY</v>
      </c>
      <c r="C108" s="25" t="str">
        <f>Sites[[#This Row],[SOL'#]]</f>
        <v>SOL-10986</v>
      </c>
      <c r="D108" s="54">
        <v>94580</v>
      </c>
      <c r="E108" s="10" t="s">
        <v>661</v>
      </c>
      <c r="F108" s="10" t="str">
        <f t="shared" si="8"/>
        <v/>
      </c>
      <c r="G108" s="55" t="str">
        <f t="shared" si="9"/>
        <v/>
      </c>
      <c r="H108" s="67">
        <v>1178744</v>
      </c>
      <c r="I108" s="67">
        <f t="shared" si="10"/>
        <v>-1084164</v>
      </c>
      <c r="J108" s="64">
        <f t="shared" si="11"/>
        <v>-0.91976205181108028</v>
      </c>
      <c r="K108" s="108" t="s">
        <v>1323</v>
      </c>
      <c r="L108" s="99" t="s">
        <v>1324</v>
      </c>
      <c r="M108" s="103" t="s">
        <v>1068</v>
      </c>
      <c r="N108" s="103" t="s">
        <v>1069</v>
      </c>
      <c r="O108" s="104"/>
      <c r="P108" s="104"/>
      <c r="Q108" s="104"/>
      <c r="R108" s="104"/>
    </row>
    <row r="109" spans="1:18" ht="28.9">
      <c r="A109" s="26" t="str">
        <v>Bogart</v>
      </c>
      <c r="B109" s="27" t="str">
        <v>NY</v>
      </c>
      <c r="C109" s="9" t="str">
        <f>Sites[[#This Row],[SOL'#]]</f>
        <v>SOL-10887</v>
      </c>
      <c r="D109" s="66">
        <v>319950</v>
      </c>
      <c r="E109" s="14">
        <v>372889</v>
      </c>
      <c r="F109" s="14">
        <f t="shared" si="8"/>
        <v>-52939</v>
      </c>
      <c r="G109" s="68">
        <f t="shared" si="9"/>
        <v>-0.14196986234509465</v>
      </c>
      <c r="H109" s="69">
        <v>395717</v>
      </c>
      <c r="I109" s="69">
        <f t="shared" si="10"/>
        <v>-75767</v>
      </c>
      <c r="J109" s="68">
        <f t="shared" si="11"/>
        <v>-0.19146763975265152</v>
      </c>
      <c r="K109" s="182" t="s">
        <v>1325</v>
      </c>
      <c r="L109" s="103" t="s">
        <v>1326</v>
      </c>
      <c r="M109" s="104"/>
      <c r="N109" s="104"/>
      <c r="O109" s="104"/>
      <c r="P109" s="104"/>
      <c r="Q109" s="104"/>
      <c r="R109" s="104"/>
    </row>
    <row r="110" spans="1:18" ht="115.15">
      <c r="A110" s="24" t="str">
        <v>Dubois</v>
      </c>
      <c r="B110" s="25" t="str">
        <v>NY</v>
      </c>
      <c r="C110" s="25" t="str">
        <f>Sites[[#This Row],[SOL'#]]</f>
        <v>SOL-10892</v>
      </c>
      <c r="D110" s="54">
        <v>275800</v>
      </c>
      <c r="E110" s="10" t="s">
        <v>661</v>
      </c>
      <c r="F110" s="10" t="str">
        <f t="shared" si="8"/>
        <v/>
      </c>
      <c r="G110" s="55" t="str">
        <f t="shared" si="9"/>
        <v/>
      </c>
      <c r="H110" s="67"/>
      <c r="I110" s="67" t="str">
        <f t="shared" si="10"/>
        <v/>
      </c>
      <c r="J110" s="64" t="str">
        <f t="shared" si="11"/>
        <v/>
      </c>
      <c r="K110" s="108" t="s">
        <v>1327</v>
      </c>
      <c r="L110" s="99" t="s">
        <v>1328</v>
      </c>
      <c r="M110" s="103" t="s">
        <v>1329</v>
      </c>
      <c r="N110" s="103" t="s">
        <v>1330</v>
      </c>
      <c r="O110" s="103" t="s">
        <v>1331</v>
      </c>
      <c r="P110" s="104"/>
      <c r="Q110" s="104"/>
      <c r="R110" s="104"/>
    </row>
    <row r="111" spans="1:18" ht="86.45">
      <c r="A111" s="26" t="str">
        <v>Salt Point</v>
      </c>
      <c r="B111" s="27" t="str">
        <v>NY</v>
      </c>
      <c r="C111" s="9" t="str">
        <f>Sites[[#This Row],[SOL'#]]</f>
        <v>SOL-10888</v>
      </c>
      <c r="D111" s="66">
        <v>385040</v>
      </c>
      <c r="E111" s="14" t="s">
        <v>661</v>
      </c>
      <c r="F111" s="14" t="str">
        <f t="shared" si="8"/>
        <v/>
      </c>
      <c r="G111" s="68" t="str">
        <f t="shared" si="9"/>
        <v/>
      </c>
      <c r="H111" s="69">
        <v>482846</v>
      </c>
      <c r="I111" s="69">
        <f t="shared" si="10"/>
        <v>-97806</v>
      </c>
      <c r="J111" s="68">
        <f t="shared" si="11"/>
        <v>-0.20256147922940235</v>
      </c>
      <c r="K111" s="182" t="s">
        <v>1332</v>
      </c>
      <c r="L111" s="102" t="s">
        <v>1333</v>
      </c>
      <c r="M111" s="103" t="s">
        <v>1334</v>
      </c>
      <c r="N111" s="104"/>
      <c r="O111" s="104"/>
      <c r="P111" s="104"/>
      <c r="Q111" s="104"/>
      <c r="R111" s="104"/>
    </row>
    <row r="112" spans="1:18" ht="144">
      <c r="A112" s="24" t="str">
        <v>Wheatland 2A</v>
      </c>
      <c r="B112" s="25" t="str">
        <v>NY</v>
      </c>
      <c r="C112" s="25" t="str">
        <f>Sites[[#This Row],[SOL'#]]</f>
        <v>SOL-10971</v>
      </c>
      <c r="D112" s="54">
        <v>864380</v>
      </c>
      <c r="E112" s="10" t="s">
        <v>661</v>
      </c>
      <c r="F112" s="10" t="str">
        <f t="shared" si="8"/>
        <v/>
      </c>
      <c r="G112" s="55" t="str">
        <f t="shared" si="9"/>
        <v/>
      </c>
      <c r="H112" s="67">
        <v>1095784</v>
      </c>
      <c r="I112" s="67">
        <f t="shared" si="10"/>
        <v>-231404</v>
      </c>
      <c r="J112" s="64">
        <f t="shared" si="11"/>
        <v>-0.2111766552532251</v>
      </c>
      <c r="K112" s="108" t="s">
        <v>1335</v>
      </c>
      <c r="L112" s="99" t="s">
        <v>1336</v>
      </c>
      <c r="M112" s="103" t="s">
        <v>554</v>
      </c>
      <c r="N112" s="103" t="s">
        <v>1087</v>
      </c>
      <c r="O112" s="103" t="s">
        <v>1337</v>
      </c>
      <c r="P112" s="104"/>
      <c r="Q112" s="104"/>
      <c r="R112" s="104"/>
    </row>
    <row r="113" spans="1:18" ht="28.9">
      <c r="A113" s="26" t="str">
        <v>Wheatland 2B</v>
      </c>
      <c r="B113" s="27" t="str">
        <v>NY</v>
      </c>
      <c r="C113" s="9" t="str">
        <f>Sites[[#This Row],[SOL'#]]</f>
        <v>SOL-10961</v>
      </c>
      <c r="D113" s="66">
        <v>1027920</v>
      </c>
      <c r="E113" s="14" t="s">
        <v>661</v>
      </c>
      <c r="F113" s="14" t="str">
        <f t="shared" si="8"/>
        <v/>
      </c>
      <c r="G113" s="68" t="str">
        <f t="shared" si="9"/>
        <v/>
      </c>
      <c r="H113" s="69">
        <v>1088223</v>
      </c>
      <c r="I113" s="69">
        <f t="shared" si="10"/>
        <v>-60303</v>
      </c>
      <c r="J113" s="68">
        <f t="shared" si="11"/>
        <v>-5.5414193598187139E-2</v>
      </c>
      <c r="K113" s="182" t="s">
        <v>1338</v>
      </c>
      <c r="L113" s="103" t="s">
        <v>1089</v>
      </c>
      <c r="M113" s="104"/>
      <c r="N113" s="104"/>
      <c r="O113" s="104"/>
      <c r="P113" s="104"/>
      <c r="Q113" s="104"/>
      <c r="R113" s="104"/>
    </row>
    <row r="114" spans="1:18" ht="57.6">
      <c r="A114" s="24" t="str">
        <v>Brickchurch</v>
      </c>
      <c r="B114" s="25" t="str">
        <v>NY</v>
      </c>
      <c r="C114" s="25" t="str">
        <f>Sites[[#This Row],[SOL'#]]</f>
        <v>SOL-10889</v>
      </c>
      <c r="D114" s="54">
        <v>459310</v>
      </c>
      <c r="E114" s="10">
        <v>459002</v>
      </c>
      <c r="F114" s="10">
        <f t="shared" si="8"/>
        <v>308</v>
      </c>
      <c r="G114" s="55">
        <f t="shared" si="9"/>
        <v>6.7102104130265232E-4</v>
      </c>
      <c r="H114" s="67">
        <v>502386</v>
      </c>
      <c r="I114" s="67">
        <f t="shared" si="10"/>
        <v>-43076</v>
      </c>
      <c r="J114" s="64">
        <f t="shared" si="11"/>
        <v>-8.5742835190471073E-2</v>
      </c>
      <c r="K114" s="108" t="s">
        <v>1090</v>
      </c>
      <c r="L114" s="99" t="s">
        <v>1339</v>
      </c>
      <c r="M114" s="103" t="s">
        <v>563</v>
      </c>
      <c r="N114" s="104"/>
      <c r="O114" s="104"/>
      <c r="P114" s="104"/>
      <c r="Q114" s="104"/>
      <c r="R114" s="104"/>
    </row>
    <row r="115" spans="1:18" ht="15.6">
      <c r="A115" s="26" t="str">
        <v>McCarthy Solar</v>
      </c>
      <c r="B115" s="27" t="str">
        <v>NY</v>
      </c>
      <c r="C115" s="9" t="str">
        <f>Sites[[#This Row],[SOL'#]]</f>
        <v>SOL-10992</v>
      </c>
      <c r="D115" s="66">
        <v>283530</v>
      </c>
      <c r="E115" s="14" t="s">
        <v>661</v>
      </c>
      <c r="F115" s="14" t="str">
        <f t="shared" si="8"/>
        <v/>
      </c>
      <c r="G115" s="68" t="str">
        <f t="shared" si="9"/>
        <v/>
      </c>
      <c r="H115" s="69">
        <v>418645</v>
      </c>
      <c r="I115" s="69">
        <f t="shared" si="10"/>
        <v>-135115</v>
      </c>
      <c r="J115" s="68">
        <f t="shared" si="11"/>
        <v>-0.32274361332393792</v>
      </c>
      <c r="K115" s="182" t="s">
        <v>1340</v>
      </c>
      <c r="L115" s="103" t="s">
        <v>1341</v>
      </c>
      <c r="M115" s="104"/>
      <c r="N115" s="104"/>
      <c r="O115" s="104"/>
      <c r="P115" s="104"/>
      <c r="Q115" s="104"/>
      <c r="R115" s="104"/>
    </row>
    <row r="116" spans="1:18" ht="86.45">
      <c r="A116" s="24" t="str">
        <v>Costanza</v>
      </c>
      <c r="B116" s="25" t="str">
        <v>NY</v>
      </c>
      <c r="C116" s="25" t="str">
        <f>Sites[[#This Row],[SOL'#]]</f>
        <v>SOL-10907</v>
      </c>
      <c r="D116" s="54">
        <v>364360</v>
      </c>
      <c r="E116" s="10" t="s">
        <v>661</v>
      </c>
      <c r="F116" s="10" t="str">
        <f t="shared" si="8"/>
        <v/>
      </c>
      <c r="G116" s="55" t="str">
        <f t="shared" si="9"/>
        <v/>
      </c>
      <c r="H116" s="67">
        <v>414587</v>
      </c>
      <c r="I116" s="67">
        <f t="shared" si="10"/>
        <v>-50227</v>
      </c>
      <c r="J116" s="64">
        <f t="shared" si="11"/>
        <v>-0.12114948129101974</v>
      </c>
      <c r="K116" s="108" t="s">
        <v>1342</v>
      </c>
      <c r="L116" s="99" t="s">
        <v>1343</v>
      </c>
      <c r="M116" s="103" t="s">
        <v>1344</v>
      </c>
      <c r="N116" s="103" t="s">
        <v>1345</v>
      </c>
      <c r="O116" s="104"/>
      <c r="P116" s="104"/>
      <c r="Q116" s="104"/>
      <c r="R116" s="104"/>
    </row>
    <row r="117" spans="1:18" ht="86.45">
      <c r="A117" s="26" t="str">
        <v>Lockenhurst Pond</v>
      </c>
      <c r="B117" s="27" t="str">
        <v>NY</v>
      </c>
      <c r="C117" s="9" t="str">
        <f>Sites[[#This Row],[SOL'#]]</f>
        <v>SOL-11000</v>
      </c>
      <c r="D117" s="66">
        <v>416911.283582089</v>
      </c>
      <c r="E117" s="14">
        <v>444563.9</v>
      </c>
      <c r="F117" s="14">
        <f t="shared" si="8"/>
        <v>-27652.61641791102</v>
      </c>
      <c r="G117" s="68">
        <f t="shared" si="9"/>
        <v>-6.2201668686798495E-2</v>
      </c>
      <c r="H117" s="69">
        <v>498681</v>
      </c>
      <c r="I117" s="69">
        <f t="shared" si="10"/>
        <v>-81769.716417910997</v>
      </c>
      <c r="J117" s="68">
        <f t="shared" si="11"/>
        <v>-0.16397199094794265</v>
      </c>
      <c r="K117" s="182" t="s">
        <v>1346</v>
      </c>
      <c r="L117" s="89"/>
      <c r="M117" s="104"/>
      <c r="N117" s="104"/>
      <c r="O117" s="104"/>
      <c r="P117" s="104"/>
      <c r="Q117" s="104"/>
      <c r="R117" s="104"/>
    </row>
    <row r="118" spans="1:18" ht="15.6">
      <c r="A118" s="24" t="str">
        <v>Drinkwater</v>
      </c>
      <c r="B118" s="25" t="str">
        <v>NY</v>
      </c>
      <c r="C118" s="25" t="str">
        <f>Sites[[#This Row],[SOL'#]]</f>
        <v>SOL-10896</v>
      </c>
      <c r="D118" s="54">
        <v>392340</v>
      </c>
      <c r="E118" s="10" t="s">
        <v>661</v>
      </c>
      <c r="F118" s="10" t="str">
        <f t="shared" si="8"/>
        <v/>
      </c>
      <c r="G118" s="55" t="str">
        <f t="shared" si="9"/>
        <v/>
      </c>
      <c r="H118" s="67">
        <v>416568</v>
      </c>
      <c r="I118" s="67">
        <f t="shared" si="10"/>
        <v>-24228</v>
      </c>
      <c r="J118" s="64">
        <f t="shared" si="11"/>
        <v>-5.8160972518292331E-2</v>
      </c>
      <c r="K118" s="108"/>
      <c r="L118" s="47"/>
      <c r="M118" s="104"/>
      <c r="N118" s="104"/>
      <c r="O118" s="104"/>
      <c r="P118" s="104"/>
      <c r="Q118" s="104"/>
      <c r="R118" s="104"/>
    </row>
    <row r="119" spans="1:18" ht="15.6">
      <c r="A119" s="26" t="str">
        <v>Altamont</v>
      </c>
      <c r="B119" s="27" t="str">
        <v>NY</v>
      </c>
      <c r="C119" s="9" t="str">
        <f>Sites[[#This Row],[SOL'#]]</f>
        <v>SOL-11085</v>
      </c>
      <c r="D119" s="66">
        <v>691328</v>
      </c>
      <c r="E119" s="14">
        <v>694252.9</v>
      </c>
      <c r="F119" s="14">
        <f t="shared" si="8"/>
        <v>-2924.9000000000233</v>
      </c>
      <c r="G119" s="68">
        <f t="shared" si="9"/>
        <v>-4.2130180514910682E-3</v>
      </c>
      <c r="H119" s="69">
        <v>722079.4</v>
      </c>
      <c r="I119" s="69">
        <f t="shared" si="10"/>
        <v>-30751.400000000023</v>
      </c>
      <c r="J119" s="68">
        <f t="shared" si="11"/>
        <v>-4.2587283337538813E-2</v>
      </c>
      <c r="K119" s="182"/>
      <c r="L119" s="89"/>
      <c r="M119" s="104"/>
      <c r="N119" s="104"/>
      <c r="O119" s="104"/>
      <c r="P119" s="104"/>
      <c r="Q119" s="104"/>
      <c r="R119" s="104"/>
    </row>
    <row r="120" spans="1:18" ht="28.9">
      <c r="A120" s="24" t="str">
        <v>Krumkill North</v>
      </c>
      <c r="B120" s="25" t="str">
        <v>NY</v>
      </c>
      <c r="C120" s="25" t="str">
        <f>Sites[[#This Row],[SOL'#]]</f>
        <v>SOL-11086</v>
      </c>
      <c r="D120" s="54">
        <v>713039</v>
      </c>
      <c r="E120" s="10">
        <v>821994.6</v>
      </c>
      <c r="F120" s="10">
        <f t="shared" si="8"/>
        <v>-108955.59999999998</v>
      </c>
      <c r="G120" s="55">
        <f t="shared" si="9"/>
        <v>-0.13255026249564167</v>
      </c>
      <c r="H120" s="67">
        <v>819211.9</v>
      </c>
      <c r="I120" s="67">
        <f t="shared" si="10"/>
        <v>-106172.90000000002</v>
      </c>
      <c r="J120" s="64">
        <f t="shared" si="11"/>
        <v>-0.12960370814925909</v>
      </c>
      <c r="K120" s="108" t="s">
        <v>1347</v>
      </c>
      <c r="L120" s="99" t="s">
        <v>1348</v>
      </c>
      <c r="M120" s="104"/>
      <c r="N120" s="104"/>
      <c r="O120" s="104"/>
      <c r="P120" s="104"/>
      <c r="Q120" s="104"/>
      <c r="R120" s="104"/>
    </row>
    <row r="121" spans="1:18" ht="28.9">
      <c r="A121" s="26" t="str">
        <v>Krumkill South</v>
      </c>
      <c r="B121" s="27" t="str">
        <v>NY</v>
      </c>
      <c r="C121" s="9" t="str">
        <f>Sites[[#This Row],[SOL'#]]</f>
        <v>SOL-11087</v>
      </c>
      <c r="D121" s="66">
        <v>590962</v>
      </c>
      <c r="E121" s="14">
        <v>652801.5</v>
      </c>
      <c r="F121" s="14">
        <f t="shared" si="8"/>
        <v>-61839.5</v>
      </c>
      <c r="G121" s="68">
        <f t="shared" si="9"/>
        <v>-9.4729408556812444E-2</v>
      </c>
      <c r="H121" s="69">
        <v>642237.6</v>
      </c>
      <c r="I121" s="69">
        <f t="shared" si="10"/>
        <v>-51275.599999999977</v>
      </c>
      <c r="J121" s="68">
        <f t="shared" si="11"/>
        <v>-7.9838987938420258E-2</v>
      </c>
      <c r="K121" s="182" t="s">
        <v>1349</v>
      </c>
      <c r="L121" s="103" t="s">
        <v>1350</v>
      </c>
      <c r="M121" s="104"/>
      <c r="N121" s="104"/>
      <c r="O121" s="104"/>
      <c r="P121" s="104"/>
      <c r="Q121" s="104"/>
      <c r="R121" s="104"/>
    </row>
    <row r="122" spans="1:18" ht="15.6">
      <c r="A122" s="24" t="str">
        <v>X092</v>
      </c>
      <c r="B122" s="25" t="str">
        <v>NY</v>
      </c>
      <c r="C122" s="25" t="str">
        <f>Sites[[#This Row],[SOL'#]]</f>
        <v>SOL-11189</v>
      </c>
      <c r="D122" s="54">
        <v>19330.2</v>
      </c>
      <c r="E122" s="10">
        <v>19496.43</v>
      </c>
      <c r="F122" s="10">
        <f t="shared" si="8"/>
        <v>-166.22999999999956</v>
      </c>
      <c r="G122" s="55">
        <f t="shared" si="9"/>
        <v>-8.526176330743606E-3</v>
      </c>
      <c r="H122" s="67">
        <v>22556</v>
      </c>
      <c r="I122" s="67">
        <f t="shared" si="10"/>
        <v>-3225.7999999999993</v>
      </c>
      <c r="J122" s="64">
        <f t="shared" si="11"/>
        <v>-0.14301294555772298</v>
      </c>
      <c r="K122" s="108"/>
      <c r="L122" s="47"/>
      <c r="M122" s="104"/>
      <c r="N122" s="104"/>
      <c r="O122" s="104"/>
      <c r="P122" s="104"/>
      <c r="Q122" s="104"/>
      <c r="R122" s="104"/>
    </row>
    <row r="123" spans="1:18" ht="43.15">
      <c r="A123" s="26" t="str">
        <v>X093</v>
      </c>
      <c r="B123" s="27" t="str">
        <v>NY</v>
      </c>
      <c r="C123" s="9" t="str">
        <f>Sites[[#This Row],[SOL'#]]</f>
        <v>SOL-10932</v>
      </c>
      <c r="D123" s="66">
        <v>12912.2643066406</v>
      </c>
      <c r="E123" s="14">
        <v>13336.82</v>
      </c>
      <c r="F123" s="14">
        <f t="shared" si="8"/>
        <v>-424.55569335939981</v>
      </c>
      <c r="G123" s="68">
        <f t="shared" si="9"/>
        <v>-3.1833352580255249E-2</v>
      </c>
      <c r="H123" s="69">
        <v>16028</v>
      </c>
      <c r="I123" s="69">
        <f t="shared" si="10"/>
        <v>-3115.7356933594001</v>
      </c>
      <c r="J123" s="68">
        <f t="shared" si="11"/>
        <v>-0.19439329257295981</v>
      </c>
      <c r="K123" s="182" t="s">
        <v>1351</v>
      </c>
      <c r="L123" s="102" t="s">
        <v>1352</v>
      </c>
      <c r="M123" s="103" t="s">
        <v>1353</v>
      </c>
      <c r="N123" s="104"/>
      <c r="O123" s="104"/>
      <c r="P123" s="104"/>
      <c r="Q123" s="104"/>
      <c r="R123" s="104"/>
    </row>
    <row r="124" spans="1:18" ht="86.45">
      <c r="A124" s="24" t="str">
        <v>X095</v>
      </c>
      <c r="B124" s="25" t="str">
        <v>NY</v>
      </c>
      <c r="C124" s="25" t="str">
        <f>Sites[[#This Row],[SOL'#]]</f>
        <v>SOL-10929</v>
      </c>
      <c r="D124" s="54">
        <v>19363.9609375</v>
      </c>
      <c r="E124" s="10" t="s">
        <v>661</v>
      </c>
      <c r="F124" s="10" t="str">
        <f t="shared" si="8"/>
        <v/>
      </c>
      <c r="G124" s="55" t="str">
        <f t="shared" si="9"/>
        <v/>
      </c>
      <c r="H124" s="67">
        <v>21772</v>
      </c>
      <c r="I124" s="67">
        <f t="shared" si="10"/>
        <v>-2408.0390625</v>
      </c>
      <c r="J124" s="64">
        <f t="shared" si="11"/>
        <v>-0.11060256579551718</v>
      </c>
      <c r="K124" s="108" t="s">
        <v>1354</v>
      </c>
      <c r="L124" s="99" t="s">
        <v>180</v>
      </c>
      <c r="M124" s="104"/>
      <c r="N124" s="104"/>
      <c r="O124" s="104"/>
      <c r="P124" s="104"/>
      <c r="Q124" s="104"/>
      <c r="R124" s="104"/>
    </row>
    <row r="125" spans="1:18" ht="15.6">
      <c r="A125" s="26" t="str">
        <v>X181</v>
      </c>
      <c r="B125" s="27" t="str">
        <v>NY</v>
      </c>
      <c r="C125" s="9" t="str">
        <f>Sites[[#This Row],[SOL'#]]</f>
        <v>SOL-10428</v>
      </c>
      <c r="D125" s="66">
        <v>31533.84375</v>
      </c>
      <c r="E125" s="14" t="s">
        <v>661</v>
      </c>
      <c r="F125" s="14" t="str">
        <f t="shared" si="8"/>
        <v/>
      </c>
      <c r="G125" s="68" t="str">
        <f t="shared" si="9"/>
        <v/>
      </c>
      <c r="H125" s="69">
        <v>40286</v>
      </c>
      <c r="I125" s="69">
        <f t="shared" si="10"/>
        <v>-8752.15625</v>
      </c>
      <c r="J125" s="68">
        <f t="shared" si="11"/>
        <v>-0.217250564712307</v>
      </c>
      <c r="K125" s="182" t="s">
        <v>1355</v>
      </c>
      <c r="L125" s="103" t="s">
        <v>1356</v>
      </c>
      <c r="M125" s="104"/>
      <c r="N125" s="104"/>
      <c r="O125" s="104"/>
      <c r="P125" s="104"/>
      <c r="Q125" s="104"/>
      <c r="R125" s="104"/>
    </row>
    <row r="126" spans="1:18" ht="15.6">
      <c r="A126" s="24" t="str">
        <v>X415</v>
      </c>
      <c r="B126" s="25" t="str">
        <v>NY</v>
      </c>
      <c r="C126" s="25" t="str">
        <f>Sites[[#This Row],[SOL'#]]</f>
        <v>SOL-10429</v>
      </c>
      <c r="D126" s="54">
        <v>22569.3984375</v>
      </c>
      <c r="E126" s="10" t="s">
        <v>661</v>
      </c>
      <c r="F126" s="10" t="str">
        <f t="shared" si="8"/>
        <v/>
      </c>
      <c r="G126" s="55" t="str">
        <f t="shared" si="9"/>
        <v/>
      </c>
      <c r="H126" s="67">
        <v>23788</v>
      </c>
      <c r="I126" s="67">
        <f t="shared" si="10"/>
        <v>-1218.6015625</v>
      </c>
      <c r="J126" s="64">
        <f t="shared" si="11"/>
        <v>-5.1227575353119219E-2</v>
      </c>
      <c r="K126" s="108"/>
      <c r="L126" s="47"/>
      <c r="M126" s="104"/>
      <c r="N126" s="104"/>
      <c r="O126" s="104"/>
      <c r="P126" s="104"/>
      <c r="Q126" s="104"/>
      <c r="R126" s="104"/>
    </row>
    <row r="127" spans="1:18" ht="15.6">
      <c r="A127" s="26" t="str">
        <v>K198</v>
      </c>
      <c r="B127" s="27" t="str">
        <v>NY</v>
      </c>
      <c r="C127" s="9" t="str">
        <f>Sites[[#This Row],[SOL'#]]</f>
        <v>SOL-10930</v>
      </c>
      <c r="D127" s="66">
        <v>16595.4765625</v>
      </c>
      <c r="E127" s="14">
        <v>15968.67</v>
      </c>
      <c r="F127" s="14">
        <f t="shared" si="8"/>
        <v>626.80656249999993</v>
      </c>
      <c r="G127" s="68">
        <f t="shared" si="9"/>
        <v>3.9252271009420317E-2</v>
      </c>
      <c r="H127" s="69">
        <v>18100</v>
      </c>
      <c r="I127" s="69">
        <f t="shared" si="10"/>
        <v>-1504.5234375</v>
      </c>
      <c r="J127" s="68">
        <f t="shared" si="11"/>
        <v>-8.312284185082873E-2</v>
      </c>
      <c r="K127" s="182"/>
      <c r="L127" s="89"/>
      <c r="M127" s="104"/>
      <c r="N127" s="104"/>
      <c r="O127" s="104"/>
      <c r="P127" s="104"/>
      <c r="Q127" s="104"/>
      <c r="R127" s="104"/>
    </row>
    <row r="128" spans="1:18" ht="86.45">
      <c r="A128" s="24" t="str">
        <v>K203</v>
      </c>
      <c r="B128" s="25" t="str">
        <v>NY</v>
      </c>
      <c r="C128" s="25" t="str">
        <f>Sites[[#This Row],[SOL'#]]</f>
        <v>SOL-11190</v>
      </c>
      <c r="D128" s="54">
        <v>21003.599999999999</v>
      </c>
      <c r="E128" s="10">
        <v>18798.59</v>
      </c>
      <c r="F128" s="10">
        <f t="shared" si="8"/>
        <v>2205.0099999999984</v>
      </c>
      <c r="G128" s="55">
        <f t="shared" si="9"/>
        <v>0.1172965631996867</v>
      </c>
      <c r="H128" s="67">
        <v>24585</v>
      </c>
      <c r="I128" s="67">
        <f t="shared" si="10"/>
        <v>-3581.4000000000015</v>
      </c>
      <c r="J128" s="64">
        <f t="shared" si="11"/>
        <v>-0.1456741915802319</v>
      </c>
      <c r="K128" s="108" t="s">
        <v>1346</v>
      </c>
      <c r="L128" s="47"/>
      <c r="M128" s="104"/>
      <c r="N128" s="104"/>
      <c r="O128" s="104"/>
      <c r="P128" s="104"/>
      <c r="Q128" s="104"/>
      <c r="R128" s="104"/>
    </row>
    <row r="129" spans="1:18" ht="28.9">
      <c r="A129" s="26" t="str">
        <v>K213</v>
      </c>
      <c r="B129" s="27" t="str">
        <v>NY</v>
      </c>
      <c r="C129" s="9" t="str">
        <f>Sites[[#This Row],[SOL'#]]</f>
        <v>SOL-11191</v>
      </c>
      <c r="D129" s="66">
        <v>23157.200000000001</v>
      </c>
      <c r="E129" s="14">
        <v>24726.14</v>
      </c>
      <c r="F129" s="14">
        <f t="shared" si="8"/>
        <v>-1568.9399999999987</v>
      </c>
      <c r="G129" s="68">
        <f t="shared" si="9"/>
        <v>-6.3452686104664896E-2</v>
      </c>
      <c r="H129" s="69">
        <v>25727</v>
      </c>
      <c r="I129" s="69">
        <f t="shared" si="10"/>
        <v>-2569.7999999999993</v>
      </c>
      <c r="J129" s="68">
        <f t="shared" si="11"/>
        <v>-9.988727795701012E-2</v>
      </c>
      <c r="K129" s="182" t="s">
        <v>1357</v>
      </c>
      <c r="L129" s="103" t="s">
        <v>838</v>
      </c>
      <c r="M129" s="104"/>
      <c r="N129" s="104"/>
      <c r="O129" s="104"/>
      <c r="P129" s="104"/>
      <c r="Q129" s="104"/>
      <c r="R129" s="104"/>
    </row>
    <row r="130" spans="1:18" ht="15.6">
      <c r="A130" s="24" t="str">
        <v>K217</v>
      </c>
      <c r="B130" s="25" t="str">
        <v>NY</v>
      </c>
      <c r="C130" s="25" t="str">
        <f>Sites[[#This Row],[SOL'#]]</f>
        <v>SOL-10933</v>
      </c>
      <c r="D130" s="54">
        <v>13048.0546875</v>
      </c>
      <c r="E130" s="10">
        <v>0</v>
      </c>
      <c r="F130" s="10">
        <f t="shared" si="8"/>
        <v>13048.0546875</v>
      </c>
      <c r="G130" s="55" t="str">
        <f t="shared" si="9"/>
        <v/>
      </c>
      <c r="H130" s="67">
        <v>14344</v>
      </c>
      <c r="I130" s="67">
        <f t="shared" si="10"/>
        <v>-1295.9453125</v>
      </c>
      <c r="J130" s="64">
        <f t="shared" si="11"/>
        <v>-9.034755385527049E-2</v>
      </c>
      <c r="K130" s="108"/>
      <c r="L130" s="47"/>
      <c r="M130" s="104"/>
      <c r="N130" s="104"/>
      <c r="O130" s="104"/>
      <c r="P130" s="104"/>
      <c r="Q130" s="104"/>
      <c r="R130" s="104"/>
    </row>
    <row r="131" spans="1:18" ht="15.6">
      <c r="A131" s="26" t="str">
        <v>K307</v>
      </c>
      <c r="B131" s="27" t="str">
        <v>NY</v>
      </c>
      <c r="C131" s="9" t="str">
        <f>Sites[[#This Row],[SOL'#]]</f>
        <v>SOL-10876</v>
      </c>
      <c r="D131" s="66">
        <v>26644.9921875</v>
      </c>
      <c r="E131" s="14" t="s">
        <v>661</v>
      </c>
      <c r="F131" s="14" t="str">
        <f t="shared" si="8"/>
        <v/>
      </c>
      <c r="G131" s="68" t="str">
        <f t="shared" si="9"/>
        <v/>
      </c>
      <c r="H131" s="69">
        <v>29938</v>
      </c>
      <c r="I131" s="69">
        <f t="shared" si="10"/>
        <v>-3293.0078125</v>
      </c>
      <c r="J131" s="68">
        <f t="shared" si="11"/>
        <v>-0.10999424853029595</v>
      </c>
      <c r="K131" s="182"/>
      <c r="L131" s="89"/>
      <c r="M131" s="104"/>
      <c r="N131" s="104"/>
      <c r="O131" s="104"/>
      <c r="P131" s="104"/>
      <c r="Q131" s="104"/>
      <c r="R131" s="104"/>
    </row>
    <row r="132" spans="1:18" ht="43.15">
      <c r="A132" s="24" t="str">
        <v>K610</v>
      </c>
      <c r="B132" s="25" t="str">
        <v>NY</v>
      </c>
      <c r="C132" s="25" t="str">
        <f>Sites[[#This Row],[SOL'#]]</f>
        <v>SOL-11158</v>
      </c>
      <c r="D132" s="54">
        <v>26998.1</v>
      </c>
      <c r="E132" s="10">
        <v>29381.58</v>
      </c>
      <c r="F132" s="10">
        <f t="shared" si="8"/>
        <v>-2383.4800000000032</v>
      </c>
      <c r="G132" s="55">
        <f t="shared" si="9"/>
        <v>-8.1121573448398723E-2</v>
      </c>
      <c r="H132" s="67">
        <v>34545</v>
      </c>
      <c r="I132" s="67">
        <f t="shared" si="10"/>
        <v>-7546.9000000000015</v>
      </c>
      <c r="J132" s="64">
        <f t="shared" si="11"/>
        <v>-0.21846576928643802</v>
      </c>
      <c r="K132" s="108" t="s">
        <v>1358</v>
      </c>
      <c r="L132" s="99" t="s">
        <v>1359</v>
      </c>
      <c r="M132" s="104"/>
      <c r="N132" s="104"/>
      <c r="O132" s="104"/>
      <c r="P132" s="104"/>
      <c r="Q132" s="104"/>
      <c r="R132" s="104"/>
    </row>
    <row r="133" spans="1:18" ht="201.6">
      <c r="A133" s="26" t="str">
        <v>M025</v>
      </c>
      <c r="B133" s="27" t="str">
        <v>NY</v>
      </c>
      <c r="C133" s="9" t="str">
        <f>Sites[[#This Row],[SOL'#]]</f>
        <v>SOL-10392</v>
      </c>
      <c r="D133" s="66">
        <v>14378.1796875</v>
      </c>
      <c r="E133" s="14">
        <v>27168.34</v>
      </c>
      <c r="F133" s="14">
        <f t="shared" si="8"/>
        <v>-12790.1603125</v>
      </c>
      <c r="G133" s="68">
        <f t="shared" si="9"/>
        <v>-0.4707744496903381</v>
      </c>
      <c r="H133" s="69">
        <v>29661</v>
      </c>
      <c r="I133" s="69">
        <f t="shared" si="10"/>
        <v>-15282.8203125</v>
      </c>
      <c r="J133" s="68">
        <f t="shared" si="11"/>
        <v>-0.5152496649640943</v>
      </c>
      <c r="K133" s="182" t="s">
        <v>1360</v>
      </c>
      <c r="L133" s="102" t="s">
        <v>1361</v>
      </c>
      <c r="M133" s="103" t="s">
        <v>842</v>
      </c>
      <c r="N133" s="103" t="s">
        <v>1362</v>
      </c>
      <c r="O133" s="103" t="s">
        <v>843</v>
      </c>
      <c r="P133" s="103" t="s">
        <v>1363</v>
      </c>
      <c r="Q133" s="104"/>
      <c r="R133" s="104"/>
    </row>
    <row r="134" spans="1:18" ht="15.6">
      <c r="A134" s="24" t="str">
        <v>M028</v>
      </c>
      <c r="B134" s="25" t="str">
        <v>NY</v>
      </c>
      <c r="C134" s="25" t="str">
        <f>Sites[[#This Row],[SOL'#]]</f>
        <v>SOL-10381</v>
      </c>
      <c r="D134" s="54">
        <v>21351.798828125</v>
      </c>
      <c r="E134" s="10">
        <v>20259.09</v>
      </c>
      <c r="F134" s="10">
        <f t="shared" si="8"/>
        <v>1092.7088281249999</v>
      </c>
      <c r="G134" s="55">
        <f t="shared" si="9"/>
        <v>5.3936718190451788E-2</v>
      </c>
      <c r="H134" s="67">
        <v>23402</v>
      </c>
      <c r="I134" s="67">
        <f t="shared" si="10"/>
        <v>-2050.201171875</v>
      </c>
      <c r="J134" s="64">
        <f t="shared" si="11"/>
        <v>-8.7607946836808823E-2</v>
      </c>
      <c r="K134" s="108"/>
      <c r="L134" s="47"/>
      <c r="M134" s="104"/>
      <c r="N134" s="104"/>
      <c r="O134" s="104"/>
      <c r="P134" s="104"/>
      <c r="Q134" s="104"/>
      <c r="R134" s="104"/>
    </row>
    <row r="135" spans="1:18" ht="15.6">
      <c r="A135" s="26" t="str">
        <v>Q030</v>
      </c>
      <c r="B135" s="27" t="str">
        <v>NY</v>
      </c>
      <c r="C135" s="9" t="str">
        <f>Sites[[#This Row],[SOL'#]]</f>
        <v>SOL-10878</v>
      </c>
      <c r="D135" s="66">
        <v>25762.8359375</v>
      </c>
      <c r="E135" s="14" t="s">
        <v>661</v>
      </c>
      <c r="F135" s="14" t="str">
        <f t="shared" si="8"/>
        <v/>
      </c>
      <c r="G135" s="68" t="str">
        <f t="shared" si="9"/>
        <v/>
      </c>
      <c r="H135" s="69">
        <v>27991</v>
      </c>
      <c r="I135" s="69">
        <f t="shared" si="10"/>
        <v>-2228.1640625</v>
      </c>
      <c r="J135" s="68">
        <f t="shared" si="11"/>
        <v>-7.9602874584687941E-2</v>
      </c>
      <c r="K135" s="182"/>
      <c r="L135" s="89"/>
      <c r="M135" s="104"/>
      <c r="N135" s="104"/>
      <c r="O135" s="104"/>
      <c r="P135" s="104"/>
      <c r="Q135" s="104"/>
      <c r="R135" s="104"/>
    </row>
    <row r="136" spans="1:18" ht="15.6">
      <c r="A136" s="24" t="str">
        <v>Q130</v>
      </c>
      <c r="B136" s="25" t="str">
        <v>NY</v>
      </c>
      <c r="C136" s="25" t="str">
        <f>Sites[[#This Row],[SOL'#]]</f>
        <v>SOL-10877</v>
      </c>
      <c r="D136" s="54">
        <v>14657.908984375001</v>
      </c>
      <c r="E136" s="10" t="s">
        <v>661</v>
      </c>
      <c r="F136" s="10" t="str">
        <f t="shared" si="8"/>
        <v/>
      </c>
      <c r="G136" s="55" t="str">
        <f t="shared" si="9"/>
        <v/>
      </c>
      <c r="H136" s="67">
        <v>16011.71</v>
      </c>
      <c r="I136" s="67">
        <f t="shared" si="10"/>
        <v>-1353.8010156249984</v>
      </c>
      <c r="J136" s="64">
        <f t="shared" si="11"/>
        <v>-8.4550682945481681E-2</v>
      </c>
      <c r="K136" s="108"/>
      <c r="L136" s="47"/>
      <c r="M136" s="104"/>
      <c r="N136" s="104"/>
      <c r="O136" s="104"/>
      <c r="P136" s="104"/>
      <c r="Q136" s="104"/>
      <c r="R136" s="104"/>
    </row>
    <row r="137" spans="1:18" ht="15.6">
      <c r="A137" s="26" t="str">
        <v>Q196</v>
      </c>
      <c r="B137" s="27" t="str">
        <v>NY</v>
      </c>
      <c r="C137" s="9" t="str">
        <f>Sites[[#This Row],[SOL'#]]</f>
        <v>SOL-10879</v>
      </c>
      <c r="D137" s="66">
        <v>19067.674023437499</v>
      </c>
      <c r="E137" s="14" t="s">
        <v>661</v>
      </c>
      <c r="F137" s="14" t="str">
        <f t="shared" si="8"/>
        <v/>
      </c>
      <c r="G137" s="68" t="str">
        <f t="shared" si="9"/>
        <v/>
      </c>
      <c r="H137" s="69">
        <v>20705</v>
      </c>
      <c r="I137" s="69">
        <f t="shared" si="10"/>
        <v>-1637.3259765625007</v>
      </c>
      <c r="J137" s="68">
        <f t="shared" si="11"/>
        <v>-7.9078772111205065E-2</v>
      </c>
      <c r="K137" s="182"/>
      <c r="L137" s="89"/>
      <c r="M137" s="104"/>
      <c r="N137" s="104"/>
      <c r="O137" s="104"/>
      <c r="P137" s="104"/>
      <c r="Q137" s="104"/>
      <c r="R137" s="104"/>
    </row>
    <row r="138" spans="1:18" ht="15.6">
      <c r="A138" s="24" t="str">
        <v>Q220</v>
      </c>
      <c r="B138" s="25" t="str">
        <v>NY</v>
      </c>
      <c r="C138" s="25" t="str">
        <f>Sites[[#This Row],[SOL'#]]</f>
        <v>SOL-10873</v>
      </c>
      <c r="D138" s="54">
        <v>22339.375</v>
      </c>
      <c r="E138" s="10" t="s">
        <v>661</v>
      </c>
      <c r="F138" s="10" t="str">
        <f t="shared" si="8"/>
        <v/>
      </c>
      <c r="G138" s="55" t="str">
        <f t="shared" si="9"/>
        <v/>
      </c>
      <c r="H138" s="67">
        <v>24264</v>
      </c>
      <c r="I138" s="67">
        <f t="shared" si="10"/>
        <v>-1924.625</v>
      </c>
      <c r="J138" s="64">
        <f t="shared" si="11"/>
        <v>-7.9320186284207062E-2</v>
      </c>
      <c r="K138" s="108" t="s">
        <v>1364</v>
      </c>
      <c r="L138" s="99" t="s">
        <v>1365</v>
      </c>
      <c r="M138" s="104"/>
      <c r="N138" s="104"/>
      <c r="O138" s="104"/>
      <c r="P138" s="104"/>
      <c r="Q138" s="104"/>
      <c r="R138" s="104"/>
    </row>
    <row r="139" spans="1:18" ht="28.9">
      <c r="A139" s="26" t="str">
        <v>Q205</v>
      </c>
      <c r="B139" s="27" t="str">
        <v>NY</v>
      </c>
      <c r="C139" s="9" t="str">
        <f>Sites[[#This Row],[SOL'#]]</f>
        <v>SOL-10922</v>
      </c>
      <c r="D139" s="66">
        <v>26836.78125</v>
      </c>
      <c r="E139" s="14">
        <v>31288.28</v>
      </c>
      <c r="F139" s="14">
        <f t="shared" si="8"/>
        <v>-4451.4987499999988</v>
      </c>
      <c r="G139" s="68">
        <f t="shared" si="9"/>
        <v>-0.14227368043241748</v>
      </c>
      <c r="H139" s="69">
        <v>28490</v>
      </c>
      <c r="I139" s="69">
        <f t="shared" si="10"/>
        <v>-1653.21875</v>
      </c>
      <c r="J139" s="68">
        <f t="shared" si="11"/>
        <v>-5.8028036153036151E-2</v>
      </c>
      <c r="K139" s="182" t="s">
        <v>1366</v>
      </c>
      <c r="L139" s="103" t="s">
        <v>1367</v>
      </c>
      <c r="M139" s="104"/>
      <c r="N139" s="104"/>
      <c r="O139" s="104"/>
      <c r="P139" s="104"/>
      <c r="Q139" s="104"/>
      <c r="R139" s="104"/>
    </row>
    <row r="140" spans="1:18" ht="172.9">
      <c r="A140" s="24" t="str">
        <v>Q400</v>
      </c>
      <c r="B140" s="25" t="str">
        <v>NY</v>
      </c>
      <c r="C140" s="25" t="str">
        <f>Sites[[#This Row],[SOL'#]]</f>
        <v>SOL-10871</v>
      </c>
      <c r="D140" s="54">
        <v>34967.640625</v>
      </c>
      <c r="E140" s="10" t="s">
        <v>661</v>
      </c>
      <c r="F140" s="10" t="str">
        <f t="shared" si="8"/>
        <v/>
      </c>
      <c r="G140" s="55" t="str">
        <f t="shared" si="9"/>
        <v/>
      </c>
      <c r="H140" s="67">
        <v>47087</v>
      </c>
      <c r="I140" s="67">
        <f t="shared" si="10"/>
        <v>-12119.359375</v>
      </c>
      <c r="J140" s="64">
        <f t="shared" si="11"/>
        <v>-0.25738227907915134</v>
      </c>
      <c r="K140" s="108" t="s">
        <v>1368</v>
      </c>
      <c r="L140" s="99" t="s">
        <v>1369</v>
      </c>
      <c r="M140" s="103" t="s">
        <v>1370</v>
      </c>
      <c r="N140" s="103" t="s">
        <v>1371</v>
      </c>
      <c r="O140" s="103" t="s">
        <v>1372</v>
      </c>
      <c r="P140" s="103" t="s">
        <v>1373</v>
      </c>
      <c r="Q140" s="104"/>
      <c r="R140" s="104"/>
    </row>
    <row r="141" spans="1:18" ht="28.9">
      <c r="A141" s="26" t="str">
        <v>R003</v>
      </c>
      <c r="B141" s="27" t="str">
        <v>NY</v>
      </c>
      <c r="C141" s="9" t="str">
        <f>Sites[[#This Row],[SOL'#]]</f>
        <v>SOL-10416</v>
      </c>
      <c r="D141" s="66">
        <v>35472.33625</v>
      </c>
      <c r="E141" s="14">
        <v>31288</v>
      </c>
      <c r="F141" s="14">
        <f t="shared" si="8"/>
        <v>4184.3362500000003</v>
      </c>
      <c r="G141" s="68">
        <f t="shared" si="9"/>
        <v>0.13373613685758118</v>
      </c>
      <c r="H141" s="69">
        <v>42621</v>
      </c>
      <c r="I141" s="69">
        <f t="shared" si="10"/>
        <v>-7148.6637499999997</v>
      </c>
      <c r="J141" s="68">
        <f t="shared" si="11"/>
        <v>-0.16772632622416178</v>
      </c>
      <c r="K141" s="182" t="s">
        <v>1374</v>
      </c>
      <c r="L141" s="103" t="s">
        <v>1375</v>
      </c>
      <c r="M141" s="104"/>
      <c r="N141" s="104"/>
      <c r="O141" s="104"/>
      <c r="P141" s="104"/>
      <c r="Q141" s="104"/>
      <c r="R141" s="104"/>
    </row>
    <row r="142" spans="1:18" ht="15.6">
      <c r="A142" s="24" t="str">
        <v>R007</v>
      </c>
      <c r="B142" s="25" t="str">
        <v>NY</v>
      </c>
      <c r="C142" s="25" t="str">
        <f>Sites[[#This Row],[SOL'#]]</f>
        <v>SOL-10417</v>
      </c>
      <c r="D142" s="54">
        <v>40259.140625</v>
      </c>
      <c r="E142" s="10">
        <v>39836.050000000003</v>
      </c>
      <c r="F142" s="10">
        <f t="shared" si="8"/>
        <v>423.09062499999709</v>
      </c>
      <c r="G142" s="55">
        <f t="shared" si="9"/>
        <v>1.0620797619241795E-2</v>
      </c>
      <c r="H142" s="67">
        <v>45310.59</v>
      </c>
      <c r="I142" s="67">
        <f t="shared" si="10"/>
        <v>-5051.4493749999965</v>
      </c>
      <c r="J142" s="64">
        <f t="shared" si="11"/>
        <v>-0.1114849613523019</v>
      </c>
      <c r="K142" s="108"/>
      <c r="L142" s="47"/>
      <c r="M142" s="104"/>
      <c r="N142" s="104"/>
      <c r="O142" s="104"/>
      <c r="P142" s="104"/>
      <c r="Q142" s="104"/>
      <c r="R142" s="104"/>
    </row>
    <row r="143" spans="1:18" ht="28.9">
      <c r="A143" s="26" t="str">
        <v>BK16</v>
      </c>
      <c r="B143" s="27" t="str">
        <v>NY</v>
      </c>
      <c r="C143" s="9" t="str">
        <f>Sites[[#This Row],[SOL'#]]</f>
        <v>SOL-11093</v>
      </c>
      <c r="D143" s="66">
        <v>40757.8125</v>
      </c>
      <c r="E143" s="14" t="s">
        <v>661</v>
      </c>
      <c r="F143" s="14" t="str">
        <f t="shared" si="8"/>
        <v/>
      </c>
      <c r="G143" s="68" t="str">
        <f t="shared" si="9"/>
        <v/>
      </c>
      <c r="H143" s="69">
        <v>45236</v>
      </c>
      <c r="I143" s="69">
        <f t="shared" si="10"/>
        <v>-4478.1875</v>
      </c>
      <c r="J143" s="68">
        <f t="shared" si="11"/>
        <v>-9.8996098240339558E-2</v>
      </c>
      <c r="K143" s="182" t="s">
        <v>1376</v>
      </c>
      <c r="L143" s="103" t="s">
        <v>1377</v>
      </c>
      <c r="M143" s="104"/>
      <c r="N143" s="104"/>
      <c r="O143" s="104"/>
      <c r="P143" s="104"/>
      <c r="Q143" s="104"/>
      <c r="R143" s="104"/>
    </row>
    <row r="144" spans="1:18" ht="100.9">
      <c r="A144" s="24" t="str">
        <v>Trenton - Trenton East</v>
      </c>
      <c r="B144" s="25" t="str">
        <v>IL</v>
      </c>
      <c r="C144" s="25" t="str">
        <f>Sites[[#This Row],[SOL'#]]</f>
        <v>SOL-11060</v>
      </c>
      <c r="D144" s="54">
        <v>404610</v>
      </c>
      <c r="E144" s="10">
        <v>424129.5</v>
      </c>
      <c r="F144" s="10">
        <f t="shared" si="8"/>
        <v>-19519.5</v>
      </c>
      <c r="G144" s="55">
        <f t="shared" si="9"/>
        <v>-4.60225002033577E-2</v>
      </c>
      <c r="H144" s="67">
        <v>529693</v>
      </c>
      <c r="I144" s="67">
        <f t="shared" si="10"/>
        <v>-125083</v>
      </c>
      <c r="J144" s="64">
        <f t="shared" si="11"/>
        <v>-0.23614244477461474</v>
      </c>
      <c r="K144" s="108" t="s">
        <v>1122</v>
      </c>
      <c r="L144" s="99" t="s">
        <v>1123</v>
      </c>
      <c r="M144" s="104"/>
      <c r="N144" s="104"/>
      <c r="O144" s="104"/>
      <c r="P144" s="104"/>
      <c r="Q144" s="104"/>
      <c r="R144" s="104"/>
    </row>
    <row r="145" spans="1:18" ht="28.9">
      <c r="A145" s="26" t="str">
        <v>Trenton - Trenton West</v>
      </c>
      <c r="B145" s="27" t="str">
        <v>IL</v>
      </c>
      <c r="C145" s="9" t="str">
        <f>Sites[[#This Row],[SOL'#]]</f>
        <v>SOL-11061</v>
      </c>
      <c r="D145" s="66">
        <v>190756.05244172999</v>
      </c>
      <c r="E145" s="14">
        <v>284524.2</v>
      </c>
      <c r="F145" s="14">
        <f t="shared" si="8"/>
        <v>-93768.147558270022</v>
      </c>
      <c r="G145" s="68">
        <f t="shared" si="9"/>
        <v>-0.32956123787807862</v>
      </c>
      <c r="H145" s="69">
        <v>528624</v>
      </c>
      <c r="I145" s="69">
        <f t="shared" si="10"/>
        <v>-337867.94755827001</v>
      </c>
      <c r="J145" s="68">
        <f t="shared" si="11"/>
        <v>-0.6391460613938641</v>
      </c>
      <c r="K145" s="182" t="s">
        <v>1378</v>
      </c>
      <c r="L145" s="103" t="s">
        <v>1125</v>
      </c>
      <c r="M145" s="104"/>
      <c r="N145" s="104"/>
      <c r="O145" s="104"/>
      <c r="P145" s="104"/>
      <c r="Q145" s="104"/>
      <c r="R145" s="104"/>
    </row>
    <row r="146" spans="1:18" ht="15.6">
      <c r="A146" s="24" t="str">
        <v>Dakota - Dakota Solar 1</v>
      </c>
      <c r="B146" s="25" t="str">
        <v>IL</v>
      </c>
      <c r="C146" s="25" t="str">
        <f>Sites[[#This Row],[SOL'#]]</f>
        <v>SOL-11113</v>
      </c>
      <c r="D146" s="54">
        <v>532897</v>
      </c>
      <c r="E146" s="10">
        <v>637314.1</v>
      </c>
      <c r="F146" s="10">
        <f t="shared" si="8"/>
        <v>-104417.09999999998</v>
      </c>
      <c r="G146" s="55">
        <f t="shared" si="9"/>
        <v>-0.16383930623847798</v>
      </c>
      <c r="H146" s="67">
        <v>0</v>
      </c>
      <c r="I146" s="67">
        <f t="shared" si="10"/>
        <v>532897</v>
      </c>
      <c r="J146" s="64" t="str">
        <f t="shared" si="11"/>
        <v/>
      </c>
      <c r="K146" s="108"/>
      <c r="L146" s="47"/>
      <c r="M146" s="104"/>
      <c r="N146" s="104"/>
      <c r="O146" s="104"/>
      <c r="P146" s="104"/>
      <c r="Q146" s="104"/>
      <c r="R146" s="104"/>
    </row>
    <row r="147" spans="1:18" ht="15.6">
      <c r="A147" s="26" t="str">
        <v>X018</v>
      </c>
      <c r="B147" s="27" t="str">
        <v>NY</v>
      </c>
      <c r="C147" s="9" t="str">
        <f>Sites[[#This Row],[SOL'#]]</f>
        <v>SOL-10418</v>
      </c>
      <c r="D147" s="66">
        <v>15981.2804296875</v>
      </c>
      <c r="E147" s="14">
        <v>12217.07</v>
      </c>
      <c r="F147" s="14">
        <f t="shared" si="8"/>
        <v>3764.2104296875004</v>
      </c>
      <c r="G147" s="68">
        <f t="shared" si="9"/>
        <v>0.30811073601833339</v>
      </c>
      <c r="H147" s="69">
        <v>22996</v>
      </c>
      <c r="I147" s="69">
        <f t="shared" si="10"/>
        <v>-7014.7195703124999</v>
      </c>
      <c r="J147" s="68">
        <f t="shared" si="11"/>
        <v>-0.30504085798888936</v>
      </c>
      <c r="K147" s="182"/>
      <c r="L147" s="89"/>
      <c r="M147" s="104"/>
      <c r="N147" s="104"/>
      <c r="O147" s="104"/>
      <c r="P147" s="104"/>
      <c r="Q147" s="104"/>
      <c r="R147" s="104"/>
    </row>
    <row r="148" spans="1:18" ht="28.9">
      <c r="A148" s="24" t="str">
        <v>Janiak Solar</v>
      </c>
      <c r="B148" s="25" t="str">
        <v>NY</v>
      </c>
      <c r="C148" s="25" t="str">
        <f>Sites[[#This Row],[SOL'#]]</f>
        <v>SOL-10898</v>
      </c>
      <c r="D148" s="54">
        <v>361767</v>
      </c>
      <c r="E148" s="10">
        <v>384116.3</v>
      </c>
      <c r="F148" s="10">
        <f t="shared" si="8"/>
        <v>-22349.299999999988</v>
      </c>
      <c r="G148" s="55">
        <f t="shared" si="9"/>
        <v>-5.8183680307240256E-2</v>
      </c>
      <c r="H148" s="67">
        <v>426374</v>
      </c>
      <c r="I148" s="67">
        <f t="shared" si="10"/>
        <v>-64607</v>
      </c>
      <c r="J148" s="64">
        <f t="shared" si="11"/>
        <v>-0.15152659402308771</v>
      </c>
      <c r="K148" s="108" t="s">
        <v>1379</v>
      </c>
      <c r="L148" s="99" t="s">
        <v>1380</v>
      </c>
      <c r="M148" s="104"/>
      <c r="N148" s="104"/>
      <c r="O148" s="104"/>
      <c r="P148" s="104"/>
      <c r="Q148" s="104"/>
      <c r="R148" s="104"/>
    </row>
    <row r="149" spans="1:18" ht="100.9">
      <c r="A149" s="26" t="str">
        <v>County Route 11B</v>
      </c>
      <c r="B149" s="27" t="str">
        <v>NY</v>
      </c>
      <c r="C149" s="9" t="str">
        <f>Sites[[#This Row],[SOL'#]]</f>
        <v>SOL-10983</v>
      </c>
      <c r="D149" s="66">
        <v>108145</v>
      </c>
      <c r="E149" s="14" t="s">
        <v>661</v>
      </c>
      <c r="F149" s="14" t="str">
        <f t="shared" si="8"/>
        <v/>
      </c>
      <c r="G149" s="68" t="str">
        <f t="shared" si="9"/>
        <v/>
      </c>
      <c r="H149" s="127" t="s">
        <v>941</v>
      </c>
      <c r="I149" s="69" t="str">
        <f t="shared" si="10"/>
        <v/>
      </c>
      <c r="J149" s="68" t="str">
        <f t="shared" si="11"/>
        <v/>
      </c>
      <c r="K149" s="182" t="s">
        <v>1381</v>
      </c>
      <c r="L149" s="102" t="s">
        <v>1382</v>
      </c>
      <c r="M149" s="103" t="s">
        <v>1383</v>
      </c>
      <c r="N149" s="104"/>
      <c r="O149" s="104"/>
      <c r="P149" s="104"/>
      <c r="Q149" s="104"/>
      <c r="R149" s="104"/>
    </row>
    <row r="150" spans="1:18" ht="129.6">
      <c r="A150" s="24" t="str">
        <v>Barone</v>
      </c>
      <c r="B150" s="25" t="str">
        <v>NY</v>
      </c>
      <c r="C150" s="25" t="str">
        <f>Sites[[#This Row],[SOL'#]]</f>
        <v>SOL-11034</v>
      </c>
      <c r="D150" s="54">
        <v>116276</v>
      </c>
      <c r="E150" s="10" t="s">
        <v>661</v>
      </c>
      <c r="F150" s="10" t="str">
        <f t="shared" si="8"/>
        <v/>
      </c>
      <c r="G150" s="55" t="str">
        <f t="shared" si="9"/>
        <v/>
      </c>
      <c r="H150" s="67">
        <v>233057</v>
      </c>
      <c r="I150" s="67">
        <f t="shared" si="10"/>
        <v>-116781</v>
      </c>
      <c r="J150" s="64">
        <f t="shared" si="11"/>
        <v>-0.5010834259430097</v>
      </c>
      <c r="K150" s="108" t="s">
        <v>1384</v>
      </c>
      <c r="L150" s="99" t="s">
        <v>1385</v>
      </c>
      <c r="M150" s="103" t="s">
        <v>1386</v>
      </c>
      <c r="N150" s="103" t="s">
        <v>1387</v>
      </c>
      <c r="O150" s="104"/>
      <c r="P150" s="104"/>
      <c r="Q150" s="104"/>
      <c r="R150" s="104"/>
    </row>
    <row r="151" spans="1:18" ht="15.6">
      <c r="A151" s="26" t="str">
        <v>Cedarville</v>
      </c>
      <c r="B151" s="27" t="str">
        <v>IL</v>
      </c>
      <c r="C151" s="9" t="str">
        <f>Sites[[#This Row],[SOL'#]]</f>
        <v>SOL-11069</v>
      </c>
      <c r="D151" s="66">
        <v>442351</v>
      </c>
      <c r="E151" s="14">
        <v>418595.1</v>
      </c>
      <c r="F151" s="14">
        <f t="shared" si="8"/>
        <v>23755.900000000023</v>
      </c>
      <c r="G151" s="68">
        <f t="shared" si="9"/>
        <v>5.6751500435623888E-2</v>
      </c>
      <c r="H151" s="69">
        <v>542601.1</v>
      </c>
      <c r="I151" s="69">
        <f t="shared" si="10"/>
        <v>-100250.09999999998</v>
      </c>
      <c r="J151" s="68">
        <f t="shared" si="11"/>
        <v>-0.18475837959045785</v>
      </c>
      <c r="K151" s="182" t="s">
        <v>1388</v>
      </c>
      <c r="L151" s="103" t="s">
        <v>1389</v>
      </c>
      <c r="M151" s="104"/>
      <c r="N151" s="104"/>
      <c r="O151" s="104"/>
      <c r="P151" s="104"/>
      <c r="Q151" s="104"/>
      <c r="R151" s="104"/>
    </row>
    <row r="152" spans="1:18" ht="28.9">
      <c r="A152" s="24" t="str">
        <v xml:space="preserve"> O'Brien Hill #1</v>
      </c>
      <c r="B152" s="25" t="str">
        <v>NY</v>
      </c>
      <c r="C152" s="25" t="str">
        <f>Sites[[#This Row],[SOL'#]]</f>
        <v>SOL-11098</v>
      </c>
      <c r="D152" s="54">
        <v>0</v>
      </c>
      <c r="E152" s="10" t="s">
        <v>661</v>
      </c>
      <c r="F152" s="10" t="str">
        <f t="shared" si="8"/>
        <v/>
      </c>
      <c r="G152" s="55" t="str">
        <f t="shared" si="9"/>
        <v/>
      </c>
      <c r="H152" s="128" t="s">
        <v>661</v>
      </c>
      <c r="I152" s="67" t="str">
        <f t="shared" si="10"/>
        <v/>
      </c>
      <c r="J152" s="64" t="str">
        <f t="shared" si="11"/>
        <v/>
      </c>
      <c r="K152" s="108" t="s">
        <v>1390</v>
      </c>
      <c r="L152" s="99" t="s">
        <v>1391</v>
      </c>
      <c r="M152" s="103" t="s">
        <v>877</v>
      </c>
      <c r="N152" s="104"/>
      <c r="O152" s="104"/>
      <c r="P152" s="104"/>
      <c r="Q152" s="104"/>
      <c r="R152" s="104"/>
    </row>
    <row r="153" spans="1:18" ht="86.45">
      <c r="A153" s="26" t="str">
        <v xml:space="preserve"> O'Brien Hill #2</v>
      </c>
      <c r="B153" s="27" t="str">
        <v>NY</v>
      </c>
      <c r="C153" s="9" t="str">
        <f>Sites[[#This Row],[SOL'#]]</f>
        <v>SOL-11099</v>
      </c>
      <c r="D153" s="66">
        <v>140669</v>
      </c>
      <c r="E153" s="14" t="s">
        <v>661</v>
      </c>
      <c r="F153" s="14" t="str">
        <f t="shared" si="8"/>
        <v/>
      </c>
      <c r="G153" s="68" t="str">
        <f t="shared" si="9"/>
        <v/>
      </c>
      <c r="H153" s="69">
        <v>288848</v>
      </c>
      <c r="I153" s="69">
        <f t="shared" si="10"/>
        <v>-148179</v>
      </c>
      <c r="J153" s="68">
        <f t="shared" si="11"/>
        <v>-0.51299991691131663</v>
      </c>
      <c r="K153" s="182" t="s">
        <v>1392</v>
      </c>
      <c r="L153" s="102" t="s">
        <v>1393</v>
      </c>
      <c r="M153" s="103" t="s">
        <v>1394</v>
      </c>
      <c r="N153" s="103" t="s">
        <v>1395</v>
      </c>
      <c r="O153" s="104"/>
      <c r="P153" s="104"/>
      <c r="Q153" s="104"/>
      <c r="R153" s="104"/>
    </row>
    <row r="154" spans="1:18" ht="72">
      <c r="A154" s="24" t="str">
        <v>Trinity - Freeport</v>
      </c>
      <c r="B154" s="25" t="str">
        <v>IL</v>
      </c>
      <c r="C154" s="25" t="str">
        <f>Sites[[#This Row],[SOL'#]]</f>
        <v>SOL-11057</v>
      </c>
      <c r="D154" s="54">
        <v>481318</v>
      </c>
      <c r="E154" s="10">
        <v>411109.6</v>
      </c>
      <c r="F154" s="10">
        <f t="shared" si="8"/>
        <v>70208.400000000023</v>
      </c>
      <c r="G154" s="55">
        <f t="shared" si="9"/>
        <v>0.17077781691305682</v>
      </c>
      <c r="H154" s="67">
        <v>544048</v>
      </c>
      <c r="I154" s="67">
        <f t="shared" si="10"/>
        <v>-62730</v>
      </c>
      <c r="J154" s="64">
        <f t="shared" si="11"/>
        <v>-0.11530232626532953</v>
      </c>
      <c r="K154" s="108" t="s">
        <v>1396</v>
      </c>
      <c r="L154" s="99" t="s">
        <v>1397</v>
      </c>
      <c r="M154" s="103" t="s">
        <v>884</v>
      </c>
      <c r="N154" s="103" t="s">
        <v>1398</v>
      </c>
      <c r="O154" s="104"/>
      <c r="P154" s="104"/>
      <c r="Q154" s="104"/>
      <c r="R154" s="104"/>
    </row>
    <row r="155" spans="1:18" ht="201.6">
      <c r="A155" s="26" t="str">
        <v>Ransom</v>
      </c>
      <c r="B155" s="27" t="str">
        <v>NY</v>
      </c>
      <c r="C155" s="9" t="str">
        <f>Sites[[#This Row],[SOL'#]]</f>
        <v>SOL-11157</v>
      </c>
      <c r="D155" s="66">
        <v>156931</v>
      </c>
      <c r="E155" s="14" t="s">
        <v>661</v>
      </c>
      <c r="F155" s="14" t="str">
        <f t="shared" ref="F155:F157" si="12">IF(AND(ISNUMBER(D155),ISNUMBER(E155)), D155-E155, "")</f>
        <v/>
      </c>
      <c r="G155" s="68" t="str">
        <f t="shared" si="9"/>
        <v/>
      </c>
      <c r="H155" s="69">
        <v>326042</v>
      </c>
      <c r="I155" s="69">
        <f t="shared" si="10"/>
        <v>-169111</v>
      </c>
      <c r="J155" s="68">
        <f t="shared" si="11"/>
        <v>-0.51867857515289439</v>
      </c>
      <c r="K155" s="182" t="s">
        <v>1399</v>
      </c>
      <c r="L155" s="102" t="s">
        <v>1400</v>
      </c>
      <c r="M155" s="103" t="s">
        <v>1401</v>
      </c>
      <c r="N155" s="103" t="s">
        <v>1402</v>
      </c>
      <c r="O155" s="103" t="s">
        <v>1403</v>
      </c>
      <c r="P155" s="103" t="s">
        <v>1404</v>
      </c>
      <c r="Q155" s="104"/>
      <c r="R155" s="104"/>
    </row>
    <row r="156" spans="1:18" ht="57.6">
      <c r="A156" s="24" t="str">
        <v>Horseheads - Wedge</v>
      </c>
      <c r="B156" s="25" t="str">
        <v>NY</v>
      </c>
      <c r="C156" s="25" t="str">
        <f>Sites[[#This Row],[SOL'#]]</f>
        <v>SOL-11160</v>
      </c>
      <c r="D156" s="54">
        <v>165061</v>
      </c>
      <c r="E156" s="10" t="s">
        <v>661</v>
      </c>
      <c r="F156" s="10" t="str">
        <f t="shared" si="12"/>
        <v/>
      </c>
      <c r="G156" s="55" t="str">
        <f t="shared" ref="G156:G157" si="13">IFERROR(F156/E156, "")</f>
        <v/>
      </c>
      <c r="H156" s="67">
        <v>344639</v>
      </c>
      <c r="I156" s="67">
        <f t="shared" si="10"/>
        <v>-179578</v>
      </c>
      <c r="J156" s="64">
        <f t="shared" si="11"/>
        <v>-0.52106116835297223</v>
      </c>
      <c r="K156" s="108" t="s">
        <v>1405</v>
      </c>
      <c r="L156" s="99" t="s">
        <v>1406</v>
      </c>
      <c r="M156" s="104"/>
      <c r="N156" s="104"/>
      <c r="O156" s="104"/>
      <c r="P156" s="104"/>
      <c r="Q156" s="104"/>
      <c r="R156" s="104"/>
    </row>
    <row r="157" spans="1:18" ht="172.9">
      <c r="A157" s="26" t="str">
        <v>Otisville - Shoddy Hollow</v>
      </c>
      <c r="B157" s="27" t="str">
        <v>NY</v>
      </c>
      <c r="C157" s="9" t="str">
        <f>Sites[[#This Row],[SOL'#]]</f>
        <v>SOL-11185</v>
      </c>
      <c r="D157" s="66">
        <v>173192</v>
      </c>
      <c r="E157" s="14" t="s">
        <v>661</v>
      </c>
      <c r="F157" s="14" t="str">
        <f t="shared" si="12"/>
        <v/>
      </c>
      <c r="G157" s="68" t="str">
        <f t="shared" si="13"/>
        <v/>
      </c>
      <c r="H157" s="69">
        <v>363236</v>
      </c>
      <c r="I157" s="69">
        <f t="shared" si="10"/>
        <v>-190044</v>
      </c>
      <c r="J157" s="68">
        <f t="shared" si="11"/>
        <v>-0.52319703994097499</v>
      </c>
      <c r="K157" s="182" t="s">
        <v>1407</v>
      </c>
      <c r="L157" s="102" t="s">
        <v>1408</v>
      </c>
      <c r="M157" s="103" t="s">
        <v>1409</v>
      </c>
      <c r="N157" s="103" t="s">
        <v>1410</v>
      </c>
      <c r="O157" s="103" t="s">
        <v>1411</v>
      </c>
      <c r="P157" s="103" t="s">
        <v>1412</v>
      </c>
      <c r="Q157" s="104"/>
      <c r="R157" s="104"/>
    </row>
    <row r="158" spans="1:18" ht="28.9">
      <c r="A158" s="24" t="str">
        <v>Wellsville - Chenunda Creek</v>
      </c>
      <c r="B158" s="25" t="str">
        <v>NY</v>
      </c>
      <c r="C158" s="25" t="str">
        <f>Sites[[#This Row],[SOL'#]]</f>
        <v>SOL-11187</v>
      </c>
      <c r="D158" s="54">
        <v>181323</v>
      </c>
      <c r="E158" s="10" t="s">
        <v>661</v>
      </c>
      <c r="F158" s="10" t="str">
        <f t="shared" ref="F158:F164" si="14">IF(AND(ISNUMBER(D158),ISNUMBER(E158)), D158-E158, "")</f>
        <v/>
      </c>
      <c r="G158" s="55" t="str">
        <f t="shared" ref="G158:G164" si="15">IFERROR(F158/E158, "")</f>
        <v/>
      </c>
      <c r="H158" s="67">
        <v>381833</v>
      </c>
      <c r="I158" s="67">
        <f t="shared" ref="I158:I164" si="16">IF(AND(ISNUMBER(D158),ISNUMBER(H158)), D158-H158, "")</f>
        <v>-200510</v>
      </c>
      <c r="J158" s="64">
        <f t="shared" ref="J158:J164" si="17">IFERROR(I158/H158, "")</f>
        <v>-0.52512485824954891</v>
      </c>
      <c r="K158" s="108" t="s">
        <v>1413</v>
      </c>
      <c r="L158" s="99" t="s">
        <v>1414</v>
      </c>
      <c r="M158" s="104"/>
      <c r="N158" s="104"/>
      <c r="O158" s="104"/>
      <c r="P158" s="104"/>
      <c r="Q158" s="104"/>
      <c r="R158" s="104"/>
    </row>
    <row r="159" spans="1:18" ht="44.65" customHeight="1">
      <c r="A159" s="26" t="str">
        <v>DC: Washington - Essex Condominium</v>
      </c>
      <c r="B159" s="27" t="str">
        <v>DC</v>
      </c>
      <c r="C159" s="66" t="str">
        <f>Sites[[#This Row],[SOL'#]]</f>
        <v>SOL-10036</v>
      </c>
      <c r="D159" s="66">
        <v>4453</v>
      </c>
      <c r="E159" s="14">
        <v>5876.9309999999996</v>
      </c>
      <c r="F159" s="14">
        <f t="shared" si="14"/>
        <v>-1423.9309999999996</v>
      </c>
      <c r="G159" s="68">
        <f t="shared" si="15"/>
        <v>-0.24229159743410289</v>
      </c>
      <c r="H159" s="69">
        <v>5419.4120000000003</v>
      </c>
      <c r="I159" s="69">
        <f t="shared" si="16"/>
        <v>-966.41200000000026</v>
      </c>
      <c r="J159" s="68">
        <f t="shared" si="17"/>
        <v>-0.17832414291439738</v>
      </c>
      <c r="K159" s="182" t="s">
        <v>1182</v>
      </c>
      <c r="L159" s="102"/>
      <c r="M159" s="103"/>
      <c r="N159" s="103"/>
      <c r="O159" s="103"/>
      <c r="P159" s="103"/>
      <c r="Q159" s="104"/>
      <c r="R159" s="104"/>
    </row>
    <row r="160" spans="1:18" ht="86.45">
      <c r="A160" s="24" t="str">
        <v>HI: Waipahu - 94-246 Leoku St - E.F.G.</v>
      </c>
      <c r="B160" s="25" t="str">
        <v>HI</v>
      </c>
      <c r="C160" s="25" t="str">
        <f>Sites[[#This Row],[SOL'#]]</f>
        <v>SOL-10071</v>
      </c>
      <c r="D160" s="54">
        <v>6506</v>
      </c>
      <c r="E160" s="10">
        <v>11997</v>
      </c>
      <c r="F160" s="10">
        <f t="shared" si="14"/>
        <v>-5491</v>
      </c>
      <c r="G160" s="55">
        <f t="shared" si="15"/>
        <v>-0.45769775777277655</v>
      </c>
      <c r="H160" s="67">
        <v>13161</v>
      </c>
      <c r="I160" s="67">
        <f t="shared" si="16"/>
        <v>-6655</v>
      </c>
      <c r="J160" s="64">
        <f t="shared" si="17"/>
        <v>-0.50566066408327637</v>
      </c>
      <c r="K160" s="108" t="s">
        <v>1415</v>
      </c>
      <c r="L160" s="101" t="s">
        <v>1416</v>
      </c>
      <c r="M160" s="104"/>
      <c r="N160" s="104"/>
      <c r="O160" s="104"/>
      <c r="P160" s="104"/>
      <c r="Q160" s="104"/>
      <c r="R160" s="104"/>
    </row>
    <row r="161" spans="1:18" ht="15.6">
      <c r="A161" s="26" t="str">
        <v>HI: Waipahu - 94-099 Waipahu St - PV</v>
      </c>
      <c r="B161" s="27" t="str">
        <v>HI</v>
      </c>
      <c r="C161" s="66" t="str">
        <f>Sites[[#This Row],[SOL'#]]</f>
        <v>SOL-10068</v>
      </c>
      <c r="D161" s="66">
        <v>13229</v>
      </c>
      <c r="E161" s="14">
        <v>10354</v>
      </c>
      <c r="F161" s="14">
        <f t="shared" si="14"/>
        <v>2875</v>
      </c>
      <c r="G161" s="68">
        <f t="shared" si="15"/>
        <v>0.27767046552057179</v>
      </c>
      <c r="H161" s="69">
        <v>13154</v>
      </c>
      <c r="I161" s="69">
        <f t="shared" si="16"/>
        <v>75</v>
      </c>
      <c r="J161" s="68">
        <f t="shared" si="17"/>
        <v>5.7016876995590691E-3</v>
      </c>
      <c r="K161" s="182"/>
      <c r="L161" s="102"/>
      <c r="M161" s="104"/>
      <c r="N161" s="104"/>
      <c r="O161" s="104"/>
      <c r="P161" s="104"/>
      <c r="Q161" s="104"/>
      <c r="R161" s="104"/>
    </row>
    <row r="162" spans="1:18" ht="15.6">
      <c r="A162" s="24" t="str">
        <v>IL: Prophetstown - 5170 Yager Road (PW)</v>
      </c>
      <c r="B162" s="25" t="str">
        <v>IL</v>
      </c>
      <c r="C162" s="25" t="str">
        <f>Sites[[#This Row],[SOL'#]]</f>
        <v>SOL-11149</v>
      </c>
      <c r="D162" s="54"/>
      <c r="E162" s="10"/>
      <c r="F162" s="10" t="str">
        <f t="shared" si="14"/>
        <v/>
      </c>
      <c r="G162" s="55" t="str">
        <f t="shared" si="15"/>
        <v/>
      </c>
      <c r="H162" s="67"/>
      <c r="I162" s="67" t="str">
        <f t="shared" si="16"/>
        <v/>
      </c>
      <c r="J162" s="64" t="str">
        <f t="shared" si="17"/>
        <v/>
      </c>
      <c r="K162" s="108"/>
      <c r="L162" s="101"/>
      <c r="M162" s="104"/>
      <c r="N162" s="104"/>
      <c r="O162" s="104"/>
      <c r="P162" s="104"/>
      <c r="Q162" s="104"/>
      <c r="R162" s="104"/>
    </row>
    <row r="163" spans="1:18" ht="15.6">
      <c r="A163" s="26" t="str">
        <v>IL: Viola - Goldenrod - (PW)</v>
      </c>
      <c r="B163" s="27" t="str">
        <v>IL</v>
      </c>
      <c r="C163" s="66" t="str">
        <f>Sites[[#This Row],[SOL'#]]</f>
        <v>SOL-11132</v>
      </c>
      <c r="D163" s="66"/>
      <c r="E163" s="14"/>
      <c r="F163" s="14" t="str">
        <f t="shared" si="14"/>
        <v/>
      </c>
      <c r="G163" s="68" t="str">
        <f t="shared" si="15"/>
        <v/>
      </c>
      <c r="H163" s="69"/>
      <c r="I163" s="69" t="str">
        <f t="shared" si="16"/>
        <v/>
      </c>
      <c r="J163" s="68" t="str">
        <f t="shared" si="17"/>
        <v/>
      </c>
      <c r="K163" s="182"/>
      <c r="L163" s="102"/>
    </row>
    <row r="164" spans="1:18" ht="15.6">
      <c r="A164" s="24" t="str">
        <v>IL: Marengo - Grant - (PW)</v>
      </c>
      <c r="B164" s="25" t="str">
        <v>IL</v>
      </c>
      <c r="C164" s="25" t="str">
        <f>Sites[[#This Row],[SOL'#]]</f>
        <v>SOL-11147</v>
      </c>
      <c r="D164" s="54"/>
      <c r="E164" s="10"/>
      <c r="F164" s="10" t="str">
        <f t="shared" si="14"/>
        <v/>
      </c>
      <c r="G164" s="55" t="str">
        <f t="shared" si="15"/>
        <v/>
      </c>
      <c r="H164" s="67"/>
      <c r="I164" s="67" t="str">
        <f t="shared" si="16"/>
        <v/>
      </c>
      <c r="J164" s="64" t="str">
        <f t="shared" si="17"/>
        <v/>
      </c>
      <c r="K164" s="108"/>
      <c r="L164" s="101"/>
    </row>
    <row r="165" spans="1:18">
      <c r="A165" t="str">
        <v>NY: Cambridge - Cambridge (PW)</v>
      </c>
      <c r="B165" s="30" t="str">
        <v>NY</v>
      </c>
    </row>
    <row r="166" spans="1:18">
      <c r="A166" t="str">
        <v>NY: Whitesville - Independence North</v>
      </c>
      <c r="B166" s="30" t="str">
        <v>NY</v>
      </c>
    </row>
    <row r="167" spans="1:18">
      <c r="A167" t="str">
        <v>IL: Beecher - Cottage Grove North (PW)</v>
      </c>
      <c r="B167" s="30" t="str">
        <v>IL</v>
      </c>
    </row>
    <row r="168" spans="1:18">
      <c r="A168" t="str">
        <v>IL: Beecher - Cottage Grove South (PW)</v>
      </c>
      <c r="B168" s="30" t="str">
        <v>IL</v>
      </c>
    </row>
    <row r="169" spans="1:18">
      <c r="A169" t="str">
        <v>IL: Harvard - 9618 US HWY 14 (PW)</v>
      </c>
      <c r="B169" s="30" t="str">
        <v>IL</v>
      </c>
    </row>
    <row r="170" spans="1:18">
      <c r="A170" t="str">
        <v>IL: Beecher - 701 E Goodenow Rd (PW)</v>
      </c>
      <c r="B170" s="30" t="str">
        <v>IL</v>
      </c>
    </row>
    <row r="171" spans="1:18">
      <c r="A171" t="str">
        <v>NY: Stormville - Green Haven - (IRA)</v>
      </c>
      <c r="B171" s="30" t="str">
        <v>NY</v>
      </c>
    </row>
    <row r="172" spans="1:18">
      <c r="A172" t="str">
        <v>IL: Hillsboro - Anacott (PW)</v>
      </c>
      <c r="B172" s="30" t="str">
        <v>IL</v>
      </c>
    </row>
  </sheetData>
  <mergeCells count="4">
    <mergeCell ref="H1:J1"/>
    <mergeCell ref="A1:D1"/>
    <mergeCell ref="E1:G1"/>
    <mergeCell ref="A2:B2"/>
  </mergeCells>
  <phoneticPr fontId="40" type="noConversion"/>
  <conditionalFormatting sqref="G2 J2 G4:G164 J4:J164">
    <cfRule type="cellIs" dxfId="28" priority="43" stopIfTrue="1" operator="lessThanOrEqual">
      <formula>-0.1</formula>
    </cfRule>
    <cfRule type="expression" dxfId="27" priority="44">
      <formula>AND(ISNUMBER(G2), G2&gt;=0.1)</formula>
    </cfRule>
  </conditionalFormatting>
  <hyperlinks>
    <hyperlink ref="L4" r:id="rId1" display="https://us3.assetplanner.com/service_request?ID=103460" xr:uid="{ACD86566-EF34-433E-961E-4AC4A27BE79D}"/>
    <hyperlink ref="M4" r:id="rId2" display="https://us3.assetplanner.com/service_request?ID=103558" xr:uid="{88896255-FF3E-4BC7-A693-7EE8FBB4E430}"/>
    <hyperlink ref="N4" r:id="rId3" display="https://us3.assetplanner.com/service_request?ID=102435" xr:uid="{5C939AEC-7A49-44C1-995E-67156FEA6C69}"/>
    <hyperlink ref="L5" r:id="rId4" display="https://us3.assetplanner.com/service_request?ID=093289" xr:uid="{85736C2B-9AF1-418A-89F9-7465D53FDEEA}"/>
    <hyperlink ref="L6" r:id="rId5" display="https://us3.assetplanner.com/service_request?ID=102473" xr:uid="{DD0A5A4B-C4D4-4B26-9FA2-29E0559CCC8F}"/>
    <hyperlink ref="L7" r:id="rId6" display="https://us3.assetplanner.com/service_request?ID=097569" xr:uid="{6302DDB9-5C99-456E-A9AB-D7361613F729}"/>
    <hyperlink ref="L8" r:id="rId7" display="https://us3.assetplanner.com/service_request?ID=093291" xr:uid="{DD2FB699-368E-462F-9019-C77AAE8C5D42}"/>
    <hyperlink ref="L10" r:id="rId8" display="https://us3.assetplanner.com/service_request?ID=095666" xr:uid="{17DF3129-B4C7-4A87-9898-AFE5A9F81023}"/>
    <hyperlink ref="L12" r:id="rId9" display="https://us3.assetplanner.com/service_request?ID=102970" xr:uid="{B1077E77-4790-4701-935F-CEE3046DCAC1}"/>
    <hyperlink ref="M12" r:id="rId10" display="https://us3.assetplanner.com/service_request?ID=093292" xr:uid="{6764C691-69C8-412B-BC4B-D232AB9FB082}"/>
    <hyperlink ref="N12" r:id="rId11" display="https://us3.assetplanner.com/service_request?ID=093633" xr:uid="{A01C5B56-EAB2-4725-948A-8FA0FBF9F939}"/>
    <hyperlink ref="L14" r:id="rId12" display="https://us3.assetplanner.com/service_request?ID=093294" xr:uid="{BDF5EBF3-DCD5-4ED9-9799-0F7DF0602B55}"/>
    <hyperlink ref="L17" r:id="rId13" display="https://us3.assetplanner.com/service_request?ID=103533" xr:uid="{D9B48088-2E47-425D-9B88-25F157235432}"/>
    <hyperlink ref="L18" r:id="rId14" display="https://us3.assetplanner.com/service_request?ID=103259" xr:uid="{4FD7F892-FB91-4652-90F9-5D32A2E1B1F2}"/>
    <hyperlink ref="L20" r:id="rId15" display="https://us3.assetplanner.com/service_request?ID=101786" xr:uid="{C91BC638-8A2A-4D77-A675-4DA17C9462F2}"/>
    <hyperlink ref="L23" r:id="rId16" display="https://us3.assetplanner.com/service_request?ID=102672" xr:uid="{7D4A1042-235D-474F-968A-1624B1F8E862}"/>
    <hyperlink ref="L28" r:id="rId17" display="https://us3.assetplanner.com/service_request?ID=102532" xr:uid="{2C000883-6A68-481E-8AC2-AB8136F268E1}"/>
    <hyperlink ref="L29" r:id="rId18" display="https://us3.assetplanner.com/service_request?ID=103286" xr:uid="{638F26D0-0A7B-4814-A521-CE5BB9FF2C94}"/>
    <hyperlink ref="L35" r:id="rId19" display="https://us3.assetplanner.com/service_request?ID=103116" xr:uid="{2E2743A6-7467-443D-BA14-C8F57A30FE56}"/>
    <hyperlink ref="L37" r:id="rId20" display="https://us3.assetplanner.com/service_request?ID=103569" xr:uid="{0DD59CE0-9EB5-4AF6-BC1E-43D6A3844531}"/>
    <hyperlink ref="L38" r:id="rId21" display="https://us3.assetplanner.com/service_request?ID=088813" xr:uid="{04D45EAA-C436-4D6B-9D39-D3F2DA418C79}"/>
    <hyperlink ref="L40" r:id="rId22" display="https://us3.assetplanner.com/service_request?ID=093324" xr:uid="{B7D54FED-F897-460E-90EF-3F8986196B62}"/>
    <hyperlink ref="L41" r:id="rId23" display="https://us3.assetplanner.com/service_request?ID=102499" xr:uid="{4F995BD4-EFEA-4173-9319-488E159F94DF}"/>
    <hyperlink ref="L42" r:id="rId24" display="https://us3.assetplanner.com/service_request?ID=102920" xr:uid="{399360D5-F945-4A79-AA2C-BFCB93A952A8}"/>
    <hyperlink ref="L43" r:id="rId25" display="https://us3.assetplanner.com/service_request?ID=093326" xr:uid="{BFCDBC20-6047-4B0E-8AA0-3EC7C212C5C0}"/>
    <hyperlink ref="L46" r:id="rId26" display="https://us3.assetplanner.com/service_request?ID=096294" xr:uid="{C8FA6518-DD8E-48CC-9D10-DE4AFD017388}"/>
    <hyperlink ref="L47" r:id="rId27" display="https://us3.assetplanner.com/service_request?ID=095662" xr:uid="{6BE39C2A-2BBA-486E-9F6F-028F0E882940}"/>
    <hyperlink ref="L48" r:id="rId28" display="https://us3.assetplanner.com/service_request?ID=103568" xr:uid="{B39078E5-3430-4F8A-865A-39F10E0CCA65}"/>
    <hyperlink ref="L49" r:id="rId29" display="https://us3.assetplanner.com/service_request?ID=102436" xr:uid="{30BF822D-A777-435F-9AFC-3701728DBA1B}"/>
    <hyperlink ref="L53" r:id="rId30" display="https://us3.assetplanner.com/service_request?ID=102437" xr:uid="{1CD15EB8-8E4E-42E4-AFA2-1FCBA18E4C08}"/>
    <hyperlink ref="L56" r:id="rId31" display="https://us3.assetplanner.com/service_request?ID=101354" xr:uid="{1E213410-C00A-4F96-944F-04552AC19954}"/>
    <hyperlink ref="M56" r:id="rId32" display="https://us3.assetplanner.com/service_request?ID=102217" xr:uid="{D7322E6C-92B1-494B-A3BF-4F19A1F0BD74}"/>
    <hyperlink ref="L57" r:id="rId33" display="https://us3.assetplanner.com/service_request?ID=102507" xr:uid="{E65344ED-82D3-43BC-AF12-847B3AD38355}"/>
    <hyperlink ref="L58" r:id="rId34" display="https://us3.assetplanner.com/service_request?ID=098641" xr:uid="{E754E075-CC05-4BF7-B5D7-E1EF995F21B6}"/>
    <hyperlink ref="M58" r:id="rId35" display="https://us3.assetplanner.com/service_request?ID=101620" xr:uid="{B1CB3005-789A-45DA-BD43-839FEAA85A77}"/>
    <hyperlink ref="N58" r:id="rId36" display="https://us3.assetplanner.com/service_request?ID=103015" xr:uid="{C9885268-815B-48B4-ADDB-A7746B19CF8F}"/>
    <hyperlink ref="O58" r:id="rId37" display="https://us3.assetplanner.com/service_request?ID=103150" xr:uid="{647E396E-4272-4090-AC4D-66A860F64BC6}"/>
    <hyperlink ref="P58" r:id="rId38" display="https://us3.assetplanner.com/service_request?ID=101620" xr:uid="{4DA81A0F-03E8-4A5C-BC74-423DCC7DB15B}"/>
    <hyperlink ref="L59" r:id="rId39" display="https://us3.assetplanner.com/service_request?ID=102364" xr:uid="{045B1E3B-31E3-4D91-9305-62634F87F738}"/>
    <hyperlink ref="M59" r:id="rId40" display="https://us3.assetplanner.com/service_request?ID=102506" xr:uid="{7383DB12-6DC3-4EB4-99A4-C6131AE25406}"/>
    <hyperlink ref="N59" r:id="rId41" display="https://us3.assetplanner.com/service_request?ID=102821" xr:uid="{BB69ABE7-D746-4506-A0CF-32F3461E4E16}"/>
    <hyperlink ref="O59" r:id="rId42" display="https://us3.assetplanner.com/service_request?ID=102951" xr:uid="{EF7ACD66-7B47-4DE0-8BDC-5385A0635E28}"/>
    <hyperlink ref="P59" r:id="rId43" display="https://us3.assetplanner.com/service_request?ID=103185" xr:uid="{4AE14CAF-4A8F-401F-B701-B86FFE90B254}"/>
    <hyperlink ref="Q59" r:id="rId44" display="https://us3.assetplanner.com/service_request?ID=103185" xr:uid="{8008C54C-3CDD-4D6A-8EDF-076EEDB7FA8E}"/>
    <hyperlink ref="L60" r:id="rId45" display="https://us3.assetplanner.com/service_request?ID=102460" xr:uid="{97FE88B8-A400-4E63-82C3-C8054BE84DD9}"/>
    <hyperlink ref="L61" r:id="rId46" display="https://us3.assetplanner.com/service_request?ID=100623" xr:uid="{4BA012E0-D55E-4F01-B5B1-EBA32A7EC640}"/>
    <hyperlink ref="M61" r:id="rId47" display="https://us3.assetplanner.com/service_request?ID=099149" xr:uid="{1CCFC0AD-0E71-442E-A796-B57A9DA0CA26}"/>
    <hyperlink ref="N61" r:id="rId48" display="https://us3.assetplanner.com/service_request?ID=101482" xr:uid="{F4CFBA1A-C829-4714-8B43-8F41AB1C9FA4}"/>
    <hyperlink ref="O61" r:id="rId49" display="https://us3.assetplanner.com/service_request?ID=102219" xr:uid="{DFE14C55-6F9C-467B-8244-13FB610521C7}"/>
    <hyperlink ref="L63" r:id="rId50" display="https://us3.assetplanner.com/service_request?ID=099403" xr:uid="{3D239CA4-A733-49FB-B0B0-98B30F395CE1}"/>
    <hyperlink ref="L65" r:id="rId51" display="https://us3.assetplanner.com/service_request?ID=102665" xr:uid="{AF034762-E7FE-41A4-9286-66D3F34B0976}"/>
    <hyperlink ref="L66" r:id="rId52" display="https://us3.assetplanner.com/service_request?ID=102427" xr:uid="{FF137601-CADC-4845-A48E-B554407E64E3}"/>
    <hyperlink ref="M66" r:id="rId53" display="https://us3.assetplanner.com/service_request?ID=093024" xr:uid="{287517C5-2924-431B-A625-21C1823E1E11}"/>
    <hyperlink ref="L67" r:id="rId54" display="https://us3.assetplanner.com/service_request?ID=098198" xr:uid="{5627ECAC-27AA-467C-9314-D77BC8C78BE0}"/>
    <hyperlink ref="M67" r:id="rId55" display="https://us3.assetplanner.com/service_request?ID=100200" xr:uid="{4131762D-C3F3-44F5-9516-D0E063170F96}"/>
    <hyperlink ref="L68" r:id="rId56" display="https://us3.assetplanner.com/service_request?ID=100625" xr:uid="{24EA18FE-FB72-446E-A103-27E56EE60FC6}"/>
    <hyperlink ref="M68" r:id="rId57" display="https://us3.assetplanner.com/service_request?ID=098866" xr:uid="{B571E090-97E2-4D9F-873E-8E6FC4771214}"/>
    <hyperlink ref="L69" r:id="rId58" display="https://us3.assetplanner.com/service_request?ID=098998" xr:uid="{9FFC3119-D3FB-4336-8AB4-B162A4A444FF}"/>
    <hyperlink ref="L70" r:id="rId59" display="https://us3.assetplanner.com/service_request?ID=100373" xr:uid="{B3CB83BB-CE9A-4061-88AB-2F307B380055}"/>
    <hyperlink ref="M70" r:id="rId60" display="https://us3.assetplanner.com/service_request?ID=103651" xr:uid="{3A7CCB52-EEE5-4F30-9609-C433F325CE39}"/>
    <hyperlink ref="L71" r:id="rId61" display="https://us3.assetplanner.com/service_request?ID=092964" xr:uid="{851DBD4E-360A-4F88-A1D8-8A66F30E100B}"/>
    <hyperlink ref="M71" r:id="rId62" display="https://us3.assetplanner.com/service_request?ID=095253" xr:uid="{E1DB13AD-ADD1-4B94-9E8B-731D865EB0A5}"/>
    <hyperlink ref="N71" r:id="rId63" display="https://us3.assetplanner.com/service_request?ID=098877" xr:uid="{BA097B0F-B564-49BE-991A-F7FA5ECD5253}"/>
    <hyperlink ref="L72" r:id="rId64" display="https://us3.assetplanner.com/service_request?ID=102662" xr:uid="{1E24F5C2-DCC5-455E-8258-16374AEBC9AE}"/>
    <hyperlink ref="L74" r:id="rId65" display="https://us3.assetplanner.com/service_request?ID=101912" xr:uid="{36D3063C-C122-49C2-B59E-A1C1D85048F7}"/>
    <hyperlink ref="M74" r:id="rId66" display="https://us3.assetplanner.com/service_request?ID=102335" xr:uid="{B6318352-7694-4E40-881E-94916F0ADE27}"/>
    <hyperlink ref="N74" r:id="rId67" display="https://us3.assetplanner.com/service_request?ID=102682" xr:uid="{1D4422AB-9E0A-490E-ABD5-BF72C3F1EA02}"/>
    <hyperlink ref="O74" r:id="rId68" display="https://us3.assetplanner.com/service_request?ID=102682" xr:uid="{931912BE-8B18-4CE0-B4D0-15ED51F98103}"/>
    <hyperlink ref="P74" r:id="rId69" display="https://us3.assetplanner.com/service_request?ID=103181" xr:uid="{75946455-E330-46E1-88F8-5106FFD549A8}"/>
    <hyperlink ref="Q74" r:id="rId70" display="https://us3.assetplanner.com/service_request?ID=102996" xr:uid="{2637561C-F739-4056-A843-756C31479ED7}"/>
    <hyperlink ref="R74" r:id="rId71" display="https://us3.assetplanner.com/service_request?ID=103257" xr:uid="{FDCB38D9-BFEB-4A7B-AC4B-43862D6F313E}"/>
    <hyperlink ref="S74" r:id="rId72" display="https://us3.assetplanner.com/service_request?ID=103260" xr:uid="{8CAAAD43-C7E2-4004-80A1-1DD0A23E465F}"/>
    <hyperlink ref="T74" r:id="rId73" display="https://us3.assetplanner.com/service_request?ID=103266" xr:uid="{62B4E94A-0C20-4EFB-A22F-3484A9DE2682}"/>
    <hyperlink ref="U74" r:id="rId74" display="https://us3.assetplanner.com/service_request?ID=103181" xr:uid="{0F09D9E8-1395-4CFC-8C7A-CAC1AA11E8AA}"/>
    <hyperlink ref="V74" r:id="rId75" display="https://us3.assetplanner.com/service_request?ID=103257" xr:uid="{47705629-C4F2-4A79-B109-CEE0449720D7}"/>
    <hyperlink ref="W74" r:id="rId76" display="https://us3.assetplanner.com/service_request?ID=103260" xr:uid="{9DA0749A-077B-4662-AB6D-CAEFAB222232}"/>
    <hyperlink ref="L75" r:id="rId77" display="https://us3.assetplanner.com/service_request?ID=102298" xr:uid="{997A7304-3379-45A2-9550-3936F5CBD16E}"/>
    <hyperlink ref="L76" r:id="rId78" display="https://us3.assetplanner.com/service_request?ID=103256" xr:uid="{134BA591-7FEB-45C0-94A7-A50E67B95F78}"/>
    <hyperlink ref="M76" r:id="rId79" display="https://us3.assetplanner.com/service_request?ID=103314" xr:uid="{B3499319-7637-4C3B-B4C3-B0D2B29427A5}"/>
    <hyperlink ref="N76" r:id="rId80" display="https://us3.assetplanner.com/service_request?ID=103671" xr:uid="{273AB6EA-66C7-4876-8ADC-78F6E56F9C11}"/>
    <hyperlink ref="O76" r:id="rId81" display="https://us3.assetplanner.com/service_request?ID=103671" xr:uid="{C155857D-B1D1-495D-A4D3-BDF6D37DFE0A}"/>
    <hyperlink ref="L77" r:id="rId82" display="https://us3.assetplanner.com/service_request?ID=101820" xr:uid="{AA91A4D7-3DEC-4E02-88EF-DB4D82608BF4}"/>
    <hyperlink ref="M77" r:id="rId83" display="https://us3.assetplanner.com/service_request?ID=099347" xr:uid="{20637DD5-90ED-4322-96E3-C3E83CC36CD3}"/>
    <hyperlink ref="L78" r:id="rId84" display="https://us3.assetplanner.com/service_request?ID=102360" xr:uid="{D3DC3A21-8C95-4E51-AEC3-5220A7F502C7}"/>
    <hyperlink ref="M78" r:id="rId85" display="https://us3.assetplanner.com/service_request?ID=102937" xr:uid="{44F0BD89-F3EB-40E6-9EFE-91CB9ED9F208}"/>
    <hyperlink ref="L79" r:id="rId86" display="https://us3.assetplanner.com/service_request?ID=102637" xr:uid="{63A34919-7D86-4267-B354-CA4946666EB3}"/>
    <hyperlink ref="L80" r:id="rId87" display="https://us3.assetplanner.com/service_request?ID=103167" xr:uid="{829C65EA-A0C5-4451-9160-F74949B18209}"/>
    <hyperlink ref="L85" r:id="rId88" display="https://us3.assetplanner.com/service_request?ID=095109" xr:uid="{737F6BF9-2C09-4CBA-AF78-A6F1DFE2554A}"/>
    <hyperlink ref="L88" r:id="rId89" display="https://us3.assetplanner.com/service_request?ID=102378" xr:uid="{51104DCE-3663-4378-A1DD-6852DD33B91A}"/>
    <hyperlink ref="M88" r:id="rId90" display="https://us3.assetplanner.com/service_request?ID=102995" xr:uid="{1ACB6C03-0384-4FA6-B3DD-2086975899C0}"/>
    <hyperlink ref="N88" r:id="rId91" display="https://us3.assetplanner.com/service_request?ID=103080" xr:uid="{AD2EAC6B-2608-4A2D-8115-4F2D67F7EF8A}"/>
    <hyperlink ref="L89" r:id="rId92" display="https://us3.assetplanner.com/service_request?ID=102379" xr:uid="{DB63D241-962E-4B88-95B5-2E2C95E7F294}"/>
    <hyperlink ref="L90" r:id="rId93" display="https://us3.assetplanner.com/service_request?ID=102380" xr:uid="{D422DE71-C3E2-4393-98DF-685C8E96AB3B}"/>
    <hyperlink ref="L91" r:id="rId94" display="https://us3.assetplanner.com/service_request?ID=102984" xr:uid="{6697E664-8339-4433-A487-82129D84645F}"/>
    <hyperlink ref="L92" r:id="rId95" display="https://us3.assetplanner.com/service_request?ID=101282" xr:uid="{F8B132F7-A12D-49A0-A96E-BDBEA3F89FFB}"/>
    <hyperlink ref="L94" r:id="rId96" display="https://us3.assetplanner.com/service_request?ID=099726" xr:uid="{17C830AF-A5ED-47CE-AF2A-27720C305911}"/>
    <hyperlink ref="L95" r:id="rId97" display="https://us3.assetplanner.com/service_request?ID=095073" xr:uid="{82FDFADE-F9A5-4A16-A4AF-5F78B192ADAF}"/>
    <hyperlink ref="M95" r:id="rId98" display="https://us3.assetplanner.com/service_request?ID=103366" xr:uid="{D6344412-8732-4C1C-8DC6-C23A07DEA4A1}"/>
    <hyperlink ref="N95" r:id="rId99" display="https://us3.assetplanner.com/service_request?ID=103366" xr:uid="{EBDF882F-D332-4470-8F99-F4854CDEBC5C}"/>
    <hyperlink ref="L97" r:id="rId100" display="https://us3.assetplanner.com/service_request?ID=101152" xr:uid="{297FBF4B-9D7C-4C7B-84F2-F514322B5CCD}"/>
    <hyperlink ref="L98" r:id="rId101" display="https://us3.assetplanner.com/service_request?ID=103760" xr:uid="{CACBEDB7-7A0B-46AA-AEA3-AB2933DB1C07}"/>
    <hyperlink ref="L99" r:id="rId102" display="https://us3.assetplanner.com/service_request?ID=103174" xr:uid="{21FAACED-FC84-429F-A2F7-D37AF444419A}"/>
    <hyperlink ref="M99" r:id="rId103" display="https://us3.assetplanner.com/service_request?ID=103321" xr:uid="{106E3E6B-AB23-425D-A934-CEB13891F3A1}"/>
    <hyperlink ref="N99" r:id="rId104" display="https://us3.assetplanner.com/service_request?ID=103538" xr:uid="{2CF2A752-4D51-4CC4-9817-54B592E36845}"/>
    <hyperlink ref="O99" r:id="rId105" display="https://us3.assetplanner.com/service_request?ID=103570" xr:uid="{EBB40756-48C8-421E-8F79-58990674B6B1}"/>
    <hyperlink ref="L100" r:id="rId106" display="https://us3.assetplanner.com/service_request?ID=102601" xr:uid="{CF29DEBF-5A02-4019-A804-38271D6BEF39}"/>
    <hyperlink ref="M100" r:id="rId107" display="https://us3.assetplanner.com/service_request?ID=102895" xr:uid="{D041677C-176A-495F-BC5D-610A7E487A55}"/>
    <hyperlink ref="L101" r:id="rId108" display="https://us3.assetplanner.com/service_request?ID=100101" xr:uid="{AC8F3845-FB2D-47C4-85CC-D58616176D51}"/>
    <hyperlink ref="M101" r:id="rId109" display="https://us3.assetplanner.com/service_request?ID=102328" xr:uid="{2210F183-8A5D-4057-A469-F387FD99359A}"/>
    <hyperlink ref="N101" r:id="rId110" display="https://us3.assetplanner.com/service_request?ID=102889" xr:uid="{10EB7489-137A-4A44-AF14-620EE6190A94}"/>
    <hyperlink ref="L103" r:id="rId111" display="https://us3.assetplanner.com/service_request?ID=101082" xr:uid="{791A7259-DDE7-4223-B009-D2EC59766F02}"/>
    <hyperlink ref="M103" r:id="rId112" display="https://us3.assetplanner.com/service_request?ID=101848" xr:uid="{7EB0E058-BD5D-4A0D-9646-BEE4BD4FA946}"/>
    <hyperlink ref="N103" r:id="rId113" display="https://us3.assetplanner.com/service_request?ID=103374" xr:uid="{512F3736-2699-4A51-88C4-BB6BD07A5901}"/>
    <hyperlink ref="L104" r:id="rId114" display="https://us3.assetplanner.com/service_request?ID=101915" xr:uid="{64EA8FBF-5370-4FEC-920D-EB00E92AF6C9}"/>
    <hyperlink ref="L106" r:id="rId115" display="https://us3.assetplanner.com/service_request?ID=095624" xr:uid="{14E5BD29-F2DB-4CCC-8FA8-E7660C7B7415}"/>
    <hyperlink ref="M106" r:id="rId116" display="https://us3.assetplanner.com/service_request?ID=097725" xr:uid="{E9E8640E-D02D-45CF-A14A-2A3B0D61BFA1}"/>
    <hyperlink ref="L107" r:id="rId117" display="https://us3.assetplanner.com/service_request?ID=102628" xr:uid="{6F642857-5771-4490-AE09-F46163F51A67}"/>
    <hyperlink ref="L108" r:id="rId118" display="https://us3.assetplanner.com/service_request?ID=101314" xr:uid="{75734717-3F80-422C-B7DE-3BF15EC48E3E}"/>
    <hyperlink ref="M108" r:id="rId119" display="https://us3.assetplanner.com/service_request?ID=101947" xr:uid="{F31EFD5E-04FD-4509-8336-92F1B0B7CA3C}"/>
    <hyperlink ref="N108" r:id="rId120" display="https://us3.assetplanner.com/service_request?ID=102015" xr:uid="{293C6563-585F-44DB-8B10-1EAE12196CAE}"/>
    <hyperlink ref="L109" r:id="rId121" display="https://us3.assetplanner.com/service_request?ID=103685" xr:uid="{B648A5E7-4DD0-4E90-88E9-DD3B485C938E}"/>
    <hyperlink ref="L110" r:id="rId122" display="https://us3.assetplanner.com/service_request?ID=102664" xr:uid="{55A61124-52C3-4120-82D4-0C1CDA9B0C91}"/>
    <hyperlink ref="M110" r:id="rId123" display="https://us3.assetplanner.com/service_request?ID=103019" xr:uid="{83767E0A-B173-4136-A5B7-16383EE54AAB}"/>
    <hyperlink ref="N110" r:id="rId124" display="https://us3.assetplanner.com/service_request?ID=103279" xr:uid="{8C1BFA3D-D927-4F99-A0FF-64F14D8AD1E6}"/>
    <hyperlink ref="O110" r:id="rId125" display="https://us3.assetplanner.com/service_request?ID=103668" xr:uid="{4DB52E74-8B78-4F01-8B0C-297001FD9D8D}"/>
    <hyperlink ref="L111" r:id="rId126" display="https://us3.assetplanner.com/service_request?ID=098692" xr:uid="{99C42585-994C-4924-A590-E0B746216641}"/>
    <hyperlink ref="M111" r:id="rId127" display="https://us3.assetplanner.com/service_request?ID=102638" xr:uid="{55DE9012-5DBD-4916-8683-CD85BDB95329}"/>
    <hyperlink ref="L112" r:id="rId128" display="https://us3.assetplanner.com/service_request?ID=099686" xr:uid="{32442C7E-15F2-4380-A178-99C70BFBDEA8}"/>
    <hyperlink ref="M112" r:id="rId129" display="https://us3.assetplanner.com/service_request?ID=094820" xr:uid="{5A75A2C7-0828-42FB-A668-3A7530BC5AE2}"/>
    <hyperlink ref="N112" r:id="rId130" display="https://us3.assetplanner.com/service_request?ID=101931" xr:uid="{8ED356D3-C300-4E93-BF9E-EC2288CB94F0}"/>
    <hyperlink ref="O112" r:id="rId131" display="https://us3.assetplanner.com/service_request?ID=102747" xr:uid="{CD243F10-6359-4205-8849-467CFD78F23D}"/>
    <hyperlink ref="L113" r:id="rId132" display="https://us3.assetplanner.com/service_request?ID=098860" xr:uid="{7ABD109B-70FB-4002-B097-6B965CE0DD69}"/>
    <hyperlink ref="L114" r:id="rId133" display="https://us3.assetplanner.com/service_request?ID=097454" xr:uid="{8F132632-E122-48A9-9CB1-D4EA992F0E08}"/>
    <hyperlink ref="M114" r:id="rId134" display="https://us3.assetplanner.com/service_request?ID=099118" xr:uid="{77862FC5-E5E3-4338-9B97-F8FBBB0A1D79}"/>
    <hyperlink ref="L115" r:id="rId135" display="https://us3.assetplanner.com/service_request?ID=103367" xr:uid="{FB36C194-A4D6-459B-AD94-FDE5A1EE5798}"/>
    <hyperlink ref="L116" r:id="rId136" display="https://us3.assetplanner.com/service_request?ID=102212" xr:uid="{51D38C10-CE02-43B8-9A93-63DD610531C9}"/>
    <hyperlink ref="M116" r:id="rId137" display="https://us3.assetplanner.com/service_request?ID=102640" xr:uid="{C7120129-CF18-46A3-8EA1-937F4343DCC5}"/>
    <hyperlink ref="N116" r:id="rId138" display="https://us3.assetplanner.com/service_request?ID=103552" xr:uid="{488073A5-5DAE-4AF0-9787-8B9495DBE4CA}"/>
    <hyperlink ref="L120" r:id="rId139" display="https://us3.assetplanner.com/service_request?ID=103476" xr:uid="{611FE0FC-B614-447D-83AA-6470D337C56D}"/>
    <hyperlink ref="L121" r:id="rId140" display="https://us3.assetplanner.com/service_request?ID=103477" xr:uid="{26149A34-EB07-4D88-8E51-EFF70D7E4F22}"/>
    <hyperlink ref="L123" r:id="rId141" display="https://us3.assetplanner.com/service_request?ID=095945" xr:uid="{1ED5E440-F81B-421E-B5A5-7C3AB77D8B25}"/>
    <hyperlink ref="M123" r:id="rId142" display="https://us3.assetplanner.com/service_request?ID=103457" xr:uid="{09A42404-4396-4BD7-841F-9AA6183CFE50}"/>
    <hyperlink ref="L124" r:id="rId143" display="https://us3.assetplanner.com/service_request?ID=095946" xr:uid="{15E60287-1439-4919-886D-E328C8A382D0}"/>
    <hyperlink ref="L125" r:id="rId144" display="https://us3.assetplanner.com/service_request?ID=103482" xr:uid="{13C0C662-CB9C-495D-A473-A7F03DD4BC99}"/>
    <hyperlink ref="L129" r:id="rId145" display="https://us3.assetplanner.com/service_request?ID=099930" xr:uid="{79EDC439-2EF8-41D0-86A2-80155BD191BE}"/>
    <hyperlink ref="L132" r:id="rId146" display="https://us3.assetplanner.com/service_request?ID=103141" xr:uid="{2AEF68D8-AD05-4C48-80F3-3D19DB54A66F}"/>
    <hyperlink ref="L133" r:id="rId147" display="https://us3.assetplanner.com/service_request?ID=099791" xr:uid="{2C7C0051-1905-4986-A48F-023CEF818E5B}"/>
    <hyperlink ref="M133" r:id="rId148" display="https://us3.assetplanner.com/service_request?ID=099792" xr:uid="{AED0FAE6-577F-4875-9724-0B3FD91C5CEE}"/>
    <hyperlink ref="N133" r:id="rId149" display="https://us3.assetplanner.com/service_request?ID=103096" xr:uid="{4AD21C8D-5B27-46CA-9D7A-1AB92F0489FB}"/>
    <hyperlink ref="O133" r:id="rId150" display="https://us3.assetplanner.com/service_request?ID=099793" xr:uid="{D94ADA93-6390-47F9-A87A-64AACD0095C6}"/>
    <hyperlink ref="P133" r:id="rId151" display="https://us3.assetplanner.com/service_request?ID=103710" xr:uid="{A0B4DD8D-BF9E-4104-A703-1519F4861A9C}"/>
    <hyperlink ref="L138" r:id="rId152" display="https://us3.assetplanner.com/service_request?ID=103361" xr:uid="{7517EED5-3499-473E-8483-793DF701F1AF}"/>
    <hyperlink ref="L139" r:id="rId153" display="https://us3.assetplanner.com/service_request?ID=101940" xr:uid="{B315B688-C912-48E4-B4A0-CE6C7F057701}"/>
    <hyperlink ref="L140" r:id="rId154" display="https://us3.assetplanner.com/service_request?ID=100587" xr:uid="{6594B697-7FB6-42D2-96FC-9FF391A6E10B}"/>
    <hyperlink ref="M140" r:id="rId155" display="https://us3.assetplanner.com/service_request?ID=103188" xr:uid="{3D25CE12-2A9C-4306-BB60-D549AB617839}"/>
    <hyperlink ref="N140" r:id="rId156" display="https://us3.assetplanner.com/service_request?ID=102888" xr:uid="{AAD6F7FA-6DB5-491E-B646-CCE56E601F6D}"/>
    <hyperlink ref="O140" r:id="rId157" display="https://us3.assetplanner.com/service_request?ID=103641" xr:uid="{F6E12773-3939-49A7-88AC-247AA88B3E31}"/>
    <hyperlink ref="P140" r:id="rId158" display="https://us3.assetplanner.com/service_request?ID=103805" xr:uid="{0695A77D-60B7-423A-893D-8FE43AB3D398}"/>
    <hyperlink ref="L141" r:id="rId159" display="https://us3.assetplanner.com/service_request?ID=103246" xr:uid="{7511E741-188A-47D2-9AF8-F28698C35710}"/>
    <hyperlink ref="L143" r:id="rId160" display="https://us3.assetplanner.com/service_request?ID=103557" xr:uid="{E6B89D7B-9449-4578-87C1-78709D9639D5}"/>
    <hyperlink ref="L144" r:id="rId161" display="https://us3.assetplanner.com/service_request?ID=100220" xr:uid="{026498A1-D094-448F-A48C-C91D55071082}"/>
    <hyperlink ref="L145" r:id="rId162" display="https://us3.assetplanner.com/service_request?ID=102012" xr:uid="{5CA16F86-43B8-4BE0-9743-673FFBAF1E11}"/>
    <hyperlink ref="L148" r:id="rId163" display="https://us3.assetplanner.com/service_request?ID=103076" xr:uid="{7C89886F-2F1A-4B57-8C66-917BFC09AFF5}"/>
    <hyperlink ref="L149" r:id="rId164" display="https://us3.assetplanner.com/service_request?ID=097816" xr:uid="{BEAE84F7-CEED-4BD0-BE2A-E569FD2CC333}"/>
    <hyperlink ref="M149" r:id="rId165" display="https://us3.assetplanner.com/service_request?ID=101645" xr:uid="{204E198D-1DF8-431E-AE64-2D4BCEA7AD05}"/>
    <hyperlink ref="L150" r:id="rId166" display="https://us3.assetplanner.com/service_request?ID=100609" xr:uid="{0A3FCE8E-308A-4A54-B283-0CD93436CB0C}"/>
    <hyperlink ref="M150" r:id="rId167" display="https://us3.assetplanner.com/service_request?ID=102630" xr:uid="{B1F07754-AE40-42C6-9F4F-0C4D8CC5F0B8}"/>
    <hyperlink ref="N150" r:id="rId168" display="https://us3.assetplanner.com/service_request?ID=103214" xr:uid="{31A3BE03-EB34-4E82-9662-6A589860E377}"/>
    <hyperlink ref="L151" r:id="rId169" display="https://us3.assetplanner.com/service_request?ID=101228" xr:uid="{CEE7FAE1-7B71-4A88-961E-C216CC1A6690}"/>
    <hyperlink ref="L152" r:id="rId170" display="https://us3.assetplanner.com/service_request?ID=098278" xr:uid="{8236CBDB-07A3-4F3E-BA04-422A1DFDB8BA}"/>
    <hyperlink ref="M152" r:id="rId171" display="https://us3.assetplanner.com/service_request?ID=098670" xr:uid="{351B226F-23CB-4184-9ACB-6D3E572D5CB3}"/>
    <hyperlink ref="L153" r:id="rId172" display="https://us3.assetplanner.com/service_request?ID=102684" xr:uid="{25C0F373-881F-4163-B393-081007948765}"/>
    <hyperlink ref="M153" r:id="rId173" display="https://us3.assetplanner.com/service_request?ID=103541" xr:uid="{67D53D3B-9E3D-4010-ACEF-7D0173F15D12}"/>
    <hyperlink ref="N153" r:id="rId174" display="https://us3.assetplanner.com/service_request?ID=103547" xr:uid="{62FF2281-55BA-4A03-BFD0-12F6A9919617}"/>
    <hyperlink ref="L154" r:id="rId175" display="https://us3.assetplanner.com/service_request?ID=098066" xr:uid="{00409DBC-2943-4145-896C-9E6DDAD14E3A}"/>
    <hyperlink ref="M154" r:id="rId176" display="https://us3.assetplanner.com/service_request?ID=099545" xr:uid="{A49C31BD-EF92-48E7-88BC-28248C1E2F3D}"/>
    <hyperlink ref="N154" r:id="rId177" display="https://us3.assetplanner.com/service_request?ID=103643" xr:uid="{616E21F7-4C40-428D-9D24-7DBA09C45CAE}"/>
    <hyperlink ref="L155" r:id="rId178" display="https://us3.assetplanner.com/service_request?ID=099473" xr:uid="{C94B69DE-6225-4C5A-98FD-AA74E3CA96E3}"/>
    <hyperlink ref="M155" r:id="rId179" display="https://us3.assetplanner.com/service_request?ID=102805" xr:uid="{50FDA3AB-3CE9-464C-A1D7-00152A20BB48}"/>
    <hyperlink ref="N155" r:id="rId180" display="https://us3.assetplanner.com/service_request?ID=103193" xr:uid="{595D6645-29F7-4DE5-B20D-B4FEE30DC4D9}"/>
    <hyperlink ref="O155" r:id="rId181" display="https://us3.assetplanner.com/service_request?ID=103271" xr:uid="{A7A40FCD-96F9-4399-985A-2FDF21D02090}"/>
    <hyperlink ref="P155" r:id="rId182" display="https://us3.assetplanner.com/service_request?ID=103687" xr:uid="{0C303234-E05B-4A40-B060-95155AD05B94}"/>
    <hyperlink ref="L156" r:id="rId183" display="https://us3.assetplanner.com/service_request?ID=103689" xr:uid="{EA0BD169-A426-457C-9A93-A550FB3E5C18}"/>
    <hyperlink ref="L157" r:id="rId184" display="https://us3.assetplanner.com/service_request?ID=098693" xr:uid="{A5249A62-B669-4EC3-95DF-81A5BB71B1A6}"/>
    <hyperlink ref="M157" r:id="rId185" display="https://us3.assetplanner.com/service_request?ID=103313" xr:uid="{62314FBE-C2CA-4FFA-85AF-1D1953836AE7}"/>
    <hyperlink ref="N157" r:id="rId186" display="https://us3.assetplanner.com/service_request?ID=103353" xr:uid="{D3AD2D5A-507B-485C-9526-AF7042758882}"/>
    <hyperlink ref="O157" r:id="rId187" display="https://us3.assetplanner.com/service_request?ID=103559" xr:uid="{0437EB61-37C0-45F5-9AA3-40E4F6759D3C}"/>
    <hyperlink ref="P157" r:id="rId188" display="https://us3.assetplanner.com/service_request?ID=102779" xr:uid="{0D1FD930-A082-45E6-BD36-E6035AABAFDB}"/>
    <hyperlink ref="L158" r:id="rId189" display="https://us3.assetplanner.com/service_request?ID=103737" xr:uid="{74666375-3C5F-466D-804D-12B64E02C35F}"/>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AC172"/>
  <sheetViews>
    <sheetView zoomScale="70" zoomScaleNormal="70" workbookViewId="0">
      <pane xSplit="2" ySplit="3" topLeftCell="C39" activePane="bottomRight" state="frozen"/>
      <selection pane="bottomRight" activeCell="K128" sqref="K128"/>
      <selection pane="bottomLeft" activeCell="A4" sqref="A4"/>
      <selection pane="topRight" activeCell="C1" sqref="C1"/>
    </sheetView>
  </sheetViews>
  <sheetFormatPr defaultRowHeight="13.9"/>
  <cols>
    <col min="1" max="1" width="35.85546875" bestFit="1" customWidth="1"/>
    <col min="2" max="2" width="8.42578125" style="30" customWidth="1"/>
    <col min="3" max="3" width="17.7109375" style="30" customWidth="1"/>
    <col min="4" max="4" width="11.855468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4" ht="19.5" customHeight="1">
      <c r="A1" s="187" t="str" cm="1">
        <f t="array" ref="A1">portfolio</f>
        <v>Generate Capital</v>
      </c>
      <c r="B1" s="187"/>
      <c r="C1" s="187"/>
      <c r="D1" s="187"/>
      <c r="E1" s="188" t="s">
        <v>1417</v>
      </c>
      <c r="F1" s="188"/>
      <c r="G1" s="188"/>
      <c r="H1" s="186" t="s">
        <v>1418</v>
      </c>
      <c r="I1" s="186"/>
      <c r="J1" s="186"/>
      <c r="K1" s="4"/>
      <c r="L1" s="4"/>
    </row>
    <row r="2" spans="1:24" ht="19.5" customHeight="1">
      <c r="A2" s="189" t="s">
        <v>2</v>
      </c>
      <c r="B2" s="189"/>
      <c r="C2" s="57"/>
      <c r="D2" s="5">
        <f>SUM(D4:D159)</f>
        <v>53197393.895261116</v>
      </c>
      <c r="E2" s="5">
        <f>SUM(E4:E84)</f>
        <v>18342180.643999998</v>
      </c>
      <c r="F2" s="5">
        <f>D2-E2</f>
        <v>34855213.251261115</v>
      </c>
      <c r="G2" s="6">
        <f>IFERROR(F2/E2, 0)</f>
        <v>1.9002764135715116</v>
      </c>
      <c r="H2" s="5">
        <f>SUM(H4:H159)</f>
        <v>50545171.817800023</v>
      </c>
      <c r="I2" s="7">
        <f>D2-H2</f>
        <v>2652222.0774610937</v>
      </c>
      <c r="J2" s="6">
        <f>IFERROR(I2/H2, 0)</f>
        <v>5.2472313023715654E-2</v>
      </c>
      <c r="K2" s="22"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4" ht="14.25" customHeight="1">
      <c r="A3" s="8" t="s">
        <v>3</v>
      </c>
      <c r="B3" s="8" t="s">
        <v>4</v>
      </c>
      <c r="C3" s="8" t="s">
        <v>5</v>
      </c>
      <c r="D3" s="19" t="s">
        <v>6</v>
      </c>
      <c r="E3" s="31" t="s">
        <v>7</v>
      </c>
      <c r="F3" s="31" t="s">
        <v>8</v>
      </c>
      <c r="G3" s="32" t="s">
        <v>9</v>
      </c>
      <c r="H3" s="33" t="s">
        <v>10</v>
      </c>
      <c r="I3" s="34" t="s">
        <v>8</v>
      </c>
      <c r="J3" s="35" t="s">
        <v>9</v>
      </c>
      <c r="K3" s="21" t="s">
        <v>21</v>
      </c>
      <c r="L3" s="21" t="s">
        <v>22</v>
      </c>
    </row>
    <row r="4" spans="1:24" ht="28.9">
      <c r="A4" s="26" t="str" cm="1">
        <f t="array" ref="A4:A172">Sites[Site]</f>
        <v>K026</v>
      </c>
      <c r="B4" s="27" t="str" cm="1">
        <f t="array" ref="B4:B172">Sites[State]</f>
        <v>NY</v>
      </c>
      <c r="C4" s="27" t="str">
        <f>Sites[[#This Row],[SOL'#]]</f>
        <v>SOL-10356</v>
      </c>
      <c r="D4" s="66">
        <v>22080.75</v>
      </c>
      <c r="E4" s="14">
        <v>42520.39</v>
      </c>
      <c r="F4" s="14">
        <f t="shared" ref="F4:F52" si="0">IF(AND(ISNUMBER(D4),ISNUMBER(E4)), D4-E4, "")</f>
        <v>-20439.64</v>
      </c>
      <c r="G4" s="15">
        <f t="shared" ref="G4:G53" si="1">IFERROR(F4/E4, "")</f>
        <v>-0.48070208198937026</v>
      </c>
      <c r="H4" s="16">
        <v>37634.39</v>
      </c>
      <c r="I4" s="16">
        <f>IF(AND(ISNUMBER(D4),ISNUMBER(H4)), D4-H4, "")</f>
        <v>-15553.64</v>
      </c>
      <c r="J4" s="15">
        <f>IFERROR(I4/H4, "")</f>
        <v>-0.41328263856541847</v>
      </c>
      <c r="K4" s="51" t="s">
        <v>1419</v>
      </c>
      <c r="L4" s="100" t="s">
        <v>1420</v>
      </c>
      <c r="M4" s="104"/>
      <c r="N4" s="104"/>
      <c r="O4" s="104"/>
      <c r="P4" s="104"/>
      <c r="Q4" s="104"/>
      <c r="R4" s="104"/>
      <c r="S4" s="104"/>
      <c r="T4" s="104"/>
      <c r="U4" s="104"/>
      <c r="V4" s="104"/>
      <c r="W4" s="104"/>
      <c r="X4" s="104"/>
    </row>
    <row r="5" spans="1:24" ht="15.6">
      <c r="A5" s="28" t="str">
        <v>K041</v>
      </c>
      <c r="B5" s="25" t="str">
        <v>NY</v>
      </c>
      <c r="C5" s="25" t="str">
        <f>Sites[[#This Row],[SOL'#]]</f>
        <v>SOL-10357</v>
      </c>
      <c r="D5" s="20">
        <v>30806.78125</v>
      </c>
      <c r="E5" s="10">
        <v>35182.89</v>
      </c>
      <c r="F5" s="10">
        <f t="shared" si="0"/>
        <v>-4376.1087499999994</v>
      </c>
      <c r="G5" s="11">
        <f t="shared" si="1"/>
        <v>-0.12438173072195034</v>
      </c>
      <c r="H5" s="12">
        <v>32538</v>
      </c>
      <c r="I5" s="12">
        <f t="shared" ref="I5:I51" si="2">IF(AND(ISNUMBER(D5),ISNUMBER(H5)), D5-H5, "")</f>
        <v>-1731.21875</v>
      </c>
      <c r="J5" s="13">
        <f t="shared" ref="J5:J51" si="3">IFERROR(I5/H5, "")</f>
        <v>-5.3206059069395781E-2</v>
      </c>
      <c r="K5" s="53" t="s">
        <v>1421</v>
      </c>
      <c r="L5" s="53"/>
      <c r="M5" s="104"/>
      <c r="N5" s="104"/>
      <c r="O5" s="104"/>
      <c r="P5" s="104"/>
      <c r="Q5" s="104"/>
      <c r="R5" s="104"/>
      <c r="S5" s="104"/>
      <c r="T5" s="104"/>
      <c r="U5" s="104"/>
      <c r="V5" s="104"/>
      <c r="W5" s="104"/>
      <c r="X5" s="104"/>
    </row>
    <row r="6" spans="1:24" ht="86.45">
      <c r="A6" s="26" t="str">
        <v>K043</v>
      </c>
      <c r="B6" s="27" t="str">
        <v>NY</v>
      </c>
      <c r="C6" s="27" t="str">
        <f>Sites[[#This Row],[SOL'#]]</f>
        <v>SOL-10358</v>
      </c>
      <c r="D6" s="9">
        <v>35140.5</v>
      </c>
      <c r="E6" s="14">
        <v>39838.042000000001</v>
      </c>
      <c r="F6" s="14">
        <f t="shared" si="0"/>
        <v>-4697.5420000000013</v>
      </c>
      <c r="G6" s="15">
        <f t="shared" si="1"/>
        <v>-0.11791598593123631</v>
      </c>
      <c r="H6" s="16">
        <v>7003.0330000000004</v>
      </c>
      <c r="I6" s="16">
        <f t="shared" si="2"/>
        <v>28137.467000000001</v>
      </c>
      <c r="J6" s="15">
        <f t="shared" si="3"/>
        <v>4.0178972453792516</v>
      </c>
      <c r="K6" s="51" t="s">
        <v>1422</v>
      </c>
      <c r="L6" s="100" t="s">
        <v>1423</v>
      </c>
      <c r="M6" s="103" t="s">
        <v>1424</v>
      </c>
      <c r="N6" s="104"/>
      <c r="O6" s="104"/>
      <c r="P6" s="104"/>
      <c r="Q6" s="104"/>
      <c r="R6" s="104"/>
      <c r="S6" s="104"/>
      <c r="T6" s="104"/>
      <c r="U6" s="104"/>
      <c r="V6" s="104"/>
      <c r="W6" s="104"/>
      <c r="X6" s="104"/>
    </row>
    <row r="7" spans="1:24" ht="27" customHeight="1">
      <c r="A7" s="28" t="str">
        <v>K058</v>
      </c>
      <c r="B7" s="25" t="str">
        <v>NY</v>
      </c>
      <c r="C7" s="25" t="str">
        <f>Sites[[#This Row],[SOL'#]]</f>
        <v>SOL-10360</v>
      </c>
      <c r="D7" s="20">
        <v>0</v>
      </c>
      <c r="E7" s="10">
        <v>0</v>
      </c>
      <c r="F7" s="10">
        <f t="shared" si="0"/>
        <v>0</v>
      </c>
      <c r="G7" s="11" t="str">
        <f t="shared" si="1"/>
        <v/>
      </c>
      <c r="H7" s="12">
        <v>28709</v>
      </c>
      <c r="I7" s="12">
        <f t="shared" si="2"/>
        <v>-28709</v>
      </c>
      <c r="J7" s="13">
        <f t="shared" si="3"/>
        <v>-1</v>
      </c>
      <c r="K7" s="53" t="s">
        <v>646</v>
      </c>
      <c r="L7" s="136" t="s">
        <v>1425</v>
      </c>
      <c r="M7" s="103" t="s">
        <v>1426</v>
      </c>
      <c r="N7" s="104"/>
      <c r="O7" s="104"/>
      <c r="P7" s="104"/>
      <c r="Q7" s="104"/>
      <c r="R7" s="104"/>
      <c r="S7" s="104"/>
      <c r="T7" s="104"/>
      <c r="U7" s="104"/>
      <c r="V7" s="104"/>
      <c r="W7" s="104"/>
      <c r="X7" s="104"/>
    </row>
    <row r="8" spans="1:24" ht="48" customHeight="1">
      <c r="A8" s="26" t="str">
        <v>K115</v>
      </c>
      <c r="B8" s="27" t="str">
        <v>NY</v>
      </c>
      <c r="C8" s="27" t="str">
        <f>Sites[[#This Row],[SOL'#]]</f>
        <v>SOL-10361</v>
      </c>
      <c r="D8" s="9">
        <v>5994.96875</v>
      </c>
      <c r="E8" s="14">
        <v>15981.37</v>
      </c>
      <c r="F8" s="14">
        <f t="shared" si="0"/>
        <v>-9986.4012500000008</v>
      </c>
      <c r="G8" s="15">
        <f t="shared" si="1"/>
        <v>-0.62487767006207851</v>
      </c>
      <c r="H8" s="16">
        <v>18780.490000000002</v>
      </c>
      <c r="I8" s="16">
        <f t="shared" si="2"/>
        <v>-12785.521250000002</v>
      </c>
      <c r="J8" s="15">
        <f t="shared" si="3"/>
        <v>-0.68078741555731515</v>
      </c>
      <c r="K8" s="51" t="s">
        <v>1427</v>
      </c>
      <c r="L8" s="100" t="s">
        <v>1428</v>
      </c>
      <c r="M8" s="103" t="s">
        <v>1429</v>
      </c>
      <c r="N8" s="104"/>
      <c r="O8" s="104"/>
      <c r="P8" s="104"/>
      <c r="Q8" s="104"/>
      <c r="R8" s="104"/>
      <c r="S8" s="104"/>
      <c r="T8" s="104"/>
      <c r="U8" s="104"/>
      <c r="V8" s="104"/>
      <c r="W8" s="104"/>
      <c r="X8" s="104"/>
    </row>
    <row r="9" spans="1:24" ht="15.6">
      <c r="A9" s="28" t="str">
        <v>K152</v>
      </c>
      <c r="B9" s="25" t="str">
        <v>NY</v>
      </c>
      <c r="C9" s="25" t="str">
        <f>Sites[[#This Row],[SOL'#]]</f>
        <v>SOL-10362</v>
      </c>
      <c r="D9" s="20">
        <v>11235.5</v>
      </c>
      <c r="E9" s="10">
        <v>11639.54</v>
      </c>
      <c r="F9" s="10">
        <f t="shared" si="0"/>
        <v>-404.04000000000087</v>
      </c>
      <c r="G9" s="11">
        <f t="shared" si="1"/>
        <v>-3.4712712014392397E-2</v>
      </c>
      <c r="H9" s="12">
        <v>10840</v>
      </c>
      <c r="I9" s="12">
        <f t="shared" si="2"/>
        <v>395.5</v>
      </c>
      <c r="J9" s="13">
        <f t="shared" si="3"/>
        <v>3.6485239852398522E-2</v>
      </c>
      <c r="K9" s="53"/>
      <c r="L9" s="53"/>
      <c r="M9" s="104"/>
      <c r="N9" s="104"/>
      <c r="O9" s="104"/>
      <c r="P9" s="104"/>
      <c r="Q9" s="104"/>
      <c r="R9" s="104"/>
      <c r="S9" s="104"/>
      <c r="T9" s="104"/>
      <c r="U9" s="104"/>
      <c r="V9" s="104"/>
      <c r="W9" s="104"/>
      <c r="X9" s="104"/>
    </row>
    <row r="10" spans="1:24" ht="15.6">
      <c r="A10" s="26" t="str">
        <v>K166</v>
      </c>
      <c r="B10" s="27" t="str">
        <v>NY</v>
      </c>
      <c r="C10" s="27" t="str">
        <f>Sites[[#This Row],[SOL'#]]</f>
        <v>SOL-10363</v>
      </c>
      <c r="D10" s="9">
        <v>42074.5</v>
      </c>
      <c r="E10" s="14">
        <v>45470.58</v>
      </c>
      <c r="F10" s="14">
        <f t="shared" si="0"/>
        <v>-3396.0800000000017</v>
      </c>
      <c r="G10" s="15">
        <f t="shared" si="1"/>
        <v>-7.4687413268095582E-2</v>
      </c>
      <c r="H10" s="16">
        <v>39952.559999999998</v>
      </c>
      <c r="I10" s="16">
        <f t="shared" si="2"/>
        <v>2121.9400000000023</v>
      </c>
      <c r="J10" s="15">
        <f t="shared" si="3"/>
        <v>5.3111490227409769E-2</v>
      </c>
      <c r="K10" s="51"/>
      <c r="L10" s="51"/>
      <c r="M10" s="104"/>
      <c r="N10" s="104"/>
      <c r="O10" s="104"/>
      <c r="P10" s="104"/>
      <c r="Q10" s="104"/>
      <c r="R10" s="104"/>
      <c r="S10" s="104"/>
      <c r="T10" s="104"/>
      <c r="U10" s="104"/>
      <c r="V10" s="104"/>
      <c r="W10" s="104"/>
      <c r="X10" s="104"/>
    </row>
    <row r="11" spans="1:24" ht="15.6">
      <c r="A11" s="28" t="str">
        <v>K206</v>
      </c>
      <c r="B11" s="25" t="str">
        <v>NY</v>
      </c>
      <c r="C11" s="25" t="str">
        <f>Sites[[#This Row],[SOL'#]]</f>
        <v>SOL-10927</v>
      </c>
      <c r="D11" s="20">
        <v>25801.21875</v>
      </c>
      <c r="E11" s="10">
        <v>24180.51</v>
      </c>
      <c r="F11" s="10">
        <f t="shared" si="0"/>
        <v>1620.7087500000016</v>
      </c>
      <c r="G11" s="11">
        <f t="shared" si="1"/>
        <v>6.7025416337372606E-2</v>
      </c>
      <c r="H11" s="12">
        <v>24570</v>
      </c>
      <c r="I11" s="12">
        <f t="shared" si="2"/>
        <v>1231.21875</v>
      </c>
      <c r="J11" s="13">
        <f t="shared" si="3"/>
        <v>5.0110653235653238E-2</v>
      </c>
      <c r="K11" s="53"/>
      <c r="L11" s="53"/>
      <c r="M11" s="104"/>
      <c r="N11" s="104"/>
      <c r="O11" s="104"/>
      <c r="P11" s="104"/>
      <c r="Q11" s="104"/>
      <c r="R11" s="104"/>
      <c r="S11" s="104"/>
      <c r="T11" s="104"/>
      <c r="U11" s="104"/>
      <c r="V11" s="104"/>
      <c r="W11" s="104"/>
      <c r="X11" s="104"/>
    </row>
    <row r="12" spans="1:24" ht="57.6">
      <c r="A12" s="26" t="str">
        <v>K251</v>
      </c>
      <c r="B12" s="27" t="str">
        <v>NY</v>
      </c>
      <c r="C12" s="27" t="str">
        <f>Sites[[#This Row],[SOL'#]]</f>
        <v>SOL-10365</v>
      </c>
      <c r="D12" s="9">
        <v>20454.375</v>
      </c>
      <c r="E12" s="14">
        <v>0</v>
      </c>
      <c r="F12" s="14">
        <f t="shared" si="0"/>
        <v>20454.375</v>
      </c>
      <c r="G12" s="15" t="str">
        <f t="shared" si="1"/>
        <v/>
      </c>
      <c r="H12" s="16">
        <v>25324.63</v>
      </c>
      <c r="I12" s="16">
        <f t="shared" si="2"/>
        <v>-4870.255000000001</v>
      </c>
      <c r="J12" s="15">
        <f t="shared" si="3"/>
        <v>-0.19231297752425211</v>
      </c>
      <c r="K12" s="51" t="s">
        <v>1430</v>
      </c>
      <c r="L12" s="100" t="s">
        <v>1431</v>
      </c>
      <c r="M12" s="103" t="s">
        <v>1177</v>
      </c>
      <c r="N12" s="103" t="s">
        <v>1178</v>
      </c>
      <c r="O12" s="104"/>
      <c r="P12" s="104"/>
      <c r="Q12" s="104"/>
      <c r="R12" s="104"/>
      <c r="S12" s="104"/>
      <c r="T12" s="104"/>
      <c r="U12" s="104"/>
      <c r="V12" s="104"/>
      <c r="W12" s="104"/>
      <c r="X12" s="104"/>
    </row>
    <row r="13" spans="1:24" ht="28.9">
      <c r="A13" s="28" t="str">
        <v>K269</v>
      </c>
      <c r="B13" s="25" t="str">
        <v>NY</v>
      </c>
      <c r="C13" s="25" t="str">
        <f>Sites[[#This Row],[SOL'#]]</f>
        <v>SOL-10366</v>
      </c>
      <c r="D13" s="20">
        <v>24601.3125</v>
      </c>
      <c r="E13" s="10">
        <v>28866.1</v>
      </c>
      <c r="F13" s="10">
        <f t="shared" si="0"/>
        <v>-4264.7874999999985</v>
      </c>
      <c r="G13" s="11">
        <f t="shared" si="1"/>
        <v>-0.14774380674909318</v>
      </c>
      <c r="H13" s="12">
        <v>25783.66</v>
      </c>
      <c r="I13" s="12">
        <f t="shared" si="2"/>
        <v>-1182.3474999999999</v>
      </c>
      <c r="J13" s="13">
        <f t="shared" si="3"/>
        <v>-4.585646490839547E-2</v>
      </c>
      <c r="K13" s="53" t="s">
        <v>1179</v>
      </c>
      <c r="L13" s="53"/>
      <c r="M13" s="104"/>
      <c r="N13" s="104"/>
      <c r="O13" s="104"/>
      <c r="P13" s="104"/>
      <c r="Q13" s="104"/>
      <c r="R13" s="104"/>
      <c r="S13" s="104"/>
      <c r="T13" s="104"/>
      <c r="U13" s="104"/>
      <c r="V13" s="104"/>
      <c r="W13" s="104"/>
      <c r="X13" s="104"/>
    </row>
    <row r="14" spans="1:24" ht="57.6">
      <c r="A14" s="26" t="str">
        <v>K273</v>
      </c>
      <c r="B14" s="27" t="str">
        <v>NY</v>
      </c>
      <c r="C14" s="27" t="str">
        <f>Sites[[#This Row],[SOL'#]]</f>
        <v>SOL-10367</v>
      </c>
      <c r="D14" s="9">
        <v>19989.1875</v>
      </c>
      <c r="E14" s="14">
        <v>0</v>
      </c>
      <c r="F14" s="14">
        <f t="shared" si="0"/>
        <v>19989.1875</v>
      </c>
      <c r="G14" s="15" t="str">
        <f t="shared" si="1"/>
        <v/>
      </c>
      <c r="H14" s="16">
        <v>30662</v>
      </c>
      <c r="I14" s="16">
        <f t="shared" si="2"/>
        <v>-10672.8125</v>
      </c>
      <c r="J14" s="15">
        <f t="shared" si="3"/>
        <v>-0.34807946317917943</v>
      </c>
      <c r="K14" s="51" t="s">
        <v>1432</v>
      </c>
      <c r="L14" s="100" t="s">
        <v>1433</v>
      </c>
      <c r="M14" s="103" t="s">
        <v>1434</v>
      </c>
      <c r="N14" s="104"/>
      <c r="O14" s="104"/>
      <c r="P14" s="104"/>
      <c r="Q14" s="104"/>
      <c r="R14" s="104"/>
      <c r="S14" s="104"/>
      <c r="T14" s="104"/>
      <c r="U14" s="104"/>
      <c r="V14" s="104"/>
      <c r="W14" s="104"/>
      <c r="X14" s="104"/>
    </row>
    <row r="15" spans="1:24" ht="15.6">
      <c r="A15" s="28" t="str">
        <v>K287</v>
      </c>
      <c r="B15" s="25" t="str">
        <v>NY</v>
      </c>
      <c r="C15" s="25" t="str">
        <f>Sites[[#This Row],[SOL'#]]</f>
        <v>SOL-10919</v>
      </c>
      <c r="D15" s="20">
        <v>21277.71875</v>
      </c>
      <c r="E15" s="10">
        <v>18223.169999999998</v>
      </c>
      <c r="F15" s="10">
        <f t="shared" si="0"/>
        <v>3054.5487500000017</v>
      </c>
      <c r="G15" s="11">
        <f t="shared" si="1"/>
        <v>0.16761895707497665</v>
      </c>
      <c r="H15" s="12">
        <v>22153</v>
      </c>
      <c r="I15" s="12">
        <f t="shared" si="2"/>
        <v>-875.28125</v>
      </c>
      <c r="J15" s="13">
        <f t="shared" si="3"/>
        <v>-3.9510732180743018E-2</v>
      </c>
      <c r="K15" s="53"/>
      <c r="L15" s="53"/>
      <c r="M15" s="104"/>
      <c r="N15" s="104"/>
      <c r="O15" s="104"/>
      <c r="P15" s="104"/>
      <c r="Q15" s="104"/>
      <c r="R15" s="104"/>
      <c r="S15" s="104"/>
      <c r="T15" s="104"/>
      <c r="U15" s="104"/>
      <c r="V15" s="104"/>
      <c r="W15" s="104"/>
      <c r="X15" s="104"/>
    </row>
    <row r="16" spans="1:24" ht="28.9">
      <c r="A16" s="26" t="str">
        <v>K298</v>
      </c>
      <c r="B16" s="27" t="str">
        <v>NY</v>
      </c>
      <c r="C16" s="27" t="str">
        <f>Sites[[#This Row],[SOL'#]]</f>
        <v>SOL-10368</v>
      </c>
      <c r="D16" s="9">
        <v>23346.625</v>
      </c>
      <c r="E16" s="14">
        <v>24604.5</v>
      </c>
      <c r="F16" s="14">
        <f t="shared" si="0"/>
        <v>-1257.875</v>
      </c>
      <c r="G16" s="15">
        <f t="shared" si="1"/>
        <v>-5.1123778170659842E-2</v>
      </c>
      <c r="H16" s="16">
        <v>26042</v>
      </c>
      <c r="I16" s="16">
        <f t="shared" si="2"/>
        <v>-2695.375</v>
      </c>
      <c r="J16" s="15">
        <f t="shared" si="3"/>
        <v>-0.10350107518623762</v>
      </c>
      <c r="K16" s="51" t="s">
        <v>1435</v>
      </c>
      <c r="L16" s="100" t="s">
        <v>651</v>
      </c>
      <c r="M16" s="104"/>
      <c r="N16" s="104"/>
      <c r="O16" s="104"/>
      <c r="P16" s="104"/>
      <c r="Q16" s="104"/>
      <c r="R16" s="104"/>
      <c r="S16" s="104"/>
      <c r="T16" s="104"/>
      <c r="U16" s="104"/>
      <c r="V16" s="104"/>
      <c r="W16" s="104"/>
      <c r="X16" s="104"/>
    </row>
    <row r="17" spans="1:24" ht="57.6">
      <c r="A17" s="28" t="str">
        <v>K335</v>
      </c>
      <c r="B17" s="25" t="str">
        <v>NY</v>
      </c>
      <c r="C17" s="25" t="str">
        <f>Sites[[#This Row],[SOL'#]]</f>
        <v>SOL-10370</v>
      </c>
      <c r="D17" s="20">
        <v>23818.1875</v>
      </c>
      <c r="E17" s="10">
        <v>27510.19</v>
      </c>
      <c r="F17" s="10">
        <f>IF(AND(ISNUMBER(D17),ISNUMBER(E17)), D17-E17, "")</f>
        <v>-3692.0024999999987</v>
      </c>
      <c r="G17" s="55">
        <f>IFERROR(F17/E17, "")</f>
        <v>-0.13420490734524185</v>
      </c>
      <c r="H17" s="12">
        <v>6708.5969999999998</v>
      </c>
      <c r="I17" s="12">
        <f t="shared" si="2"/>
        <v>17109.590499999998</v>
      </c>
      <c r="J17" s="13">
        <f t="shared" si="3"/>
        <v>2.5503977210137974</v>
      </c>
      <c r="K17" s="53" t="s">
        <v>1436</v>
      </c>
      <c r="L17" s="99" t="s">
        <v>1437</v>
      </c>
      <c r="M17" s="104"/>
      <c r="N17" s="104"/>
      <c r="O17" s="104"/>
      <c r="P17" s="104"/>
      <c r="Q17" s="104"/>
      <c r="R17" s="104"/>
      <c r="S17" s="104"/>
      <c r="T17" s="104"/>
      <c r="U17" s="104"/>
      <c r="V17" s="104"/>
      <c r="W17" s="104"/>
      <c r="X17" s="104"/>
    </row>
    <row r="18" spans="1:24" ht="28.9">
      <c r="A18" s="26" t="str">
        <v>K345</v>
      </c>
      <c r="B18" s="27" t="str">
        <v>NY</v>
      </c>
      <c r="C18" s="27" t="str">
        <f>Sites[[#This Row],[SOL'#]]</f>
        <v>SOL-10920</v>
      </c>
      <c r="D18" s="9">
        <v>28493.59375</v>
      </c>
      <c r="E18" s="14">
        <v>16426.560000000001</v>
      </c>
      <c r="F18" s="14">
        <f t="shared" si="0"/>
        <v>12067.033749999999</v>
      </c>
      <c r="G18" s="15">
        <f t="shared" si="1"/>
        <v>0.73460503903434426</v>
      </c>
      <c r="H18" s="16">
        <v>29496</v>
      </c>
      <c r="I18" s="16">
        <f t="shared" si="2"/>
        <v>-1002.40625</v>
      </c>
      <c r="J18" s="15">
        <f t="shared" si="3"/>
        <v>-3.3984480946569029E-2</v>
      </c>
      <c r="K18" s="51" t="s">
        <v>1185</v>
      </c>
      <c r="L18" s="100" t="s">
        <v>1438</v>
      </c>
      <c r="M18" s="104"/>
      <c r="N18" s="104"/>
      <c r="O18" s="104"/>
      <c r="P18" s="104"/>
      <c r="Q18" s="104"/>
      <c r="R18" s="104"/>
      <c r="S18" s="104"/>
      <c r="T18" s="104"/>
      <c r="U18" s="104"/>
      <c r="V18" s="104"/>
      <c r="W18" s="104"/>
      <c r="X18" s="104"/>
    </row>
    <row r="19" spans="1:24" ht="15.6">
      <c r="A19" s="28" t="str">
        <v>K445</v>
      </c>
      <c r="B19" s="25" t="str">
        <v>NY</v>
      </c>
      <c r="C19" s="25" t="str">
        <f>Sites[[#This Row],[SOL'#]]</f>
        <v>SOL-10373</v>
      </c>
      <c r="D19" s="20">
        <v>23873.90625</v>
      </c>
      <c r="E19" s="10">
        <v>25868.68</v>
      </c>
      <c r="F19" s="10">
        <f t="shared" si="0"/>
        <v>-1994.7737500000003</v>
      </c>
      <c r="G19" s="11">
        <f t="shared" si="1"/>
        <v>-7.7111539900760306E-2</v>
      </c>
      <c r="H19" s="12">
        <v>24192.71</v>
      </c>
      <c r="I19" s="12">
        <f t="shared" si="2"/>
        <v>-318.80374999999913</v>
      </c>
      <c r="J19" s="13">
        <f t="shared" si="3"/>
        <v>-1.3177678317145915E-2</v>
      </c>
      <c r="K19" s="53"/>
      <c r="L19" s="53"/>
      <c r="M19" s="104"/>
      <c r="N19" s="104"/>
      <c r="O19" s="104"/>
      <c r="P19" s="104"/>
      <c r="Q19" s="104"/>
      <c r="R19" s="104"/>
      <c r="S19" s="104"/>
      <c r="T19" s="104"/>
      <c r="U19" s="104"/>
      <c r="V19" s="104"/>
      <c r="W19" s="104"/>
      <c r="X19" s="104"/>
    </row>
    <row r="20" spans="1:24" ht="72">
      <c r="A20" s="26" t="str">
        <v>K495</v>
      </c>
      <c r="B20" s="27" t="str">
        <v>NY</v>
      </c>
      <c r="C20" s="27" t="str">
        <f>Sites[[#This Row],[SOL'#]]</f>
        <v>SOL-10374</v>
      </c>
      <c r="D20" s="9">
        <v>101785.470477387</v>
      </c>
      <c r="E20" s="14">
        <v>100102.3</v>
      </c>
      <c r="F20" s="14">
        <f t="shared" si="0"/>
        <v>1683.1704773870006</v>
      </c>
      <c r="G20" s="15">
        <f t="shared" si="1"/>
        <v>1.6814503536751908E-2</v>
      </c>
      <c r="H20" s="16">
        <v>100968.4</v>
      </c>
      <c r="I20" s="16">
        <f t="shared" si="2"/>
        <v>817.0704773870093</v>
      </c>
      <c r="J20" s="15">
        <f t="shared" si="3"/>
        <v>8.0923385671854697E-3</v>
      </c>
      <c r="K20" s="51" t="s">
        <v>915</v>
      </c>
      <c r="L20" s="100" t="s">
        <v>1187</v>
      </c>
      <c r="M20" s="104"/>
      <c r="N20" s="104"/>
      <c r="O20" s="104"/>
      <c r="P20" s="104"/>
      <c r="Q20" s="104"/>
      <c r="R20" s="104"/>
      <c r="S20" s="104"/>
      <c r="T20" s="104"/>
      <c r="U20" s="104"/>
      <c r="V20" s="104"/>
      <c r="W20" s="104"/>
      <c r="X20" s="104"/>
    </row>
    <row r="21" spans="1:24" ht="15.6">
      <c r="A21" s="28" t="str">
        <v>M020</v>
      </c>
      <c r="B21" s="25" t="str">
        <v>NY</v>
      </c>
      <c r="C21" s="25" t="str">
        <f>Sites[[#This Row],[SOL'#]]</f>
        <v>SOL-10380</v>
      </c>
      <c r="D21" s="20">
        <v>26263.71875</v>
      </c>
      <c r="E21" s="10">
        <v>26808.87</v>
      </c>
      <c r="F21" s="10">
        <f t="shared" si="0"/>
        <v>-545.15124999999898</v>
      </c>
      <c r="G21" s="11">
        <f t="shared" si="1"/>
        <v>-2.0334734362171886E-2</v>
      </c>
      <c r="H21" s="12">
        <v>27263</v>
      </c>
      <c r="I21" s="12">
        <f t="shared" si="2"/>
        <v>-999.28125</v>
      </c>
      <c r="J21" s="13">
        <f t="shared" si="3"/>
        <v>-3.6653385540842902E-2</v>
      </c>
      <c r="K21" s="53"/>
      <c r="L21" s="53"/>
      <c r="M21" s="104"/>
      <c r="N21" s="104"/>
      <c r="O21" s="104"/>
      <c r="P21" s="104"/>
      <c r="Q21" s="104"/>
      <c r="R21" s="104"/>
      <c r="S21" s="104"/>
      <c r="T21" s="104"/>
      <c r="U21" s="104"/>
      <c r="V21" s="104"/>
      <c r="W21" s="104"/>
      <c r="X21" s="104"/>
    </row>
    <row r="22" spans="1:24" ht="15.6">
      <c r="A22" s="26" t="str">
        <v>M092</v>
      </c>
      <c r="B22" s="27" t="str">
        <v>NY</v>
      </c>
      <c r="C22" s="27" t="str">
        <f>Sites[[#This Row],[SOL'#]]</f>
        <v>SOL-10383</v>
      </c>
      <c r="D22" s="9">
        <v>25513.3125</v>
      </c>
      <c r="E22" s="14">
        <v>27052.52</v>
      </c>
      <c r="F22" s="14">
        <f t="shared" si="0"/>
        <v>-1539.2075000000004</v>
      </c>
      <c r="G22" s="15">
        <f t="shared" si="1"/>
        <v>-5.6897009964321267E-2</v>
      </c>
      <c r="H22" s="16">
        <v>26962.78</v>
      </c>
      <c r="I22" s="16">
        <f t="shared" si="2"/>
        <v>-1449.4674999999988</v>
      </c>
      <c r="J22" s="15">
        <f t="shared" si="3"/>
        <v>-5.3758088001311398E-2</v>
      </c>
      <c r="K22" s="51"/>
      <c r="L22" s="51"/>
      <c r="M22" s="104"/>
      <c r="N22" s="104"/>
      <c r="O22" s="104"/>
      <c r="P22" s="104"/>
      <c r="Q22" s="104"/>
      <c r="R22" s="104"/>
      <c r="S22" s="104"/>
      <c r="T22" s="104"/>
      <c r="U22" s="104"/>
      <c r="V22" s="104"/>
      <c r="W22" s="104"/>
      <c r="X22" s="104"/>
    </row>
    <row r="23" spans="1:24" ht="15.6">
      <c r="A23" s="28" t="str">
        <v>M143</v>
      </c>
      <c r="B23" s="25" t="str">
        <v>NY</v>
      </c>
      <c r="C23" s="25" t="str">
        <f>Sites[[#This Row],[SOL'#]]</f>
        <v>SOL-10384</v>
      </c>
      <c r="D23" s="20">
        <v>26932.8125</v>
      </c>
      <c r="E23" s="10">
        <v>33267.06</v>
      </c>
      <c r="F23" s="10">
        <f t="shared" si="0"/>
        <v>-6334.2474999999977</v>
      </c>
      <c r="G23" s="11">
        <f t="shared" si="1"/>
        <v>-0.19040599018969509</v>
      </c>
      <c r="H23" s="12">
        <v>28941.11</v>
      </c>
      <c r="I23" s="12">
        <f t="shared" si="2"/>
        <v>-2008.2975000000006</v>
      </c>
      <c r="J23" s="13">
        <f t="shared" si="3"/>
        <v>-6.9392552669887253E-2</v>
      </c>
      <c r="K23" s="53" t="s">
        <v>1188</v>
      </c>
      <c r="L23" s="99" t="s">
        <v>1439</v>
      </c>
      <c r="M23" s="104"/>
      <c r="N23" s="104"/>
      <c r="O23" s="104"/>
      <c r="P23" s="104"/>
      <c r="Q23" s="104"/>
      <c r="R23" s="104"/>
      <c r="S23" s="104"/>
      <c r="T23" s="104"/>
      <c r="U23" s="104"/>
      <c r="V23" s="104"/>
      <c r="W23" s="104"/>
      <c r="X23" s="104"/>
    </row>
    <row r="24" spans="1:24" ht="15.6">
      <c r="A24" s="26" t="str">
        <v>M144</v>
      </c>
      <c r="B24" s="27" t="str">
        <v>NY</v>
      </c>
      <c r="C24" s="27" t="str">
        <f>Sites[[#This Row],[SOL'#]]</f>
        <v>SOL-10385</v>
      </c>
      <c r="D24" s="9">
        <v>41808.0625</v>
      </c>
      <c r="E24" s="14">
        <v>45206.86</v>
      </c>
      <c r="F24" s="14">
        <f t="shared" si="0"/>
        <v>-3398.7975000000006</v>
      </c>
      <c r="G24" s="15">
        <f t="shared" si="1"/>
        <v>-7.518322440443774E-2</v>
      </c>
      <c r="H24" s="16">
        <v>48675.37</v>
      </c>
      <c r="I24" s="16">
        <f t="shared" si="2"/>
        <v>-6867.3075000000026</v>
      </c>
      <c r="J24" s="15">
        <f t="shared" si="3"/>
        <v>-0.1410838274059345</v>
      </c>
      <c r="K24" s="182" t="s">
        <v>1440</v>
      </c>
      <c r="L24" s="51"/>
      <c r="M24" s="104"/>
      <c r="N24" s="104"/>
      <c r="O24" s="104"/>
      <c r="P24" s="104"/>
      <c r="Q24" s="104"/>
      <c r="R24" s="104"/>
      <c r="S24" s="104"/>
      <c r="T24" s="104"/>
      <c r="U24" s="104"/>
      <c r="V24" s="104"/>
      <c r="W24" s="104"/>
      <c r="X24" s="104"/>
    </row>
    <row r="25" spans="1:24" ht="15.6">
      <c r="A25" s="28" t="str">
        <v>M167</v>
      </c>
      <c r="B25" s="25" t="str">
        <v>NY</v>
      </c>
      <c r="C25" s="25" t="str">
        <f>Sites[[#This Row],[SOL'#]]</f>
        <v>SOL-10386</v>
      </c>
      <c r="D25" s="20">
        <v>32401.5</v>
      </c>
      <c r="E25" s="10">
        <v>23815.59</v>
      </c>
      <c r="F25" s="10">
        <f t="shared" si="0"/>
        <v>8585.91</v>
      </c>
      <c r="G25" s="11">
        <f t="shared" si="1"/>
        <v>0.36051636763985273</v>
      </c>
      <c r="H25" s="12">
        <v>35855.980000000003</v>
      </c>
      <c r="I25" s="12">
        <f t="shared" si="2"/>
        <v>-3454.4800000000032</v>
      </c>
      <c r="J25" s="13">
        <f t="shared" si="3"/>
        <v>-9.6343204118253159E-2</v>
      </c>
      <c r="K25" s="53"/>
      <c r="L25" s="53"/>
      <c r="M25" s="104"/>
      <c r="N25" s="104"/>
      <c r="O25" s="104"/>
      <c r="P25" s="104"/>
      <c r="Q25" s="104"/>
      <c r="R25" s="104"/>
      <c r="S25" s="104"/>
      <c r="T25" s="104"/>
      <c r="U25" s="104"/>
      <c r="V25" s="104"/>
      <c r="W25" s="104"/>
      <c r="X25" s="104"/>
    </row>
    <row r="26" spans="1:24" ht="15.6">
      <c r="A26" s="26" t="str">
        <v>M188</v>
      </c>
      <c r="B26" s="27" t="str">
        <v>NY</v>
      </c>
      <c r="C26" s="27" t="str">
        <f>Sites[[#This Row],[SOL'#]]</f>
        <v>SOL-10387</v>
      </c>
      <c r="D26" s="9">
        <v>22118.3125</v>
      </c>
      <c r="E26" s="14">
        <v>22518.45</v>
      </c>
      <c r="F26" s="14">
        <f t="shared" si="0"/>
        <v>-400.13750000000073</v>
      </c>
      <c r="G26" s="15">
        <f t="shared" si="1"/>
        <v>-1.7769318048089486E-2</v>
      </c>
      <c r="H26" s="16">
        <v>24672.09</v>
      </c>
      <c r="I26" s="16">
        <f t="shared" si="2"/>
        <v>-2553.7775000000001</v>
      </c>
      <c r="J26" s="15">
        <f t="shared" si="3"/>
        <v>-0.10350876233022821</v>
      </c>
      <c r="K26" s="51" t="s">
        <v>1441</v>
      </c>
      <c r="L26" s="51"/>
      <c r="M26" s="104"/>
      <c r="N26" s="104"/>
      <c r="O26" s="104"/>
      <c r="P26" s="104"/>
      <c r="Q26" s="104"/>
      <c r="R26" s="104"/>
      <c r="S26" s="104"/>
      <c r="T26" s="104"/>
      <c r="U26" s="104"/>
      <c r="V26" s="104"/>
      <c r="W26" s="104"/>
      <c r="X26" s="104"/>
    </row>
    <row r="27" spans="1:24" ht="15.6">
      <c r="A27" s="28" t="str">
        <v>EMHC</v>
      </c>
      <c r="B27" s="25" t="str">
        <v>NY</v>
      </c>
      <c r="C27" s="25" t="str">
        <f>Sites[[#This Row],[SOL'#]]</f>
        <v>SOL-10351</v>
      </c>
      <c r="D27" s="20">
        <v>8553.828125</v>
      </c>
      <c r="E27" s="10">
        <v>7417.9120000000003</v>
      </c>
      <c r="F27" s="10">
        <f t="shared" si="0"/>
        <v>1135.9161249999997</v>
      </c>
      <c r="G27" s="11">
        <f t="shared" si="1"/>
        <v>0.15313151800668431</v>
      </c>
      <c r="H27" s="12">
        <v>12191.91</v>
      </c>
      <c r="I27" s="12">
        <f t="shared" si="2"/>
        <v>-3638.0818749999999</v>
      </c>
      <c r="J27" s="13">
        <f t="shared" si="3"/>
        <v>-0.298401306686155</v>
      </c>
      <c r="K27" s="53" t="s">
        <v>668</v>
      </c>
      <c r="L27" s="99" t="s">
        <v>669</v>
      </c>
      <c r="M27" s="104"/>
      <c r="N27" s="104"/>
      <c r="O27" s="104"/>
      <c r="P27" s="104"/>
      <c r="Q27" s="104"/>
      <c r="R27" s="104"/>
      <c r="S27" s="104"/>
      <c r="T27" s="104"/>
      <c r="U27" s="104"/>
      <c r="V27" s="104"/>
      <c r="W27" s="104"/>
      <c r="X27" s="104"/>
    </row>
    <row r="28" spans="1:24" ht="43.15">
      <c r="A28" s="26" t="str">
        <v>Q008</v>
      </c>
      <c r="B28" s="27" t="str">
        <v>NY</v>
      </c>
      <c r="C28" s="27" t="str">
        <f>Sites[[#This Row],[SOL'#]]</f>
        <v>SOL-10397</v>
      </c>
      <c r="D28" s="9">
        <v>0</v>
      </c>
      <c r="E28" s="14">
        <v>0</v>
      </c>
      <c r="F28" s="14">
        <f t="shared" si="0"/>
        <v>0</v>
      </c>
      <c r="G28" s="15" t="str">
        <f t="shared" si="1"/>
        <v/>
      </c>
      <c r="H28" s="16">
        <v>36312</v>
      </c>
      <c r="I28" s="16">
        <f t="shared" si="2"/>
        <v>-36312</v>
      </c>
      <c r="J28" s="15">
        <f t="shared" si="3"/>
        <v>-1</v>
      </c>
      <c r="K28" s="51" t="s">
        <v>1442</v>
      </c>
      <c r="L28" s="100" t="s">
        <v>1443</v>
      </c>
      <c r="M28" s="103" t="s">
        <v>1444</v>
      </c>
      <c r="N28" s="104"/>
      <c r="O28" s="104"/>
      <c r="P28" s="104"/>
      <c r="Q28" s="104"/>
      <c r="R28" s="104"/>
      <c r="S28" s="104"/>
      <c r="T28" s="104"/>
      <c r="U28" s="104"/>
      <c r="V28" s="104"/>
      <c r="W28" s="104"/>
      <c r="X28" s="104"/>
    </row>
    <row r="29" spans="1:24" ht="15.6">
      <c r="A29" s="28" t="str">
        <v>Q018</v>
      </c>
      <c r="B29" s="25" t="str">
        <v>NY</v>
      </c>
      <c r="C29" s="25" t="str">
        <f>Sites[[#This Row],[SOL'#]]</f>
        <v>SOL-10398</v>
      </c>
      <c r="D29" s="20">
        <v>22422.5625</v>
      </c>
      <c r="E29" s="10">
        <v>24285.08</v>
      </c>
      <c r="F29" s="10">
        <f t="shared" si="0"/>
        <v>-1862.5175000000017</v>
      </c>
      <c r="G29" s="11">
        <f t="shared" si="1"/>
        <v>-7.6693900123038575E-2</v>
      </c>
      <c r="H29" s="12">
        <v>19671.97</v>
      </c>
      <c r="I29" s="12">
        <f t="shared" si="2"/>
        <v>2750.5924999999988</v>
      </c>
      <c r="J29" s="13">
        <f t="shared" si="3"/>
        <v>0.13982293079950806</v>
      </c>
      <c r="K29" s="53"/>
      <c r="L29" s="53"/>
      <c r="M29" s="104"/>
      <c r="N29" s="104"/>
      <c r="O29" s="104"/>
      <c r="P29" s="104"/>
      <c r="Q29" s="104"/>
      <c r="R29" s="104"/>
      <c r="S29" s="104"/>
      <c r="T29" s="104"/>
      <c r="U29" s="104"/>
      <c r="V29" s="104"/>
      <c r="W29" s="104"/>
      <c r="X29" s="104"/>
    </row>
    <row r="30" spans="1:24" ht="15.6">
      <c r="A30" s="26" t="str">
        <v>Q021</v>
      </c>
      <c r="B30" s="27" t="str">
        <v>NY</v>
      </c>
      <c r="C30" s="27" t="str">
        <f>Sites[[#This Row],[SOL'#]]</f>
        <v>SOL-10399</v>
      </c>
      <c r="D30" s="9">
        <v>17811.25</v>
      </c>
      <c r="E30" s="14">
        <v>17422.689999999999</v>
      </c>
      <c r="F30" s="14">
        <f t="shared" si="0"/>
        <v>388.56000000000131</v>
      </c>
      <c r="G30" s="15">
        <f t="shared" si="1"/>
        <v>2.2301952224369564E-2</v>
      </c>
      <c r="H30" s="16">
        <v>16686.18</v>
      </c>
      <c r="I30" s="16">
        <f t="shared" si="2"/>
        <v>1125.0699999999997</v>
      </c>
      <c r="J30" s="15">
        <f t="shared" si="3"/>
        <v>6.7425258507339589E-2</v>
      </c>
      <c r="K30" s="51"/>
      <c r="L30" s="51"/>
      <c r="M30" s="104"/>
      <c r="N30" s="104"/>
      <c r="O30" s="104"/>
      <c r="P30" s="104"/>
      <c r="Q30" s="104"/>
      <c r="R30" s="104"/>
      <c r="S30" s="104"/>
      <c r="T30" s="104"/>
      <c r="U30" s="104"/>
      <c r="V30" s="104"/>
      <c r="W30" s="104"/>
      <c r="X30" s="104"/>
    </row>
    <row r="31" spans="1:24" ht="15.6">
      <c r="A31" s="28" t="str">
        <v>Q025</v>
      </c>
      <c r="B31" s="25" t="str">
        <v>NY</v>
      </c>
      <c r="C31" s="25" t="str">
        <f>Sites[[#This Row],[SOL'#]]</f>
        <v>SOL-10400</v>
      </c>
      <c r="D31" s="20">
        <v>30847.0625</v>
      </c>
      <c r="E31" s="10">
        <v>30210.9</v>
      </c>
      <c r="F31" s="10">
        <f t="shared" si="0"/>
        <v>636.16249999999854</v>
      </c>
      <c r="G31" s="11">
        <f t="shared" si="1"/>
        <v>2.1057383262332419E-2</v>
      </c>
      <c r="H31" s="12">
        <v>15399</v>
      </c>
      <c r="I31" s="12">
        <f t="shared" si="2"/>
        <v>15448.0625</v>
      </c>
      <c r="J31" s="13">
        <f t="shared" si="3"/>
        <v>1.0031860835119164</v>
      </c>
      <c r="K31" s="53"/>
      <c r="L31" s="53"/>
      <c r="M31" s="104"/>
      <c r="N31" s="104"/>
      <c r="O31" s="104"/>
      <c r="P31" s="104"/>
      <c r="Q31" s="104"/>
      <c r="R31" s="104"/>
      <c r="S31" s="104"/>
      <c r="T31" s="104"/>
      <c r="U31" s="104"/>
      <c r="V31" s="104"/>
      <c r="W31" s="104"/>
      <c r="X31" s="104"/>
    </row>
    <row r="32" spans="1:24" ht="15.6">
      <c r="A32" s="26" t="str">
        <v>Q074</v>
      </c>
      <c r="B32" s="27" t="str">
        <v>NY</v>
      </c>
      <c r="C32" s="27" t="str">
        <f>Sites[[#This Row],[SOL'#]]</f>
        <v>SOL-10402</v>
      </c>
      <c r="D32" s="9">
        <v>20091.25</v>
      </c>
      <c r="E32" s="14">
        <v>20099.009999999998</v>
      </c>
      <c r="F32" s="14">
        <f t="shared" si="0"/>
        <v>-7.7599999999983993</v>
      </c>
      <c r="G32" s="15">
        <f t="shared" si="1"/>
        <v>-3.8608866804874467E-4</v>
      </c>
      <c r="H32" s="16">
        <v>18770.07</v>
      </c>
      <c r="I32" s="16">
        <f t="shared" si="2"/>
        <v>1321.1800000000003</v>
      </c>
      <c r="J32" s="15">
        <f t="shared" si="3"/>
        <v>7.0387590456508706E-2</v>
      </c>
      <c r="K32" s="51"/>
      <c r="L32" s="51"/>
      <c r="M32" s="104"/>
      <c r="N32" s="104"/>
      <c r="O32" s="104"/>
      <c r="P32" s="104"/>
      <c r="Q32" s="104"/>
      <c r="R32" s="104"/>
      <c r="S32" s="104"/>
      <c r="T32" s="104"/>
      <c r="U32" s="104"/>
      <c r="V32" s="104"/>
      <c r="W32" s="104"/>
      <c r="X32" s="104"/>
    </row>
    <row r="33" spans="1:24" ht="15.6">
      <c r="A33" s="28" t="str">
        <v>Q115</v>
      </c>
      <c r="B33" s="25" t="str">
        <v>NY</v>
      </c>
      <c r="C33" s="25" t="str">
        <f>Sites[[#This Row],[SOL'#]]</f>
        <v>SOL-10872</v>
      </c>
      <c r="D33" s="20">
        <v>25668.562500000098</v>
      </c>
      <c r="E33" s="10">
        <v>27335.48</v>
      </c>
      <c r="F33" s="10">
        <f t="shared" si="0"/>
        <v>-1666.9174999999013</v>
      </c>
      <c r="G33" s="11">
        <f t="shared" si="1"/>
        <v>-6.09799974245889E-2</v>
      </c>
      <c r="H33" s="12">
        <v>24925.88</v>
      </c>
      <c r="I33" s="12">
        <f t="shared" si="2"/>
        <v>742.68250000009721</v>
      </c>
      <c r="J33" s="13">
        <f t="shared" si="3"/>
        <v>2.9795638107866087E-2</v>
      </c>
      <c r="K33" s="53"/>
      <c r="L33" s="53"/>
      <c r="M33" s="104"/>
      <c r="N33" s="104"/>
      <c r="O33" s="104"/>
      <c r="P33" s="104"/>
      <c r="Q33" s="104"/>
      <c r="R33" s="104"/>
      <c r="S33" s="104"/>
      <c r="T33" s="104"/>
      <c r="U33" s="104"/>
      <c r="V33" s="104"/>
      <c r="W33" s="104"/>
      <c r="X33" s="104"/>
    </row>
    <row r="34" spans="1:24" ht="28.9">
      <c r="A34" s="26" t="str">
        <v>Q139</v>
      </c>
      <c r="B34" s="27" t="str">
        <v>NY</v>
      </c>
      <c r="C34" s="27" t="str">
        <f>Sites[[#This Row],[SOL'#]]</f>
        <v>SOL-10403</v>
      </c>
      <c r="D34" s="9">
        <v>15708.0625</v>
      </c>
      <c r="E34" s="14">
        <v>17354.150000000001</v>
      </c>
      <c r="F34" s="14">
        <f t="shared" si="0"/>
        <v>-1646.0875000000015</v>
      </c>
      <c r="G34" s="15">
        <f t="shared" si="1"/>
        <v>-9.4852672127416285E-2</v>
      </c>
      <c r="H34" s="16">
        <v>15860</v>
      </c>
      <c r="I34" s="16">
        <f t="shared" si="2"/>
        <v>-151.9375</v>
      </c>
      <c r="J34" s="15">
        <f t="shared" si="3"/>
        <v>-9.5799180327868858E-3</v>
      </c>
      <c r="K34" s="51" t="s">
        <v>1445</v>
      </c>
      <c r="L34" s="100" t="s">
        <v>1446</v>
      </c>
      <c r="M34" s="104"/>
      <c r="N34" s="104"/>
      <c r="O34" s="104"/>
      <c r="P34" s="104"/>
      <c r="Q34" s="104"/>
      <c r="R34" s="104"/>
      <c r="S34" s="104"/>
      <c r="T34" s="104"/>
      <c r="U34" s="104"/>
      <c r="V34" s="104"/>
      <c r="W34" s="104"/>
      <c r="X34" s="104"/>
    </row>
    <row r="35" spans="1:24" ht="28.9">
      <c r="A35" s="28" t="str">
        <v>Q157</v>
      </c>
      <c r="B35" s="25" t="str">
        <v>NY</v>
      </c>
      <c r="C35" s="25" t="str">
        <f>Sites[[#This Row],[SOL'#]]</f>
        <v>SOL-10404</v>
      </c>
      <c r="D35" s="20">
        <v>27253.8125</v>
      </c>
      <c r="E35" s="10">
        <v>30897.83</v>
      </c>
      <c r="F35" s="10">
        <f t="shared" si="0"/>
        <v>-3644.0175000000017</v>
      </c>
      <c r="G35" s="11">
        <f t="shared" si="1"/>
        <v>-0.11793765128489611</v>
      </c>
      <c r="H35" s="12">
        <v>27966.37</v>
      </c>
      <c r="I35" s="12">
        <f t="shared" si="2"/>
        <v>-712.55749999999898</v>
      </c>
      <c r="J35" s="13">
        <f t="shared" si="3"/>
        <v>-2.5479084343087752E-2</v>
      </c>
      <c r="K35" s="53" t="s">
        <v>1447</v>
      </c>
      <c r="L35" s="99" t="s">
        <v>1448</v>
      </c>
      <c r="M35" s="104"/>
      <c r="N35" s="104"/>
      <c r="O35" s="104"/>
      <c r="P35" s="104"/>
      <c r="Q35" s="104"/>
      <c r="R35" s="104"/>
      <c r="S35" s="104"/>
      <c r="T35" s="104"/>
      <c r="U35" s="104"/>
      <c r="V35" s="104"/>
      <c r="W35" s="104"/>
      <c r="X35" s="104"/>
    </row>
    <row r="36" spans="1:24" ht="98.25" customHeight="1">
      <c r="A36" s="26" t="str">
        <v>Q192</v>
      </c>
      <c r="B36" s="27" t="str">
        <v>NY</v>
      </c>
      <c r="C36" s="27" t="str">
        <f>Sites[[#This Row],[SOL'#]]</f>
        <v>SOL-10406</v>
      </c>
      <c r="D36" s="9">
        <v>42644.875000000196</v>
      </c>
      <c r="E36" s="14">
        <v>46844.32</v>
      </c>
      <c r="F36" s="14">
        <f t="shared" si="0"/>
        <v>-4199.4449999998033</v>
      </c>
      <c r="G36" s="15">
        <f t="shared" si="1"/>
        <v>-8.9646834450789414E-2</v>
      </c>
      <c r="H36" s="16">
        <v>478.68180000000001</v>
      </c>
      <c r="I36" s="16">
        <f t="shared" si="2"/>
        <v>42166.193200000198</v>
      </c>
      <c r="J36" s="15">
        <f t="shared" si="3"/>
        <v>88.088147909530292</v>
      </c>
      <c r="K36" s="51" t="s">
        <v>1196</v>
      </c>
      <c r="L36" s="51"/>
      <c r="M36" s="104"/>
      <c r="N36" s="104"/>
      <c r="O36" s="104"/>
      <c r="P36" s="104"/>
      <c r="Q36" s="104"/>
      <c r="R36" s="104"/>
      <c r="S36" s="104"/>
      <c r="T36" s="104"/>
      <c r="U36" s="104"/>
      <c r="V36" s="104"/>
      <c r="W36" s="104"/>
      <c r="X36" s="104"/>
    </row>
    <row r="37" spans="1:24" ht="41.85" customHeight="1">
      <c r="A37" s="28" t="str">
        <v>Q210</v>
      </c>
      <c r="B37" s="25" t="str">
        <v>NY</v>
      </c>
      <c r="C37" s="25" t="str">
        <f>Sites[[#This Row],[SOL'#]]</f>
        <v>SOL-10407</v>
      </c>
      <c r="D37" s="20">
        <v>30659.75</v>
      </c>
      <c r="E37" s="10">
        <v>35721.360000000001</v>
      </c>
      <c r="F37" s="10">
        <f t="shared" si="0"/>
        <v>-5061.6100000000006</v>
      </c>
      <c r="G37" s="11">
        <f t="shared" si="1"/>
        <v>-0.14169701265573317</v>
      </c>
      <c r="H37" s="12">
        <v>33897</v>
      </c>
      <c r="I37" s="12">
        <f t="shared" si="2"/>
        <v>-3237.25</v>
      </c>
      <c r="J37" s="13">
        <f t="shared" si="3"/>
        <v>-9.5502551848246159E-2</v>
      </c>
      <c r="K37" s="53" t="s">
        <v>1449</v>
      </c>
      <c r="L37" s="99" t="s">
        <v>1450</v>
      </c>
      <c r="M37" s="104"/>
      <c r="N37" s="104"/>
      <c r="O37" s="104"/>
      <c r="P37" s="104"/>
      <c r="Q37" s="104"/>
      <c r="R37" s="104"/>
      <c r="S37" s="104"/>
      <c r="T37" s="104"/>
      <c r="U37" s="104"/>
      <c r="V37" s="104"/>
      <c r="W37" s="104"/>
      <c r="X37" s="104"/>
    </row>
    <row r="38" spans="1:24" ht="28.9">
      <c r="A38" s="26" t="str">
        <v>Q229</v>
      </c>
      <c r="B38" s="27" t="str">
        <v>NY</v>
      </c>
      <c r="C38" s="27" t="str">
        <f>Sites[[#This Row],[SOL'#]]</f>
        <v>SOL-10408</v>
      </c>
      <c r="D38" s="9">
        <v>15332.079186893199</v>
      </c>
      <c r="E38" s="14">
        <v>17350.71</v>
      </c>
      <c r="F38" s="14">
        <f t="shared" si="0"/>
        <v>-2018.6308131067999</v>
      </c>
      <c r="G38" s="15">
        <f t="shared" si="1"/>
        <v>-0.11634283629354648</v>
      </c>
      <c r="H38" s="16">
        <v>14637.41</v>
      </c>
      <c r="I38" s="16">
        <f t="shared" si="2"/>
        <v>694.66918689319937</v>
      </c>
      <c r="J38" s="15">
        <f t="shared" si="3"/>
        <v>4.7458477073006725E-2</v>
      </c>
      <c r="K38" s="51" t="s">
        <v>932</v>
      </c>
      <c r="L38" s="100" t="s">
        <v>677</v>
      </c>
      <c r="M38" s="104"/>
      <c r="N38" s="104"/>
      <c r="O38" s="104"/>
      <c r="P38" s="104"/>
      <c r="Q38" s="104"/>
      <c r="R38" s="104"/>
      <c r="S38" s="104"/>
      <c r="T38" s="104"/>
      <c r="U38" s="104"/>
      <c r="V38" s="104"/>
      <c r="W38" s="104"/>
      <c r="X38" s="104"/>
    </row>
    <row r="39" spans="1:24" ht="28.9">
      <c r="A39" s="28" t="str">
        <v>Q231</v>
      </c>
      <c r="B39" s="25" t="str">
        <v>NY</v>
      </c>
      <c r="C39" s="25" t="str">
        <f>Sites[[#This Row],[SOL'#]]</f>
        <v>SOL-10870</v>
      </c>
      <c r="D39" s="20">
        <v>57414</v>
      </c>
      <c r="E39" s="10">
        <v>60749</v>
      </c>
      <c r="F39" s="10">
        <f t="shared" si="0"/>
        <v>-3335</v>
      </c>
      <c r="G39" s="11">
        <f t="shared" si="1"/>
        <v>-5.4898023012724492E-2</v>
      </c>
      <c r="H39" s="12">
        <v>61540</v>
      </c>
      <c r="I39" s="12">
        <f t="shared" si="2"/>
        <v>-4126</v>
      </c>
      <c r="J39" s="13">
        <f t="shared" si="3"/>
        <v>-6.7045823854403636E-2</v>
      </c>
      <c r="K39" s="53" t="s">
        <v>1451</v>
      </c>
      <c r="L39" s="99" t="s">
        <v>1452</v>
      </c>
      <c r="M39" s="104"/>
      <c r="N39" s="104"/>
      <c r="O39" s="104"/>
      <c r="P39" s="104"/>
      <c r="Q39" s="104"/>
      <c r="R39" s="104"/>
      <c r="S39" s="104"/>
      <c r="T39" s="104"/>
      <c r="U39" s="104"/>
      <c r="V39" s="104"/>
      <c r="W39" s="104"/>
      <c r="X39" s="104"/>
    </row>
    <row r="40" spans="1:24" ht="28.9">
      <c r="A40" s="26" t="str">
        <v>Q405</v>
      </c>
      <c r="B40" s="27" t="str">
        <v>NY</v>
      </c>
      <c r="C40" s="27" t="str">
        <f>Sites[[#This Row],[SOL'#]]</f>
        <v>SOL-10409</v>
      </c>
      <c r="D40" s="9">
        <v>65372.75</v>
      </c>
      <c r="E40" s="14">
        <v>71921.91</v>
      </c>
      <c r="F40" s="14">
        <f t="shared" si="0"/>
        <v>-6549.1600000000035</v>
      </c>
      <c r="G40" s="15">
        <f t="shared" si="1"/>
        <v>-9.1059316973089333E-2</v>
      </c>
      <c r="H40" s="16">
        <v>60634.29</v>
      </c>
      <c r="I40" s="16">
        <f t="shared" si="2"/>
        <v>4738.4599999999991</v>
      </c>
      <c r="J40" s="15">
        <f t="shared" si="3"/>
        <v>7.8148189745439411E-2</v>
      </c>
      <c r="K40" s="51" t="s">
        <v>1453</v>
      </c>
      <c r="L40" s="100" t="s">
        <v>934</v>
      </c>
      <c r="M40" s="104"/>
      <c r="N40" s="104"/>
      <c r="O40" s="104"/>
      <c r="P40" s="104"/>
      <c r="Q40" s="104"/>
      <c r="R40" s="104"/>
      <c r="S40" s="104"/>
      <c r="T40" s="104"/>
      <c r="U40" s="104"/>
      <c r="V40" s="104"/>
      <c r="W40" s="104"/>
      <c r="X40" s="104"/>
    </row>
    <row r="41" spans="1:24" ht="15.6">
      <c r="A41" s="28" t="str">
        <v>Q435</v>
      </c>
      <c r="B41" s="25" t="str">
        <v>NY</v>
      </c>
      <c r="C41" s="25" t="str">
        <f>Sites[[#This Row],[SOL'#]]</f>
        <v>SOL-10923</v>
      </c>
      <c r="D41" s="20">
        <v>64450.375</v>
      </c>
      <c r="E41" s="10">
        <v>67828.89</v>
      </c>
      <c r="F41" s="10">
        <f t="shared" si="0"/>
        <v>-3378.5149999999994</v>
      </c>
      <c r="G41" s="11">
        <f t="shared" si="1"/>
        <v>-4.9809380634122116E-2</v>
      </c>
      <c r="H41" s="12">
        <v>84298</v>
      </c>
      <c r="I41" s="12">
        <f t="shared" si="2"/>
        <v>-19847.625</v>
      </c>
      <c r="J41" s="13">
        <f t="shared" si="3"/>
        <v>-0.23544597736601106</v>
      </c>
      <c r="K41" s="53" t="s">
        <v>1454</v>
      </c>
      <c r="L41" s="53"/>
      <c r="M41" s="104"/>
      <c r="N41" s="104"/>
      <c r="O41" s="104"/>
      <c r="P41" s="104"/>
      <c r="Q41" s="104"/>
      <c r="R41" s="104"/>
      <c r="S41" s="104"/>
      <c r="T41" s="104"/>
      <c r="U41" s="104"/>
      <c r="V41" s="104"/>
      <c r="W41" s="104"/>
      <c r="X41" s="104"/>
    </row>
    <row r="42" spans="1:24" ht="43.15">
      <c r="A42" s="26" t="str">
        <v>Q485</v>
      </c>
      <c r="B42" s="27" t="str">
        <v>NY</v>
      </c>
      <c r="C42" s="27" t="str">
        <f>Sites[[#This Row],[SOL'#]]</f>
        <v>SOL-10869</v>
      </c>
      <c r="D42" s="9">
        <v>77438.624999999898</v>
      </c>
      <c r="E42" s="14">
        <v>61581.27</v>
      </c>
      <c r="F42" s="14">
        <f t="shared" si="0"/>
        <v>15857.354999999901</v>
      </c>
      <c r="G42" s="15">
        <f t="shared" si="1"/>
        <v>0.25750289008329807</v>
      </c>
      <c r="H42" s="16">
        <v>80201.91</v>
      </c>
      <c r="I42" s="16">
        <f t="shared" si="2"/>
        <v>-2763.2850000001054</v>
      </c>
      <c r="J42" s="15">
        <f t="shared" si="3"/>
        <v>-3.4454104646636285E-2</v>
      </c>
      <c r="K42" s="51" t="s">
        <v>1455</v>
      </c>
      <c r="L42" s="100" t="s">
        <v>1456</v>
      </c>
      <c r="M42" s="104"/>
      <c r="N42" s="104"/>
      <c r="O42" s="104"/>
      <c r="P42" s="104"/>
      <c r="Q42" s="104"/>
      <c r="R42" s="104"/>
      <c r="S42" s="104"/>
      <c r="T42" s="104"/>
      <c r="U42" s="104"/>
      <c r="V42" s="104"/>
      <c r="W42" s="104"/>
      <c r="X42" s="104"/>
    </row>
    <row r="43" spans="1:24" ht="43.15">
      <c r="A43" s="28" t="str">
        <v>Q490</v>
      </c>
      <c r="B43" s="25" t="str">
        <v>NY</v>
      </c>
      <c r="C43" s="25" t="str">
        <f>Sites[[#This Row],[SOL'#]]</f>
        <v>SOL-10411</v>
      </c>
      <c r="D43" s="20">
        <v>54376.138749999896</v>
      </c>
      <c r="E43" s="10" t="s">
        <v>661</v>
      </c>
      <c r="F43" s="10" t="str">
        <f t="shared" si="0"/>
        <v/>
      </c>
      <c r="G43" s="11" t="str">
        <f t="shared" si="1"/>
        <v/>
      </c>
      <c r="H43" s="12">
        <v>52505.61</v>
      </c>
      <c r="I43" s="12">
        <f t="shared" si="2"/>
        <v>1870.5287499998958</v>
      </c>
      <c r="J43" s="13">
        <f t="shared" si="3"/>
        <v>3.562531222853893E-2</v>
      </c>
      <c r="K43" s="53" t="s">
        <v>1205</v>
      </c>
      <c r="L43" s="99" t="s">
        <v>231</v>
      </c>
      <c r="M43" s="104"/>
      <c r="N43" s="104"/>
      <c r="O43" s="104"/>
      <c r="P43" s="104"/>
      <c r="Q43" s="104"/>
      <c r="R43" s="104"/>
      <c r="S43" s="104"/>
      <c r="T43" s="104"/>
      <c r="U43" s="104"/>
      <c r="V43" s="104"/>
      <c r="W43" s="104"/>
      <c r="X43" s="104"/>
    </row>
    <row r="44" spans="1:24" ht="15.6">
      <c r="A44" s="26" t="str">
        <v>Q620</v>
      </c>
      <c r="B44" s="27" t="str">
        <v>NY</v>
      </c>
      <c r="C44" s="27" t="str">
        <f>Sites[[#This Row],[SOL'#]]</f>
        <v>SOL-10867</v>
      </c>
      <c r="D44" s="9">
        <v>83649</v>
      </c>
      <c r="E44" s="14">
        <v>85365.47</v>
      </c>
      <c r="F44" s="14">
        <f t="shared" si="0"/>
        <v>-1716.4700000000012</v>
      </c>
      <c r="G44" s="15">
        <f t="shared" si="1"/>
        <v>-2.0107310367997754E-2</v>
      </c>
      <c r="H44" s="16">
        <v>84122.95</v>
      </c>
      <c r="I44" s="16">
        <f t="shared" si="2"/>
        <v>-473.94999999999709</v>
      </c>
      <c r="J44" s="15">
        <f t="shared" si="3"/>
        <v>-5.6340154500049882E-3</v>
      </c>
      <c r="K44" s="51" t="s">
        <v>1457</v>
      </c>
      <c r="L44" s="100" t="s">
        <v>1458</v>
      </c>
      <c r="M44" s="104"/>
      <c r="N44" s="104"/>
      <c r="O44" s="104"/>
      <c r="P44" s="104"/>
      <c r="Q44" s="104"/>
      <c r="R44" s="104"/>
      <c r="S44" s="104"/>
      <c r="T44" s="104"/>
      <c r="U44" s="104"/>
      <c r="V44" s="104"/>
      <c r="W44" s="104"/>
      <c r="X44" s="104"/>
    </row>
    <row r="45" spans="1:24" ht="15.6">
      <c r="A45" s="28" t="str">
        <v>QMOA</v>
      </c>
      <c r="B45" s="25" t="str">
        <v>NY</v>
      </c>
      <c r="C45" s="25" t="str">
        <f>Sites[[#This Row],[SOL'#]]</f>
        <v>SOL-10415</v>
      </c>
      <c r="D45" s="20">
        <v>7003.7</v>
      </c>
      <c r="E45" s="10" t="s">
        <v>661</v>
      </c>
      <c r="F45" s="10" t="str">
        <f t="shared" si="0"/>
        <v/>
      </c>
      <c r="G45" s="11" t="str">
        <f t="shared" si="1"/>
        <v/>
      </c>
      <c r="H45" s="12">
        <v>7555.0460000000003</v>
      </c>
      <c r="I45" s="12">
        <f t="shared" si="2"/>
        <v>-551.34600000000046</v>
      </c>
      <c r="J45" s="13">
        <f t="shared" si="3"/>
        <v>-7.2977186373186925E-2</v>
      </c>
      <c r="K45" s="53"/>
      <c r="L45" s="53"/>
      <c r="M45" s="104"/>
      <c r="N45" s="104"/>
      <c r="O45" s="104"/>
      <c r="P45" s="104"/>
      <c r="Q45" s="104"/>
      <c r="R45" s="104"/>
      <c r="S45" s="104"/>
      <c r="T45" s="104"/>
      <c r="U45" s="104"/>
      <c r="V45" s="104"/>
      <c r="W45" s="104"/>
      <c r="X45" s="104"/>
    </row>
    <row r="46" spans="1:24" ht="15.6">
      <c r="A46" s="26" t="str">
        <v>X024</v>
      </c>
      <c r="B46" s="27" t="str">
        <v>NY</v>
      </c>
      <c r="C46" s="27" t="str">
        <f>Sites[[#This Row],[SOL'#]]</f>
        <v>SOL-10419</v>
      </c>
      <c r="D46" s="9">
        <v>31410.5</v>
      </c>
      <c r="E46" s="14">
        <v>32184.54</v>
      </c>
      <c r="F46" s="14">
        <f t="shared" si="0"/>
        <v>-774.04000000000087</v>
      </c>
      <c r="G46" s="15">
        <f t="shared" si="1"/>
        <v>-2.4050056331393919E-2</v>
      </c>
      <c r="H46" s="16">
        <v>28524</v>
      </c>
      <c r="I46" s="16">
        <f t="shared" si="2"/>
        <v>2886.5</v>
      </c>
      <c r="J46" s="15">
        <f t="shared" si="3"/>
        <v>0.10119548450427709</v>
      </c>
      <c r="K46" s="51" t="s">
        <v>1459</v>
      </c>
      <c r="L46" s="100" t="s">
        <v>233</v>
      </c>
      <c r="M46" s="104"/>
      <c r="N46" s="104"/>
      <c r="O46" s="104"/>
      <c r="P46" s="104"/>
      <c r="Q46" s="104"/>
      <c r="R46" s="104"/>
      <c r="S46" s="104"/>
      <c r="T46" s="104"/>
      <c r="U46" s="104"/>
      <c r="V46" s="104"/>
      <c r="W46" s="104"/>
      <c r="X46" s="104"/>
    </row>
    <row r="47" spans="1:24" ht="15.6">
      <c r="A47" s="28" t="str">
        <v>X026</v>
      </c>
      <c r="B47" s="25" t="str">
        <v>NY</v>
      </c>
      <c r="C47" s="25" t="str">
        <f>Sites[[#This Row],[SOL'#]]</f>
        <v>SOL-10420</v>
      </c>
      <c r="D47" s="20">
        <v>28396.400000000001</v>
      </c>
      <c r="E47" s="10">
        <v>25893.72</v>
      </c>
      <c r="F47" s="10">
        <f t="shared" si="0"/>
        <v>2502.6800000000003</v>
      </c>
      <c r="G47" s="11">
        <f t="shared" si="1"/>
        <v>9.6652006741402938E-2</v>
      </c>
      <c r="H47" s="12">
        <v>37688.65</v>
      </c>
      <c r="I47" s="12">
        <f t="shared" si="2"/>
        <v>-9292.25</v>
      </c>
      <c r="J47" s="13">
        <f t="shared" si="3"/>
        <v>-0.24655300733775287</v>
      </c>
      <c r="K47" s="53" t="s">
        <v>944</v>
      </c>
      <c r="L47" s="99" t="s">
        <v>690</v>
      </c>
      <c r="M47" s="104"/>
      <c r="N47" s="104"/>
      <c r="O47" s="104"/>
      <c r="P47" s="104"/>
      <c r="Q47" s="104"/>
      <c r="R47" s="104"/>
      <c r="S47" s="104"/>
      <c r="T47" s="104"/>
      <c r="U47" s="104"/>
      <c r="V47" s="104"/>
      <c r="W47" s="104"/>
      <c r="X47" s="104"/>
    </row>
    <row r="48" spans="1:24" ht="43.15">
      <c r="A48" s="26" t="str">
        <v>X090</v>
      </c>
      <c r="B48" s="27" t="str">
        <v>NY</v>
      </c>
      <c r="C48" s="27" t="str">
        <f>Sites[[#This Row],[SOL'#]]</f>
        <v>SOL-10925</v>
      </c>
      <c r="D48" s="9">
        <v>20376.1875</v>
      </c>
      <c r="E48" s="14">
        <v>21371.14</v>
      </c>
      <c r="F48" s="14">
        <f t="shared" si="0"/>
        <v>-994.95249999999942</v>
      </c>
      <c r="G48" s="15">
        <f t="shared" si="1"/>
        <v>-4.6555892666465121E-2</v>
      </c>
      <c r="H48" s="16">
        <v>24800</v>
      </c>
      <c r="I48" s="16">
        <f t="shared" si="2"/>
        <v>-4423.8125</v>
      </c>
      <c r="J48" s="15">
        <f t="shared" si="3"/>
        <v>-0.17837953629032258</v>
      </c>
      <c r="K48" s="51" t="s">
        <v>1460</v>
      </c>
      <c r="L48" s="100" t="s">
        <v>1461</v>
      </c>
      <c r="M48" s="103" t="s">
        <v>1462</v>
      </c>
      <c r="N48" s="104"/>
      <c r="O48" s="104"/>
      <c r="P48" s="104"/>
      <c r="Q48" s="104"/>
      <c r="R48" s="104"/>
      <c r="S48" s="104"/>
      <c r="T48" s="104"/>
      <c r="U48" s="104"/>
      <c r="V48" s="104"/>
      <c r="W48" s="104"/>
      <c r="X48" s="104"/>
    </row>
    <row r="49" spans="1:24" ht="15.6">
      <c r="A49" s="28" t="str">
        <v>X117</v>
      </c>
      <c r="B49" s="25" t="str">
        <v>NY</v>
      </c>
      <c r="C49" s="25" t="str">
        <f>Sites[[#This Row],[SOL'#]]</f>
        <v>SOL-10422</v>
      </c>
      <c r="D49" s="20">
        <v>20442.5</v>
      </c>
      <c r="E49" s="10">
        <v>21974.400000000001</v>
      </c>
      <c r="F49" s="10">
        <f t="shared" si="0"/>
        <v>-1531.9000000000015</v>
      </c>
      <c r="G49" s="11">
        <f t="shared" si="1"/>
        <v>-6.9712938692296555E-2</v>
      </c>
      <c r="H49" s="12">
        <v>20331.66</v>
      </c>
      <c r="I49" s="12">
        <f t="shared" si="2"/>
        <v>110.84000000000015</v>
      </c>
      <c r="J49" s="13">
        <f t="shared" si="3"/>
        <v>5.451596180538143E-3</v>
      </c>
      <c r="K49" s="53"/>
      <c r="L49" s="53"/>
      <c r="M49" s="104"/>
      <c r="N49" s="104"/>
      <c r="O49" s="104"/>
      <c r="P49" s="104"/>
      <c r="Q49" s="104"/>
      <c r="R49" s="104"/>
      <c r="S49" s="104"/>
      <c r="T49" s="104"/>
      <c r="U49" s="104"/>
      <c r="V49" s="104"/>
      <c r="W49" s="104"/>
      <c r="X49" s="104"/>
    </row>
    <row r="50" spans="1:24" ht="15.6">
      <c r="A50" s="26" t="str">
        <v>X125</v>
      </c>
      <c r="B50" s="27" t="str">
        <v>NY</v>
      </c>
      <c r="C50" s="27" t="str">
        <f>Sites[[#This Row],[SOL'#]]</f>
        <v>SOL-10423</v>
      </c>
      <c r="D50" s="9">
        <v>37847.9375</v>
      </c>
      <c r="E50" s="14">
        <v>38359.230000000003</v>
      </c>
      <c r="F50" s="14">
        <f t="shared" si="0"/>
        <v>-511.2925000000032</v>
      </c>
      <c r="G50" s="15">
        <f t="shared" si="1"/>
        <v>-1.3329060567691352E-2</v>
      </c>
      <c r="H50" s="16">
        <v>37253.94</v>
      </c>
      <c r="I50" s="16">
        <f t="shared" si="2"/>
        <v>593.99749999999767</v>
      </c>
      <c r="J50" s="15">
        <f t="shared" si="3"/>
        <v>1.594455512624967E-2</v>
      </c>
      <c r="K50" s="51"/>
      <c r="L50" s="51"/>
      <c r="M50" s="104"/>
      <c r="N50" s="104"/>
      <c r="O50" s="104"/>
      <c r="P50" s="104"/>
      <c r="Q50" s="104"/>
      <c r="R50" s="104"/>
      <c r="S50" s="104"/>
      <c r="T50" s="104"/>
      <c r="U50" s="104"/>
      <c r="V50" s="104"/>
      <c r="W50" s="104"/>
      <c r="X50" s="104"/>
    </row>
    <row r="51" spans="1:24" ht="15.6">
      <c r="A51" s="28" t="str">
        <v>X134</v>
      </c>
      <c r="B51" s="25" t="str">
        <v>NY</v>
      </c>
      <c r="C51" s="25" t="str">
        <f>Sites[[#This Row],[SOL'#]]</f>
        <v>SOL-10424</v>
      </c>
      <c r="D51" s="20">
        <v>36328.625</v>
      </c>
      <c r="E51" s="10">
        <v>26292.3</v>
      </c>
      <c r="F51" s="10">
        <f t="shared" si="0"/>
        <v>10036.325000000001</v>
      </c>
      <c r="G51" s="11">
        <f t="shared" si="1"/>
        <v>0.38172107423085849</v>
      </c>
      <c r="H51" s="12">
        <v>37970</v>
      </c>
      <c r="I51" s="12">
        <f t="shared" si="2"/>
        <v>-1641.375</v>
      </c>
      <c r="J51" s="13">
        <f t="shared" si="3"/>
        <v>-4.3228206478799054E-2</v>
      </c>
      <c r="K51" s="53"/>
      <c r="L51" s="53"/>
      <c r="M51" s="104"/>
      <c r="N51" s="104"/>
      <c r="O51" s="104"/>
      <c r="P51" s="104"/>
      <c r="Q51" s="104"/>
      <c r="R51" s="104"/>
      <c r="S51" s="104"/>
      <c r="T51" s="104"/>
      <c r="U51" s="104"/>
      <c r="V51" s="104"/>
      <c r="W51" s="104"/>
      <c r="X51" s="104"/>
    </row>
    <row r="52" spans="1:24" ht="15.6">
      <c r="A52" s="26" t="str">
        <v>X135</v>
      </c>
      <c r="B52" s="27" t="str">
        <v>NY</v>
      </c>
      <c r="C52" s="27" t="str">
        <f>Sites[[#This Row],[SOL'#]]</f>
        <v>SOL-10425</v>
      </c>
      <c r="D52" s="9">
        <v>27094.9375</v>
      </c>
      <c r="E52" s="14">
        <v>34359.57</v>
      </c>
      <c r="F52" s="14">
        <f t="shared" si="0"/>
        <v>-7264.6324999999997</v>
      </c>
      <c r="G52" s="15">
        <f t="shared" si="1"/>
        <v>-0.21142966864835619</v>
      </c>
      <c r="H52" s="16">
        <v>30069</v>
      </c>
      <c r="I52" s="16">
        <f t="shared" ref="I52:I95" si="4">IF(AND(ISNUMBER(D52),ISNUMBER(H52)), D52-H52, "")</f>
        <v>-2974.0625</v>
      </c>
      <c r="J52" s="15">
        <f t="shared" ref="J52:J95" si="5">IFERROR(I52/H52, "")</f>
        <v>-9.890792843127473E-2</v>
      </c>
      <c r="K52" s="51" t="s">
        <v>1463</v>
      </c>
      <c r="L52" s="100" t="s">
        <v>1464</v>
      </c>
      <c r="M52" s="104"/>
      <c r="N52" s="104"/>
      <c r="O52" s="104"/>
      <c r="P52" s="104"/>
      <c r="Q52" s="104"/>
      <c r="R52" s="104"/>
      <c r="S52" s="104"/>
      <c r="T52" s="104"/>
      <c r="U52" s="104"/>
      <c r="V52" s="104"/>
      <c r="W52" s="104"/>
      <c r="X52" s="104"/>
    </row>
    <row r="53" spans="1:24" ht="15.6">
      <c r="A53" s="28" t="str">
        <v>X139 JHS 222</v>
      </c>
      <c r="B53" s="25" t="str">
        <v>NY</v>
      </c>
      <c r="C53" s="25" t="str">
        <f>Sites[[#This Row],[SOL'#]]</f>
        <v>SOL-10426</v>
      </c>
      <c r="D53" s="20">
        <v>45256.623460000003</v>
      </c>
      <c r="E53" s="10">
        <v>47698.11</v>
      </c>
      <c r="F53" s="10">
        <f t="shared" ref="F53:F92" si="6">IF(AND(ISNUMBER(D53),ISNUMBER(E53)), D53-E53, "")</f>
        <v>-2441.4865399999981</v>
      </c>
      <c r="G53" s="11">
        <f t="shared" si="1"/>
        <v>-5.1186232326605768E-2</v>
      </c>
      <c r="H53" s="12">
        <v>48383</v>
      </c>
      <c r="I53" s="12">
        <f t="shared" si="4"/>
        <v>-3126.3765399999975</v>
      </c>
      <c r="J53" s="13">
        <f t="shared" si="5"/>
        <v>-6.4617252754066462E-2</v>
      </c>
      <c r="K53" s="53"/>
      <c r="L53" s="53"/>
      <c r="M53" s="104"/>
      <c r="N53" s="104"/>
      <c r="O53" s="104"/>
      <c r="P53" s="104"/>
      <c r="Q53" s="104"/>
      <c r="R53" s="104"/>
      <c r="S53" s="104"/>
      <c r="T53" s="104"/>
      <c r="U53" s="104"/>
      <c r="V53" s="104"/>
      <c r="W53" s="104"/>
      <c r="X53" s="104"/>
    </row>
    <row r="54" spans="1:24" ht="15.6">
      <c r="A54" s="26" t="str">
        <v>X140</v>
      </c>
      <c r="B54" s="27" t="str">
        <v>NY</v>
      </c>
      <c r="C54" s="27" t="str">
        <f>Sites[[#This Row],[SOL'#]]</f>
        <v>SOL-10926</v>
      </c>
      <c r="D54" s="9">
        <v>25634.03125</v>
      </c>
      <c r="E54" s="14">
        <v>21347.360000000001</v>
      </c>
      <c r="F54" s="14">
        <f t="shared" si="6"/>
        <v>4286.6712499999994</v>
      </c>
      <c r="G54" s="15">
        <f t="shared" ref="G54:G93" si="7">IFERROR(F54/E54, "")</f>
        <v>0.20080568510579291</v>
      </c>
      <c r="H54" s="16">
        <v>25647</v>
      </c>
      <c r="I54" s="16">
        <f t="shared" si="4"/>
        <v>-12.96875</v>
      </c>
      <c r="J54" s="15">
        <f t="shared" si="5"/>
        <v>-5.0566343042071193E-4</v>
      </c>
      <c r="K54" s="51"/>
      <c r="L54" s="51"/>
      <c r="M54" s="104"/>
      <c r="N54" s="104"/>
      <c r="O54" s="104"/>
      <c r="P54" s="104"/>
      <c r="Q54" s="104"/>
      <c r="R54" s="104"/>
      <c r="S54" s="104"/>
      <c r="T54" s="104"/>
      <c r="U54" s="104"/>
      <c r="V54" s="104"/>
      <c r="W54" s="104"/>
      <c r="X54" s="104"/>
    </row>
    <row r="55" spans="1:24" ht="52.5" customHeight="1">
      <c r="A55" s="28" t="str">
        <v>X166</v>
      </c>
      <c r="B55" s="25" t="str">
        <v>NY</v>
      </c>
      <c r="C55" s="25" t="str">
        <f>Sites[[#This Row],[SOL'#]]</f>
        <v>SOL-10427</v>
      </c>
      <c r="D55" s="20">
        <v>26409.4</v>
      </c>
      <c r="E55" s="10">
        <v>25666.1</v>
      </c>
      <c r="F55" s="10">
        <f t="shared" si="6"/>
        <v>743.30000000000291</v>
      </c>
      <c r="G55" s="11">
        <f t="shared" si="7"/>
        <v>2.8960379644745519E-2</v>
      </c>
      <c r="H55" s="12">
        <v>28572</v>
      </c>
      <c r="I55" s="12">
        <f t="shared" si="4"/>
        <v>-2162.5999999999985</v>
      </c>
      <c r="J55" s="13">
        <f t="shared" si="5"/>
        <v>-7.5689486210275742E-2</v>
      </c>
      <c r="K55" s="108"/>
      <c r="L55" s="53"/>
      <c r="M55" s="104"/>
      <c r="N55" s="104"/>
      <c r="O55" s="104"/>
      <c r="P55" s="104"/>
      <c r="Q55" s="104"/>
      <c r="R55" s="104"/>
      <c r="S55" s="104"/>
      <c r="T55" s="104"/>
      <c r="U55" s="104"/>
      <c r="V55" s="104"/>
      <c r="W55" s="104"/>
      <c r="X55" s="104"/>
    </row>
    <row r="56" spans="1:24" ht="100.9">
      <c r="A56" s="26" t="str">
        <v>Murphy</v>
      </c>
      <c r="B56" s="27" t="str">
        <v>MN</v>
      </c>
      <c r="C56" s="27" t="str">
        <f>Sites[[#This Row],[SOL'#]]</f>
        <v>SOL-10094</v>
      </c>
      <c r="D56" s="9">
        <v>1027570</v>
      </c>
      <c r="E56" s="14">
        <v>1128104</v>
      </c>
      <c r="F56" s="14">
        <f t="shared" si="6"/>
        <v>-100534</v>
      </c>
      <c r="G56" s="15">
        <f t="shared" si="7"/>
        <v>-8.9117670002056545E-2</v>
      </c>
      <c r="H56" s="16">
        <v>1079999</v>
      </c>
      <c r="I56" s="16">
        <f t="shared" si="4"/>
        <v>-52429</v>
      </c>
      <c r="J56" s="15">
        <f t="shared" si="5"/>
        <v>-4.8545415319828998E-2</v>
      </c>
      <c r="K56" s="51" t="s">
        <v>1465</v>
      </c>
      <c r="L56" s="100" t="s">
        <v>1466</v>
      </c>
      <c r="M56" s="103" t="s">
        <v>954</v>
      </c>
      <c r="N56" s="103" t="s">
        <v>1467</v>
      </c>
      <c r="O56" s="103" t="s">
        <v>1468</v>
      </c>
      <c r="P56" s="104"/>
      <c r="Q56" s="104"/>
      <c r="R56" s="104"/>
      <c r="S56" s="104"/>
      <c r="T56" s="104"/>
      <c r="U56" s="104"/>
      <c r="V56" s="104"/>
      <c r="W56" s="104"/>
      <c r="X56" s="104"/>
    </row>
    <row r="57" spans="1:24" ht="15.6">
      <c r="A57" s="28" t="str">
        <v>Terning</v>
      </c>
      <c r="B57" s="25" t="str">
        <v>MN</v>
      </c>
      <c r="C57" s="25" t="str">
        <f>Sites[[#This Row],[SOL'#]]</f>
        <v>SOL-10093</v>
      </c>
      <c r="D57" s="20">
        <v>1103539.33165829</v>
      </c>
      <c r="E57" s="10">
        <v>1177067</v>
      </c>
      <c r="F57" s="10">
        <f t="shared" si="6"/>
        <v>-73527.668341709999</v>
      </c>
      <c r="G57" s="11">
        <f t="shared" si="7"/>
        <v>-6.2466850520582089E-2</v>
      </c>
      <c r="H57" s="12">
        <v>1077330</v>
      </c>
      <c r="I57" s="12">
        <f t="shared" si="4"/>
        <v>26209.331658290001</v>
      </c>
      <c r="J57" s="13">
        <f t="shared" si="5"/>
        <v>2.4328044014638041E-2</v>
      </c>
      <c r="K57" s="53" t="s">
        <v>1469</v>
      </c>
      <c r="L57" s="99" t="s">
        <v>1470</v>
      </c>
      <c r="M57" s="104"/>
      <c r="N57" s="104"/>
      <c r="O57" s="104"/>
      <c r="P57" s="104"/>
      <c r="Q57" s="104"/>
      <c r="R57" s="104"/>
      <c r="S57" s="104"/>
      <c r="T57" s="104"/>
      <c r="U57" s="104"/>
      <c r="V57" s="104"/>
      <c r="W57" s="104"/>
      <c r="X57" s="104"/>
    </row>
    <row r="58" spans="1:24" ht="69.75" customHeight="1">
      <c r="A58" s="26" t="str">
        <v>Boas Road 04</v>
      </c>
      <c r="B58" s="27" t="str">
        <v>NY</v>
      </c>
      <c r="C58" s="27" t="str">
        <f>Sites[[#This Row],[SOL'#]]</f>
        <v>SOL-10908</v>
      </c>
      <c r="D58" s="9">
        <v>0</v>
      </c>
      <c r="E58" s="14">
        <v>418297.2</v>
      </c>
      <c r="F58" s="14">
        <f t="shared" si="6"/>
        <v>-418297.2</v>
      </c>
      <c r="G58" s="14">
        <f t="shared" si="7"/>
        <v>-1</v>
      </c>
      <c r="H58" s="16">
        <v>421307.46</v>
      </c>
      <c r="I58" s="16">
        <f t="shared" si="4"/>
        <v>-421307.46</v>
      </c>
      <c r="J58" s="15">
        <f t="shared" si="5"/>
        <v>-1</v>
      </c>
      <c r="K58" s="133" t="s">
        <v>1471</v>
      </c>
      <c r="L58" s="100" t="s">
        <v>1472</v>
      </c>
      <c r="M58" s="103" t="s">
        <v>1225</v>
      </c>
      <c r="N58" s="103" t="s">
        <v>1473</v>
      </c>
      <c r="O58" s="104"/>
      <c r="P58" s="104"/>
      <c r="Q58" s="104"/>
      <c r="R58" s="104"/>
      <c r="S58" s="104"/>
      <c r="T58" s="104"/>
      <c r="U58" s="104"/>
      <c r="V58" s="104"/>
      <c r="W58" s="104"/>
      <c r="X58" s="104"/>
    </row>
    <row r="59" spans="1:24" ht="149.25" customHeight="1">
      <c r="A59" s="28" t="str">
        <v>Kelly Bridge Farm</v>
      </c>
      <c r="B59" s="25" t="str">
        <v>NY</v>
      </c>
      <c r="C59" s="25" t="str">
        <f>Sites[[#This Row],[SOL'#]]</f>
        <v>SOL-10911</v>
      </c>
      <c r="D59" s="20">
        <v>356939</v>
      </c>
      <c r="E59" s="10">
        <v>395735.4</v>
      </c>
      <c r="F59" s="10">
        <f t="shared" si="6"/>
        <v>-38796.400000000023</v>
      </c>
      <c r="G59" s="11">
        <f t="shared" si="7"/>
        <v>-9.8036213085814464E-2</v>
      </c>
      <c r="H59" s="12">
        <v>409604.48</v>
      </c>
      <c r="I59" s="12">
        <f t="shared" si="4"/>
        <v>-52665.479999999981</v>
      </c>
      <c r="J59" s="13">
        <f t="shared" si="5"/>
        <v>-0.12857642572659359</v>
      </c>
      <c r="K59" s="73" t="s">
        <v>1474</v>
      </c>
      <c r="L59" s="99" t="s">
        <v>1475</v>
      </c>
      <c r="M59" s="103" t="s">
        <v>1231</v>
      </c>
      <c r="N59" s="103" t="s">
        <v>1476</v>
      </c>
      <c r="O59" s="103" t="s">
        <v>1231</v>
      </c>
      <c r="P59" s="103" t="s">
        <v>1477</v>
      </c>
      <c r="Q59" s="104"/>
      <c r="R59" s="104"/>
      <c r="S59" s="104"/>
      <c r="T59" s="104"/>
      <c r="U59" s="104"/>
      <c r="V59" s="104"/>
      <c r="W59" s="104"/>
      <c r="X59" s="104"/>
    </row>
    <row r="60" spans="1:24" ht="43.15">
      <c r="A60" s="26" t="str">
        <v>Pool Brook Road</v>
      </c>
      <c r="B60" s="27" t="str">
        <v>NY</v>
      </c>
      <c r="C60" s="27" t="str">
        <f>Sites[[#This Row],[SOL'#]]</f>
        <v>SOL-10909</v>
      </c>
      <c r="D60" s="9">
        <v>304116</v>
      </c>
      <c r="E60" s="14">
        <v>391072.41</v>
      </c>
      <c r="F60" s="14">
        <f t="shared" si="6"/>
        <v>-86956.409999999974</v>
      </c>
      <c r="G60" s="15">
        <f t="shared" si="7"/>
        <v>-0.22235373239446879</v>
      </c>
      <c r="H60" s="16">
        <v>388129.3</v>
      </c>
      <c r="I60" s="16">
        <f t="shared" si="4"/>
        <v>-84013.299999999988</v>
      </c>
      <c r="J60" s="15">
        <f t="shared" si="5"/>
        <v>-0.21645698997730908</v>
      </c>
      <c r="K60" s="51" t="s">
        <v>1478</v>
      </c>
      <c r="L60" s="100" t="s">
        <v>1479</v>
      </c>
      <c r="M60" s="103" t="s">
        <v>1480</v>
      </c>
      <c r="N60" s="104"/>
      <c r="O60" s="104"/>
      <c r="P60" s="104"/>
      <c r="Q60" s="104"/>
      <c r="R60" s="104"/>
      <c r="S60" s="104"/>
      <c r="T60" s="104"/>
      <c r="U60" s="104"/>
      <c r="V60" s="104"/>
      <c r="W60" s="104"/>
      <c r="X60" s="104"/>
    </row>
    <row r="61" spans="1:24" ht="28.9">
      <c r="A61" s="28" t="str">
        <v>Sackett Lake</v>
      </c>
      <c r="B61" s="25" t="str">
        <v>NY</v>
      </c>
      <c r="C61" s="25" t="str">
        <f>Sites[[#This Row],[SOL'#]]</f>
        <v>SOL-10910</v>
      </c>
      <c r="D61" s="20">
        <v>372255</v>
      </c>
      <c r="E61" s="10">
        <v>182350.26</v>
      </c>
      <c r="F61" s="10">
        <f t="shared" si="6"/>
        <v>189904.74</v>
      </c>
      <c r="G61" s="11">
        <f t="shared" si="7"/>
        <v>1.0414284026795464</v>
      </c>
      <c r="H61" s="12">
        <v>401920.7</v>
      </c>
      <c r="I61" s="12">
        <f t="shared" si="4"/>
        <v>-29665.700000000012</v>
      </c>
      <c r="J61" s="13">
        <f t="shared" si="5"/>
        <v>-7.3809833631360636E-2</v>
      </c>
      <c r="K61" s="53" t="s">
        <v>1481</v>
      </c>
      <c r="L61" s="99" t="s">
        <v>1482</v>
      </c>
      <c r="M61" s="104"/>
      <c r="N61" s="104"/>
      <c r="O61" s="104"/>
      <c r="P61" s="104"/>
      <c r="Q61" s="104"/>
      <c r="R61" s="104"/>
      <c r="S61" s="104"/>
      <c r="T61" s="104"/>
      <c r="U61" s="104"/>
      <c r="V61" s="104"/>
      <c r="W61" s="104"/>
      <c r="X61" s="104"/>
    </row>
    <row r="62" spans="1:24" ht="15.6">
      <c r="A62" s="26" t="str">
        <v>Burritt Road</v>
      </c>
      <c r="B62" s="27" t="str">
        <v>NY</v>
      </c>
      <c r="C62" s="27" t="str">
        <f>Sites[[#This Row],[SOL'#]]</f>
        <v>SOL-10913</v>
      </c>
      <c r="D62" s="9">
        <v>439000</v>
      </c>
      <c r="E62" s="14">
        <v>460347.77</v>
      </c>
      <c r="F62" s="14">
        <f t="shared" si="6"/>
        <v>-21347.770000000019</v>
      </c>
      <c r="G62" s="15">
        <f t="shared" si="7"/>
        <v>-4.6373136552828348E-2</v>
      </c>
      <c r="H62" s="16">
        <v>411700.36</v>
      </c>
      <c r="I62" s="16">
        <f t="shared" si="4"/>
        <v>27299.640000000014</v>
      </c>
      <c r="J62" s="15">
        <f t="shared" si="5"/>
        <v>6.6309487803216924E-2</v>
      </c>
      <c r="K62" s="51"/>
      <c r="L62" s="51"/>
      <c r="M62" s="104"/>
      <c r="N62" s="104"/>
      <c r="O62" s="104"/>
      <c r="P62" s="104"/>
      <c r="Q62" s="104"/>
      <c r="R62" s="104"/>
      <c r="S62" s="104"/>
      <c r="T62" s="104"/>
      <c r="U62" s="104"/>
      <c r="V62" s="104"/>
      <c r="W62" s="104"/>
      <c r="X62" s="104"/>
    </row>
    <row r="63" spans="1:24" ht="28.9">
      <c r="A63" s="28" t="str">
        <v>Villa Roma 1</v>
      </c>
      <c r="B63" s="25" t="str">
        <v>NY</v>
      </c>
      <c r="C63" s="25" t="str">
        <f>Sites[[#This Row],[SOL'#]]</f>
        <v>SOL-10914</v>
      </c>
      <c r="D63" s="20">
        <v>338515</v>
      </c>
      <c r="E63" s="10">
        <v>3881.75</v>
      </c>
      <c r="F63" s="10">
        <f t="shared" si="6"/>
        <v>334633.25</v>
      </c>
      <c r="G63" s="11">
        <f t="shared" si="7"/>
        <v>86.206801056224634</v>
      </c>
      <c r="H63" s="12">
        <v>360546.51</v>
      </c>
      <c r="I63" s="12">
        <f t="shared" si="4"/>
        <v>-22031.510000000009</v>
      </c>
      <c r="J63" s="13">
        <f t="shared" si="5"/>
        <v>-6.1105875078363701E-2</v>
      </c>
      <c r="K63" s="53" t="s">
        <v>967</v>
      </c>
      <c r="L63" s="99" t="s">
        <v>968</v>
      </c>
      <c r="M63" s="104"/>
      <c r="N63" s="104"/>
      <c r="O63" s="104"/>
      <c r="P63" s="104"/>
      <c r="Q63" s="104"/>
      <c r="R63" s="104"/>
      <c r="S63" s="104"/>
      <c r="T63" s="104"/>
      <c r="U63" s="104"/>
      <c r="V63" s="104"/>
      <c r="W63" s="104"/>
      <c r="X63" s="104"/>
    </row>
    <row r="64" spans="1:24" ht="15.6">
      <c r="A64" s="26" t="str">
        <v>Villa Roma 2</v>
      </c>
      <c r="B64" s="27" t="str">
        <v>NY</v>
      </c>
      <c r="C64" s="27" t="str">
        <f>Sites[[#This Row],[SOL'#]]</f>
        <v>SOL-10915</v>
      </c>
      <c r="D64" s="9">
        <v>327962</v>
      </c>
      <c r="E64" s="14">
        <v>355213.51</v>
      </c>
      <c r="F64" s="14">
        <f t="shared" si="6"/>
        <v>-27251.510000000009</v>
      </c>
      <c r="G64" s="15">
        <f t="shared" si="7"/>
        <v>-7.6718675480558177E-2</v>
      </c>
      <c r="H64" s="16">
        <v>349710.41</v>
      </c>
      <c r="I64" s="16">
        <f t="shared" si="4"/>
        <v>-21748.409999999974</v>
      </c>
      <c r="J64" s="15">
        <f t="shared" si="5"/>
        <v>-6.2189770101496192E-2</v>
      </c>
      <c r="K64" s="51"/>
      <c r="L64" s="51"/>
      <c r="M64" s="104"/>
      <c r="N64" s="104"/>
      <c r="O64" s="104"/>
      <c r="P64" s="104"/>
      <c r="Q64" s="104"/>
      <c r="R64" s="104"/>
      <c r="S64" s="104"/>
      <c r="T64" s="104"/>
      <c r="U64" s="104"/>
      <c r="V64" s="104"/>
      <c r="W64" s="104"/>
      <c r="X64" s="104"/>
    </row>
    <row r="65" spans="1:29" ht="28.9">
      <c r="A65" s="28" t="str">
        <v>Washington 1</v>
      </c>
      <c r="B65" s="25" t="str">
        <v>NY</v>
      </c>
      <c r="C65" s="25" t="str">
        <f>Sites[[#This Row],[SOL'#]]</f>
        <v>SOL-10912</v>
      </c>
      <c r="D65" s="20">
        <v>414100</v>
      </c>
      <c r="E65" s="10">
        <v>455057.17</v>
      </c>
      <c r="F65" s="10">
        <f t="shared" si="6"/>
        <v>-40957.169999999984</v>
      </c>
      <c r="G65" s="11">
        <f t="shared" si="7"/>
        <v>-9.000444933105875E-2</v>
      </c>
      <c r="H65" s="12">
        <v>406846.2</v>
      </c>
      <c r="I65" s="12">
        <f t="shared" si="4"/>
        <v>7253.7999999999884</v>
      </c>
      <c r="J65" s="13">
        <f t="shared" si="5"/>
        <v>1.7829341898732219E-2</v>
      </c>
      <c r="K65" s="53" t="s">
        <v>1483</v>
      </c>
      <c r="L65" s="99" t="s">
        <v>1239</v>
      </c>
      <c r="M65" s="104"/>
      <c r="N65" s="104"/>
      <c r="O65" s="104"/>
      <c r="P65" s="104"/>
      <c r="Q65" s="104"/>
      <c r="R65" s="104"/>
      <c r="S65" s="104"/>
      <c r="T65" s="104"/>
      <c r="U65" s="104"/>
      <c r="V65" s="104"/>
      <c r="W65" s="104"/>
      <c r="X65" s="104"/>
    </row>
    <row r="66" spans="1:29" ht="86.45">
      <c r="A66" s="26" t="str">
        <v>Washington 3</v>
      </c>
      <c r="B66" s="27" t="str">
        <v>NY</v>
      </c>
      <c r="C66" s="27" t="str">
        <f>Sites[[#This Row],[SOL'#]]</f>
        <v>SOL-10828</v>
      </c>
      <c r="D66" s="9">
        <v>468035</v>
      </c>
      <c r="E66" s="14">
        <v>1177020.71</v>
      </c>
      <c r="F66" s="14">
        <f t="shared" si="6"/>
        <v>-708985.71</v>
      </c>
      <c r="G66" s="15">
        <f t="shared" si="7"/>
        <v>-0.60235618963747883</v>
      </c>
      <c r="H66" s="16">
        <v>497085.28</v>
      </c>
      <c r="I66" s="16">
        <f t="shared" si="4"/>
        <v>-29050.280000000028</v>
      </c>
      <c r="J66" s="15">
        <f t="shared" si="5"/>
        <v>-5.8441239700358916E-2</v>
      </c>
      <c r="K66" s="51" t="s">
        <v>1484</v>
      </c>
      <c r="L66" s="100" t="s">
        <v>1485</v>
      </c>
      <c r="M66" s="103" t="s">
        <v>719</v>
      </c>
      <c r="N66" s="104"/>
      <c r="O66" s="104"/>
      <c r="P66" s="104"/>
      <c r="Q66" s="104"/>
      <c r="R66" s="104"/>
      <c r="S66" s="104"/>
      <c r="T66" s="104"/>
      <c r="U66" s="104"/>
      <c r="V66" s="104"/>
      <c r="W66" s="104"/>
      <c r="X66" s="104"/>
    </row>
    <row r="67" spans="1:29" ht="15.6">
      <c r="A67" s="28" t="str">
        <v>Washington 4</v>
      </c>
      <c r="B67" s="25" t="str">
        <v>NY</v>
      </c>
      <c r="C67" s="25" t="str">
        <f>Sites[[#This Row],[SOL'#]]</f>
        <v>SOL-10829</v>
      </c>
      <c r="D67" s="20">
        <v>512454</v>
      </c>
      <c r="E67" s="10">
        <v>540275.93000000005</v>
      </c>
      <c r="F67" s="10">
        <f t="shared" si="6"/>
        <v>-27821.930000000051</v>
      </c>
      <c r="G67" s="11">
        <f t="shared" si="7"/>
        <v>-5.1495779203045468E-2</v>
      </c>
      <c r="H67" s="12">
        <v>498240.8</v>
      </c>
      <c r="I67" s="12">
        <f t="shared" si="4"/>
        <v>14213.200000000012</v>
      </c>
      <c r="J67" s="13">
        <f t="shared" si="5"/>
        <v>2.8526768582580977E-2</v>
      </c>
      <c r="K67" s="53"/>
      <c r="L67" s="53"/>
      <c r="M67" s="104"/>
      <c r="N67" s="104"/>
      <c r="O67" s="104"/>
      <c r="P67" s="104"/>
      <c r="Q67" s="104"/>
      <c r="R67" s="104"/>
      <c r="S67" s="104"/>
      <c r="T67" s="104"/>
      <c r="U67" s="104"/>
      <c r="V67" s="104"/>
      <c r="W67" s="104"/>
      <c r="X67" s="104"/>
    </row>
    <row r="68" spans="1:29" ht="28.9">
      <c r="A68" s="26" t="str">
        <v>Big Tree</v>
      </c>
      <c r="B68" s="27" t="str">
        <v>NY</v>
      </c>
      <c r="C68" s="27" t="str">
        <f>Sites[[#This Row],[SOL'#]]</f>
        <v>SOL-10966</v>
      </c>
      <c r="D68" s="9">
        <v>436120</v>
      </c>
      <c r="E68" s="14">
        <v>435290</v>
      </c>
      <c r="F68" s="14">
        <f t="shared" si="6"/>
        <v>830</v>
      </c>
      <c r="G68" s="15">
        <f t="shared" si="7"/>
        <v>1.9067747938156172E-3</v>
      </c>
      <c r="H68" s="16">
        <v>416811.05</v>
      </c>
      <c r="I68" s="16">
        <f t="shared" si="4"/>
        <v>19308.950000000012</v>
      </c>
      <c r="J68" s="15">
        <f t="shared" si="5"/>
        <v>4.6325427312927554E-2</v>
      </c>
      <c r="K68" s="76" t="s">
        <v>1486</v>
      </c>
      <c r="L68" s="100" t="s">
        <v>1487</v>
      </c>
      <c r="M68" s="104"/>
      <c r="N68" s="104"/>
      <c r="O68" s="104"/>
      <c r="P68" s="104"/>
      <c r="Q68" s="104"/>
      <c r="R68" s="104"/>
      <c r="S68" s="104"/>
      <c r="T68" s="104"/>
      <c r="U68" s="104"/>
      <c r="V68" s="104"/>
      <c r="W68" s="104"/>
      <c r="X68" s="104"/>
    </row>
    <row r="69" spans="1:29" ht="72">
      <c r="A69" s="28" t="str">
        <v>Canoga</v>
      </c>
      <c r="B69" s="25" t="str">
        <v>NY</v>
      </c>
      <c r="C69" s="25" t="str">
        <f>Sites[[#This Row],[SOL'#]]</f>
        <v>SOL-10965</v>
      </c>
      <c r="D69" s="20">
        <v>564710</v>
      </c>
      <c r="E69" s="10" t="s">
        <v>661</v>
      </c>
      <c r="F69" s="10" t="str">
        <f t="shared" si="6"/>
        <v/>
      </c>
      <c r="G69" s="11" t="str">
        <f t="shared" si="7"/>
        <v/>
      </c>
      <c r="H69" s="12">
        <v>0</v>
      </c>
      <c r="I69" s="12">
        <f t="shared" si="4"/>
        <v>564710</v>
      </c>
      <c r="J69" s="13" t="str">
        <f t="shared" si="5"/>
        <v/>
      </c>
      <c r="K69" s="53" t="s">
        <v>1488</v>
      </c>
      <c r="L69" s="99" t="s">
        <v>1489</v>
      </c>
      <c r="M69" s="103" t="s">
        <v>1490</v>
      </c>
      <c r="N69" s="104"/>
      <c r="O69" s="104"/>
      <c r="P69" s="104"/>
      <c r="Q69" s="104"/>
      <c r="R69" s="104"/>
      <c r="S69" s="104"/>
      <c r="T69" s="104"/>
      <c r="U69" s="104"/>
      <c r="V69" s="104"/>
      <c r="W69" s="104"/>
      <c r="X69" s="104"/>
    </row>
    <row r="70" spans="1:29" ht="86.45">
      <c r="A70" s="26" t="str">
        <v>County Route 84</v>
      </c>
      <c r="B70" s="27" t="str">
        <v>NY</v>
      </c>
      <c r="C70" s="27" t="str">
        <f>Sites[[#This Row],[SOL'#]]</f>
        <v>SOL-10967</v>
      </c>
      <c r="D70" s="9">
        <v>935320</v>
      </c>
      <c r="E70" s="14">
        <v>914380</v>
      </c>
      <c r="F70" s="14">
        <f t="shared" si="6"/>
        <v>20940</v>
      </c>
      <c r="G70" s="15">
        <f t="shared" si="7"/>
        <v>2.2900763358778626E-2</v>
      </c>
      <c r="H70" s="16">
        <v>1051868.43</v>
      </c>
      <c r="I70" s="16">
        <f t="shared" si="4"/>
        <v>-116548.42999999993</v>
      </c>
      <c r="J70" s="15">
        <f t="shared" si="5"/>
        <v>-0.11080133852862181</v>
      </c>
      <c r="K70" s="51" t="s">
        <v>1491</v>
      </c>
      <c r="L70" s="100" t="s">
        <v>1492</v>
      </c>
      <c r="M70" s="103" t="s">
        <v>1493</v>
      </c>
      <c r="N70" s="104"/>
      <c r="O70" s="104"/>
      <c r="P70" s="104"/>
      <c r="Q70" s="104"/>
      <c r="R70" s="104"/>
      <c r="S70" s="104"/>
      <c r="T70" s="104"/>
      <c r="U70" s="104"/>
      <c r="V70" s="104"/>
      <c r="W70" s="104"/>
      <c r="X70" s="104"/>
    </row>
    <row r="71" spans="1:29" ht="57.6">
      <c r="A71" s="28" t="str">
        <v>Donati</v>
      </c>
      <c r="B71" s="25" t="str">
        <v>NY</v>
      </c>
      <c r="C71" s="25" t="str">
        <f>Sites[[#This Row],[SOL'#]]</f>
        <v>SOL-10968</v>
      </c>
      <c r="D71" s="20">
        <v>547550</v>
      </c>
      <c r="E71" s="10" t="s">
        <v>661</v>
      </c>
      <c r="F71" s="10" t="str">
        <f t="shared" si="6"/>
        <v/>
      </c>
      <c r="G71" s="11" t="str">
        <f t="shared" si="7"/>
        <v/>
      </c>
      <c r="H71" s="12">
        <v>545503.25</v>
      </c>
      <c r="I71" s="12">
        <f t="shared" si="4"/>
        <v>2046.75</v>
      </c>
      <c r="J71" s="13">
        <f t="shared" si="5"/>
        <v>3.7520399740973128E-3</v>
      </c>
      <c r="K71" s="53" t="s">
        <v>1252</v>
      </c>
      <c r="L71" s="99" t="s">
        <v>1253</v>
      </c>
      <c r="M71" s="103" t="s">
        <v>83</v>
      </c>
      <c r="N71" s="103" t="s">
        <v>728</v>
      </c>
      <c r="O71" s="104"/>
      <c r="P71" s="104"/>
      <c r="Q71" s="104"/>
      <c r="R71" s="104"/>
      <c r="S71" s="104"/>
      <c r="T71" s="104"/>
      <c r="U71" s="104"/>
      <c r="V71" s="104"/>
      <c r="W71" s="104"/>
      <c r="X71" s="104"/>
    </row>
    <row r="72" spans="1:29" ht="15.6">
      <c r="A72" s="26" t="str">
        <v>Henrietta</v>
      </c>
      <c r="B72" s="27" t="str">
        <v>NY</v>
      </c>
      <c r="C72" s="27" t="str">
        <f>Sites[[#This Row],[SOL'#]]</f>
        <v>SOL-10972</v>
      </c>
      <c r="D72" s="9">
        <v>1155000</v>
      </c>
      <c r="E72" s="14">
        <v>1113180</v>
      </c>
      <c r="F72" s="14">
        <f t="shared" si="6"/>
        <v>41820</v>
      </c>
      <c r="G72" s="15">
        <f t="shared" si="7"/>
        <v>3.756804829407643E-2</v>
      </c>
      <c r="H72" s="16">
        <v>1152537.6000000001</v>
      </c>
      <c r="I72" s="16">
        <f t="shared" si="4"/>
        <v>2462.3999999999069</v>
      </c>
      <c r="J72" s="15">
        <f t="shared" si="5"/>
        <v>2.1365029652827871E-3</v>
      </c>
      <c r="K72" s="51"/>
      <c r="L72" s="51"/>
      <c r="M72" s="104"/>
      <c r="N72" s="104"/>
      <c r="O72" s="104"/>
      <c r="P72" s="104"/>
      <c r="Q72" s="104"/>
      <c r="R72" s="104"/>
      <c r="S72" s="104"/>
      <c r="T72" s="104"/>
      <c r="U72" s="104"/>
      <c r="V72" s="104"/>
      <c r="W72" s="104"/>
      <c r="X72" s="104"/>
    </row>
    <row r="73" spans="1:29" ht="41.25" customHeight="1">
      <c r="A73" s="28" t="str">
        <v>NY 70</v>
      </c>
      <c r="B73" s="25" t="str">
        <v>NY</v>
      </c>
      <c r="C73" s="25" t="str">
        <f>Sites[[#This Row],[SOL'#]]</f>
        <v>SOL-10970</v>
      </c>
      <c r="D73" s="20">
        <v>1218390</v>
      </c>
      <c r="E73" s="10">
        <v>1215880</v>
      </c>
      <c r="F73" s="10">
        <f t="shared" si="6"/>
        <v>2510</v>
      </c>
      <c r="G73" s="11">
        <f t="shared" si="7"/>
        <v>2.0643484554396813E-3</v>
      </c>
      <c r="H73" s="12">
        <v>1269880.53</v>
      </c>
      <c r="I73" s="12">
        <f t="shared" si="4"/>
        <v>-51490.530000000028</v>
      </c>
      <c r="J73" s="13">
        <f t="shared" si="5"/>
        <v>-4.054753875153911E-2</v>
      </c>
      <c r="K73" s="53" t="s">
        <v>1494</v>
      </c>
      <c r="L73" s="99" t="s">
        <v>1495</v>
      </c>
      <c r="M73" s="104"/>
      <c r="N73" s="104"/>
      <c r="O73" s="104"/>
      <c r="P73" s="104"/>
      <c r="Q73" s="104"/>
      <c r="R73" s="104"/>
      <c r="S73" s="104"/>
      <c r="T73" s="104"/>
      <c r="U73" s="104"/>
      <c r="V73" s="104"/>
      <c r="W73" s="104"/>
      <c r="X73" s="104"/>
    </row>
    <row r="74" spans="1:29" ht="388.9">
      <c r="A74" s="26" t="str">
        <v>Reid</v>
      </c>
      <c r="B74" s="27" t="str">
        <v>NY</v>
      </c>
      <c r="C74" s="27" t="str">
        <f>Sites[[#This Row],[SOL'#]]</f>
        <v>SOL-10991</v>
      </c>
      <c r="D74" s="9">
        <v>827385.82587148203</v>
      </c>
      <c r="E74" s="14">
        <v>889116.1</v>
      </c>
      <c r="F74" s="14">
        <f>IF(AND(ISNUMBER(D74),ISNUMBER(E74)), D74-E74, "")</f>
        <v>-61730.274128517951</v>
      </c>
      <c r="G74" s="15">
        <f t="shared" si="7"/>
        <v>-6.94288115224974E-2</v>
      </c>
      <c r="H74" s="16">
        <v>94887</v>
      </c>
      <c r="I74" s="16">
        <f t="shared" si="4"/>
        <v>732498.82587148203</v>
      </c>
      <c r="J74" s="15">
        <f t="shared" si="5"/>
        <v>7.7196963321791401</v>
      </c>
      <c r="K74" s="51" t="s">
        <v>1496</v>
      </c>
      <c r="L74" s="100" t="s">
        <v>1497</v>
      </c>
      <c r="M74" s="103" t="s">
        <v>1262</v>
      </c>
      <c r="N74" s="103" t="s">
        <v>1258</v>
      </c>
      <c r="O74" s="103" t="s">
        <v>1259</v>
      </c>
      <c r="P74" s="103" t="s">
        <v>1498</v>
      </c>
      <c r="Q74" s="103" t="s">
        <v>1259</v>
      </c>
      <c r="R74" s="103" t="s">
        <v>1260</v>
      </c>
      <c r="S74" s="103" t="s">
        <v>1499</v>
      </c>
      <c r="T74" s="103" t="s">
        <v>1262</v>
      </c>
      <c r="U74" s="103" t="s">
        <v>1263</v>
      </c>
      <c r="V74" s="103" t="s">
        <v>1499</v>
      </c>
      <c r="W74" s="103" t="s">
        <v>1500</v>
      </c>
      <c r="X74" s="103" t="s">
        <v>1501</v>
      </c>
      <c r="Y74" s="112" t="s">
        <v>1502</v>
      </c>
      <c r="Z74" s="112" t="s">
        <v>1503</v>
      </c>
      <c r="AA74" s="112" t="s">
        <v>1504</v>
      </c>
      <c r="AB74" s="112" t="s">
        <v>1505</v>
      </c>
      <c r="AC74" s="112" t="s">
        <v>1506</v>
      </c>
    </row>
    <row r="75" spans="1:29" ht="15.6">
      <c r="A75" s="28" t="str">
        <v>Sangolqui</v>
      </c>
      <c r="B75" s="25" t="str">
        <v>NY</v>
      </c>
      <c r="C75" s="25" t="str">
        <f>Sites[[#This Row],[SOL'#]]</f>
        <v>SOL-10975</v>
      </c>
      <c r="D75" s="20">
        <v>556270</v>
      </c>
      <c r="E75" s="10">
        <v>555700</v>
      </c>
      <c r="F75" s="10">
        <f t="shared" si="6"/>
        <v>570</v>
      </c>
      <c r="G75" s="11">
        <f t="shared" si="7"/>
        <v>1.0257333093395718E-3</v>
      </c>
      <c r="H75" s="12">
        <v>534834.66</v>
      </c>
      <c r="I75" s="12">
        <f t="shared" si="4"/>
        <v>21435.339999999967</v>
      </c>
      <c r="J75" s="13">
        <f t="shared" si="5"/>
        <v>4.0078442186226235E-2</v>
      </c>
      <c r="K75" s="53"/>
      <c r="L75" s="53"/>
      <c r="M75" s="104"/>
      <c r="N75" s="104"/>
      <c r="O75" s="104"/>
      <c r="P75" s="104"/>
      <c r="Q75" s="104"/>
      <c r="R75" s="104"/>
      <c r="S75" s="104"/>
      <c r="T75" s="104"/>
      <c r="U75" s="104"/>
      <c r="V75" s="104"/>
      <c r="W75" s="104"/>
      <c r="X75" s="104"/>
    </row>
    <row r="76" spans="1:29" ht="57.6">
      <c r="A76" s="26" t="str">
        <v>State Highway 17B</v>
      </c>
      <c r="B76" s="27" t="str">
        <v>NY</v>
      </c>
      <c r="C76" s="27" t="str">
        <f>Sites[[#This Row],[SOL'#]]</f>
        <v>SOL-10988</v>
      </c>
      <c r="D76" s="9">
        <v>844420</v>
      </c>
      <c r="E76" s="14">
        <v>841370</v>
      </c>
      <c r="F76" s="14">
        <f t="shared" si="6"/>
        <v>3050</v>
      </c>
      <c r="G76" s="15">
        <f t="shared" si="7"/>
        <v>3.6250401131487932E-3</v>
      </c>
      <c r="H76" s="135" t="s">
        <v>941</v>
      </c>
      <c r="I76" s="16" t="str">
        <f t="shared" si="4"/>
        <v/>
      </c>
      <c r="J76" s="15" t="str">
        <f t="shared" si="5"/>
        <v/>
      </c>
      <c r="K76" s="51" t="s">
        <v>1507</v>
      </c>
      <c r="L76" s="100" t="s">
        <v>1508</v>
      </c>
      <c r="M76" s="103" t="s">
        <v>1509</v>
      </c>
      <c r="N76" s="104"/>
      <c r="O76" s="104"/>
      <c r="P76" s="104"/>
      <c r="Q76" s="104"/>
      <c r="R76" s="104"/>
      <c r="S76" s="104"/>
      <c r="T76" s="104"/>
      <c r="U76" s="104"/>
      <c r="V76" s="104"/>
      <c r="W76" s="104"/>
      <c r="X76" s="104"/>
    </row>
    <row r="77" spans="1:29" ht="86.45">
      <c r="A77" s="28" t="str">
        <v>State Route 14A</v>
      </c>
      <c r="B77" s="25" t="str">
        <v>NY</v>
      </c>
      <c r="C77" s="25" t="str">
        <f>Sites[[#This Row],[SOL'#]]</f>
        <v>SOL-10997</v>
      </c>
      <c r="D77" s="20">
        <v>0</v>
      </c>
      <c r="E77" s="10" t="s">
        <v>661</v>
      </c>
      <c r="F77" s="10" t="str">
        <f t="shared" si="6"/>
        <v/>
      </c>
      <c r="G77" s="11" t="str">
        <f t="shared" si="7"/>
        <v/>
      </c>
      <c r="H77" s="12">
        <v>1023871.6</v>
      </c>
      <c r="I77" s="12">
        <f t="shared" si="4"/>
        <v>-1023871.6</v>
      </c>
      <c r="J77" s="13">
        <f t="shared" si="5"/>
        <v>-1</v>
      </c>
      <c r="K77" s="53" t="s">
        <v>1510</v>
      </c>
      <c r="L77" s="99" t="s">
        <v>1511</v>
      </c>
      <c r="M77" s="103" t="s">
        <v>1273</v>
      </c>
      <c r="N77" s="103" t="s">
        <v>1512</v>
      </c>
      <c r="O77" s="104"/>
      <c r="P77" s="104"/>
      <c r="Q77" s="104"/>
      <c r="R77" s="104"/>
      <c r="S77" s="104"/>
      <c r="T77" s="104"/>
      <c r="U77" s="104"/>
      <c r="V77" s="104"/>
      <c r="W77" s="104"/>
      <c r="X77" s="104"/>
    </row>
    <row r="78" spans="1:29" ht="28.9">
      <c r="A78" s="26" t="str">
        <v>West Creek</v>
      </c>
      <c r="B78" s="27" t="str">
        <v>NY</v>
      </c>
      <c r="C78" s="27" t="str">
        <f>Sites[[#This Row],[SOL'#]]</f>
        <v>SOL-10995</v>
      </c>
      <c r="D78" s="9">
        <v>952660</v>
      </c>
      <c r="E78" s="14">
        <v>905450</v>
      </c>
      <c r="F78" s="14">
        <f t="shared" si="6"/>
        <v>47210</v>
      </c>
      <c r="G78" s="15">
        <f t="shared" si="7"/>
        <v>5.2139819979015956E-2</v>
      </c>
      <c r="H78" s="16">
        <v>1056166.02</v>
      </c>
      <c r="I78" s="16">
        <f t="shared" si="4"/>
        <v>-103506.02000000002</v>
      </c>
      <c r="J78" s="15">
        <f t="shared" si="5"/>
        <v>-9.8001656974345777E-2</v>
      </c>
      <c r="K78" s="51" t="s">
        <v>1513</v>
      </c>
      <c r="L78" s="100" t="s">
        <v>1514</v>
      </c>
      <c r="M78" s="104"/>
      <c r="N78" s="104"/>
      <c r="O78" s="104"/>
      <c r="P78" s="104"/>
      <c r="Q78" s="104"/>
      <c r="R78" s="104"/>
      <c r="S78" s="104"/>
      <c r="T78" s="104"/>
      <c r="U78" s="104"/>
      <c r="V78" s="104"/>
      <c r="W78" s="104"/>
      <c r="X78" s="104"/>
    </row>
    <row r="79" spans="1:29" ht="86.45">
      <c r="A79" s="28" t="str">
        <v>Wildflower</v>
      </c>
      <c r="B79" s="25" t="str">
        <v>NY</v>
      </c>
      <c r="C79" s="25" t="str">
        <f>Sites[[#This Row],[SOL'#]]</f>
        <v>SOL-10982</v>
      </c>
      <c r="D79" s="20">
        <v>892850</v>
      </c>
      <c r="E79" s="10">
        <v>890492</v>
      </c>
      <c r="F79" s="10">
        <f t="shared" si="6"/>
        <v>2358</v>
      </c>
      <c r="G79" s="11">
        <f t="shared" si="7"/>
        <v>2.6479743782089004E-3</v>
      </c>
      <c r="H79" s="12">
        <v>992227.03</v>
      </c>
      <c r="I79" s="12">
        <f t="shared" si="4"/>
        <v>-99377.030000000028</v>
      </c>
      <c r="J79" s="13">
        <f t="shared" si="5"/>
        <v>-0.10015553597647912</v>
      </c>
      <c r="K79" s="53" t="s">
        <v>1515</v>
      </c>
      <c r="L79" s="99" t="s">
        <v>1516</v>
      </c>
      <c r="M79" s="104"/>
      <c r="N79" s="104"/>
      <c r="O79" s="104"/>
      <c r="P79" s="104"/>
      <c r="Q79" s="104"/>
      <c r="R79" s="104"/>
      <c r="S79" s="104"/>
      <c r="T79" s="104"/>
      <c r="U79" s="104"/>
      <c r="V79" s="104"/>
      <c r="W79" s="104"/>
      <c r="X79" s="104"/>
    </row>
    <row r="80" spans="1:29" ht="28.9">
      <c r="A80" s="26" t="str">
        <v>Glen Mary 1</v>
      </c>
      <c r="B80" s="27" t="str">
        <v>NY</v>
      </c>
      <c r="C80" s="27" t="str">
        <f>Sites[[#This Row],[SOL'#]]</f>
        <v>SOL-10993</v>
      </c>
      <c r="D80" s="9">
        <v>1034840</v>
      </c>
      <c r="E80" s="14">
        <v>1030810</v>
      </c>
      <c r="F80" s="14">
        <f t="shared" si="6"/>
        <v>4030</v>
      </c>
      <c r="G80" s="15">
        <f t="shared" si="7"/>
        <v>3.9095468612062355E-3</v>
      </c>
      <c r="H80" s="16">
        <v>998812.44</v>
      </c>
      <c r="I80" s="16">
        <f t="shared" si="4"/>
        <v>36027.560000000056</v>
      </c>
      <c r="J80" s="15">
        <f t="shared" si="5"/>
        <v>3.6070395759187836E-2</v>
      </c>
      <c r="K80" s="51" t="s">
        <v>1517</v>
      </c>
      <c r="L80" s="100" t="s">
        <v>1518</v>
      </c>
      <c r="M80" s="103" t="s">
        <v>1519</v>
      </c>
      <c r="N80" s="104"/>
      <c r="O80" s="104"/>
      <c r="P80" s="104"/>
      <c r="Q80" s="104"/>
      <c r="R80" s="104"/>
      <c r="S80" s="104"/>
      <c r="T80" s="104"/>
      <c r="U80" s="104"/>
      <c r="V80" s="104"/>
      <c r="W80" s="104"/>
      <c r="X80" s="104"/>
    </row>
    <row r="81" spans="1:24" ht="43.15">
      <c r="A81" s="28" t="str">
        <v>Glen Mary 2</v>
      </c>
      <c r="B81" s="25" t="str">
        <v>NY</v>
      </c>
      <c r="C81" s="25" t="str">
        <f>Sites[[#This Row],[SOL'#]]</f>
        <v>SOL-10994</v>
      </c>
      <c r="D81" s="20">
        <v>461130</v>
      </c>
      <c r="E81" s="10">
        <v>216810</v>
      </c>
      <c r="F81" s="10">
        <f t="shared" si="6"/>
        <v>244320</v>
      </c>
      <c r="G81" s="11">
        <f t="shared" si="7"/>
        <v>1.126885291268853</v>
      </c>
      <c r="H81" s="12">
        <v>425618.76</v>
      </c>
      <c r="I81" s="12">
        <f t="shared" si="4"/>
        <v>35511.239999999991</v>
      </c>
      <c r="J81" s="13">
        <f t="shared" si="5"/>
        <v>8.3434386209855951E-2</v>
      </c>
      <c r="K81" s="53" t="s">
        <v>1520</v>
      </c>
      <c r="L81" s="99" t="s">
        <v>1521</v>
      </c>
      <c r="M81" s="104"/>
      <c r="N81" s="104"/>
      <c r="O81" s="104"/>
      <c r="P81" s="104"/>
      <c r="Q81" s="104"/>
      <c r="R81" s="104"/>
      <c r="S81" s="104"/>
      <c r="T81" s="104"/>
      <c r="U81" s="104"/>
      <c r="V81" s="104"/>
      <c r="W81" s="104"/>
      <c r="X81" s="104"/>
    </row>
    <row r="82" spans="1:24" ht="28.9">
      <c r="A82" s="26" t="str">
        <v>Telegraph 1</v>
      </c>
      <c r="B82" s="27" t="str">
        <v>NY</v>
      </c>
      <c r="C82" s="27" t="str">
        <f>Sites[[#This Row],[SOL'#]]</f>
        <v>SOL-11003</v>
      </c>
      <c r="D82" s="9">
        <v>758150</v>
      </c>
      <c r="E82" s="14" t="s">
        <v>661</v>
      </c>
      <c r="F82" s="14" t="str">
        <f t="shared" si="6"/>
        <v/>
      </c>
      <c r="G82" s="15" t="str">
        <f t="shared" si="7"/>
        <v/>
      </c>
      <c r="H82" s="16">
        <v>748051.86</v>
      </c>
      <c r="I82" s="16">
        <f t="shared" si="4"/>
        <v>10098.140000000014</v>
      </c>
      <c r="J82" s="15">
        <f t="shared" si="5"/>
        <v>1.3499251241752162E-2</v>
      </c>
      <c r="K82" s="70" t="s">
        <v>1522</v>
      </c>
      <c r="L82" s="100" t="s">
        <v>1523</v>
      </c>
      <c r="M82" s="104"/>
      <c r="N82" s="104"/>
      <c r="O82" s="104"/>
      <c r="P82" s="104"/>
      <c r="Q82" s="104"/>
      <c r="R82" s="104"/>
      <c r="S82" s="104"/>
      <c r="T82" s="104"/>
      <c r="U82" s="104"/>
      <c r="V82" s="104"/>
      <c r="W82" s="104"/>
      <c r="X82" s="104"/>
    </row>
    <row r="83" spans="1:24" ht="28.9">
      <c r="A83" s="28" t="str">
        <v>Telegraph 2</v>
      </c>
      <c r="B83" s="25" t="str">
        <v>NY</v>
      </c>
      <c r="C83" s="25" t="str">
        <f>Sites[[#This Row],[SOL'#]]</f>
        <v>SOL-11004</v>
      </c>
      <c r="D83" s="20">
        <v>399640</v>
      </c>
      <c r="E83" s="10" t="s">
        <v>661</v>
      </c>
      <c r="F83" s="10" t="str">
        <f t="shared" si="6"/>
        <v/>
      </c>
      <c r="G83" s="11" t="str">
        <f t="shared" si="7"/>
        <v/>
      </c>
      <c r="H83" s="12">
        <v>390141.68</v>
      </c>
      <c r="I83" s="12">
        <f t="shared" si="4"/>
        <v>9498.320000000007</v>
      </c>
      <c r="J83" s="13">
        <f t="shared" si="5"/>
        <v>2.4345822266413596E-2</v>
      </c>
      <c r="K83" s="53" t="s">
        <v>1524</v>
      </c>
      <c r="L83" s="99" t="s">
        <v>1525</v>
      </c>
      <c r="M83" s="104"/>
      <c r="N83" s="104"/>
      <c r="O83" s="104"/>
      <c r="P83" s="104"/>
      <c r="Q83" s="104"/>
      <c r="R83" s="104"/>
      <c r="S83" s="104"/>
      <c r="T83" s="104"/>
      <c r="U83" s="104"/>
      <c r="V83" s="104"/>
      <c r="W83" s="104"/>
      <c r="X83" s="104"/>
    </row>
    <row r="84" spans="1:24" ht="15.6">
      <c r="A84" s="26" t="str">
        <v>Cafferty Hill</v>
      </c>
      <c r="B84" s="27" t="str">
        <v>NY</v>
      </c>
      <c r="C84" s="27" t="str">
        <f>Sites[[#This Row],[SOL'#]]</f>
        <v>SOL-10996</v>
      </c>
      <c r="D84" s="9">
        <v>1070170</v>
      </c>
      <c r="E84" s="14">
        <v>1096662.81</v>
      </c>
      <c r="F84" s="14">
        <f t="shared" si="6"/>
        <v>-26492.810000000056</v>
      </c>
      <c r="G84" s="15">
        <f t="shared" si="7"/>
        <v>-2.4157662463268954E-2</v>
      </c>
      <c r="H84" s="16">
        <v>1010963.44</v>
      </c>
      <c r="I84" s="16">
        <f t="shared" si="4"/>
        <v>59206.560000000056</v>
      </c>
      <c r="J84" s="15">
        <f t="shared" si="5"/>
        <v>5.8564491709017744E-2</v>
      </c>
      <c r="K84" s="51" t="s">
        <v>1526</v>
      </c>
      <c r="L84" s="100" t="s">
        <v>1527</v>
      </c>
      <c r="M84" s="104"/>
      <c r="N84" s="104"/>
      <c r="O84" s="104"/>
      <c r="P84" s="104"/>
      <c r="Q84" s="104"/>
      <c r="R84" s="104"/>
      <c r="S84" s="104"/>
      <c r="T84" s="104"/>
      <c r="U84" s="104"/>
      <c r="V84" s="104"/>
      <c r="W84" s="104"/>
      <c r="X84" s="104"/>
    </row>
    <row r="85" spans="1:24" ht="57.6">
      <c r="A85" s="28" t="str">
        <v>Dunkleman</v>
      </c>
      <c r="B85" s="25" t="str">
        <v>NY</v>
      </c>
      <c r="C85" s="25" t="str">
        <f>Sites[[#This Row],[SOL'#]]</f>
        <v>SOL-11008</v>
      </c>
      <c r="D85" s="20">
        <v>1328630</v>
      </c>
      <c r="E85" s="10">
        <v>1325930</v>
      </c>
      <c r="F85" s="10">
        <f t="shared" si="6"/>
        <v>2700</v>
      </c>
      <c r="G85" s="11">
        <f t="shared" si="7"/>
        <v>2.0363065923540459E-3</v>
      </c>
      <c r="H85" s="12">
        <v>1303096.45</v>
      </c>
      <c r="I85" s="12">
        <f t="shared" si="4"/>
        <v>25533.550000000047</v>
      </c>
      <c r="J85" s="13">
        <f t="shared" si="5"/>
        <v>1.959452042095583E-2</v>
      </c>
      <c r="K85" s="53" t="s">
        <v>1281</v>
      </c>
      <c r="L85" s="99" t="s">
        <v>1528</v>
      </c>
      <c r="M85" s="104"/>
      <c r="N85" s="104"/>
      <c r="O85" s="104"/>
      <c r="P85" s="104"/>
      <c r="Q85" s="104"/>
      <c r="R85" s="104"/>
      <c r="S85" s="104"/>
      <c r="T85" s="104"/>
      <c r="U85" s="104"/>
      <c r="V85" s="104"/>
      <c r="W85" s="104"/>
      <c r="X85" s="104"/>
    </row>
    <row r="86" spans="1:24" ht="15.6">
      <c r="A86" s="26" t="str">
        <v>Route 19 1</v>
      </c>
      <c r="B86" s="27" t="str">
        <v>NY</v>
      </c>
      <c r="C86" s="27" t="str">
        <f>Sites[[#This Row],[SOL'#]]</f>
        <v>SOL-11001</v>
      </c>
      <c r="D86" s="9">
        <v>526400</v>
      </c>
      <c r="E86" s="14">
        <v>524990</v>
      </c>
      <c r="F86" s="14">
        <f t="shared" si="6"/>
        <v>1410</v>
      </c>
      <c r="G86" s="15">
        <f t="shared" si="7"/>
        <v>2.6857654431512983E-3</v>
      </c>
      <c r="H86" s="16">
        <v>527552.5</v>
      </c>
      <c r="I86" s="16">
        <f t="shared" si="4"/>
        <v>-1152.5</v>
      </c>
      <c r="J86" s="15">
        <f t="shared" si="5"/>
        <v>-2.1846166969164207E-3</v>
      </c>
      <c r="K86" s="107" t="s">
        <v>1529</v>
      </c>
      <c r="L86" s="100" t="s">
        <v>1530</v>
      </c>
      <c r="M86" s="104"/>
      <c r="N86" s="104"/>
      <c r="O86" s="104"/>
      <c r="P86" s="104"/>
      <c r="Q86" s="104"/>
      <c r="R86" s="104"/>
      <c r="S86" s="104"/>
      <c r="T86" s="104"/>
      <c r="U86" s="104"/>
      <c r="V86" s="104"/>
      <c r="W86" s="104"/>
      <c r="X86" s="104"/>
    </row>
    <row r="87" spans="1:24" ht="15.6">
      <c r="A87" s="28" t="str">
        <v>Route 19 2</v>
      </c>
      <c r="B87" s="25" t="str">
        <v>NY</v>
      </c>
      <c r="C87" s="25" t="str">
        <f>Sites[[#This Row],[SOL'#]]</f>
        <v>SOL-11002</v>
      </c>
      <c r="D87" s="20">
        <v>1275880</v>
      </c>
      <c r="E87" s="10">
        <v>1272140</v>
      </c>
      <c r="F87" s="10">
        <f t="shared" si="6"/>
        <v>3740</v>
      </c>
      <c r="G87" s="11">
        <f t="shared" si="7"/>
        <v>2.9399279953464239E-3</v>
      </c>
      <c r="H87" s="12">
        <v>1305988.6299999999</v>
      </c>
      <c r="I87" s="12">
        <f t="shared" si="4"/>
        <v>-30108.629999999888</v>
      </c>
      <c r="J87" s="13">
        <f t="shared" si="5"/>
        <v>-2.3054281873801527E-2</v>
      </c>
      <c r="K87" s="53" t="s">
        <v>1531</v>
      </c>
      <c r="L87" s="99" t="s">
        <v>1532</v>
      </c>
      <c r="M87" s="104"/>
      <c r="N87" s="104"/>
      <c r="O87" s="104"/>
      <c r="P87" s="104"/>
      <c r="Q87" s="104"/>
      <c r="R87" s="104"/>
      <c r="S87" s="104"/>
      <c r="T87" s="104"/>
      <c r="U87" s="104"/>
      <c r="V87" s="104"/>
      <c r="W87" s="104"/>
      <c r="X87" s="104"/>
    </row>
    <row r="88" spans="1:24" ht="15.6">
      <c r="A88" s="26" t="str">
        <v>Yellow Mills 1</v>
      </c>
      <c r="B88" s="27" t="str">
        <v>NY</v>
      </c>
      <c r="C88" s="27" t="str">
        <f>Sites[[#This Row],[SOL'#]]</f>
        <v>SOL-11006</v>
      </c>
      <c r="D88" s="9">
        <v>457718</v>
      </c>
      <c r="E88" s="14">
        <v>455797</v>
      </c>
      <c r="F88" s="14">
        <f t="shared" si="6"/>
        <v>1921</v>
      </c>
      <c r="G88" s="15">
        <f t="shared" si="7"/>
        <v>4.2145955326603731E-3</v>
      </c>
      <c r="H88" s="16">
        <v>434537.61</v>
      </c>
      <c r="I88" s="16">
        <f t="shared" si="4"/>
        <v>23180.390000000014</v>
      </c>
      <c r="J88" s="15">
        <f t="shared" si="5"/>
        <v>5.3344956723078617E-2</v>
      </c>
      <c r="K88" s="51"/>
      <c r="L88" s="51"/>
      <c r="M88" s="104"/>
      <c r="N88" s="104"/>
      <c r="O88" s="104"/>
      <c r="P88" s="104"/>
      <c r="Q88" s="104"/>
      <c r="R88" s="104"/>
      <c r="S88" s="104"/>
      <c r="T88" s="104"/>
      <c r="U88" s="104"/>
      <c r="V88" s="104"/>
      <c r="W88" s="104"/>
      <c r="X88" s="104"/>
    </row>
    <row r="89" spans="1:24" ht="15.6">
      <c r="A89" s="28" t="str">
        <v>Yellow Mills 2</v>
      </c>
      <c r="B89" s="25" t="str">
        <v>NY</v>
      </c>
      <c r="C89" s="25" t="str">
        <f>Sites[[#This Row],[SOL'#]]</f>
        <v>SOL-11005</v>
      </c>
      <c r="D89" s="20">
        <v>452895</v>
      </c>
      <c r="E89" s="10" t="s">
        <v>661</v>
      </c>
      <c r="F89" s="10" t="str">
        <f t="shared" si="6"/>
        <v/>
      </c>
      <c r="G89" s="11" t="str">
        <f t="shared" si="7"/>
        <v/>
      </c>
      <c r="H89" s="12">
        <v>450519.38</v>
      </c>
      <c r="I89" s="12">
        <f t="shared" si="4"/>
        <v>2375.6199999999953</v>
      </c>
      <c r="J89" s="13">
        <f t="shared" si="5"/>
        <v>5.2730694959226736E-3</v>
      </c>
      <c r="K89" s="53"/>
      <c r="L89" s="53"/>
      <c r="M89" s="104"/>
      <c r="N89" s="104"/>
      <c r="O89" s="104"/>
      <c r="P89" s="104"/>
      <c r="Q89" s="104"/>
      <c r="R89" s="104"/>
      <c r="S89" s="104"/>
      <c r="T89" s="104"/>
      <c r="U89" s="104"/>
      <c r="V89" s="104"/>
      <c r="W89" s="104"/>
      <c r="X89" s="104"/>
    </row>
    <row r="90" spans="1:24" ht="15.6">
      <c r="A90" s="26" t="str">
        <v>Yellow Mills 3</v>
      </c>
      <c r="B90" s="27" t="str">
        <v>NY</v>
      </c>
      <c r="C90" s="27" t="str">
        <f>Sites[[#This Row],[SOL'#]]</f>
        <v>SOL-11007</v>
      </c>
      <c r="D90" s="9">
        <v>431452</v>
      </c>
      <c r="E90" s="14">
        <v>429805</v>
      </c>
      <c r="F90" s="14">
        <f t="shared" si="6"/>
        <v>1647</v>
      </c>
      <c r="G90" s="15">
        <f t="shared" si="7"/>
        <v>3.8319703121182862E-3</v>
      </c>
      <c r="H90" s="16">
        <v>428647.82</v>
      </c>
      <c r="I90" s="16">
        <f t="shared" si="4"/>
        <v>2804.179999999993</v>
      </c>
      <c r="J90" s="15">
        <f t="shared" si="5"/>
        <v>6.5419205911276838E-3</v>
      </c>
      <c r="K90" s="51"/>
      <c r="L90" s="51"/>
      <c r="M90" s="104"/>
      <c r="N90" s="104"/>
      <c r="O90" s="104"/>
      <c r="P90" s="104"/>
      <c r="Q90" s="104"/>
      <c r="R90" s="104"/>
      <c r="S90" s="104"/>
      <c r="T90" s="104"/>
      <c r="U90" s="104"/>
      <c r="V90" s="104"/>
      <c r="W90" s="104"/>
      <c r="X90" s="104"/>
    </row>
    <row r="91" spans="1:24" ht="78.75" customHeight="1">
      <c r="A91" s="28" t="str">
        <v>Catskill</v>
      </c>
      <c r="B91" s="25" t="str">
        <v>NY</v>
      </c>
      <c r="C91" s="25" t="str">
        <f>Sites[[#This Row],[SOL'#]]</f>
        <v>SOL-11021</v>
      </c>
      <c r="D91" s="20">
        <v>359700</v>
      </c>
      <c r="E91" s="10">
        <v>358236</v>
      </c>
      <c r="F91" s="10">
        <f t="shared" si="6"/>
        <v>1464</v>
      </c>
      <c r="G91" s="11">
        <f t="shared" si="7"/>
        <v>4.0866914547951633E-3</v>
      </c>
      <c r="H91" s="12">
        <v>783825.25</v>
      </c>
      <c r="I91" s="12">
        <f t="shared" si="4"/>
        <v>-424125.25</v>
      </c>
      <c r="J91" s="13">
        <f t="shared" si="5"/>
        <v>-0.5410966921517264</v>
      </c>
      <c r="K91" s="53" t="s">
        <v>1533</v>
      </c>
      <c r="L91" s="99" t="s">
        <v>1534</v>
      </c>
      <c r="M91" s="104"/>
      <c r="N91" s="104"/>
      <c r="O91" s="104"/>
      <c r="P91" s="104"/>
      <c r="Q91" s="104"/>
      <c r="R91" s="104"/>
      <c r="S91" s="104"/>
      <c r="T91" s="104"/>
      <c r="U91" s="104"/>
      <c r="V91" s="104"/>
      <c r="W91" s="104"/>
      <c r="X91" s="104"/>
    </row>
    <row r="92" spans="1:24" ht="54.75" customHeight="1">
      <c r="A92" s="26" t="str">
        <v>Eddy Ridge</v>
      </c>
      <c r="B92" s="27" t="str">
        <v>NY</v>
      </c>
      <c r="C92" s="27" t="str">
        <f>Sites[[#This Row],[SOL'#]]</f>
        <v>SOL-11054</v>
      </c>
      <c r="D92" s="9">
        <v>648019</v>
      </c>
      <c r="E92" s="14">
        <v>646353</v>
      </c>
      <c r="F92" s="14">
        <f t="shared" si="6"/>
        <v>1666</v>
      </c>
      <c r="G92" s="15">
        <f t="shared" si="7"/>
        <v>2.5775388990226704E-3</v>
      </c>
      <c r="H92" s="16">
        <v>648740</v>
      </c>
      <c r="I92" s="16">
        <f t="shared" si="4"/>
        <v>-721</v>
      </c>
      <c r="J92" s="15">
        <f t="shared" si="5"/>
        <v>-1.1113851465918551E-3</v>
      </c>
      <c r="K92" s="51" t="s">
        <v>1535</v>
      </c>
      <c r="L92" s="100" t="s">
        <v>1536</v>
      </c>
      <c r="M92" s="103" t="s">
        <v>1537</v>
      </c>
      <c r="N92" s="103" t="s">
        <v>1538</v>
      </c>
      <c r="O92" s="104"/>
      <c r="P92" s="104"/>
      <c r="Q92" s="104"/>
      <c r="R92" s="104"/>
      <c r="S92" s="104"/>
      <c r="T92" s="104"/>
      <c r="U92" s="104"/>
      <c r="V92" s="104"/>
      <c r="W92" s="104"/>
      <c r="X92" s="104"/>
    </row>
    <row r="93" spans="1:24" ht="43.15">
      <c r="A93" s="28" t="str">
        <v>Ridgeway #1</v>
      </c>
      <c r="B93" s="25" t="str">
        <v>NY</v>
      </c>
      <c r="C93" s="25" t="str">
        <f>Sites[[#This Row],[SOL'#]]</f>
        <v>SOL-11018</v>
      </c>
      <c r="D93" s="20">
        <v>1451284</v>
      </c>
      <c r="E93" s="10">
        <v>1447271</v>
      </c>
      <c r="F93" s="10">
        <f t="shared" ref="F93:F96" si="8">IF(AND(ISNUMBER(D93),ISNUMBER(E93)), D93-E93, "")</f>
        <v>4013</v>
      </c>
      <c r="G93" s="11">
        <f t="shared" si="7"/>
        <v>2.7728048167896683E-3</v>
      </c>
      <c r="H93" s="12">
        <v>1342085.1499999999</v>
      </c>
      <c r="I93" s="12">
        <f t="shared" si="4"/>
        <v>109198.85000000009</v>
      </c>
      <c r="J93" s="13">
        <f t="shared" si="5"/>
        <v>8.1365068378858152E-2</v>
      </c>
      <c r="K93" s="53" t="s">
        <v>1539</v>
      </c>
      <c r="L93" s="99" t="s">
        <v>1540</v>
      </c>
      <c r="M93" s="103" t="s">
        <v>1541</v>
      </c>
      <c r="N93" s="104"/>
      <c r="O93" s="104"/>
      <c r="P93" s="104"/>
      <c r="Q93" s="104"/>
      <c r="R93" s="104"/>
      <c r="S93" s="104"/>
      <c r="T93" s="104"/>
      <c r="U93" s="104"/>
      <c r="V93" s="104"/>
      <c r="W93" s="104"/>
      <c r="X93" s="104"/>
    </row>
    <row r="94" spans="1:24" ht="43.15">
      <c r="A94" s="26" t="str">
        <v>Rivard 1</v>
      </c>
      <c r="B94" s="27" t="str">
        <v>NY</v>
      </c>
      <c r="C94" s="27" t="str">
        <f>Sites[[#This Row],[SOL'#]]</f>
        <v>SOL-11011</v>
      </c>
      <c r="D94" s="9">
        <v>1028409.2892654</v>
      </c>
      <c r="E94" s="14">
        <v>1098061</v>
      </c>
      <c r="F94" s="14">
        <f t="shared" si="8"/>
        <v>-69651.710734599968</v>
      </c>
      <c r="G94" s="15">
        <f t="shared" ref="G94:G96" si="9">IFERROR(F94/E94, "")</f>
        <v>-6.3431549553804353E-2</v>
      </c>
      <c r="H94" s="16">
        <v>1115777</v>
      </c>
      <c r="I94" s="16">
        <f t="shared" si="4"/>
        <v>-87367.710734599968</v>
      </c>
      <c r="J94" s="15">
        <f t="shared" si="5"/>
        <v>-7.8302125545337442E-2</v>
      </c>
      <c r="K94" s="51" t="s">
        <v>1542</v>
      </c>
      <c r="L94" s="100" t="s">
        <v>1543</v>
      </c>
      <c r="M94" s="104"/>
      <c r="N94" s="104"/>
      <c r="O94" s="104"/>
      <c r="P94" s="104"/>
      <c r="Q94" s="104"/>
      <c r="R94" s="104"/>
      <c r="S94" s="104"/>
      <c r="T94" s="104"/>
      <c r="U94" s="104"/>
      <c r="V94" s="104"/>
      <c r="W94" s="104"/>
      <c r="X94" s="104"/>
    </row>
    <row r="95" spans="1:24" ht="72">
      <c r="A95" s="28" t="str">
        <v>Rivard 2</v>
      </c>
      <c r="B95" s="25" t="str">
        <v>NY</v>
      </c>
      <c r="C95" s="25" t="str">
        <f>Sites[[#This Row],[SOL'#]]</f>
        <v>SOL-11012</v>
      </c>
      <c r="D95" s="20">
        <v>1175701.7910447801</v>
      </c>
      <c r="E95" s="10">
        <v>1148796</v>
      </c>
      <c r="F95" s="10">
        <f t="shared" si="8"/>
        <v>26905.791044780053</v>
      </c>
      <c r="G95" s="11">
        <f t="shared" si="9"/>
        <v>2.3420860661753744E-2</v>
      </c>
      <c r="H95" s="12">
        <v>1076280</v>
      </c>
      <c r="I95" s="12">
        <f t="shared" si="4"/>
        <v>99421.791044780053</v>
      </c>
      <c r="J95" s="13">
        <f t="shared" si="5"/>
        <v>9.2375395849388683E-2</v>
      </c>
      <c r="K95" s="53" t="s">
        <v>1544</v>
      </c>
      <c r="L95" s="99" t="s">
        <v>316</v>
      </c>
      <c r="M95" s="104"/>
      <c r="N95" s="104"/>
      <c r="O95" s="104"/>
      <c r="P95" s="104"/>
      <c r="Q95" s="104"/>
      <c r="R95" s="104"/>
      <c r="S95" s="104"/>
      <c r="T95" s="104"/>
      <c r="U95" s="104"/>
      <c r="V95" s="104"/>
      <c r="W95" s="104"/>
      <c r="X95" s="104"/>
    </row>
    <row r="96" spans="1:24" ht="15.6">
      <c r="A96" s="28" t="str">
        <v>Ridgeway #2</v>
      </c>
      <c r="B96" s="25" t="str">
        <v>NY</v>
      </c>
      <c r="C96" s="25" t="str">
        <f>Sites[[#This Row],[SOL'#]]</f>
        <v>SOL-11027</v>
      </c>
      <c r="D96" s="20"/>
      <c r="E96" s="10"/>
      <c r="F96" s="10" t="str">
        <f t="shared" si="8"/>
        <v/>
      </c>
      <c r="G96" s="11" t="str">
        <f t="shared" si="9"/>
        <v/>
      </c>
      <c r="H96" s="12"/>
      <c r="I96" s="12" t="str">
        <f t="shared" ref="I96:I154" si="10">IF(AND(ISNUMBER(D96),ISNUMBER(H96)), D96-H96, "")</f>
        <v/>
      </c>
      <c r="J96" s="13" t="str">
        <f t="shared" ref="J96:J154" si="11">IFERROR(I96/H96, "")</f>
        <v/>
      </c>
      <c r="K96" s="53"/>
      <c r="L96" s="53"/>
      <c r="M96" s="104"/>
      <c r="N96" s="104"/>
      <c r="O96" s="104"/>
      <c r="P96" s="104"/>
      <c r="Q96" s="104"/>
      <c r="R96" s="104"/>
      <c r="S96" s="104"/>
      <c r="T96" s="104"/>
      <c r="U96" s="104"/>
      <c r="V96" s="104"/>
      <c r="W96" s="104"/>
      <c r="X96" s="104"/>
    </row>
    <row r="97" spans="1:24" ht="15.6">
      <c r="A97" s="26" t="str">
        <v>Spencer</v>
      </c>
      <c r="B97" s="27" t="str">
        <v>NY</v>
      </c>
      <c r="C97" s="27" t="str">
        <f>Sites[[#This Row],[SOL'#]]</f>
        <v>SOL-11017</v>
      </c>
      <c r="D97" s="9">
        <v>1365998</v>
      </c>
      <c r="E97" s="14">
        <v>1361782</v>
      </c>
      <c r="F97" s="14">
        <f t="shared" ref="F97:F158" si="12">IF(AND(ISNUMBER(D97),ISNUMBER(E97)), D97-E97, "")</f>
        <v>4216</v>
      </c>
      <c r="G97" s="15">
        <f t="shared" ref="G97:G158" si="13">IFERROR(F97/E97, "")</f>
        <v>3.0959434035697344E-3</v>
      </c>
      <c r="H97" s="16">
        <v>1303450</v>
      </c>
      <c r="I97" s="16">
        <f t="shared" si="10"/>
        <v>62548</v>
      </c>
      <c r="J97" s="15">
        <f t="shared" si="11"/>
        <v>4.7986497372357974E-2</v>
      </c>
      <c r="K97" s="51" t="s">
        <v>1545</v>
      </c>
      <c r="L97" s="100" t="s">
        <v>1546</v>
      </c>
      <c r="M97" s="104"/>
      <c r="N97" s="104"/>
      <c r="O97" s="104"/>
      <c r="P97" s="104"/>
      <c r="Q97" s="104"/>
      <c r="R97" s="104"/>
      <c r="S97" s="104"/>
      <c r="T97" s="104"/>
      <c r="U97" s="104"/>
      <c r="V97" s="104"/>
      <c r="W97" s="104"/>
      <c r="X97" s="104"/>
    </row>
    <row r="98" spans="1:24" ht="15.6">
      <c r="A98" s="28" t="str">
        <v>Reisender</v>
      </c>
      <c r="B98" s="25" t="str">
        <v>NY</v>
      </c>
      <c r="C98" s="25" t="str">
        <f>Sites[[#This Row],[SOL'#]]</f>
        <v>SOL-10886</v>
      </c>
      <c r="D98" s="20">
        <v>383420</v>
      </c>
      <c r="E98" s="10">
        <v>391343</v>
      </c>
      <c r="F98" s="10">
        <f t="shared" si="12"/>
        <v>-7923</v>
      </c>
      <c r="G98" s="11">
        <f t="shared" si="13"/>
        <v>-2.0245666844686119E-2</v>
      </c>
      <c r="H98" s="12">
        <v>415133.27</v>
      </c>
      <c r="I98" s="12">
        <f t="shared" si="10"/>
        <v>-31713.270000000019</v>
      </c>
      <c r="J98" s="13">
        <f t="shared" si="11"/>
        <v>-7.6392985799475954E-2</v>
      </c>
      <c r="K98" s="53" t="s">
        <v>1547</v>
      </c>
      <c r="L98" s="99" t="s">
        <v>1303</v>
      </c>
      <c r="M98" s="104"/>
      <c r="N98" s="104"/>
      <c r="O98" s="104"/>
      <c r="P98" s="104"/>
      <c r="Q98" s="104"/>
      <c r="R98" s="104"/>
      <c r="S98" s="104"/>
      <c r="T98" s="104"/>
      <c r="U98" s="104"/>
      <c r="V98" s="104"/>
      <c r="W98" s="104"/>
      <c r="X98" s="104"/>
    </row>
    <row r="99" spans="1:24" ht="57.6">
      <c r="A99" s="26" t="str">
        <v>Finney</v>
      </c>
      <c r="B99" s="27" t="str">
        <v>NY</v>
      </c>
      <c r="C99" s="27" t="str">
        <f>Sites[[#This Row],[SOL'#]]</f>
        <v>SOL-10999</v>
      </c>
      <c r="D99" s="9">
        <v>996120</v>
      </c>
      <c r="E99" s="14">
        <v>994390</v>
      </c>
      <c r="F99" s="14">
        <f t="shared" si="12"/>
        <v>1730</v>
      </c>
      <c r="G99" s="15">
        <f t="shared" si="13"/>
        <v>1.7397600539023924E-3</v>
      </c>
      <c r="H99" s="16">
        <v>1313701.1499999999</v>
      </c>
      <c r="I99" s="16">
        <f t="shared" si="10"/>
        <v>-317581.14999999991</v>
      </c>
      <c r="J99" s="15">
        <f t="shared" si="11"/>
        <v>-0.24174535433724781</v>
      </c>
      <c r="K99" s="51" t="s">
        <v>1548</v>
      </c>
      <c r="L99" s="100" t="s">
        <v>1549</v>
      </c>
      <c r="M99" s="103" t="s">
        <v>1307</v>
      </c>
      <c r="N99" s="103" t="s">
        <v>1550</v>
      </c>
      <c r="O99" s="104"/>
      <c r="P99" s="104"/>
      <c r="Q99" s="104"/>
      <c r="R99" s="104"/>
      <c r="S99" s="104"/>
      <c r="T99" s="104"/>
      <c r="U99" s="104"/>
      <c r="V99" s="104"/>
      <c r="W99" s="104"/>
      <c r="X99" s="104"/>
    </row>
    <row r="100" spans="1:24" ht="121.5" customHeight="1">
      <c r="A100" s="28" t="str">
        <v>Davis Solar</v>
      </c>
      <c r="B100" s="25" t="str">
        <v>NY</v>
      </c>
      <c r="C100" s="25" t="str">
        <f>Sites[[#This Row],[SOL'#]]</f>
        <v>SOL-10958</v>
      </c>
      <c r="D100" s="20">
        <v>392668</v>
      </c>
      <c r="E100" s="10">
        <v>443281.7</v>
      </c>
      <c r="F100" s="10">
        <f t="shared" si="12"/>
        <v>-50613.700000000012</v>
      </c>
      <c r="G100" s="11">
        <f t="shared" si="13"/>
        <v>-0.11417953865453956</v>
      </c>
      <c r="H100" s="12">
        <v>479574</v>
      </c>
      <c r="I100" s="12">
        <f t="shared" si="10"/>
        <v>-86906</v>
      </c>
      <c r="J100" s="13">
        <f t="shared" si="11"/>
        <v>-0.18121499497470672</v>
      </c>
      <c r="K100" s="73" t="s">
        <v>1551</v>
      </c>
      <c r="L100" s="99" t="s">
        <v>1552</v>
      </c>
      <c r="M100" s="103" t="s">
        <v>1553</v>
      </c>
      <c r="N100" s="103" t="s">
        <v>1554</v>
      </c>
      <c r="O100" s="103" t="s">
        <v>1555</v>
      </c>
      <c r="P100" s="103" t="s">
        <v>1555</v>
      </c>
      <c r="Q100" s="104"/>
      <c r="R100" s="104"/>
      <c r="S100" s="104"/>
      <c r="T100" s="104"/>
      <c r="U100" s="104"/>
      <c r="V100" s="104"/>
      <c r="W100" s="104"/>
      <c r="X100" s="104"/>
    </row>
    <row r="101" spans="1:24" ht="15.6">
      <c r="A101" s="26" t="str">
        <v>Genesee</v>
      </c>
      <c r="B101" s="27" t="str">
        <v>NY</v>
      </c>
      <c r="C101" s="27" t="str">
        <f>Sites[[#This Row],[SOL'#]]</f>
        <v>SOL-10951</v>
      </c>
      <c r="D101" s="9">
        <v>1001760.5</v>
      </c>
      <c r="E101" s="14">
        <v>1000080.71</v>
      </c>
      <c r="F101" s="14">
        <f t="shared" si="12"/>
        <v>1679.7900000000373</v>
      </c>
      <c r="G101" s="15">
        <f t="shared" si="13"/>
        <v>1.6796544350905812E-3</v>
      </c>
      <c r="H101" s="16">
        <v>1013360.34</v>
      </c>
      <c r="I101" s="16">
        <f t="shared" si="10"/>
        <v>-11599.839999999967</v>
      </c>
      <c r="J101" s="15">
        <f t="shared" si="11"/>
        <v>-1.1446905451223765E-2</v>
      </c>
      <c r="K101" s="51" t="s">
        <v>1556</v>
      </c>
      <c r="L101" s="100" t="s">
        <v>1557</v>
      </c>
      <c r="M101" s="104"/>
      <c r="N101" s="104"/>
      <c r="O101" s="104"/>
      <c r="P101" s="104"/>
      <c r="Q101" s="104"/>
      <c r="R101" s="104"/>
      <c r="S101" s="104"/>
      <c r="T101" s="104"/>
      <c r="U101" s="104"/>
      <c r="V101" s="104"/>
      <c r="W101" s="104"/>
      <c r="X101" s="104"/>
    </row>
    <row r="102" spans="1:24" ht="15.6">
      <c r="A102" s="28" t="str">
        <v>Landau I</v>
      </c>
      <c r="B102" s="25" t="str">
        <v>NY</v>
      </c>
      <c r="C102" s="25" t="str">
        <f>Sites[[#This Row],[SOL'#]]</f>
        <v>SOL-10891</v>
      </c>
      <c r="D102" s="20">
        <v>429340</v>
      </c>
      <c r="E102" s="10" t="s">
        <v>661</v>
      </c>
      <c r="F102" s="10" t="str">
        <f t="shared" si="12"/>
        <v/>
      </c>
      <c r="G102" s="11" t="str">
        <f t="shared" si="13"/>
        <v/>
      </c>
      <c r="H102" s="12">
        <v>448929.38</v>
      </c>
      <c r="I102" s="12">
        <f t="shared" si="10"/>
        <v>-19589.380000000005</v>
      </c>
      <c r="J102" s="13">
        <f t="shared" si="11"/>
        <v>-4.3635771844560509E-2</v>
      </c>
      <c r="K102" s="53"/>
      <c r="L102" s="53"/>
      <c r="M102" s="104"/>
      <c r="N102" s="104"/>
      <c r="O102" s="104"/>
      <c r="P102" s="104"/>
      <c r="Q102" s="104"/>
      <c r="R102" s="104"/>
      <c r="S102" s="104"/>
      <c r="T102" s="104"/>
      <c r="U102" s="104"/>
      <c r="V102" s="104"/>
      <c r="W102" s="104"/>
      <c r="X102" s="104"/>
    </row>
    <row r="103" spans="1:24" ht="209.25" customHeight="1">
      <c r="A103" s="26" t="str">
        <v>Landau II</v>
      </c>
      <c r="B103" s="27" t="str">
        <v>NY</v>
      </c>
      <c r="C103" s="27" t="str">
        <f>Sites[[#This Row],[SOL'#]]</f>
        <v>SOL-10895</v>
      </c>
      <c r="D103" s="9">
        <v>374100</v>
      </c>
      <c r="E103" s="14" t="s">
        <v>661</v>
      </c>
      <c r="F103" s="14" t="str">
        <f t="shared" si="12"/>
        <v/>
      </c>
      <c r="G103" s="15" t="str">
        <f t="shared" si="13"/>
        <v/>
      </c>
      <c r="H103" s="135" t="s">
        <v>941</v>
      </c>
      <c r="I103" s="16" t="str">
        <f t="shared" si="10"/>
        <v/>
      </c>
      <c r="J103" s="15" t="str">
        <f t="shared" si="11"/>
        <v/>
      </c>
      <c r="K103" s="51" t="s">
        <v>1558</v>
      </c>
      <c r="L103" s="100" t="s">
        <v>1559</v>
      </c>
      <c r="M103" s="103" t="s">
        <v>1560</v>
      </c>
      <c r="N103" s="103" t="s">
        <v>1561</v>
      </c>
      <c r="O103" s="103" t="s">
        <v>1562</v>
      </c>
      <c r="P103" s="103" t="s">
        <v>1563</v>
      </c>
      <c r="Q103" s="103" t="s">
        <v>1564</v>
      </c>
      <c r="R103" s="103" t="s">
        <v>1565</v>
      </c>
      <c r="S103" s="104"/>
      <c r="T103" s="104"/>
      <c r="U103" s="104"/>
      <c r="V103" s="104"/>
      <c r="W103" s="104"/>
      <c r="X103" s="104"/>
    </row>
    <row r="104" spans="1:24" ht="15.6">
      <c r="A104" s="28" t="str">
        <v>New Beginnings</v>
      </c>
      <c r="B104" s="25" t="str">
        <v>NY</v>
      </c>
      <c r="C104" s="25" t="str">
        <f>Sites[[#This Row],[SOL'#]]</f>
        <v>SOL-10890</v>
      </c>
      <c r="D104" s="20">
        <v>420830</v>
      </c>
      <c r="E104" s="10">
        <v>435980.89</v>
      </c>
      <c r="F104" s="10"/>
      <c r="G104" s="11"/>
      <c r="H104" s="12">
        <v>430014.12</v>
      </c>
      <c r="I104" s="12">
        <f t="shared" si="10"/>
        <v>-9184.1199999999953</v>
      </c>
      <c r="J104" s="13">
        <f t="shared" si="11"/>
        <v>-2.1357717276818712E-2</v>
      </c>
      <c r="K104" s="53"/>
      <c r="L104" s="53"/>
      <c r="M104" s="104"/>
      <c r="N104" s="104"/>
      <c r="O104" s="104"/>
      <c r="P104" s="104"/>
      <c r="Q104" s="104"/>
      <c r="R104" s="104"/>
      <c r="S104" s="104"/>
      <c r="T104" s="104"/>
      <c r="U104" s="104"/>
      <c r="V104" s="104"/>
      <c r="W104" s="104"/>
      <c r="X104" s="104"/>
    </row>
    <row r="105" spans="1:24" ht="15.6">
      <c r="A105" s="26" t="str">
        <v>Bullitt Farm Solar, LLC</v>
      </c>
      <c r="B105" s="27" t="str">
        <v>NY</v>
      </c>
      <c r="C105" s="27" t="str">
        <f>Sites[[#This Row],[SOL'#]]</f>
        <v>SOL-10998</v>
      </c>
      <c r="D105" s="9">
        <v>1262399</v>
      </c>
      <c r="E105" s="14">
        <v>1316479</v>
      </c>
      <c r="F105" s="14">
        <f t="shared" si="12"/>
        <v>-54080</v>
      </c>
      <c r="G105" s="15">
        <f t="shared" si="13"/>
        <v>-4.107927281787252E-2</v>
      </c>
      <c r="H105" s="16">
        <v>1265415</v>
      </c>
      <c r="I105" s="16">
        <f t="shared" si="10"/>
        <v>-3016</v>
      </c>
      <c r="J105" s="15">
        <f t="shared" si="11"/>
        <v>-2.3834078148275467E-3</v>
      </c>
      <c r="K105" s="51" t="s">
        <v>1566</v>
      </c>
      <c r="L105" s="100" t="s">
        <v>1567</v>
      </c>
      <c r="M105" s="104"/>
      <c r="N105" s="104"/>
      <c r="O105" s="104"/>
      <c r="P105" s="104"/>
      <c r="Q105" s="104"/>
      <c r="R105" s="104"/>
      <c r="S105" s="104"/>
      <c r="T105" s="104"/>
      <c r="U105" s="104"/>
      <c r="V105" s="104"/>
      <c r="W105" s="104"/>
      <c r="X105" s="104"/>
    </row>
    <row r="106" spans="1:24" ht="28.9">
      <c r="A106" s="28" t="str">
        <v>Brodhead Solar, LLC</v>
      </c>
      <c r="B106" s="25" t="str">
        <v>NY</v>
      </c>
      <c r="C106" s="25" t="str">
        <f>Sites[[#This Row],[SOL'#]]</f>
        <v>SOL-10899</v>
      </c>
      <c r="D106" s="20">
        <v>450232</v>
      </c>
      <c r="E106" s="10">
        <v>464945.2</v>
      </c>
      <c r="F106" s="10">
        <f t="shared" si="12"/>
        <v>-14713.200000000012</v>
      </c>
      <c r="G106" s="11">
        <f t="shared" si="13"/>
        <v>-3.1645019671135463E-2</v>
      </c>
      <c r="H106" s="12">
        <v>543814.19999999995</v>
      </c>
      <c r="I106" s="12">
        <f t="shared" si="10"/>
        <v>-93582.199999999953</v>
      </c>
      <c r="J106" s="13">
        <f t="shared" si="11"/>
        <v>-0.17208487751882898</v>
      </c>
      <c r="K106" s="53" t="s">
        <v>1568</v>
      </c>
      <c r="L106" s="99" t="s">
        <v>1569</v>
      </c>
      <c r="M106" s="104"/>
      <c r="N106" s="104"/>
      <c r="O106" s="104"/>
      <c r="P106" s="104"/>
      <c r="Q106" s="104"/>
      <c r="R106" s="104"/>
      <c r="S106" s="104"/>
      <c r="T106" s="104"/>
      <c r="U106" s="104"/>
      <c r="V106" s="104"/>
      <c r="W106" s="104"/>
      <c r="X106" s="104"/>
    </row>
    <row r="107" spans="1:24" ht="84.75" customHeight="1">
      <c r="A107" s="26" t="str">
        <v>Svenski</v>
      </c>
      <c r="B107" s="27" t="str">
        <v>NY</v>
      </c>
      <c r="C107" s="27" t="str">
        <f>Sites[[#This Row],[SOL'#]]</f>
        <v>SOL-10894</v>
      </c>
      <c r="D107" s="9">
        <v>406997</v>
      </c>
      <c r="E107" s="14" t="s">
        <v>661</v>
      </c>
      <c r="F107" s="14" t="str">
        <f t="shared" si="12"/>
        <v/>
      </c>
      <c r="G107" s="15" t="str">
        <f t="shared" si="13"/>
        <v/>
      </c>
      <c r="H107" s="16">
        <v>455483.42</v>
      </c>
      <c r="I107" s="16">
        <f t="shared" si="10"/>
        <v>-48486.419999999984</v>
      </c>
      <c r="J107" s="15">
        <f t="shared" si="11"/>
        <v>-0.10645046091908238</v>
      </c>
      <c r="K107" s="51" t="s">
        <v>1570</v>
      </c>
      <c r="L107" s="100" t="s">
        <v>1571</v>
      </c>
      <c r="M107" s="103" t="s">
        <v>1572</v>
      </c>
      <c r="N107" s="104"/>
      <c r="O107" s="104"/>
      <c r="P107" s="104"/>
      <c r="Q107" s="104"/>
      <c r="R107" s="104"/>
      <c r="S107" s="104"/>
      <c r="T107" s="104"/>
      <c r="U107" s="104"/>
      <c r="V107" s="104"/>
      <c r="W107" s="104"/>
      <c r="X107" s="104"/>
    </row>
    <row r="108" spans="1:24" ht="115.15">
      <c r="A108" s="28" t="str">
        <v>Bantam</v>
      </c>
      <c r="B108" s="25" t="str">
        <v>NY</v>
      </c>
      <c r="C108" s="25" t="str">
        <f>Sites[[#This Row],[SOL'#]]</f>
        <v>SOL-10986</v>
      </c>
      <c r="D108" s="20">
        <v>109500</v>
      </c>
      <c r="E108" s="10">
        <v>418980</v>
      </c>
      <c r="F108" s="10">
        <f t="shared" si="12"/>
        <v>-309480</v>
      </c>
      <c r="G108" s="11">
        <f t="shared" si="13"/>
        <v>-0.73865100959473007</v>
      </c>
      <c r="H108" s="12">
        <v>1295680.06</v>
      </c>
      <c r="I108" s="12">
        <f t="shared" si="10"/>
        <v>-1186180.06</v>
      </c>
      <c r="J108" s="13">
        <f t="shared" si="11"/>
        <v>-0.91548839610914445</v>
      </c>
      <c r="K108" s="53" t="s">
        <v>1573</v>
      </c>
      <c r="L108" s="99" t="s">
        <v>1574</v>
      </c>
      <c r="M108" s="103" t="s">
        <v>1069</v>
      </c>
      <c r="N108" s="103" t="s">
        <v>1575</v>
      </c>
      <c r="O108" s="104"/>
      <c r="P108" s="104"/>
      <c r="Q108" s="104"/>
      <c r="R108" s="104"/>
      <c r="S108" s="104"/>
      <c r="T108" s="104"/>
      <c r="U108" s="104"/>
      <c r="V108" s="104"/>
      <c r="W108" s="104"/>
      <c r="X108" s="104"/>
    </row>
    <row r="109" spans="1:24" ht="28.9">
      <c r="A109" s="26" t="str">
        <v>Bogart</v>
      </c>
      <c r="B109" s="27" t="str">
        <v>NY</v>
      </c>
      <c r="C109" s="27" t="str">
        <f>Sites[[#This Row],[SOL'#]]</f>
        <v>SOL-10887</v>
      </c>
      <c r="D109" s="9">
        <v>0</v>
      </c>
      <c r="E109" s="14">
        <v>398556.15999999997</v>
      </c>
      <c r="F109" s="14">
        <f t="shared" si="12"/>
        <v>-398556.15999999997</v>
      </c>
      <c r="G109" s="15">
        <f t="shared" si="13"/>
        <v>-1</v>
      </c>
      <c r="H109" s="16">
        <v>419353.86</v>
      </c>
      <c r="I109" s="16">
        <f t="shared" si="10"/>
        <v>-419353.86</v>
      </c>
      <c r="J109" s="15">
        <f t="shared" si="11"/>
        <v>-1</v>
      </c>
      <c r="K109" s="51" t="s">
        <v>1325</v>
      </c>
      <c r="L109" s="100" t="s">
        <v>1576</v>
      </c>
      <c r="M109" s="104"/>
      <c r="N109" s="104"/>
      <c r="O109" s="104"/>
      <c r="P109" s="104"/>
      <c r="Q109" s="104"/>
      <c r="R109" s="104"/>
      <c r="S109" s="104"/>
      <c r="T109" s="104"/>
      <c r="U109" s="104"/>
      <c r="V109" s="104"/>
      <c r="W109" s="104"/>
      <c r="X109" s="104"/>
    </row>
    <row r="110" spans="1:24" ht="28.9">
      <c r="A110" s="28" t="str">
        <v>Dubois</v>
      </c>
      <c r="B110" s="25" t="str">
        <v>NY</v>
      </c>
      <c r="C110" s="25" t="str">
        <f>Sites[[#This Row],[SOL'#]]</f>
        <v>SOL-10892</v>
      </c>
      <c r="D110" s="20">
        <v>386460</v>
      </c>
      <c r="E110" s="10">
        <v>386385.12</v>
      </c>
      <c r="F110" s="10">
        <f t="shared" si="12"/>
        <v>74.880000000004657</v>
      </c>
      <c r="G110" s="11">
        <f t="shared" si="13"/>
        <v>1.9379628283823315E-4</v>
      </c>
      <c r="H110" s="134" t="s">
        <v>941</v>
      </c>
      <c r="I110" s="12" t="str">
        <f t="shared" si="10"/>
        <v/>
      </c>
      <c r="J110" s="13" t="str">
        <f t="shared" si="11"/>
        <v/>
      </c>
      <c r="K110" s="53" t="s">
        <v>1577</v>
      </c>
      <c r="L110" s="99" t="s">
        <v>1578</v>
      </c>
      <c r="M110" s="104"/>
      <c r="N110" s="104"/>
      <c r="O110" s="104"/>
      <c r="P110" s="104"/>
      <c r="Q110" s="104"/>
      <c r="R110" s="104"/>
      <c r="S110" s="104"/>
      <c r="T110" s="104"/>
      <c r="U110" s="104"/>
      <c r="V110" s="104"/>
      <c r="W110" s="104"/>
      <c r="X110" s="104"/>
    </row>
    <row r="111" spans="1:24" ht="129.6">
      <c r="A111" s="26" t="str">
        <v>Salt Point</v>
      </c>
      <c r="B111" s="27" t="str">
        <v>NY</v>
      </c>
      <c r="C111" s="27" t="str">
        <f>Sites[[#This Row],[SOL'#]]</f>
        <v>SOL-10888</v>
      </c>
      <c r="D111" s="9">
        <v>416220</v>
      </c>
      <c r="E111" s="14">
        <v>416220</v>
      </c>
      <c r="F111" s="14">
        <f t="shared" si="12"/>
        <v>0</v>
      </c>
      <c r="G111" s="15">
        <f t="shared" si="13"/>
        <v>0</v>
      </c>
      <c r="H111" s="16">
        <v>514904.5</v>
      </c>
      <c r="I111" s="16">
        <f t="shared" si="10"/>
        <v>-98684.5</v>
      </c>
      <c r="J111" s="15">
        <f t="shared" si="11"/>
        <v>-0.19165592842944662</v>
      </c>
      <c r="K111" s="51" t="s">
        <v>1579</v>
      </c>
      <c r="L111" s="100" t="s">
        <v>1580</v>
      </c>
      <c r="M111" s="103" t="s">
        <v>1581</v>
      </c>
      <c r="N111" s="103" t="s">
        <v>1582</v>
      </c>
      <c r="O111" s="103" t="s">
        <v>1583</v>
      </c>
      <c r="P111" s="103" t="s">
        <v>1584</v>
      </c>
      <c r="Q111" s="103" t="s">
        <v>1585</v>
      </c>
      <c r="R111" s="104"/>
      <c r="S111" s="104"/>
      <c r="T111" s="104"/>
      <c r="U111" s="104"/>
      <c r="V111" s="104"/>
      <c r="W111" s="104"/>
      <c r="X111" s="104"/>
    </row>
    <row r="112" spans="1:24" ht="28.9">
      <c r="A112" s="28" t="str">
        <v>Wheatland 2A</v>
      </c>
      <c r="B112" s="25" t="str">
        <v>NY</v>
      </c>
      <c r="C112" s="25" t="str">
        <f>Sites[[#This Row],[SOL'#]]</f>
        <v>SOL-10971</v>
      </c>
      <c r="D112" s="20">
        <v>1082680</v>
      </c>
      <c r="E112" s="10">
        <v>1080840</v>
      </c>
      <c r="F112" s="10">
        <f t="shared" si="12"/>
        <v>1840</v>
      </c>
      <c r="G112" s="11">
        <f t="shared" si="13"/>
        <v>1.7023796306576367E-3</v>
      </c>
      <c r="H112" s="12">
        <v>1177354.56</v>
      </c>
      <c r="I112" s="12">
        <f t="shared" si="10"/>
        <v>-94674.560000000056</v>
      </c>
      <c r="J112" s="13">
        <f t="shared" si="11"/>
        <v>-8.0412955635046801E-2</v>
      </c>
      <c r="K112" s="53" t="s">
        <v>1586</v>
      </c>
      <c r="L112" s="99" t="s">
        <v>1587</v>
      </c>
      <c r="M112" s="103" t="s">
        <v>1588</v>
      </c>
      <c r="N112" s="104"/>
      <c r="O112" s="104"/>
      <c r="P112" s="104"/>
      <c r="Q112" s="104"/>
      <c r="R112" s="104"/>
      <c r="S112" s="104"/>
      <c r="T112" s="104"/>
      <c r="U112" s="104"/>
      <c r="V112" s="104"/>
      <c r="W112" s="104"/>
      <c r="X112" s="104"/>
    </row>
    <row r="113" spans="1:24" ht="57.6">
      <c r="A113" s="26" t="str">
        <v>Wheatland 2B</v>
      </c>
      <c r="B113" s="27" t="str">
        <v>NY</v>
      </c>
      <c r="C113" s="27" t="str">
        <f>Sites[[#This Row],[SOL'#]]</f>
        <v>SOL-10961</v>
      </c>
      <c r="D113" s="9">
        <v>1133400</v>
      </c>
      <c r="E113" s="14">
        <v>1131560</v>
      </c>
      <c r="F113" s="14">
        <f t="shared" si="12"/>
        <v>1840</v>
      </c>
      <c r="G113" s="15">
        <f t="shared" si="13"/>
        <v>1.6260737389091166E-3</v>
      </c>
      <c r="H113" s="16">
        <v>1168051.71</v>
      </c>
      <c r="I113" s="16">
        <f t="shared" si="10"/>
        <v>-34651.709999999963</v>
      </c>
      <c r="J113" s="15">
        <f t="shared" si="11"/>
        <v>-2.9666246539718659E-2</v>
      </c>
      <c r="K113" s="51" t="s">
        <v>1589</v>
      </c>
      <c r="L113" s="100" t="s">
        <v>1590</v>
      </c>
      <c r="M113" s="103" t="s">
        <v>1591</v>
      </c>
      <c r="N113" s="104"/>
      <c r="O113" s="104"/>
      <c r="P113" s="104"/>
      <c r="Q113" s="104"/>
      <c r="R113" s="104"/>
      <c r="S113" s="104"/>
      <c r="T113" s="104"/>
      <c r="U113" s="104"/>
      <c r="V113" s="104"/>
      <c r="W113" s="104"/>
      <c r="X113" s="104"/>
    </row>
    <row r="114" spans="1:24" ht="36" customHeight="1">
      <c r="A114" s="28" t="str">
        <v>Brickchurch</v>
      </c>
      <c r="B114" s="25" t="str">
        <v>NY</v>
      </c>
      <c r="C114" s="25" t="str">
        <f>Sites[[#This Row],[SOL'#]]</f>
        <v>SOL-10889</v>
      </c>
      <c r="D114" s="20">
        <v>0</v>
      </c>
      <c r="E114" s="10">
        <v>519962.55</v>
      </c>
      <c r="F114" s="10">
        <f t="shared" si="12"/>
        <v>-519962.55</v>
      </c>
      <c r="G114" s="11">
        <f t="shared" si="13"/>
        <v>-1</v>
      </c>
      <c r="H114" s="12">
        <v>532046.63</v>
      </c>
      <c r="I114" s="12">
        <f t="shared" si="10"/>
        <v>-532046.63</v>
      </c>
      <c r="J114" s="13">
        <f t="shared" si="11"/>
        <v>-1</v>
      </c>
      <c r="K114" s="53" t="s">
        <v>1592</v>
      </c>
      <c r="L114" s="99" t="s">
        <v>1593</v>
      </c>
      <c r="M114" s="104"/>
      <c r="N114" s="104"/>
      <c r="O114" s="104"/>
      <c r="P114" s="104"/>
      <c r="Q114" s="104"/>
      <c r="R114" s="104"/>
      <c r="S114" s="104"/>
      <c r="T114" s="104"/>
      <c r="U114" s="104"/>
      <c r="V114" s="104"/>
      <c r="W114" s="104"/>
      <c r="X114" s="104"/>
    </row>
    <row r="115" spans="1:24" ht="43.15">
      <c r="A115" s="26" t="str">
        <v>McCarthy Solar</v>
      </c>
      <c r="B115" s="27" t="str">
        <v>NY</v>
      </c>
      <c r="C115" s="27" t="str">
        <f>Sites[[#This Row],[SOL'#]]</f>
        <v>SOL-10992</v>
      </c>
      <c r="D115" s="9">
        <v>211620</v>
      </c>
      <c r="E115" s="14" t="s">
        <v>661</v>
      </c>
      <c r="F115" s="14" t="str">
        <f t="shared" si="12"/>
        <v/>
      </c>
      <c r="G115" s="15" t="str">
        <f t="shared" si="13"/>
        <v/>
      </c>
      <c r="H115" s="16">
        <v>448453.17</v>
      </c>
      <c r="I115" s="16">
        <f t="shared" si="10"/>
        <v>-236833.16999999998</v>
      </c>
      <c r="J115" s="15">
        <f t="shared" si="11"/>
        <v>-0.52811126298873079</v>
      </c>
      <c r="K115" s="38" t="s">
        <v>1594</v>
      </c>
      <c r="L115" s="100" t="s">
        <v>1595</v>
      </c>
      <c r="M115" s="103" t="s">
        <v>1596</v>
      </c>
      <c r="N115" s="104"/>
      <c r="O115" s="104"/>
      <c r="P115" s="104"/>
      <c r="Q115" s="104"/>
      <c r="R115" s="104"/>
      <c r="S115" s="104"/>
      <c r="T115" s="104"/>
      <c r="U115" s="104"/>
      <c r="V115" s="104"/>
      <c r="W115" s="104"/>
      <c r="X115" s="104"/>
    </row>
    <row r="116" spans="1:24" ht="133.5" customHeight="1">
      <c r="A116" s="28" t="str">
        <v>Costanza</v>
      </c>
      <c r="B116" s="25" t="str">
        <v>NY</v>
      </c>
      <c r="C116" s="25" t="str">
        <f>Sites[[#This Row],[SOL'#]]</f>
        <v>SOL-10907</v>
      </c>
      <c r="D116" s="20">
        <v>404580</v>
      </c>
      <c r="E116" s="10">
        <v>404631.91</v>
      </c>
      <c r="F116" s="10">
        <f t="shared" si="12"/>
        <v>-51.909999999974389</v>
      </c>
      <c r="G116" s="11">
        <f t="shared" si="13"/>
        <v>-1.2828943718248617E-4</v>
      </c>
      <c r="H116" s="12">
        <v>449076.09</v>
      </c>
      <c r="I116" s="12">
        <f t="shared" si="10"/>
        <v>-44496.090000000026</v>
      </c>
      <c r="J116" s="13">
        <f t="shared" si="11"/>
        <v>-9.9083631907456976E-2</v>
      </c>
      <c r="K116" s="53" t="s">
        <v>1597</v>
      </c>
      <c r="L116" s="99" t="s">
        <v>1598</v>
      </c>
      <c r="M116" s="103" t="s">
        <v>1599</v>
      </c>
      <c r="N116" s="103" t="s">
        <v>1600</v>
      </c>
      <c r="O116" s="103" t="s">
        <v>1601</v>
      </c>
      <c r="P116" s="103" t="s">
        <v>1602</v>
      </c>
      <c r="Q116" s="104"/>
      <c r="R116" s="104"/>
      <c r="S116" s="104"/>
      <c r="T116" s="104"/>
      <c r="U116" s="104"/>
      <c r="V116" s="104"/>
      <c r="W116" s="104"/>
      <c r="X116" s="104"/>
    </row>
    <row r="117" spans="1:24" ht="15.6">
      <c r="A117" s="26" t="str">
        <v>Lockenhurst Pond</v>
      </c>
      <c r="B117" s="27" t="str">
        <v>NY</v>
      </c>
      <c r="C117" s="27" t="str">
        <f>Sites[[#This Row],[SOL'#]]</f>
        <v>SOL-11000</v>
      </c>
      <c r="D117" s="9">
        <v>484585</v>
      </c>
      <c r="E117" s="14">
        <v>522005.2</v>
      </c>
      <c r="F117" s="14">
        <f t="shared" si="12"/>
        <v>-37420.200000000012</v>
      </c>
      <c r="G117" s="15">
        <f t="shared" si="13"/>
        <v>-7.1685492788194471E-2</v>
      </c>
      <c r="H117" s="16">
        <v>531355</v>
      </c>
      <c r="I117" s="16">
        <f t="shared" si="10"/>
        <v>-46770</v>
      </c>
      <c r="J117" s="15">
        <f t="shared" si="11"/>
        <v>-8.8020250115271328E-2</v>
      </c>
      <c r="K117" s="51"/>
      <c r="L117" s="51"/>
      <c r="M117" s="104"/>
      <c r="N117" s="104"/>
      <c r="O117" s="104"/>
      <c r="P117" s="104"/>
      <c r="Q117" s="104"/>
      <c r="R117" s="104"/>
      <c r="S117" s="104"/>
      <c r="T117" s="104"/>
      <c r="U117" s="104"/>
      <c r="V117" s="104"/>
      <c r="W117" s="104"/>
      <c r="X117" s="104"/>
    </row>
    <row r="118" spans="1:24" ht="15.6">
      <c r="A118" s="28" t="str">
        <v>Drinkwater</v>
      </c>
      <c r="B118" s="25" t="str">
        <v>NY</v>
      </c>
      <c r="C118" s="25" t="str">
        <f>Sites[[#This Row],[SOL'#]]</f>
        <v>SOL-10896</v>
      </c>
      <c r="D118" s="20">
        <v>466130</v>
      </c>
      <c r="E118" s="10">
        <v>454000</v>
      </c>
      <c r="F118" s="10">
        <f t="shared" si="12"/>
        <v>12130</v>
      </c>
      <c r="G118" s="11">
        <f t="shared" si="13"/>
        <v>2.6718061674008812E-2</v>
      </c>
      <c r="H118" s="12">
        <v>460623.61</v>
      </c>
      <c r="I118" s="12">
        <f t="shared" si="10"/>
        <v>5506.390000000014</v>
      </c>
      <c r="J118" s="13">
        <f t="shared" si="11"/>
        <v>1.1954207036847317E-2</v>
      </c>
      <c r="K118" s="53"/>
      <c r="L118" s="53"/>
      <c r="M118" s="104"/>
      <c r="N118" s="104"/>
      <c r="O118" s="104"/>
      <c r="P118" s="104"/>
      <c r="Q118" s="104"/>
      <c r="R118" s="104"/>
      <c r="S118" s="104"/>
      <c r="T118" s="104"/>
      <c r="U118" s="104"/>
      <c r="V118" s="104"/>
      <c r="W118" s="104"/>
      <c r="X118" s="104"/>
    </row>
    <row r="119" spans="1:24" ht="15.6">
      <c r="A119" s="26" t="str">
        <v>Altamont</v>
      </c>
      <c r="B119" s="27" t="str">
        <v>NY</v>
      </c>
      <c r="C119" s="27" t="str">
        <f>Sites[[#This Row],[SOL'#]]</f>
        <v>SOL-11085</v>
      </c>
      <c r="D119" s="9">
        <v>877117</v>
      </c>
      <c r="E119" s="14">
        <v>899395.7</v>
      </c>
      <c r="F119" s="14">
        <f t="shared" si="12"/>
        <v>-22278.699999999953</v>
      </c>
      <c r="G119" s="15">
        <f t="shared" si="13"/>
        <v>-2.477074328907727E-2</v>
      </c>
      <c r="H119" s="16">
        <v>754982.6</v>
      </c>
      <c r="I119" s="16">
        <f t="shared" si="10"/>
        <v>122134.40000000002</v>
      </c>
      <c r="J119" s="15">
        <f t="shared" si="11"/>
        <v>0.16177114545421314</v>
      </c>
      <c r="K119" s="51"/>
      <c r="L119" s="51"/>
      <c r="M119" s="104"/>
      <c r="N119" s="104"/>
      <c r="O119" s="104"/>
      <c r="P119" s="104"/>
      <c r="Q119" s="104"/>
      <c r="R119" s="104"/>
      <c r="S119" s="104"/>
      <c r="T119" s="104"/>
      <c r="U119" s="104"/>
      <c r="V119" s="104"/>
      <c r="W119" s="104"/>
      <c r="X119" s="104"/>
    </row>
    <row r="120" spans="1:24" ht="15.6">
      <c r="A120" s="28" t="str">
        <v>Krumkill North</v>
      </c>
      <c r="B120" s="25" t="str">
        <v>NY</v>
      </c>
      <c r="C120" s="25" t="str">
        <f>Sites[[#This Row],[SOL'#]]</f>
        <v>SOL-11086</v>
      </c>
      <c r="D120" s="20">
        <v>836577</v>
      </c>
      <c r="E120" s="10">
        <v>922798.5</v>
      </c>
      <c r="F120" s="10">
        <f t="shared" si="12"/>
        <v>-86221.5</v>
      </c>
      <c r="G120" s="11">
        <f t="shared" si="13"/>
        <v>-9.3434807273743939E-2</v>
      </c>
      <c r="H120" s="12">
        <v>844821.9</v>
      </c>
      <c r="I120" s="12">
        <f t="shared" si="10"/>
        <v>-8244.9000000000233</v>
      </c>
      <c r="J120" s="13">
        <f t="shared" si="11"/>
        <v>-9.7593350740552802E-3</v>
      </c>
      <c r="K120" s="53"/>
      <c r="L120" s="53"/>
      <c r="M120" s="104"/>
      <c r="N120" s="104"/>
      <c r="O120" s="104"/>
      <c r="P120" s="104"/>
      <c r="Q120" s="104"/>
      <c r="R120" s="104"/>
      <c r="S120" s="104"/>
      <c r="T120" s="104"/>
      <c r="U120" s="104"/>
      <c r="V120" s="104"/>
      <c r="W120" s="104"/>
      <c r="X120" s="104"/>
    </row>
    <row r="121" spans="1:24" ht="15.6">
      <c r="A121" s="26" t="str">
        <v>Krumkill South</v>
      </c>
      <c r="B121" s="27" t="str">
        <v>NY</v>
      </c>
      <c r="C121" s="27" t="str">
        <f>Sites[[#This Row],[SOL'#]]</f>
        <v>SOL-11087</v>
      </c>
      <c r="D121" s="9">
        <v>695464</v>
      </c>
      <c r="E121" s="14">
        <v>735498</v>
      </c>
      <c r="F121" s="14">
        <f t="shared" si="12"/>
        <v>-40034</v>
      </c>
      <c r="G121" s="15">
        <f t="shared" si="13"/>
        <v>-5.4431147331467929E-2</v>
      </c>
      <c r="H121" s="16">
        <v>662314.19999999995</v>
      </c>
      <c r="I121" s="16">
        <f t="shared" si="10"/>
        <v>33149.800000000047</v>
      </c>
      <c r="J121" s="15">
        <f t="shared" si="11"/>
        <v>5.0051471038972215E-2</v>
      </c>
      <c r="K121" s="51"/>
      <c r="L121" s="51"/>
      <c r="M121" s="104"/>
      <c r="N121" s="104"/>
      <c r="O121" s="104"/>
      <c r="P121" s="104"/>
      <c r="Q121" s="104"/>
      <c r="R121" s="104"/>
      <c r="S121" s="104"/>
      <c r="T121" s="104"/>
      <c r="U121" s="104"/>
      <c r="V121" s="104"/>
      <c r="W121" s="104"/>
      <c r="X121" s="104"/>
    </row>
    <row r="122" spans="1:24" ht="15.6">
      <c r="A122" s="28" t="str">
        <v>X092</v>
      </c>
      <c r="B122" s="25" t="str">
        <v>NY</v>
      </c>
      <c r="C122" s="25" t="str">
        <f>Sites[[#This Row],[SOL'#]]</f>
        <v>SOL-11189</v>
      </c>
      <c r="D122" s="20">
        <v>21888</v>
      </c>
      <c r="E122" s="10">
        <v>22130.17</v>
      </c>
      <c r="F122" s="10">
        <f t="shared" si="12"/>
        <v>-242.16999999999825</v>
      </c>
      <c r="G122" s="11">
        <f t="shared" si="13"/>
        <v>-1.0942979651760392E-2</v>
      </c>
      <c r="H122" s="12">
        <v>23075</v>
      </c>
      <c r="I122" s="12">
        <f t="shared" si="10"/>
        <v>-1187</v>
      </c>
      <c r="J122" s="13">
        <f t="shared" si="11"/>
        <v>-5.1440953412784401E-2</v>
      </c>
      <c r="K122" s="53"/>
      <c r="L122" s="53"/>
      <c r="M122" s="104"/>
      <c r="N122" s="104"/>
      <c r="O122" s="104"/>
      <c r="P122" s="104"/>
      <c r="Q122" s="104"/>
      <c r="R122" s="104"/>
      <c r="S122" s="104"/>
      <c r="T122" s="104"/>
      <c r="U122" s="104"/>
      <c r="V122" s="104"/>
      <c r="W122" s="104"/>
      <c r="X122" s="104"/>
    </row>
    <row r="123" spans="1:24" ht="28.9">
      <c r="A123" s="26" t="str">
        <v>X093</v>
      </c>
      <c r="B123" s="27" t="str">
        <v>NY</v>
      </c>
      <c r="C123" s="27" t="str">
        <f>Sites[[#This Row],[SOL'#]]</f>
        <v>SOL-10932</v>
      </c>
      <c r="D123" s="9">
        <v>11283.919921875</v>
      </c>
      <c r="E123" s="14">
        <v>15307.49</v>
      </c>
      <c r="F123" s="14">
        <f t="shared" si="12"/>
        <v>-4023.5700781249998</v>
      </c>
      <c r="G123" s="15">
        <f t="shared" si="13"/>
        <v>-0.2628497603542449</v>
      </c>
      <c r="H123" s="16">
        <v>16257</v>
      </c>
      <c r="I123" s="16">
        <f t="shared" si="10"/>
        <v>-4973.080078125</v>
      </c>
      <c r="J123" s="15">
        <f t="shared" si="11"/>
        <v>-0.3059039231177339</v>
      </c>
      <c r="K123" s="51" t="s">
        <v>1603</v>
      </c>
      <c r="L123" s="100" t="s">
        <v>1604</v>
      </c>
      <c r="M123" s="104"/>
      <c r="N123" s="104"/>
      <c r="O123" s="104"/>
      <c r="P123" s="104"/>
      <c r="Q123" s="104"/>
      <c r="R123" s="104"/>
      <c r="S123" s="104"/>
      <c r="T123" s="104"/>
      <c r="U123" s="104"/>
      <c r="V123" s="104"/>
      <c r="W123" s="104"/>
      <c r="X123" s="104"/>
    </row>
    <row r="124" spans="1:24" ht="15.6">
      <c r="A124" s="28" t="str">
        <v>X095</v>
      </c>
      <c r="B124" s="25" t="str">
        <v>NY</v>
      </c>
      <c r="C124" s="25" t="str">
        <f>Sites[[#This Row],[SOL'#]]</f>
        <v>SOL-10929</v>
      </c>
      <c r="D124" s="20">
        <v>21468.9140625</v>
      </c>
      <c r="E124" s="10">
        <v>19545.91</v>
      </c>
      <c r="F124" s="10">
        <f t="shared" si="12"/>
        <v>1923.0040625000001</v>
      </c>
      <c r="G124" s="11">
        <f t="shared" si="13"/>
        <v>9.838396178535562E-2</v>
      </c>
      <c r="H124" s="12">
        <v>22228</v>
      </c>
      <c r="I124" s="12">
        <f t="shared" si="10"/>
        <v>-759.0859375</v>
      </c>
      <c r="J124" s="13">
        <f t="shared" si="11"/>
        <v>-3.4149988190570454E-2</v>
      </c>
      <c r="K124" s="53"/>
      <c r="L124" s="53"/>
      <c r="M124" s="104"/>
      <c r="N124" s="104"/>
      <c r="O124" s="104"/>
      <c r="P124" s="104"/>
      <c r="Q124" s="104"/>
      <c r="R124" s="104"/>
      <c r="S124" s="104"/>
      <c r="T124" s="104"/>
      <c r="U124" s="104"/>
      <c r="V124" s="104"/>
      <c r="W124" s="104"/>
      <c r="X124" s="104"/>
    </row>
    <row r="125" spans="1:24" ht="28.9">
      <c r="A125" s="26" t="str">
        <v>X181</v>
      </c>
      <c r="B125" s="27" t="str">
        <v>NY</v>
      </c>
      <c r="C125" s="27" t="str">
        <f>Sites[[#This Row],[SOL'#]]</f>
        <v>SOL-10428</v>
      </c>
      <c r="D125" s="9">
        <v>40966.734375</v>
      </c>
      <c r="E125" s="14">
        <v>34560.46</v>
      </c>
      <c r="F125" s="14">
        <f t="shared" si="12"/>
        <v>6406.2743750000009</v>
      </c>
      <c r="G125" s="15">
        <f t="shared" si="13"/>
        <v>0.18536426815499565</v>
      </c>
      <c r="H125" s="16">
        <v>41522</v>
      </c>
      <c r="I125" s="16">
        <f t="shared" si="10"/>
        <v>-555.265625</v>
      </c>
      <c r="J125" s="15">
        <f t="shared" si="11"/>
        <v>-1.3372805380280333E-2</v>
      </c>
      <c r="K125" s="51" t="s">
        <v>1605</v>
      </c>
      <c r="L125" s="100" t="s">
        <v>1606</v>
      </c>
      <c r="M125" s="104"/>
      <c r="N125" s="104"/>
      <c r="O125" s="104"/>
      <c r="P125" s="104"/>
      <c r="Q125" s="104"/>
      <c r="R125" s="104"/>
      <c r="S125" s="104"/>
      <c r="T125" s="104"/>
      <c r="U125" s="104"/>
      <c r="V125" s="104"/>
      <c r="W125" s="104"/>
      <c r="X125" s="104"/>
    </row>
    <row r="126" spans="1:24" ht="15.6">
      <c r="A126" s="28" t="str">
        <v>X415</v>
      </c>
      <c r="B126" s="25" t="str">
        <v>NY</v>
      </c>
      <c r="C126" s="25" t="str">
        <f>Sites[[#This Row],[SOL'#]]</f>
        <v>SOL-10429</v>
      </c>
      <c r="D126" s="20">
        <v>25868.9765625</v>
      </c>
      <c r="E126" s="10">
        <v>22259.89</v>
      </c>
      <c r="F126" s="10">
        <f t="shared" si="12"/>
        <v>3609.0865625000006</v>
      </c>
      <c r="G126" s="11">
        <f t="shared" si="13"/>
        <v>0.16213406995721905</v>
      </c>
      <c r="H126" s="12">
        <v>24392</v>
      </c>
      <c r="I126" s="12">
        <f t="shared" si="10"/>
        <v>1476.9765625</v>
      </c>
      <c r="J126" s="13">
        <f t="shared" si="11"/>
        <v>6.0551679341587408E-2</v>
      </c>
      <c r="K126" s="53"/>
      <c r="L126" s="53"/>
      <c r="M126" s="104"/>
      <c r="N126" s="104"/>
      <c r="O126" s="104"/>
      <c r="P126" s="104"/>
      <c r="Q126" s="104"/>
      <c r="R126" s="104"/>
      <c r="S126" s="104"/>
      <c r="T126" s="104"/>
      <c r="U126" s="104"/>
      <c r="V126" s="104"/>
      <c r="W126" s="104"/>
      <c r="X126" s="104"/>
    </row>
    <row r="127" spans="1:24" ht="15.6">
      <c r="A127" s="26" t="str">
        <v>K198</v>
      </c>
      <c r="B127" s="27" t="str">
        <v>NY</v>
      </c>
      <c r="C127" s="27" t="str">
        <f>Sites[[#This Row],[SOL'#]]</f>
        <v>SOL-10930</v>
      </c>
      <c r="D127" s="9">
        <v>18358.1640625</v>
      </c>
      <c r="E127" s="14">
        <v>18103.169999999998</v>
      </c>
      <c r="F127" s="14">
        <f t="shared" si="12"/>
        <v>254.99406250000175</v>
      </c>
      <c r="G127" s="15">
        <f t="shared" si="13"/>
        <v>1.4085602825361624E-2</v>
      </c>
      <c r="H127" s="16">
        <v>18689</v>
      </c>
      <c r="I127" s="16">
        <f t="shared" si="10"/>
        <v>-330.8359375</v>
      </c>
      <c r="J127" s="15">
        <f t="shared" si="11"/>
        <v>-1.7702174407405426E-2</v>
      </c>
      <c r="K127" s="51" t="s">
        <v>1607</v>
      </c>
      <c r="L127" s="100" t="s">
        <v>1608</v>
      </c>
      <c r="M127" s="104"/>
      <c r="N127" s="104"/>
      <c r="O127" s="104"/>
      <c r="P127" s="104"/>
      <c r="Q127" s="104"/>
      <c r="R127" s="104"/>
      <c r="S127" s="104"/>
      <c r="T127" s="104"/>
      <c r="U127" s="104"/>
      <c r="V127" s="104"/>
      <c r="W127" s="104"/>
      <c r="X127" s="104"/>
    </row>
    <row r="128" spans="1:24" ht="86.45">
      <c r="A128" s="28" t="str">
        <v>K203</v>
      </c>
      <c r="B128" s="25" t="str">
        <v>NY</v>
      </c>
      <c r="C128" s="25" t="str">
        <f>Sites[[#This Row],[SOL'#]]</f>
        <v>SOL-11190</v>
      </c>
      <c r="D128" s="20">
        <v>24407.1</v>
      </c>
      <c r="E128" s="10">
        <v>21909.75</v>
      </c>
      <c r="F128" s="10">
        <f t="shared" si="12"/>
        <v>2497.3499999999985</v>
      </c>
      <c r="G128" s="11">
        <f t="shared" si="13"/>
        <v>0.11398350049635429</v>
      </c>
      <c r="H128" s="12">
        <v>25198</v>
      </c>
      <c r="I128" s="12">
        <f t="shared" si="10"/>
        <v>-790.90000000000146</v>
      </c>
      <c r="J128" s="13">
        <f t="shared" si="11"/>
        <v>-3.1387411699341276E-2</v>
      </c>
      <c r="K128" s="53" t="s">
        <v>1346</v>
      </c>
      <c r="L128" s="53"/>
      <c r="M128" s="104"/>
      <c r="N128" s="104"/>
      <c r="O128" s="104"/>
      <c r="P128" s="104"/>
      <c r="Q128" s="104"/>
      <c r="R128" s="104"/>
      <c r="S128" s="104"/>
      <c r="T128" s="104"/>
      <c r="U128" s="104"/>
      <c r="V128" s="104"/>
      <c r="W128" s="104"/>
      <c r="X128" s="104"/>
    </row>
    <row r="129" spans="1:24" ht="15.6">
      <c r="A129" s="26" t="str">
        <v>K213</v>
      </c>
      <c r="B129" s="27" t="str">
        <v>NY</v>
      </c>
      <c r="C129" s="27" t="str">
        <f>Sites[[#This Row],[SOL'#]]</f>
        <v>SOL-11191</v>
      </c>
      <c r="D129" s="9">
        <v>27870.1</v>
      </c>
      <c r="E129" s="14">
        <v>29258.25</v>
      </c>
      <c r="F129" s="14">
        <f t="shared" si="12"/>
        <v>-1388.1500000000015</v>
      </c>
      <c r="G129" s="15">
        <f t="shared" si="13"/>
        <v>-4.7444737808994095E-2</v>
      </c>
      <c r="H129" s="16">
        <v>26555</v>
      </c>
      <c r="I129" s="16">
        <f t="shared" si="10"/>
        <v>1315.0999999999985</v>
      </c>
      <c r="J129" s="15">
        <f t="shared" si="11"/>
        <v>4.9523630201468598E-2</v>
      </c>
      <c r="K129" s="51"/>
      <c r="L129" s="51"/>
      <c r="M129" s="104"/>
      <c r="N129" s="104"/>
      <c r="O129" s="104"/>
      <c r="P129" s="104"/>
      <c r="Q129" s="104"/>
      <c r="R129" s="104"/>
      <c r="S129" s="104"/>
      <c r="T129" s="104"/>
      <c r="U129" s="104"/>
      <c r="V129" s="104"/>
      <c r="W129" s="104"/>
      <c r="X129" s="104"/>
    </row>
    <row r="130" spans="1:24" ht="15.6">
      <c r="A130" s="28" t="str">
        <v>K217</v>
      </c>
      <c r="B130" s="25" t="str">
        <v>NY</v>
      </c>
      <c r="C130" s="25" t="str">
        <f>Sites[[#This Row],[SOL'#]]</f>
        <v>SOL-10933</v>
      </c>
      <c r="D130" s="20">
        <v>14644.6484375</v>
      </c>
      <c r="E130" s="10">
        <v>13647.47</v>
      </c>
      <c r="F130" s="10">
        <f t="shared" si="12"/>
        <v>997.17843750000065</v>
      </c>
      <c r="G130" s="11">
        <f t="shared" si="13"/>
        <v>7.3066908188843843E-2</v>
      </c>
      <c r="H130" s="12">
        <v>14632</v>
      </c>
      <c r="I130" s="12">
        <f t="shared" si="10"/>
        <v>12.6484375</v>
      </c>
      <c r="J130" s="13">
        <f t="shared" si="11"/>
        <v>8.6443667987971568E-4</v>
      </c>
      <c r="K130" s="53"/>
      <c r="L130" s="53"/>
      <c r="M130" s="104"/>
      <c r="N130" s="104"/>
      <c r="O130" s="104"/>
      <c r="P130" s="104"/>
      <c r="Q130" s="104"/>
      <c r="R130" s="104"/>
      <c r="S130" s="104"/>
      <c r="T130" s="104"/>
      <c r="U130" s="104"/>
      <c r="V130" s="104"/>
      <c r="W130" s="104"/>
      <c r="X130" s="104"/>
    </row>
    <row r="131" spans="1:24" ht="15.6">
      <c r="A131" s="26" t="str">
        <v>K307</v>
      </c>
      <c r="B131" s="27" t="str">
        <v>NY</v>
      </c>
      <c r="C131" s="27" t="str">
        <f>Sites[[#This Row],[SOL'#]]</f>
        <v>SOL-10876</v>
      </c>
      <c r="D131" s="9">
        <v>30193.328125</v>
      </c>
      <c r="E131" s="14">
        <v>28697.91</v>
      </c>
      <c r="F131" s="14">
        <f t="shared" si="12"/>
        <v>1495.4181250000001</v>
      </c>
      <c r="G131" s="15">
        <f t="shared" si="13"/>
        <v>5.2108955843822781E-2</v>
      </c>
      <c r="H131" s="16">
        <v>30546</v>
      </c>
      <c r="I131" s="16">
        <f t="shared" si="10"/>
        <v>-352.671875</v>
      </c>
      <c r="J131" s="15">
        <f t="shared" si="11"/>
        <v>-1.154559926013226E-2</v>
      </c>
      <c r="K131" s="51"/>
      <c r="L131" s="51"/>
      <c r="M131" s="104"/>
      <c r="N131" s="104"/>
      <c r="O131" s="104"/>
      <c r="P131" s="104"/>
      <c r="Q131" s="104"/>
      <c r="R131" s="104"/>
      <c r="S131" s="104"/>
      <c r="T131" s="104"/>
      <c r="U131" s="104"/>
      <c r="V131" s="104"/>
      <c r="W131" s="104"/>
      <c r="X131" s="104"/>
    </row>
    <row r="132" spans="1:24" ht="43.15">
      <c r="A132" s="28" t="str">
        <v>K610</v>
      </c>
      <c r="B132" s="25" t="str">
        <v>NY</v>
      </c>
      <c r="C132" s="25" t="str">
        <f>Sites[[#This Row],[SOL'#]]</f>
        <v>SOL-11158</v>
      </c>
      <c r="D132" s="20">
        <v>25973.599999999999</v>
      </c>
      <c r="E132" s="10">
        <v>33773.86</v>
      </c>
      <c r="F132" s="10">
        <f t="shared" si="12"/>
        <v>-7800.260000000002</v>
      </c>
      <c r="G132" s="11">
        <f t="shared" si="13"/>
        <v>-0.23095553780349662</v>
      </c>
      <c r="H132" s="12">
        <v>35413</v>
      </c>
      <c r="I132" s="12">
        <f t="shared" si="10"/>
        <v>-9439.4000000000015</v>
      </c>
      <c r="J132" s="13">
        <f t="shared" si="11"/>
        <v>-0.26655183124841164</v>
      </c>
      <c r="K132" s="53" t="s">
        <v>1609</v>
      </c>
      <c r="L132" s="99" t="s">
        <v>1610</v>
      </c>
      <c r="M132" s="104"/>
      <c r="N132" s="104"/>
      <c r="O132" s="104"/>
      <c r="P132" s="104"/>
      <c r="Q132" s="104"/>
      <c r="R132" s="104"/>
      <c r="S132" s="104"/>
      <c r="T132" s="104"/>
      <c r="U132" s="104"/>
      <c r="V132" s="104"/>
      <c r="W132" s="104"/>
      <c r="X132" s="104"/>
    </row>
    <row r="133" spans="1:24" ht="115.15">
      <c r="A133" s="26" t="str">
        <v>M025</v>
      </c>
      <c r="B133" s="27" t="str">
        <v>NY</v>
      </c>
      <c r="C133" s="27" t="str">
        <f>Sites[[#This Row],[SOL'#]]</f>
        <v>SOL-10392</v>
      </c>
      <c r="D133" s="9">
        <v>17221.1328125</v>
      </c>
      <c r="E133" s="14">
        <v>31789.360000000001</v>
      </c>
      <c r="F133" s="14">
        <f t="shared" si="12"/>
        <v>-14568.227187500001</v>
      </c>
      <c r="G133" s="15">
        <f t="shared" si="13"/>
        <v>-0.45827368614844716</v>
      </c>
      <c r="H133" s="16">
        <v>31160</v>
      </c>
      <c r="I133" s="16">
        <f t="shared" si="10"/>
        <v>-13938.8671875</v>
      </c>
      <c r="J133" s="15">
        <f t="shared" si="11"/>
        <v>-0.44733206635109113</v>
      </c>
      <c r="K133" s="51" t="s">
        <v>1611</v>
      </c>
      <c r="L133" s="100" t="s">
        <v>1612</v>
      </c>
      <c r="M133" s="103" t="s">
        <v>1363</v>
      </c>
      <c r="N133" s="103" t="s">
        <v>1613</v>
      </c>
      <c r="O133" s="103" t="s">
        <v>1614</v>
      </c>
      <c r="P133" s="104"/>
      <c r="Q133" s="104"/>
      <c r="R133" s="104"/>
      <c r="S133" s="104"/>
      <c r="T133" s="104"/>
      <c r="U133" s="104"/>
      <c r="V133" s="104"/>
      <c r="W133" s="104"/>
      <c r="X133" s="104"/>
    </row>
    <row r="134" spans="1:24" ht="15.6">
      <c r="A134" s="28" t="str">
        <v>M028</v>
      </c>
      <c r="B134" s="25" t="str">
        <v>NY</v>
      </c>
      <c r="C134" s="25" t="str">
        <f>Sites[[#This Row],[SOL'#]]</f>
        <v>SOL-10381</v>
      </c>
      <c r="D134" s="20">
        <v>24044.498046875</v>
      </c>
      <c r="E134" s="10">
        <v>22765.21</v>
      </c>
      <c r="F134" s="10">
        <f t="shared" si="12"/>
        <v>1279.2880468750009</v>
      </c>
      <c r="G134" s="11">
        <f t="shared" si="13"/>
        <v>5.6194871335472019E-2</v>
      </c>
      <c r="H134" s="12">
        <v>24106</v>
      </c>
      <c r="I134" s="12">
        <f t="shared" si="10"/>
        <v>-61.501953125</v>
      </c>
      <c r="J134" s="13">
        <f t="shared" si="11"/>
        <v>-2.5513130807682735E-3</v>
      </c>
      <c r="K134" s="53"/>
      <c r="L134" s="53"/>
      <c r="M134" s="104"/>
      <c r="N134" s="104"/>
      <c r="O134" s="104"/>
      <c r="P134" s="104"/>
      <c r="Q134" s="104"/>
      <c r="R134" s="104"/>
      <c r="S134" s="104"/>
      <c r="T134" s="104"/>
      <c r="U134" s="104"/>
      <c r="V134" s="104"/>
      <c r="W134" s="104"/>
      <c r="X134" s="104"/>
    </row>
    <row r="135" spans="1:24" ht="15.6">
      <c r="A135" s="26" t="str">
        <v>Q030</v>
      </c>
      <c r="B135" s="27" t="str">
        <v>NY</v>
      </c>
      <c r="C135" s="27" t="str">
        <f>Sites[[#This Row],[SOL'#]]</f>
        <v>SOL-10878</v>
      </c>
      <c r="D135" s="9">
        <v>28858.4609375</v>
      </c>
      <c r="E135" s="14">
        <v>28301.79</v>
      </c>
      <c r="F135" s="14">
        <f t="shared" si="12"/>
        <v>556.67093749999913</v>
      </c>
      <c r="G135" s="15">
        <f t="shared" si="13"/>
        <v>1.9669107060012781E-2</v>
      </c>
      <c r="H135" s="16">
        <v>28977</v>
      </c>
      <c r="I135" s="16">
        <f t="shared" si="10"/>
        <v>-118.5390625</v>
      </c>
      <c r="J135" s="15">
        <f t="shared" si="11"/>
        <v>-4.09079830555268E-3</v>
      </c>
      <c r="K135" s="51"/>
      <c r="L135" s="51"/>
      <c r="M135" s="104"/>
      <c r="N135" s="104"/>
      <c r="O135" s="104"/>
      <c r="P135" s="104"/>
      <c r="Q135" s="104"/>
      <c r="R135" s="104"/>
      <c r="S135" s="104"/>
      <c r="T135" s="104"/>
      <c r="U135" s="104"/>
      <c r="V135" s="104"/>
      <c r="W135" s="104"/>
      <c r="X135" s="104"/>
    </row>
    <row r="136" spans="1:24" ht="15.6">
      <c r="A136" s="28" t="str">
        <v>Q130</v>
      </c>
      <c r="B136" s="25" t="str">
        <v>NY</v>
      </c>
      <c r="C136" s="25" t="str">
        <f>Sites[[#This Row],[SOL'#]]</f>
        <v>SOL-10877</v>
      </c>
      <c r="D136" s="20">
        <v>16564.2890625</v>
      </c>
      <c r="E136" s="10">
        <v>15232.4</v>
      </c>
      <c r="F136" s="10">
        <f t="shared" si="12"/>
        <v>1331.8890625000004</v>
      </c>
      <c r="G136" s="11">
        <f t="shared" si="13"/>
        <v>8.743789964155356E-2</v>
      </c>
      <c r="H136" s="12">
        <v>16423.27</v>
      </c>
      <c r="I136" s="12">
        <f t="shared" si="10"/>
        <v>141.01906249999956</v>
      </c>
      <c r="J136" s="13">
        <f t="shared" si="11"/>
        <v>8.5865398608194077E-3</v>
      </c>
      <c r="K136" s="53"/>
      <c r="L136" s="53"/>
      <c r="M136" s="104"/>
      <c r="N136" s="104"/>
      <c r="O136" s="104"/>
      <c r="P136" s="104"/>
      <c r="Q136" s="104"/>
      <c r="R136" s="104"/>
      <c r="S136" s="104"/>
      <c r="T136" s="104"/>
      <c r="U136" s="104"/>
      <c r="V136" s="104"/>
      <c r="W136" s="104"/>
      <c r="X136" s="104"/>
    </row>
    <row r="137" spans="1:24" ht="15.6">
      <c r="A137" s="26" t="str">
        <v>Q196</v>
      </c>
      <c r="B137" s="27" t="str">
        <v>NY</v>
      </c>
      <c r="C137" s="27" t="str">
        <f>Sites[[#This Row],[SOL'#]]</f>
        <v>SOL-10879</v>
      </c>
      <c r="D137" s="9">
        <v>21595.458789062501</v>
      </c>
      <c r="E137" s="14">
        <v>21688.12</v>
      </c>
      <c r="F137" s="14">
        <f t="shared" si="12"/>
        <v>-92.661210937498254</v>
      </c>
      <c r="G137" s="15">
        <f t="shared" si="13"/>
        <v>-4.2724409002485352E-3</v>
      </c>
      <c r="H137" s="16">
        <v>21304</v>
      </c>
      <c r="I137" s="16">
        <f t="shared" si="10"/>
        <v>291.45878906250073</v>
      </c>
      <c r="J137" s="15">
        <f t="shared" si="11"/>
        <v>1.3680942032599546E-2</v>
      </c>
      <c r="K137" s="51"/>
      <c r="L137" s="51"/>
      <c r="M137" s="104"/>
      <c r="N137" s="104"/>
      <c r="O137" s="104"/>
      <c r="P137" s="104"/>
      <c r="Q137" s="104"/>
      <c r="R137" s="104"/>
      <c r="S137" s="104"/>
      <c r="T137" s="104"/>
      <c r="U137" s="104"/>
      <c r="V137" s="104"/>
      <c r="W137" s="104"/>
      <c r="X137" s="104"/>
    </row>
    <row r="138" spans="1:24" ht="15.6">
      <c r="A138" s="28" t="str">
        <v>Q220</v>
      </c>
      <c r="B138" s="25" t="str">
        <v>NY</v>
      </c>
      <c r="C138" s="25" t="str">
        <f>Sites[[#This Row],[SOL'#]]</f>
        <v>SOL-10873</v>
      </c>
      <c r="D138" s="20">
        <v>25706.390625</v>
      </c>
      <c r="E138" s="10">
        <v>28923</v>
      </c>
      <c r="F138" s="10">
        <f t="shared" si="12"/>
        <v>-3216.609375</v>
      </c>
      <c r="G138" s="11">
        <f t="shared" si="13"/>
        <v>-0.11121285395705839</v>
      </c>
      <c r="H138" s="12">
        <v>24647</v>
      </c>
      <c r="I138" s="12">
        <f t="shared" si="10"/>
        <v>1059.390625</v>
      </c>
      <c r="J138" s="13">
        <f t="shared" si="11"/>
        <v>4.298253844281251E-2</v>
      </c>
      <c r="K138" s="53" t="s">
        <v>1364</v>
      </c>
      <c r="L138" s="99" t="s">
        <v>1615</v>
      </c>
      <c r="M138" s="104"/>
      <c r="N138" s="104"/>
      <c r="O138" s="104"/>
      <c r="P138" s="104"/>
      <c r="Q138" s="104"/>
      <c r="R138" s="104"/>
      <c r="S138" s="104"/>
      <c r="T138" s="104"/>
      <c r="U138" s="104"/>
      <c r="V138" s="104"/>
      <c r="W138" s="104"/>
      <c r="X138" s="104"/>
    </row>
    <row r="139" spans="1:24" ht="15.6">
      <c r="A139" s="26" t="str">
        <v>Q205</v>
      </c>
      <c r="B139" s="27" t="str">
        <v>NY</v>
      </c>
      <c r="C139" s="27" t="str">
        <f>Sites[[#This Row],[SOL'#]]</f>
        <v>SOL-10922</v>
      </c>
      <c r="D139" s="9">
        <v>29880.34375</v>
      </c>
      <c r="E139" s="14">
        <v>35274.04</v>
      </c>
      <c r="F139" s="14">
        <f t="shared" si="12"/>
        <v>-5393.6962500000009</v>
      </c>
      <c r="G139" s="15">
        <f t="shared" si="13"/>
        <v>-0.15290837822942879</v>
      </c>
      <c r="H139" s="16">
        <v>29435</v>
      </c>
      <c r="I139" s="16">
        <f t="shared" si="10"/>
        <v>445.34375</v>
      </c>
      <c r="J139" s="15">
        <f t="shared" si="11"/>
        <v>1.5129735009342619E-2</v>
      </c>
      <c r="K139" s="51"/>
      <c r="L139" s="51"/>
      <c r="M139" s="104"/>
      <c r="N139" s="104"/>
      <c r="O139" s="104"/>
      <c r="P139" s="104"/>
      <c r="Q139" s="104"/>
      <c r="R139" s="104"/>
      <c r="S139" s="104"/>
      <c r="T139" s="104"/>
      <c r="U139" s="104"/>
      <c r="V139" s="104"/>
      <c r="W139" s="104"/>
      <c r="X139" s="104"/>
    </row>
    <row r="140" spans="1:24" ht="72">
      <c r="A140" s="28" t="str">
        <v>Q400</v>
      </c>
      <c r="B140" s="25" t="str">
        <v>NY</v>
      </c>
      <c r="C140" s="25" t="str">
        <f>Sites[[#This Row],[SOL'#]]</f>
        <v>SOL-10871</v>
      </c>
      <c r="D140" s="20">
        <v>28683.4375</v>
      </c>
      <c r="E140" s="10" t="s">
        <v>661</v>
      </c>
      <c r="F140" s="10" t="str">
        <f t="shared" si="12"/>
        <v/>
      </c>
      <c r="G140" s="11" t="str">
        <f t="shared" si="13"/>
        <v/>
      </c>
      <c r="H140" s="12">
        <v>48524</v>
      </c>
      <c r="I140" s="12">
        <f t="shared" si="10"/>
        <v>-19840.5625</v>
      </c>
      <c r="J140" s="13">
        <f t="shared" si="11"/>
        <v>-0.40888142980793007</v>
      </c>
      <c r="K140" s="53" t="s">
        <v>1616</v>
      </c>
      <c r="L140" s="99" t="s">
        <v>1617</v>
      </c>
      <c r="M140" s="103" t="s">
        <v>1373</v>
      </c>
      <c r="N140" s="104"/>
      <c r="O140" s="104"/>
      <c r="P140" s="104"/>
      <c r="Q140" s="104"/>
      <c r="R140" s="104"/>
      <c r="S140" s="104"/>
      <c r="T140" s="104"/>
      <c r="U140" s="104"/>
      <c r="V140" s="104"/>
      <c r="W140" s="104"/>
      <c r="X140" s="104"/>
    </row>
    <row r="141" spans="1:24" ht="28.9">
      <c r="A141" s="26" t="str">
        <v>R003</v>
      </c>
      <c r="B141" s="27" t="str">
        <v>NY</v>
      </c>
      <c r="C141" s="27" t="str">
        <f>Sites[[#This Row],[SOL'#]]</f>
        <v>SOL-10416</v>
      </c>
      <c r="D141" s="9">
        <v>38385.109375</v>
      </c>
      <c r="E141" s="14">
        <v>44378.38</v>
      </c>
      <c r="F141" s="14">
        <f t="shared" si="12"/>
        <v>-5993.2706249999974</v>
      </c>
      <c r="G141" s="15">
        <f t="shared" si="13"/>
        <v>-0.13504933314375148</v>
      </c>
      <c r="H141" s="16">
        <v>43732</v>
      </c>
      <c r="I141" s="16">
        <f t="shared" si="10"/>
        <v>-5346.890625</v>
      </c>
      <c r="J141" s="15">
        <f t="shared" si="11"/>
        <v>-0.12226494614927284</v>
      </c>
      <c r="K141" s="51" t="s">
        <v>1374</v>
      </c>
      <c r="L141" s="100" t="s">
        <v>1618</v>
      </c>
      <c r="M141" s="104"/>
      <c r="N141" s="104"/>
      <c r="O141" s="104"/>
      <c r="P141" s="104"/>
      <c r="Q141" s="104"/>
      <c r="R141" s="104"/>
      <c r="S141" s="104"/>
      <c r="T141" s="104"/>
      <c r="U141" s="104"/>
      <c r="V141" s="104"/>
      <c r="W141" s="104"/>
      <c r="X141" s="104"/>
    </row>
    <row r="142" spans="1:24" ht="15.6">
      <c r="A142" s="28" t="str">
        <v>R007</v>
      </c>
      <c r="B142" s="25" t="str">
        <v>NY</v>
      </c>
      <c r="C142" s="25" t="str">
        <f>Sites[[#This Row],[SOL'#]]</f>
        <v>SOL-10417</v>
      </c>
      <c r="D142" s="20">
        <v>47890.6875</v>
      </c>
      <c r="E142" s="10">
        <v>47595.02</v>
      </c>
      <c r="F142" s="10">
        <f t="shared" si="12"/>
        <v>295.6675000000032</v>
      </c>
      <c r="G142" s="11">
        <f t="shared" si="13"/>
        <v>6.2121520276701894E-3</v>
      </c>
      <c r="H142" s="12">
        <v>47903.21</v>
      </c>
      <c r="I142" s="12">
        <f t="shared" si="10"/>
        <v>-12.522499999999127</v>
      </c>
      <c r="J142" s="13">
        <f t="shared" si="11"/>
        <v>-2.6141254416977747E-4</v>
      </c>
      <c r="K142" s="53"/>
      <c r="L142" s="53"/>
      <c r="M142" s="104"/>
      <c r="N142" s="104"/>
      <c r="O142" s="104"/>
      <c r="P142" s="104"/>
      <c r="Q142" s="104"/>
      <c r="R142" s="104"/>
      <c r="S142" s="104"/>
      <c r="T142" s="104"/>
      <c r="U142" s="104"/>
      <c r="V142" s="104"/>
      <c r="W142" s="104"/>
      <c r="X142" s="104"/>
    </row>
    <row r="143" spans="1:24" ht="15.6">
      <c r="A143" s="26" t="str">
        <v>BK16</v>
      </c>
      <c r="B143" s="27" t="str">
        <v>NY</v>
      </c>
      <c r="C143" s="27" t="str">
        <f>Sites[[#This Row],[SOL'#]]</f>
        <v>SOL-11093</v>
      </c>
      <c r="D143" s="9">
        <v>47968.984375</v>
      </c>
      <c r="E143" s="14">
        <v>47268.57</v>
      </c>
      <c r="F143" s="14">
        <f t="shared" si="12"/>
        <v>700.41437500000029</v>
      </c>
      <c r="G143" s="15">
        <f t="shared" si="13"/>
        <v>1.4817761040793074E-2</v>
      </c>
      <c r="H143" s="16">
        <v>46590</v>
      </c>
      <c r="I143" s="16">
        <f t="shared" si="10"/>
        <v>1378.984375</v>
      </c>
      <c r="J143" s="15">
        <f t="shared" si="11"/>
        <v>2.9598290942262288E-2</v>
      </c>
      <c r="K143" s="51"/>
      <c r="L143" s="51"/>
      <c r="M143" s="104"/>
      <c r="N143" s="104"/>
      <c r="O143" s="104"/>
      <c r="P143" s="104"/>
      <c r="Q143" s="104"/>
      <c r="R143" s="104"/>
      <c r="S143" s="104"/>
      <c r="T143" s="104"/>
      <c r="U143" s="104"/>
      <c r="V143" s="104"/>
      <c r="W143" s="104"/>
      <c r="X143" s="104"/>
    </row>
    <row r="144" spans="1:24" ht="115.15">
      <c r="A144" s="28" t="str">
        <v>Trenton - Trenton East</v>
      </c>
      <c r="B144" s="25" t="str">
        <v>IL</v>
      </c>
      <c r="C144" s="25" t="str">
        <f>Sites[[#This Row],[SOL'#]]</f>
        <v>SOL-11060</v>
      </c>
      <c r="D144" s="20">
        <v>408839</v>
      </c>
      <c r="E144" s="10">
        <v>466838</v>
      </c>
      <c r="F144" s="10">
        <f t="shared" si="12"/>
        <v>-57999</v>
      </c>
      <c r="G144" s="11">
        <f t="shared" si="13"/>
        <v>-0.12423795834957736</v>
      </c>
      <c r="H144" s="12">
        <v>551866</v>
      </c>
      <c r="I144" s="12">
        <f t="shared" si="10"/>
        <v>-143027</v>
      </c>
      <c r="J144" s="13">
        <f t="shared" si="11"/>
        <v>-0.25916979846556953</v>
      </c>
      <c r="K144" s="53" t="s">
        <v>1619</v>
      </c>
      <c r="L144" s="99" t="s">
        <v>1620</v>
      </c>
      <c r="M144" s="103" t="s">
        <v>1621</v>
      </c>
      <c r="N144" s="104"/>
      <c r="O144" s="104"/>
      <c r="P144" s="104"/>
      <c r="Q144" s="104"/>
      <c r="R144" s="104"/>
      <c r="S144" s="104"/>
      <c r="T144" s="104"/>
      <c r="U144" s="104"/>
      <c r="V144" s="104"/>
      <c r="W144" s="104"/>
      <c r="X144" s="104"/>
    </row>
    <row r="145" spans="1:24" ht="86.45">
      <c r="A145" s="26" t="str">
        <v>Trenton - Trenton West</v>
      </c>
      <c r="B145" s="27" t="str">
        <v>IL</v>
      </c>
      <c r="C145" s="27" t="str">
        <f>Sites[[#This Row],[SOL'#]]</f>
        <v>SOL-11061</v>
      </c>
      <c r="D145" s="9">
        <v>279491</v>
      </c>
      <c r="E145" s="14">
        <v>396472.3</v>
      </c>
      <c r="F145" s="14">
        <f t="shared" si="12"/>
        <v>-116981.29999999999</v>
      </c>
      <c r="G145" s="15">
        <f t="shared" si="13"/>
        <v>-0.29505541749070485</v>
      </c>
      <c r="H145" s="16">
        <v>552240</v>
      </c>
      <c r="I145" s="16">
        <f t="shared" si="10"/>
        <v>-272749</v>
      </c>
      <c r="J145" s="15">
        <f t="shared" si="11"/>
        <v>-0.49389576995509199</v>
      </c>
      <c r="K145" s="51" t="s">
        <v>1622</v>
      </c>
      <c r="L145" s="100" t="s">
        <v>1623</v>
      </c>
      <c r="M145" s="103" t="s">
        <v>1624</v>
      </c>
      <c r="N145" s="104"/>
      <c r="O145" s="104"/>
      <c r="P145" s="104"/>
      <c r="Q145" s="104"/>
      <c r="R145" s="104"/>
      <c r="S145" s="104"/>
      <c r="T145" s="104"/>
      <c r="U145" s="104"/>
      <c r="V145" s="104"/>
      <c r="W145" s="104"/>
      <c r="X145" s="104"/>
    </row>
    <row r="146" spans="1:24" ht="72">
      <c r="A146" s="28" t="str">
        <v>Dakota - Dakota Solar 1</v>
      </c>
      <c r="B146" s="25" t="str">
        <v>IL</v>
      </c>
      <c r="C146" s="25" t="str">
        <f>Sites[[#This Row],[SOL'#]]</f>
        <v>SOL-11113</v>
      </c>
      <c r="D146" s="20">
        <v>498126</v>
      </c>
      <c r="E146" s="10">
        <v>522565.8</v>
      </c>
      <c r="F146" s="10">
        <f t="shared" si="12"/>
        <v>-24439.799999999988</v>
      </c>
      <c r="G146" s="11">
        <f t="shared" si="13"/>
        <v>-4.6768847100212049E-2</v>
      </c>
      <c r="H146" s="12">
        <v>396944</v>
      </c>
      <c r="I146" s="12">
        <f t="shared" si="10"/>
        <v>101182</v>
      </c>
      <c r="J146" s="13">
        <f t="shared" si="11"/>
        <v>0.25490245475432305</v>
      </c>
      <c r="K146" s="53" t="s">
        <v>1625</v>
      </c>
      <c r="L146" s="99" t="s">
        <v>1626</v>
      </c>
      <c r="M146" s="103" t="s">
        <v>1627</v>
      </c>
      <c r="N146" s="104"/>
      <c r="O146" s="104"/>
      <c r="P146" s="104"/>
      <c r="Q146" s="104"/>
      <c r="R146" s="104"/>
      <c r="S146" s="104"/>
      <c r="T146" s="104"/>
      <c r="U146" s="104"/>
      <c r="V146" s="104"/>
      <c r="W146" s="104"/>
      <c r="X146" s="104"/>
    </row>
    <row r="147" spans="1:24" ht="15.6">
      <c r="A147" s="26" t="str">
        <v>X018</v>
      </c>
      <c r="B147" s="27" t="str">
        <v>NY</v>
      </c>
      <c r="C147" s="27" t="str">
        <f>Sites[[#This Row],[SOL'#]]</f>
        <v>SOL-10418</v>
      </c>
      <c r="D147" s="9">
        <v>21239.7391015625</v>
      </c>
      <c r="E147" s="14">
        <v>14102.8</v>
      </c>
      <c r="F147" s="14">
        <f t="shared" si="12"/>
        <v>7136.9391015625006</v>
      </c>
      <c r="G147" s="15">
        <f t="shared" si="13"/>
        <v>0.50606539847140286</v>
      </c>
      <c r="H147" s="16">
        <v>23493</v>
      </c>
      <c r="I147" s="16">
        <f t="shared" si="10"/>
        <v>-2253.2608984375001</v>
      </c>
      <c r="J147" s="15">
        <f t="shared" si="11"/>
        <v>-9.5912012022198109E-2</v>
      </c>
      <c r="K147" s="51" t="s">
        <v>1628</v>
      </c>
      <c r="L147" s="100" t="s">
        <v>1629</v>
      </c>
      <c r="M147" s="104"/>
      <c r="N147" s="104"/>
      <c r="O147" s="104"/>
      <c r="P147" s="104"/>
      <c r="Q147" s="104"/>
      <c r="R147" s="104"/>
      <c r="S147" s="104"/>
      <c r="T147" s="104"/>
      <c r="U147" s="104"/>
      <c r="V147" s="104"/>
      <c r="W147" s="104"/>
      <c r="X147" s="104"/>
    </row>
    <row r="148" spans="1:24" ht="28.9">
      <c r="A148" s="28" t="str">
        <v>Janiak Solar</v>
      </c>
      <c r="B148" s="25" t="str">
        <v>NY</v>
      </c>
      <c r="C148" s="25" t="str">
        <f>Sites[[#This Row],[SOL'#]]</f>
        <v>SOL-10898</v>
      </c>
      <c r="D148" s="20">
        <v>398017</v>
      </c>
      <c r="E148" s="10">
        <v>428103.8</v>
      </c>
      <c r="F148" s="10">
        <f t="shared" si="12"/>
        <v>-30086.799999999988</v>
      </c>
      <c r="G148" s="11">
        <f t="shared" si="13"/>
        <v>-7.0279217330002655E-2</v>
      </c>
      <c r="H148" s="12">
        <v>457863</v>
      </c>
      <c r="I148" s="12">
        <f t="shared" si="10"/>
        <v>-59846</v>
      </c>
      <c r="J148" s="13">
        <f t="shared" si="11"/>
        <v>-0.13070722028204942</v>
      </c>
      <c r="K148" s="53" t="s">
        <v>1630</v>
      </c>
      <c r="L148" s="99" t="s">
        <v>1631</v>
      </c>
      <c r="M148" s="104"/>
      <c r="N148" s="104"/>
      <c r="O148" s="104"/>
      <c r="P148" s="104"/>
      <c r="Q148" s="104"/>
      <c r="R148" s="104"/>
      <c r="S148" s="104"/>
      <c r="T148" s="104"/>
      <c r="U148" s="104"/>
      <c r="V148" s="104"/>
      <c r="W148" s="104"/>
      <c r="X148" s="104"/>
    </row>
    <row r="149" spans="1:24" ht="43.15">
      <c r="A149" s="26" t="str">
        <v>County Route 11B</v>
      </c>
      <c r="B149" s="27" t="str">
        <v>NY</v>
      </c>
      <c r="C149" s="27" t="str">
        <f>Sites[[#This Row],[SOL'#]]</f>
        <v>SOL-10983</v>
      </c>
      <c r="D149" s="9">
        <v>1436404</v>
      </c>
      <c r="E149" s="14">
        <v>1431678</v>
      </c>
      <c r="F149" s="14">
        <f t="shared" si="12"/>
        <v>4726</v>
      </c>
      <c r="G149" s="15">
        <f t="shared" si="13"/>
        <v>3.3010215984320495E-3</v>
      </c>
      <c r="H149" s="135" t="s">
        <v>941</v>
      </c>
      <c r="I149" s="16" t="str">
        <f t="shared" si="10"/>
        <v/>
      </c>
      <c r="J149" s="15" t="str">
        <f t="shared" si="11"/>
        <v/>
      </c>
      <c r="K149" s="51" t="s">
        <v>1632</v>
      </c>
      <c r="L149" s="99" t="s">
        <v>1633</v>
      </c>
      <c r="M149" s="104"/>
      <c r="N149" s="104"/>
      <c r="O149" s="104"/>
      <c r="P149" s="104"/>
      <c r="Q149" s="104"/>
      <c r="R149" s="104"/>
      <c r="S149" s="104"/>
      <c r="T149" s="104"/>
      <c r="U149" s="104"/>
      <c r="V149" s="104"/>
      <c r="W149" s="104"/>
      <c r="X149" s="104"/>
    </row>
    <row r="150" spans="1:24" ht="86.45">
      <c r="A150" s="28" t="str">
        <v>Barone</v>
      </c>
      <c r="B150" s="25" t="str">
        <v>NY</v>
      </c>
      <c r="C150" s="25" t="str">
        <f>Sites[[#This Row],[SOL'#]]</f>
        <v>SOL-11034</v>
      </c>
      <c r="D150" s="20">
        <v>670991</v>
      </c>
      <c r="E150" s="10">
        <v>667986</v>
      </c>
      <c r="F150" s="10">
        <f t="shared" si="12"/>
        <v>3005</v>
      </c>
      <c r="G150" s="11">
        <f t="shared" si="13"/>
        <v>4.4985972759908144E-3</v>
      </c>
      <c r="H150" s="12">
        <v>757195</v>
      </c>
      <c r="I150" s="12">
        <f t="shared" si="10"/>
        <v>-86204</v>
      </c>
      <c r="J150" s="13">
        <f t="shared" si="11"/>
        <v>-0.11384649925052331</v>
      </c>
      <c r="K150" s="53" t="s">
        <v>1634</v>
      </c>
      <c r="L150" s="99" t="s">
        <v>1635</v>
      </c>
      <c r="M150" s="103" t="s">
        <v>1636</v>
      </c>
      <c r="N150" s="103" t="s">
        <v>1637</v>
      </c>
      <c r="O150" s="104"/>
      <c r="P150" s="104"/>
      <c r="Q150" s="104"/>
      <c r="R150" s="104"/>
      <c r="S150" s="104"/>
      <c r="T150" s="104"/>
      <c r="U150" s="104"/>
      <c r="V150" s="104"/>
      <c r="W150" s="104"/>
      <c r="X150" s="104"/>
    </row>
    <row r="151" spans="1:24" ht="15.6">
      <c r="A151" s="26" t="str">
        <v>Cedarville</v>
      </c>
      <c r="B151" s="27" t="str">
        <v>IL</v>
      </c>
      <c r="C151" s="27" t="str">
        <f>Sites[[#This Row],[SOL'#]]</f>
        <v>SOL-11069</v>
      </c>
      <c r="D151" s="9">
        <v>412476</v>
      </c>
      <c r="E151" s="14">
        <v>392183</v>
      </c>
      <c r="F151" s="14">
        <f t="shared" si="12"/>
        <v>20293</v>
      </c>
      <c r="G151" s="15">
        <f t="shared" si="13"/>
        <v>5.1743701282309533E-2</v>
      </c>
      <c r="H151" s="16">
        <v>559363.6</v>
      </c>
      <c r="I151" s="16">
        <f t="shared" si="10"/>
        <v>-146887.59999999998</v>
      </c>
      <c r="J151" s="15">
        <f t="shared" si="11"/>
        <v>-0.26259770925387349</v>
      </c>
      <c r="K151" s="51" t="s">
        <v>1388</v>
      </c>
      <c r="L151" s="100" t="s">
        <v>1389</v>
      </c>
      <c r="M151" s="104"/>
      <c r="N151" s="104"/>
      <c r="O151" s="104"/>
      <c r="P151" s="104"/>
      <c r="Q151" s="104"/>
      <c r="R151" s="104"/>
      <c r="S151" s="104"/>
      <c r="T151" s="104"/>
      <c r="U151" s="104"/>
      <c r="V151" s="104"/>
      <c r="W151" s="104"/>
      <c r="X151" s="104"/>
    </row>
    <row r="152" spans="1:24" ht="28.9">
      <c r="A152" s="28" t="str">
        <v xml:space="preserve"> O'Brien Hill #1</v>
      </c>
      <c r="B152" s="25" t="str">
        <v>NY</v>
      </c>
      <c r="C152" s="25" t="str">
        <f>Sites[[#This Row],[SOL'#]]</f>
        <v>SOL-11098</v>
      </c>
      <c r="D152" s="20">
        <v>0</v>
      </c>
      <c r="E152" s="10" t="s">
        <v>661</v>
      </c>
      <c r="F152" s="10" t="str">
        <f t="shared" si="12"/>
        <v/>
      </c>
      <c r="G152" s="11" t="str">
        <f t="shared" si="13"/>
        <v/>
      </c>
      <c r="H152" s="134" t="s">
        <v>941</v>
      </c>
      <c r="I152" s="12" t="str">
        <f t="shared" si="10"/>
        <v/>
      </c>
      <c r="J152" s="13" t="str">
        <f t="shared" si="11"/>
        <v/>
      </c>
      <c r="K152" s="53" t="s">
        <v>1390</v>
      </c>
      <c r="L152" s="99" t="s">
        <v>1391</v>
      </c>
      <c r="M152" s="103" t="s">
        <v>877</v>
      </c>
      <c r="N152" s="104"/>
      <c r="O152" s="104"/>
      <c r="P152" s="104"/>
      <c r="Q152" s="104"/>
      <c r="R152" s="104"/>
      <c r="S152" s="104"/>
      <c r="T152" s="104"/>
      <c r="U152" s="104"/>
      <c r="V152" s="104"/>
      <c r="W152" s="104"/>
      <c r="X152" s="104"/>
    </row>
    <row r="153" spans="1:24" ht="57.6">
      <c r="A153" s="26" t="str">
        <v xml:space="preserve"> O'Brien Hill #2</v>
      </c>
      <c r="B153" s="27" t="str">
        <v>NY</v>
      </c>
      <c r="C153" s="27" t="str">
        <f>Sites[[#This Row],[SOL'#]]</f>
        <v>SOL-11099</v>
      </c>
      <c r="D153" s="9">
        <v>1037428</v>
      </c>
      <c r="E153" s="14">
        <v>1037322</v>
      </c>
      <c r="F153" s="14">
        <f t="shared" si="12"/>
        <v>106</v>
      </c>
      <c r="G153" s="15">
        <f t="shared" si="13"/>
        <v>1.0218620640456869E-4</v>
      </c>
      <c r="H153" s="135" t="s">
        <v>941</v>
      </c>
      <c r="I153" s="16" t="str">
        <f t="shared" si="10"/>
        <v/>
      </c>
      <c r="J153" s="15" t="str">
        <f t="shared" si="11"/>
        <v/>
      </c>
      <c r="K153" s="51" t="s">
        <v>1638</v>
      </c>
      <c r="L153" s="100" t="s">
        <v>1639</v>
      </c>
      <c r="M153" s="103" t="s">
        <v>1640</v>
      </c>
      <c r="N153" s="104"/>
      <c r="O153" s="104"/>
      <c r="P153" s="104"/>
      <c r="Q153" s="104"/>
      <c r="R153" s="104"/>
      <c r="S153" s="104"/>
      <c r="T153" s="104"/>
      <c r="U153" s="104"/>
      <c r="V153" s="104"/>
      <c r="W153" s="104"/>
      <c r="X153" s="104"/>
    </row>
    <row r="154" spans="1:24" ht="43.15">
      <c r="A154" s="28" t="str">
        <v>Trinity - Freeport</v>
      </c>
      <c r="B154" s="25" t="str">
        <v>IL</v>
      </c>
      <c r="C154" s="25" t="str">
        <f>Sites[[#This Row],[SOL'#]]</f>
        <v>SOL-11057</v>
      </c>
      <c r="D154" s="20">
        <v>442554</v>
      </c>
      <c r="E154" s="10">
        <v>500503.4</v>
      </c>
      <c r="F154" s="10">
        <f t="shared" si="12"/>
        <v>-57949.400000000023</v>
      </c>
      <c r="G154" s="11">
        <f t="shared" si="13"/>
        <v>-0.11578223045038259</v>
      </c>
      <c r="H154" s="12">
        <v>569424</v>
      </c>
      <c r="I154" s="12">
        <f t="shared" si="10"/>
        <v>-126870</v>
      </c>
      <c r="J154" s="13">
        <f t="shared" si="11"/>
        <v>-0.22280409677147434</v>
      </c>
      <c r="K154" s="53" t="s">
        <v>1641</v>
      </c>
      <c r="L154" s="99" t="s">
        <v>1642</v>
      </c>
      <c r="M154" s="103" t="s">
        <v>1643</v>
      </c>
      <c r="N154" s="104"/>
      <c r="O154" s="104"/>
      <c r="P154" s="104"/>
      <c r="Q154" s="104"/>
      <c r="R154" s="104"/>
      <c r="S154" s="104"/>
      <c r="T154" s="104"/>
      <c r="U154" s="104"/>
      <c r="V154" s="104"/>
      <c r="W154" s="104"/>
      <c r="X154" s="104"/>
    </row>
    <row r="155" spans="1:24" ht="57.6">
      <c r="A155" s="26" t="str">
        <v>Ransom</v>
      </c>
      <c r="B155" s="27" t="str">
        <v>NY</v>
      </c>
      <c r="C155" s="27" t="str">
        <f>Sites[[#This Row],[SOL'#]]</f>
        <v>SOL-11157</v>
      </c>
      <c r="D155" s="9">
        <v>864708</v>
      </c>
      <c r="E155" s="14">
        <v>861300</v>
      </c>
      <c r="F155" s="14">
        <f t="shared" si="12"/>
        <v>3408</v>
      </c>
      <c r="G155" s="15">
        <f t="shared" si="13"/>
        <v>3.9568094740508536E-3</v>
      </c>
      <c r="H155" s="135" t="s">
        <v>941</v>
      </c>
      <c r="I155" s="16" t="str">
        <f t="shared" ref="I155" si="14">IF(AND(ISNUMBER(D155),ISNUMBER(H155)), D155-H155, "")</f>
        <v/>
      </c>
      <c r="J155" s="15" t="str">
        <f t="shared" ref="J155:J164" si="15">IFERROR(I155/H155, "")</f>
        <v/>
      </c>
      <c r="K155" s="51" t="s">
        <v>1644</v>
      </c>
      <c r="L155" s="100" t="s">
        <v>1645</v>
      </c>
      <c r="M155" s="103" t="s">
        <v>1646</v>
      </c>
      <c r="N155" s="104"/>
      <c r="O155" s="104"/>
      <c r="P155" s="104"/>
      <c r="Q155" s="104"/>
      <c r="R155" s="104"/>
      <c r="S155" s="104"/>
      <c r="T155" s="104"/>
      <c r="U155" s="104"/>
      <c r="V155" s="104"/>
      <c r="W155" s="104"/>
      <c r="X155" s="104"/>
    </row>
    <row r="156" spans="1:24" ht="15.6">
      <c r="A156" s="28" t="str">
        <v>Horseheads - Wedge</v>
      </c>
      <c r="B156" s="25" t="str">
        <v>NY</v>
      </c>
      <c r="C156" s="25" t="str">
        <f>Sites[[#This Row],[SOL'#]]</f>
        <v>SOL-11160</v>
      </c>
      <c r="D156" s="20">
        <v>730633</v>
      </c>
      <c r="E156" s="10">
        <v>728031</v>
      </c>
      <c r="F156" s="10">
        <f t="shared" si="12"/>
        <v>2602</v>
      </c>
      <c r="G156" s="11">
        <f t="shared" si="13"/>
        <v>3.5740236336090085E-3</v>
      </c>
      <c r="H156" s="134" t="s">
        <v>941</v>
      </c>
      <c r="I156" s="12" t="str">
        <f t="shared" ref="I156:I164" si="16">IF(AND(ISNUMBER(D156),ISNUMBER(H156)), D156-H156, "")</f>
        <v/>
      </c>
      <c r="J156" s="13" t="str">
        <f t="shared" si="15"/>
        <v/>
      </c>
      <c r="K156" s="53"/>
      <c r="L156" s="53"/>
      <c r="M156" s="104"/>
      <c r="N156" s="104"/>
      <c r="O156" s="104"/>
      <c r="P156" s="104"/>
      <c r="Q156" s="104"/>
      <c r="R156" s="104"/>
      <c r="S156" s="104"/>
      <c r="T156" s="104"/>
      <c r="U156" s="104"/>
      <c r="V156" s="104"/>
      <c r="W156" s="104"/>
      <c r="X156" s="104"/>
    </row>
    <row r="157" spans="1:24" ht="43.15">
      <c r="A157" s="26" t="str">
        <v>Otisville - Shoddy Hollow</v>
      </c>
      <c r="B157" s="27" t="str">
        <v>NY</v>
      </c>
      <c r="C157" s="27" t="str">
        <f>Sites[[#This Row],[SOL'#]]</f>
        <v>SOL-11185</v>
      </c>
      <c r="D157" s="9">
        <v>1135818</v>
      </c>
      <c r="E157" s="14">
        <v>1131387</v>
      </c>
      <c r="F157" s="14">
        <f t="shared" si="12"/>
        <v>4431</v>
      </c>
      <c r="G157" s="15">
        <f t="shared" si="13"/>
        <v>3.9164317779857823E-3</v>
      </c>
      <c r="H157" s="135" t="s">
        <v>941</v>
      </c>
      <c r="I157" s="16" t="str">
        <f t="shared" si="16"/>
        <v/>
      </c>
      <c r="J157" s="15" t="str">
        <f t="shared" si="15"/>
        <v/>
      </c>
      <c r="K157" s="51" t="s">
        <v>1647</v>
      </c>
      <c r="L157" s="100" t="s">
        <v>1648</v>
      </c>
      <c r="M157" s="103" t="s">
        <v>1649</v>
      </c>
      <c r="N157" s="104"/>
      <c r="O157" s="104"/>
      <c r="P157" s="104"/>
      <c r="Q157" s="104"/>
      <c r="R157" s="104"/>
      <c r="S157" s="104"/>
      <c r="T157" s="104"/>
      <c r="U157" s="104"/>
      <c r="V157" s="104"/>
      <c r="W157" s="104"/>
      <c r="X157" s="104"/>
    </row>
    <row r="158" spans="1:24" ht="28.9">
      <c r="A158" s="28" t="str">
        <v>Wellsville - Chenunda Creek</v>
      </c>
      <c r="B158" s="25" t="str">
        <v>NY</v>
      </c>
      <c r="C158" s="25" t="str">
        <f>Sites[[#This Row],[SOL'#]]</f>
        <v>SOL-11187</v>
      </c>
      <c r="D158" s="20">
        <v>621490</v>
      </c>
      <c r="E158" s="10">
        <v>619787</v>
      </c>
      <c r="F158" s="10">
        <f t="shared" si="12"/>
        <v>1703</v>
      </c>
      <c r="G158" s="11">
        <f t="shared" si="13"/>
        <v>2.7477181676930948E-3</v>
      </c>
      <c r="H158" s="134" t="s">
        <v>941</v>
      </c>
      <c r="I158" s="67" t="str">
        <f t="shared" si="16"/>
        <v/>
      </c>
      <c r="J158" s="13" t="str">
        <f t="shared" si="15"/>
        <v/>
      </c>
      <c r="K158" s="53" t="s">
        <v>1650</v>
      </c>
      <c r="L158" s="99" t="s">
        <v>1651</v>
      </c>
      <c r="M158" s="104"/>
      <c r="N158" s="104"/>
      <c r="O158" s="104"/>
      <c r="P158" s="104"/>
      <c r="Q158" s="104"/>
      <c r="R158" s="104"/>
      <c r="S158" s="104"/>
      <c r="T158" s="104"/>
      <c r="U158" s="104"/>
      <c r="V158" s="104"/>
      <c r="W158" s="104"/>
      <c r="X158" s="104"/>
    </row>
    <row r="159" spans="1:24" ht="15.6">
      <c r="A159" s="26" t="str">
        <v>DC: Washington - Essex Condominium</v>
      </c>
      <c r="B159" s="27" t="str">
        <v>DC</v>
      </c>
      <c r="C159" s="27" t="str">
        <f>Sites[[#This Row],[SOL'#]]</f>
        <v>SOL-10036</v>
      </c>
      <c r="D159" s="66">
        <v>4372</v>
      </c>
      <c r="E159" s="14">
        <v>5739</v>
      </c>
      <c r="F159" s="14">
        <f t="shared" ref="F159:F164" si="17">IF(AND(ISNUMBER(D159),ISNUMBER(E159)), D159-E159, "")</f>
        <v>-1367</v>
      </c>
      <c r="G159" s="68">
        <f t="shared" ref="G159:G164" si="18">IFERROR(F159/E159, "")</f>
        <v>-0.23819480745774524</v>
      </c>
      <c r="H159" s="127">
        <v>5314</v>
      </c>
      <c r="I159" s="69">
        <f t="shared" si="16"/>
        <v>-942</v>
      </c>
      <c r="J159" s="68">
        <f t="shared" si="15"/>
        <v>-0.17726759503199097</v>
      </c>
      <c r="K159" s="51" t="s">
        <v>1652</v>
      </c>
      <c r="L159" s="100"/>
    </row>
    <row r="160" spans="1:24" ht="43.15">
      <c r="A160" s="28" t="str">
        <v>HI: Waipahu - 94-246 Leoku St - E.F.G.</v>
      </c>
      <c r="B160" s="25" t="str">
        <v>HI</v>
      </c>
      <c r="C160" s="25" t="str">
        <f>Sites[[#This Row],[SOL'#]]</f>
        <v>SOL-10071</v>
      </c>
      <c r="D160" s="54">
        <v>10048</v>
      </c>
      <c r="E160" s="10">
        <v>13191</v>
      </c>
      <c r="F160" s="10">
        <f t="shared" si="17"/>
        <v>-3143</v>
      </c>
      <c r="G160" s="55">
        <f t="shared" si="18"/>
        <v>-0.23826851641270563</v>
      </c>
      <c r="H160" s="148">
        <v>13677</v>
      </c>
      <c r="I160" s="67">
        <f t="shared" si="16"/>
        <v>-3629</v>
      </c>
      <c r="J160" s="64">
        <f t="shared" si="15"/>
        <v>-0.26533596548950794</v>
      </c>
      <c r="K160" s="73" t="s">
        <v>1653</v>
      </c>
      <c r="L160" s="101" t="s">
        <v>1654</v>
      </c>
    </row>
    <row r="161" spans="1:12" ht="15.6">
      <c r="A161" s="26" t="str">
        <v>HI: Waipahu - 94-099 Waipahu St - PV</v>
      </c>
      <c r="B161" s="27" t="str">
        <v>HI</v>
      </c>
      <c r="C161" s="27" t="str">
        <f>Sites[[#This Row],[SOL'#]]</f>
        <v>SOL-10068</v>
      </c>
      <c r="D161" s="66">
        <v>14836</v>
      </c>
      <c r="E161" s="14">
        <v>11476</v>
      </c>
      <c r="F161" s="14">
        <f t="shared" si="17"/>
        <v>3360</v>
      </c>
      <c r="G161" s="68">
        <f t="shared" si="18"/>
        <v>0.29278494248867198</v>
      </c>
      <c r="H161" s="127">
        <v>13669</v>
      </c>
      <c r="I161" s="69">
        <f t="shared" si="16"/>
        <v>1167</v>
      </c>
      <c r="J161" s="68">
        <f t="shared" si="15"/>
        <v>8.5375667568951638E-2</v>
      </c>
      <c r="K161" s="51"/>
      <c r="L161" s="102"/>
    </row>
    <row r="162" spans="1:12" ht="15.6">
      <c r="A162" s="28" t="str">
        <v>IL: Prophetstown - 5170 Yager Road (PW)</v>
      </c>
      <c r="B162" s="25" t="str">
        <v>IL</v>
      </c>
      <c r="C162" s="25" t="str">
        <f>Sites[[#This Row],[SOL'#]]</f>
        <v>SOL-11149</v>
      </c>
      <c r="D162" s="54"/>
      <c r="E162" s="10"/>
      <c r="F162" s="10" t="str">
        <f t="shared" si="17"/>
        <v/>
      </c>
      <c r="G162" s="55" t="str">
        <f t="shared" si="18"/>
        <v/>
      </c>
      <c r="H162" s="148"/>
      <c r="I162" s="67" t="str">
        <f t="shared" si="16"/>
        <v/>
      </c>
      <c r="J162" s="64" t="str">
        <f t="shared" si="15"/>
        <v/>
      </c>
      <c r="K162" s="73"/>
      <c r="L162" s="101"/>
    </row>
    <row r="163" spans="1:12" ht="15.6">
      <c r="A163" s="26" t="str">
        <v>IL: Viola - Goldenrod - (PW)</v>
      </c>
      <c r="B163" s="27" t="str">
        <v>IL</v>
      </c>
      <c r="C163" s="27" t="str">
        <f>Sites[[#This Row],[SOL'#]]</f>
        <v>SOL-11132</v>
      </c>
      <c r="D163" s="66"/>
      <c r="E163" s="14"/>
      <c r="F163" s="14" t="str">
        <f t="shared" si="17"/>
        <v/>
      </c>
      <c r="G163" s="68" t="str">
        <f t="shared" si="18"/>
        <v/>
      </c>
      <c r="H163" s="127"/>
      <c r="I163" s="69" t="str">
        <f t="shared" si="16"/>
        <v/>
      </c>
      <c r="J163" s="68" t="str">
        <f t="shared" si="15"/>
        <v/>
      </c>
      <c r="K163" s="51"/>
      <c r="L163" s="100"/>
    </row>
    <row r="164" spans="1:12" ht="15.6">
      <c r="A164" s="28" t="str">
        <v>IL: Marengo - Grant - (PW)</v>
      </c>
      <c r="B164" s="25" t="str">
        <v>IL</v>
      </c>
      <c r="C164" s="25" t="str">
        <f>Sites[[#This Row],[SOL'#]]</f>
        <v>SOL-11147</v>
      </c>
      <c r="D164" s="54"/>
      <c r="E164" s="10"/>
      <c r="F164" s="10" t="str">
        <f t="shared" si="17"/>
        <v/>
      </c>
      <c r="G164" s="55" t="str">
        <f t="shared" si="18"/>
        <v/>
      </c>
      <c r="H164" s="148"/>
      <c r="I164" s="67" t="str">
        <f t="shared" si="16"/>
        <v/>
      </c>
      <c r="J164" s="64" t="str">
        <f t="shared" si="15"/>
        <v/>
      </c>
      <c r="K164" s="73"/>
      <c r="L164" s="101"/>
    </row>
    <row r="165" spans="1:12">
      <c r="A165" t="str">
        <v>NY: Cambridge - Cambridge (PW)</v>
      </c>
      <c r="B165" s="30" t="str">
        <v>NY</v>
      </c>
    </row>
    <row r="166" spans="1:12">
      <c r="A166" t="str">
        <v>NY: Whitesville - Independence North</v>
      </c>
      <c r="B166" s="30" t="str">
        <v>NY</v>
      </c>
    </row>
    <row r="167" spans="1:12">
      <c r="A167" t="str">
        <v>IL: Beecher - Cottage Grove North (PW)</v>
      </c>
      <c r="B167" s="30" t="str">
        <v>IL</v>
      </c>
    </row>
    <row r="168" spans="1:12">
      <c r="A168" t="str">
        <v>IL: Beecher - Cottage Grove South (PW)</v>
      </c>
      <c r="B168" s="30" t="str">
        <v>IL</v>
      </c>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sheetData>
  <sortState xmlns:xlrd2="http://schemas.microsoft.com/office/spreadsheetml/2017/richdata2" ref="A3:L3">
    <sortCondition ref="A3"/>
  </sortState>
  <mergeCells count="4">
    <mergeCell ref="H1:J1"/>
    <mergeCell ref="A1:D1"/>
    <mergeCell ref="E1:G1"/>
    <mergeCell ref="A2:B2"/>
  </mergeCells>
  <phoneticPr fontId="40" type="noConversion"/>
  <conditionalFormatting sqref="G2 J2 G4:G57 J4:J164 G59:G164">
    <cfRule type="cellIs" dxfId="26" priority="31" stopIfTrue="1" operator="lessThanOrEqual">
      <formula>-0.1</formula>
    </cfRule>
    <cfRule type="expression" dxfId="25" priority="32">
      <formula>AND(ISNUMBER(G2), G2&gt;=0.1)</formula>
    </cfRule>
  </conditionalFormatting>
  <hyperlinks>
    <hyperlink ref="L4" r:id="rId1" display="https://us3.assetplanner.com/service_request?ID=103460" xr:uid="{529667F5-DC70-483C-9C46-9948B08E962A}"/>
    <hyperlink ref="L6" r:id="rId2" display="https://us3.assetplanner.com/service_request?ID=102473" xr:uid="{9F7C49D8-579E-429B-99AE-42C552872A8E}"/>
    <hyperlink ref="M6" r:id="rId3" display="https://us3.assetplanner.com/service_request?ID=103360" xr:uid="{5ACC1E30-8FEE-4C0C-9A0E-1EB0D3D35F5C}"/>
    <hyperlink ref="L7" r:id="rId4" display="https://us3.assetplanner.com/service_request?ID=097569" xr:uid="{2F3BDAC2-7D15-4D39-82CE-93B7D3F0F6B1}"/>
    <hyperlink ref="M7" r:id="rId5" display="https://us3.assetplanner.com/service_request?ID=102535" xr:uid="{7CA7DE82-AB1B-411E-8C94-76CB26A08357}"/>
    <hyperlink ref="L8" r:id="rId6" display="https://us3.assetplanner.com/service_request?ID=093291" xr:uid="{4C20D52C-4DA6-4409-86F6-80FE1A4585B4}"/>
    <hyperlink ref="M8" r:id="rId7" display="https://us3.assetplanner.com/service_request?ID=104754" xr:uid="{D808254B-CA7B-4116-9065-3E2531898F35}"/>
    <hyperlink ref="L12" r:id="rId8" display="https://us3.assetplanner.com/service_request?ID=102970" xr:uid="{40B688E3-83AE-4081-B780-13F421013070}"/>
    <hyperlink ref="M12" r:id="rId9" display="https://us3.assetplanner.com/service_request?ID=093292" xr:uid="{BCDFBACE-33D5-4D97-9162-53EC578B063B}"/>
    <hyperlink ref="N12" r:id="rId10" display="https://us3.assetplanner.com/service_request?ID=093633" xr:uid="{007B897B-87E0-4623-A568-21868843AF12}"/>
    <hyperlink ref="L14" r:id="rId11" display="https://us3.assetplanner.com/service_request?ID=093294" xr:uid="{07B9AF65-5D85-438A-ADCA-BFFCBD62DD15}"/>
    <hyperlink ref="M14" r:id="rId12" display="https://us3.assetplanner.com/service_request?ID=104856" xr:uid="{A609AB04-E980-4139-A65C-41F0DDBFB4D3}"/>
    <hyperlink ref="L16" r:id="rId13" display="https://us3.assetplanner.com/service_request?ID=099824" xr:uid="{07406307-2F13-4EF9-9AC4-CF364312D5B9}"/>
    <hyperlink ref="L17" r:id="rId14" display="https://us3.assetplanner.com/service_request?ID=104039" xr:uid="{69FA058C-3BC8-4B41-81E6-F81889075D0F}"/>
    <hyperlink ref="L18" r:id="rId15" display="https://us3.assetplanner.com/service_request?ID=103259" xr:uid="{82AAC2D1-E444-430D-89D4-90FADAB87A59}"/>
    <hyperlink ref="L20" r:id="rId16" display="https://us3.assetplanner.com/service_request?ID=101786" xr:uid="{F4A158AB-B4C2-4AAF-85A6-01F3B9DC4464}"/>
    <hyperlink ref="L23" r:id="rId17" display="https://us3.assetplanner.com/service_request?ID=102672" xr:uid="{55A95FC6-8568-4649-A46A-501A58BF8942}"/>
    <hyperlink ref="L27" r:id="rId18" display="https://us3.assetplanner.com/service_request?ID=093236" xr:uid="{B8D1510B-5A55-47BC-8FCC-51D40463986E}"/>
    <hyperlink ref="L28" r:id="rId19" display="https://us3.assetplanner.com/service_request?ID=102532" xr:uid="{5FDFF88A-FEE0-4A8D-8828-1D3C5A9A739D}"/>
    <hyperlink ref="M28" r:id="rId20" display="https://us3.assetplanner.com/service_request?ID=102533" xr:uid="{0EB713E5-3207-4DE0-BAE6-6205AC9D1A9E}"/>
    <hyperlink ref="L34" r:id="rId21" display="https://us3.assetplanner.com/service_request?ID=088282" xr:uid="{E7A9A78A-7722-4CEB-ABF1-67D79883A921}"/>
    <hyperlink ref="L35" r:id="rId22" display="https://us3.assetplanner.com/service_request?ID=104430" xr:uid="{82644896-2873-4D43-B983-D9FE66317E4F}"/>
    <hyperlink ref="L37" r:id="rId23" display="https://us3.assetplanner.com/service_request?ID=103569" xr:uid="{CA6CFF8F-B9D0-452C-B910-9C7488514758}"/>
    <hyperlink ref="L38" r:id="rId24" display="https://us3.assetplanner.com/service_request?ID=088813" xr:uid="{862EFAB1-8135-438D-B2E7-3C9C130AFE68}"/>
    <hyperlink ref="L39" r:id="rId25" display="https://us3.assetplanner.com/service_request?ID=104342" xr:uid="{0BC16462-281C-4A9A-A80A-A510CEA28CFE}"/>
    <hyperlink ref="L40" r:id="rId26" display="https://us3.assetplanner.com/service_request?ID=093324" xr:uid="{88C0C79E-DA31-453B-9993-30537BCDE398}"/>
    <hyperlink ref="L42" r:id="rId27" display="https://us3.assetplanner.com/service_request?ID=103857" xr:uid="{0B9F7900-E261-4EBA-895E-712278D5EF89}"/>
    <hyperlink ref="L43" r:id="rId28" display="https://us3.assetplanner.com/service_request?ID=093326" xr:uid="{918A0FB2-08B0-487F-ADA0-37CC5424D293}"/>
    <hyperlink ref="L44" r:id="rId29" display="https://us3.assetplanner.com/service_request?ID=093327" xr:uid="{98781FE0-0E92-4A28-98F4-47FC690CCB8D}"/>
    <hyperlink ref="L46" r:id="rId30" display="https://us3.assetplanner.com/service_request?ID=096294" xr:uid="{BC4D5985-3CF2-407D-8CCB-08350930D836}"/>
    <hyperlink ref="L47" r:id="rId31" display="https://us3.assetplanner.com/service_request?ID=095662" xr:uid="{A58E74F7-FF93-4A4B-B694-5AFD09B63D71}"/>
    <hyperlink ref="L48" r:id="rId32" display="https://us3.assetplanner.com/service_request?ID=103568" xr:uid="{EC0DE62B-E231-4C72-AB67-8433762B96CB}"/>
    <hyperlink ref="M48" r:id="rId33" display="https://us3.assetplanner.com/service_request?ID=105209" xr:uid="{FB6C570F-EA67-463A-8DBD-41240380DBFA}"/>
    <hyperlink ref="L52" r:id="rId34" display="https://us3.assetplanner.com/service_request?ID=104744" xr:uid="{7D865D30-D78A-48F8-B5D0-E3CF19054771}"/>
    <hyperlink ref="L56" r:id="rId35" display="https://us3.assetplanner.com/service_request?ID=101910" xr:uid="{5590694F-4201-4789-A3ED-D271E8306E4A}"/>
    <hyperlink ref="M56" r:id="rId36" display="https://us3.assetplanner.com/service_request?ID=101354" xr:uid="{E8C730C3-59DC-4FAC-8DD4-21FFF68C6B2F}"/>
    <hyperlink ref="N56" r:id="rId37" display="https://us3.assetplanner.com/service_request?ID=104543" xr:uid="{B4FB1B8C-42B2-468C-A5B6-B3FFA440DE7C}"/>
    <hyperlink ref="O56" r:id="rId38" display="https://us3.assetplanner.com/service_request?ID=104886" xr:uid="{6E5E2D2B-FE51-4933-88DC-7CDACC428B62}"/>
    <hyperlink ref="L57" r:id="rId39" display="https://us3.assetplanner.com/service_request?ID=104398" xr:uid="{13E1CC56-128A-4385-8BEA-676DA3AB0CDC}"/>
    <hyperlink ref="L58" r:id="rId40" display="https://us3.assetplanner.com/service_request?ID=098641" xr:uid="{D25B8B36-CA3B-4169-8978-5D1BF186B96E}"/>
    <hyperlink ref="M58" r:id="rId41" display="https://us3.assetplanner.com/service_request?ID=103150" xr:uid="{D94B074B-0977-4855-B4E4-2B05E5808199}"/>
    <hyperlink ref="N58" r:id="rId42" display="https://us3.assetplanner.com/service_request?ID=104128" xr:uid="{CF82BF3A-B10C-4F80-BDC2-72A55DCB4BEB}"/>
    <hyperlink ref="L59" r:id="rId43" display="https://us3.assetplanner.com/service_request?ID=102506" xr:uid="{5E6E3A94-3BC2-4A56-A900-537D08EAF6D6}"/>
    <hyperlink ref="M59" r:id="rId44" display="https://us3.assetplanner.com/service_request?ID=103185" xr:uid="{3106A1B2-7C8F-449C-BAA5-37C3174AECC1}"/>
    <hyperlink ref="N59" r:id="rId45" display="https://us3.assetplanner.com/service_request?ID=102919" xr:uid="{50858F26-9552-436E-8A11-4277C508C5AA}"/>
    <hyperlink ref="O59" r:id="rId46" display="https://us3.assetplanner.com/service_request?ID=103185" xr:uid="{259735FE-451C-4A48-9F9F-15360E9A05C5}"/>
    <hyperlink ref="P59" r:id="rId47" display="https://us3.assetplanner.com/service_request?ID=105115" xr:uid="{C105EC98-6B7F-4C64-840A-86E1ABFB0CFD}"/>
    <hyperlink ref="L60" r:id="rId48" display="https://us3.assetplanner.com/service_request?ID=104724" xr:uid="{6A10D5D8-DBF4-429B-A561-4E2879772419}"/>
    <hyperlink ref="M60" r:id="rId49" display="https://us3.assetplanner.com/service_request?ID=105002" xr:uid="{80626F50-8477-42B4-9AA2-4288320F6AD4}"/>
    <hyperlink ref="L61" r:id="rId50" display="https://us3.assetplanner.com/service_request?ID=104001" xr:uid="{3CDEDF42-4573-41AC-A2D3-F3DCE05E4A06}"/>
    <hyperlink ref="L63" r:id="rId51" display="https://us3.assetplanner.com/service_request?ID=099403" xr:uid="{D7ECAF37-7E5B-47F0-BDB5-C473200E0FC3}"/>
    <hyperlink ref="L65" r:id="rId52" display="https://us3.assetplanner.com/service_request?ID=102665" xr:uid="{39090D0B-A8B8-4438-8AD5-98C3F585215B}"/>
    <hyperlink ref="L66" r:id="rId53" display="https://us3.assetplanner.com/service_request?ID=104609" xr:uid="{7F26E107-83FF-463F-B021-6B13DF0AFCE8}"/>
    <hyperlink ref="M66" r:id="rId54" display="https://us3.assetplanner.com/service_request?ID=093024" xr:uid="{59DC1032-C598-4AC4-B61C-48D86394CA9A}"/>
    <hyperlink ref="L68" r:id="rId55" display="https://us3.assetplanner.com/service_request?ID=098866" xr:uid="{9C38E638-0970-4619-9796-099EE215D901}"/>
    <hyperlink ref="L69" r:id="rId56" display="https://us3.assetplanner.com/service_request?ID=098998" xr:uid="{5014D975-F97F-4818-80B2-D5C581C1DC09}"/>
    <hyperlink ref="M69" r:id="rId57" display="https://us3.assetplanner.com/service_request?ID=104684" xr:uid="{4DE8E047-6241-4970-90A7-6C551414E23F}"/>
    <hyperlink ref="L70" r:id="rId58" display="https://us3.assetplanner.com/service_request?ID=103651" xr:uid="{3068A27A-4899-48F9-982B-66687DB18C43}"/>
    <hyperlink ref="M70" r:id="rId59" display="https://us3.assetplanner.com/service_request?ID=104374" xr:uid="{803A92A4-F394-46F8-9986-B849BE9190A4}"/>
    <hyperlink ref="L71" r:id="rId60" display="https://us3.assetplanner.com/service_request?ID=092964" xr:uid="{4B776964-C0FA-4530-B3AD-D15F662D1C90}"/>
    <hyperlink ref="M71" r:id="rId61" display="https://us3.assetplanner.com/service_request?ID=095253" xr:uid="{42FE32F9-B915-4822-BC3F-0B94971FD818}"/>
    <hyperlink ref="N71" r:id="rId62" display="https://us3.assetplanner.com/service_request?ID=098877" xr:uid="{649AB5F7-521A-4807-A693-A3DC5CC48534}"/>
    <hyperlink ref="L73" r:id="rId63" display="https://us3.assetplanner.com/service_request?ID=105211" xr:uid="{A4D33372-C9DF-4D1E-BB14-03FDFAB4A657}"/>
    <hyperlink ref="L74" r:id="rId64" display="https://us3.assetplanner.com/service_request?ID=103260" xr:uid="{75CBBC63-78CD-4904-9E2F-A99D9EA52BB7}"/>
    <hyperlink ref="M74" r:id="rId65" display="https://us3.assetplanner.com/service_request?ID=103257" xr:uid="{41A0D9D8-80ED-4C69-907A-4759A2B0FC96}"/>
    <hyperlink ref="N74" r:id="rId66" display="https://us3.assetplanner.com/service_request?ID=102335" xr:uid="{FA2D307A-2DE1-4BB4-A961-2EBD4F424B09}"/>
    <hyperlink ref="O74" r:id="rId67" display="https://us3.assetplanner.com/service_request?ID=102682" xr:uid="{F8D88EF0-2BC4-452E-91C0-19F388FCF64E}"/>
    <hyperlink ref="P74" r:id="rId68" display="https://us3.assetplanner.com/service_request?ID=104557" xr:uid="{2D58B1B0-6E82-40DA-BD75-996D6F9AFD3E}"/>
    <hyperlink ref="Q74" r:id="rId69" display="https://us3.assetplanner.com/service_request?ID=102682" xr:uid="{E135DA56-2401-4725-B648-35188FC4ED90}"/>
    <hyperlink ref="R74" r:id="rId70" display="https://us3.assetplanner.com/service_request?ID=103181" xr:uid="{B53BE5FF-3CF4-4231-99D7-78B791D74BA8}"/>
    <hyperlink ref="S74" r:id="rId71" display="https://us3.assetplanner.com/service_request?ID=104208" xr:uid="{C907AD54-A54D-4415-A123-3278451DF0CD}"/>
    <hyperlink ref="T74" r:id="rId72" display="https://us3.assetplanner.com/service_request?ID=103257" xr:uid="{FD462A23-9EA8-4E12-819A-7A41C1E464EB}"/>
    <hyperlink ref="U74" r:id="rId73" display="https://us3.assetplanner.com/service_request?ID=103260" xr:uid="{01AD0446-F546-456A-AE2E-4134F1F97BBB}"/>
    <hyperlink ref="V74" r:id="rId74" display="https://us3.assetplanner.com/service_request?ID=104208" xr:uid="{43152D69-E82E-4617-83D5-B40C6E57233B}"/>
    <hyperlink ref="W74" r:id="rId75" display="https://us3.assetplanner.com/service_request?ID=104370" xr:uid="{8590EC46-C200-4F55-84C2-05954D210614}"/>
    <hyperlink ref="X74" r:id="rId76" display="https://us3.assetplanner.com/service_request?ID=104371" xr:uid="{80D807D7-4D0F-4A81-A53F-667ED63EE354}"/>
    <hyperlink ref="Y74" r:id="rId77" display="https://us3.assetplanner.com/service_request?ID=104594" xr:uid="{F9FBF446-264C-47DB-8430-6E527AA61F23}"/>
    <hyperlink ref="Z74" r:id="rId78" display="https://us3.assetplanner.com/service_request?ID=104741" xr:uid="{6C2CFEC3-54F2-4601-AEFE-AAEDE862DC3E}"/>
    <hyperlink ref="AA74" r:id="rId79" display="https://us3.assetplanner.com/service_request?ID=104887" xr:uid="{8257F9E3-087C-41A9-927E-B89F51ECCFB3}"/>
    <hyperlink ref="AB74" r:id="rId80" display="https://us3.assetplanner.com/service_request?ID=104998" xr:uid="{67F4A6B7-85A9-4280-A135-F6FC9D406678}"/>
    <hyperlink ref="AC74" r:id="rId81" display="https://us3.assetplanner.com/service_request?ID=105204" xr:uid="{C0C56CFD-B2AC-43D7-AAD5-A18830745458}"/>
    <hyperlink ref="L76" r:id="rId82" display="https://us3.assetplanner.com/service_request?ID=103671" xr:uid="{A5B087CB-1B83-403E-88FF-A48A80FDB222}"/>
    <hyperlink ref="M76" r:id="rId83" display="https://us3.assetplanner.com/service_request?ID=103452" xr:uid="{2B17357F-8F00-45DF-BBE5-738C097E2D73}"/>
    <hyperlink ref="L77" r:id="rId84" display="https://us3.assetplanner.com/service_request?ID=101820" xr:uid="{C9DF7EEE-BFDF-4D44-BB0F-1EF65753AC74}"/>
    <hyperlink ref="M77" r:id="rId85" display="https://us3.assetplanner.com/service_request?ID=099347" xr:uid="{D351A609-4F5C-47F8-847B-989B2ACE8076}"/>
    <hyperlink ref="N77" r:id="rId86" display="https://us3.assetplanner.com/service_request?ID=103655" xr:uid="{1B0796BA-0FAB-44B3-B71A-AF7814FF29E4}"/>
    <hyperlink ref="L78" r:id="rId87" display="https://us3.assetplanner.com/service_request?ID=103990" xr:uid="{B486E4E3-42CD-4A00-936A-C63C8E241DEC}"/>
    <hyperlink ref="L79" r:id="rId88" display="https://us3.assetplanner.com/service_request?ID=104624" xr:uid="{08AFB51B-F6B2-48BA-B0FD-99F69D296422}"/>
    <hyperlink ref="L80" r:id="rId89" display="https://us3.assetplanner.com/service_request?ID=105048" xr:uid="{6721B1E6-D4AD-48F7-B25B-EFEFBED53C43}"/>
    <hyperlink ref="M80" r:id="rId90" display="https://us3.assetplanner.com/service_request?ID=105120" xr:uid="{0DC5F67C-F267-4322-8B2D-EFCEBC0C4BF4}"/>
    <hyperlink ref="L81" r:id="rId91" display="https://us3.assetplanner.com/service_request?ID=105049" xr:uid="{C83437A5-0215-4497-AFBF-B82D0CEA9189}"/>
    <hyperlink ref="L82" r:id="rId92" display="https://us3.assetplanner.com/service_request?ID=105225" xr:uid="{241A4319-0360-4F93-9F22-C20B5D25D742}"/>
    <hyperlink ref="L83" r:id="rId93" display="https://us3.assetplanner.com/service_request?ID=105226" xr:uid="{794A5B5E-5E44-468D-B5CE-E5D367FBDF3D}"/>
    <hyperlink ref="L84" r:id="rId94" display="https://us3.assetplanner.com/service_request?ID=104664" xr:uid="{5FC11BB2-8F7E-4C2A-924E-312B2877BF99}"/>
    <hyperlink ref="L85" r:id="rId95" display="https://us3.assetplanner.com/service_request?ID=095109" xr:uid="{74D9E105-1C32-403F-9E91-739E641F86A4}"/>
    <hyperlink ref="L86" r:id="rId96" display="https://us3.assetplanner.com/service_request?ID=105216" xr:uid="{76BAB38D-85B7-4D32-8384-4953FEC4612B}"/>
    <hyperlink ref="L87" r:id="rId97" display="https://us3.assetplanner.com/service_request?ID=105218" xr:uid="{E62E8FC2-84B2-448C-B91A-0B788C831142}"/>
    <hyperlink ref="L91" r:id="rId98" display="https://us3.assetplanner.com/service_request?ID=104383" xr:uid="{07B811DD-6CA6-4195-B94E-E8708D38EF1B}"/>
    <hyperlink ref="L92" r:id="rId99" display="https://us3.assetplanner.com/service_request?ID=101282" xr:uid="{48CBA7FE-987D-47F3-A729-C52629D36481}"/>
    <hyperlink ref="M92" r:id="rId100" display="https://us3.assetplanner.com/service_request?ID=105110" xr:uid="{2E595B74-B3C1-462F-8CCB-A9C144B7A6FC}"/>
    <hyperlink ref="N92" r:id="rId101" display="https://us3.assetplanner.com/service_request?ID=105180" xr:uid="{D2E20C5A-132D-41E0-92F4-423926EAA1BE}"/>
    <hyperlink ref="L93" r:id="rId102" display="https://us3.assetplanner.com/service_request?ID=104142" xr:uid="{0DBED4CE-52B2-42C2-B757-5336C5FA1786}"/>
    <hyperlink ref="M93" r:id="rId103" display="https://us3.assetplanner.com/service_request?ID=104657" xr:uid="{B82057B9-CBDE-4BBA-A82C-A692738EAE45}"/>
    <hyperlink ref="L94" r:id="rId104" display="https://us3.assetplanner.com/service_request?ID=104455" xr:uid="{2D438CC4-6E63-4550-8996-9047B2C423ED}"/>
    <hyperlink ref="L95" r:id="rId105" display="https://us3.assetplanner.com/service_request?ID=095073" xr:uid="{0D1490A2-7420-4416-B8DA-567534E8C5EF}"/>
    <hyperlink ref="L97" r:id="rId106" display="https://us3.assetplanner.com/service_request?ID=101152" xr:uid="{5CE22184-E7E3-4141-BAB1-167879C59465}"/>
    <hyperlink ref="L98" r:id="rId107" display="https://us3.assetplanner.com/service_request?ID=103760" xr:uid="{E54C5EE3-F7BF-4FC0-9C9D-7B654C77A974}"/>
    <hyperlink ref="L99" r:id="rId108" display="https://us3.assetplanner.com/service_request?ID=103538" xr:uid="{187AFDA5-2D39-4F71-9844-595394C4BCD6}"/>
    <hyperlink ref="M99" r:id="rId109" display="https://us3.assetplanner.com/service_request?ID=103538" xr:uid="{03FA0671-E4E6-40DE-9993-1D6F1F902726}"/>
    <hyperlink ref="N99" r:id="rId110" display="https://us3.assetplanner.com/service_request?ID=104184" xr:uid="{4E8ADA73-C446-49FE-A28B-C46F76371FA2}"/>
    <hyperlink ref="L100" r:id="rId111" display="https://us3.assetplanner.com/service_request?ID=104018" xr:uid="{081BD493-E141-4D00-B9E3-EB100A27DA30}"/>
    <hyperlink ref="M100" r:id="rId112" display="https://us3.assetplanner.com/service_request?ID=104092" xr:uid="{EF20EE84-D874-40A1-993B-05DE6FBD23EC}"/>
    <hyperlink ref="N100" r:id="rId113" display="https://us3.assetplanner.com/service_request?ID=104283" xr:uid="{BC962707-F659-4AAF-93F2-9BD1446F086E}"/>
    <hyperlink ref="O100" r:id="rId114" display="https://us3.assetplanner.com/service_request?ID=104691" xr:uid="{D3BAC3FD-F150-445D-8F00-F1552BEE86DB}"/>
    <hyperlink ref="P100" r:id="rId115" display="https://us3.assetplanner.com/service_request?ID=104691" xr:uid="{D87121BF-52AC-411F-8E1E-B10AD7D8F3C1}"/>
    <hyperlink ref="L101" r:id="rId116" display="https://us3.assetplanner.com/service_request?ID=102328" xr:uid="{9879D266-B663-4DF9-A9B7-343D5370AF85}"/>
    <hyperlink ref="L103" r:id="rId117" display="https://us3.assetplanner.com/service_request?ID=104727" xr:uid="{8A00FEE9-A162-4D82-BD64-5859F5EBDC22}"/>
    <hyperlink ref="M103" r:id="rId118" display="https://us3.assetplanner.com/service_request?ID=104138" xr:uid="{173B4348-04AC-4A95-A2E7-2749502562D2}"/>
    <hyperlink ref="N103" r:id="rId119" display="https://us3.assetplanner.com/service_request?ID=104422" xr:uid="{1343EBF2-4D90-4654-8D75-87F62838A19C}"/>
    <hyperlink ref="O103" r:id="rId120" display="https://us3.assetplanner.com/service_request?ID=104601" xr:uid="{A99B5CB9-411A-486E-AF52-4E80287A9951}"/>
    <hyperlink ref="P103" r:id="rId121" display="https://us3.assetplanner.com/service_request?ID=104708" xr:uid="{089C5747-9C23-48D6-A245-63900BBA4FB1}"/>
    <hyperlink ref="Q103" r:id="rId122" display="https://us3.assetplanner.com/service_request?ID=105105" xr:uid="{CD1BD98D-54D8-4195-AEEC-291DC848A260}"/>
    <hyperlink ref="R103" r:id="rId123" display="https://us3.assetplanner.com/service_request?ID=105276" xr:uid="{F4E0793A-3248-4DDC-9D32-14A09ADAAE85}"/>
    <hyperlink ref="L105" r:id="rId124" display="https://us3.assetplanner.com/service_request?ID=105107" xr:uid="{FB7A172E-E823-4670-AAA0-5A1295325DD8}"/>
    <hyperlink ref="L106" r:id="rId125" display="https://us3.assetplanner.com/service_request?ID=104075" xr:uid="{D4D649DA-C199-49DF-B92A-7B5E26978432}"/>
    <hyperlink ref="L107" r:id="rId126" display="https://us3.assetplanner.com/service_request?ID=103943" xr:uid="{925FE474-7C03-4821-AC96-F7F6978F86EE}"/>
    <hyperlink ref="M107" r:id="rId127" display="https://us3.assetplanner.com/service_request?ID=105161" xr:uid="{00B31F85-6D1B-401C-81BA-CE4C78F2FA46}"/>
    <hyperlink ref="L108" r:id="rId128" display="https://us3.assetplanner.com/service_request?ID=101947" xr:uid="{434A8651-2626-4AC0-9E76-062649F3492B}"/>
    <hyperlink ref="M108" r:id="rId129" display="https://us3.assetplanner.com/service_request?ID=102015" xr:uid="{24836716-8FDD-42D4-A8C0-94E48B5874EC}"/>
    <hyperlink ref="N108" r:id="rId130" display="https://us3.assetplanner.com/service_request?ID=105108" xr:uid="{C79D9883-FFD6-45B3-B37D-BCF6781D4756}"/>
    <hyperlink ref="L109" r:id="rId131" display="https://us3.assetplanner.com/service_request?ID=103685" xr:uid="{81BA4E7E-4FC5-450C-BDA9-47D3B80B04E0}"/>
    <hyperlink ref="L110" r:id="rId132" display="https://us3.assetplanner.com/service_request?ID=104120" xr:uid="{6DBF278B-B1F3-4D76-8412-CBAB4CBE9969}"/>
    <hyperlink ref="L111" r:id="rId133" display="https://us3.assetplanner.com/service_request?ID=104019" xr:uid="{31D05F46-D14F-415A-A241-F56B9105EC9D}"/>
    <hyperlink ref="M111" r:id="rId134" display="https://us3.assetplanner.com/service_request?ID=104175" xr:uid="{8E4BDFB7-088F-4E2A-A3F4-B9685F407CE2}"/>
    <hyperlink ref="N111" r:id="rId135" display="https://us3.assetplanner.com/service_request?ID=104235" xr:uid="{A028C82D-4674-422C-9B2C-7B9A498AA1DC}"/>
    <hyperlink ref="O111" r:id="rId136" display="https://us3.assetplanner.com/service_request?ID=104341" xr:uid="{B46F82ED-8A3A-4804-A8BC-551528B1E912}"/>
    <hyperlink ref="P111" r:id="rId137" display="https://us3.assetplanner.com/service_request?ID=104445" xr:uid="{00047DAE-5D2C-4551-8A2B-EFEF1DC1DEF1}"/>
    <hyperlink ref="Q111" r:id="rId138" display="https://us3.assetplanner.com/service_request?ID=104920" xr:uid="{3443FFB8-202C-43C6-857B-5F293BB3EF12}"/>
    <hyperlink ref="L112" r:id="rId139" display="https://us3.assetplanner.com/service_request?ID=104335" xr:uid="{145AFEAF-549E-4811-8EA7-5A43724CCF96}"/>
    <hyperlink ref="M112" r:id="rId140" display="https://us3.assetplanner.com/service_request?ID=104540" xr:uid="{1F6B18C8-26CA-4953-AD14-C6617C081D0C}"/>
    <hyperlink ref="L113" r:id="rId141" display="https://us3.assetplanner.com/service_request?ID=098860" xr:uid="{7627202F-3493-4BFF-A12B-F032CDD3D467}"/>
    <hyperlink ref="M113" r:id="rId142" display="https://us3.assetplanner.com/service_request?ID=104541" xr:uid="{D127A392-C60B-4100-8260-28CF6CCC4998}"/>
    <hyperlink ref="L114" r:id="rId143" display="https://us3.assetplanner.com/service_request?ID=103824" xr:uid="{6BCB2A1F-79F9-4282-B3AB-291E6AB822DD}"/>
    <hyperlink ref="L115" r:id="rId144" display="https://us3.assetplanner.com/service_request?ID=103367" xr:uid="{5A215E90-8F22-4AE1-BEC9-13001CF64207}"/>
    <hyperlink ref="M115" r:id="rId145" display="https://us3.assetplanner.com/service_request?ID=104633" xr:uid="{80207851-BC71-49E2-B42E-0FA532C57F15}"/>
    <hyperlink ref="L116" r:id="rId146" display="https://us3.assetplanner.com/service_request?ID=103852" xr:uid="{6FD1463F-902E-46A8-B003-D89C6652F2EA}"/>
    <hyperlink ref="M116" r:id="rId147" display="https://us3.assetplanner.com/service_request?ID=104141" xr:uid="{D7503098-2F0A-4B63-AFAA-F73D699F17A8}"/>
    <hyperlink ref="N116" r:id="rId148" display="https://us3.assetplanner.com/service_request?ID=104367" xr:uid="{D81773DC-844C-4200-84CD-72E0177DC15D}"/>
    <hyperlink ref="O116" r:id="rId149" display="https://us3.assetplanner.com/service_request?ID=104600" xr:uid="{11D8E18F-9A10-485C-AF68-5BEB36464E75}"/>
    <hyperlink ref="P116" r:id="rId150" display="https://us3.assetplanner.com/service_request?ID=104850" xr:uid="{44C6FD7F-B212-45EB-81F4-A0B7E54A9D0F}"/>
    <hyperlink ref="L123" r:id="rId151" display="https://us3.assetplanner.com/service_request?ID=103457" xr:uid="{C9801767-9D7A-4372-93BE-D453B008AA66}"/>
    <hyperlink ref="L125" r:id="rId152" display="https://us3.assetplanner.com/service_request?ID=103482" xr:uid="{B39D30DD-0F20-44BA-B6FC-DF6F44930313}"/>
    <hyperlink ref="L127" r:id="rId153" display="https://us3.assetplanner.com/service_request?ID=105122" xr:uid="{7319C552-03A7-449B-A9A0-964A639B659C}"/>
    <hyperlink ref="L132" r:id="rId154" display="https://us3.assetplanner.com/service_request?ID=103141" xr:uid="{042F61B5-4317-45B4-9C48-7C37152C555C}"/>
    <hyperlink ref="L133" r:id="rId155" display="https://us3.assetplanner.com/service_request?ID=103096" xr:uid="{9AF9AD66-D2D4-4576-860B-66558425BE2D}"/>
    <hyperlink ref="M133" r:id="rId156" display="https://us3.assetplanner.com/service_request?ID=103710" xr:uid="{0F1EAA86-197B-4096-BD5E-05517C3C6A2F}"/>
    <hyperlink ref="N133" r:id="rId157" display="https://us3.assetplanner.com/service_request?ID=103871" xr:uid="{5E778C6F-ECC8-415E-862D-51EA5DADBA5D}"/>
    <hyperlink ref="O133" r:id="rId158" display="https://us3.assetplanner.com/service_request?ID=104959" xr:uid="{D5AD6DED-E58C-4B75-9A2D-C23CEA9EA556}"/>
    <hyperlink ref="L138" r:id="rId159" display="https://us3.assetplanner.com/service_request?ID=103361" xr:uid="{081A4186-375F-4B7E-AB7B-39EA34199EC5}"/>
    <hyperlink ref="L140" r:id="rId160" display="https://us3.assetplanner.com/service_request?ID=103641" xr:uid="{BDB29019-7D87-44B4-AEBC-9A9636A52E22}"/>
    <hyperlink ref="M140" r:id="rId161" display="https://us3.assetplanner.com/service_request?ID=103805" xr:uid="{AAA31CF6-5801-40F0-98EE-DECEF211D960}"/>
    <hyperlink ref="L141" r:id="rId162" display="https://us3.assetplanner.com/service_request?ID=103246" xr:uid="{728167B7-AA73-403E-976B-313089A09508}"/>
    <hyperlink ref="L144" r:id="rId163" display="https://us3.assetplanner.com/service_request?ID=100220" xr:uid="{D2C7F473-4E08-4B00-847A-B406672CBE09}"/>
    <hyperlink ref="M144" r:id="rId164" display="https://us3.assetplanner.com/service_request?ID=104636" xr:uid="{20D6440E-C419-4799-B4BC-078FAC3BC68A}"/>
    <hyperlink ref="L145" r:id="rId165" display="https://us3.assetplanner.com/service_request?ID=104413" xr:uid="{32810C6C-64F7-4452-A903-3933DDC19B91}"/>
    <hyperlink ref="M145" r:id="rId166" display="https://us3.assetplanner.com/service_request?ID=104637" xr:uid="{863C91A1-202C-464D-80BD-B101915B7281}"/>
    <hyperlink ref="L146" r:id="rId167" display="https://us3.assetplanner.com/service_request?ID=104168" xr:uid="{159FED9C-38A0-4A9E-871F-5F8EF3A50EB2}"/>
    <hyperlink ref="M146" r:id="rId168" display="https://us3.assetplanner.com/service_request?ID=104538" xr:uid="{8ED3BF26-03B9-4633-90DE-D00012214914}"/>
    <hyperlink ref="L147" r:id="rId169" display="https://us3.assetplanner.com/service_request?ID=104292" xr:uid="{4D52F9E5-0EAD-4A49-843B-9D6464DCECD4}"/>
    <hyperlink ref="L148" r:id="rId170" display="https://us3.assetplanner.com/service_request?ID=104007" xr:uid="{ACA0AEC8-EC31-479D-8F37-88548DD240E7}"/>
    <hyperlink ref="L150" r:id="rId171" display="https://us3.assetplanner.com/service_request?ID=103880" xr:uid="{75B8D6C4-6787-4A5F-A3BA-C2E3481C7C20}"/>
    <hyperlink ref="M150" r:id="rId172" display="https://us3.assetplanner.com/service_request?ID=104002" xr:uid="{B6AC9CE8-E47B-4F97-8417-3C91E3D0B1DF}"/>
    <hyperlink ref="N150" r:id="rId173" display="https://us3.assetplanner.com/service_request?ID=105114" xr:uid="{B8B244DD-5D96-4D35-8E6D-789FD7DA9F32}"/>
    <hyperlink ref="L151" r:id="rId174" display="https://us3.assetplanner.com/service_request?ID=101228" xr:uid="{21E4BFC1-0E56-41E6-A52A-9142960CED4C}"/>
    <hyperlink ref="L152" r:id="rId175" display="https://us3.assetplanner.com/service_request?ID=098278" xr:uid="{2C3CE5AF-F4D1-4AA1-AA57-19C48E8D557F}"/>
    <hyperlink ref="M152" r:id="rId176" display="https://us3.assetplanner.com/service_request?ID=098670" xr:uid="{ACA557FB-2A06-47E4-92E9-830DC1F2DD72}"/>
    <hyperlink ref="L153" r:id="rId177" display="https://us3.assetplanner.com/service_request?ID=102684" xr:uid="{0998818E-9B0E-4FA5-A7AC-B80F21C5EE80}"/>
    <hyperlink ref="M153" r:id="rId178" display="https://us3.assetplanner.com/service_request?ID=104020" xr:uid="{EED541FF-713F-460F-B2BE-A464A32FEB0B}"/>
    <hyperlink ref="L154" r:id="rId179" display="https://us3.assetplanner.com/service_request?ID=099545" xr:uid="{5991B5D8-0338-4A0B-838C-1BFFF74EE63C}"/>
    <hyperlink ref="M154" r:id="rId180" display="https://us3.assetplanner.com/service_request?ID=105330" xr:uid="{06E4316A-9BE2-4F5F-B33B-2332E4DF78DC}"/>
    <hyperlink ref="L155" r:id="rId181" display="https://us3.assetplanner.com/service_request?ID=103988" xr:uid="{3FB87F95-EB1A-4495-B937-5CC03B26FCC5}"/>
    <hyperlink ref="M155" r:id="rId182" display="https://us3.assetplanner.com/service_request?ID=104286" xr:uid="{81C60A4C-6562-4A5C-AA43-F997BC27773E}"/>
    <hyperlink ref="L157" r:id="rId183" display="https://us3.assetplanner.com/service_request?ID=098693" xr:uid="{F71DB138-F63A-4EC8-8167-0957C224FE2C}"/>
    <hyperlink ref="M157" r:id="rId184" display="https://us3.assetplanner.com/service_request?ID=104015" xr:uid="{8B1C52A0-0BC0-4866-A512-E92EC3F0C247}"/>
    <hyperlink ref="L158" r:id="rId185" display="https://us3.assetplanner.com/service_request?ID=104558" xr:uid="{2D2D33DB-2FAF-4F20-A665-3756FE518680}"/>
    <hyperlink ref="L160" r:id="rId186" display="https://us3.assetplanner.com/service_request?ID=100622" xr:uid="{B808677A-AB6B-4F5D-94FE-243D910DD278}"/>
  </hyperlinks>
  <pageMargins left="0.4" right="0.7" top="0.25" bottom="0.25" header="0.3" footer="0.3"/>
  <pageSetup fitToHeight="99" orientation="landscape" r:id="rId18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Z173"/>
  <sheetViews>
    <sheetView zoomScale="70" zoomScaleNormal="70" workbookViewId="0">
      <pane xSplit="2" ySplit="3" topLeftCell="C50" activePane="bottomRight" state="frozen"/>
      <selection pane="bottomRight" activeCell="A80" sqref="A80"/>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8" style="30" customWidth="1"/>
    <col min="4" max="4" width="11.7109375" customWidth="1"/>
    <col min="5" max="6" width="13.28515625" customWidth="1"/>
    <col min="7" max="7" width="13.28515625" style="163" customWidth="1"/>
    <col min="8" max="9" width="13.28515625" customWidth="1"/>
    <col min="10" max="10" width="13.28515625" style="1" customWidth="1"/>
    <col min="11" max="11" width="71.5703125" customWidth="1"/>
    <col min="12" max="12" width="20.5703125" bestFit="1" customWidth="1"/>
  </cols>
  <sheetData>
    <row r="1" spans="1:23" ht="19.5" customHeight="1">
      <c r="A1" s="187" t="str" cm="1">
        <f t="array" ref="A1">portfolio</f>
        <v>Generate Capital</v>
      </c>
      <c r="B1" s="187"/>
      <c r="C1" s="187"/>
      <c r="D1" s="187"/>
      <c r="E1" s="188" t="s">
        <v>1655</v>
      </c>
      <c r="F1" s="188"/>
      <c r="G1" s="188"/>
      <c r="H1" s="186" t="s">
        <v>1656</v>
      </c>
      <c r="I1" s="186"/>
      <c r="J1" s="186"/>
      <c r="K1" s="4" t="s">
        <v>1657</v>
      </c>
      <c r="L1" s="4"/>
    </row>
    <row r="2" spans="1:23" ht="19.5" customHeight="1">
      <c r="A2" s="189" t="s">
        <v>2</v>
      </c>
      <c r="B2" s="189"/>
      <c r="C2" s="57"/>
      <c r="D2" s="5">
        <f>SUM(D4:D173)</f>
        <v>54974715.603268996</v>
      </c>
      <c r="E2" s="5">
        <f>SUM(E4:E100)</f>
        <v>27424163.825999998</v>
      </c>
      <c r="F2" s="5">
        <f>D2-E2</f>
        <v>27550551.777268998</v>
      </c>
      <c r="G2" s="160">
        <f>IFERROR(F2/E2, 0)</f>
        <v>1.0046086346358964</v>
      </c>
      <c r="H2" s="5">
        <f>SUM(H4:H173)</f>
        <v>49799707.164999992</v>
      </c>
      <c r="I2" s="7">
        <f>D2-H2</f>
        <v>5175008.4382690042</v>
      </c>
      <c r="J2" s="6">
        <f>IFERROR(I2/H2, 0)</f>
        <v>0.10391644314539425</v>
      </c>
      <c r="K2" s="22" t="str">
        <f ca="1">IF(AND(TODAY()&gt;DATE(2024, 8,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23" ht="14.25" customHeight="1">
      <c r="A3" s="8" t="s">
        <v>3</v>
      </c>
      <c r="B3" s="8" t="s">
        <v>4</v>
      </c>
      <c r="C3" s="8" t="s">
        <v>5</v>
      </c>
      <c r="D3" s="19" t="s">
        <v>6</v>
      </c>
      <c r="E3" s="31" t="s">
        <v>7</v>
      </c>
      <c r="F3" s="31" t="s">
        <v>8</v>
      </c>
      <c r="G3" s="161" t="s">
        <v>9</v>
      </c>
      <c r="H3" s="33" t="s">
        <v>10</v>
      </c>
      <c r="I3" s="34" t="s">
        <v>8</v>
      </c>
      <c r="J3" s="35" t="s">
        <v>9</v>
      </c>
      <c r="K3" s="21" t="s">
        <v>21</v>
      </c>
      <c r="L3" s="21" t="s">
        <v>22</v>
      </c>
    </row>
    <row r="4" spans="1:23" ht="15.6">
      <c r="A4" s="28" t="str" cm="1">
        <f t="array" ref="A4:A172">Sites[Site]</f>
        <v>K026</v>
      </c>
      <c r="B4" s="25" t="str" cm="1">
        <f t="array" ref="B4:B172">Sites[State]</f>
        <v>NY</v>
      </c>
      <c r="C4" s="25" t="str">
        <f>Sites[[#This Row],[SOL'#]]</f>
        <v>SOL-10356</v>
      </c>
      <c r="D4" s="144">
        <v>25387.875</v>
      </c>
      <c r="E4" s="143">
        <v>41100.46</v>
      </c>
      <c r="F4" s="10">
        <f>IF(AND(ISNUMBER(D4),ISNUMBER(E4)), D4-E4, "")</f>
        <v>-15712.584999999999</v>
      </c>
      <c r="G4" s="11">
        <f>IFERROR(F4/E4, "")</f>
        <v>-0.38229705944896963</v>
      </c>
      <c r="H4" s="148">
        <v>38297.31</v>
      </c>
      <c r="I4" s="134">
        <f>IF(AND(ISNUMBER(D4),ISNUMBER(H4)), D4-H4, "")</f>
        <v>-12909.434999999998</v>
      </c>
      <c r="J4" s="13">
        <f>IFERROR(I4/H4, "")</f>
        <v>-0.33708464119281478</v>
      </c>
      <c r="K4" s="53" t="s">
        <v>1658</v>
      </c>
      <c r="L4" s="99" t="s">
        <v>1659</v>
      </c>
      <c r="M4" s="104"/>
      <c r="N4" s="104"/>
      <c r="O4" s="104"/>
      <c r="P4" s="104"/>
      <c r="Q4" s="104"/>
      <c r="R4" s="104"/>
      <c r="S4" s="104"/>
      <c r="T4" s="104"/>
      <c r="U4" s="104"/>
      <c r="V4" s="104"/>
      <c r="W4" s="104"/>
    </row>
    <row r="5" spans="1:23" ht="15.6">
      <c r="A5" s="26" t="str">
        <v>K041</v>
      </c>
      <c r="B5" s="27" t="str">
        <v>NY</v>
      </c>
      <c r="C5" s="142" t="str">
        <f>Sites[[#This Row],[SOL'#]]</f>
        <v>SOL-10357</v>
      </c>
      <c r="D5" s="145">
        <v>29664.65625</v>
      </c>
      <c r="E5" s="14">
        <v>33369.58</v>
      </c>
      <c r="F5" s="14">
        <f t="shared" ref="F5:F68" si="0">IF(AND(ISNUMBER(D5),ISNUMBER(E5)), D5-E5, "")</f>
        <v>-3704.9237500000017</v>
      </c>
      <c r="G5" s="15">
        <f>IFERROR(F5/E5, "")</f>
        <v>-0.11102698176003419</v>
      </c>
      <c r="H5" s="127">
        <v>28973</v>
      </c>
      <c r="I5" s="135">
        <f t="shared" ref="I5:I17" si="1">IF(AND(ISNUMBER(D5),ISNUMBER(H5)), D5-H5, "")</f>
        <v>691.65625</v>
      </c>
      <c r="J5" s="15">
        <f t="shared" ref="J5:J17" si="2">IFERROR(I5/H5, "")</f>
        <v>2.3872441583543298E-2</v>
      </c>
      <c r="K5" s="51"/>
      <c r="L5" s="51"/>
      <c r="M5" s="104"/>
      <c r="N5" s="104"/>
      <c r="O5" s="104"/>
      <c r="P5" s="104"/>
      <c r="Q5" s="104"/>
      <c r="R5" s="104"/>
      <c r="S5" s="104"/>
      <c r="T5" s="104"/>
      <c r="U5" s="104"/>
      <c r="V5" s="104"/>
      <c r="W5" s="104"/>
    </row>
    <row r="6" spans="1:23" ht="43.15">
      <c r="A6" s="24" t="str">
        <v>K043</v>
      </c>
      <c r="B6" s="25" t="str">
        <v>NY</v>
      </c>
      <c r="C6" s="25" t="str">
        <f>Sites[[#This Row],[SOL'#]]</f>
        <v>SOL-10358</v>
      </c>
      <c r="D6" s="144">
        <v>37015</v>
      </c>
      <c r="E6" s="143">
        <v>36588.199999999997</v>
      </c>
      <c r="F6" s="10">
        <f t="shared" si="0"/>
        <v>426.80000000000291</v>
      </c>
      <c r="G6" s="11">
        <f t="shared" ref="G6:G69" si="3">IFERROR(F6/E6, "")</f>
        <v>1.166496302086473E-2</v>
      </c>
      <c r="H6" s="148">
        <v>6290.8549999999996</v>
      </c>
      <c r="I6" s="134">
        <f t="shared" si="1"/>
        <v>30724.145</v>
      </c>
      <c r="J6" s="13">
        <f t="shared" si="2"/>
        <v>4.8839378748993587</v>
      </c>
      <c r="K6" s="53" t="s">
        <v>1660</v>
      </c>
      <c r="L6" s="99" t="s">
        <v>1661</v>
      </c>
      <c r="M6" s="104"/>
      <c r="N6" s="104"/>
      <c r="O6" s="104"/>
      <c r="P6" s="104"/>
      <c r="Q6" s="104"/>
      <c r="R6" s="104"/>
      <c r="S6" s="104"/>
      <c r="T6" s="104"/>
      <c r="U6" s="104"/>
      <c r="V6" s="104"/>
      <c r="W6" s="104"/>
    </row>
    <row r="7" spans="1:23" ht="26.45">
      <c r="A7" s="26" t="str">
        <v>K058</v>
      </c>
      <c r="B7" s="27" t="str">
        <v>NY</v>
      </c>
      <c r="C7" s="142" t="str">
        <f>Sites[[#This Row],[SOL'#]]</f>
        <v>SOL-10360</v>
      </c>
      <c r="D7" s="145">
        <v>25689.9374818789</v>
      </c>
      <c r="E7" s="14">
        <v>26459.759999999998</v>
      </c>
      <c r="F7" s="14">
        <f t="shared" si="0"/>
        <v>-769.82251812109826</v>
      </c>
      <c r="G7" s="15">
        <f t="shared" si="3"/>
        <v>-2.9094085438458182E-2</v>
      </c>
      <c r="H7" s="127">
        <v>28466.52</v>
      </c>
      <c r="I7" s="135">
        <f t="shared" si="1"/>
        <v>-2776.5825181211003</v>
      </c>
      <c r="J7" s="15">
        <f t="shared" si="2"/>
        <v>-9.753853010909308E-2</v>
      </c>
      <c r="K7" s="51" t="s">
        <v>1662</v>
      </c>
      <c r="L7" s="100" t="s">
        <v>1425</v>
      </c>
      <c r="M7" s="103" t="s">
        <v>1426</v>
      </c>
      <c r="N7" s="104"/>
      <c r="O7" s="104"/>
      <c r="P7" s="104"/>
      <c r="Q7" s="104"/>
      <c r="R7" s="104"/>
      <c r="S7" s="104"/>
      <c r="T7" s="104"/>
      <c r="U7" s="104"/>
      <c r="V7" s="104"/>
      <c r="W7" s="104"/>
    </row>
    <row r="8" spans="1:23" ht="28.9">
      <c r="A8" s="24" t="str">
        <v>K115</v>
      </c>
      <c r="B8" s="25" t="str">
        <v>NY</v>
      </c>
      <c r="C8" s="25" t="str">
        <f>Sites[[#This Row],[SOL'#]]</f>
        <v>SOL-10361</v>
      </c>
      <c r="D8" s="144">
        <v>5371.65625</v>
      </c>
      <c r="E8" s="143">
        <v>15184.17</v>
      </c>
      <c r="F8" s="10">
        <f t="shared" si="0"/>
        <v>-9812.5137500000001</v>
      </c>
      <c r="G8" s="11">
        <f t="shared" si="3"/>
        <v>-0.64623313292725248</v>
      </c>
      <c r="H8" s="148">
        <v>16381.54</v>
      </c>
      <c r="I8" s="134">
        <f t="shared" si="1"/>
        <v>-11009.883750000001</v>
      </c>
      <c r="J8" s="13">
        <f t="shared" si="2"/>
        <v>-0.67209088705945841</v>
      </c>
      <c r="K8" s="53" t="s">
        <v>1663</v>
      </c>
      <c r="L8" s="99" t="s">
        <v>25</v>
      </c>
      <c r="M8" s="104"/>
      <c r="N8" s="104"/>
      <c r="O8" s="104"/>
      <c r="P8" s="104"/>
      <c r="Q8" s="104"/>
      <c r="R8" s="104"/>
      <c r="S8" s="104"/>
      <c r="T8" s="104"/>
      <c r="U8" s="104"/>
      <c r="V8" s="104"/>
      <c r="W8" s="104"/>
    </row>
    <row r="9" spans="1:23" ht="15.6">
      <c r="A9" s="26" t="str">
        <v>K152</v>
      </c>
      <c r="B9" s="27" t="str">
        <v>NY</v>
      </c>
      <c r="C9" s="142" t="str">
        <f>Sites[[#This Row],[SOL'#]]</f>
        <v>SOL-10362</v>
      </c>
      <c r="D9" s="145">
        <v>10972.875</v>
      </c>
      <c r="E9" s="14">
        <v>11315.42</v>
      </c>
      <c r="F9" s="14">
        <f t="shared" si="0"/>
        <v>-342.54500000000007</v>
      </c>
      <c r="G9" s="15">
        <f t="shared" si="3"/>
        <v>-3.0272407033941299E-2</v>
      </c>
      <c r="H9" s="127">
        <v>11000</v>
      </c>
      <c r="I9" s="135">
        <f t="shared" si="1"/>
        <v>-27.125</v>
      </c>
      <c r="J9" s="15">
        <f t="shared" si="2"/>
        <v>-2.4659090909090911E-3</v>
      </c>
      <c r="K9" s="51"/>
      <c r="L9" s="51"/>
      <c r="M9" s="104"/>
      <c r="N9" s="104"/>
      <c r="O9" s="104"/>
      <c r="P9" s="104"/>
      <c r="Q9" s="104"/>
      <c r="R9" s="104"/>
      <c r="S9" s="104"/>
      <c r="T9" s="104"/>
      <c r="U9" s="104"/>
      <c r="V9" s="104"/>
      <c r="W9" s="104"/>
    </row>
    <row r="10" spans="1:23" ht="15.6">
      <c r="A10" s="24" t="str">
        <v>K166</v>
      </c>
      <c r="B10" s="25" t="str">
        <v>NY</v>
      </c>
      <c r="C10" s="25" t="str">
        <f>Sites[[#This Row],[SOL'#]]</f>
        <v>SOL-10363</v>
      </c>
      <c r="D10" s="144">
        <v>39443.125</v>
      </c>
      <c r="E10" s="143">
        <v>42852.99</v>
      </c>
      <c r="F10" s="10">
        <f t="shared" si="0"/>
        <v>-3409.864999999998</v>
      </c>
      <c r="G10" s="11">
        <f t="shared" si="3"/>
        <v>-7.9571227118574409E-2</v>
      </c>
      <c r="H10" s="148">
        <v>40444.54</v>
      </c>
      <c r="I10" s="134">
        <f t="shared" si="1"/>
        <v>-1001.4150000000009</v>
      </c>
      <c r="J10" s="13">
        <f t="shared" si="2"/>
        <v>-2.4760202489631501E-2</v>
      </c>
      <c r="K10" s="53"/>
      <c r="L10" s="53"/>
      <c r="M10" s="104"/>
      <c r="N10" s="104"/>
      <c r="O10" s="104"/>
      <c r="P10" s="104"/>
      <c r="Q10" s="104"/>
      <c r="R10" s="104"/>
      <c r="S10" s="104"/>
      <c r="T10" s="104"/>
      <c r="U10" s="104"/>
      <c r="V10" s="104"/>
      <c r="W10" s="104"/>
    </row>
    <row r="11" spans="1:23" ht="15.6">
      <c r="A11" s="26" t="str">
        <v>K206</v>
      </c>
      <c r="B11" s="27" t="str">
        <v>NY</v>
      </c>
      <c r="C11" s="142" t="str">
        <f>Sites[[#This Row],[SOL'#]]</f>
        <v>SOL-10927</v>
      </c>
      <c r="D11" s="145">
        <v>23900.015625</v>
      </c>
      <c r="E11" s="14">
        <v>22143.95</v>
      </c>
      <c r="F11" s="14">
        <f t="shared" si="0"/>
        <v>1756.0656249999993</v>
      </c>
      <c r="G11" s="15">
        <f t="shared" si="3"/>
        <v>7.9302275565109173E-2</v>
      </c>
      <c r="H11" s="127">
        <v>21657</v>
      </c>
      <c r="I11" s="135">
        <f t="shared" si="1"/>
        <v>2243.015625</v>
      </c>
      <c r="J11" s="15">
        <f t="shared" si="2"/>
        <v>0.10357000623355035</v>
      </c>
      <c r="K11" s="51"/>
      <c r="L11" s="51"/>
      <c r="M11" s="104"/>
      <c r="N11" s="104"/>
      <c r="O11" s="104"/>
      <c r="P11" s="104"/>
      <c r="Q11" s="104"/>
      <c r="R11" s="104"/>
      <c r="S11" s="104"/>
      <c r="T11" s="104"/>
      <c r="U11" s="104"/>
      <c r="V11" s="104"/>
      <c r="W11" s="104"/>
    </row>
    <row r="12" spans="1:23" ht="43.15">
      <c r="A12" s="24" t="str">
        <v>K251</v>
      </c>
      <c r="B12" s="25" t="str">
        <v>NY</v>
      </c>
      <c r="C12" s="25" t="str">
        <f>Sites[[#This Row],[SOL'#]]</f>
        <v>SOL-10365</v>
      </c>
      <c r="D12" s="144">
        <v>25397.062499999902</v>
      </c>
      <c r="E12" s="143" t="s">
        <v>661</v>
      </c>
      <c r="F12" s="10" t="str">
        <f t="shared" si="0"/>
        <v/>
      </c>
      <c r="G12" s="11" t="str">
        <f t="shared" si="3"/>
        <v/>
      </c>
      <c r="H12" s="148">
        <v>25716.15</v>
      </c>
      <c r="I12" s="134">
        <f t="shared" si="1"/>
        <v>-319.08750000009968</v>
      </c>
      <c r="J12" s="13">
        <f t="shared" si="2"/>
        <v>-1.2408058749077902E-2</v>
      </c>
      <c r="K12" s="53" t="s">
        <v>1664</v>
      </c>
      <c r="L12" s="99" t="s">
        <v>1665</v>
      </c>
      <c r="M12" s="103" t="s">
        <v>1177</v>
      </c>
      <c r="N12" s="104"/>
      <c r="O12" s="104"/>
      <c r="P12" s="104"/>
      <c r="Q12" s="104"/>
      <c r="R12" s="104"/>
      <c r="S12" s="104"/>
      <c r="T12" s="104"/>
      <c r="U12" s="104"/>
      <c r="V12" s="104"/>
      <c r="W12" s="104"/>
    </row>
    <row r="13" spans="1:23" ht="28.9">
      <c r="A13" s="26" t="str">
        <v>K269</v>
      </c>
      <c r="B13" s="27" t="str">
        <v>NY</v>
      </c>
      <c r="C13" s="142" t="str">
        <f>Sites[[#This Row],[SOL'#]]</f>
        <v>SOL-10366</v>
      </c>
      <c r="D13" s="145">
        <v>23964.625</v>
      </c>
      <c r="E13" s="14">
        <v>27883.37</v>
      </c>
      <c r="F13" s="14">
        <f t="shared" si="0"/>
        <v>-3918.744999999999</v>
      </c>
      <c r="G13" s="15">
        <f t="shared" si="3"/>
        <v>-0.14054058028136482</v>
      </c>
      <c r="H13" s="127">
        <v>23034.2</v>
      </c>
      <c r="I13" s="135">
        <f t="shared" si="1"/>
        <v>930.42499999999927</v>
      </c>
      <c r="J13" s="15">
        <f t="shared" si="2"/>
        <v>4.0393197940453728E-2</v>
      </c>
      <c r="K13" s="51" t="s">
        <v>1179</v>
      </c>
      <c r="M13" s="104"/>
      <c r="N13" s="104"/>
      <c r="O13" s="104"/>
      <c r="P13" s="104"/>
      <c r="Q13" s="104"/>
      <c r="R13" s="104"/>
      <c r="S13" s="104"/>
      <c r="T13" s="104"/>
      <c r="U13" s="104"/>
      <c r="V13" s="104"/>
      <c r="W13" s="104"/>
    </row>
    <row r="14" spans="1:23" ht="72">
      <c r="A14" s="24" t="str">
        <v>K273</v>
      </c>
      <c r="B14" s="25" t="str">
        <v>NY</v>
      </c>
      <c r="C14" s="25" t="str">
        <f>Sites[[#This Row],[SOL'#]]</f>
        <v>SOL-10367</v>
      </c>
      <c r="D14" s="144">
        <v>15821.375</v>
      </c>
      <c r="E14" s="143" t="s">
        <v>661</v>
      </c>
      <c r="F14" s="10" t="str">
        <f t="shared" si="0"/>
        <v/>
      </c>
      <c r="G14" s="11" t="str">
        <f t="shared" si="3"/>
        <v/>
      </c>
      <c r="H14" s="148">
        <v>31080</v>
      </c>
      <c r="I14" s="134">
        <f t="shared" si="1"/>
        <v>-15258.625</v>
      </c>
      <c r="J14" s="13">
        <f t="shared" si="2"/>
        <v>-0.49094675032175034</v>
      </c>
      <c r="K14" s="53" t="s">
        <v>1666</v>
      </c>
      <c r="L14" s="99" t="s">
        <v>1667</v>
      </c>
      <c r="M14" s="103" t="s">
        <v>911</v>
      </c>
      <c r="N14" s="103" t="s">
        <v>1434</v>
      </c>
      <c r="O14" s="103" t="s">
        <v>1668</v>
      </c>
      <c r="P14" s="104"/>
      <c r="Q14" s="104"/>
      <c r="R14" s="104"/>
      <c r="S14" s="104"/>
      <c r="T14" s="104"/>
      <c r="U14" s="104"/>
      <c r="V14" s="104"/>
      <c r="W14" s="104"/>
    </row>
    <row r="15" spans="1:23" ht="28.9">
      <c r="A15" s="26" t="str">
        <v>K287</v>
      </c>
      <c r="B15" s="27" t="str">
        <v>NY</v>
      </c>
      <c r="C15" s="142" t="str">
        <f>Sites[[#This Row],[SOL'#]]</f>
        <v>SOL-10919</v>
      </c>
      <c r="D15" s="145">
        <v>20571.75</v>
      </c>
      <c r="E15" s="14">
        <v>17766.419999999998</v>
      </c>
      <c r="F15" s="14">
        <f t="shared" si="0"/>
        <v>2805.3300000000017</v>
      </c>
      <c r="G15" s="15">
        <f t="shared" si="3"/>
        <v>0.15790069130415707</v>
      </c>
      <c r="H15" s="127">
        <v>19892</v>
      </c>
      <c r="I15" s="135">
        <f t="shared" si="1"/>
        <v>679.75</v>
      </c>
      <c r="J15" s="15">
        <f t="shared" si="2"/>
        <v>3.417202895636437E-2</v>
      </c>
      <c r="K15" s="51" t="s">
        <v>1669</v>
      </c>
      <c r="L15" s="51"/>
      <c r="M15" s="104"/>
      <c r="N15" s="104"/>
      <c r="O15" s="104"/>
      <c r="P15" s="104"/>
      <c r="Q15" s="104"/>
      <c r="R15" s="104"/>
      <c r="S15" s="104"/>
      <c r="T15" s="104"/>
      <c r="U15" s="104"/>
      <c r="V15" s="104"/>
      <c r="W15" s="104"/>
    </row>
    <row r="16" spans="1:23" ht="15.6">
      <c r="A16" s="24" t="str">
        <v>K298</v>
      </c>
      <c r="B16" s="25" t="str">
        <v>NY</v>
      </c>
      <c r="C16" s="25" t="str">
        <f>Sites[[#This Row],[SOL'#]]</f>
        <v>SOL-10368</v>
      </c>
      <c r="D16" s="144">
        <v>22554.125</v>
      </c>
      <c r="E16" s="143">
        <v>23679.06</v>
      </c>
      <c r="F16" s="10">
        <f t="shared" si="0"/>
        <v>-1124.9350000000013</v>
      </c>
      <c r="G16" s="11">
        <f t="shared" si="3"/>
        <v>-4.7507586872114066E-2</v>
      </c>
      <c r="H16" s="148">
        <v>22900</v>
      </c>
      <c r="I16" s="134">
        <f t="shared" si="1"/>
        <v>-345.875</v>
      </c>
      <c r="J16" s="13">
        <f t="shared" si="2"/>
        <v>-1.5103711790393014E-2</v>
      </c>
      <c r="K16" s="53"/>
      <c r="L16" s="53"/>
      <c r="M16" s="104"/>
      <c r="N16" s="104"/>
      <c r="O16" s="104"/>
      <c r="P16" s="104"/>
      <c r="Q16" s="104"/>
      <c r="R16" s="104"/>
      <c r="S16" s="104"/>
      <c r="T16" s="104"/>
      <c r="U16" s="104"/>
      <c r="V16" s="104"/>
      <c r="W16" s="104"/>
    </row>
    <row r="17" spans="1:23" ht="28.9">
      <c r="A17" s="26" t="str">
        <v>K335</v>
      </c>
      <c r="B17" s="27" t="str">
        <v>NY</v>
      </c>
      <c r="C17" s="142" t="str">
        <f>Sites[[#This Row],[SOL'#]]</f>
        <v>SOL-10370</v>
      </c>
      <c r="D17" s="145">
        <v>23670.5625</v>
      </c>
      <c r="E17" s="14">
        <v>26153.439999999999</v>
      </c>
      <c r="F17" s="14">
        <f t="shared" si="0"/>
        <v>-2482.8774999999987</v>
      </c>
      <c r="G17" s="15">
        <f t="shared" si="3"/>
        <v>-9.4935025755694041E-2</v>
      </c>
      <c r="H17" s="127">
        <v>25730</v>
      </c>
      <c r="I17" s="135">
        <f t="shared" si="1"/>
        <v>-2059.4375</v>
      </c>
      <c r="J17" s="15">
        <f t="shared" si="2"/>
        <v>-8.0040322580645168E-2</v>
      </c>
      <c r="K17" s="51" t="s">
        <v>1670</v>
      </c>
      <c r="L17" s="51"/>
      <c r="M17" s="104"/>
      <c r="N17" s="104"/>
      <c r="O17" s="104"/>
      <c r="P17" s="104"/>
      <c r="Q17" s="104"/>
      <c r="R17" s="104"/>
      <c r="S17" s="104"/>
      <c r="T17" s="104"/>
      <c r="U17" s="104"/>
      <c r="V17" s="104"/>
      <c r="W17" s="104"/>
    </row>
    <row r="18" spans="1:23" ht="70.349999999999994" customHeight="1">
      <c r="A18" s="24" t="str">
        <v>K345</v>
      </c>
      <c r="B18" s="25" t="str">
        <v>NY</v>
      </c>
      <c r="C18" s="25" t="str">
        <f>Sites[[#This Row],[SOL'#]]</f>
        <v>SOL-10920</v>
      </c>
      <c r="D18" s="144">
        <v>27708.40625</v>
      </c>
      <c r="E18" s="143">
        <v>16063.37</v>
      </c>
      <c r="F18" s="10">
        <f t="shared" si="0"/>
        <v>11645.036249999999</v>
      </c>
      <c r="G18" s="11">
        <f t="shared" si="3"/>
        <v>0.7249435361322063</v>
      </c>
      <c r="H18" s="148">
        <v>26340</v>
      </c>
      <c r="I18" s="134">
        <f t="shared" ref="I18:I81" si="4">IF(AND(ISNUMBER(D18),ISNUMBER(H18)), D18-H18, "")</f>
        <v>1368.40625</v>
      </c>
      <c r="J18" s="13">
        <f t="shared" ref="J18:J81" si="5">IFERROR(I18/H18, "")</f>
        <v>5.195164198936978E-2</v>
      </c>
      <c r="K18" s="53" t="s">
        <v>1671</v>
      </c>
      <c r="L18" s="99" t="s">
        <v>1438</v>
      </c>
      <c r="M18" s="104"/>
      <c r="N18" s="104"/>
      <c r="O18" s="104"/>
      <c r="P18" s="104"/>
      <c r="Q18" s="104"/>
      <c r="R18" s="104"/>
      <c r="S18" s="104"/>
      <c r="T18" s="104"/>
      <c r="U18" s="104"/>
      <c r="V18" s="104"/>
      <c r="W18" s="104"/>
    </row>
    <row r="19" spans="1:23" ht="15.6">
      <c r="A19" s="26" t="str">
        <v>K445</v>
      </c>
      <c r="B19" s="27" t="str">
        <v>NY</v>
      </c>
      <c r="C19" s="142" t="str">
        <f>Sites[[#This Row],[SOL'#]]</f>
        <v>SOL-10373</v>
      </c>
      <c r="D19" s="145">
        <v>22595.343749999902</v>
      </c>
      <c r="E19" s="14">
        <v>24700.37</v>
      </c>
      <c r="F19" s="14">
        <f t="shared" si="0"/>
        <v>-2105.0262500000972</v>
      </c>
      <c r="G19" s="15">
        <f t="shared" si="3"/>
        <v>-8.5222458206095586E-2</v>
      </c>
      <c r="H19" s="127">
        <v>21831.14</v>
      </c>
      <c r="I19" s="135">
        <f t="shared" si="4"/>
        <v>764.20374999990236</v>
      </c>
      <c r="J19" s="15">
        <f t="shared" si="5"/>
        <v>3.5005215027703658E-2</v>
      </c>
      <c r="K19" s="51"/>
      <c r="L19" s="51"/>
      <c r="M19" s="104"/>
      <c r="N19" s="104"/>
      <c r="O19" s="104"/>
      <c r="P19" s="104"/>
      <c r="Q19" s="104"/>
      <c r="R19" s="104"/>
      <c r="S19" s="104"/>
      <c r="T19" s="104"/>
      <c r="U19" s="104"/>
      <c r="V19" s="104"/>
      <c r="W19" s="104"/>
    </row>
    <row r="20" spans="1:23" ht="72">
      <c r="A20" s="24" t="str">
        <v>K495</v>
      </c>
      <c r="B20" s="25" t="str">
        <v>NY</v>
      </c>
      <c r="C20" s="25" t="str">
        <f>Sites[[#This Row],[SOL'#]]</f>
        <v>SOL-10374</v>
      </c>
      <c r="D20" s="144">
        <v>92612.7795226132</v>
      </c>
      <c r="E20" s="143">
        <v>95773.440000000002</v>
      </c>
      <c r="F20" s="10">
        <f t="shared" si="0"/>
        <v>-3160.6604773868021</v>
      </c>
      <c r="G20" s="11">
        <f t="shared" si="3"/>
        <v>-3.3001430014279555E-2</v>
      </c>
      <c r="H20" s="148">
        <v>96093.38</v>
      </c>
      <c r="I20" s="134">
        <f t="shared" si="4"/>
        <v>-3480.6004773868044</v>
      </c>
      <c r="J20" s="13">
        <f t="shared" si="5"/>
        <v>-3.6221022482368755E-2</v>
      </c>
      <c r="K20" s="53" t="s">
        <v>915</v>
      </c>
      <c r="L20" s="99" t="s">
        <v>1672</v>
      </c>
      <c r="M20" s="103" t="s">
        <v>1673</v>
      </c>
      <c r="N20" s="104"/>
      <c r="O20" s="104"/>
      <c r="P20" s="104"/>
      <c r="Q20" s="104"/>
      <c r="R20" s="104"/>
      <c r="S20" s="104"/>
      <c r="T20" s="104"/>
      <c r="U20" s="104"/>
      <c r="V20" s="104"/>
      <c r="W20" s="104"/>
    </row>
    <row r="21" spans="1:23" ht="15.6">
      <c r="A21" s="26" t="str">
        <v>M020</v>
      </c>
      <c r="B21" s="27" t="str">
        <v>NY</v>
      </c>
      <c r="C21" s="142" t="str">
        <f>Sites[[#This Row],[SOL'#]]</f>
        <v>SOL-10380</v>
      </c>
      <c r="D21" s="145">
        <v>24930.84375</v>
      </c>
      <c r="E21" s="14">
        <v>25352.02</v>
      </c>
      <c r="F21" s="14">
        <f t="shared" si="0"/>
        <v>-421.17625000000044</v>
      </c>
      <c r="G21" s="15">
        <f t="shared" si="3"/>
        <v>-1.6613123924641919E-2</v>
      </c>
      <c r="H21" s="127">
        <v>25211</v>
      </c>
      <c r="I21" s="135">
        <f t="shared" si="4"/>
        <v>-280.15625</v>
      </c>
      <c r="J21" s="15">
        <f t="shared" si="5"/>
        <v>-1.1112460830589822E-2</v>
      </c>
      <c r="K21" s="51"/>
      <c r="L21" s="51"/>
      <c r="M21" s="104"/>
      <c r="N21" s="104"/>
      <c r="O21" s="104"/>
      <c r="P21" s="104"/>
      <c r="Q21" s="104"/>
      <c r="R21" s="104"/>
      <c r="S21" s="104"/>
      <c r="T21" s="104"/>
      <c r="U21" s="104"/>
      <c r="V21" s="104"/>
      <c r="W21" s="104"/>
    </row>
    <row r="22" spans="1:23" ht="15.6">
      <c r="A22" s="24" t="str">
        <v>M092</v>
      </c>
      <c r="B22" s="25" t="str">
        <v>NY</v>
      </c>
      <c r="C22" s="25" t="str">
        <f>Sites[[#This Row],[SOL'#]]</f>
        <v>SOL-10383</v>
      </c>
      <c r="D22" s="144">
        <v>24807.1875</v>
      </c>
      <c r="E22" s="143">
        <v>26333.54</v>
      </c>
      <c r="F22" s="10">
        <f t="shared" si="0"/>
        <v>-1526.3525000000009</v>
      </c>
      <c r="G22" s="11">
        <f t="shared" si="3"/>
        <v>-5.7962298270570568E-2</v>
      </c>
      <c r="H22" s="148">
        <v>23750.38</v>
      </c>
      <c r="I22" s="134">
        <f t="shared" si="4"/>
        <v>1056.807499999999</v>
      </c>
      <c r="J22" s="13">
        <f t="shared" si="5"/>
        <v>4.4496445951601571E-2</v>
      </c>
      <c r="K22" s="53"/>
      <c r="L22" s="53"/>
      <c r="M22" s="104"/>
      <c r="N22" s="104"/>
      <c r="O22" s="104"/>
      <c r="P22" s="104"/>
      <c r="Q22" s="104"/>
      <c r="R22" s="104"/>
      <c r="S22" s="104"/>
      <c r="T22" s="104"/>
      <c r="U22" s="104"/>
      <c r="V22" s="104"/>
      <c r="W22" s="104"/>
    </row>
    <row r="23" spans="1:23" ht="15.6">
      <c r="A23" s="26" t="str">
        <v>M143</v>
      </c>
      <c r="B23" s="27" t="str">
        <v>NY</v>
      </c>
      <c r="C23" s="142" t="str">
        <f>Sites[[#This Row],[SOL'#]]</f>
        <v>SOL-10384</v>
      </c>
      <c r="D23" s="145">
        <v>26852.374999999902</v>
      </c>
      <c r="E23" s="14">
        <v>32610.05</v>
      </c>
      <c r="F23" s="14">
        <f t="shared" si="0"/>
        <v>-5757.6750000000975</v>
      </c>
      <c r="G23" s="15">
        <f t="shared" si="3"/>
        <v>-0.17656136681790116</v>
      </c>
      <c r="H23" s="127">
        <v>25919.279999999999</v>
      </c>
      <c r="I23" s="135">
        <f t="shared" si="4"/>
        <v>933.09499999990294</v>
      </c>
      <c r="J23" s="15">
        <f t="shared" si="5"/>
        <v>3.6000035494809388E-2</v>
      </c>
      <c r="K23" s="51" t="s">
        <v>1188</v>
      </c>
      <c r="L23" s="100" t="s">
        <v>1439</v>
      </c>
      <c r="M23" s="104"/>
      <c r="N23" s="104"/>
      <c r="O23" s="104"/>
      <c r="P23" s="104"/>
      <c r="Q23" s="104"/>
      <c r="R23" s="104"/>
      <c r="S23" s="104"/>
      <c r="T23" s="104"/>
      <c r="U23" s="104"/>
      <c r="V23" s="104"/>
      <c r="W23" s="104"/>
    </row>
    <row r="24" spans="1:23" ht="15.6">
      <c r="A24" s="24" t="str">
        <v>M144</v>
      </c>
      <c r="B24" s="25" t="str">
        <v>NY</v>
      </c>
      <c r="C24" s="25" t="str">
        <f>Sites[[#This Row],[SOL'#]]</f>
        <v>SOL-10385</v>
      </c>
      <c r="D24" s="144">
        <v>40468.5625</v>
      </c>
      <c r="E24" s="143">
        <v>44100.43</v>
      </c>
      <c r="F24" s="10">
        <f t="shared" si="0"/>
        <v>-3631.8675000000003</v>
      </c>
      <c r="G24" s="11">
        <f t="shared" si="3"/>
        <v>-8.2354469106083558E-2</v>
      </c>
      <c r="H24" s="148">
        <v>43639.62</v>
      </c>
      <c r="I24" s="134">
        <f t="shared" si="4"/>
        <v>-3171.0575000000026</v>
      </c>
      <c r="J24" s="13">
        <f t="shared" si="5"/>
        <v>-7.2664645109192114E-2</v>
      </c>
      <c r="K24" s="53"/>
      <c r="L24" s="53"/>
      <c r="M24" s="104"/>
      <c r="N24" s="104"/>
      <c r="O24" s="104"/>
      <c r="P24" s="104"/>
      <c r="Q24" s="104"/>
      <c r="R24" s="104"/>
      <c r="S24" s="104"/>
      <c r="T24" s="104"/>
      <c r="U24" s="104"/>
      <c r="V24" s="104"/>
      <c r="W24" s="104"/>
    </row>
    <row r="25" spans="1:23" ht="28.9">
      <c r="A25" s="26" t="str">
        <v>M167</v>
      </c>
      <c r="B25" s="27" t="str">
        <v>NY</v>
      </c>
      <c r="C25" s="142" t="str">
        <f>Sites[[#This Row],[SOL'#]]</f>
        <v>SOL-10386</v>
      </c>
      <c r="D25" s="145">
        <v>29635.59375</v>
      </c>
      <c r="E25" s="14">
        <v>22915.599999999999</v>
      </c>
      <c r="F25" s="14">
        <f t="shared" si="0"/>
        <v>6719.9937500000015</v>
      </c>
      <c r="G25" s="15">
        <f t="shared" si="3"/>
        <v>0.29324974035155099</v>
      </c>
      <c r="H25" s="127">
        <v>31794.959999999999</v>
      </c>
      <c r="I25" s="135">
        <f t="shared" si="4"/>
        <v>-2159.3662499999991</v>
      </c>
      <c r="J25" s="15">
        <f t="shared" si="5"/>
        <v>-6.791536300092843E-2</v>
      </c>
      <c r="K25" s="51" t="s">
        <v>1674</v>
      </c>
      <c r="L25" s="51"/>
      <c r="M25" s="104"/>
      <c r="N25" s="104"/>
      <c r="O25" s="104"/>
      <c r="P25" s="104"/>
      <c r="Q25" s="104"/>
      <c r="R25" s="104"/>
      <c r="S25" s="104"/>
      <c r="T25" s="104"/>
      <c r="U25" s="104"/>
      <c r="V25" s="104"/>
      <c r="W25" s="104"/>
    </row>
    <row r="26" spans="1:23" ht="15.6">
      <c r="A26" s="24" t="str">
        <v>M188</v>
      </c>
      <c r="B26" s="25" t="str">
        <v>NY</v>
      </c>
      <c r="C26" s="25" t="str">
        <f>Sites[[#This Row],[SOL'#]]</f>
        <v>SOL-10387</v>
      </c>
      <c r="D26" s="144">
        <v>20889.40625</v>
      </c>
      <c r="E26" s="143">
        <v>21532.78</v>
      </c>
      <c r="F26" s="10">
        <f t="shared" si="0"/>
        <v>-643.37374999999884</v>
      </c>
      <c r="G26" s="11">
        <f t="shared" si="3"/>
        <v>-2.9878805709248824E-2</v>
      </c>
      <c r="H26" s="148">
        <v>22453.19</v>
      </c>
      <c r="I26" s="134">
        <f t="shared" si="4"/>
        <v>-1563.7837499999987</v>
      </c>
      <c r="J26" s="13">
        <f t="shared" si="5"/>
        <v>-6.9646395456503002E-2</v>
      </c>
      <c r="K26" s="53"/>
      <c r="L26" s="53"/>
      <c r="M26" s="104"/>
      <c r="N26" s="104"/>
      <c r="O26" s="104"/>
      <c r="P26" s="104"/>
      <c r="Q26" s="104"/>
      <c r="R26" s="104"/>
      <c r="S26" s="104"/>
      <c r="T26" s="104"/>
      <c r="U26" s="104"/>
      <c r="V26" s="104"/>
      <c r="W26" s="104"/>
    </row>
    <row r="27" spans="1:23" ht="43.15">
      <c r="A27" s="26" t="str">
        <v>EMHC</v>
      </c>
      <c r="B27" s="27" t="str">
        <v>NY</v>
      </c>
      <c r="C27" s="146" t="str">
        <f>Sites[[#This Row],[SOL'#]]</f>
        <v>SOL-10351</v>
      </c>
      <c r="D27" s="145">
        <v>9480.9921875</v>
      </c>
      <c r="E27" s="14">
        <v>6968.1949999999997</v>
      </c>
      <c r="F27" s="14">
        <f t="shared" si="0"/>
        <v>2512.7971875000003</v>
      </c>
      <c r="G27" s="15">
        <f t="shared" si="3"/>
        <v>0.36060948172374629</v>
      </c>
      <c r="H27" s="127">
        <v>10404.48</v>
      </c>
      <c r="I27" s="135">
        <f t="shared" si="4"/>
        <v>-923.48781249999956</v>
      </c>
      <c r="J27" s="15">
        <f t="shared" si="5"/>
        <v>-8.8758670543842608E-2</v>
      </c>
      <c r="K27" s="51" t="s">
        <v>1675</v>
      </c>
      <c r="L27" s="100" t="s">
        <v>1676</v>
      </c>
      <c r="M27" s="104"/>
      <c r="N27" s="104"/>
      <c r="O27" s="104"/>
      <c r="P27" s="104"/>
      <c r="Q27" s="104"/>
      <c r="R27" s="104"/>
      <c r="S27" s="104"/>
      <c r="T27" s="104"/>
      <c r="U27" s="104"/>
      <c r="V27" s="104"/>
      <c r="W27" s="104"/>
    </row>
    <row r="28" spans="1:23" ht="28.9">
      <c r="A28" s="24" t="str">
        <v>Q008</v>
      </c>
      <c r="B28" s="25" t="str">
        <v>NY</v>
      </c>
      <c r="C28" s="25" t="str">
        <f>Sites[[#This Row],[SOL'#]]</f>
        <v>SOL-10397</v>
      </c>
      <c r="D28" s="144">
        <v>4112.8746403309597</v>
      </c>
      <c r="E28" s="143">
        <v>4516.5820000000003</v>
      </c>
      <c r="F28" s="10">
        <f t="shared" si="0"/>
        <v>-403.70735966904067</v>
      </c>
      <c r="G28" s="11">
        <f t="shared" si="3"/>
        <v>-8.9383378773825128E-2</v>
      </c>
      <c r="H28" s="148">
        <v>31495</v>
      </c>
      <c r="I28" s="134">
        <f t="shared" si="4"/>
        <v>-27382.12535966904</v>
      </c>
      <c r="J28" s="13">
        <f t="shared" si="5"/>
        <v>-0.86941182281851215</v>
      </c>
      <c r="K28" s="53" t="s">
        <v>1677</v>
      </c>
      <c r="L28" s="99" t="s">
        <v>1678</v>
      </c>
      <c r="M28" s="103" t="s">
        <v>1679</v>
      </c>
      <c r="N28" s="104"/>
      <c r="O28" s="104"/>
      <c r="P28" s="104"/>
      <c r="Q28" s="104"/>
      <c r="R28" s="104"/>
      <c r="S28" s="104"/>
      <c r="T28" s="104"/>
      <c r="U28" s="104"/>
      <c r="V28" s="104"/>
      <c r="W28" s="104"/>
    </row>
    <row r="29" spans="1:23" ht="15.6">
      <c r="A29" s="26" t="str">
        <v>Q018</v>
      </c>
      <c r="B29" s="27" t="str">
        <v>NY</v>
      </c>
      <c r="C29" s="142" t="str">
        <f>Sites[[#This Row],[SOL'#]]</f>
        <v>SOL-10398</v>
      </c>
      <c r="D29" s="145">
        <v>21744.125</v>
      </c>
      <c r="E29" s="14">
        <v>23671.38</v>
      </c>
      <c r="F29" s="14">
        <f t="shared" si="0"/>
        <v>-1927.255000000001</v>
      </c>
      <c r="G29" s="15">
        <f t="shared" si="3"/>
        <v>-8.1417095243285387E-2</v>
      </c>
      <c r="H29" s="127">
        <v>20045.95</v>
      </c>
      <c r="I29" s="135">
        <f t="shared" si="4"/>
        <v>1698.1749999999993</v>
      </c>
      <c r="J29" s="15">
        <f t="shared" si="5"/>
        <v>8.4714119310883212E-2</v>
      </c>
      <c r="K29" s="51"/>
      <c r="L29" s="51"/>
      <c r="M29" s="104"/>
      <c r="N29" s="104"/>
      <c r="O29" s="104"/>
      <c r="P29" s="104"/>
      <c r="Q29" s="104"/>
      <c r="R29" s="104"/>
      <c r="S29" s="104"/>
      <c r="T29" s="104"/>
      <c r="U29" s="104"/>
      <c r="V29" s="104"/>
      <c r="W29" s="104"/>
    </row>
    <row r="30" spans="1:23" ht="15.6">
      <c r="A30" s="24" t="str">
        <v>Q021</v>
      </c>
      <c r="B30" s="25" t="str">
        <v>NY</v>
      </c>
      <c r="C30" s="25" t="str">
        <f>Sites[[#This Row],[SOL'#]]</f>
        <v>SOL-10399</v>
      </c>
      <c r="D30" s="144">
        <v>17483.25</v>
      </c>
      <c r="E30" s="143">
        <v>17280.21</v>
      </c>
      <c r="F30" s="10">
        <f t="shared" si="0"/>
        <v>203.04000000000087</v>
      </c>
      <c r="G30" s="11">
        <f t="shared" si="3"/>
        <v>1.1749857206596499E-2</v>
      </c>
      <c r="H30" s="148">
        <v>16869.41</v>
      </c>
      <c r="I30" s="134">
        <f t="shared" si="4"/>
        <v>613.84000000000015</v>
      </c>
      <c r="J30" s="13">
        <f t="shared" si="5"/>
        <v>3.6387757485294395E-2</v>
      </c>
      <c r="K30" s="53"/>
      <c r="L30" s="53"/>
      <c r="M30" s="104"/>
      <c r="N30" s="104"/>
      <c r="O30" s="104"/>
      <c r="P30" s="104"/>
      <c r="Q30" s="104"/>
      <c r="R30" s="104"/>
      <c r="S30" s="104"/>
      <c r="T30" s="104"/>
      <c r="U30" s="104"/>
      <c r="V30" s="104"/>
      <c r="W30" s="104"/>
    </row>
    <row r="31" spans="1:23" ht="28.9">
      <c r="A31" s="26" t="str">
        <v>Q025</v>
      </c>
      <c r="B31" s="27" t="str">
        <v>NY</v>
      </c>
      <c r="C31" s="142" t="str">
        <f>Sites[[#This Row],[SOL'#]]</f>
        <v>SOL-10400</v>
      </c>
      <c r="D31" s="145">
        <v>29830.5625</v>
      </c>
      <c r="E31" s="14">
        <v>29222.12</v>
      </c>
      <c r="F31" s="14">
        <f t="shared" si="0"/>
        <v>608.44250000000102</v>
      </c>
      <c r="G31" s="15">
        <f t="shared" si="3"/>
        <v>2.082129907070401E-2</v>
      </c>
      <c r="H31" s="127">
        <v>14697</v>
      </c>
      <c r="I31" s="135">
        <f t="shared" si="4"/>
        <v>15133.5625</v>
      </c>
      <c r="J31" s="15">
        <f t="shared" si="5"/>
        <v>1.0297041913315643</v>
      </c>
      <c r="K31" s="51" t="s">
        <v>1680</v>
      </c>
      <c r="L31" s="51"/>
      <c r="M31" s="104"/>
      <c r="N31" s="104"/>
      <c r="O31" s="104"/>
      <c r="P31" s="104"/>
      <c r="Q31" s="104"/>
      <c r="R31" s="104"/>
      <c r="S31" s="104"/>
      <c r="T31" s="104"/>
      <c r="U31" s="104"/>
      <c r="V31" s="104"/>
      <c r="W31" s="104"/>
    </row>
    <row r="32" spans="1:23" ht="15.6">
      <c r="A32" s="24" t="str">
        <v>Q074</v>
      </c>
      <c r="B32" s="25" t="str">
        <v>NY</v>
      </c>
      <c r="C32" s="25" t="str">
        <f>Sites[[#This Row],[SOL'#]]</f>
        <v>SOL-10402</v>
      </c>
      <c r="D32" s="144">
        <v>19681.4375</v>
      </c>
      <c r="E32" s="143">
        <v>19392.61</v>
      </c>
      <c r="F32" s="10">
        <f t="shared" si="0"/>
        <v>288.82749999999942</v>
      </c>
      <c r="G32" s="11">
        <f t="shared" si="3"/>
        <v>1.4893688884580229E-2</v>
      </c>
      <c r="H32" s="148">
        <v>19027.009999999998</v>
      </c>
      <c r="I32" s="134">
        <f t="shared" si="4"/>
        <v>654.4275000000016</v>
      </c>
      <c r="J32" s="13">
        <f t="shared" si="5"/>
        <v>3.439465790999225E-2</v>
      </c>
      <c r="K32" s="53"/>
      <c r="L32" s="53"/>
      <c r="M32" s="104"/>
      <c r="N32" s="104"/>
      <c r="O32" s="104"/>
      <c r="P32" s="104"/>
      <c r="Q32" s="104"/>
      <c r="R32" s="104"/>
      <c r="S32" s="104"/>
      <c r="T32" s="104"/>
      <c r="U32" s="104"/>
      <c r="V32" s="104"/>
      <c r="W32" s="104"/>
    </row>
    <row r="33" spans="1:23" ht="15.6">
      <c r="A33" s="26" t="str">
        <v>Q115</v>
      </c>
      <c r="B33" s="27" t="str">
        <v>NY</v>
      </c>
      <c r="C33" s="142" t="str">
        <f>Sites[[#This Row],[SOL'#]]</f>
        <v>SOL-10872</v>
      </c>
      <c r="D33" s="145">
        <v>25297.812499999902</v>
      </c>
      <c r="E33" s="14">
        <v>27092.84</v>
      </c>
      <c r="F33" s="14">
        <f t="shared" si="0"/>
        <v>-1795.0275000000984</v>
      </c>
      <c r="G33" s="15">
        <f t="shared" si="3"/>
        <v>-6.6254682048840149E-2</v>
      </c>
      <c r="H33" s="127">
        <v>25304.7</v>
      </c>
      <c r="I33" s="135">
        <f t="shared" si="4"/>
        <v>-6.887500000098953</v>
      </c>
      <c r="J33" s="15">
        <f t="shared" si="5"/>
        <v>-2.7218263801186945E-4</v>
      </c>
      <c r="K33" s="51"/>
      <c r="L33" s="51"/>
      <c r="M33" s="104"/>
      <c r="N33" s="104"/>
      <c r="O33" s="104"/>
      <c r="P33" s="104"/>
      <c r="Q33" s="104"/>
      <c r="R33" s="104"/>
      <c r="S33" s="104"/>
      <c r="T33" s="104"/>
      <c r="U33" s="104"/>
      <c r="V33" s="104"/>
      <c r="W33" s="104"/>
    </row>
    <row r="34" spans="1:23" ht="28.9">
      <c r="A34" s="24" t="str">
        <v>Q139</v>
      </c>
      <c r="B34" s="25" t="str">
        <v>NY</v>
      </c>
      <c r="C34" s="25" t="str">
        <f>Sites[[#This Row],[SOL'#]]</f>
        <v>SOL-10403</v>
      </c>
      <c r="D34" s="144">
        <v>15065.78125</v>
      </c>
      <c r="E34" s="143">
        <v>16401.54</v>
      </c>
      <c r="F34" s="10">
        <f t="shared" si="0"/>
        <v>-1335.7587500000009</v>
      </c>
      <c r="G34" s="11">
        <f t="shared" si="3"/>
        <v>-8.1441056754426769E-2</v>
      </c>
      <c r="H34" s="148">
        <v>15998</v>
      </c>
      <c r="I34" s="134">
        <f t="shared" si="4"/>
        <v>-932.21875</v>
      </c>
      <c r="J34" s="13">
        <f t="shared" si="5"/>
        <v>-5.8270955744468056E-2</v>
      </c>
      <c r="K34" s="53" t="s">
        <v>1445</v>
      </c>
      <c r="L34" s="99" t="s">
        <v>1446</v>
      </c>
      <c r="M34" s="104"/>
      <c r="N34" s="104"/>
      <c r="O34" s="104"/>
      <c r="P34" s="104"/>
      <c r="Q34" s="104"/>
      <c r="R34" s="104"/>
      <c r="S34" s="104"/>
      <c r="T34" s="104"/>
      <c r="U34" s="104"/>
      <c r="V34" s="104"/>
      <c r="W34" s="104"/>
    </row>
    <row r="35" spans="1:23" ht="43.15">
      <c r="A35" s="26" t="str">
        <v>Q157</v>
      </c>
      <c r="B35" s="27" t="str">
        <v>NY</v>
      </c>
      <c r="C35" s="142" t="str">
        <f>Sites[[#This Row],[SOL'#]]</f>
        <v>SOL-10404</v>
      </c>
      <c r="D35" s="145">
        <v>23352.1875</v>
      </c>
      <c r="E35" s="14">
        <v>30752.33</v>
      </c>
      <c r="F35" s="14">
        <f t="shared" si="0"/>
        <v>-7400.1425000000017</v>
      </c>
      <c r="G35" s="15">
        <f t="shared" si="3"/>
        <v>-0.24063680703218265</v>
      </c>
      <c r="H35" s="127">
        <v>28355.47</v>
      </c>
      <c r="I35" s="135">
        <f t="shared" si="4"/>
        <v>-5003.2825000000012</v>
      </c>
      <c r="J35" s="15">
        <f t="shared" si="5"/>
        <v>-0.17644858293655513</v>
      </c>
      <c r="K35" s="51" t="s">
        <v>1681</v>
      </c>
      <c r="L35" s="100" t="s">
        <v>1682</v>
      </c>
      <c r="M35" s="104"/>
      <c r="N35" s="104"/>
      <c r="O35" s="104"/>
      <c r="P35" s="104"/>
      <c r="Q35" s="104"/>
      <c r="R35" s="104"/>
      <c r="S35" s="104"/>
      <c r="T35" s="104"/>
      <c r="U35" s="104"/>
      <c r="V35" s="104"/>
      <c r="W35" s="104"/>
    </row>
    <row r="36" spans="1:23" ht="15.6">
      <c r="A36" s="24" t="str">
        <v>Q192</v>
      </c>
      <c r="B36" s="25" t="str">
        <v>NY</v>
      </c>
      <c r="C36" s="25" t="str">
        <f>Sites[[#This Row],[SOL'#]]</f>
        <v>SOL-10406</v>
      </c>
      <c r="D36" s="144">
        <v>41920.249999999804</v>
      </c>
      <c r="E36" s="143">
        <v>46029.85</v>
      </c>
      <c r="F36" s="10">
        <f t="shared" si="0"/>
        <v>-4109.600000000195</v>
      </c>
      <c r="G36" s="11">
        <f t="shared" si="3"/>
        <v>-8.9281194703006744E-2</v>
      </c>
      <c r="H36" s="148">
        <v>41191.199999999997</v>
      </c>
      <c r="I36" s="134">
        <f t="shared" si="4"/>
        <v>729.04999999980646</v>
      </c>
      <c r="J36" s="13">
        <f t="shared" si="5"/>
        <v>1.7699168754486554E-2</v>
      </c>
      <c r="K36" s="53"/>
      <c r="L36" s="53"/>
      <c r="M36" s="104"/>
      <c r="N36" s="104"/>
      <c r="O36" s="104"/>
      <c r="P36" s="104"/>
      <c r="Q36" s="104"/>
      <c r="R36" s="104"/>
      <c r="S36" s="104"/>
      <c r="T36" s="104"/>
      <c r="U36" s="104"/>
      <c r="V36" s="104"/>
      <c r="W36" s="104"/>
    </row>
    <row r="37" spans="1:23" ht="25.15" customHeight="1">
      <c r="A37" s="26" t="str">
        <v>Q210</v>
      </c>
      <c r="B37" s="27" t="str">
        <v>NY</v>
      </c>
      <c r="C37" s="142" t="str">
        <f>Sites[[#This Row],[SOL'#]]</f>
        <v>SOL-10407</v>
      </c>
      <c r="D37" s="145">
        <v>33990.125</v>
      </c>
      <c r="E37" s="14">
        <v>34065.25</v>
      </c>
      <c r="F37" s="14">
        <f t="shared" si="0"/>
        <v>-75.125</v>
      </c>
      <c r="G37" s="15">
        <f t="shared" si="3"/>
        <v>-2.2053265424442797E-3</v>
      </c>
      <c r="H37" s="127">
        <v>34388</v>
      </c>
      <c r="I37" s="135">
        <f t="shared" si="4"/>
        <v>-397.875</v>
      </c>
      <c r="J37" s="15">
        <f t="shared" si="5"/>
        <v>-1.1570169826683727E-2</v>
      </c>
      <c r="K37" s="51"/>
      <c r="L37" s="51"/>
      <c r="M37" s="104"/>
      <c r="N37" s="104"/>
      <c r="O37" s="104"/>
      <c r="P37" s="104"/>
      <c r="Q37" s="104"/>
      <c r="R37" s="104"/>
      <c r="S37" s="104"/>
      <c r="T37" s="104"/>
      <c r="U37" s="104"/>
      <c r="V37" s="104"/>
      <c r="W37" s="104"/>
    </row>
    <row r="38" spans="1:23" ht="28.9">
      <c r="A38" s="24" t="str">
        <v>Q229</v>
      </c>
      <c r="B38" s="25" t="str">
        <v>NY</v>
      </c>
      <c r="C38" s="25" t="str">
        <f>Sites[[#This Row],[SOL'#]]</f>
        <v>SOL-10408</v>
      </c>
      <c r="D38" s="144">
        <v>14682.608313106801</v>
      </c>
      <c r="E38" s="143">
        <v>16629.88</v>
      </c>
      <c r="F38" s="10">
        <f t="shared" si="0"/>
        <v>-1947.2716868932002</v>
      </c>
      <c r="G38" s="11">
        <f t="shared" si="3"/>
        <v>-0.11709475275186593</v>
      </c>
      <c r="H38" s="148">
        <v>14688.96</v>
      </c>
      <c r="I38" s="134">
        <f t="shared" si="4"/>
        <v>-6.3516868931983481</v>
      </c>
      <c r="J38" s="13">
        <f t="shared" si="5"/>
        <v>-4.3241229421268413E-4</v>
      </c>
      <c r="K38" s="53" t="s">
        <v>932</v>
      </c>
      <c r="L38" s="99" t="s">
        <v>677</v>
      </c>
      <c r="M38" s="104"/>
      <c r="N38" s="104"/>
      <c r="O38" s="104"/>
      <c r="P38" s="104"/>
      <c r="Q38" s="104"/>
      <c r="R38" s="104"/>
      <c r="S38" s="104"/>
      <c r="T38" s="104"/>
      <c r="U38" s="104"/>
      <c r="V38" s="104"/>
      <c r="W38" s="104"/>
    </row>
    <row r="39" spans="1:23" ht="72">
      <c r="A39" s="26" t="str">
        <v>Q231</v>
      </c>
      <c r="B39" s="27" t="str">
        <v>NY</v>
      </c>
      <c r="C39" s="146" t="str">
        <f>Sites[[#This Row],[SOL'#]]</f>
        <v>SOL-10870</v>
      </c>
      <c r="D39" s="145">
        <v>52444.25</v>
      </c>
      <c r="E39" s="14">
        <v>58605.91</v>
      </c>
      <c r="F39" s="14">
        <f t="shared" si="0"/>
        <v>-6161.6600000000035</v>
      </c>
      <c r="G39" s="15">
        <f t="shared" si="3"/>
        <v>-0.10513717814466157</v>
      </c>
      <c r="H39" s="127">
        <v>53954</v>
      </c>
      <c r="I39" s="135">
        <f t="shared" si="4"/>
        <v>-1509.75</v>
      </c>
      <c r="J39" s="15">
        <f t="shared" si="5"/>
        <v>-2.7982169996663826E-2</v>
      </c>
      <c r="K39" s="51" t="s">
        <v>1683</v>
      </c>
      <c r="L39" s="100" t="s">
        <v>1684</v>
      </c>
      <c r="M39" s="104"/>
      <c r="N39" s="104"/>
      <c r="O39" s="104"/>
      <c r="P39" s="104"/>
      <c r="Q39" s="104"/>
      <c r="R39" s="104"/>
      <c r="S39" s="104"/>
      <c r="T39" s="104"/>
      <c r="U39" s="104"/>
      <c r="V39" s="104"/>
      <c r="W39" s="104"/>
    </row>
    <row r="40" spans="1:23" ht="28.9">
      <c r="A40" s="24" t="str">
        <v>Q405</v>
      </c>
      <c r="B40" s="25" t="str">
        <v>NY</v>
      </c>
      <c r="C40" s="25" t="str">
        <f>Sites[[#This Row],[SOL'#]]</f>
        <v>SOL-10409</v>
      </c>
      <c r="D40" s="144">
        <v>62369.25</v>
      </c>
      <c r="E40" s="143">
        <v>69200.429999999993</v>
      </c>
      <c r="F40" s="10">
        <f t="shared" si="0"/>
        <v>-6831.179999999993</v>
      </c>
      <c r="G40" s="11">
        <f t="shared" si="3"/>
        <v>-9.8715860580635029E-2</v>
      </c>
      <c r="H40" s="148">
        <v>61404.24</v>
      </c>
      <c r="I40" s="134">
        <f t="shared" si="4"/>
        <v>965.01000000000204</v>
      </c>
      <c r="J40" s="13">
        <f t="shared" si="5"/>
        <v>1.5715689991440365E-2</v>
      </c>
      <c r="K40" s="53" t="s">
        <v>1453</v>
      </c>
      <c r="L40" s="99" t="s">
        <v>679</v>
      </c>
      <c r="M40" s="104"/>
      <c r="N40" s="104"/>
      <c r="O40" s="104"/>
      <c r="P40" s="104"/>
      <c r="Q40" s="104"/>
      <c r="R40" s="104"/>
      <c r="S40" s="104"/>
      <c r="T40" s="104"/>
      <c r="U40" s="104"/>
      <c r="V40" s="104"/>
      <c r="W40" s="104"/>
    </row>
    <row r="41" spans="1:23" ht="43.15">
      <c r="A41" s="26" t="str">
        <v>Q435</v>
      </c>
      <c r="B41" s="27" t="str">
        <v>NY</v>
      </c>
      <c r="C41" s="146" t="str">
        <f>Sites[[#This Row],[SOL'#]]</f>
        <v>SOL-10923</v>
      </c>
      <c r="D41" s="145">
        <v>53191.584999999999</v>
      </c>
      <c r="E41" s="14">
        <v>63905.8</v>
      </c>
      <c r="F41" s="14">
        <f t="shared" si="0"/>
        <v>-10714.215000000004</v>
      </c>
      <c r="G41" s="15">
        <f t="shared" si="3"/>
        <v>-0.16765637860726262</v>
      </c>
      <c r="H41" s="127">
        <v>75413</v>
      </c>
      <c r="I41" s="135">
        <f t="shared" si="4"/>
        <v>-22221.415000000001</v>
      </c>
      <c r="J41" s="15">
        <f t="shared" si="5"/>
        <v>-0.29466292283823747</v>
      </c>
      <c r="K41" s="51" t="s">
        <v>1685</v>
      </c>
      <c r="L41" s="100" t="s">
        <v>1686</v>
      </c>
      <c r="M41" s="104"/>
      <c r="N41" s="104"/>
      <c r="O41" s="104"/>
      <c r="P41" s="104"/>
      <c r="Q41" s="104"/>
      <c r="R41" s="104"/>
      <c r="S41" s="104"/>
      <c r="T41" s="104"/>
      <c r="U41" s="104"/>
      <c r="V41" s="104"/>
      <c r="W41" s="104"/>
    </row>
    <row r="42" spans="1:23" ht="72">
      <c r="A42" s="24" t="str">
        <v>Q485</v>
      </c>
      <c r="B42" s="25" t="str">
        <v>NY</v>
      </c>
      <c r="C42" s="25" t="str">
        <f>Sites[[#This Row],[SOL'#]]</f>
        <v>SOL-10869</v>
      </c>
      <c r="D42" s="144">
        <v>73485.062500000102</v>
      </c>
      <c r="E42" s="143">
        <v>58334.67</v>
      </c>
      <c r="F42" s="10">
        <f t="shared" si="0"/>
        <v>15150.392500000104</v>
      </c>
      <c r="G42" s="11">
        <f t="shared" si="3"/>
        <v>0.25971506310055587</v>
      </c>
      <c r="H42" s="148">
        <v>71188.38</v>
      </c>
      <c r="I42" s="134">
        <f t="shared" si="4"/>
        <v>2296.6825000000972</v>
      </c>
      <c r="J42" s="13">
        <f t="shared" si="5"/>
        <v>3.2262041923135448E-2</v>
      </c>
      <c r="K42" s="53" t="s">
        <v>1687</v>
      </c>
      <c r="L42" s="99" t="s">
        <v>1688</v>
      </c>
      <c r="M42" s="103" t="s">
        <v>1689</v>
      </c>
      <c r="N42" s="104"/>
      <c r="O42" s="104"/>
      <c r="P42" s="104"/>
      <c r="Q42" s="104"/>
      <c r="R42" s="104"/>
      <c r="S42" s="104"/>
      <c r="T42" s="104"/>
      <c r="U42" s="104"/>
      <c r="V42" s="104"/>
      <c r="W42" s="104"/>
    </row>
    <row r="43" spans="1:23" ht="43.15">
      <c r="A43" s="26" t="str">
        <v>Q490</v>
      </c>
      <c r="B43" s="27" t="str">
        <v>NY</v>
      </c>
      <c r="C43" s="146" t="str">
        <f>Sites[[#This Row],[SOL'#]]</f>
        <v>SOL-10411</v>
      </c>
      <c r="D43" s="145">
        <v>53147.5</v>
      </c>
      <c r="E43" s="14" t="s">
        <v>661</v>
      </c>
      <c r="F43" s="14" t="str">
        <f t="shared" si="0"/>
        <v/>
      </c>
      <c r="G43" s="15" t="str">
        <f t="shared" si="3"/>
        <v/>
      </c>
      <c r="H43" s="127">
        <v>53310.720000000001</v>
      </c>
      <c r="I43" s="135">
        <f t="shared" si="4"/>
        <v>-163.22000000000116</v>
      </c>
      <c r="J43" s="15">
        <f t="shared" si="5"/>
        <v>-3.0616731494153737E-3</v>
      </c>
      <c r="K43" s="51" t="s">
        <v>1205</v>
      </c>
      <c r="L43" s="100" t="s">
        <v>231</v>
      </c>
      <c r="M43" s="104"/>
      <c r="N43" s="104"/>
      <c r="O43" s="104"/>
      <c r="P43" s="104"/>
      <c r="Q43" s="104"/>
      <c r="R43" s="104"/>
      <c r="S43" s="104"/>
      <c r="T43" s="104"/>
      <c r="U43" s="104"/>
      <c r="V43" s="104"/>
      <c r="W43" s="104"/>
    </row>
    <row r="44" spans="1:23" ht="15.6">
      <c r="A44" s="24" t="str">
        <v>Q620</v>
      </c>
      <c r="B44" s="25" t="str">
        <v>NY</v>
      </c>
      <c r="C44" s="25" t="str">
        <f>Sites[[#This Row],[SOL'#]]</f>
        <v>SOL-10867</v>
      </c>
      <c r="D44" s="144">
        <v>81466.9698067633</v>
      </c>
      <c r="E44" s="143">
        <v>82633.919999999998</v>
      </c>
      <c r="F44" s="10">
        <f t="shared" si="0"/>
        <v>-1166.9501932366984</v>
      </c>
      <c r="G44" s="11">
        <f t="shared" si="3"/>
        <v>-1.412192708801299E-2</v>
      </c>
      <c r="H44" s="148">
        <v>75574.259999999995</v>
      </c>
      <c r="I44" s="134">
        <f t="shared" si="4"/>
        <v>5892.7098067633051</v>
      </c>
      <c r="J44" s="13">
        <f t="shared" si="5"/>
        <v>7.7972444675783861E-2</v>
      </c>
      <c r="K44" s="53"/>
      <c r="L44" s="53"/>
      <c r="M44" s="104"/>
      <c r="N44" s="104"/>
      <c r="O44" s="104"/>
      <c r="P44" s="104"/>
      <c r="Q44" s="104"/>
      <c r="R44" s="104"/>
      <c r="S44" s="104"/>
      <c r="T44" s="104"/>
      <c r="U44" s="104"/>
      <c r="V44" s="104"/>
      <c r="W44" s="104"/>
    </row>
    <row r="45" spans="1:23" ht="15.6">
      <c r="A45" s="26" t="str">
        <v>QMOA</v>
      </c>
      <c r="B45" s="27" t="str">
        <v>NY</v>
      </c>
      <c r="C45" s="142" t="str">
        <f>Sites[[#This Row],[SOL'#]]</f>
        <v>SOL-10415</v>
      </c>
      <c r="D45" s="145">
        <v>6866.2</v>
      </c>
      <c r="E45" s="14"/>
      <c r="F45" s="14" t="str">
        <f t="shared" si="0"/>
        <v/>
      </c>
      <c r="G45" s="15" t="str">
        <f t="shared" si="3"/>
        <v/>
      </c>
      <c r="H45" s="127">
        <v>6860.4539999999997</v>
      </c>
      <c r="I45" s="135">
        <f t="shared" si="4"/>
        <v>5.7460000000000946</v>
      </c>
      <c r="J45" s="15">
        <f t="shared" si="5"/>
        <v>8.3755389949412892E-4</v>
      </c>
      <c r="K45" s="51"/>
      <c r="L45" s="51"/>
      <c r="M45" s="104"/>
      <c r="N45" s="104"/>
      <c r="O45" s="104"/>
      <c r="P45" s="104"/>
      <c r="Q45" s="104"/>
      <c r="R45" s="104"/>
      <c r="S45" s="104"/>
      <c r="T45" s="104"/>
      <c r="U45" s="104"/>
      <c r="V45" s="104"/>
      <c r="W45" s="104"/>
    </row>
    <row r="46" spans="1:23" ht="15.6">
      <c r="A46" s="24" t="str">
        <v>X024</v>
      </c>
      <c r="B46" s="25" t="str">
        <v>NY</v>
      </c>
      <c r="C46" s="25" t="str">
        <f>Sites[[#This Row],[SOL'#]]</f>
        <v>SOL-10419</v>
      </c>
      <c r="D46" s="144">
        <v>31611.156249999902</v>
      </c>
      <c r="E46" s="143">
        <v>31815.599999999999</v>
      </c>
      <c r="F46" s="10">
        <f t="shared" si="0"/>
        <v>-204.44375000009677</v>
      </c>
      <c r="G46" s="11">
        <f t="shared" si="3"/>
        <v>-6.4258964155979072E-3</v>
      </c>
      <c r="H46" s="148">
        <v>28668</v>
      </c>
      <c r="I46" s="134">
        <f t="shared" si="4"/>
        <v>2943.1562499999018</v>
      </c>
      <c r="J46" s="13">
        <f t="shared" si="5"/>
        <v>0.10266346623412521</v>
      </c>
      <c r="K46" s="53"/>
      <c r="L46" s="53"/>
      <c r="M46" s="104"/>
      <c r="N46" s="104"/>
      <c r="O46" s="104"/>
      <c r="P46" s="104"/>
      <c r="Q46" s="104"/>
      <c r="R46" s="104"/>
      <c r="S46" s="104"/>
      <c r="T46" s="104"/>
      <c r="U46" s="104"/>
      <c r="V46" s="104"/>
      <c r="W46" s="104"/>
    </row>
    <row r="47" spans="1:23" ht="28.9">
      <c r="A47" s="26" t="str">
        <v>X026</v>
      </c>
      <c r="B47" s="27" t="str">
        <v>NY</v>
      </c>
      <c r="C47" s="142" t="str">
        <f>Sites[[#This Row],[SOL'#]]</f>
        <v>SOL-10420</v>
      </c>
      <c r="D47" s="145">
        <v>27837.3</v>
      </c>
      <c r="E47" s="14">
        <v>26063.155999999999</v>
      </c>
      <c r="F47" s="14">
        <f t="shared" si="0"/>
        <v>1774.1440000000002</v>
      </c>
      <c r="G47" s="15">
        <f t="shared" si="3"/>
        <v>6.8070958098858034E-2</v>
      </c>
      <c r="H47" s="127">
        <v>39147</v>
      </c>
      <c r="I47" s="135">
        <f t="shared" si="4"/>
        <v>-11309.7</v>
      </c>
      <c r="J47" s="15">
        <f t="shared" si="5"/>
        <v>-0.28890336424247071</v>
      </c>
      <c r="K47" s="51" t="s">
        <v>1690</v>
      </c>
      <c r="L47" s="100" t="s">
        <v>1691</v>
      </c>
      <c r="M47" s="104"/>
      <c r="N47" s="104"/>
      <c r="O47" s="104"/>
      <c r="P47" s="104"/>
      <c r="Q47" s="104"/>
      <c r="R47" s="104"/>
      <c r="S47" s="104"/>
      <c r="T47" s="104"/>
      <c r="U47" s="104"/>
      <c r="V47" s="104"/>
      <c r="W47" s="104"/>
    </row>
    <row r="48" spans="1:23" ht="15.6">
      <c r="A48" s="24" t="str">
        <v>X090</v>
      </c>
      <c r="B48" s="25" t="str">
        <v>NY</v>
      </c>
      <c r="C48" s="25" t="str">
        <f>Sites[[#This Row],[SOL'#]]</f>
        <v>SOL-10925</v>
      </c>
      <c r="D48" s="144">
        <v>23964.405999999999</v>
      </c>
      <c r="E48" s="143">
        <v>21033.108</v>
      </c>
      <c r="F48" s="10">
        <f t="shared" si="0"/>
        <v>2931.2979999999989</v>
      </c>
      <c r="G48" s="11">
        <f t="shared" si="3"/>
        <v>0.13936589875352701</v>
      </c>
      <c r="H48" s="148">
        <v>22204</v>
      </c>
      <c r="I48" s="134">
        <f t="shared" si="4"/>
        <v>1760.405999999999</v>
      </c>
      <c r="J48" s="13">
        <f t="shared" si="5"/>
        <v>7.9283282291478976E-2</v>
      </c>
      <c r="K48" s="53"/>
      <c r="L48" s="53"/>
      <c r="M48" s="104"/>
      <c r="N48" s="104"/>
      <c r="O48" s="104"/>
      <c r="P48" s="104"/>
      <c r="Q48" s="104"/>
      <c r="R48" s="104"/>
      <c r="S48" s="104"/>
      <c r="T48" s="104"/>
      <c r="U48" s="104"/>
      <c r="V48" s="104"/>
      <c r="W48" s="104"/>
    </row>
    <row r="49" spans="1:23" ht="15.6">
      <c r="A49" s="26" t="str">
        <v>X117</v>
      </c>
      <c r="B49" s="27" t="str">
        <v>NY</v>
      </c>
      <c r="C49" s="142" t="str">
        <f>Sites[[#This Row],[SOL'#]]</f>
        <v>SOL-10422</v>
      </c>
      <c r="D49" s="145">
        <v>20148.2</v>
      </c>
      <c r="E49" s="14">
        <v>22042.705000000002</v>
      </c>
      <c r="F49" s="14">
        <f t="shared" si="0"/>
        <v>-1894.505000000001</v>
      </c>
      <c r="G49" s="15">
        <f t="shared" si="3"/>
        <v>-8.5947028733542499E-2</v>
      </c>
      <c r="H49" s="127">
        <v>20981</v>
      </c>
      <c r="I49" s="135">
        <f t="shared" si="4"/>
        <v>-832.79999999999927</v>
      </c>
      <c r="J49" s="15">
        <f t="shared" si="5"/>
        <v>-3.969305562175298E-2</v>
      </c>
      <c r="K49" s="51"/>
      <c r="L49" s="51"/>
      <c r="M49" s="104"/>
      <c r="N49" s="104"/>
      <c r="O49" s="104"/>
      <c r="P49" s="104"/>
      <c r="Q49" s="104"/>
      <c r="R49" s="104"/>
      <c r="S49" s="104"/>
      <c r="T49" s="104"/>
      <c r="U49" s="104"/>
      <c r="V49" s="104"/>
      <c r="W49" s="104"/>
    </row>
    <row r="50" spans="1:23" ht="15.6">
      <c r="A50" s="24" t="str">
        <v>X125</v>
      </c>
      <c r="B50" s="25" t="str">
        <v>NY</v>
      </c>
      <c r="C50" s="25" t="str">
        <f>Sites[[#This Row],[SOL'#]]</f>
        <v>SOL-10423</v>
      </c>
      <c r="D50" s="144">
        <v>36752.25</v>
      </c>
      <c r="E50" s="143">
        <v>37712.455000000002</v>
      </c>
      <c r="F50" s="10">
        <f t="shared" si="0"/>
        <v>-960.20500000000175</v>
      </c>
      <c r="G50" s="11">
        <f t="shared" si="3"/>
        <v>-2.5461216990514186E-2</v>
      </c>
      <c r="H50" s="148">
        <v>34285</v>
      </c>
      <c r="I50" s="134">
        <f t="shared" si="4"/>
        <v>2467.25</v>
      </c>
      <c r="J50" s="13">
        <f t="shared" si="5"/>
        <v>7.1962957561615873E-2</v>
      </c>
      <c r="K50" s="53"/>
      <c r="L50" s="53"/>
      <c r="M50" s="104"/>
      <c r="N50" s="104"/>
      <c r="O50" s="104"/>
      <c r="P50" s="104"/>
      <c r="Q50" s="104"/>
      <c r="R50" s="104"/>
      <c r="S50" s="104"/>
      <c r="T50" s="104"/>
      <c r="U50" s="104"/>
      <c r="V50" s="104"/>
      <c r="W50" s="104"/>
    </row>
    <row r="51" spans="1:23" ht="28.9">
      <c r="A51" s="26" t="str">
        <v>X134</v>
      </c>
      <c r="B51" s="27" t="str">
        <v>NY</v>
      </c>
      <c r="C51" s="142" t="str">
        <f>Sites[[#This Row],[SOL'#]]</f>
        <v>SOL-10424</v>
      </c>
      <c r="D51" s="145">
        <v>35656.938000000002</v>
      </c>
      <c r="E51" s="14">
        <v>7290.89</v>
      </c>
      <c r="F51" s="14">
        <f t="shared" si="0"/>
        <v>28366.048000000003</v>
      </c>
      <c r="G51" s="15">
        <f t="shared" si="3"/>
        <v>3.8906152746784004</v>
      </c>
      <c r="H51" s="127">
        <v>33773</v>
      </c>
      <c r="I51" s="135">
        <f t="shared" si="4"/>
        <v>1883.9380000000019</v>
      </c>
      <c r="J51" s="15">
        <f t="shared" si="5"/>
        <v>5.5782370532674083E-2</v>
      </c>
      <c r="K51" s="51" t="s">
        <v>1692</v>
      </c>
      <c r="L51" s="100" t="s">
        <v>1693</v>
      </c>
      <c r="M51" s="104"/>
      <c r="N51" s="104"/>
      <c r="O51" s="104"/>
      <c r="P51" s="104"/>
      <c r="Q51" s="104"/>
      <c r="R51" s="104"/>
      <c r="S51" s="104"/>
      <c r="T51" s="104"/>
      <c r="U51" s="104"/>
      <c r="V51" s="104"/>
      <c r="W51" s="104"/>
    </row>
    <row r="52" spans="1:23" ht="28.9">
      <c r="A52" s="24" t="str">
        <v>X135</v>
      </c>
      <c r="B52" s="25" t="str">
        <v>NY</v>
      </c>
      <c r="C52" s="25" t="str">
        <f>Sites[[#This Row],[SOL'#]]</f>
        <v>SOL-10425</v>
      </c>
      <c r="D52" s="144">
        <v>28076.75</v>
      </c>
      <c r="E52" s="143">
        <v>34094.175999999999</v>
      </c>
      <c r="F52" s="10">
        <f t="shared" si="0"/>
        <v>-6017.4259999999995</v>
      </c>
      <c r="G52" s="11">
        <f t="shared" si="3"/>
        <v>-0.17649424934041519</v>
      </c>
      <c r="H52" s="148">
        <v>26680</v>
      </c>
      <c r="I52" s="134">
        <f t="shared" si="4"/>
        <v>1396.75</v>
      </c>
      <c r="J52" s="13">
        <f t="shared" si="5"/>
        <v>5.2351949025487253E-2</v>
      </c>
      <c r="K52" s="53" t="s">
        <v>1694</v>
      </c>
      <c r="L52" s="99" t="s">
        <v>1464</v>
      </c>
      <c r="M52" s="104"/>
      <c r="N52" s="104"/>
      <c r="O52" s="104"/>
      <c r="P52" s="104"/>
      <c r="Q52" s="104"/>
      <c r="R52" s="104"/>
      <c r="S52" s="104"/>
      <c r="T52" s="104"/>
      <c r="U52" s="104"/>
      <c r="V52" s="104"/>
      <c r="W52" s="104"/>
    </row>
    <row r="53" spans="1:23" ht="28.9">
      <c r="A53" s="26" t="str">
        <v>X139 JHS 222</v>
      </c>
      <c r="B53" s="27" t="str">
        <v>NY</v>
      </c>
      <c r="C53" s="146" t="str">
        <f>Sites[[#This Row],[SOL'#]]</f>
        <v>SOL-10426</v>
      </c>
      <c r="D53" s="145">
        <v>42297.89</v>
      </c>
      <c r="E53" s="14">
        <v>47616.438999999998</v>
      </c>
      <c r="F53" s="14">
        <f t="shared" si="0"/>
        <v>-5318.5489999999991</v>
      </c>
      <c r="G53" s="15">
        <f t="shared" si="3"/>
        <v>-0.11169564779928208</v>
      </c>
      <c r="H53" s="127">
        <v>43069</v>
      </c>
      <c r="I53" s="135">
        <f t="shared" si="4"/>
        <v>-771.11000000000058</v>
      </c>
      <c r="J53" s="15">
        <f t="shared" si="5"/>
        <v>-1.7904060925491665E-2</v>
      </c>
      <c r="K53" s="51" t="s">
        <v>1695</v>
      </c>
      <c r="L53" s="100" t="s">
        <v>1696</v>
      </c>
      <c r="M53" s="104"/>
      <c r="N53" s="104"/>
      <c r="O53" s="104"/>
      <c r="P53" s="104"/>
      <c r="Q53" s="104"/>
      <c r="R53" s="104"/>
      <c r="S53" s="104"/>
      <c r="T53" s="104"/>
      <c r="U53" s="104"/>
      <c r="V53" s="104"/>
      <c r="W53" s="104"/>
    </row>
    <row r="54" spans="1:23" ht="72">
      <c r="A54" s="24" t="str">
        <v>X140</v>
      </c>
      <c r="B54" s="25" t="str">
        <v>NY</v>
      </c>
      <c r="C54" s="25" t="str">
        <f>Sites[[#This Row],[SOL'#]]</f>
        <v>SOL-10926</v>
      </c>
      <c r="D54" s="144">
        <v>24351.8125</v>
      </c>
      <c r="E54" s="143">
        <v>21025.03</v>
      </c>
      <c r="F54" s="10">
        <f t="shared" si="0"/>
        <v>3326.7825000000012</v>
      </c>
      <c r="G54" s="11">
        <f t="shared" si="3"/>
        <v>0.15822961964858082</v>
      </c>
      <c r="H54" s="148">
        <v>22757</v>
      </c>
      <c r="I54" s="134">
        <f t="shared" si="4"/>
        <v>1594.8125</v>
      </c>
      <c r="J54" s="13">
        <f t="shared" si="5"/>
        <v>7.0080085248494975E-2</v>
      </c>
      <c r="K54" s="53" t="s">
        <v>1697</v>
      </c>
      <c r="L54" s="99" t="s">
        <v>1698</v>
      </c>
      <c r="M54" s="103" t="s">
        <v>1699</v>
      </c>
      <c r="N54" s="104"/>
      <c r="O54" s="104"/>
      <c r="P54" s="104"/>
      <c r="Q54" s="104"/>
      <c r="R54" s="104"/>
      <c r="S54" s="104"/>
      <c r="T54" s="104"/>
      <c r="U54" s="104"/>
      <c r="V54" s="104"/>
      <c r="W54" s="104"/>
    </row>
    <row r="55" spans="1:23" ht="21" customHeight="1">
      <c r="A55" s="26" t="str">
        <v>X166</v>
      </c>
      <c r="B55" s="27" t="str">
        <v>NY</v>
      </c>
      <c r="C55" s="142" t="str">
        <f>Sites[[#This Row],[SOL'#]]</f>
        <v>SOL-10427</v>
      </c>
      <c r="D55" s="145">
        <v>26016.5</v>
      </c>
      <c r="E55" s="14">
        <v>25940.26</v>
      </c>
      <c r="F55" s="14">
        <f t="shared" si="0"/>
        <v>76.240000000001601</v>
      </c>
      <c r="G55" s="15">
        <f t="shared" si="3"/>
        <v>2.9390607495839135E-3</v>
      </c>
      <c r="H55" s="127">
        <v>25236</v>
      </c>
      <c r="I55" s="135">
        <f t="shared" si="4"/>
        <v>780.5</v>
      </c>
      <c r="J55" s="15">
        <f t="shared" si="5"/>
        <v>3.0928039308923759E-2</v>
      </c>
      <c r="K55" s="51"/>
      <c r="L55" s="51"/>
      <c r="M55" s="104"/>
      <c r="N55" s="104"/>
      <c r="O55" s="104"/>
      <c r="P55" s="104"/>
      <c r="Q55" s="104"/>
      <c r="R55" s="104"/>
      <c r="S55" s="104"/>
      <c r="T55" s="104"/>
      <c r="U55" s="104"/>
      <c r="V55" s="104"/>
      <c r="W55" s="104"/>
    </row>
    <row r="56" spans="1:23" ht="57.6">
      <c r="A56" s="24" t="str">
        <v>Murphy</v>
      </c>
      <c r="B56" s="25" t="str">
        <v>MN</v>
      </c>
      <c r="C56" s="25" t="str">
        <f>Sites[[#This Row],[SOL'#]]</f>
        <v>SOL-10094</v>
      </c>
      <c r="D56" s="144">
        <v>945100</v>
      </c>
      <c r="E56" s="143">
        <v>994462.4</v>
      </c>
      <c r="F56" s="10">
        <f t="shared" si="0"/>
        <v>-49362.400000000023</v>
      </c>
      <c r="G56" s="11">
        <f t="shared" si="3"/>
        <v>-4.9637271353849099E-2</v>
      </c>
      <c r="H56" s="148">
        <v>991358.7</v>
      </c>
      <c r="I56" s="134">
        <f t="shared" si="4"/>
        <v>-46258.699999999953</v>
      </c>
      <c r="J56" s="13">
        <f t="shared" si="5"/>
        <v>-4.6661919646239003E-2</v>
      </c>
      <c r="K56" s="53" t="s">
        <v>1700</v>
      </c>
      <c r="L56" s="99" t="s">
        <v>1701</v>
      </c>
      <c r="M56" s="103" t="s">
        <v>1702</v>
      </c>
      <c r="N56" s="104"/>
      <c r="O56" s="104"/>
      <c r="P56" s="104"/>
      <c r="Q56" s="104"/>
      <c r="R56" s="104"/>
      <c r="S56" s="104"/>
      <c r="T56" s="104"/>
      <c r="U56" s="104"/>
      <c r="V56" s="104"/>
      <c r="W56" s="104"/>
    </row>
    <row r="57" spans="1:23" ht="15.6">
      <c r="A57" s="26" t="str">
        <v>Terning</v>
      </c>
      <c r="B57" s="27" t="str">
        <v>MN</v>
      </c>
      <c r="C57" s="142" t="str">
        <f>Sites[[#This Row],[SOL'#]]</f>
        <v>SOL-10093</v>
      </c>
      <c r="D57" s="145">
        <v>967929.31334170699</v>
      </c>
      <c r="E57" s="14">
        <v>1034158</v>
      </c>
      <c r="F57" s="14">
        <f t="shared" si="0"/>
        <v>-66228.686658293009</v>
      </c>
      <c r="G57" s="15">
        <f t="shared" si="3"/>
        <v>-6.4041168427158138E-2</v>
      </c>
      <c r="H57" s="127">
        <v>973544.6</v>
      </c>
      <c r="I57" s="135">
        <f t="shared" si="4"/>
        <v>-5615.2866582929855</v>
      </c>
      <c r="J57" s="15">
        <f t="shared" si="5"/>
        <v>-5.7678781827694234E-3</v>
      </c>
      <c r="K57" s="51"/>
      <c r="L57" s="51"/>
      <c r="M57" s="104"/>
      <c r="N57" s="104"/>
      <c r="O57" s="104"/>
      <c r="P57" s="104"/>
      <c r="Q57" s="104"/>
      <c r="R57" s="104"/>
      <c r="S57" s="104"/>
      <c r="T57" s="104"/>
      <c r="U57" s="104"/>
      <c r="V57" s="104"/>
      <c r="W57" s="104"/>
    </row>
    <row r="58" spans="1:23" ht="72" customHeight="1">
      <c r="A58" s="24" t="str">
        <v>Boas Road 04</v>
      </c>
      <c r="B58" s="25" t="str">
        <v>NY</v>
      </c>
      <c r="C58" s="25" t="str">
        <f>Sites[[#This Row],[SOL'#]]</f>
        <v>SOL-10908</v>
      </c>
      <c r="D58" s="144">
        <v>0</v>
      </c>
      <c r="E58" s="143">
        <v>563.26</v>
      </c>
      <c r="F58" s="10">
        <f t="shared" si="0"/>
        <v>-563.26</v>
      </c>
      <c r="G58" s="11">
        <f t="shared" si="3"/>
        <v>-1</v>
      </c>
      <c r="H58" s="148">
        <v>366693.53100000002</v>
      </c>
      <c r="I58" s="134">
        <f t="shared" si="4"/>
        <v>-366693.53100000002</v>
      </c>
      <c r="J58" s="13">
        <f t="shared" si="5"/>
        <v>-1</v>
      </c>
      <c r="K58" s="53" t="s">
        <v>1703</v>
      </c>
      <c r="L58" s="99" t="s">
        <v>1704</v>
      </c>
      <c r="M58" s="103" t="s">
        <v>427</v>
      </c>
      <c r="N58" s="104"/>
      <c r="O58" s="104"/>
      <c r="P58" s="104"/>
      <c r="Q58" s="104"/>
      <c r="R58" s="104"/>
      <c r="S58" s="104"/>
      <c r="T58" s="104"/>
      <c r="U58" s="104"/>
      <c r="V58" s="104"/>
      <c r="W58" s="104"/>
    </row>
    <row r="59" spans="1:23" ht="28.9">
      <c r="A59" s="26" t="str">
        <v>Kelly Bridge Farm</v>
      </c>
      <c r="B59" s="27" t="str">
        <v>NY</v>
      </c>
      <c r="C59" s="142" t="str">
        <f>Sites[[#This Row],[SOL'#]]</f>
        <v>SOL-10911</v>
      </c>
      <c r="D59" s="145">
        <v>279986</v>
      </c>
      <c r="E59" s="14">
        <v>291537.2</v>
      </c>
      <c r="F59" s="14">
        <f t="shared" si="0"/>
        <v>-11551.200000000012</v>
      </c>
      <c r="G59" s="15">
        <f t="shared" si="3"/>
        <v>-3.9621701793115978E-2</v>
      </c>
      <c r="H59" s="127">
        <v>367668.78</v>
      </c>
      <c r="I59" s="135">
        <f t="shared" si="4"/>
        <v>-87682.780000000028</v>
      </c>
      <c r="J59" s="15">
        <f t="shared" si="5"/>
        <v>-0.23848307163855473</v>
      </c>
      <c r="K59" s="51" t="s">
        <v>1705</v>
      </c>
      <c r="L59" s="100" t="s">
        <v>1706</v>
      </c>
      <c r="M59" s="103" t="s">
        <v>427</v>
      </c>
      <c r="N59" s="104"/>
      <c r="O59" s="104"/>
      <c r="P59" s="104"/>
      <c r="Q59" s="104"/>
      <c r="R59" s="104"/>
      <c r="S59" s="104"/>
      <c r="T59" s="104"/>
      <c r="U59" s="104"/>
      <c r="V59" s="104"/>
      <c r="W59" s="104"/>
    </row>
    <row r="60" spans="1:23" ht="57.6">
      <c r="A60" s="24" t="str">
        <v>Pool Brook Road</v>
      </c>
      <c r="B60" s="25" t="str">
        <v>NY</v>
      </c>
      <c r="C60" s="25" t="str">
        <f>Sites[[#This Row],[SOL'#]]</f>
        <v>SOL-10909</v>
      </c>
      <c r="D60" s="144">
        <v>314912</v>
      </c>
      <c r="E60" s="143">
        <v>314914</v>
      </c>
      <c r="F60" s="10">
        <f t="shared" si="0"/>
        <v>-2</v>
      </c>
      <c r="G60" s="11">
        <f t="shared" si="3"/>
        <v>-6.350940256705005E-6</v>
      </c>
      <c r="H60" s="148">
        <v>367442.20699999999</v>
      </c>
      <c r="I60" s="134">
        <f t="shared" si="4"/>
        <v>-52530.206999999995</v>
      </c>
      <c r="J60" s="13">
        <f t="shared" si="5"/>
        <v>-0.14296182093201937</v>
      </c>
      <c r="K60" s="53" t="s">
        <v>1707</v>
      </c>
      <c r="L60" s="99" t="s">
        <v>1708</v>
      </c>
      <c r="M60" s="103" t="s">
        <v>1709</v>
      </c>
      <c r="N60" s="103" t="s">
        <v>1480</v>
      </c>
      <c r="O60" s="104"/>
      <c r="P60" s="104"/>
      <c r="Q60" s="104"/>
      <c r="R60" s="104"/>
      <c r="S60" s="104"/>
      <c r="T60" s="104"/>
      <c r="U60" s="104"/>
      <c r="V60" s="104"/>
      <c r="W60" s="104"/>
    </row>
    <row r="61" spans="1:23" ht="28.9">
      <c r="A61" s="26" t="str">
        <v>Sackett Lake</v>
      </c>
      <c r="B61" s="27" t="str">
        <v>NY</v>
      </c>
      <c r="C61" s="142" t="str">
        <f>Sites[[#This Row],[SOL'#]]</f>
        <v>SOL-10910</v>
      </c>
      <c r="D61" s="145">
        <v>269810</v>
      </c>
      <c r="E61" s="14">
        <v>0</v>
      </c>
      <c r="F61" s="14">
        <f t="shared" si="0"/>
        <v>269810</v>
      </c>
      <c r="G61" s="15" t="str">
        <f t="shared" si="3"/>
        <v/>
      </c>
      <c r="H61" s="127">
        <v>368427.30699999997</v>
      </c>
      <c r="I61" s="135">
        <f t="shared" si="4"/>
        <v>-98617.306999999972</v>
      </c>
      <c r="J61" s="15">
        <f t="shared" si="5"/>
        <v>-0.26767100355023354</v>
      </c>
      <c r="K61" s="51" t="s">
        <v>1710</v>
      </c>
      <c r="L61" s="100" t="s">
        <v>1711</v>
      </c>
      <c r="M61" s="103" t="s">
        <v>1712</v>
      </c>
      <c r="N61" s="104"/>
      <c r="O61" s="104"/>
      <c r="P61" s="104"/>
      <c r="Q61" s="104"/>
      <c r="R61" s="104"/>
      <c r="S61" s="104"/>
      <c r="T61" s="104"/>
      <c r="U61" s="104"/>
      <c r="V61" s="104"/>
      <c r="W61" s="104"/>
    </row>
    <row r="62" spans="1:23" ht="15.6">
      <c r="A62" s="24" t="str">
        <v>Burritt Road</v>
      </c>
      <c r="B62" s="25" t="str">
        <v>NY</v>
      </c>
      <c r="C62" s="25" t="str">
        <f>Sites[[#This Row],[SOL'#]]</f>
        <v>SOL-10913</v>
      </c>
      <c r="D62" s="144">
        <v>398500</v>
      </c>
      <c r="E62" s="143">
        <v>430529.9</v>
      </c>
      <c r="F62" s="10">
        <f t="shared" si="0"/>
        <v>-32029.900000000023</v>
      </c>
      <c r="G62" s="11">
        <f t="shared" si="3"/>
        <v>-7.4396458875446325E-2</v>
      </c>
      <c r="H62" s="148">
        <v>378656.34299999999</v>
      </c>
      <c r="I62" s="148">
        <f t="shared" si="4"/>
        <v>19843.657000000007</v>
      </c>
      <c r="J62" s="64">
        <f t="shared" si="5"/>
        <v>5.2405452508159901E-2</v>
      </c>
      <c r="K62" s="73" t="s">
        <v>1713</v>
      </c>
      <c r="L62" s="101" t="s">
        <v>1714</v>
      </c>
      <c r="M62" s="104"/>
      <c r="N62" s="104"/>
      <c r="O62" s="104"/>
      <c r="P62" s="104"/>
      <c r="Q62" s="104"/>
      <c r="R62" s="104"/>
      <c r="S62" s="104"/>
      <c r="T62" s="104"/>
      <c r="U62" s="104"/>
      <c r="V62" s="104"/>
      <c r="W62" s="104"/>
    </row>
    <row r="63" spans="1:23" ht="28.9">
      <c r="A63" s="26" t="str">
        <v>Villa Roma 1</v>
      </c>
      <c r="B63" s="27" t="str">
        <v>NY</v>
      </c>
      <c r="C63" s="142" t="str">
        <f>Sites[[#This Row],[SOL'#]]</f>
        <v>SOL-10914</v>
      </c>
      <c r="D63" s="145">
        <v>347648</v>
      </c>
      <c r="E63" s="14">
        <v>235.4</v>
      </c>
      <c r="F63" s="14">
        <f t="shared" si="0"/>
        <v>347412.6</v>
      </c>
      <c r="G63" s="15">
        <f t="shared" si="3"/>
        <v>1475.8394222599829</v>
      </c>
      <c r="H63" s="127">
        <v>332963.71600000001</v>
      </c>
      <c r="I63" s="135">
        <f t="shared" si="4"/>
        <v>14684.283999999985</v>
      </c>
      <c r="J63" s="15">
        <f t="shared" si="5"/>
        <v>4.4101754318479507E-2</v>
      </c>
      <c r="K63" s="51" t="s">
        <v>967</v>
      </c>
      <c r="L63" s="100" t="s">
        <v>716</v>
      </c>
      <c r="M63" s="104"/>
      <c r="N63" s="104"/>
      <c r="O63" s="104"/>
      <c r="P63" s="104"/>
      <c r="Q63" s="104"/>
      <c r="R63" s="104"/>
      <c r="S63" s="104"/>
      <c r="T63" s="104"/>
      <c r="U63" s="104"/>
      <c r="V63" s="104"/>
      <c r="W63" s="104"/>
    </row>
    <row r="64" spans="1:23" ht="15.6">
      <c r="A64" s="24" t="str">
        <v>Villa Roma 2</v>
      </c>
      <c r="B64" s="25" t="str">
        <v>NY</v>
      </c>
      <c r="C64" s="25" t="str">
        <f>Sites[[#This Row],[SOL'#]]</f>
        <v>SOL-10915</v>
      </c>
      <c r="D64" s="144">
        <v>328208</v>
      </c>
      <c r="E64" s="143">
        <v>363593.2</v>
      </c>
      <c r="F64" s="10">
        <f t="shared" si="0"/>
        <v>-35385.200000000012</v>
      </c>
      <c r="G64" s="11">
        <f t="shared" si="3"/>
        <v>-9.7320851985130657E-2</v>
      </c>
      <c r="H64" s="148">
        <v>323112.71799999999</v>
      </c>
      <c r="I64" s="134">
        <f t="shared" si="4"/>
        <v>5095.2820000000065</v>
      </c>
      <c r="J64" s="13">
        <f t="shared" si="5"/>
        <v>1.5769363804491305E-2</v>
      </c>
      <c r="K64" s="53"/>
      <c r="L64" s="53"/>
      <c r="M64" s="104"/>
      <c r="N64" s="104"/>
      <c r="O64" s="104"/>
      <c r="P64" s="104"/>
      <c r="Q64" s="104"/>
      <c r="R64" s="104"/>
      <c r="S64" s="104"/>
      <c r="T64" s="104"/>
      <c r="U64" s="104"/>
      <c r="V64" s="104"/>
      <c r="W64" s="104"/>
    </row>
    <row r="65" spans="1:26" ht="43.15">
      <c r="A65" s="26" t="str">
        <v>Washington 1</v>
      </c>
      <c r="B65" s="27" t="str">
        <v>NY</v>
      </c>
      <c r="C65" s="142" t="str">
        <f>Sites[[#This Row],[SOL'#]]</f>
        <v>SOL-10912</v>
      </c>
      <c r="D65" s="145">
        <v>363420</v>
      </c>
      <c r="E65" s="14">
        <v>429002.3</v>
      </c>
      <c r="F65" s="14">
        <f t="shared" si="0"/>
        <v>-65582.299999999988</v>
      </c>
      <c r="G65" s="15">
        <f t="shared" si="3"/>
        <v>-0.15287167458076562</v>
      </c>
      <c r="H65" s="127">
        <v>374337.90500000003</v>
      </c>
      <c r="I65" s="135">
        <f t="shared" si="4"/>
        <v>-10917.905000000028</v>
      </c>
      <c r="J65" s="15">
        <f t="shared" si="5"/>
        <v>-2.9165908272099847E-2</v>
      </c>
      <c r="K65" s="51" t="s">
        <v>1715</v>
      </c>
      <c r="L65" s="100" t="s">
        <v>1716</v>
      </c>
      <c r="M65" s="104"/>
      <c r="N65" s="104"/>
      <c r="O65" s="104"/>
      <c r="P65" s="104"/>
      <c r="Q65" s="104"/>
      <c r="R65" s="104"/>
      <c r="S65" s="104"/>
      <c r="T65" s="104"/>
      <c r="U65" s="104"/>
      <c r="V65" s="104"/>
      <c r="W65" s="104"/>
    </row>
    <row r="66" spans="1:26" ht="57.6">
      <c r="A66" s="24" t="str">
        <v>Washington 3</v>
      </c>
      <c r="B66" s="25" t="str">
        <v>NY</v>
      </c>
      <c r="C66" s="25" t="str">
        <f>Sites[[#This Row],[SOL'#]]</f>
        <v>SOL-10828</v>
      </c>
      <c r="D66" s="144">
        <v>407946</v>
      </c>
      <c r="E66" s="143">
        <v>1087185.71</v>
      </c>
      <c r="F66" s="10">
        <f t="shared" si="0"/>
        <v>-679239.71</v>
      </c>
      <c r="G66" s="11">
        <f t="shared" si="3"/>
        <v>-0.62476879869953406</v>
      </c>
      <c r="H66" s="148">
        <v>457165.092</v>
      </c>
      <c r="I66" s="134">
        <f t="shared" si="4"/>
        <v>-49219.092000000004</v>
      </c>
      <c r="J66" s="13">
        <f t="shared" si="5"/>
        <v>-0.10766152722789256</v>
      </c>
      <c r="K66" s="53" t="s">
        <v>1717</v>
      </c>
      <c r="L66" s="99" t="s">
        <v>1718</v>
      </c>
      <c r="M66" s="104"/>
      <c r="N66" s="104"/>
      <c r="O66" s="104"/>
      <c r="P66" s="104"/>
      <c r="Q66" s="104"/>
      <c r="R66" s="104"/>
      <c r="S66" s="104"/>
      <c r="T66" s="104"/>
      <c r="U66" s="104"/>
      <c r="V66" s="104"/>
      <c r="W66" s="104"/>
    </row>
    <row r="67" spans="1:26" ht="15.6">
      <c r="A67" s="26" t="str">
        <v>Washington 4</v>
      </c>
      <c r="B67" s="27" t="str">
        <v>NY</v>
      </c>
      <c r="C67" s="142" t="str">
        <f>Sites[[#This Row],[SOL'#]]</f>
        <v>SOL-10829</v>
      </c>
      <c r="D67" s="145">
        <v>475165</v>
      </c>
      <c r="E67" s="14">
        <v>509908.8</v>
      </c>
      <c r="F67" s="14">
        <f t="shared" si="0"/>
        <v>-34743.799999999988</v>
      </c>
      <c r="G67" s="15">
        <f t="shared" si="3"/>
        <v>-6.8137282588572684E-2</v>
      </c>
      <c r="H67" s="127">
        <v>458187.62599999999</v>
      </c>
      <c r="I67" s="135">
        <f t="shared" si="4"/>
        <v>16977.374000000011</v>
      </c>
      <c r="J67" s="15">
        <f t="shared" si="5"/>
        <v>3.7053322780043849E-2</v>
      </c>
      <c r="K67" s="51"/>
      <c r="L67" s="51"/>
      <c r="M67" s="104"/>
      <c r="N67" s="104"/>
      <c r="O67" s="104"/>
      <c r="P67" s="104"/>
      <c r="Q67" s="104"/>
      <c r="R67" s="104"/>
      <c r="S67" s="104"/>
      <c r="T67" s="104"/>
      <c r="U67" s="104"/>
      <c r="V67" s="104"/>
      <c r="W67" s="104"/>
    </row>
    <row r="68" spans="1:26" ht="15.6">
      <c r="A68" s="24" t="str">
        <v>Big Tree</v>
      </c>
      <c r="B68" s="25" t="str">
        <v>NY</v>
      </c>
      <c r="C68" s="25" t="str">
        <f>Sites[[#This Row],[SOL'#]]</f>
        <v>SOL-10966</v>
      </c>
      <c r="D68" s="144">
        <v>406110</v>
      </c>
      <c r="E68" s="143">
        <v>405140</v>
      </c>
      <c r="F68" s="10">
        <f t="shared" si="0"/>
        <v>970</v>
      </c>
      <c r="G68" s="11">
        <f t="shared" si="3"/>
        <v>2.3942340919188431E-3</v>
      </c>
      <c r="H68" s="148">
        <v>378199.1</v>
      </c>
      <c r="I68" s="134">
        <f t="shared" si="4"/>
        <v>27910.900000000023</v>
      </c>
      <c r="J68" s="13">
        <f t="shared" si="5"/>
        <v>7.3799488153197687E-2</v>
      </c>
      <c r="K68" s="53"/>
      <c r="L68" s="53"/>
      <c r="M68" s="104"/>
      <c r="N68" s="104"/>
      <c r="O68" s="104"/>
      <c r="P68" s="104"/>
      <c r="Q68" s="104"/>
      <c r="R68" s="104"/>
      <c r="S68" s="104"/>
      <c r="T68" s="104"/>
      <c r="U68" s="104"/>
      <c r="V68" s="104"/>
      <c r="W68" s="104"/>
    </row>
    <row r="69" spans="1:26" ht="28.9">
      <c r="A69" s="26" t="str">
        <v>Canoga</v>
      </c>
      <c r="B69" s="27" t="str">
        <v>NY</v>
      </c>
      <c r="C69" s="142" t="str">
        <f>Sites[[#This Row],[SOL'#]]</f>
        <v>SOL-10965</v>
      </c>
      <c r="D69" s="145">
        <v>1069950</v>
      </c>
      <c r="E69" s="14" t="s">
        <v>661</v>
      </c>
      <c r="F69" s="14" t="str">
        <f t="shared" ref="F69:F132" si="6">IF(AND(ISNUMBER(D69),ISNUMBER(E69)), D69-E69, "")</f>
        <v/>
      </c>
      <c r="G69" s="15" t="str">
        <f t="shared" si="3"/>
        <v/>
      </c>
      <c r="H69" s="127">
        <v>0</v>
      </c>
      <c r="I69" s="135">
        <f t="shared" si="4"/>
        <v>1069950</v>
      </c>
      <c r="J69" s="15" t="str">
        <f t="shared" si="5"/>
        <v/>
      </c>
      <c r="K69" s="51" t="s">
        <v>1719</v>
      </c>
      <c r="L69" s="100" t="s">
        <v>1720</v>
      </c>
      <c r="M69" s="103" t="s">
        <v>1721</v>
      </c>
      <c r="N69" s="104"/>
      <c r="O69" s="104"/>
      <c r="P69" s="104"/>
      <c r="Q69" s="104"/>
      <c r="R69" s="104"/>
      <c r="S69" s="104"/>
      <c r="T69" s="104"/>
      <c r="U69" s="104"/>
      <c r="V69" s="104"/>
      <c r="W69" s="104"/>
    </row>
    <row r="70" spans="1:26" ht="43.15">
      <c r="A70" s="24" t="str">
        <v>County Route 84</v>
      </c>
      <c r="B70" s="25" t="str">
        <v>NY</v>
      </c>
      <c r="C70" s="25" t="str">
        <f>Sites[[#This Row],[SOL'#]]</f>
        <v>SOL-10967</v>
      </c>
      <c r="D70" s="144">
        <v>1025200</v>
      </c>
      <c r="E70" s="143">
        <v>944680</v>
      </c>
      <c r="F70" s="10">
        <f t="shared" si="6"/>
        <v>80520</v>
      </c>
      <c r="G70" s="11">
        <f t="shared" ref="G70:G133" si="7">IFERROR(F70/E70, "")</f>
        <v>8.5235211923614343E-2</v>
      </c>
      <c r="H70" s="148">
        <v>965891.88399999996</v>
      </c>
      <c r="I70" s="134">
        <f t="shared" si="4"/>
        <v>59308.116000000038</v>
      </c>
      <c r="J70" s="13">
        <f t="shared" si="5"/>
        <v>6.1402437459553226E-2</v>
      </c>
      <c r="K70" s="53" t="s">
        <v>1722</v>
      </c>
      <c r="L70" s="99" t="s">
        <v>1723</v>
      </c>
      <c r="M70" s="104"/>
      <c r="N70" s="104"/>
      <c r="O70" s="104"/>
      <c r="P70" s="104"/>
      <c r="Q70" s="104"/>
      <c r="R70" s="104"/>
      <c r="S70" s="104"/>
      <c r="T70" s="104"/>
      <c r="U70" s="104"/>
      <c r="V70" s="104"/>
      <c r="W70" s="104"/>
    </row>
    <row r="71" spans="1:26" ht="28.9">
      <c r="A71" s="26" t="str">
        <v>Donati</v>
      </c>
      <c r="B71" s="27" t="str">
        <v>NY</v>
      </c>
      <c r="C71" s="142" t="str">
        <f>Sites[[#This Row],[SOL'#]]</f>
        <v>SOL-10968</v>
      </c>
      <c r="D71" s="145">
        <v>351070</v>
      </c>
      <c r="E71" s="14" t="s">
        <v>661</v>
      </c>
      <c r="F71" s="14" t="str">
        <f t="shared" si="6"/>
        <v/>
      </c>
      <c r="G71" s="15" t="str">
        <f t="shared" si="7"/>
        <v/>
      </c>
      <c r="H71" s="127">
        <v>486664.69099999999</v>
      </c>
      <c r="I71" s="135">
        <f t="shared" si="4"/>
        <v>-135594.69099999999</v>
      </c>
      <c r="J71" s="15">
        <f t="shared" si="5"/>
        <v>-0.27862035916634847</v>
      </c>
      <c r="K71" s="51" t="s">
        <v>1724</v>
      </c>
      <c r="L71" s="100" t="s">
        <v>1725</v>
      </c>
      <c r="M71" s="103" t="s">
        <v>728</v>
      </c>
      <c r="N71" s="104"/>
      <c r="O71" s="104"/>
      <c r="P71" s="104"/>
      <c r="Q71" s="104"/>
      <c r="R71" s="104"/>
      <c r="S71" s="104"/>
      <c r="T71" s="104"/>
      <c r="U71" s="104"/>
      <c r="V71" s="104"/>
      <c r="W71" s="104"/>
    </row>
    <row r="72" spans="1:26" ht="43.15">
      <c r="A72" s="24" t="str">
        <v>Henrietta</v>
      </c>
      <c r="B72" s="25" t="str">
        <v>NY</v>
      </c>
      <c r="C72" s="25" t="str">
        <f>Sites[[#This Row],[SOL'#]]</f>
        <v>SOL-10972</v>
      </c>
      <c r="D72" s="144">
        <v>1061840</v>
      </c>
      <c r="E72" s="143">
        <v>1060120</v>
      </c>
      <c r="F72" s="10">
        <f t="shared" si="6"/>
        <v>1720</v>
      </c>
      <c r="G72" s="11">
        <f t="shared" si="7"/>
        <v>1.6224578349620798E-3</v>
      </c>
      <c r="H72" s="148">
        <v>1004776.373</v>
      </c>
      <c r="I72" s="134">
        <f t="shared" si="4"/>
        <v>57063.626999999979</v>
      </c>
      <c r="J72" s="13">
        <f t="shared" si="5"/>
        <v>5.6792365478920331E-2</v>
      </c>
      <c r="K72" s="53" t="s">
        <v>1726</v>
      </c>
      <c r="L72" s="99" t="s">
        <v>1727</v>
      </c>
      <c r="M72" s="103" t="s">
        <v>1728</v>
      </c>
      <c r="N72" s="104"/>
      <c r="O72" s="104"/>
      <c r="P72" s="104"/>
      <c r="Q72" s="104"/>
      <c r="R72" s="104"/>
      <c r="S72" s="104"/>
      <c r="T72" s="104"/>
      <c r="U72" s="104"/>
      <c r="V72" s="104"/>
      <c r="W72" s="104"/>
    </row>
    <row r="73" spans="1:26" ht="86.45">
      <c r="A73" s="26" t="str">
        <v>NY 70</v>
      </c>
      <c r="B73" s="27" t="str">
        <v>NY</v>
      </c>
      <c r="C73" s="142" t="str">
        <f>Sites[[#This Row],[SOL'#]]</f>
        <v>SOL-10970</v>
      </c>
      <c r="D73" s="145">
        <v>1145390</v>
      </c>
      <c r="E73" s="14">
        <v>1142500</v>
      </c>
      <c r="F73" s="14">
        <f t="shared" si="6"/>
        <v>2890</v>
      </c>
      <c r="G73" s="15">
        <f t="shared" si="7"/>
        <v>2.5295404814004376E-3</v>
      </c>
      <c r="H73" s="127">
        <v>1091441.21</v>
      </c>
      <c r="I73" s="135">
        <f t="shared" si="4"/>
        <v>53948.790000000037</v>
      </c>
      <c r="J73" s="15">
        <f t="shared" si="5"/>
        <v>4.9428947254062397E-2</v>
      </c>
      <c r="K73" s="51" t="s">
        <v>1729</v>
      </c>
      <c r="L73" s="100" t="s">
        <v>1730</v>
      </c>
      <c r="M73" s="103" t="s">
        <v>1731</v>
      </c>
      <c r="N73" s="103" t="s">
        <v>1732</v>
      </c>
      <c r="O73" s="103" t="s">
        <v>1733</v>
      </c>
      <c r="P73" s="104"/>
      <c r="Q73" s="104"/>
      <c r="R73" s="104"/>
      <c r="S73" s="104"/>
      <c r="T73" s="104"/>
      <c r="U73" s="104"/>
      <c r="V73" s="104"/>
      <c r="W73" s="104"/>
    </row>
    <row r="74" spans="1:26" ht="351.75" customHeight="1">
      <c r="A74" s="24" t="str">
        <v>Reid</v>
      </c>
      <c r="B74" s="25" t="str">
        <v>NY</v>
      </c>
      <c r="C74" s="25" t="str">
        <f>Sites[[#This Row],[SOL'#]]</f>
        <v>SOL-10991</v>
      </c>
      <c r="D74" s="144">
        <v>892282.99835616001</v>
      </c>
      <c r="E74" s="143">
        <v>914463.5</v>
      </c>
      <c r="F74" s="10">
        <f t="shared" si="6"/>
        <v>-22180.501643839991</v>
      </c>
      <c r="G74" s="11">
        <f t="shared" si="7"/>
        <v>-2.4255207172117849E-2</v>
      </c>
      <c r="H74" s="148">
        <v>880052</v>
      </c>
      <c r="I74" s="134">
        <f t="shared" si="4"/>
        <v>12230.998356160009</v>
      </c>
      <c r="J74" s="13">
        <f t="shared" si="5"/>
        <v>1.3898040520514708E-2</v>
      </c>
      <c r="K74" s="53" t="s">
        <v>1734</v>
      </c>
      <c r="L74" s="99" t="s">
        <v>1735</v>
      </c>
      <c r="M74" s="103" t="s">
        <v>1736</v>
      </c>
      <c r="N74" s="103" t="s">
        <v>1737</v>
      </c>
      <c r="O74" s="103" t="s">
        <v>1738</v>
      </c>
      <c r="P74" s="103" t="s">
        <v>1739</v>
      </c>
      <c r="Q74" s="103" t="s">
        <v>1740</v>
      </c>
      <c r="R74" s="103" t="s">
        <v>1737</v>
      </c>
      <c r="S74" s="103" t="s">
        <v>1741</v>
      </c>
      <c r="T74" s="103" t="s">
        <v>1737</v>
      </c>
      <c r="U74" s="103" t="s">
        <v>1742</v>
      </c>
      <c r="V74" s="103" t="s">
        <v>1743</v>
      </c>
      <c r="W74" s="103" t="s">
        <v>1744</v>
      </c>
      <c r="X74" s="112" t="s">
        <v>1745</v>
      </c>
      <c r="Y74" s="112" t="s">
        <v>1737</v>
      </c>
      <c r="Z74" s="112" t="s">
        <v>1746</v>
      </c>
    </row>
    <row r="75" spans="1:26" ht="24.75" customHeight="1">
      <c r="A75" s="26" t="str">
        <v>Sangolqui</v>
      </c>
      <c r="B75" s="27" t="str">
        <v>NY</v>
      </c>
      <c r="C75" s="142" t="str">
        <f>Sites[[#This Row],[SOL'#]]</f>
        <v>SOL-10975</v>
      </c>
      <c r="D75" s="145">
        <v>516940</v>
      </c>
      <c r="E75" s="14">
        <v>464570</v>
      </c>
      <c r="F75" s="14">
        <f t="shared" si="6"/>
        <v>52370</v>
      </c>
      <c r="G75" s="15">
        <f t="shared" si="7"/>
        <v>0.11272789891727834</v>
      </c>
      <c r="H75" s="127">
        <v>474404.41499999998</v>
      </c>
      <c r="I75" s="135">
        <f t="shared" si="4"/>
        <v>42535.585000000021</v>
      </c>
      <c r="J75" s="15">
        <f t="shared" si="5"/>
        <v>8.9661022653003811E-2</v>
      </c>
      <c r="K75" s="51" t="s">
        <v>1747</v>
      </c>
      <c r="L75" s="100" t="s">
        <v>1748</v>
      </c>
      <c r="M75" s="104"/>
      <c r="N75" s="104"/>
      <c r="O75" s="104"/>
      <c r="P75" s="104"/>
      <c r="Q75" s="104"/>
      <c r="R75" s="104"/>
      <c r="S75" s="104"/>
      <c r="T75" s="104"/>
      <c r="U75" s="104"/>
      <c r="V75" s="104"/>
      <c r="W75" s="104"/>
    </row>
    <row r="76" spans="1:26" ht="28.9">
      <c r="A76" s="24" t="str">
        <v>State Highway 17B</v>
      </c>
      <c r="B76" s="25" t="str">
        <v>NY</v>
      </c>
      <c r="C76" s="25" t="str">
        <f>Sites[[#This Row],[SOL'#]]</f>
        <v>SOL-10988</v>
      </c>
      <c r="D76" s="144">
        <v>895960</v>
      </c>
      <c r="E76" s="143"/>
      <c r="F76" s="10" t="str">
        <f t="shared" si="6"/>
        <v/>
      </c>
      <c r="G76" s="11" t="str">
        <f t="shared" si="7"/>
        <v/>
      </c>
      <c r="H76" s="148"/>
      <c r="I76" s="134" t="str">
        <f t="shared" si="4"/>
        <v/>
      </c>
      <c r="J76" s="13" t="str">
        <f t="shared" si="5"/>
        <v/>
      </c>
      <c r="K76" s="53" t="s">
        <v>1749</v>
      </c>
      <c r="L76" s="99" t="s">
        <v>1750</v>
      </c>
      <c r="M76" s="104"/>
      <c r="N76" s="104"/>
      <c r="O76" s="104"/>
      <c r="P76" s="104"/>
      <c r="Q76" s="104"/>
      <c r="R76" s="104"/>
      <c r="S76" s="104"/>
      <c r="T76" s="104"/>
      <c r="U76" s="104"/>
      <c r="V76" s="104"/>
      <c r="W76" s="104"/>
    </row>
    <row r="77" spans="1:26" ht="86.45">
      <c r="A77" s="26" t="str">
        <v>State Route 14A</v>
      </c>
      <c r="B77" s="27" t="str">
        <v>NY</v>
      </c>
      <c r="C77" s="142" t="str">
        <f>Sites[[#This Row],[SOL'#]]</f>
        <v>SOL-10997</v>
      </c>
      <c r="D77" s="145">
        <v>0</v>
      </c>
      <c r="E77" s="14">
        <v>0</v>
      </c>
      <c r="F77" s="14">
        <f t="shared" si="6"/>
        <v>0</v>
      </c>
      <c r="G77" s="15" t="str">
        <f t="shared" si="7"/>
        <v/>
      </c>
      <c r="H77" s="127">
        <v>983561.84</v>
      </c>
      <c r="I77" s="135">
        <f t="shared" si="4"/>
        <v>-983561.84</v>
      </c>
      <c r="J77" s="15">
        <f t="shared" si="5"/>
        <v>-1</v>
      </c>
      <c r="K77" s="51" t="s">
        <v>1510</v>
      </c>
      <c r="L77" s="100" t="s">
        <v>1751</v>
      </c>
      <c r="M77" s="103" t="s">
        <v>999</v>
      </c>
      <c r="N77" s="103" t="s">
        <v>1512</v>
      </c>
      <c r="O77" s="104"/>
      <c r="P77" s="104"/>
      <c r="Q77" s="104"/>
      <c r="R77" s="104"/>
      <c r="S77" s="104"/>
      <c r="T77" s="104"/>
      <c r="U77" s="104"/>
      <c r="V77" s="104"/>
      <c r="W77" s="104"/>
    </row>
    <row r="78" spans="1:26" ht="61.5" customHeight="1">
      <c r="A78" s="24" t="str">
        <v>West Creek</v>
      </c>
      <c r="B78" s="25" t="str">
        <v>NY</v>
      </c>
      <c r="C78" s="25" t="str">
        <f>Sites[[#This Row],[SOL'#]]</f>
        <v>SOL-10995</v>
      </c>
      <c r="D78" s="144">
        <v>961630</v>
      </c>
      <c r="E78" s="143">
        <v>793500</v>
      </c>
      <c r="F78" s="10">
        <f t="shared" si="6"/>
        <v>168130</v>
      </c>
      <c r="G78" s="11">
        <f t="shared" si="7"/>
        <v>0.21188405797101451</v>
      </c>
      <c r="H78" s="148">
        <v>976026.25399999996</v>
      </c>
      <c r="I78" s="134">
        <f t="shared" si="4"/>
        <v>-14396.253999999957</v>
      </c>
      <c r="J78" s="13">
        <f t="shared" si="5"/>
        <v>-1.4749863480618993E-2</v>
      </c>
      <c r="K78" s="53" t="s">
        <v>1752</v>
      </c>
      <c r="L78" s="99" t="s">
        <v>1753</v>
      </c>
      <c r="M78" s="103" t="s">
        <v>1754</v>
      </c>
      <c r="N78" s="103" t="s">
        <v>1755</v>
      </c>
      <c r="O78" s="104"/>
      <c r="P78" s="104"/>
      <c r="Q78" s="104"/>
      <c r="R78" s="104"/>
      <c r="S78" s="104"/>
      <c r="T78" s="104"/>
      <c r="U78" s="104"/>
      <c r="V78" s="104"/>
      <c r="W78" s="104"/>
    </row>
    <row r="79" spans="1:26" ht="90.75" customHeight="1">
      <c r="A79" s="26" t="str">
        <v>Wildflower</v>
      </c>
      <c r="B79" s="27" t="str">
        <v>NY</v>
      </c>
      <c r="C79" s="142" t="str">
        <f>Sites[[#This Row],[SOL'#]]</f>
        <v>SOL-10982</v>
      </c>
      <c r="D79" s="145">
        <v>877224</v>
      </c>
      <c r="E79" s="14">
        <v>874959</v>
      </c>
      <c r="F79" s="14">
        <f t="shared" si="6"/>
        <v>2265</v>
      </c>
      <c r="G79" s="15">
        <f t="shared" si="7"/>
        <v>2.5886927273163656E-3</v>
      </c>
      <c r="H79" s="127">
        <v>939540.5</v>
      </c>
      <c r="I79" s="135">
        <f t="shared" si="4"/>
        <v>-62316.5</v>
      </c>
      <c r="J79" s="15">
        <f t="shared" si="5"/>
        <v>-6.6326571339926269E-2</v>
      </c>
      <c r="K79" s="51" t="s">
        <v>1756</v>
      </c>
      <c r="L79" s="100" t="s">
        <v>1757</v>
      </c>
      <c r="M79" s="103" t="s">
        <v>1758</v>
      </c>
      <c r="N79" s="104"/>
      <c r="O79" s="104"/>
      <c r="P79" s="104"/>
      <c r="Q79" s="104"/>
      <c r="R79" s="104"/>
      <c r="S79" s="104"/>
      <c r="T79" s="104"/>
      <c r="U79" s="104"/>
      <c r="V79" s="104"/>
      <c r="W79" s="104"/>
    </row>
    <row r="80" spans="1:26" ht="28.9">
      <c r="A80" s="24" t="str">
        <v>Glen Mary 1</v>
      </c>
      <c r="B80" s="25" t="str">
        <v>NY</v>
      </c>
      <c r="C80" s="25" t="str">
        <f>Sites[[#This Row],[SOL'#]]</f>
        <v>SOL-10993</v>
      </c>
      <c r="D80" s="144">
        <v>971890</v>
      </c>
      <c r="E80" s="143">
        <v>968460</v>
      </c>
      <c r="F80" s="10">
        <f t="shared" si="6"/>
        <v>3430</v>
      </c>
      <c r="G80" s="11">
        <f t="shared" si="7"/>
        <v>3.5417053879354854E-3</v>
      </c>
      <c r="H80" s="148">
        <v>977485.50899999996</v>
      </c>
      <c r="I80" s="134">
        <f t="shared" si="4"/>
        <v>-5595.5089999999618</v>
      </c>
      <c r="J80" s="13">
        <f t="shared" si="5"/>
        <v>-5.7243907438836129E-3</v>
      </c>
      <c r="K80" s="53" t="s">
        <v>1759</v>
      </c>
      <c r="L80" s="99" t="s">
        <v>1760</v>
      </c>
      <c r="M80" s="104"/>
      <c r="N80" s="104"/>
      <c r="O80" s="104"/>
      <c r="P80" s="104"/>
      <c r="Q80" s="104"/>
      <c r="R80" s="104"/>
      <c r="S80" s="104"/>
      <c r="T80" s="104"/>
      <c r="U80" s="104"/>
      <c r="V80" s="104"/>
      <c r="W80" s="104"/>
    </row>
    <row r="81" spans="1:23" ht="66" customHeight="1">
      <c r="A81" s="26" t="str">
        <v>Glen Mary 2</v>
      </c>
      <c r="B81" s="27" t="str">
        <v>NY</v>
      </c>
      <c r="C81" s="142" t="str">
        <f>Sites[[#This Row],[SOL'#]]</f>
        <v>SOL-10994</v>
      </c>
      <c r="D81" s="145">
        <v>423580</v>
      </c>
      <c r="E81" s="14">
        <v>256240</v>
      </c>
      <c r="F81" s="14">
        <f t="shared" si="6"/>
        <v>167340</v>
      </c>
      <c r="G81" s="68">
        <f t="shared" si="7"/>
        <v>0.65305963159537939</v>
      </c>
      <c r="H81" s="127">
        <v>416453.55800000002</v>
      </c>
      <c r="I81" s="127">
        <f t="shared" si="4"/>
        <v>7126.4419999999809</v>
      </c>
      <c r="J81" s="68">
        <f t="shared" si="5"/>
        <v>1.7112213026164086E-2</v>
      </c>
      <c r="K81" s="51" t="s">
        <v>1761</v>
      </c>
      <c r="L81" s="100" t="s">
        <v>1762</v>
      </c>
      <c r="M81" s="103" t="s">
        <v>1763</v>
      </c>
      <c r="N81" s="103" t="s">
        <v>1764</v>
      </c>
      <c r="O81" s="104"/>
      <c r="P81" s="104"/>
      <c r="Q81" s="104"/>
      <c r="R81" s="104"/>
      <c r="S81" s="104"/>
      <c r="T81" s="104"/>
      <c r="U81" s="104"/>
      <c r="V81" s="104"/>
      <c r="W81" s="104"/>
    </row>
    <row r="82" spans="1:23" ht="57.75" customHeight="1">
      <c r="A82" s="24" t="str">
        <v>Telegraph 1</v>
      </c>
      <c r="B82" s="25" t="str">
        <v>NY</v>
      </c>
      <c r="C82" s="25" t="str">
        <f>Sites[[#This Row],[SOL'#]]</f>
        <v>SOL-11003</v>
      </c>
      <c r="D82" s="144">
        <v>718090</v>
      </c>
      <c r="E82" s="143" t="s">
        <v>661</v>
      </c>
      <c r="F82" s="10" t="str">
        <f t="shared" si="6"/>
        <v/>
      </c>
      <c r="G82" s="11" t="str">
        <f t="shared" si="7"/>
        <v/>
      </c>
      <c r="H82" s="148">
        <v>685999.96699999995</v>
      </c>
      <c r="I82" s="134">
        <f t="shared" ref="I82:I145" si="8">IF(AND(ISNUMBER(D82),ISNUMBER(H82)), D82-H82, "")</f>
        <v>32090.033000000054</v>
      </c>
      <c r="J82" s="13">
        <f t="shared" ref="J82:J145" si="9">IFERROR(I82/H82, "")</f>
        <v>4.6778476011209567E-2</v>
      </c>
      <c r="K82" s="53" t="s">
        <v>1765</v>
      </c>
      <c r="L82" s="99" t="s">
        <v>1766</v>
      </c>
      <c r="M82" s="103" t="s">
        <v>1767</v>
      </c>
      <c r="N82" s="103" t="s">
        <v>1768</v>
      </c>
      <c r="O82" s="104"/>
      <c r="P82" s="104"/>
      <c r="Q82" s="104"/>
      <c r="R82" s="104"/>
      <c r="S82" s="104"/>
      <c r="T82" s="104"/>
      <c r="U82" s="104"/>
      <c r="V82" s="104"/>
      <c r="W82" s="104"/>
    </row>
    <row r="83" spans="1:23" ht="59.45" customHeight="1">
      <c r="A83" s="26" t="str">
        <v>Telegraph 2</v>
      </c>
      <c r="B83" s="27" t="str">
        <v>NY</v>
      </c>
      <c r="C83" s="142" t="str">
        <f>Sites[[#This Row],[SOL'#]]</f>
        <v>SOL-11004</v>
      </c>
      <c r="D83" s="145">
        <v>352930</v>
      </c>
      <c r="E83" s="14" t="s">
        <v>661</v>
      </c>
      <c r="F83" s="14" t="str">
        <f t="shared" si="6"/>
        <v/>
      </c>
      <c r="G83" s="15" t="str">
        <f t="shared" si="7"/>
        <v/>
      </c>
      <c r="H83" s="127">
        <v>357075.71600000001</v>
      </c>
      <c r="I83" s="135">
        <f t="shared" si="8"/>
        <v>-4145.7160000000149</v>
      </c>
      <c r="J83" s="15">
        <f t="shared" si="9"/>
        <v>-1.1610187459513531E-2</v>
      </c>
      <c r="K83" s="51" t="s">
        <v>1769</v>
      </c>
      <c r="L83" s="100" t="s">
        <v>1770</v>
      </c>
      <c r="M83" s="103" t="s">
        <v>1771</v>
      </c>
      <c r="N83" s="103" t="s">
        <v>1772</v>
      </c>
      <c r="O83" s="104"/>
      <c r="P83" s="104"/>
      <c r="Q83" s="104"/>
      <c r="R83" s="104"/>
      <c r="S83" s="104"/>
      <c r="T83" s="104"/>
      <c r="U83" s="104"/>
      <c r="V83" s="104"/>
      <c r="W83" s="104"/>
    </row>
    <row r="84" spans="1:23" ht="15.6">
      <c r="A84" s="24" t="str">
        <v>Cafferty Hill</v>
      </c>
      <c r="B84" s="25" t="str">
        <v>NY</v>
      </c>
      <c r="C84" s="25" t="str">
        <f>Sites[[#This Row],[SOL'#]]</f>
        <v>SOL-10996</v>
      </c>
      <c r="D84" s="144">
        <v>1036120</v>
      </c>
      <c r="E84" s="143">
        <v>1073271.7</v>
      </c>
      <c r="F84" s="10">
        <f t="shared" si="6"/>
        <v>-37151.699999999953</v>
      </c>
      <c r="G84" s="11">
        <f t="shared" si="7"/>
        <v>-3.461537278957412E-2</v>
      </c>
      <c r="H84" s="148">
        <v>938020.13699999999</v>
      </c>
      <c r="I84" s="134">
        <f t="shared" si="8"/>
        <v>98099.863000000012</v>
      </c>
      <c r="J84" s="13">
        <f t="shared" si="9"/>
        <v>0.10458183052844207</v>
      </c>
      <c r="K84" s="53"/>
      <c r="L84" s="53"/>
      <c r="M84" s="104"/>
      <c r="N84" s="104"/>
      <c r="O84" s="104"/>
      <c r="P84" s="104"/>
      <c r="Q84" s="104"/>
      <c r="R84" s="104"/>
      <c r="S84" s="104"/>
      <c r="T84" s="104"/>
      <c r="U84" s="104"/>
      <c r="V84" s="104"/>
      <c r="W84" s="104"/>
    </row>
    <row r="85" spans="1:23" ht="15.6">
      <c r="A85" s="26" t="str">
        <v>Dunkleman</v>
      </c>
      <c r="B85" s="27" t="str">
        <v>NY</v>
      </c>
      <c r="C85" s="142" t="str">
        <f>Sites[[#This Row],[SOL'#]]</f>
        <v>SOL-11008</v>
      </c>
      <c r="D85" s="145">
        <v>1233230</v>
      </c>
      <c r="E85" s="14">
        <v>1230210</v>
      </c>
      <c r="F85" s="14">
        <f t="shared" si="6"/>
        <v>3020</v>
      </c>
      <c r="G85" s="15">
        <f t="shared" si="7"/>
        <v>2.4548654294795197E-3</v>
      </c>
      <c r="H85" s="127">
        <v>1151573.6040000001</v>
      </c>
      <c r="I85" s="135">
        <f t="shared" si="8"/>
        <v>81656.39599999995</v>
      </c>
      <c r="J85" s="15">
        <f t="shared" si="9"/>
        <v>7.0908533954204767E-2</v>
      </c>
      <c r="K85" s="51"/>
      <c r="L85" s="51"/>
      <c r="M85" s="104"/>
      <c r="N85" s="104"/>
      <c r="O85" s="104"/>
      <c r="P85" s="104"/>
      <c r="Q85" s="104"/>
      <c r="R85" s="104"/>
      <c r="S85" s="104"/>
      <c r="T85" s="104"/>
      <c r="U85" s="104"/>
      <c r="V85" s="104"/>
      <c r="W85" s="104"/>
    </row>
    <row r="86" spans="1:23" ht="57.6">
      <c r="A86" s="24" t="str">
        <v>Route 19 1</v>
      </c>
      <c r="B86" s="25" t="str">
        <v>NY</v>
      </c>
      <c r="C86" s="25" t="str">
        <f>Sites[[#This Row],[SOL'#]]</f>
        <v>SOL-11001</v>
      </c>
      <c r="D86" s="144">
        <v>477750</v>
      </c>
      <c r="E86" s="143">
        <v>474670</v>
      </c>
      <c r="F86" s="10">
        <f t="shared" si="6"/>
        <v>3080</v>
      </c>
      <c r="G86" s="11">
        <f t="shared" si="7"/>
        <v>6.4887184781005748E-3</v>
      </c>
      <c r="H86" s="148">
        <v>470708.47200000001</v>
      </c>
      <c r="I86" s="134">
        <f t="shared" si="8"/>
        <v>7041.5279999999912</v>
      </c>
      <c r="J86" s="13">
        <f t="shared" si="9"/>
        <v>1.4959424822079665E-2</v>
      </c>
      <c r="K86" s="53" t="s">
        <v>1773</v>
      </c>
      <c r="L86" s="99" t="s">
        <v>1774</v>
      </c>
      <c r="M86" s="103" t="s">
        <v>1775</v>
      </c>
      <c r="N86" s="103" t="s">
        <v>1776</v>
      </c>
      <c r="O86" s="104"/>
      <c r="P86" s="104"/>
      <c r="Q86" s="104"/>
      <c r="R86" s="104"/>
      <c r="S86" s="104"/>
      <c r="T86" s="104"/>
      <c r="U86" s="104"/>
      <c r="V86" s="104"/>
      <c r="W86" s="104"/>
    </row>
    <row r="87" spans="1:23" ht="49.5" customHeight="1">
      <c r="A87" s="26" t="str">
        <v>Route 19 2</v>
      </c>
      <c r="B87" s="27" t="str">
        <v>NY</v>
      </c>
      <c r="C87" s="142" t="str">
        <f>Sites[[#This Row],[SOL'#]]</f>
        <v>SOL-11002</v>
      </c>
      <c r="D87" s="145">
        <v>1221980</v>
      </c>
      <c r="E87" s="14">
        <v>1218200</v>
      </c>
      <c r="F87" s="14">
        <f t="shared" si="6"/>
        <v>3780</v>
      </c>
      <c r="G87" s="15">
        <f t="shared" si="7"/>
        <v>3.1029387621080281E-3</v>
      </c>
      <c r="H87" s="127">
        <v>1157576.844</v>
      </c>
      <c r="I87" s="135">
        <f t="shared" si="8"/>
        <v>64403.155999999959</v>
      </c>
      <c r="J87" s="15">
        <f t="shared" si="9"/>
        <v>5.563618202438745E-2</v>
      </c>
      <c r="K87" s="51" t="s">
        <v>1777</v>
      </c>
      <c r="L87" s="100" t="s">
        <v>1778</v>
      </c>
      <c r="M87" s="103" t="s">
        <v>1779</v>
      </c>
      <c r="N87" s="104"/>
      <c r="O87" s="104"/>
      <c r="P87" s="104"/>
      <c r="Q87" s="104"/>
      <c r="R87" s="104"/>
      <c r="S87" s="104"/>
      <c r="T87" s="104"/>
      <c r="U87" s="104"/>
      <c r="V87" s="104"/>
      <c r="W87" s="104"/>
    </row>
    <row r="88" spans="1:23" ht="15.6">
      <c r="A88" s="24" t="str">
        <v>Yellow Mills 1</v>
      </c>
      <c r="B88" s="25" t="str">
        <v>NY</v>
      </c>
      <c r="C88" s="25" t="str">
        <f>Sites[[#This Row],[SOL'#]]</f>
        <v>SOL-11006</v>
      </c>
      <c r="D88" s="144">
        <v>444762</v>
      </c>
      <c r="E88" s="143">
        <v>442702</v>
      </c>
      <c r="F88" s="10">
        <f t="shared" si="6"/>
        <v>2060</v>
      </c>
      <c r="G88" s="11">
        <f t="shared" si="7"/>
        <v>4.6532430393357157E-3</v>
      </c>
      <c r="H88" s="148">
        <v>398351.76799999998</v>
      </c>
      <c r="I88" s="134">
        <f t="shared" si="8"/>
        <v>46410.232000000018</v>
      </c>
      <c r="J88" s="13">
        <f t="shared" si="9"/>
        <v>0.11650565085479932</v>
      </c>
      <c r="K88" s="53"/>
      <c r="L88" s="53"/>
      <c r="M88" s="104"/>
      <c r="N88" s="104"/>
      <c r="O88" s="104"/>
      <c r="P88" s="104"/>
      <c r="Q88" s="104"/>
      <c r="R88" s="104"/>
      <c r="S88" s="104"/>
      <c r="T88" s="104"/>
      <c r="U88" s="104"/>
      <c r="V88" s="104"/>
      <c r="W88" s="104"/>
    </row>
    <row r="89" spans="1:23" ht="15.6">
      <c r="A89" s="26" t="str">
        <v>Yellow Mills 2</v>
      </c>
      <c r="B89" s="27" t="str">
        <v>NY</v>
      </c>
      <c r="C89" s="142" t="str">
        <f>Sites[[#This Row],[SOL'#]]</f>
        <v>SOL-11005</v>
      </c>
      <c r="D89" s="145">
        <v>439886</v>
      </c>
      <c r="E89" s="14" t="s">
        <v>661</v>
      </c>
      <c r="F89" s="14" t="str">
        <f t="shared" si="6"/>
        <v/>
      </c>
      <c r="G89" s="15" t="str">
        <f t="shared" si="7"/>
        <v/>
      </c>
      <c r="H89" s="127">
        <v>413553.44300000003</v>
      </c>
      <c r="I89" s="135">
        <f t="shared" si="8"/>
        <v>26332.556999999972</v>
      </c>
      <c r="J89" s="15">
        <f t="shared" si="9"/>
        <v>6.3673891357253112E-2</v>
      </c>
      <c r="K89" s="51" t="s">
        <v>1780</v>
      </c>
      <c r="L89" s="100" t="s">
        <v>1781</v>
      </c>
      <c r="M89" s="104"/>
      <c r="N89" s="104"/>
      <c r="O89" s="104"/>
      <c r="P89" s="104"/>
      <c r="Q89" s="104"/>
      <c r="R89" s="104"/>
      <c r="S89" s="104"/>
      <c r="T89" s="104"/>
      <c r="U89" s="104"/>
      <c r="V89" s="104"/>
      <c r="W89" s="104"/>
    </row>
    <row r="90" spans="1:23" ht="15.6">
      <c r="A90" s="24" t="str">
        <v>Yellow Mills 3</v>
      </c>
      <c r="B90" s="25" t="str">
        <v>NY</v>
      </c>
      <c r="C90" s="25" t="str">
        <f>Sites[[#This Row],[SOL'#]]</f>
        <v>SOL-11007</v>
      </c>
      <c r="D90" s="144">
        <v>417387</v>
      </c>
      <c r="E90" s="143">
        <v>415519</v>
      </c>
      <c r="F90" s="10">
        <f t="shared" si="6"/>
        <v>1868</v>
      </c>
      <c r="G90" s="11">
        <f t="shared" si="7"/>
        <v>4.4955826328037952E-3</v>
      </c>
      <c r="H90" s="148">
        <v>393360.93300000002</v>
      </c>
      <c r="I90" s="134">
        <f t="shared" si="8"/>
        <v>24026.066999999981</v>
      </c>
      <c r="J90" s="13">
        <f t="shared" si="9"/>
        <v>6.1078935360365287E-2</v>
      </c>
      <c r="K90" s="53"/>
      <c r="L90" s="53"/>
      <c r="M90" s="104"/>
      <c r="N90" s="104"/>
      <c r="O90" s="104"/>
      <c r="P90" s="104"/>
      <c r="Q90" s="104"/>
      <c r="R90" s="104"/>
      <c r="S90" s="104"/>
      <c r="T90" s="104"/>
      <c r="U90" s="104"/>
      <c r="V90" s="104"/>
      <c r="W90" s="104"/>
    </row>
    <row r="91" spans="1:23" ht="126.75" customHeight="1">
      <c r="A91" s="26" t="str">
        <v>Catskill</v>
      </c>
      <c r="B91" s="27" t="str">
        <v>NY</v>
      </c>
      <c r="C91" s="142" t="str">
        <f>Sites[[#This Row],[SOL'#]]</f>
        <v>SOL-11021</v>
      </c>
      <c r="D91" s="145">
        <v>444125</v>
      </c>
      <c r="E91" s="14"/>
      <c r="F91" s="14" t="str">
        <f t="shared" si="6"/>
        <v/>
      </c>
      <c r="G91" s="15" t="str">
        <f t="shared" si="7"/>
        <v/>
      </c>
      <c r="H91" s="127">
        <v>723755.75399999996</v>
      </c>
      <c r="I91" s="135">
        <f t="shared" si="8"/>
        <v>-279630.75399999996</v>
      </c>
      <c r="J91" s="15">
        <f t="shared" si="9"/>
        <v>-0.3863606644293428</v>
      </c>
      <c r="K91" s="51" t="s">
        <v>1782</v>
      </c>
      <c r="L91" s="100" t="s">
        <v>1783</v>
      </c>
      <c r="M91" s="103" t="s">
        <v>1784</v>
      </c>
      <c r="N91" s="103" t="s">
        <v>1785</v>
      </c>
      <c r="O91" s="103" t="s">
        <v>1786</v>
      </c>
      <c r="P91" s="103" t="s">
        <v>1787</v>
      </c>
      <c r="Q91" s="104"/>
      <c r="R91" s="104"/>
      <c r="S91" s="104"/>
      <c r="T91" s="104"/>
      <c r="U91" s="104"/>
      <c r="V91" s="104"/>
      <c r="W91" s="104"/>
    </row>
    <row r="92" spans="1:23" ht="15.6">
      <c r="A92" s="24" t="str">
        <v>Eddy Ridge</v>
      </c>
      <c r="B92" s="25" t="str">
        <v>NY</v>
      </c>
      <c r="C92" s="25" t="str">
        <f>Sites[[#This Row],[SOL'#]]</f>
        <v>SOL-11054</v>
      </c>
      <c r="D92" s="144">
        <v>545135</v>
      </c>
      <c r="E92" s="143">
        <v>543196</v>
      </c>
      <c r="F92" s="10">
        <f t="shared" si="6"/>
        <v>1939</v>
      </c>
      <c r="G92" s="11">
        <f t="shared" si="7"/>
        <v>3.5696139146827294E-3</v>
      </c>
      <c r="H92" s="148">
        <v>569140</v>
      </c>
      <c r="I92" s="134">
        <f t="shared" si="8"/>
        <v>-24005</v>
      </c>
      <c r="J92" s="13">
        <f t="shared" si="9"/>
        <v>-4.2177671574656496E-2</v>
      </c>
      <c r="K92" s="53" t="s">
        <v>1788</v>
      </c>
      <c r="L92" s="99" t="s">
        <v>1789</v>
      </c>
      <c r="M92" s="104"/>
      <c r="N92" s="104"/>
      <c r="O92" s="104"/>
      <c r="P92" s="104"/>
      <c r="Q92" s="104"/>
      <c r="R92" s="104"/>
      <c r="S92" s="104"/>
      <c r="T92" s="104"/>
      <c r="U92" s="104"/>
      <c r="V92" s="104"/>
      <c r="W92" s="104"/>
    </row>
    <row r="93" spans="1:23" ht="86.45">
      <c r="A93" s="26" t="str">
        <v>Ridgeway #1</v>
      </c>
      <c r="B93" s="27" t="str">
        <v>NY</v>
      </c>
      <c r="C93" s="142" t="str">
        <f>Sites[[#This Row],[SOL'#]]</f>
        <v>SOL-11018</v>
      </c>
      <c r="D93" s="145">
        <v>1299305</v>
      </c>
      <c r="E93" s="14">
        <v>1294543</v>
      </c>
      <c r="F93" s="14">
        <f t="shared" si="6"/>
        <v>4762</v>
      </c>
      <c r="G93" s="15">
        <f t="shared" si="7"/>
        <v>3.6785182106735736E-3</v>
      </c>
      <c r="H93" s="127">
        <v>1207231.49</v>
      </c>
      <c r="I93" s="135">
        <f t="shared" si="8"/>
        <v>92073.510000000009</v>
      </c>
      <c r="J93" s="15">
        <f t="shared" si="9"/>
        <v>7.6268313710073962E-2</v>
      </c>
      <c r="K93" s="51" t="s">
        <v>1790</v>
      </c>
      <c r="L93" s="100" t="s">
        <v>1791</v>
      </c>
      <c r="M93" s="103" t="s">
        <v>1792</v>
      </c>
      <c r="N93" s="103" t="s">
        <v>1793</v>
      </c>
      <c r="O93" s="103" t="s">
        <v>1794</v>
      </c>
      <c r="P93" s="104"/>
      <c r="Q93" s="104"/>
      <c r="R93" s="104"/>
      <c r="S93" s="104"/>
      <c r="T93" s="104"/>
      <c r="U93" s="104"/>
      <c r="V93" s="104"/>
      <c r="W93" s="104"/>
    </row>
    <row r="94" spans="1:23" ht="15.6">
      <c r="A94" s="24" t="str">
        <v>Rivard 1</v>
      </c>
      <c r="B94" s="25" t="str">
        <v>NY</v>
      </c>
      <c r="C94" s="25" t="str">
        <f>Sites[[#This Row],[SOL'#]]</f>
        <v>SOL-11011</v>
      </c>
      <c r="D94" s="144">
        <v>1066472.45</v>
      </c>
      <c r="E94" s="143">
        <v>1106229</v>
      </c>
      <c r="F94" s="10">
        <f t="shared" si="6"/>
        <v>-39756.550000000047</v>
      </c>
      <c r="G94" s="11">
        <f t="shared" si="7"/>
        <v>-3.5938806521976958E-2</v>
      </c>
      <c r="H94" s="148">
        <v>935669.4</v>
      </c>
      <c r="I94" s="134">
        <f t="shared" si="8"/>
        <v>130803.04999999993</v>
      </c>
      <c r="J94" s="13">
        <f t="shared" si="9"/>
        <v>0.13979622503418401</v>
      </c>
      <c r="K94" s="53"/>
      <c r="L94" s="53"/>
      <c r="M94" s="104"/>
      <c r="N94" s="104"/>
      <c r="O94" s="104"/>
      <c r="P94" s="104"/>
      <c r="Q94" s="104"/>
      <c r="R94" s="104"/>
      <c r="S94" s="104"/>
      <c r="T94" s="104"/>
      <c r="U94" s="104"/>
      <c r="V94" s="104"/>
      <c r="W94" s="104"/>
    </row>
    <row r="95" spans="1:23" ht="28.9">
      <c r="A95" s="26" t="str">
        <v>Rivard 2</v>
      </c>
      <c r="B95" s="27" t="str">
        <v>NY</v>
      </c>
      <c r="C95" s="142" t="str">
        <f>Sites[[#This Row],[SOL'#]]</f>
        <v>SOL-11012</v>
      </c>
      <c r="D95" s="145">
        <v>1031069.23895522</v>
      </c>
      <c r="E95" s="14">
        <v>1013938</v>
      </c>
      <c r="F95" s="14">
        <f t="shared" si="6"/>
        <v>17131.238955219975</v>
      </c>
      <c r="G95" s="15">
        <f t="shared" si="7"/>
        <v>1.6895746046819406E-2</v>
      </c>
      <c r="H95" s="127">
        <v>899150.6</v>
      </c>
      <c r="I95" s="135">
        <f t="shared" si="8"/>
        <v>131918.63895522</v>
      </c>
      <c r="J95" s="15">
        <f t="shared" si="9"/>
        <v>0.14671473160916537</v>
      </c>
      <c r="K95" s="51" t="s">
        <v>1795</v>
      </c>
      <c r="L95" s="100" t="s">
        <v>1796</v>
      </c>
      <c r="M95" s="104"/>
      <c r="N95" s="104"/>
      <c r="O95" s="104"/>
      <c r="P95" s="104"/>
      <c r="Q95" s="104"/>
      <c r="R95" s="104"/>
      <c r="S95" s="104"/>
      <c r="T95" s="104"/>
      <c r="U95" s="104"/>
      <c r="V95" s="104"/>
      <c r="W95" s="104"/>
    </row>
    <row r="96" spans="1:23" ht="15.6">
      <c r="A96" s="24" t="str">
        <v>Ridgeway #2</v>
      </c>
      <c r="B96" s="25" t="str">
        <v>NY</v>
      </c>
      <c r="C96" s="25" t="str">
        <f>Sites[[#This Row],[SOL'#]]</f>
        <v>SOL-11027</v>
      </c>
      <c r="D96" s="144">
        <v>664930</v>
      </c>
      <c r="E96" s="143">
        <v>662501</v>
      </c>
      <c r="F96" s="10">
        <f t="shared" si="6"/>
        <v>2429</v>
      </c>
      <c r="G96" s="11">
        <f t="shared" si="7"/>
        <v>3.6664095601365129E-3</v>
      </c>
      <c r="H96" s="148">
        <v>615124.07999999996</v>
      </c>
      <c r="I96" s="134">
        <f t="shared" si="8"/>
        <v>49805.920000000042</v>
      </c>
      <c r="J96" s="13">
        <f t="shared" si="9"/>
        <v>8.0968899803109715E-2</v>
      </c>
      <c r="K96" s="53"/>
      <c r="L96" s="53"/>
      <c r="M96" s="104"/>
      <c r="N96" s="104"/>
      <c r="O96" s="104"/>
      <c r="P96" s="104"/>
      <c r="Q96" s="104"/>
      <c r="R96" s="104"/>
      <c r="S96" s="104"/>
      <c r="T96" s="104"/>
      <c r="U96" s="104"/>
      <c r="V96" s="104"/>
      <c r="W96" s="104"/>
    </row>
    <row r="97" spans="1:23" ht="15.6">
      <c r="A97" s="26" t="str">
        <v>Spencer</v>
      </c>
      <c r="B97" s="27" t="str">
        <v>NY</v>
      </c>
      <c r="C97" s="142" t="str">
        <f>Sites[[#This Row],[SOL'#]]</f>
        <v>SOL-11017</v>
      </c>
      <c r="D97" s="145">
        <v>1330141</v>
      </c>
      <c r="E97" s="14">
        <v>1327536</v>
      </c>
      <c r="F97" s="14">
        <f t="shared" si="6"/>
        <v>2605</v>
      </c>
      <c r="G97" s="15">
        <f t="shared" si="7"/>
        <v>1.9622820021453278E-3</v>
      </c>
      <c r="H97" s="127">
        <v>1194000</v>
      </c>
      <c r="I97" s="135">
        <f t="shared" si="8"/>
        <v>136141</v>
      </c>
      <c r="J97" s="15">
        <f t="shared" si="9"/>
        <v>0.11402093802345059</v>
      </c>
      <c r="K97" s="51" t="s">
        <v>1797</v>
      </c>
      <c r="L97" s="100" t="s">
        <v>1038</v>
      </c>
      <c r="M97" s="104"/>
      <c r="N97" s="104"/>
      <c r="O97" s="104"/>
      <c r="P97" s="104"/>
      <c r="Q97" s="104"/>
      <c r="R97" s="104"/>
      <c r="S97" s="104"/>
      <c r="T97" s="104"/>
      <c r="U97" s="104"/>
      <c r="V97" s="104"/>
      <c r="W97" s="104"/>
    </row>
    <row r="98" spans="1:23" ht="15.6">
      <c r="A98" s="24" t="str">
        <v>Reisender</v>
      </c>
      <c r="B98" s="25" t="str">
        <v>NY</v>
      </c>
      <c r="C98" s="25" t="str">
        <f>Sites[[#This Row],[SOL'#]]</f>
        <v>SOL-10886</v>
      </c>
      <c r="D98" s="144">
        <v>404190</v>
      </c>
      <c r="E98" s="143">
        <v>404110</v>
      </c>
      <c r="F98" s="10">
        <f t="shared" si="6"/>
        <v>80</v>
      </c>
      <c r="G98" s="11">
        <f t="shared" si="7"/>
        <v>1.9796590037366064E-4</v>
      </c>
      <c r="H98" s="148">
        <v>375809.64</v>
      </c>
      <c r="I98" s="134">
        <f t="shared" si="8"/>
        <v>28380.359999999986</v>
      </c>
      <c r="J98" s="13">
        <f t="shared" si="9"/>
        <v>7.5517913803381909E-2</v>
      </c>
      <c r="K98" s="53"/>
      <c r="L98" s="53"/>
      <c r="M98" s="104"/>
      <c r="N98" s="104"/>
      <c r="O98" s="104"/>
      <c r="P98" s="104"/>
      <c r="Q98" s="104"/>
      <c r="R98" s="104"/>
      <c r="S98" s="104"/>
      <c r="T98" s="104"/>
      <c r="U98" s="104"/>
      <c r="V98" s="104"/>
      <c r="W98" s="104"/>
    </row>
    <row r="99" spans="1:23" ht="72">
      <c r="A99" s="26" t="str">
        <v>Finney</v>
      </c>
      <c r="B99" s="27" t="str">
        <v>NY</v>
      </c>
      <c r="C99" s="142" t="str">
        <f>Sites[[#This Row],[SOL'#]]</f>
        <v>SOL-10999</v>
      </c>
      <c r="D99" s="145">
        <v>982830</v>
      </c>
      <c r="E99" s="14">
        <v>981420</v>
      </c>
      <c r="F99" s="14">
        <f t="shared" si="6"/>
        <v>1410</v>
      </c>
      <c r="G99" s="15">
        <f t="shared" si="7"/>
        <v>1.4366937702512685E-3</v>
      </c>
      <c r="H99" s="127">
        <v>1213585.291</v>
      </c>
      <c r="I99" s="135">
        <f t="shared" si="8"/>
        <v>-230755.29099999997</v>
      </c>
      <c r="J99" s="15">
        <f t="shared" si="9"/>
        <v>-0.19014344744559036</v>
      </c>
      <c r="K99" s="51" t="s">
        <v>1798</v>
      </c>
      <c r="L99" s="100" t="s">
        <v>1799</v>
      </c>
      <c r="M99" s="103" t="s">
        <v>1800</v>
      </c>
      <c r="N99" s="103" t="s">
        <v>1801</v>
      </c>
      <c r="O99" s="104"/>
      <c r="P99" s="104"/>
      <c r="Q99" s="104"/>
      <c r="R99" s="104"/>
      <c r="S99" s="104"/>
      <c r="T99" s="104"/>
      <c r="U99" s="104"/>
      <c r="V99" s="104"/>
      <c r="W99" s="104"/>
    </row>
    <row r="100" spans="1:23" ht="28.9">
      <c r="A100" s="24" t="str">
        <v>Davis Solar</v>
      </c>
      <c r="B100" s="25" t="str">
        <v>NY</v>
      </c>
      <c r="C100" s="25" t="str">
        <f>Sites[[#This Row],[SOL'#]]</f>
        <v>SOL-10958</v>
      </c>
      <c r="D100" s="144">
        <v>415510</v>
      </c>
      <c r="E100" s="143">
        <v>442179.7</v>
      </c>
      <c r="F100" s="10">
        <f t="shared" si="6"/>
        <v>-26669.700000000012</v>
      </c>
      <c r="G100" s="11">
        <f t="shared" si="7"/>
        <v>-6.0314166389818465E-2</v>
      </c>
      <c r="H100" s="148">
        <v>433878</v>
      </c>
      <c r="I100" s="134">
        <f t="shared" si="8"/>
        <v>-18368</v>
      </c>
      <c r="J100" s="13">
        <f t="shared" si="9"/>
        <v>-4.2334481121421227E-2</v>
      </c>
      <c r="K100" s="53" t="s">
        <v>1802</v>
      </c>
      <c r="L100" s="99" t="s">
        <v>1803</v>
      </c>
      <c r="M100" s="104"/>
      <c r="N100" s="104"/>
      <c r="O100" s="104"/>
      <c r="P100" s="104"/>
      <c r="Q100" s="104"/>
      <c r="R100" s="104"/>
      <c r="S100" s="104"/>
      <c r="T100" s="104"/>
      <c r="U100" s="104"/>
      <c r="V100" s="104"/>
      <c r="W100" s="104"/>
    </row>
    <row r="101" spans="1:23" ht="15.6">
      <c r="A101" s="26" t="str">
        <v>Genesee</v>
      </c>
      <c r="B101" s="27" t="str">
        <v>NY</v>
      </c>
      <c r="C101" s="142" t="str">
        <f>Sites[[#This Row],[SOL'#]]</f>
        <v>SOL-10951</v>
      </c>
      <c r="D101" s="145">
        <v>812550.8</v>
      </c>
      <c r="E101" s="14">
        <v>480122.63</v>
      </c>
      <c r="F101" s="14">
        <f t="shared" si="6"/>
        <v>332428.17000000004</v>
      </c>
      <c r="G101" s="15">
        <f t="shared" si="7"/>
        <v>0.69238179837513603</v>
      </c>
      <c r="H101" s="127">
        <v>925244.37</v>
      </c>
      <c r="I101" s="135">
        <f t="shared" si="8"/>
        <v>-112693.56999999995</v>
      </c>
      <c r="J101" s="15">
        <f t="shared" si="9"/>
        <v>-0.12179870924261874</v>
      </c>
      <c r="K101" s="51" t="s">
        <v>1804</v>
      </c>
      <c r="L101" s="100" t="s">
        <v>1805</v>
      </c>
      <c r="M101" s="104"/>
      <c r="N101" s="104"/>
      <c r="O101" s="104"/>
      <c r="P101" s="104"/>
      <c r="Q101" s="104"/>
      <c r="R101" s="104"/>
      <c r="S101" s="104"/>
      <c r="T101" s="104"/>
      <c r="U101" s="104"/>
      <c r="V101" s="104"/>
      <c r="W101" s="104"/>
    </row>
    <row r="102" spans="1:23" ht="15.6">
      <c r="A102" s="24" t="str">
        <v>Landau I</v>
      </c>
      <c r="B102" s="25" t="str">
        <v>NY</v>
      </c>
      <c r="C102" s="25" t="str">
        <f>Sites[[#This Row],[SOL'#]]</f>
        <v>SOL-10891</v>
      </c>
      <c r="D102" s="144">
        <v>428570</v>
      </c>
      <c r="E102" s="143" t="s">
        <v>661</v>
      </c>
      <c r="F102" s="10" t="str">
        <f t="shared" si="6"/>
        <v/>
      </c>
      <c r="G102" s="11" t="str">
        <f t="shared" si="7"/>
        <v/>
      </c>
      <c r="H102" s="148">
        <v>408213.17300000001</v>
      </c>
      <c r="I102" s="134">
        <f t="shared" si="8"/>
        <v>20356.82699999999</v>
      </c>
      <c r="J102" s="13">
        <f t="shared" si="9"/>
        <v>4.986812858192597E-2</v>
      </c>
      <c r="K102" s="53"/>
      <c r="L102" s="53"/>
      <c r="M102" s="104"/>
      <c r="N102" s="104"/>
      <c r="O102" s="104"/>
      <c r="P102" s="104"/>
      <c r="Q102" s="104"/>
      <c r="R102" s="104"/>
      <c r="S102" s="104"/>
      <c r="T102" s="104"/>
      <c r="U102" s="104"/>
      <c r="V102" s="104"/>
      <c r="W102" s="104"/>
    </row>
    <row r="103" spans="1:23" ht="168.75" customHeight="1">
      <c r="A103" s="26" t="str">
        <v>Landau II</v>
      </c>
      <c r="B103" s="27" t="str">
        <v>NY</v>
      </c>
      <c r="C103" s="142" t="str">
        <f>Sites[[#This Row],[SOL'#]]</f>
        <v>SOL-10895</v>
      </c>
      <c r="D103" s="145">
        <v>730570</v>
      </c>
      <c r="E103" s="14" t="s">
        <v>661</v>
      </c>
      <c r="F103" s="14" t="str">
        <f t="shared" si="6"/>
        <v/>
      </c>
      <c r="G103" s="15" t="str">
        <f t="shared" si="7"/>
        <v/>
      </c>
      <c r="H103" s="127" t="s">
        <v>661</v>
      </c>
      <c r="I103" s="135" t="str">
        <f t="shared" si="8"/>
        <v/>
      </c>
      <c r="J103" s="15" t="str">
        <f t="shared" si="9"/>
        <v/>
      </c>
      <c r="K103" s="51" t="s">
        <v>1806</v>
      </c>
      <c r="L103" s="100" t="s">
        <v>1807</v>
      </c>
      <c r="M103" s="103" t="s">
        <v>1808</v>
      </c>
      <c r="N103" s="104"/>
      <c r="O103" s="104"/>
      <c r="P103" s="104"/>
      <c r="Q103" s="104"/>
      <c r="R103" s="104"/>
      <c r="S103" s="104"/>
      <c r="T103" s="104"/>
      <c r="U103" s="104"/>
      <c r="V103" s="104"/>
      <c r="W103" s="104"/>
    </row>
    <row r="104" spans="1:23" ht="15.6">
      <c r="A104" s="24" t="str">
        <v>New Beginnings</v>
      </c>
      <c r="B104" s="25" t="str">
        <v>NY</v>
      </c>
      <c r="C104" s="25" t="str">
        <f>Sites[[#This Row],[SOL'#]]</f>
        <v>SOL-10890</v>
      </c>
      <c r="D104" s="144">
        <v>428040</v>
      </c>
      <c r="E104" s="143">
        <v>428030</v>
      </c>
      <c r="F104" s="10">
        <f t="shared" si="6"/>
        <v>10</v>
      </c>
      <c r="G104" s="11">
        <f t="shared" si="7"/>
        <v>2.3362848398476744E-5</v>
      </c>
      <c r="H104" s="148">
        <v>396674.288</v>
      </c>
      <c r="I104" s="134">
        <f t="shared" si="8"/>
        <v>31365.712</v>
      </c>
      <c r="J104" s="13">
        <f t="shared" si="9"/>
        <v>7.907170428954044E-2</v>
      </c>
      <c r="K104" s="53"/>
      <c r="L104" s="53"/>
      <c r="M104" s="104"/>
      <c r="N104" s="104"/>
      <c r="O104" s="104"/>
      <c r="P104" s="104"/>
      <c r="Q104" s="104"/>
      <c r="R104" s="104"/>
      <c r="S104" s="104"/>
      <c r="T104" s="104"/>
      <c r="U104" s="104"/>
      <c r="V104" s="104"/>
      <c r="W104" s="104"/>
    </row>
    <row r="105" spans="1:23" ht="28.9">
      <c r="A105" s="26" t="str">
        <v>Bullitt Farm Solar, LLC</v>
      </c>
      <c r="B105" s="27" t="str">
        <v>NY</v>
      </c>
      <c r="C105" s="142" t="str">
        <f>Sites[[#This Row],[SOL'#]]</f>
        <v>SOL-10998</v>
      </c>
      <c r="D105" s="145">
        <v>1070595</v>
      </c>
      <c r="E105" s="14">
        <v>1105629.977</v>
      </c>
      <c r="F105" s="14"/>
      <c r="G105" s="15">
        <f t="shared" si="7"/>
        <v>0</v>
      </c>
      <c r="H105" s="127">
        <v>1113535.5900000001</v>
      </c>
      <c r="I105" s="135">
        <f t="shared" si="8"/>
        <v>-42940.590000000084</v>
      </c>
      <c r="J105" s="15">
        <f t="shared" si="9"/>
        <v>-3.8562386676837229E-2</v>
      </c>
      <c r="K105" s="51" t="s">
        <v>1809</v>
      </c>
      <c r="L105" s="100" t="s">
        <v>1810</v>
      </c>
      <c r="M105" s="104"/>
      <c r="N105" s="104"/>
      <c r="O105" s="104"/>
      <c r="P105" s="104"/>
      <c r="Q105" s="104"/>
      <c r="R105" s="104"/>
      <c r="S105" s="104"/>
      <c r="T105" s="104"/>
      <c r="U105" s="104"/>
      <c r="V105" s="104"/>
      <c r="W105" s="104"/>
    </row>
    <row r="106" spans="1:23" ht="15.6">
      <c r="A106" s="24" t="str">
        <v>Brodhead Solar, LLC</v>
      </c>
      <c r="B106" s="25" t="str">
        <v>NY</v>
      </c>
      <c r="C106" s="25" t="str">
        <f>Sites[[#This Row],[SOL'#]]</f>
        <v>SOL-10899</v>
      </c>
      <c r="D106" s="144">
        <v>451438</v>
      </c>
      <c r="E106" s="143">
        <v>465571.51799999998</v>
      </c>
      <c r="F106" s="10">
        <f t="shared" si="6"/>
        <v>-14133.517999999982</v>
      </c>
      <c r="G106" s="11">
        <f t="shared" si="7"/>
        <v>-3.0357351026786786E-2</v>
      </c>
      <c r="H106" s="148">
        <v>489955.64</v>
      </c>
      <c r="I106" s="134">
        <f t="shared" si="8"/>
        <v>-38517.640000000014</v>
      </c>
      <c r="J106" s="13">
        <f t="shared" si="9"/>
        <v>-7.8614545594372615E-2</v>
      </c>
      <c r="K106" s="53" t="s">
        <v>1811</v>
      </c>
      <c r="L106" s="99" t="s">
        <v>1812</v>
      </c>
      <c r="M106" s="104"/>
      <c r="N106" s="104"/>
      <c r="O106" s="104"/>
      <c r="P106" s="104"/>
      <c r="Q106" s="104"/>
      <c r="R106" s="104"/>
      <c r="S106" s="104"/>
      <c r="T106" s="104"/>
      <c r="U106" s="104"/>
      <c r="V106" s="104"/>
      <c r="W106" s="104"/>
    </row>
    <row r="107" spans="1:23" ht="15.6">
      <c r="A107" s="26" t="str">
        <v>Svenski</v>
      </c>
      <c r="B107" s="27" t="str">
        <v>NY</v>
      </c>
      <c r="C107" s="142" t="str">
        <f>Sites[[#This Row],[SOL'#]]</f>
        <v>SOL-10894</v>
      </c>
      <c r="D107" s="145">
        <v>427100</v>
      </c>
      <c r="E107" s="14" t="s">
        <v>661</v>
      </c>
      <c r="F107" s="14" t="str">
        <f t="shared" si="6"/>
        <v/>
      </c>
      <c r="G107" s="15" t="str">
        <f t="shared" si="7"/>
        <v/>
      </c>
      <c r="H107" s="127">
        <v>413086.07500000001</v>
      </c>
      <c r="I107" s="135">
        <f t="shared" si="8"/>
        <v>14013.924999999988</v>
      </c>
      <c r="J107" s="15">
        <f t="shared" si="9"/>
        <v>3.3924951355477156E-2</v>
      </c>
      <c r="K107" s="51"/>
      <c r="L107" s="51"/>
      <c r="M107" s="104"/>
      <c r="N107" s="104"/>
      <c r="O107" s="104"/>
      <c r="P107" s="104"/>
      <c r="Q107" s="104"/>
      <c r="R107" s="104"/>
      <c r="S107" s="104"/>
      <c r="T107" s="104"/>
      <c r="U107" s="104"/>
      <c r="V107" s="104"/>
      <c r="W107" s="104"/>
    </row>
    <row r="108" spans="1:23" ht="72">
      <c r="A108" s="24" t="str">
        <v>Bantam</v>
      </c>
      <c r="B108" s="25" t="str">
        <v>NY</v>
      </c>
      <c r="C108" s="25" t="str">
        <f>Sites[[#This Row],[SOL'#]]</f>
        <v>SOL-10986</v>
      </c>
      <c r="D108" s="144">
        <v>58580</v>
      </c>
      <c r="E108" s="143">
        <v>466200</v>
      </c>
      <c r="F108" s="10">
        <f t="shared" si="6"/>
        <v>-407620</v>
      </c>
      <c r="G108" s="11">
        <f t="shared" si="7"/>
        <v>-0.87434577434577432</v>
      </c>
      <c r="H108" s="148">
        <v>1170207.33</v>
      </c>
      <c r="I108" s="134">
        <f t="shared" si="8"/>
        <v>-1111627.33</v>
      </c>
      <c r="J108" s="13">
        <f t="shared" si="9"/>
        <v>-0.94994049473267272</v>
      </c>
      <c r="K108" s="53" t="s">
        <v>1813</v>
      </c>
      <c r="L108" s="99" t="s">
        <v>1814</v>
      </c>
      <c r="M108" s="103" t="s">
        <v>1815</v>
      </c>
      <c r="N108" s="104"/>
      <c r="O108" s="104"/>
      <c r="P108" s="104"/>
      <c r="Q108" s="104"/>
      <c r="R108" s="104"/>
      <c r="S108" s="104"/>
      <c r="T108" s="104"/>
      <c r="U108" s="104"/>
      <c r="V108" s="104"/>
      <c r="W108" s="104"/>
    </row>
    <row r="109" spans="1:23" ht="28.9">
      <c r="A109" s="26" t="str">
        <v>Bogart</v>
      </c>
      <c r="B109" s="27" t="str">
        <v>NY</v>
      </c>
      <c r="C109" s="142" t="str">
        <f>Sites[[#This Row],[SOL'#]]</f>
        <v>SOL-10887</v>
      </c>
      <c r="D109" s="145">
        <v>329160</v>
      </c>
      <c r="E109" s="14">
        <v>327850</v>
      </c>
      <c r="F109" s="14">
        <f t="shared" si="6"/>
        <v>1310</v>
      </c>
      <c r="G109" s="15">
        <f t="shared" si="7"/>
        <v>3.9957297544608817E-3</v>
      </c>
      <c r="H109" s="127">
        <v>389805.55</v>
      </c>
      <c r="I109" s="135">
        <f t="shared" si="8"/>
        <v>-60645.549999999988</v>
      </c>
      <c r="J109" s="15">
        <f t="shared" si="9"/>
        <v>-0.15557898034032608</v>
      </c>
      <c r="K109" s="51" t="s">
        <v>1816</v>
      </c>
      <c r="L109" s="100" t="s">
        <v>1326</v>
      </c>
      <c r="M109" s="104"/>
      <c r="N109" s="104"/>
      <c r="O109" s="104"/>
      <c r="P109" s="104"/>
      <c r="Q109" s="104"/>
      <c r="R109" s="104"/>
      <c r="S109" s="104"/>
      <c r="T109" s="104"/>
      <c r="U109" s="104"/>
      <c r="V109" s="104"/>
      <c r="W109" s="104"/>
    </row>
    <row r="110" spans="1:23" ht="26.45">
      <c r="A110" s="24" t="str">
        <v>Dubois</v>
      </c>
      <c r="B110" s="25" t="str">
        <v>NY</v>
      </c>
      <c r="C110" s="25" t="str">
        <f>Sites[[#This Row],[SOL'#]]</f>
        <v>SOL-10892</v>
      </c>
      <c r="D110" s="144">
        <v>129520</v>
      </c>
      <c r="E110" s="143">
        <v>129539.39</v>
      </c>
      <c r="F110" s="10">
        <f t="shared" si="6"/>
        <v>-19.389999999999418</v>
      </c>
      <c r="G110" s="11">
        <f t="shared" si="7"/>
        <v>-1.4968420030385675E-4</v>
      </c>
      <c r="H110" s="148" t="s">
        <v>661</v>
      </c>
      <c r="I110" s="134" t="str">
        <f t="shared" si="8"/>
        <v/>
      </c>
      <c r="J110" s="13" t="str">
        <f t="shared" si="9"/>
        <v/>
      </c>
      <c r="K110" s="53" t="s">
        <v>1817</v>
      </c>
      <c r="L110" s="99" t="s">
        <v>1818</v>
      </c>
      <c r="M110" s="103" t="s">
        <v>1819</v>
      </c>
      <c r="N110" s="104"/>
      <c r="O110" s="104"/>
      <c r="P110" s="104"/>
      <c r="Q110" s="104"/>
      <c r="R110" s="104"/>
      <c r="S110" s="104"/>
      <c r="T110" s="104"/>
      <c r="U110" s="104"/>
      <c r="V110" s="104"/>
      <c r="W110" s="104"/>
    </row>
    <row r="111" spans="1:23" ht="152.25" customHeight="1">
      <c r="A111" s="26" t="str">
        <v>Salt Point</v>
      </c>
      <c r="B111" s="27" t="str">
        <v>NY</v>
      </c>
      <c r="C111" s="142" t="str">
        <f>Sites[[#This Row],[SOL'#]]</f>
        <v>SOL-10888</v>
      </c>
      <c r="D111" s="145">
        <v>407890</v>
      </c>
      <c r="E111" s="14">
        <v>407890</v>
      </c>
      <c r="F111" s="14">
        <f t="shared" si="6"/>
        <v>0</v>
      </c>
      <c r="G111" s="15">
        <f t="shared" si="7"/>
        <v>0</v>
      </c>
      <c r="H111" s="127">
        <v>453414.96399999998</v>
      </c>
      <c r="I111" s="135">
        <f t="shared" si="8"/>
        <v>-45524.963999999978</v>
      </c>
      <c r="J111" s="15">
        <f t="shared" si="9"/>
        <v>-0.10040463507948974</v>
      </c>
      <c r="K111" s="51" t="s">
        <v>1820</v>
      </c>
      <c r="L111" s="100" t="s">
        <v>1821</v>
      </c>
      <c r="M111" s="103" t="s">
        <v>1822</v>
      </c>
      <c r="N111" s="103" t="s">
        <v>1823</v>
      </c>
      <c r="O111" s="103" t="s">
        <v>1824</v>
      </c>
      <c r="P111" s="103" t="s">
        <v>1825</v>
      </c>
      <c r="Q111" s="104"/>
      <c r="R111" s="104"/>
      <c r="S111" s="104"/>
      <c r="T111" s="104"/>
      <c r="U111" s="104"/>
      <c r="V111" s="104"/>
      <c r="W111" s="104"/>
    </row>
    <row r="112" spans="1:23" ht="43.15">
      <c r="A112" s="24" t="str">
        <v>Wheatland 2A</v>
      </c>
      <c r="B112" s="25" t="str">
        <v>NY</v>
      </c>
      <c r="C112" s="25" t="str">
        <f>Sites[[#This Row],[SOL'#]]</f>
        <v>SOL-10971</v>
      </c>
      <c r="D112" s="144">
        <v>1060290</v>
      </c>
      <c r="E112" s="143">
        <v>1058220</v>
      </c>
      <c r="F112" s="10">
        <f t="shared" si="6"/>
        <v>2070</v>
      </c>
      <c r="G112" s="11">
        <f t="shared" si="7"/>
        <v>1.956114985541759E-3</v>
      </c>
      <c r="H112" s="148">
        <v>1030493.057</v>
      </c>
      <c r="I112" s="134">
        <f t="shared" si="8"/>
        <v>29796.94299999997</v>
      </c>
      <c r="J112" s="13">
        <f t="shared" si="9"/>
        <v>2.8915229265828978E-2</v>
      </c>
      <c r="K112" s="53" t="s">
        <v>1826</v>
      </c>
      <c r="L112" s="99" t="s">
        <v>1827</v>
      </c>
      <c r="M112" s="104"/>
      <c r="N112" s="104"/>
      <c r="O112" s="104"/>
      <c r="P112" s="104"/>
      <c r="Q112" s="104"/>
      <c r="R112" s="104"/>
      <c r="S112" s="104"/>
      <c r="T112" s="104"/>
      <c r="U112" s="104"/>
      <c r="V112" s="104"/>
      <c r="W112" s="104"/>
    </row>
    <row r="113" spans="1:23" ht="28.9">
      <c r="A113" s="26" t="str">
        <v>Wheatland 2B</v>
      </c>
      <c r="B113" s="27" t="str">
        <v>NY</v>
      </c>
      <c r="C113" s="142" t="str">
        <f>Sites[[#This Row],[SOL'#]]</f>
        <v>SOL-10961</v>
      </c>
      <c r="D113" s="145">
        <v>1068130</v>
      </c>
      <c r="E113" s="14">
        <v>1066040</v>
      </c>
      <c r="F113" s="14">
        <f t="shared" si="6"/>
        <v>2090</v>
      </c>
      <c r="G113" s="15">
        <f t="shared" si="7"/>
        <v>1.9605268095005818E-3</v>
      </c>
      <c r="H113" s="127">
        <v>1019707.76</v>
      </c>
      <c r="I113" s="135">
        <f t="shared" si="8"/>
        <v>48422.239999999991</v>
      </c>
      <c r="J113" s="15">
        <f t="shared" si="9"/>
        <v>4.748638962990729E-2</v>
      </c>
      <c r="K113" s="51" t="s">
        <v>1828</v>
      </c>
      <c r="L113" s="100" t="s">
        <v>1089</v>
      </c>
      <c r="M113" s="104"/>
      <c r="N113" s="104"/>
      <c r="O113" s="104"/>
      <c r="P113" s="104"/>
      <c r="Q113" s="104"/>
      <c r="R113" s="104"/>
      <c r="S113" s="104"/>
      <c r="T113" s="104"/>
      <c r="U113" s="104"/>
      <c r="V113" s="104"/>
      <c r="W113" s="104"/>
    </row>
    <row r="114" spans="1:23" ht="93" customHeight="1">
      <c r="A114" s="24" t="str">
        <v>Brickchurch</v>
      </c>
      <c r="B114" s="25" t="str">
        <v>NY</v>
      </c>
      <c r="C114" s="25" t="str">
        <f>Sites[[#This Row],[SOL'#]]</f>
        <v>SOL-10889</v>
      </c>
      <c r="D114" s="144">
        <v>0</v>
      </c>
      <c r="E114" s="143">
        <v>0</v>
      </c>
      <c r="F114" s="10">
        <f t="shared" si="6"/>
        <v>0</v>
      </c>
      <c r="G114" s="11" t="str">
        <f t="shared" si="7"/>
        <v/>
      </c>
      <c r="H114" s="148">
        <v>474590.73700000002</v>
      </c>
      <c r="I114" s="134">
        <f t="shared" si="8"/>
        <v>-474590.73700000002</v>
      </c>
      <c r="J114" s="13">
        <f t="shared" si="9"/>
        <v>-1</v>
      </c>
      <c r="K114" s="53" t="s">
        <v>1829</v>
      </c>
      <c r="L114" s="99" t="s">
        <v>1830</v>
      </c>
      <c r="M114" s="103" t="s">
        <v>1831</v>
      </c>
      <c r="N114" s="103" t="s">
        <v>1832</v>
      </c>
      <c r="O114" s="104"/>
      <c r="P114" s="104"/>
      <c r="Q114" s="104"/>
      <c r="R114" s="104"/>
      <c r="S114" s="104"/>
      <c r="T114" s="104"/>
      <c r="U114" s="104"/>
      <c r="V114" s="104"/>
      <c r="W114" s="104"/>
    </row>
    <row r="115" spans="1:23" ht="15.6">
      <c r="A115" s="26" t="str">
        <v>McCarthy Solar</v>
      </c>
      <c r="B115" s="27" t="str">
        <v>NY</v>
      </c>
      <c r="C115" s="142" t="str">
        <f>Sites[[#This Row],[SOL'#]]</f>
        <v>SOL-10992</v>
      </c>
      <c r="D115" s="145">
        <v>52900</v>
      </c>
      <c r="E115" s="14">
        <v>0</v>
      </c>
      <c r="F115" s="14">
        <f t="shared" si="6"/>
        <v>52900</v>
      </c>
      <c r="G115" s="15" t="str">
        <f t="shared" si="7"/>
        <v/>
      </c>
      <c r="H115" s="127">
        <v>411227</v>
      </c>
      <c r="I115" s="135">
        <f t="shared" si="8"/>
        <v>-358327</v>
      </c>
      <c r="J115" s="15">
        <f t="shared" si="9"/>
        <v>-0.87136058673190231</v>
      </c>
      <c r="K115" s="51" t="s">
        <v>1833</v>
      </c>
      <c r="L115" s="100" t="s">
        <v>1834</v>
      </c>
      <c r="M115" s="104"/>
      <c r="N115" s="104"/>
      <c r="O115" s="104"/>
      <c r="P115" s="104"/>
      <c r="Q115" s="104"/>
      <c r="R115" s="104"/>
      <c r="S115" s="104"/>
      <c r="T115" s="104"/>
      <c r="U115" s="104"/>
      <c r="V115" s="104"/>
      <c r="W115" s="104"/>
    </row>
    <row r="116" spans="1:23" ht="115.15">
      <c r="A116" s="24" t="str">
        <v>Costanza</v>
      </c>
      <c r="B116" s="25" t="str">
        <v>NY</v>
      </c>
      <c r="C116" s="25" t="str">
        <f>Sites[[#This Row],[SOL'#]]</f>
        <v>SOL-10907</v>
      </c>
      <c r="D116" s="144">
        <v>398520</v>
      </c>
      <c r="E116" s="143">
        <v>398745.4</v>
      </c>
      <c r="F116" s="10">
        <f t="shared" si="6"/>
        <v>-225.40000000002328</v>
      </c>
      <c r="G116" s="11">
        <f t="shared" si="7"/>
        <v>-5.6527297869774363E-4</v>
      </c>
      <c r="H116" s="148">
        <v>404374.04100000003</v>
      </c>
      <c r="I116" s="134">
        <f t="shared" si="8"/>
        <v>-5854.0410000000265</v>
      </c>
      <c r="J116" s="13">
        <f t="shared" si="9"/>
        <v>-1.4476797238327239E-2</v>
      </c>
      <c r="K116" s="53" t="s">
        <v>1835</v>
      </c>
      <c r="L116" s="99" t="s">
        <v>1836</v>
      </c>
      <c r="M116" s="103" t="s">
        <v>1837</v>
      </c>
      <c r="N116" s="103" t="s">
        <v>1838</v>
      </c>
      <c r="O116" s="103" t="s">
        <v>1839</v>
      </c>
      <c r="P116" s="103" t="s">
        <v>1840</v>
      </c>
      <c r="Q116" s="104"/>
      <c r="R116" s="104"/>
      <c r="S116" s="104"/>
      <c r="T116" s="104"/>
      <c r="U116" s="104"/>
      <c r="V116" s="104"/>
      <c r="W116" s="104"/>
    </row>
    <row r="117" spans="1:23" ht="43.15">
      <c r="A117" s="26" t="str">
        <v>Lockenhurst Pond</v>
      </c>
      <c r="B117" s="27" t="str">
        <v>NY</v>
      </c>
      <c r="C117" s="142" t="str">
        <f>Sites[[#This Row],[SOL'#]]</f>
        <v>SOL-11000</v>
      </c>
      <c r="D117" s="145">
        <v>473563</v>
      </c>
      <c r="E117" s="14">
        <v>531616.30000000005</v>
      </c>
      <c r="F117" s="14">
        <f t="shared" si="6"/>
        <v>-58053.300000000047</v>
      </c>
      <c r="G117" s="15">
        <f t="shared" si="7"/>
        <v>-0.10920150491999595</v>
      </c>
      <c r="H117" s="69">
        <v>491418</v>
      </c>
      <c r="I117" s="16">
        <f t="shared" si="8"/>
        <v>-17855</v>
      </c>
      <c r="J117" s="15">
        <f t="shared" si="9"/>
        <v>-3.6333630432747684E-2</v>
      </c>
      <c r="K117" s="51" t="s">
        <v>1841</v>
      </c>
      <c r="L117" s="100" t="s">
        <v>1842</v>
      </c>
      <c r="M117" s="104"/>
      <c r="N117" s="104"/>
      <c r="O117" s="104"/>
      <c r="P117" s="104"/>
      <c r="Q117" s="104"/>
      <c r="R117" s="104"/>
      <c r="S117" s="104"/>
      <c r="T117" s="104"/>
      <c r="U117" s="104"/>
      <c r="V117" s="104"/>
      <c r="W117" s="104"/>
    </row>
    <row r="118" spans="1:23" ht="15.6">
      <c r="A118" s="24" t="str">
        <v>Drinkwater</v>
      </c>
      <c r="B118" s="25" t="str">
        <v>NY</v>
      </c>
      <c r="C118" s="25" t="str">
        <f>Sites[[#This Row],[SOL'#]]</f>
        <v>SOL-10896</v>
      </c>
      <c r="D118" s="77">
        <v>472030</v>
      </c>
      <c r="E118" s="78">
        <v>470980</v>
      </c>
      <c r="F118" s="10">
        <f t="shared" si="6"/>
        <v>1050</v>
      </c>
      <c r="G118" s="11">
        <f t="shared" si="7"/>
        <v>2.229394029470466E-3</v>
      </c>
      <c r="H118" s="67">
        <v>425241.18699999998</v>
      </c>
      <c r="I118" s="12">
        <f t="shared" si="8"/>
        <v>46788.813000000024</v>
      </c>
      <c r="J118" s="13">
        <f t="shared" si="9"/>
        <v>0.1100288834439737</v>
      </c>
      <c r="K118" s="53"/>
      <c r="L118" s="53"/>
      <c r="M118" s="104"/>
      <c r="N118" s="104"/>
      <c r="O118" s="104"/>
      <c r="P118" s="104"/>
      <c r="Q118" s="104"/>
      <c r="R118" s="104"/>
      <c r="S118" s="104"/>
      <c r="T118" s="104"/>
      <c r="U118" s="104"/>
      <c r="V118" s="104"/>
      <c r="W118" s="104"/>
    </row>
    <row r="119" spans="1:23" ht="15.6">
      <c r="A119" s="26" t="str">
        <v>Altamont</v>
      </c>
      <c r="B119" s="27" t="str">
        <v>NY</v>
      </c>
      <c r="C119" s="142" t="str">
        <f>Sites[[#This Row],[SOL'#]]</f>
        <v>SOL-11085</v>
      </c>
      <c r="D119" s="72">
        <v>902582</v>
      </c>
      <c r="E119" s="79">
        <v>934730.4</v>
      </c>
      <c r="F119" s="14">
        <f t="shared" si="6"/>
        <v>-32148.400000000023</v>
      </c>
      <c r="G119" s="15">
        <f t="shared" si="7"/>
        <v>-3.4393232529935931E-2</v>
      </c>
      <c r="H119" s="69">
        <v>675235.9</v>
      </c>
      <c r="I119" s="16">
        <f t="shared" si="8"/>
        <v>227346.09999999998</v>
      </c>
      <c r="J119" s="15">
        <f t="shared" si="9"/>
        <v>0.33669136963837376</v>
      </c>
      <c r="K119" s="51"/>
      <c r="L119" s="51"/>
      <c r="M119" s="104"/>
      <c r="N119" s="104"/>
      <c r="O119" s="104"/>
      <c r="P119" s="104"/>
      <c r="Q119" s="104"/>
      <c r="R119" s="104"/>
      <c r="S119" s="104"/>
      <c r="T119" s="104"/>
      <c r="U119" s="104"/>
      <c r="V119" s="104"/>
      <c r="W119" s="104"/>
    </row>
    <row r="120" spans="1:23" ht="15.6">
      <c r="A120" s="24" t="str">
        <v>Krumkill North</v>
      </c>
      <c r="B120" s="25" t="str">
        <v>NY</v>
      </c>
      <c r="C120" s="25" t="str">
        <f>Sites[[#This Row],[SOL'#]]</f>
        <v>SOL-11086</v>
      </c>
      <c r="D120" s="77">
        <v>753529</v>
      </c>
      <c r="E120" s="78">
        <v>949033.7</v>
      </c>
      <c r="F120" s="10">
        <f t="shared" si="6"/>
        <v>-195504.69999999995</v>
      </c>
      <c r="G120" s="11">
        <f t="shared" si="7"/>
        <v>-0.20600395960649234</v>
      </c>
      <c r="H120" s="67">
        <v>791744.9</v>
      </c>
      <c r="I120" s="12">
        <f t="shared" si="8"/>
        <v>-38215.900000000023</v>
      </c>
      <c r="J120" s="13">
        <f t="shared" si="9"/>
        <v>-4.8267945900251484E-2</v>
      </c>
      <c r="K120" s="53" t="s">
        <v>1843</v>
      </c>
      <c r="L120" s="99" t="s">
        <v>1844</v>
      </c>
      <c r="M120" s="104"/>
      <c r="N120" s="104"/>
      <c r="O120" s="104"/>
      <c r="P120" s="104"/>
      <c r="Q120" s="104"/>
      <c r="R120" s="104"/>
      <c r="S120" s="104"/>
      <c r="T120" s="104"/>
      <c r="U120" s="104"/>
      <c r="V120" s="104"/>
      <c r="W120" s="104"/>
    </row>
    <row r="121" spans="1:23" ht="15.6">
      <c r="A121" s="26" t="str">
        <v>Krumkill South</v>
      </c>
      <c r="B121" s="27" t="str">
        <v>NY</v>
      </c>
      <c r="C121" s="142" t="str">
        <f>Sites[[#This Row],[SOL'#]]</f>
        <v>SOL-11087</v>
      </c>
      <c r="D121" s="72">
        <v>632808</v>
      </c>
      <c r="E121" s="79">
        <v>746375.2</v>
      </c>
      <c r="F121" s="14">
        <f t="shared" si="6"/>
        <v>-113567.19999999995</v>
      </c>
      <c r="G121" s="15">
        <f t="shared" si="7"/>
        <v>-0.15215832466030485</v>
      </c>
      <c r="H121" s="69">
        <v>620704.30000000005</v>
      </c>
      <c r="I121" s="16">
        <f t="shared" si="8"/>
        <v>12103.699999999953</v>
      </c>
      <c r="J121" s="15">
        <f t="shared" si="9"/>
        <v>1.9499945465175531E-2</v>
      </c>
      <c r="K121" s="51" t="s">
        <v>1843</v>
      </c>
      <c r="L121" s="100" t="s">
        <v>1845</v>
      </c>
      <c r="M121" s="104"/>
      <c r="N121" s="104"/>
      <c r="O121" s="104"/>
      <c r="P121" s="104"/>
      <c r="Q121" s="104"/>
      <c r="R121" s="104"/>
      <c r="S121" s="104"/>
      <c r="T121" s="104"/>
      <c r="U121" s="104"/>
      <c r="V121" s="104"/>
      <c r="W121" s="104"/>
    </row>
    <row r="122" spans="1:23" ht="15.6">
      <c r="A122" s="24" t="str">
        <v>X092</v>
      </c>
      <c r="B122" s="25" t="str">
        <v>NY</v>
      </c>
      <c r="C122" s="25" t="str">
        <f>Sites[[#This Row],[SOL'#]]</f>
        <v>SOL-11189</v>
      </c>
      <c r="D122" s="77">
        <v>21515.4</v>
      </c>
      <c r="E122" s="78">
        <v>21675.78</v>
      </c>
      <c r="F122" s="10">
        <f t="shared" si="6"/>
        <v>-160.37999999999738</v>
      </c>
      <c r="G122" s="11">
        <f t="shared" si="7"/>
        <v>-7.3990416953852358E-3</v>
      </c>
      <c r="H122" s="67">
        <v>20398</v>
      </c>
      <c r="I122" s="12">
        <f t="shared" si="8"/>
        <v>1117.4000000000015</v>
      </c>
      <c r="J122" s="13">
        <f t="shared" si="9"/>
        <v>5.4779880380429524E-2</v>
      </c>
      <c r="K122" s="53"/>
      <c r="L122" s="53"/>
      <c r="M122" s="104"/>
      <c r="N122" s="104"/>
      <c r="O122" s="104"/>
      <c r="P122" s="104"/>
      <c r="Q122" s="104"/>
      <c r="R122" s="104"/>
      <c r="S122" s="104"/>
      <c r="T122" s="104"/>
      <c r="U122" s="104"/>
      <c r="V122" s="104"/>
      <c r="W122" s="104"/>
    </row>
    <row r="123" spans="1:23" ht="15.6">
      <c r="A123" s="26" t="str">
        <v>X093</v>
      </c>
      <c r="B123" s="27" t="str">
        <v>NY</v>
      </c>
      <c r="C123" s="142" t="str">
        <f>Sites[[#This Row],[SOL'#]]</f>
        <v>SOL-10932</v>
      </c>
      <c r="D123" s="72">
        <v>16320.060703125</v>
      </c>
      <c r="E123" s="79">
        <v>15183.08</v>
      </c>
      <c r="F123" s="14">
        <f t="shared" si="6"/>
        <v>1136.9807031250002</v>
      </c>
      <c r="G123" s="15">
        <f t="shared" si="7"/>
        <v>7.4884720565590132E-2</v>
      </c>
      <c r="H123" s="69">
        <v>14577</v>
      </c>
      <c r="I123" s="16">
        <f t="shared" si="8"/>
        <v>1743.0607031250001</v>
      </c>
      <c r="J123" s="15">
        <f t="shared" si="9"/>
        <v>0.11957609268882487</v>
      </c>
      <c r="K123" s="51"/>
      <c r="L123" s="51"/>
      <c r="M123" s="104"/>
      <c r="N123" s="104"/>
      <c r="O123" s="104"/>
      <c r="P123" s="104"/>
      <c r="Q123" s="104"/>
      <c r="R123" s="104"/>
      <c r="S123" s="104"/>
      <c r="T123" s="104"/>
      <c r="U123" s="104"/>
      <c r="V123" s="104"/>
      <c r="W123" s="104"/>
    </row>
    <row r="124" spans="1:23" ht="15.6">
      <c r="A124" s="24" t="str">
        <v>X095</v>
      </c>
      <c r="B124" s="25" t="str">
        <v>NY</v>
      </c>
      <c r="C124" s="25" t="str">
        <f>Sites[[#This Row],[SOL'#]]</f>
        <v>SOL-10929</v>
      </c>
      <c r="D124" s="77">
        <v>21548.5234375</v>
      </c>
      <c r="E124" s="78">
        <v>20519.349999999999</v>
      </c>
      <c r="F124" s="10">
        <f t="shared" si="6"/>
        <v>1029.1734375000015</v>
      </c>
      <c r="G124" s="11">
        <f t="shared" si="7"/>
        <v>5.0156239720069183E-2</v>
      </c>
      <c r="H124" s="67">
        <v>19827</v>
      </c>
      <c r="I124" s="12">
        <f t="shared" si="8"/>
        <v>1721.5234375</v>
      </c>
      <c r="J124" s="13">
        <f t="shared" si="9"/>
        <v>8.6827227391940279E-2</v>
      </c>
      <c r="K124" s="53"/>
      <c r="L124" s="53"/>
      <c r="M124" s="104"/>
      <c r="N124" s="104"/>
      <c r="O124" s="104"/>
      <c r="P124" s="104"/>
      <c r="Q124" s="104"/>
      <c r="R124" s="104"/>
      <c r="S124" s="104"/>
      <c r="T124" s="104"/>
      <c r="U124" s="104"/>
      <c r="V124" s="104"/>
      <c r="W124" s="104"/>
    </row>
    <row r="125" spans="1:23" ht="43.15">
      <c r="A125" s="26" t="str">
        <v>X181</v>
      </c>
      <c r="B125" s="27" t="str">
        <v>NY</v>
      </c>
      <c r="C125" s="142" t="str">
        <f>Sites[[#This Row],[SOL'#]]</f>
        <v>SOL-10428</v>
      </c>
      <c r="D125" s="145">
        <v>38662.234375</v>
      </c>
      <c r="E125" s="14">
        <v>34110.07</v>
      </c>
      <c r="F125" s="14">
        <f t="shared" si="6"/>
        <v>4552.1643750000003</v>
      </c>
      <c r="G125" s="15">
        <f t="shared" si="7"/>
        <v>0.13345514609028947</v>
      </c>
      <c r="H125" s="69">
        <v>36480</v>
      </c>
      <c r="I125" s="16">
        <f>IF(AND(ISNUMBER(D125),ISNUMBER(H125)), D125-H125, "")</f>
        <v>2182.234375</v>
      </c>
      <c r="J125" s="15">
        <f t="shared" si="9"/>
        <v>5.9820021244517546E-2</v>
      </c>
      <c r="K125" s="51" t="s">
        <v>1846</v>
      </c>
      <c r="L125" s="100" t="s">
        <v>1847</v>
      </c>
      <c r="M125" s="104"/>
      <c r="N125" s="104"/>
      <c r="O125" s="104"/>
      <c r="P125" s="104"/>
      <c r="Q125" s="104"/>
      <c r="R125" s="104"/>
      <c r="S125" s="104"/>
      <c r="T125" s="104"/>
      <c r="U125" s="104"/>
      <c r="V125" s="104"/>
      <c r="W125" s="104"/>
    </row>
    <row r="126" spans="1:23" ht="15" customHeight="1">
      <c r="A126" s="24" t="str">
        <v>X415</v>
      </c>
      <c r="B126" s="25" t="str">
        <v>NY</v>
      </c>
      <c r="C126" s="25" t="str">
        <f>Sites[[#This Row],[SOL'#]]</f>
        <v>SOL-10429</v>
      </c>
      <c r="D126" s="77">
        <v>25028.6953125</v>
      </c>
      <c r="E126" s="78">
        <v>21501.05</v>
      </c>
      <c r="F126" s="10">
        <f t="shared" si="6"/>
        <v>3527.6453125000007</v>
      </c>
      <c r="G126" s="11">
        <f t="shared" si="7"/>
        <v>0.16406851351445631</v>
      </c>
      <c r="H126" s="67">
        <v>21338</v>
      </c>
      <c r="I126" s="12">
        <f t="shared" si="8"/>
        <v>3690.6953125</v>
      </c>
      <c r="J126" s="13">
        <f t="shared" si="9"/>
        <v>0.17296350700627988</v>
      </c>
      <c r="K126" s="53"/>
      <c r="L126" s="53"/>
      <c r="M126" s="104"/>
      <c r="N126" s="104"/>
      <c r="O126" s="104"/>
      <c r="P126" s="104"/>
      <c r="Q126" s="104"/>
      <c r="R126" s="104"/>
      <c r="S126" s="104"/>
      <c r="T126" s="104"/>
      <c r="U126" s="104"/>
      <c r="V126" s="104"/>
      <c r="W126" s="104"/>
    </row>
    <row r="127" spans="1:23" ht="15.6">
      <c r="A127" s="26" t="str">
        <v>K198</v>
      </c>
      <c r="B127" s="27" t="str">
        <v>NY</v>
      </c>
      <c r="C127" s="142" t="str">
        <f>Sites[[#This Row],[SOL'#]]</f>
        <v>SOL-10930</v>
      </c>
      <c r="D127" s="72">
        <v>18123.5546875</v>
      </c>
      <c r="E127" s="79">
        <v>17490.82</v>
      </c>
      <c r="F127" s="14">
        <f t="shared" si="6"/>
        <v>632.73468750000029</v>
      </c>
      <c r="G127" s="15">
        <f t="shared" si="7"/>
        <v>3.6175244356754017E-2</v>
      </c>
      <c r="H127" s="69">
        <v>16970</v>
      </c>
      <c r="I127" s="16">
        <f t="shared" si="8"/>
        <v>1153.5546875</v>
      </c>
      <c r="J127" s="15">
        <f t="shared" si="9"/>
        <v>6.797611593989393E-2</v>
      </c>
      <c r="K127" s="51"/>
      <c r="L127" s="51"/>
      <c r="M127" s="104"/>
      <c r="N127" s="104"/>
      <c r="O127" s="104"/>
      <c r="P127" s="104"/>
      <c r="Q127" s="104"/>
      <c r="R127" s="104"/>
      <c r="S127" s="104"/>
      <c r="T127" s="104"/>
      <c r="U127" s="104"/>
      <c r="V127" s="104"/>
      <c r="W127" s="104"/>
    </row>
    <row r="128" spans="1:23" ht="15.6">
      <c r="A128" s="24" t="str">
        <v>K203</v>
      </c>
      <c r="B128" s="25" t="str">
        <v>NY</v>
      </c>
      <c r="C128" s="25" t="str">
        <f>Sites[[#This Row],[SOL'#]]</f>
        <v>SOL-11190</v>
      </c>
      <c r="D128" s="77">
        <v>23166.5</v>
      </c>
      <c r="E128" s="78">
        <v>20780.64</v>
      </c>
      <c r="F128" s="10">
        <f t="shared" si="6"/>
        <v>2385.8600000000006</v>
      </c>
      <c r="G128" s="11">
        <f t="shared" si="7"/>
        <v>0.11481167086288009</v>
      </c>
      <c r="H128" s="67">
        <v>22817</v>
      </c>
      <c r="I128" s="12">
        <f t="shared" si="8"/>
        <v>349.5</v>
      </c>
      <c r="J128" s="13">
        <f t="shared" si="9"/>
        <v>1.5317526405750098E-2</v>
      </c>
      <c r="K128" s="53"/>
      <c r="L128" s="53"/>
      <c r="M128" s="104"/>
      <c r="N128" s="104"/>
      <c r="O128" s="104"/>
      <c r="P128" s="104"/>
      <c r="Q128" s="104"/>
      <c r="R128" s="104"/>
      <c r="S128" s="104"/>
      <c r="T128" s="104"/>
      <c r="U128" s="104"/>
      <c r="V128" s="104"/>
      <c r="W128" s="104"/>
    </row>
    <row r="129" spans="1:23" ht="15.6">
      <c r="A129" s="26" t="str">
        <v>K213</v>
      </c>
      <c r="B129" s="27" t="str">
        <v>NY</v>
      </c>
      <c r="C129" s="142" t="str">
        <f>Sites[[#This Row],[SOL'#]]</f>
        <v>SOL-11191</v>
      </c>
      <c r="D129" s="72">
        <v>26129.5</v>
      </c>
      <c r="E129" s="79">
        <v>27518.5</v>
      </c>
      <c r="F129" s="14">
        <f t="shared" si="6"/>
        <v>-1389</v>
      </c>
      <c r="G129" s="15">
        <f t="shared" si="7"/>
        <v>-5.0475134909242873E-2</v>
      </c>
      <c r="H129" s="69">
        <v>23876</v>
      </c>
      <c r="I129" s="16">
        <f t="shared" si="8"/>
        <v>2253.5</v>
      </c>
      <c r="J129" s="15">
        <f t="shared" si="9"/>
        <v>9.4383481320154131E-2</v>
      </c>
      <c r="K129" s="51"/>
      <c r="L129" s="51"/>
      <c r="M129" s="104"/>
      <c r="N129" s="104"/>
      <c r="O129" s="104"/>
      <c r="P129" s="104"/>
      <c r="Q129" s="104"/>
      <c r="R129" s="104"/>
      <c r="S129" s="104"/>
      <c r="T129" s="104"/>
      <c r="U129" s="104"/>
      <c r="V129" s="104"/>
      <c r="W129" s="104"/>
    </row>
    <row r="130" spans="1:23" ht="15.6">
      <c r="A130" s="24" t="str">
        <v>K217</v>
      </c>
      <c r="B130" s="25" t="str">
        <v>NY</v>
      </c>
      <c r="C130" s="25" t="str">
        <f>Sites[[#This Row],[SOL'#]]</f>
        <v>SOL-10933</v>
      </c>
      <c r="D130" s="77">
        <v>14145.7890625</v>
      </c>
      <c r="E130" s="78">
        <v>13313.86</v>
      </c>
      <c r="F130" s="10">
        <f t="shared" si="6"/>
        <v>831.92906249999942</v>
      </c>
      <c r="G130" s="11">
        <f t="shared" si="7"/>
        <v>6.2485940403459207E-2</v>
      </c>
      <c r="H130" s="67">
        <v>12983</v>
      </c>
      <c r="I130" s="12">
        <f t="shared" si="8"/>
        <v>1162.7890625</v>
      </c>
      <c r="J130" s="13">
        <f t="shared" si="9"/>
        <v>8.9562432604174694E-2</v>
      </c>
      <c r="K130" s="53"/>
      <c r="L130" s="53"/>
      <c r="M130" s="104"/>
      <c r="N130" s="104"/>
      <c r="O130" s="104"/>
      <c r="P130" s="104"/>
      <c r="Q130" s="104"/>
      <c r="R130" s="104"/>
      <c r="S130" s="104"/>
      <c r="T130" s="104"/>
      <c r="U130" s="104"/>
      <c r="V130" s="104"/>
      <c r="W130" s="104"/>
    </row>
    <row r="131" spans="1:23" ht="15.6">
      <c r="A131" s="26" t="str">
        <v>K307</v>
      </c>
      <c r="B131" s="27" t="str">
        <v>NY</v>
      </c>
      <c r="C131" s="142" t="str">
        <f>Sites[[#This Row],[SOL'#]]</f>
        <v>SOL-10876</v>
      </c>
      <c r="D131" s="72">
        <v>29099.328125</v>
      </c>
      <c r="E131" s="79">
        <v>29912.22</v>
      </c>
      <c r="F131" s="14">
        <f t="shared" si="6"/>
        <v>-812.89187500000116</v>
      </c>
      <c r="G131" s="15">
        <f t="shared" si="7"/>
        <v>-2.7175912553464809E-2</v>
      </c>
      <c r="H131" s="69">
        <v>27002</v>
      </c>
      <c r="I131" s="16">
        <f t="shared" si="8"/>
        <v>2097.328125</v>
      </c>
      <c r="J131" s="15">
        <f t="shared" si="9"/>
        <v>7.7673065884008588E-2</v>
      </c>
      <c r="K131" s="51"/>
      <c r="L131" s="51"/>
      <c r="M131" s="104"/>
      <c r="N131" s="104"/>
      <c r="O131" s="104"/>
      <c r="P131" s="104"/>
      <c r="Q131" s="104"/>
      <c r="R131" s="104"/>
      <c r="S131" s="104"/>
      <c r="T131" s="104"/>
      <c r="U131" s="104"/>
      <c r="V131" s="104"/>
      <c r="W131" s="104"/>
    </row>
    <row r="132" spans="1:23" ht="43.15">
      <c r="A132" s="24" t="str">
        <v>K610</v>
      </c>
      <c r="B132" s="25" t="str">
        <v>NY</v>
      </c>
      <c r="C132" s="25" t="str">
        <f>Sites[[#This Row],[SOL'#]]</f>
        <v>SOL-11158</v>
      </c>
      <c r="D132" s="144">
        <v>24809.1</v>
      </c>
      <c r="E132" s="143">
        <v>33741.06</v>
      </c>
      <c r="F132" s="10">
        <f t="shared" si="6"/>
        <v>-8931.9599999999991</v>
      </c>
      <c r="G132" s="11">
        <f t="shared" si="7"/>
        <v>-0.26472078826213519</v>
      </c>
      <c r="H132" s="67">
        <v>31771</v>
      </c>
      <c r="I132" s="12">
        <f t="shared" si="8"/>
        <v>-6961.9000000000015</v>
      </c>
      <c r="J132" s="13">
        <f t="shared" si="9"/>
        <v>-0.21912750621636087</v>
      </c>
      <c r="K132" s="53" t="s">
        <v>1609</v>
      </c>
      <c r="L132" s="99" t="s">
        <v>1610</v>
      </c>
      <c r="M132" s="104"/>
      <c r="N132" s="104"/>
      <c r="O132" s="104"/>
      <c r="P132" s="104"/>
      <c r="Q132" s="104"/>
      <c r="R132" s="104"/>
      <c r="S132" s="104"/>
      <c r="T132" s="104"/>
      <c r="U132" s="104"/>
      <c r="V132" s="104"/>
      <c r="W132" s="104"/>
    </row>
    <row r="133" spans="1:23" ht="115.15">
      <c r="A133" s="26" t="str">
        <v>M025</v>
      </c>
      <c r="B133" s="27" t="str">
        <v>NY</v>
      </c>
      <c r="C133" s="142" t="str">
        <f>Sites[[#This Row],[SOL'#]]</f>
        <v>SOL-10392</v>
      </c>
      <c r="D133" s="145">
        <v>24718.78125</v>
      </c>
      <c r="E133" s="14">
        <v>30789.33</v>
      </c>
      <c r="F133" s="14">
        <f t="shared" ref="F133:F164" si="10">IF(AND(ISNUMBER(D133),ISNUMBER(E133)), D133-E133, "")</f>
        <v>-6070.5487500000017</v>
      </c>
      <c r="G133" s="15">
        <f t="shared" si="7"/>
        <v>-0.19716404189373402</v>
      </c>
      <c r="H133" s="69">
        <v>27850</v>
      </c>
      <c r="I133" s="16">
        <f t="shared" si="8"/>
        <v>-3131.21875</v>
      </c>
      <c r="J133" s="15">
        <f t="shared" si="9"/>
        <v>-0.11243155296229802</v>
      </c>
      <c r="K133" s="51" t="s">
        <v>1848</v>
      </c>
      <c r="L133" s="100" t="s">
        <v>1849</v>
      </c>
      <c r="M133" s="103" t="s">
        <v>1613</v>
      </c>
      <c r="N133" s="104"/>
      <c r="O133" s="104"/>
      <c r="P133" s="104"/>
      <c r="Q133" s="104"/>
      <c r="R133" s="104"/>
      <c r="S133" s="104"/>
      <c r="T133" s="104"/>
      <c r="U133" s="104"/>
      <c r="V133" s="104"/>
      <c r="W133" s="104"/>
    </row>
    <row r="134" spans="1:23" ht="15.6">
      <c r="A134" s="24" t="str">
        <v>M028</v>
      </c>
      <c r="B134" s="25" t="str">
        <v>NY</v>
      </c>
      <c r="C134" s="25" t="str">
        <f>Sites[[#This Row],[SOL'#]]</f>
        <v>SOL-10381</v>
      </c>
      <c r="D134" s="144">
        <v>24147.6953125</v>
      </c>
      <c r="E134" s="143">
        <v>22986.880000000001</v>
      </c>
      <c r="F134" s="10">
        <f t="shared" si="10"/>
        <v>1160.815312499999</v>
      </c>
      <c r="G134" s="11">
        <f t="shared" ref="G134:G164" si="11">IFERROR(F134/E134, "")</f>
        <v>5.0499037385673871E-2</v>
      </c>
      <c r="H134" s="148">
        <v>21408</v>
      </c>
      <c r="I134" s="134">
        <f t="shared" si="8"/>
        <v>2739.6953125</v>
      </c>
      <c r="J134" s="13">
        <f t="shared" si="9"/>
        <v>0.12797530420870704</v>
      </c>
      <c r="K134" s="53"/>
      <c r="L134" s="53"/>
      <c r="M134" s="104"/>
      <c r="N134" s="104"/>
      <c r="O134" s="104"/>
      <c r="P134" s="104"/>
      <c r="Q134" s="104"/>
      <c r="R134" s="104"/>
      <c r="S134" s="104"/>
      <c r="T134" s="104"/>
      <c r="U134" s="104"/>
      <c r="V134" s="104"/>
      <c r="W134" s="104"/>
    </row>
    <row r="135" spans="1:23" ht="15.6">
      <c r="A135" s="26" t="str">
        <v>Q030</v>
      </c>
      <c r="B135" s="27" t="str">
        <v>NY</v>
      </c>
      <c r="C135" s="142" t="str">
        <f>Sites[[#This Row],[SOL'#]]</f>
        <v>SOL-10878</v>
      </c>
      <c r="D135" s="145">
        <v>28121.203125</v>
      </c>
      <c r="E135" s="14">
        <v>27692.87</v>
      </c>
      <c r="F135" s="14">
        <f t="shared" si="10"/>
        <v>428.33312500000102</v>
      </c>
      <c r="G135" s="15">
        <f t="shared" si="11"/>
        <v>1.5467270997913941E-2</v>
      </c>
      <c r="H135" s="127">
        <v>25556</v>
      </c>
      <c r="I135" s="135">
        <f t="shared" si="8"/>
        <v>2565.203125</v>
      </c>
      <c r="J135" s="15">
        <f t="shared" si="9"/>
        <v>0.10037576792142745</v>
      </c>
      <c r="K135" s="51"/>
      <c r="L135" s="51"/>
      <c r="M135" s="104"/>
      <c r="N135" s="104"/>
      <c r="O135" s="104"/>
      <c r="P135" s="104"/>
      <c r="Q135" s="104"/>
      <c r="R135" s="104"/>
      <c r="S135" s="104"/>
      <c r="T135" s="104"/>
      <c r="U135" s="104"/>
      <c r="V135" s="104"/>
      <c r="W135" s="104"/>
    </row>
    <row r="136" spans="1:23" ht="15.6">
      <c r="A136" s="24" t="str">
        <v>Q130</v>
      </c>
      <c r="B136" s="25" t="str">
        <v>NY</v>
      </c>
      <c r="C136" s="25" t="str">
        <f>Sites[[#This Row],[SOL'#]]</f>
        <v>SOL-10877</v>
      </c>
      <c r="D136" s="144">
        <v>15751.1484375</v>
      </c>
      <c r="E136" s="143">
        <v>14699.77</v>
      </c>
      <c r="F136" s="10">
        <f t="shared" si="10"/>
        <v>1051.3784374999996</v>
      </c>
      <c r="G136" s="11">
        <f t="shared" si="11"/>
        <v>7.1523461761646576E-2</v>
      </c>
      <c r="H136" s="148">
        <v>14803.11</v>
      </c>
      <c r="I136" s="134">
        <f t="shared" si="8"/>
        <v>948.03843749999942</v>
      </c>
      <c r="J136" s="13">
        <f t="shared" si="9"/>
        <v>6.4043193457320749E-2</v>
      </c>
      <c r="K136" s="53"/>
      <c r="L136" s="53"/>
      <c r="M136" s="104"/>
      <c r="N136" s="104"/>
      <c r="O136" s="104"/>
      <c r="P136" s="104"/>
      <c r="Q136" s="104"/>
      <c r="R136" s="104"/>
      <c r="S136" s="104"/>
      <c r="T136" s="104"/>
      <c r="U136" s="104"/>
      <c r="V136" s="104"/>
      <c r="W136" s="104"/>
    </row>
    <row r="137" spans="1:23" ht="15.6">
      <c r="A137" s="26" t="str">
        <v>Q196</v>
      </c>
      <c r="B137" s="27" t="str">
        <v>NY</v>
      </c>
      <c r="C137" s="142" t="str">
        <f>Sites[[#This Row],[SOL'#]]</f>
        <v>SOL-10879</v>
      </c>
      <c r="D137" s="145">
        <v>20805.482835591101</v>
      </c>
      <c r="E137" s="14">
        <v>21379.83</v>
      </c>
      <c r="F137" s="14">
        <f t="shared" si="10"/>
        <v>-574.34716440890043</v>
      </c>
      <c r="G137" s="15">
        <f t="shared" si="11"/>
        <v>-2.686397246418238E-2</v>
      </c>
      <c r="H137" s="127">
        <v>19108</v>
      </c>
      <c r="I137" s="135">
        <f t="shared" si="8"/>
        <v>1697.4828355911013</v>
      </c>
      <c r="J137" s="15">
        <f t="shared" si="9"/>
        <v>8.8836237994091544E-2</v>
      </c>
      <c r="K137" s="51"/>
      <c r="L137" s="51"/>
      <c r="M137" s="104"/>
      <c r="N137" s="104"/>
      <c r="O137" s="104"/>
      <c r="P137" s="104"/>
      <c r="Q137" s="104"/>
      <c r="R137" s="104"/>
      <c r="S137" s="104"/>
      <c r="T137" s="104"/>
      <c r="U137" s="104"/>
      <c r="V137" s="104"/>
      <c r="W137" s="104"/>
    </row>
    <row r="138" spans="1:23" ht="15.6">
      <c r="A138" s="24" t="str">
        <v>Q220</v>
      </c>
      <c r="B138" s="25" t="str">
        <v>NY</v>
      </c>
      <c r="C138" s="25" t="str">
        <f>Sites[[#This Row],[SOL'#]]</f>
        <v>SOL-10873</v>
      </c>
      <c r="D138" s="144">
        <v>24446</v>
      </c>
      <c r="E138" s="143">
        <v>28043.91</v>
      </c>
      <c r="F138" s="10">
        <f t="shared" si="10"/>
        <v>-3597.91</v>
      </c>
      <c r="G138" s="11">
        <f t="shared" si="11"/>
        <v>-0.1282955907360992</v>
      </c>
      <c r="H138" s="148">
        <v>21931</v>
      </c>
      <c r="I138" s="134">
        <f t="shared" si="8"/>
        <v>2515</v>
      </c>
      <c r="J138" s="13">
        <f t="shared" si="9"/>
        <v>0.11467785326706488</v>
      </c>
      <c r="K138" s="53" t="s">
        <v>1364</v>
      </c>
      <c r="L138" s="99" t="s">
        <v>1850</v>
      </c>
      <c r="M138" s="104"/>
      <c r="N138" s="104"/>
      <c r="O138" s="104"/>
      <c r="P138" s="104"/>
      <c r="Q138" s="104"/>
      <c r="R138" s="104"/>
      <c r="S138" s="104"/>
      <c r="T138" s="104"/>
      <c r="U138" s="104"/>
      <c r="V138" s="104"/>
      <c r="W138" s="104"/>
    </row>
    <row r="139" spans="1:23" ht="15.6">
      <c r="A139" s="26" t="str">
        <v>Q205</v>
      </c>
      <c r="B139" s="27" t="str">
        <v>NY</v>
      </c>
      <c r="C139" s="142" t="str">
        <f>Sites[[#This Row],[SOL'#]]</f>
        <v>SOL-10922</v>
      </c>
      <c r="D139" s="145">
        <v>26670.46875</v>
      </c>
      <c r="E139" s="14">
        <v>34551.760000000002</v>
      </c>
      <c r="F139" s="14">
        <f t="shared" si="10"/>
        <v>-7881.291250000002</v>
      </c>
      <c r="G139" s="15">
        <f t="shared" si="11"/>
        <v>-0.22810100701093089</v>
      </c>
      <c r="H139" s="127">
        <v>26035</v>
      </c>
      <c r="I139" s="135">
        <f t="shared" si="8"/>
        <v>635.46875</v>
      </c>
      <c r="J139" s="15">
        <f t="shared" si="9"/>
        <v>2.4408248511618973E-2</v>
      </c>
      <c r="K139" s="51" t="s">
        <v>1851</v>
      </c>
      <c r="L139" s="100" t="s">
        <v>1852</v>
      </c>
      <c r="M139" s="104"/>
      <c r="N139" s="104"/>
      <c r="O139" s="104"/>
      <c r="P139" s="104"/>
      <c r="Q139" s="104"/>
      <c r="R139" s="104"/>
      <c r="S139" s="104"/>
      <c r="T139" s="104"/>
      <c r="U139" s="104"/>
      <c r="V139" s="104"/>
      <c r="W139" s="104"/>
    </row>
    <row r="140" spans="1:23" ht="158.44999999999999">
      <c r="A140" s="28" t="str">
        <v>Q400</v>
      </c>
      <c r="B140" s="25" t="str">
        <v>NY</v>
      </c>
      <c r="C140" s="25" t="str">
        <f>Sites[[#This Row],[SOL'#]]</f>
        <v>SOL-10871</v>
      </c>
      <c r="D140" s="144">
        <v>27564.71875</v>
      </c>
      <c r="E140" s="143" t="s">
        <v>661</v>
      </c>
      <c r="F140" s="10" t="str">
        <f t="shared" si="10"/>
        <v/>
      </c>
      <c r="G140" s="11" t="str">
        <f t="shared" si="11"/>
        <v/>
      </c>
      <c r="H140" s="148">
        <v>42213</v>
      </c>
      <c r="I140" s="134">
        <f t="shared" si="8"/>
        <v>-14648.28125</v>
      </c>
      <c r="J140" s="13">
        <f t="shared" si="9"/>
        <v>-0.34700877099471727</v>
      </c>
      <c r="K140" s="53" t="s">
        <v>1853</v>
      </c>
      <c r="L140" s="99" t="s">
        <v>1854</v>
      </c>
      <c r="M140" s="103" t="s">
        <v>1855</v>
      </c>
      <c r="N140" s="103" t="s">
        <v>1856</v>
      </c>
      <c r="O140" s="103" t="s">
        <v>1857</v>
      </c>
      <c r="P140" s="104"/>
      <c r="Q140" s="104"/>
      <c r="R140" s="104"/>
      <c r="S140" s="104"/>
      <c r="T140" s="104"/>
      <c r="U140" s="104"/>
      <c r="V140" s="104"/>
      <c r="W140" s="104"/>
    </row>
    <row r="141" spans="1:23" ht="28.9">
      <c r="A141" s="26" t="str">
        <v>R003</v>
      </c>
      <c r="B141" s="27" t="str">
        <v>NY</v>
      </c>
      <c r="C141" s="142" t="str">
        <f>Sites[[#This Row],[SOL'#]]</f>
        <v>SOL-10416</v>
      </c>
      <c r="D141" s="155">
        <v>35994.71875</v>
      </c>
      <c r="E141" s="14">
        <v>40860.949999999997</v>
      </c>
      <c r="F141" s="14">
        <f t="shared" si="10"/>
        <v>-4866.2312499999971</v>
      </c>
      <c r="G141" s="15">
        <f t="shared" si="11"/>
        <v>-0.1190924648105342</v>
      </c>
      <c r="H141" s="127">
        <v>39191</v>
      </c>
      <c r="I141" s="135">
        <f t="shared" si="8"/>
        <v>-3196.28125</v>
      </c>
      <c r="J141" s="15">
        <f t="shared" si="9"/>
        <v>-8.1556511699114598E-2</v>
      </c>
      <c r="K141" s="51" t="s">
        <v>1374</v>
      </c>
      <c r="L141" s="100" t="s">
        <v>1858</v>
      </c>
      <c r="M141" s="104"/>
      <c r="N141" s="104"/>
      <c r="O141" s="104"/>
      <c r="P141" s="104"/>
      <c r="Q141" s="104"/>
      <c r="R141" s="104"/>
      <c r="S141" s="104"/>
      <c r="T141" s="104"/>
      <c r="U141" s="104"/>
      <c r="V141" s="104"/>
      <c r="W141" s="104"/>
    </row>
    <row r="142" spans="1:23" ht="15.6">
      <c r="A142" s="28" t="str">
        <v>R007</v>
      </c>
      <c r="B142" s="25" t="str">
        <v>NY</v>
      </c>
      <c r="C142" s="25" t="str">
        <f>Sites[[#This Row],[SOL'#]]</f>
        <v>SOL-10417</v>
      </c>
      <c r="D142" s="156">
        <v>44587.8125</v>
      </c>
      <c r="E142" s="147">
        <v>44275.8</v>
      </c>
      <c r="F142" s="10">
        <f t="shared" si="10"/>
        <v>312.01249999999709</v>
      </c>
      <c r="G142" s="11">
        <f t="shared" si="11"/>
        <v>7.0470211718364675E-3</v>
      </c>
      <c r="H142" s="148">
        <v>43538.53</v>
      </c>
      <c r="I142" s="134">
        <f t="shared" si="8"/>
        <v>1049.2825000000012</v>
      </c>
      <c r="J142" s="13">
        <f t="shared" si="9"/>
        <v>2.4100090195971275E-2</v>
      </c>
      <c r="K142" s="53"/>
      <c r="L142" s="53"/>
      <c r="M142" s="104"/>
      <c r="N142" s="104"/>
      <c r="O142" s="104"/>
      <c r="P142" s="104"/>
      <c r="Q142" s="104"/>
      <c r="R142" s="104"/>
      <c r="S142" s="104"/>
      <c r="T142" s="104"/>
      <c r="U142" s="104"/>
      <c r="V142" s="104"/>
      <c r="W142" s="104"/>
    </row>
    <row r="143" spans="1:23" ht="15.6">
      <c r="A143" s="26" t="str">
        <v>BK16</v>
      </c>
      <c r="B143" s="27" t="str">
        <v>NY</v>
      </c>
      <c r="C143" s="142" t="str">
        <f>Sites[[#This Row],[SOL'#]]</f>
        <v>SOL-11093</v>
      </c>
      <c r="D143" s="145">
        <v>45382.796875</v>
      </c>
      <c r="E143" s="14">
        <v>44880.84</v>
      </c>
      <c r="F143" s="14">
        <f t="shared" si="10"/>
        <v>501.95687500000349</v>
      </c>
      <c r="G143" s="15">
        <f t="shared" si="11"/>
        <v>1.1184213018294744E-2</v>
      </c>
      <c r="H143" s="127">
        <v>41908</v>
      </c>
      <c r="I143" s="135">
        <f t="shared" si="8"/>
        <v>3474.796875</v>
      </c>
      <c r="J143" s="15">
        <f t="shared" si="9"/>
        <v>8.2914882003436094E-2</v>
      </c>
      <c r="K143" s="51"/>
      <c r="L143" s="51"/>
      <c r="M143" s="104"/>
      <c r="N143" s="104"/>
      <c r="O143" s="104"/>
      <c r="P143" s="104"/>
      <c r="Q143" s="104"/>
      <c r="R143" s="104"/>
      <c r="S143" s="104"/>
      <c r="T143" s="104"/>
      <c r="U143" s="104"/>
      <c r="V143" s="104"/>
      <c r="W143" s="104"/>
    </row>
    <row r="144" spans="1:23" ht="115.15">
      <c r="A144" s="24" t="str">
        <v>Trenton - Trenton East</v>
      </c>
      <c r="B144" s="25" t="str">
        <v>IL</v>
      </c>
      <c r="C144" s="25" t="str">
        <f>Sites[[#This Row],[SOL'#]]</f>
        <v>SOL-11060</v>
      </c>
      <c r="D144" s="144">
        <v>437519</v>
      </c>
      <c r="E144" s="143">
        <v>471397.7</v>
      </c>
      <c r="F144" s="10">
        <f t="shared" si="10"/>
        <v>-33878.700000000012</v>
      </c>
      <c r="G144" s="11">
        <f t="shared" si="11"/>
        <v>-7.1868615396299157E-2</v>
      </c>
      <c r="H144" s="148">
        <v>510301</v>
      </c>
      <c r="I144" s="134">
        <f t="shared" si="8"/>
        <v>-72782</v>
      </c>
      <c r="J144" s="13">
        <f t="shared" si="9"/>
        <v>-0.14262562683592625</v>
      </c>
      <c r="K144" s="53" t="s">
        <v>1859</v>
      </c>
      <c r="L144" s="99" t="s">
        <v>1860</v>
      </c>
      <c r="M144" s="103" t="s">
        <v>1861</v>
      </c>
      <c r="N144" s="104"/>
      <c r="O144" s="104"/>
      <c r="P144" s="104"/>
      <c r="Q144" s="104"/>
      <c r="R144" s="104"/>
      <c r="S144" s="104"/>
      <c r="T144" s="104"/>
      <c r="U144" s="104"/>
      <c r="V144" s="104"/>
      <c r="W144" s="104"/>
    </row>
    <row r="145" spans="1:23" ht="28.9">
      <c r="A145" s="26" t="str">
        <v>Trenton - Trenton West</v>
      </c>
      <c r="B145" s="27" t="str">
        <v>IL</v>
      </c>
      <c r="C145" s="142" t="str">
        <f>Sites[[#This Row],[SOL'#]]</f>
        <v>SOL-11061</v>
      </c>
      <c r="D145" s="145">
        <v>277637</v>
      </c>
      <c r="E145" s="14">
        <v>402211.7</v>
      </c>
      <c r="F145" s="14">
        <f t="shared" si="10"/>
        <v>-124574.70000000001</v>
      </c>
      <c r="G145" s="15">
        <f t="shared" si="11"/>
        <v>-0.3097242074260893</v>
      </c>
      <c r="H145" s="127">
        <v>512464</v>
      </c>
      <c r="I145" s="135">
        <f t="shared" si="8"/>
        <v>-234827</v>
      </c>
      <c r="J145" s="15">
        <f t="shared" si="9"/>
        <v>-0.45823121233881797</v>
      </c>
      <c r="K145" s="51" t="s">
        <v>1862</v>
      </c>
      <c r="L145" s="100" t="s">
        <v>1863</v>
      </c>
      <c r="M145" s="104"/>
      <c r="N145" s="104"/>
      <c r="O145" s="104"/>
      <c r="P145" s="104"/>
      <c r="Q145" s="104"/>
      <c r="R145" s="104"/>
      <c r="S145" s="104"/>
      <c r="T145" s="104"/>
      <c r="U145" s="104"/>
      <c r="V145" s="104"/>
      <c r="W145" s="104"/>
    </row>
    <row r="146" spans="1:23" ht="57.6">
      <c r="A146" s="24" t="str">
        <v>Dakota - Dakota Solar 1</v>
      </c>
      <c r="B146" s="25" t="str">
        <v>IL</v>
      </c>
      <c r="C146" s="25" t="str">
        <f>Sites[[#This Row],[SOL'#]]</f>
        <v>SOL-11113</v>
      </c>
      <c r="D146" s="144">
        <v>498585</v>
      </c>
      <c r="E146" s="143">
        <v>531606.80000000005</v>
      </c>
      <c r="F146" s="10">
        <f t="shared" si="10"/>
        <v>-33021.800000000047</v>
      </c>
      <c r="G146" s="11">
        <f t="shared" si="11"/>
        <v>-6.2116963138921559E-2</v>
      </c>
      <c r="H146" s="148">
        <v>386240</v>
      </c>
      <c r="I146" s="134">
        <f t="shared" ref="I146:I164" si="12">IF(AND(ISNUMBER(D146),ISNUMBER(H146)), D146-H146, "")</f>
        <v>112345</v>
      </c>
      <c r="J146" s="13">
        <f t="shared" ref="J146:J164" si="13">IFERROR(I146/H146, "")</f>
        <v>0.29086837199668603</v>
      </c>
      <c r="K146" s="53" t="s">
        <v>1864</v>
      </c>
      <c r="L146" s="99" t="s">
        <v>1865</v>
      </c>
      <c r="M146" s="103" t="s">
        <v>1866</v>
      </c>
      <c r="N146" s="103" t="s">
        <v>1867</v>
      </c>
      <c r="O146" s="104"/>
      <c r="P146" s="104"/>
      <c r="Q146" s="104"/>
      <c r="R146" s="104"/>
      <c r="S146" s="104"/>
      <c r="T146" s="104"/>
      <c r="U146" s="104"/>
      <c r="V146" s="104"/>
      <c r="W146" s="104"/>
    </row>
    <row r="147" spans="1:23" ht="43.15">
      <c r="A147" s="26" t="str">
        <v>X018</v>
      </c>
      <c r="B147" s="27" t="str">
        <v>NY</v>
      </c>
      <c r="C147" s="142" t="str">
        <f>Sites[[#This Row],[SOL'#]]</f>
        <v>SOL-10418</v>
      </c>
      <c r="D147" s="145">
        <v>22069.125</v>
      </c>
      <c r="E147" s="14">
        <v>12142.44</v>
      </c>
      <c r="F147" s="14">
        <f t="shared" si="10"/>
        <v>9926.6849999999995</v>
      </c>
      <c r="G147" s="15">
        <f t="shared" si="11"/>
        <v>0.81751979009161246</v>
      </c>
      <c r="H147" s="127">
        <v>20832</v>
      </c>
      <c r="I147" s="135">
        <f t="shared" si="12"/>
        <v>1237.125</v>
      </c>
      <c r="J147" s="15">
        <f t="shared" si="13"/>
        <v>5.9385800691244238E-2</v>
      </c>
      <c r="K147" s="51" t="s">
        <v>1868</v>
      </c>
      <c r="L147" s="100" t="s">
        <v>1869</v>
      </c>
      <c r="M147" s="103" t="s">
        <v>1870</v>
      </c>
      <c r="N147" s="104"/>
      <c r="O147" s="104"/>
      <c r="P147" s="104"/>
      <c r="Q147" s="104"/>
      <c r="R147" s="104"/>
      <c r="S147" s="104"/>
      <c r="T147" s="104"/>
      <c r="U147" s="104"/>
      <c r="V147" s="104"/>
      <c r="W147" s="104"/>
    </row>
    <row r="148" spans="1:23" ht="15.6">
      <c r="A148" s="24" t="str">
        <v>Janiak Solar</v>
      </c>
      <c r="B148" s="25" t="str">
        <v>NY</v>
      </c>
      <c r="C148" s="25" t="str">
        <f>Sites[[#This Row],[SOL'#]]</f>
        <v>SOL-10898</v>
      </c>
      <c r="D148" s="156">
        <v>410322</v>
      </c>
      <c r="E148" s="147">
        <v>429489.1</v>
      </c>
      <c r="F148" s="10">
        <f t="shared" si="10"/>
        <v>-19167.099999999977</v>
      </c>
      <c r="G148" s="11">
        <f t="shared" si="11"/>
        <v>-4.4627675067888749E-2</v>
      </c>
      <c r="H148" s="148">
        <v>413602</v>
      </c>
      <c r="I148" s="134">
        <f t="shared" si="12"/>
        <v>-3280</v>
      </c>
      <c r="J148" s="13">
        <f t="shared" si="13"/>
        <v>-7.9303291570156816E-3</v>
      </c>
      <c r="K148" s="53" t="s">
        <v>1871</v>
      </c>
      <c r="L148" s="99" t="s">
        <v>1872</v>
      </c>
      <c r="M148" s="104"/>
      <c r="N148" s="104"/>
      <c r="O148" s="104"/>
      <c r="P148" s="104"/>
      <c r="Q148" s="104"/>
      <c r="R148" s="104"/>
      <c r="S148" s="104"/>
      <c r="T148" s="104"/>
      <c r="U148" s="104"/>
      <c r="V148" s="104"/>
      <c r="W148" s="104"/>
    </row>
    <row r="149" spans="1:23" ht="72">
      <c r="A149" s="26" t="str">
        <v>County Route 11B</v>
      </c>
      <c r="B149" s="27" t="str">
        <v>NY</v>
      </c>
      <c r="C149" s="142" t="str">
        <f>Sites[[#This Row],[SOL'#]]</f>
        <v>SOL-10983</v>
      </c>
      <c r="D149" s="145">
        <v>1379609</v>
      </c>
      <c r="E149" s="14">
        <v>1375713</v>
      </c>
      <c r="F149" s="14">
        <f t="shared" si="10"/>
        <v>3896</v>
      </c>
      <c r="G149" s="15">
        <f t="shared" si="11"/>
        <v>2.8319860319703312E-3</v>
      </c>
      <c r="H149" s="127" t="s">
        <v>661</v>
      </c>
      <c r="I149" s="135" t="str">
        <f t="shared" si="12"/>
        <v/>
      </c>
      <c r="J149" s="15" t="str">
        <f t="shared" si="13"/>
        <v/>
      </c>
      <c r="K149" s="51" t="s">
        <v>1873</v>
      </c>
      <c r="L149" s="100" t="s">
        <v>1874</v>
      </c>
      <c r="M149" s="104"/>
      <c r="N149" s="104"/>
      <c r="O149" s="104"/>
      <c r="P149" s="104"/>
      <c r="Q149" s="104"/>
      <c r="R149" s="104"/>
      <c r="S149" s="104"/>
      <c r="T149" s="104"/>
      <c r="U149" s="104"/>
      <c r="V149" s="104"/>
      <c r="W149" s="104"/>
    </row>
    <row r="150" spans="1:23" ht="15.6">
      <c r="A150" s="24" t="str">
        <v>Barone</v>
      </c>
      <c r="B150" s="25" t="str">
        <v>NY</v>
      </c>
      <c r="C150" s="25" t="str">
        <f>Sites[[#This Row],[SOL'#]]</f>
        <v>SOL-11034</v>
      </c>
      <c r="D150" s="156">
        <v>742933</v>
      </c>
      <c r="E150" s="147">
        <v>740175</v>
      </c>
      <c r="F150" s="10">
        <f t="shared" si="10"/>
        <v>2758</v>
      </c>
      <c r="G150" s="11">
        <f t="shared" si="11"/>
        <v>3.7261458438882697E-3</v>
      </c>
      <c r="H150" s="148">
        <v>675605</v>
      </c>
      <c r="I150" s="134">
        <f t="shared" si="12"/>
        <v>67328</v>
      </c>
      <c r="J150" s="13">
        <f t="shared" si="13"/>
        <v>9.9655864003374756E-2</v>
      </c>
      <c r="K150" s="53"/>
      <c r="L150" s="53"/>
      <c r="M150" s="104"/>
      <c r="N150" s="104"/>
      <c r="O150" s="104"/>
      <c r="P150" s="104"/>
      <c r="Q150" s="104"/>
      <c r="R150" s="104"/>
      <c r="S150" s="104"/>
      <c r="T150" s="104"/>
      <c r="U150" s="104"/>
      <c r="V150" s="104"/>
      <c r="W150" s="104"/>
    </row>
    <row r="151" spans="1:23" ht="78.75" customHeight="1">
      <c r="A151" s="26" t="str">
        <v>Cedarville</v>
      </c>
      <c r="B151" s="27" t="str">
        <v>IL</v>
      </c>
      <c r="C151" s="142" t="str">
        <f>Sites[[#This Row],[SOL'#]]</f>
        <v>SOL-11069</v>
      </c>
      <c r="D151" s="145">
        <v>417515</v>
      </c>
      <c r="E151" s="14">
        <v>416555.5</v>
      </c>
      <c r="F151" s="14">
        <f t="shared" si="10"/>
        <v>959.5</v>
      </c>
      <c r="G151" s="15">
        <f t="shared" si="11"/>
        <v>2.3034145510022076E-3</v>
      </c>
      <c r="H151" s="127">
        <v>502198.2</v>
      </c>
      <c r="I151" s="135">
        <f t="shared" si="12"/>
        <v>-84683.200000000012</v>
      </c>
      <c r="J151" s="15">
        <f t="shared" si="13"/>
        <v>-0.16862505680028325</v>
      </c>
      <c r="K151" s="51" t="s">
        <v>1875</v>
      </c>
      <c r="L151" s="100" t="s">
        <v>1876</v>
      </c>
      <c r="M151" s="103" t="s">
        <v>1877</v>
      </c>
      <c r="N151" s="103" t="s">
        <v>1878</v>
      </c>
      <c r="O151" s="104"/>
      <c r="P151" s="104"/>
      <c r="Q151" s="104"/>
      <c r="R151" s="104"/>
      <c r="S151" s="104"/>
      <c r="T151" s="104"/>
      <c r="U151" s="104"/>
      <c r="V151" s="104"/>
      <c r="W151" s="104"/>
    </row>
    <row r="152" spans="1:23" ht="26.25" customHeight="1">
      <c r="A152" s="24" t="str">
        <v xml:space="preserve"> O'Brien Hill #1</v>
      </c>
      <c r="B152" s="25" t="str">
        <v>NY</v>
      </c>
      <c r="C152" s="25" t="str">
        <f>Sites[[#This Row],[SOL'#]]</f>
        <v>SOL-11098</v>
      </c>
      <c r="D152" s="144">
        <v>0</v>
      </c>
      <c r="E152" s="143">
        <v>0</v>
      </c>
      <c r="F152" s="10">
        <f t="shared" si="10"/>
        <v>0</v>
      </c>
      <c r="G152" s="11" t="str">
        <f t="shared" si="11"/>
        <v/>
      </c>
      <c r="H152" s="148" t="s">
        <v>661</v>
      </c>
      <c r="I152" s="134" t="str">
        <f t="shared" si="12"/>
        <v/>
      </c>
      <c r="J152" s="13" t="str">
        <f t="shared" si="13"/>
        <v/>
      </c>
      <c r="K152" s="53" t="s">
        <v>1390</v>
      </c>
      <c r="L152" s="99" t="s">
        <v>1391</v>
      </c>
      <c r="M152" s="103" t="s">
        <v>877</v>
      </c>
      <c r="N152" s="104"/>
      <c r="O152" s="104"/>
      <c r="P152" s="104"/>
      <c r="Q152" s="104"/>
      <c r="R152" s="104"/>
      <c r="S152" s="104"/>
      <c r="T152" s="104"/>
      <c r="U152" s="104"/>
      <c r="V152" s="104"/>
      <c r="W152" s="104"/>
    </row>
    <row r="153" spans="1:23" ht="57.6">
      <c r="A153" s="26" t="str">
        <v xml:space="preserve"> O'Brien Hill #2</v>
      </c>
      <c r="B153" s="27" t="str">
        <v>NY</v>
      </c>
      <c r="C153" s="142" t="str">
        <f>Sites[[#This Row],[SOL'#]]</f>
        <v>SOL-11099</v>
      </c>
      <c r="D153" s="145">
        <v>1128495</v>
      </c>
      <c r="E153" s="14">
        <v>1128378</v>
      </c>
      <c r="F153" s="14">
        <f t="shared" si="10"/>
        <v>117</v>
      </c>
      <c r="G153" s="15">
        <f t="shared" si="11"/>
        <v>1.0368865752434025E-4</v>
      </c>
      <c r="H153" s="127" t="s">
        <v>661</v>
      </c>
      <c r="I153" s="135" t="str">
        <f t="shared" si="12"/>
        <v/>
      </c>
      <c r="J153" s="15" t="str">
        <f t="shared" si="13"/>
        <v/>
      </c>
      <c r="K153" s="51" t="s">
        <v>1879</v>
      </c>
      <c r="L153" s="100" t="s">
        <v>1880</v>
      </c>
      <c r="M153" s="103" t="s">
        <v>1881</v>
      </c>
      <c r="N153" s="103" t="s">
        <v>1882</v>
      </c>
      <c r="O153" s="104"/>
      <c r="P153" s="104"/>
      <c r="Q153" s="104"/>
      <c r="R153" s="104"/>
      <c r="S153" s="104"/>
      <c r="T153" s="104"/>
      <c r="U153" s="104"/>
      <c r="V153" s="104"/>
      <c r="W153" s="104"/>
    </row>
    <row r="154" spans="1:23" ht="28.9">
      <c r="A154" s="24" t="str">
        <v>Trinity - Freeport</v>
      </c>
      <c r="B154" s="25" t="str">
        <v>IL</v>
      </c>
      <c r="C154" s="25" t="str">
        <f>Sites[[#This Row],[SOL'#]]</f>
        <v>SOL-11057</v>
      </c>
      <c r="D154" s="144">
        <v>477281</v>
      </c>
      <c r="E154" s="143">
        <v>555388.9</v>
      </c>
      <c r="F154" s="10">
        <f t="shared" si="10"/>
        <v>-78107.900000000023</v>
      </c>
      <c r="G154" s="11">
        <f t="shared" si="11"/>
        <v>-0.14063640810970479</v>
      </c>
      <c r="H154" s="148">
        <v>510656</v>
      </c>
      <c r="I154" s="134">
        <f t="shared" si="12"/>
        <v>-33375</v>
      </c>
      <c r="J154" s="13">
        <f t="shared" si="13"/>
        <v>-6.535710928687806E-2</v>
      </c>
      <c r="K154" s="53" t="s">
        <v>1883</v>
      </c>
      <c r="L154" s="99" t="s">
        <v>1884</v>
      </c>
      <c r="M154" s="104"/>
      <c r="N154" s="104"/>
      <c r="O154" s="104"/>
      <c r="P154" s="104"/>
      <c r="Q154" s="104"/>
      <c r="R154" s="104"/>
      <c r="S154" s="104"/>
      <c r="T154" s="104"/>
      <c r="U154" s="104"/>
      <c r="V154" s="104"/>
      <c r="W154" s="104"/>
    </row>
    <row r="155" spans="1:23" ht="15.6">
      <c r="A155" s="26" t="str">
        <v>Ransom</v>
      </c>
      <c r="B155" s="27" t="str">
        <v>NY</v>
      </c>
      <c r="C155" s="142" t="str">
        <f>Sites[[#This Row],[SOL'#]]</f>
        <v>SOL-11157</v>
      </c>
      <c r="D155" s="145">
        <v>1140073</v>
      </c>
      <c r="E155" s="14">
        <v>1136262</v>
      </c>
      <c r="F155" s="14">
        <f t="shared" si="10"/>
        <v>3811</v>
      </c>
      <c r="G155" s="15">
        <f t="shared" si="11"/>
        <v>3.3539799799694086E-3</v>
      </c>
      <c r="H155" s="127" t="s">
        <v>661</v>
      </c>
      <c r="I155" s="135" t="str">
        <f t="shared" si="12"/>
        <v/>
      </c>
      <c r="J155" s="15" t="str">
        <f t="shared" si="13"/>
        <v/>
      </c>
      <c r="K155" s="51"/>
      <c r="L155" s="51"/>
      <c r="M155" s="104"/>
      <c r="N155" s="104"/>
      <c r="O155" s="104"/>
      <c r="P155" s="104"/>
      <c r="Q155" s="104"/>
      <c r="R155" s="104"/>
      <c r="S155" s="104"/>
      <c r="T155" s="104"/>
      <c r="U155" s="104"/>
      <c r="V155" s="104"/>
      <c r="W155" s="104"/>
    </row>
    <row r="156" spans="1:23" ht="28.9">
      <c r="A156" s="24" t="str">
        <v>Horseheads - Wedge</v>
      </c>
      <c r="B156" s="25" t="str">
        <v>NY</v>
      </c>
      <c r="C156" s="25" t="str">
        <f>Sites[[#This Row],[SOL'#]]</f>
        <v>SOL-11160</v>
      </c>
      <c r="D156" s="144">
        <v>706301</v>
      </c>
      <c r="E156" s="143">
        <v>704786</v>
      </c>
      <c r="F156" s="10">
        <f t="shared" si="10"/>
        <v>1515</v>
      </c>
      <c r="G156" s="11">
        <f t="shared" si="11"/>
        <v>2.1495886694684629E-3</v>
      </c>
      <c r="H156" s="148" t="s">
        <v>661</v>
      </c>
      <c r="I156" s="134" t="str">
        <f t="shared" si="12"/>
        <v/>
      </c>
      <c r="J156" s="13" t="str">
        <f t="shared" si="13"/>
        <v/>
      </c>
      <c r="K156" s="53" t="s">
        <v>1885</v>
      </c>
      <c r="L156" s="99" t="s">
        <v>1886</v>
      </c>
      <c r="M156" s="104"/>
      <c r="N156" s="104"/>
      <c r="O156" s="104"/>
      <c r="P156" s="104"/>
      <c r="Q156" s="104"/>
      <c r="R156" s="104"/>
      <c r="S156" s="104"/>
      <c r="T156" s="104"/>
      <c r="U156" s="104"/>
      <c r="V156" s="104"/>
      <c r="W156" s="104"/>
    </row>
    <row r="157" spans="1:23" ht="28.9">
      <c r="A157" s="26" t="str">
        <v>Otisville - Shoddy Hollow</v>
      </c>
      <c r="B157" s="27" t="str">
        <v>NY</v>
      </c>
      <c r="C157" s="142" t="str">
        <f>Sites[[#This Row],[SOL'#]]</f>
        <v>SOL-11185</v>
      </c>
      <c r="D157" s="145">
        <v>1152646</v>
      </c>
      <c r="E157" s="14">
        <v>1148442</v>
      </c>
      <c r="F157" s="14">
        <f t="shared" si="10"/>
        <v>4204</v>
      </c>
      <c r="G157" s="15">
        <f t="shared" si="11"/>
        <v>3.6606115067195381E-3</v>
      </c>
      <c r="H157" s="127" t="s">
        <v>661</v>
      </c>
      <c r="I157" s="135" t="str">
        <f t="shared" si="12"/>
        <v/>
      </c>
      <c r="J157" s="15" t="str">
        <f t="shared" si="13"/>
        <v/>
      </c>
      <c r="K157" s="51" t="s">
        <v>1887</v>
      </c>
      <c r="L157" s="100" t="s">
        <v>1888</v>
      </c>
      <c r="M157" s="104"/>
      <c r="N157" s="104"/>
      <c r="O157" s="104"/>
      <c r="P157" s="104"/>
      <c r="Q157" s="104"/>
      <c r="R157" s="104"/>
      <c r="S157" s="104"/>
      <c r="T157" s="104"/>
      <c r="U157" s="104"/>
      <c r="V157" s="104"/>
      <c r="W157" s="104"/>
    </row>
    <row r="158" spans="1:23" ht="45.75" customHeight="1">
      <c r="A158" s="24" t="str">
        <v>Wellsville - Chenunda Creek</v>
      </c>
      <c r="B158" s="25" t="str">
        <v>NY</v>
      </c>
      <c r="C158" s="25" t="str">
        <f>Sites[[#This Row],[SOL'#]]</f>
        <v>SOL-11187</v>
      </c>
      <c r="D158" s="144">
        <v>506741</v>
      </c>
      <c r="E158" s="143">
        <v>505549</v>
      </c>
      <c r="F158" s="10">
        <f t="shared" si="10"/>
        <v>1192</v>
      </c>
      <c r="G158" s="11">
        <f t="shared" si="11"/>
        <v>2.3578327718974819E-3</v>
      </c>
      <c r="H158" s="148" t="s">
        <v>661</v>
      </c>
      <c r="I158" s="134" t="str">
        <f t="shared" si="12"/>
        <v/>
      </c>
      <c r="J158" s="13" t="str">
        <f t="shared" si="13"/>
        <v/>
      </c>
      <c r="K158" s="53" t="s">
        <v>1889</v>
      </c>
      <c r="L158" s="99" t="s">
        <v>1890</v>
      </c>
      <c r="M158" s="103" t="s">
        <v>1891</v>
      </c>
      <c r="N158" s="104"/>
      <c r="O158" s="104"/>
      <c r="P158" s="104"/>
      <c r="Q158" s="104"/>
      <c r="R158" s="104"/>
      <c r="S158" s="104"/>
      <c r="T158" s="104"/>
      <c r="U158" s="104"/>
      <c r="V158" s="104"/>
      <c r="W158" s="104"/>
    </row>
    <row r="159" spans="1:23" ht="19.5" customHeight="1">
      <c r="A159" s="26" t="str">
        <v>DC: Washington - Essex Condominium</v>
      </c>
      <c r="B159" s="27" t="str">
        <v>DC</v>
      </c>
      <c r="C159" s="146" t="str">
        <f>Sites[[#This Row],[SOL'#]]</f>
        <v>SOL-10036</v>
      </c>
      <c r="D159" s="145">
        <v>4135</v>
      </c>
      <c r="E159" s="14">
        <v>5246.241</v>
      </c>
      <c r="F159" s="14">
        <f t="shared" si="10"/>
        <v>-1111.241</v>
      </c>
      <c r="G159" s="15">
        <f t="shared" si="11"/>
        <v>-0.21181661307591473</v>
      </c>
      <c r="H159" s="127">
        <v>4946.6059999999998</v>
      </c>
      <c r="I159" s="135">
        <f t="shared" si="12"/>
        <v>-811.60599999999977</v>
      </c>
      <c r="J159" s="15">
        <f t="shared" si="13"/>
        <v>-0.16407330602032985</v>
      </c>
      <c r="K159" s="51" t="s">
        <v>1892</v>
      </c>
      <c r="L159" s="51"/>
      <c r="M159" s="104"/>
      <c r="N159" s="104"/>
      <c r="O159" s="104"/>
      <c r="P159" s="104"/>
      <c r="Q159" s="104"/>
      <c r="R159" s="104"/>
      <c r="S159" s="104"/>
      <c r="T159" s="104"/>
      <c r="U159" s="104"/>
      <c r="V159" s="104"/>
      <c r="W159" s="104"/>
    </row>
    <row r="160" spans="1:23" ht="28.9">
      <c r="A160" s="24" t="str">
        <v>HI: Waipahu - 94-246 Leoku St - E.F.G.</v>
      </c>
      <c r="B160" s="25" t="str">
        <v>HI</v>
      </c>
      <c r="C160" s="25" t="str">
        <f>Sites[[#This Row],[SOL'#]]</f>
        <v>SOL-10071</v>
      </c>
      <c r="D160" s="144">
        <v>12597</v>
      </c>
      <c r="E160" s="143">
        <v>11777.15</v>
      </c>
      <c r="F160" s="10">
        <f t="shared" si="10"/>
        <v>819.85000000000036</v>
      </c>
      <c r="G160" s="11">
        <f t="shared" si="11"/>
        <v>6.9613616197467157E-2</v>
      </c>
      <c r="H160" s="148">
        <v>12293.69</v>
      </c>
      <c r="I160" s="134">
        <f t="shared" si="12"/>
        <v>303.30999999999949</v>
      </c>
      <c r="J160" s="13">
        <f t="shared" si="13"/>
        <v>2.4672006533432964E-2</v>
      </c>
      <c r="K160" s="53" t="s">
        <v>1893</v>
      </c>
      <c r="L160" s="99" t="s">
        <v>1894</v>
      </c>
      <c r="M160" s="103" t="s">
        <v>1895</v>
      </c>
      <c r="N160" s="104"/>
      <c r="O160" s="104"/>
      <c r="P160" s="104"/>
      <c r="Q160" s="104"/>
      <c r="R160" s="104"/>
      <c r="S160" s="104"/>
      <c r="T160" s="104"/>
      <c r="U160" s="104"/>
      <c r="V160" s="104"/>
      <c r="W160" s="104"/>
    </row>
    <row r="161" spans="1:23" s="150" customFormat="1" ht="15.6">
      <c r="A161" s="151" t="str">
        <v>HI: Waipahu - 94-099 Waipahu St - PV</v>
      </c>
      <c r="B161" s="152" t="str">
        <v>HI</v>
      </c>
      <c r="C161" s="153" t="str">
        <f>Sites[[#This Row],[SOL'#]]</f>
        <v>SOL-10068</v>
      </c>
      <c r="D161" s="157">
        <v>13869</v>
      </c>
      <c r="E161" s="43">
        <v>10867.52</v>
      </c>
      <c r="F161" s="43">
        <f t="shared" si="10"/>
        <v>3001.4799999999996</v>
      </c>
      <c r="G161" s="149">
        <f t="shared" si="11"/>
        <v>0.27618812755808125</v>
      </c>
      <c r="H161" s="158">
        <v>12294.02</v>
      </c>
      <c r="I161" s="159">
        <f t="shared" si="12"/>
        <v>1574.9799999999996</v>
      </c>
      <c r="J161" s="149">
        <f t="shared" si="13"/>
        <v>0.12810943857257426</v>
      </c>
      <c r="K161" s="154"/>
      <c r="L161" s="154"/>
      <c r="M161" s="118"/>
      <c r="N161" s="118"/>
      <c r="O161" s="118"/>
      <c r="P161" s="118"/>
      <c r="Q161" s="118"/>
      <c r="R161" s="118"/>
      <c r="S161" s="118"/>
      <c r="T161" s="118"/>
      <c r="U161" s="118"/>
      <c r="V161" s="118"/>
      <c r="W161" s="118"/>
    </row>
    <row r="162" spans="1:23" ht="72">
      <c r="A162" s="24" t="str">
        <v>IL: Prophetstown - 5170 Yager Road (PW)</v>
      </c>
      <c r="B162" s="25" t="str">
        <v>IL</v>
      </c>
      <c r="C162" s="25" t="str">
        <f>Sites[[#This Row],[SOL'#]]</f>
        <v>SOL-11149</v>
      </c>
      <c r="D162" s="144">
        <v>442807</v>
      </c>
      <c r="E162" s="143">
        <v>542577.69999999995</v>
      </c>
      <c r="F162" s="10">
        <f t="shared" si="10"/>
        <v>-99770.699999999953</v>
      </c>
      <c r="G162" s="11">
        <f t="shared" si="11"/>
        <v>-0.1838827876634074</v>
      </c>
      <c r="H162" s="148">
        <v>561204</v>
      </c>
      <c r="I162" s="134">
        <f t="shared" si="12"/>
        <v>-118397</v>
      </c>
      <c r="J162" s="13">
        <f t="shared" si="13"/>
        <v>-0.21096962958211274</v>
      </c>
      <c r="K162" s="53" t="s">
        <v>1896</v>
      </c>
      <c r="L162" s="99" t="s">
        <v>1897</v>
      </c>
      <c r="M162" s="103" t="s">
        <v>1898</v>
      </c>
      <c r="N162" s="103" t="s">
        <v>1899</v>
      </c>
      <c r="O162" s="104"/>
      <c r="P162" s="104"/>
      <c r="Q162" s="104"/>
      <c r="R162" s="104"/>
      <c r="S162" s="104"/>
      <c r="T162" s="104"/>
      <c r="U162" s="104"/>
      <c r="V162" s="104"/>
      <c r="W162" s="104"/>
    </row>
    <row r="163" spans="1:23" ht="15.6">
      <c r="A163" s="26" t="str">
        <v>IL: Viola - Goldenrod - (PW)</v>
      </c>
      <c r="B163" s="27" t="str">
        <v>IL</v>
      </c>
      <c r="C163" s="142" t="str">
        <f>Sites[[#This Row],[SOL'#]]</f>
        <v>SOL-11132</v>
      </c>
      <c r="D163" s="145">
        <v>1239495</v>
      </c>
      <c r="E163" s="14">
        <v>1259795.19</v>
      </c>
      <c r="F163" s="14">
        <f t="shared" si="10"/>
        <v>-20300.189999999944</v>
      </c>
      <c r="G163" s="15">
        <f t="shared" si="11"/>
        <v>-1.6113881177780925E-2</v>
      </c>
      <c r="H163" s="127">
        <v>1339153.7</v>
      </c>
      <c r="I163" s="135">
        <f t="shared" si="12"/>
        <v>-99658.699999999953</v>
      </c>
      <c r="J163" s="15">
        <f t="shared" si="13"/>
        <v>-7.4419164880028296E-2</v>
      </c>
      <c r="K163" s="51"/>
      <c r="L163" s="51"/>
      <c r="M163" s="165"/>
      <c r="N163" s="104"/>
      <c r="O163" s="104"/>
      <c r="P163" s="104"/>
      <c r="Q163" s="104"/>
      <c r="R163" s="104"/>
      <c r="S163" s="104"/>
      <c r="T163" s="104"/>
      <c r="U163" s="104"/>
      <c r="V163" s="104"/>
      <c r="W163" s="104"/>
    </row>
    <row r="164" spans="1:23" ht="15.6">
      <c r="A164" s="24" t="str">
        <v>IL: Marengo - Grant - (PW)</v>
      </c>
      <c r="B164" s="25" t="str">
        <v>IL</v>
      </c>
      <c r="C164" s="25" t="str">
        <f>Sites[[#This Row],[SOL'#]]</f>
        <v>SOL-11147</v>
      </c>
      <c r="D164" s="144">
        <v>499196</v>
      </c>
      <c r="E164" s="143">
        <v>520375.83100000001</v>
      </c>
      <c r="F164" s="10">
        <f t="shared" si="10"/>
        <v>-21179.831000000006</v>
      </c>
      <c r="G164" s="11">
        <f t="shared" si="11"/>
        <v>-4.0701027484883336E-2</v>
      </c>
      <c r="H164" s="148">
        <v>569975.15</v>
      </c>
      <c r="I164" s="134">
        <f t="shared" si="12"/>
        <v>-70779.150000000023</v>
      </c>
      <c r="J164" s="13">
        <f t="shared" si="13"/>
        <v>-0.12417936115285029</v>
      </c>
      <c r="K164" s="53" t="s">
        <v>1900</v>
      </c>
      <c r="L164" s="99" t="s">
        <v>1901</v>
      </c>
      <c r="M164" s="104"/>
      <c r="N164" s="104"/>
      <c r="O164" s="104"/>
      <c r="P164" s="104"/>
      <c r="Q164" s="104"/>
      <c r="R164" s="104"/>
      <c r="S164" s="104"/>
      <c r="T164" s="104"/>
      <c r="U164" s="104"/>
      <c r="V164" s="104"/>
      <c r="W164" s="104"/>
    </row>
    <row r="165" spans="1:23" ht="14.45">
      <c r="A165" s="17" t="str">
        <v>NY: Cambridge - Cambridge (PW)</v>
      </c>
      <c r="B165" s="29" t="str">
        <v>NY</v>
      </c>
      <c r="C165" s="29"/>
      <c r="D165" s="17"/>
      <c r="E165" s="17"/>
      <c r="F165" s="17"/>
      <c r="G165" s="162"/>
      <c r="H165" s="17"/>
      <c r="I165" s="17"/>
      <c r="J165" s="18"/>
      <c r="K165" s="17"/>
      <c r="L165" s="17"/>
    </row>
    <row r="166" spans="1:23" ht="14.45">
      <c r="A166" s="17" t="str">
        <v>NY: Whitesville - Independence North</v>
      </c>
      <c r="B166" s="29" t="str">
        <v>NY</v>
      </c>
      <c r="C166" s="29"/>
      <c r="D166" s="17"/>
      <c r="E166" s="17"/>
      <c r="F166" s="17"/>
      <c r="G166" s="162"/>
      <c r="H166" s="17"/>
      <c r="I166" s="17"/>
      <c r="J166" s="18"/>
      <c r="K166" s="17"/>
      <c r="L166" s="17"/>
    </row>
    <row r="167" spans="1:23" ht="14.45">
      <c r="A167" s="17" t="str">
        <v>IL: Beecher - Cottage Grove North (PW)</v>
      </c>
      <c r="B167" s="29" t="str">
        <v>IL</v>
      </c>
      <c r="C167" s="29"/>
      <c r="D167" s="17"/>
      <c r="E167" s="17"/>
      <c r="F167" s="17"/>
      <c r="G167" s="162"/>
      <c r="H167" s="17"/>
      <c r="I167" s="17"/>
      <c r="J167" s="18"/>
      <c r="K167" s="17"/>
      <c r="L167" s="17"/>
    </row>
    <row r="168" spans="1:23" ht="14.45">
      <c r="A168" s="17" t="str">
        <v>IL: Beecher - Cottage Grove South (PW)</v>
      </c>
      <c r="B168" s="29" t="str">
        <v>IL</v>
      </c>
      <c r="C168" s="29"/>
      <c r="D168" s="17"/>
      <c r="E168" s="17"/>
      <c r="F168" s="17"/>
      <c r="G168" s="162"/>
      <c r="H168" s="17"/>
      <c r="I168" s="17"/>
      <c r="J168" s="18"/>
      <c r="K168" s="17"/>
      <c r="L168" s="17"/>
    </row>
    <row r="169" spans="1:23" ht="14.45">
      <c r="A169" s="17" t="str">
        <v>IL: Harvard - 9618 US HWY 14 (PW)</v>
      </c>
      <c r="B169" s="29" t="str">
        <v>IL</v>
      </c>
      <c r="C169" s="29"/>
      <c r="D169" s="17"/>
      <c r="E169" s="17"/>
      <c r="F169" s="17"/>
      <c r="G169" s="162"/>
      <c r="H169" s="17"/>
      <c r="I169" s="17"/>
      <c r="J169" s="18"/>
      <c r="K169" s="17"/>
      <c r="L169" s="17"/>
    </row>
    <row r="170" spans="1:23" ht="14.45">
      <c r="A170" s="17" t="str">
        <v>IL: Beecher - 701 E Goodenow Rd (PW)</v>
      </c>
      <c r="B170" s="29" t="str">
        <v>IL</v>
      </c>
      <c r="C170" s="29"/>
      <c r="D170" s="17"/>
      <c r="E170" s="17"/>
      <c r="F170" s="17"/>
      <c r="G170" s="162"/>
      <c r="H170" s="17"/>
      <c r="I170" s="17"/>
      <c r="J170" s="18"/>
      <c r="K170" s="17"/>
      <c r="L170" s="17"/>
    </row>
    <row r="171" spans="1:23" ht="14.45">
      <c r="A171" s="17" t="str">
        <v>NY: Stormville - Green Haven - (IRA)</v>
      </c>
      <c r="B171" s="29" t="str">
        <v>NY</v>
      </c>
      <c r="C171" s="29"/>
      <c r="D171" s="17"/>
      <c r="E171" s="17"/>
      <c r="F171" s="17"/>
      <c r="G171" s="162"/>
      <c r="H171" s="17"/>
      <c r="I171" s="17"/>
      <c r="J171" s="18"/>
      <c r="K171" s="17"/>
      <c r="L171" s="17"/>
    </row>
    <row r="172" spans="1:23" ht="14.45">
      <c r="A172" s="17" t="str">
        <v>IL: Hillsboro - Anacott (PW)</v>
      </c>
      <c r="B172" s="29" t="str">
        <v>IL</v>
      </c>
      <c r="C172" s="29"/>
      <c r="D172" s="17"/>
      <c r="E172" s="17"/>
      <c r="F172" s="17"/>
      <c r="G172" s="162"/>
      <c r="H172" s="17"/>
      <c r="I172" s="17"/>
      <c r="J172" s="18"/>
      <c r="K172" s="17"/>
      <c r="L172" s="17"/>
    </row>
    <row r="173" spans="1:23" ht="14.45">
      <c r="A173" s="17"/>
      <c r="B173" s="29"/>
      <c r="C173" s="29"/>
      <c r="D173" s="17"/>
      <c r="E173" s="17"/>
      <c r="F173" s="17"/>
      <c r="G173" s="162"/>
      <c r="H173" s="17"/>
      <c r="I173" s="17"/>
      <c r="J173" s="18"/>
      <c r="K173" s="17"/>
      <c r="L173" s="17"/>
    </row>
  </sheetData>
  <mergeCells count="4">
    <mergeCell ref="H1:J1"/>
    <mergeCell ref="A1:D1"/>
    <mergeCell ref="E1:G1"/>
    <mergeCell ref="A2:B2"/>
  </mergeCells>
  <phoneticPr fontId="40" type="noConversion"/>
  <conditionalFormatting sqref="G2 J2">
    <cfRule type="cellIs" dxfId="24" priority="27" stopIfTrue="1" operator="lessThanOrEqual">
      <formula>-0.1</formula>
    </cfRule>
    <cfRule type="expression" dxfId="23" priority="28">
      <formula>AND(ISNUMBER(G2), G2&gt;=0.1)</formula>
    </cfRule>
  </conditionalFormatting>
  <conditionalFormatting sqref="G4:G164">
    <cfRule type="cellIs" dxfId="22" priority="15" stopIfTrue="1" operator="lessThanOrEqual">
      <formula>-0.1</formula>
    </cfRule>
    <cfRule type="expression" dxfId="21" priority="16">
      <formula>AND(ISNUMBER(G4), G4&gt;=0.1)</formula>
    </cfRule>
  </conditionalFormatting>
  <conditionalFormatting sqref="J4:J164">
    <cfRule type="cellIs" dxfId="20" priority="1" stopIfTrue="1" operator="lessThanOrEqual">
      <formula>-0.1</formula>
    </cfRule>
    <cfRule type="expression" dxfId="19" priority="2">
      <formula>AND(ISNUMBER(J4), J4&gt;=0.1)</formula>
    </cfRule>
  </conditionalFormatting>
  <hyperlinks>
    <hyperlink ref="L4" r:id="rId1" display="https://us3.assetplanner.com/service_request?ID=102152" xr:uid="{E869B4BF-7559-4274-A399-B1566256461F}"/>
    <hyperlink ref="L6" r:id="rId2" display="https://us3.assetplanner.com/service_request?ID=103360" xr:uid="{E29ED3E4-2478-4121-AF7B-9760BADD4456}"/>
    <hyperlink ref="L7" r:id="rId3" display="https://us3.assetplanner.com/service_request?ID=097569" xr:uid="{1CBD3055-2D2F-4CD5-9237-4C53384204B5}"/>
    <hyperlink ref="M7" r:id="rId4" display="https://us3.assetplanner.com/service_request?ID=102535" xr:uid="{901DFC81-2F78-4770-85CC-73003528486E}"/>
    <hyperlink ref="L8" r:id="rId5" display="https://us3.assetplanner.com/service_request?ID=093291" xr:uid="{4E3E216D-7CB9-43D7-8135-27C925818957}"/>
    <hyperlink ref="L12" r:id="rId6" display="https://us3.assetplanner.com/service_request?ID=093633" xr:uid="{26306036-A3A2-4373-80E0-04A68B233825}"/>
    <hyperlink ref="M12" r:id="rId7" display="https://us3.assetplanner.com/service_request?ID=093292" xr:uid="{6364C14A-AF95-4A7F-A0DB-B3E1058837E0}"/>
    <hyperlink ref="L14" r:id="rId8" display="https://us3.assetplanner.com/service_request?ID=093294" xr:uid="{0F62810A-4FDF-4DC5-8FF7-DA9832FBF67C}"/>
    <hyperlink ref="M14" r:id="rId9" display="https://us3.assetplanner.com/service_request?ID=086842" xr:uid="{0F948EE8-CFD2-4264-8B47-16173A7CA54B}"/>
    <hyperlink ref="N14" r:id="rId10" display="https://us3.assetplanner.com/service_request?ID=104856" xr:uid="{28C9F15B-6944-40E5-8A58-9621F3CDC905}"/>
    <hyperlink ref="O14" r:id="rId11" display="https://us3.assetplanner.com/service_request?ID=103245" xr:uid="{2FAF9C71-D135-4A58-963C-503CDA98348F}"/>
    <hyperlink ref="L18" r:id="rId12" display="https://us3.assetplanner.com/service_request?ID=103259" xr:uid="{07C2D304-AEC7-4285-A861-19F67E0F9A3C}"/>
    <hyperlink ref="L20" r:id="rId13" display="https://us3.assetplanner.com/service_request?ID=101786" xr:uid="{DD941538-A2E6-43BF-9D29-4C1C402274AF}"/>
    <hyperlink ref="M20" r:id="rId14" display="https://us3.assetplanner.com/service_request?ID=102902" xr:uid="{397E1329-7B6E-4761-9064-64E2A6B9338F}"/>
    <hyperlink ref="L23" r:id="rId15" display="https://us3.assetplanner.com/service_request?ID=102672" xr:uid="{D1E52BAD-7F94-4C27-A4DF-958B6984B8B3}"/>
    <hyperlink ref="L27" r:id="rId16" display="https://us3.assetplanner.com/service_request?ID=093236" xr:uid="{45E78B42-2D02-471A-82F6-8FC2436D473E}"/>
    <hyperlink ref="L28" r:id="rId17" display="https://us3.assetplanner.com/service_request?ID=102532" xr:uid="{F216C6A3-FD8C-4F7C-B5E6-04963CE0A34F}"/>
    <hyperlink ref="M28" r:id="rId18" display="https://us3.assetplanner.com/service_request?ID=102532" xr:uid="{C03F3AE4-8915-44E3-9483-4FD4DD956A4D}"/>
    <hyperlink ref="L34" r:id="rId19" display="https://us3.assetplanner.com/service_request?ID=088282" xr:uid="{B3067B90-725E-4418-8974-C3A8700FFD2B}"/>
    <hyperlink ref="L35" r:id="rId20" display="https://us3.assetplanner.com/service_request?ID=105502" xr:uid="{0C55BBBE-D66E-4EBE-9C75-48ECA3C26169}"/>
    <hyperlink ref="L38" r:id="rId21" display="https://us3.assetplanner.com/service_request?ID=088813" xr:uid="{8B5B8A8C-FBEC-4A10-BA47-71AD312172A4}"/>
    <hyperlink ref="L39" r:id="rId22" display="https://us3.assetplanner.com/service_request?ID=105544" xr:uid="{B2069B30-0EB1-4390-819D-64CEB411771B}"/>
    <hyperlink ref="L40" r:id="rId23" display="https://us3.assetplanner.com/service_request?ID=093324" xr:uid="{33BA02DB-5632-4ED7-960F-CBC187B7EF24}"/>
    <hyperlink ref="L41" r:id="rId24" display="https://us3.assetplanner.com/service_request?ID=107329" xr:uid="{7175A80A-4CE1-4CEF-B9BE-42FAAA5BEA3C}"/>
    <hyperlink ref="L42" r:id="rId25" display="https://us3.assetplanner.com/service_request?ID=106170" xr:uid="{D273085F-19EC-4521-9074-D1FB5A2C911E}"/>
    <hyperlink ref="M42" r:id="rId26" display="https://us3.assetplanner.com/service_request?ID=106173" xr:uid="{7A56F214-BF4A-4A54-AE44-0DCEF7FB4E3C}"/>
    <hyperlink ref="L43" r:id="rId27" display="https://us3.assetplanner.com/service_request?ID=093326" xr:uid="{B7929F54-F2AC-4362-945D-D1C0D6FC7A5A}"/>
    <hyperlink ref="L47" r:id="rId28" display="https://us3.assetplanner.com/service_request?ID=095662" xr:uid="{AC5DE7F3-D872-450E-B9A7-D3A6382ECCD1}"/>
    <hyperlink ref="L51" r:id="rId29" display="https://us3.assetplanner.com/service_request?ID=105932" xr:uid="{8B73590A-A727-4CC0-BA2C-0CF077B86BE7}"/>
    <hyperlink ref="L52" r:id="rId30" display="https://us3.assetplanner.com/service_request?ID=104744" xr:uid="{A63E02D4-A358-453E-ABB4-E40414D1ACA4}"/>
    <hyperlink ref="L53" r:id="rId31" display="https://us3.assetplanner.com/service_request?ID=105933" xr:uid="{CD1C761B-C979-4E54-873D-18ABACF2F028}"/>
    <hyperlink ref="L54" r:id="rId32" display="https://us3.assetplanner.com/service_request?ID=105525" xr:uid="{981A0355-9DAF-481B-B93F-6B25BAB23DC1}"/>
    <hyperlink ref="M54" r:id="rId33" display="https://us3.assetplanner.com/service_request?ID=106721" xr:uid="{57B93DEB-973A-4404-BE47-C38B9D535BED}"/>
    <hyperlink ref="L56" r:id="rId34" display="https://us3.assetplanner.com/service_request?ID=104403" xr:uid="{43163CF3-3A3A-4DE6-B8EC-71A545ACD18F}"/>
    <hyperlink ref="M56" r:id="rId35" display="https://us3.assetplanner.com/service_request?ID=107039" xr:uid="{184483EE-C0FC-4C9C-83E0-EDB85F4DEBEF}"/>
    <hyperlink ref="L58" r:id="rId36" display="https://us3.assetplanner.com/service_request?ID=105772" xr:uid="{ADE8ADA8-A1D0-416D-B188-05045E064B3C}"/>
    <hyperlink ref="M58" r:id="rId37" display="https://us3.assetplanner.com/service_request?ID=098641" xr:uid="{365A1E17-CD36-4770-A0F6-3687AA9B7F57}"/>
    <hyperlink ref="L59" r:id="rId38" display="https://us3.assetplanner.com/service_request?ID=106726" xr:uid="{8CC78C0B-B1B2-44AE-AD90-F9B93A4DB1D4}"/>
    <hyperlink ref="M59" r:id="rId39" display="https://us3.assetplanner.com/service_request?ID=098641" xr:uid="{A81270F2-FA9F-47DC-B68A-679FCDB2B3A3}"/>
    <hyperlink ref="L60" r:id="rId40" display="https://us3.assetplanner.com/service_request?ID=104724" xr:uid="{A233E939-D386-4543-8DAC-52646E722B5E}"/>
    <hyperlink ref="M60" r:id="rId41" display="https://us3.assetplanner.com/service_request?ID=106386" xr:uid="{45275473-9DA6-456F-8365-0B33ADEA60A0}"/>
    <hyperlink ref="N60" r:id="rId42" display="https://us3.assetplanner.com/service_request?ID=105002" xr:uid="{FFA7A098-2863-4C1A-B45C-4BEF5E17FDE1}"/>
    <hyperlink ref="L61" r:id="rId43" display="https://us3.assetplanner.com/service_request?ID=106732" xr:uid="{AD49F8ED-A49F-49CE-8110-014DE1FDDDE0}"/>
    <hyperlink ref="M61" r:id="rId44" display="https://us3.assetplanner.com/service_request?ID=106732" xr:uid="{F5B0571D-F803-4013-9E91-41E2813E5238}"/>
    <hyperlink ref="L62" r:id="rId45" display="https://us3.assetplanner.com/service_request?ID=105660" xr:uid="{1511C0A5-A14B-46DC-970F-598E3882ED58}"/>
    <hyperlink ref="L63" r:id="rId46" display="https://us3.assetplanner.com/service_request?ID=099403" xr:uid="{3ED9AF45-4005-4513-BC6C-8C00197873F3}"/>
    <hyperlink ref="L65" r:id="rId47" display="https://us3.assetplanner.com/service_request?ID=105475" xr:uid="{E6300EE5-FB8D-4B87-A70C-A8FD7CABF5DC}"/>
    <hyperlink ref="L66" r:id="rId48" display="https://us3.assetplanner.com/service_request?ID=093024" xr:uid="{593EB507-3186-45D0-8098-62A4FB686BA7}"/>
    <hyperlink ref="L69" r:id="rId49" display="https://us3.assetplanner.com/service_request?ID=106735" xr:uid="{D8C2300A-5A3F-46FB-ADD3-330FC75AC1CA}"/>
    <hyperlink ref="M69" r:id="rId50" display="https://us3.assetplanner.com/service_request?ID=105776" xr:uid="{23F1083A-DDE9-4BE7-91D0-11ECFF18CFF3}"/>
    <hyperlink ref="L70" r:id="rId51" display="https://us3.assetplanner.com/service_request?ID=105777" xr:uid="{78960E4C-ACF1-488C-9558-A04D28AA9C24}"/>
    <hyperlink ref="L71" r:id="rId52" display="https://us3.assetplanner.com/service_request?ID=095253" xr:uid="{E9A8CD06-A68C-4FC2-884F-E3749973993A}"/>
    <hyperlink ref="M71" r:id="rId53" display="https://us3.assetplanner.com/service_request?ID=098877" xr:uid="{11901095-8A0D-4E99-8E76-099F32EAE7EE}"/>
    <hyperlink ref="L72" r:id="rId54" display="https://us3.assetplanner.com/service_request?ID=105778" xr:uid="{C56B96CA-2896-43C6-8970-1F878913E936}"/>
    <hyperlink ref="M72" r:id="rId55" display="https://us3.assetplanner.com/service_request?ID=106622" xr:uid="{2FBDECC6-413F-455C-815B-E196D492F252}"/>
    <hyperlink ref="L73" r:id="rId56" display="https://us3.assetplanner.com/service_request?ID=107254" xr:uid="{37028915-A4D4-4CE5-A41D-2ED5439EBCB0}"/>
    <hyperlink ref="M73" r:id="rId57" display="https://us3.assetplanner.com/service_request?ID=107042" xr:uid="{DB24A3B5-73B2-4015-935B-E04841E7DB12}"/>
    <hyperlink ref="N73" r:id="rId58" display="https://us3.assetplanner.com/service_request?ID=106503" xr:uid="{18D4892B-4BE5-476A-A09D-638201A6A0D2}"/>
    <hyperlink ref="O73" r:id="rId59" display="https://us3.assetplanner.com/service_request?ID=105775" xr:uid="{D7301AC3-EB98-4FBA-9D08-BF618605D975}"/>
    <hyperlink ref="L74" r:id="rId60" display="https://us3.assetplanner.com/service_request?ID=107253" xr:uid="{1FEA44E2-9DB6-4B85-9D64-1E985B699679}"/>
    <hyperlink ref="M74" r:id="rId61" display="https://us3.assetplanner.com/service_request?ID=105960" xr:uid="{81FDDE21-9019-455D-A064-3BC5D6069839}"/>
    <hyperlink ref="N74" r:id="rId62" display="https://us3.assetplanner.com/service_request?ID=106340" xr:uid="{24A96736-216B-4B95-A2D2-DEDDF25B9E88}"/>
    <hyperlink ref="O74" r:id="rId63" display="https://us3.assetplanner.com/service_request?ID=107147" xr:uid="{EEA4C324-F8DB-432D-8833-2777C24F508B}"/>
    <hyperlink ref="P74" r:id="rId64" display="https://us3.assetplanner.com/service_request?ID=106786" xr:uid="{91C61938-8AEA-4FF3-BBEB-3638AC6F96DE}"/>
    <hyperlink ref="Q74" r:id="rId65" display="https://us3.assetplanner.com/service_request?ID=105526" xr:uid="{EA650032-5C38-445D-9D3F-5996DC56F380}"/>
    <hyperlink ref="R74" r:id="rId66" display="https://us3.assetplanner.com/service_request?ID=106340" xr:uid="{70891D30-2115-4A6C-A6A4-FF9414A8C1EF}"/>
    <hyperlink ref="S74" r:id="rId67" display="https://us3.assetplanner.com/service_request?ID=106755" xr:uid="{D9C53511-0533-4A19-8CC8-FEE69DBE3608}"/>
    <hyperlink ref="T74" r:id="rId68" display="https://us3.assetplanner.com/service_request?ID=106340" xr:uid="{D8BD57BF-D0E8-4AEC-B47A-FFA7BBE6BDE4}"/>
    <hyperlink ref="U74" r:id="rId69" display="https://us3.assetplanner.com/service_request?ID=106662" xr:uid="{DD0E2218-7B8B-424E-B4C1-2DC5F9367B61}"/>
    <hyperlink ref="V74" r:id="rId70" display="https://us3.assetplanner.com/service_request?ID=106271" xr:uid="{1D1D5C49-5F9C-497A-A11D-F105863665AA}"/>
    <hyperlink ref="W74" r:id="rId71" display="https://us3.assetplanner.com/service_request?ID=106031" xr:uid="{2E32FD7A-C038-4422-9BAE-E00A21DF772D}"/>
    <hyperlink ref="X74" r:id="rId72" display="https://us3.assetplanner.com/service_request?ID=105923" xr:uid="{BBD623B5-7D34-4325-9225-826937C3DC8B}"/>
    <hyperlink ref="Y74" r:id="rId73" display="https://us3.assetplanner.com/service_request?ID=106340" xr:uid="{09ECDCC2-A6D2-43B6-89DB-74098247EEEA}"/>
    <hyperlink ref="Z74" r:id="rId74" display="https://us3.assetplanner.com/service_request?ID=105423" xr:uid="{E12B2FA5-2037-44DB-99FC-E4A0B9E2C918}"/>
    <hyperlink ref="L75" r:id="rId75" display="https://us3.assetplanner.com/service_request?ID=105799" xr:uid="{F5436E35-924D-4A8C-AFA5-EF6E07F81842}"/>
    <hyperlink ref="L76" r:id="rId76" display="https://us3.assetplanner.com/service_request?ID=106209" xr:uid="{E5E29596-86D4-4D84-84E2-DF7CF77A91A1}"/>
    <hyperlink ref="L77" r:id="rId77" display="https://us3.assetplanner.com/service_request?ID=099347" xr:uid="{B168B6C7-8BDA-4147-A8A2-F8A980497E3B}"/>
    <hyperlink ref="M77" r:id="rId78" display="https://us3.assetplanner.com/service_request?ID=101820" xr:uid="{8D18FE59-41DA-4151-A958-FF6F4880B066}"/>
    <hyperlink ref="N77" r:id="rId79" display="https://us3.assetplanner.com/service_request?ID=103655" xr:uid="{65C7809A-CB2C-4574-8819-62B45799AE0F}"/>
    <hyperlink ref="L78" r:id="rId80" display="https://us3.assetplanner.com/service_request?ID=105915" xr:uid="{BF17004B-3DA7-49C3-AF93-6A6D9FC91C0A}"/>
    <hyperlink ref="M78" r:id="rId81" display="https://us3.assetplanner.com/service_request?ID=106037" xr:uid="{608F3DF5-0A99-4B2B-9DA3-010FE61FA683}"/>
    <hyperlink ref="N78" r:id="rId82" display="https://us3.assetplanner.com/service_request?ID=106926" xr:uid="{E76724EB-B80A-485A-A467-1CB8339595B3}"/>
    <hyperlink ref="L79" r:id="rId83" display="https://us3.assetplanner.com/service_request?ID=105775" xr:uid="{A1E4DDBC-EA5A-4A38-A2F0-1AC81EBA414D}"/>
    <hyperlink ref="M79" r:id="rId84" display="https://us3.assetplanner.com/service_request?ID=104674" xr:uid="{B3A810EC-9525-46FC-B0A4-B87015192F27}"/>
    <hyperlink ref="L80" r:id="rId85" display="https://us3.assetplanner.com/service_request?ID=105048" xr:uid="{30442E08-980D-43C5-BFB8-B9900D920840}"/>
    <hyperlink ref="L81" r:id="rId86" display="https://us3.assetplanner.com/service_request?ID=105049" xr:uid="{52506854-9F93-46AE-806C-29CBCDE9E634}"/>
    <hyperlink ref="M81" r:id="rId87" display="https://us3.assetplanner.com/service_request?ID=106574" xr:uid="{8674A393-5AF3-4755-B07E-F6A63323F191}"/>
    <hyperlink ref="N81" r:id="rId88" display="https://us3.assetplanner.com/service_request?ID=105649" xr:uid="{F37D35F1-A771-49CD-91CC-DD039D6F058B}"/>
    <hyperlink ref="L82" r:id="rId89" display="https://us3.assetplanner.com/service_request?ID=106194" xr:uid="{7184AE9E-B199-4BD1-88AB-67E824B2EC18}"/>
    <hyperlink ref="M82" r:id="rId90" display="https://us3.assetplanner.com/service_request?ID=106923" xr:uid="{A6D72D78-E605-424D-956E-EF096FC8B3D3}"/>
    <hyperlink ref="N82" r:id="rId91" display="https://us3.assetplanner.com/service_request?ID=107234" xr:uid="{AC81D35C-7491-4D9E-96EC-F62C2B5A3198}"/>
    <hyperlink ref="L83" r:id="rId92" display="https://us3.assetplanner.com/service_request?ID=106924" xr:uid="{FC853867-33DF-4852-9A3A-A09D506EDAFE}"/>
    <hyperlink ref="M83" r:id="rId93" display="https://us3.assetplanner.com/service_request?ID=107236" xr:uid="{7A5571A8-4B46-47A6-ABD9-3D2700B16470}"/>
    <hyperlink ref="N83" r:id="rId94" display="https://us3.assetplanner.com/service_request?ID=106195" xr:uid="{40B362C3-C0E1-40BE-856A-0D51433ED321}"/>
    <hyperlink ref="L86" r:id="rId95" display="https://us3.assetplanner.com/service_request?ID=106192" xr:uid="{E6C3F1C6-EBF7-440A-9A7C-64713D4705AF}"/>
    <hyperlink ref="M86" r:id="rId96" display="https://us3.assetplanner.com/service_request?ID=106797" xr:uid="{09CBDFFE-4D0F-4D9C-B086-861442DC54F0}"/>
    <hyperlink ref="N86" r:id="rId97" display="https://us3.assetplanner.com/service_request?ID=107188" xr:uid="{E377893E-6276-47C7-B3F7-6C5A109A5FE5}"/>
    <hyperlink ref="L87" r:id="rId98" display="https://us3.assetplanner.com/service_request?ID=106193" xr:uid="{BE202800-103B-4CB9-BE27-2415FA6DA439}"/>
    <hyperlink ref="M87" r:id="rId99" display="https://us3.assetplanner.com/service_request?ID=106920" xr:uid="{84FE4F2C-87BE-4467-A0FB-05927EE44F29}"/>
    <hyperlink ref="L89" r:id="rId100" display="https://us3.assetplanner.com/service_request?ID=105728" xr:uid="{88C08B2C-DF8A-4AD8-8758-6E5FF6C11E27}"/>
    <hyperlink ref="L91" r:id="rId101" display="https://us3.assetplanner.com/service_request?ID=104383" xr:uid="{EF3DD9B1-B719-4D72-9207-6A01707520B5}"/>
    <hyperlink ref="M91" r:id="rId102" display="https://us3.assetplanner.com/service_request?ID=105857" xr:uid="{B41D3D38-21AB-426F-977B-1E6D7A66A2D7}"/>
    <hyperlink ref="N91" r:id="rId103" display="https://us3.assetplanner.com/service_request?ID=106643" xr:uid="{7940AF56-84FD-4923-AA1C-C19369730760}"/>
    <hyperlink ref="O91" r:id="rId104" display="https://us3.assetplanner.com/service_request?ID=106843" xr:uid="{A1A94E2F-D33C-45C0-9C8D-AC2CC791AE88}"/>
    <hyperlink ref="P91" r:id="rId105" display="https://us3.assetplanner.com/service_request?ID=106934" xr:uid="{06571447-E6F3-4D82-943B-9CA025D8814B}"/>
    <hyperlink ref="L92" r:id="rId106" display="https://us3.assetplanner.com/service_request?ID=105180" xr:uid="{FBE683B9-2BAA-4BDF-948E-C5B789FA2D76}"/>
    <hyperlink ref="L93" r:id="rId107" display="https://us3.assetplanner.com/service_request?ID=105779" xr:uid="{6BEB816B-D2ED-42FB-AC41-5AB86CF17884}"/>
    <hyperlink ref="M93" r:id="rId108" display="https://us3.assetplanner.com/service_request?ID=106925" xr:uid="{0F6CB6E2-D822-4BEC-B42E-AEB1DE8D4808}"/>
    <hyperlink ref="N93" r:id="rId109" display="https://us3.assetplanner.com/service_request?ID=107064" xr:uid="{448A3D7D-4037-4AF6-BA39-2C0DA15318F3}"/>
    <hyperlink ref="O93" r:id="rId110" display="https://us3.assetplanner.com/service_request?ID=107142" xr:uid="{54476570-59AD-4F1E-8027-3C9C6F4C8185}"/>
    <hyperlink ref="L95" r:id="rId111" display="https://us3.assetplanner.com/service_request?ID=105938" xr:uid="{B50005AF-C0F4-468A-BCFF-096006A37B52}"/>
    <hyperlink ref="L97" r:id="rId112" display="https://us3.assetplanner.com/service_request?ID=101152" xr:uid="{65DFCB6C-5D9F-46C9-859D-BC3BDD9C9BDE}"/>
    <hyperlink ref="L99" r:id="rId113" display="https://us3.assetplanner.com/service_request?ID=105450" xr:uid="{8820B8FC-6893-4ED2-800F-842C9642EFCB}"/>
    <hyperlink ref="M99" r:id="rId114" display="https://us3.assetplanner.com/service_request?ID=106428" xr:uid="{915B3A17-A279-46DB-85FF-16043FF0A961}"/>
    <hyperlink ref="N99" r:id="rId115" display="https://us3.assetplanner.com/service_request?ID=106658" xr:uid="{A393C940-04C3-4830-80A6-57867969089B}"/>
    <hyperlink ref="L100" r:id="rId116" display="https://us3.assetplanner.com/service_request?ID=104691" xr:uid="{DFC5714D-810A-495B-8011-5E7B7A0DFE0F}"/>
    <hyperlink ref="L101" r:id="rId117" display="https://us3.assetplanner.com/service_request?ID=102328" xr:uid="{DFB2D443-5C41-4242-973D-8DAAA9DD1F08}"/>
    <hyperlink ref="L103" r:id="rId118" display="https://us3.assetplanner.com/service_request?ID=105474" xr:uid="{68FBE88A-BEEE-457B-BE51-2C4CC352F3E7}"/>
    <hyperlink ref="M103" r:id="rId119" display="https://us3.assetplanner.com/service_request?ID=106767" xr:uid="{CA5F1A4F-0E38-4CFC-8F33-079EED7191E2}"/>
    <hyperlink ref="L105" r:id="rId120" display="https://us3.assetplanner.com/service_request?ID=106794" xr:uid="{5B35A437-B811-42FE-8041-F4C16BD438FC}"/>
    <hyperlink ref="L106" r:id="rId121" display="https://us3.assetplanner.com/service_request?ID=104075" xr:uid="{EFE3DD68-F74A-45D8-B1D5-32D533CF872C}"/>
    <hyperlink ref="L108" r:id="rId122" display="https://us3.assetplanner.com/service_request?ID=105283" xr:uid="{0298C5FB-2758-4817-A010-6A8D8CD114E3}"/>
    <hyperlink ref="M108" r:id="rId123" display="https://us3.assetplanner.com/service_request?ID=106058" xr:uid="{A7A6BB66-7CDF-4B9A-88E3-9F354F78A2A5}"/>
    <hyperlink ref="L109" r:id="rId124" display="https://us3.assetplanner.com/service_request?ID=103685" xr:uid="{D6BFA5DC-0800-47E1-9546-287A42BAAB4D}"/>
    <hyperlink ref="L110" r:id="rId125" display="https://us3.assetplanner.com/service_request?ID=105964" xr:uid="{063B9726-ED3B-4F1B-9CA1-13CA3E5FB80D}"/>
    <hyperlink ref="M110" r:id="rId126" display="https://us3.assetplanner.com/service_request?ID=106921" xr:uid="{D0B67AFA-4725-430F-8B67-C032FDC06554}"/>
    <hyperlink ref="L111" r:id="rId127" display="https://us3.assetplanner.com/service_request?ID=105637" xr:uid="{1BDFAAF0-A6A5-4221-BFF6-B3C2D5D050F4}"/>
    <hyperlink ref="M111" r:id="rId128" display="https://us3.assetplanner.com/service_request?ID=106985" xr:uid="{3CFF2352-E708-4EC2-9D53-7C72B3C0138A}"/>
    <hyperlink ref="N111" r:id="rId129" display="https://us3.assetplanner.com/service_request?ID=105305" xr:uid="{DFDF6757-7A20-4B6B-A02D-9F465042ABCF}"/>
    <hyperlink ref="O111" r:id="rId130" display="https://us3.assetplanner.com/service_request?ID=106002" xr:uid="{50BC8735-E5EB-4508-85FA-0C33BAE24F6E}"/>
    <hyperlink ref="P111" r:id="rId131" display="https://us3.assetplanner.com/service_request?ID=106164" xr:uid="{1B580970-0D99-4DBC-9CCF-7822208719C0}"/>
    <hyperlink ref="L112" r:id="rId132" display="https://us3.assetplanner.com/service_request?ID=099686" xr:uid="{9056C5CE-B077-4F71-A217-7A4DDA061EE9}"/>
    <hyperlink ref="L113" r:id="rId133" display="https://us3.assetplanner.com/service_request?ID=098860" xr:uid="{59E88A0B-190B-467A-8864-BE1B6F001367}"/>
    <hyperlink ref="L114" r:id="rId134" display="https://us3.assetplanner.com/service_request?ID=097454" xr:uid="{4115A9C0-ABF7-404E-920B-B42CF6F65388}"/>
    <hyperlink ref="M114" r:id="rId135" display="https://us3.assetplanner.com/service_request?ID=106501" xr:uid="{BBE96BBC-26C1-4C66-A33E-1A8526D4432E}"/>
    <hyperlink ref="N114" r:id="rId136" display="https://us3.assetplanner.com/service_request?ID=103824" xr:uid="{2C20561F-DDD1-4E99-8B24-3B1265FD4AE1}"/>
    <hyperlink ref="L115" r:id="rId137" display="https://us3.assetplanner.com/service_request?ID=104633" xr:uid="{238B247B-77EA-4335-BB4F-4286CBC81CD1}"/>
    <hyperlink ref="L116" r:id="rId138" display="https://us3.assetplanner.com/service_request?ID=105543" xr:uid="{A73BDA20-DB4F-4AFA-BAB7-9FA762845B26}"/>
    <hyperlink ref="M116" r:id="rId139" display="https://us3.assetplanner.com/service_request?ID=106211" xr:uid="{929D3D76-D0E5-4A1A-85BB-BB96DA59F349}"/>
    <hyperlink ref="N116" r:id="rId140" display="https://us3.assetplanner.com/service_request?ID=106418" xr:uid="{2163696D-69A1-4859-B862-309E682C90A1}"/>
    <hyperlink ref="O116" r:id="rId141" display="https://us3.assetplanner.com/service_request?ID=106495" xr:uid="{AEC2ADD2-8758-43FB-BB9F-0852700CDCB7}"/>
    <hyperlink ref="P116" r:id="rId142" display="https://us3.assetplanner.com/service_request?ID=107013" xr:uid="{FC2499E0-491B-4222-90CD-59CB594844C8}"/>
    <hyperlink ref="L117" r:id="rId143" display="https://us3.assetplanner.com/service_request?ID=106766" xr:uid="{1D17D484-D64B-4E3C-8D66-C8D7507182A6}"/>
    <hyperlink ref="L120" r:id="rId144" display="https://us3.assetplanner.com/service_request?ID=105304" xr:uid="{9165844E-0447-4828-A307-CDA323688D4B}"/>
    <hyperlink ref="L121" r:id="rId145" display="https://us3.assetplanner.com/service_request?ID=105307" xr:uid="{435CDB25-618A-4E78-9692-C8FFB1E197D4}"/>
    <hyperlink ref="L125" r:id="rId146" display="https://us3.assetplanner.com/service_request?ID=105865" xr:uid="{1B81CC2D-44F7-43B2-8311-A47691A91248}"/>
    <hyperlink ref="L132" r:id="rId147" display="https://us3.assetplanner.com/service_request?ID=103141" xr:uid="{F3044ACA-DC41-4AFF-8D78-A12F2CA7AC60}"/>
    <hyperlink ref="L133" r:id="rId148" display="https://us3.assetplanner.com/service_request?ID=103710" xr:uid="{12A4EBBA-0C34-473E-B660-65038ABE2290}"/>
    <hyperlink ref="M133" r:id="rId149" display="https://us3.assetplanner.com/service_request?ID=103871" xr:uid="{DCC64329-5DCA-481C-8528-7605E5192577}"/>
    <hyperlink ref="L138" r:id="rId150" display="https://us3.assetplanner.com/service_request?ID=103361" xr:uid="{F8F6A7C6-2677-4E6B-A4F6-7B86405CEC87}"/>
    <hyperlink ref="L139" r:id="rId151" display="https://us3.assetplanner.com/service_request?ID=106530" xr:uid="{729FDEDA-348F-40A8-B5D3-A4EA4DDAAACF}"/>
    <hyperlink ref="L140" r:id="rId152" display="https://us3.assetplanner.com/service_request?ID=103641" xr:uid="{62FF02A8-381C-4017-8005-76AE0D69B43E}"/>
    <hyperlink ref="M140" r:id="rId153" display="https://us3.assetplanner.com/service_request?ID=105731" xr:uid="{B9CD8E75-7398-4B34-BCA1-64027A048E90}"/>
    <hyperlink ref="N140" r:id="rId154" display="https://us3.assetplanner.com/service_request?ID=105732" xr:uid="{DB3395F8-C9BD-4531-80D3-2DEE2BACBCD2}"/>
    <hyperlink ref="O140" r:id="rId155" display="https://us3.assetplanner.com/service_request?ID=106387" xr:uid="{959CDCA2-4F7C-4943-9F0F-44DE5B4C3B4D}"/>
    <hyperlink ref="L141" r:id="rId156" display="https://us3.assetplanner.com/service_request?ID=103246" xr:uid="{71D0E875-F837-4F0E-962A-14B7A077029E}"/>
    <hyperlink ref="L144" r:id="rId157" display="https://us3.assetplanner.com/service_request?ID=100220" xr:uid="{5BC3751B-227D-45BD-B350-CA80985C6338}"/>
    <hyperlink ref="M144" r:id="rId158" display="https://us3.assetplanner.com/service_request?ID=106493" xr:uid="{2379ADA0-BC23-4B69-A8C3-988588E92E10}"/>
    <hyperlink ref="L145" r:id="rId159" display="https://us3.assetplanner.com/service_request?ID=107059" xr:uid="{165D3C47-7261-4411-9D25-6CBCB40181DE}"/>
    <hyperlink ref="L146" r:id="rId160" display="https://us3.assetplanner.com/service_request?ID=105922" xr:uid="{2F9F7921-CB21-4798-AD46-9D27CBF233D1}"/>
    <hyperlink ref="M146" r:id="rId161" display="https://us3.assetplanner.com/service_request?ID=106486" xr:uid="{E751479A-DE1B-4DB4-848F-EC17CBF5FC7A}"/>
    <hyperlink ref="N146" r:id="rId162" display="https://us3.assetplanner.com/service_request?ID=106986" xr:uid="{084DF751-2272-4164-A42F-7BC5D8966FAC}"/>
    <hyperlink ref="L147" r:id="rId163" display="https://us3.assetplanner.com/service_request?ID=104292" xr:uid="{448A11DE-7E42-433A-BE2E-4BCD2E54F978}"/>
    <hyperlink ref="M147" r:id="rId164" display="https://us3.assetplanner.com/service_request?ID=107019" xr:uid="{81F4159D-AF1D-4603-B3C8-67513994963C}"/>
    <hyperlink ref="L148" r:id="rId165" display="https://us3.assetplanner.com/service_request?ID=106630" xr:uid="{A81B7531-535A-456A-BEC9-2B6E4F97F1BE}"/>
    <hyperlink ref="L149" r:id="rId166" display="https://us3.assetplanner.com/service_request?ID=105531" xr:uid="{9CF7E4AE-C8FC-46B4-9223-48B2EA5C33D1}"/>
    <hyperlink ref="L151" r:id="rId167" display="https://us3.assetplanner.com/service_request?ID=101228" xr:uid="{E2CFC66F-7A00-4700-A2EB-ECD9DDAD275E}"/>
    <hyperlink ref="M151" r:id="rId168" display="https://us3.assetplanner.com/service_request?ID=106480" xr:uid="{8D928F87-A964-47A4-BB30-A24C765A6222}"/>
    <hyperlink ref="N151" r:id="rId169" display="https://us3.assetplanner.com/service_request?ID=106626" xr:uid="{8B612EBB-7988-46AB-855C-E44B9F077FE4}"/>
    <hyperlink ref="L152" r:id="rId170" display="https://us3.assetplanner.com/service_request?ID=098278" xr:uid="{F25CB50F-64AE-4DB3-BA6A-DAEDE9C90307}"/>
    <hyperlink ref="M152" r:id="rId171" display="https://us3.assetplanner.com/service_request?ID=098670" xr:uid="{A98B265A-3783-4A3A-8E74-8614F743FFF9}"/>
    <hyperlink ref="L153" r:id="rId172" display="https://us3.assetplanner.com/service_request?ID=105354" xr:uid="{EBBBBA64-664A-4515-B33A-3489D82BDEA8}"/>
    <hyperlink ref="M153" r:id="rId173" display="https://us3.assetplanner.com/service_request?ID=105433" xr:uid="{BCDD7EF4-FB49-4343-AB56-23B8E7F70D36}"/>
    <hyperlink ref="N153" r:id="rId174" display="https://us3.assetplanner.com/service_request?ID=105530" xr:uid="{F1C657A7-30E3-498D-8DB2-62CC07D101C3}"/>
    <hyperlink ref="L154" r:id="rId175" display="https://us3.assetplanner.com/service_request?ID=106471" xr:uid="{1EBF46C2-31E2-41B2-80FD-20853E94C19D}"/>
    <hyperlink ref="L156" r:id="rId176" display="https://us3.assetplanner.com/service_request?ID=105284" xr:uid="{9765BA83-E01B-404E-B145-44E2E3B4614E}"/>
    <hyperlink ref="L157" r:id="rId177" display="https://us3.assetplanner.com/service_request?ID=106448" xr:uid="{47D57285-3CE1-4A65-B9BC-0EC4BE15C54C}"/>
    <hyperlink ref="L158" r:id="rId178" display="https://us3.assetplanner.com/service_request?ID=105769" xr:uid="{6534DBFA-8166-4D92-947F-A47B1673F5C5}"/>
    <hyperlink ref="M158" r:id="rId179" display="https://us3.assetplanner.com/service_request?ID=106769" xr:uid="{E86351A8-970A-424D-9DB4-A6744BED62B6}"/>
    <hyperlink ref="L160" r:id="rId180" display="https://us3.assetplanner.com/service_request?ID=100771" xr:uid="{1B4E6F14-5A8F-4442-B714-92EEB8C5E516}"/>
    <hyperlink ref="M160" r:id="rId181" display="https://us3.assetplanner.com/service_request?ID=107263" xr:uid="{A1CB789F-59ED-4DC0-BB68-789C62A9A7DB}"/>
    <hyperlink ref="L162" r:id="rId182" display="https://us3.assetplanner.com/service_request?ID=106749" xr:uid="{43304AB5-76A7-42CC-86A7-9504D1F41D81}"/>
    <hyperlink ref="M162" r:id="rId183" display="https://us3.assetplanner.com/service_request?ID=106773" xr:uid="{9532A612-039F-4235-BEB3-C1E79FE87A9B}"/>
    <hyperlink ref="N162" r:id="rId184" display="https://us3.assetplanner.com/service_request?ID=107225" xr:uid="{56F77FA5-1765-4D0B-9E9A-B018D7AFD0B5}"/>
    <hyperlink ref="L164" r:id="rId185" display="https://us3.assetplanner.com/service_request?ID=107245" xr:uid="{0E408221-2ECD-429B-AD12-26D564AFA0BF}"/>
  </hyperlinks>
  <pageMargins left="0.4" right="0.7" top="0.25" bottom="0.25" header="0.3" footer="0.3"/>
  <pageSetup fitToHeight="99" orientation="landscape" r:id="rId186"/>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FM172"/>
  <sheetViews>
    <sheetView zoomScale="60" zoomScaleNormal="60" workbookViewId="0">
      <pane xSplit="2" ySplit="3" topLeftCell="C158" activePane="bottomRight" state="frozen"/>
      <selection pane="bottomRight" activeCell="I2" sqref="I2"/>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9.28515625" style="30"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style="104" customWidth="1"/>
    <col min="12" max="12" width="20.5703125" style="104" bestFit="1" customWidth="1"/>
    <col min="13" max="28" width="8.85546875" style="104"/>
  </cols>
  <sheetData>
    <row r="1" spans="1:15" ht="19.5" customHeight="1">
      <c r="A1" s="187" t="str" cm="1">
        <f t="array" ref="A1">portfolio</f>
        <v>Generate Capital</v>
      </c>
      <c r="B1" s="187"/>
      <c r="C1" s="187"/>
      <c r="D1" s="187"/>
      <c r="E1" s="188" t="s">
        <v>1902</v>
      </c>
      <c r="F1" s="188"/>
      <c r="G1" s="188"/>
      <c r="H1" s="186" t="s">
        <v>1903</v>
      </c>
      <c r="I1" s="186"/>
      <c r="J1" s="186"/>
      <c r="K1" s="170"/>
      <c r="L1" s="170"/>
    </row>
    <row r="2" spans="1:15" ht="19.5" customHeight="1">
      <c r="A2" s="189" t="s">
        <v>2</v>
      </c>
      <c r="B2" s="189"/>
      <c r="C2" s="57"/>
      <c r="D2" s="5">
        <f>SUM(D4:D172)</f>
        <v>46243954.249999993</v>
      </c>
      <c r="E2" s="5">
        <f>SUM(E4:E200)</f>
        <v>40838857.247999996</v>
      </c>
      <c r="F2" s="5">
        <f>D2-E2</f>
        <v>5405097.0019999966</v>
      </c>
      <c r="G2" s="6">
        <f>IFERROR(F2/E2, 0)</f>
        <v>0.13235181800452314</v>
      </c>
      <c r="H2" s="5">
        <f>SUM(H4:H172)</f>
        <v>41547617.911999993</v>
      </c>
      <c r="I2" s="7">
        <f>D2-H2</f>
        <v>4696336.3379999995</v>
      </c>
      <c r="J2" s="6">
        <f>IFERROR(I2/H2, 0)</f>
        <v>0.11303503242826299</v>
      </c>
      <c r="K2" s="171" t="str">
        <f ca="1">IF(AND(TODAY()&gt;DATE(2024, 9,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170"/>
    </row>
    <row r="3" spans="1:15" ht="14.25" customHeight="1">
      <c r="A3" s="8" t="s">
        <v>3</v>
      </c>
      <c r="B3" s="8" t="s">
        <v>4</v>
      </c>
      <c r="C3" s="8" t="s">
        <v>5</v>
      </c>
      <c r="D3" s="19" t="s">
        <v>6</v>
      </c>
      <c r="E3" s="31" t="s">
        <v>7</v>
      </c>
      <c r="F3" s="31" t="s">
        <v>8</v>
      </c>
      <c r="G3" s="32" t="s">
        <v>9</v>
      </c>
      <c r="H3" s="33" t="s">
        <v>10</v>
      </c>
      <c r="I3" s="34" t="s">
        <v>8</v>
      </c>
      <c r="J3" s="35" t="s">
        <v>9</v>
      </c>
      <c r="K3" s="172" t="s">
        <v>21</v>
      </c>
      <c r="L3" s="172" t="s">
        <v>22</v>
      </c>
    </row>
    <row r="4" spans="1:15" ht="15.6">
      <c r="A4" s="28" t="str" cm="1">
        <f t="array" ref="A4:A172">Sites[Site]</f>
        <v>K026</v>
      </c>
      <c r="B4" s="25" t="str" cm="1">
        <f t="array" ref="B4:B172">Sites[State]</f>
        <v>NY</v>
      </c>
      <c r="C4" s="25" t="str">
        <f>Sites[[#This Row],[SOL'#]]</f>
        <v>SOL-10356</v>
      </c>
      <c r="D4" s="20">
        <v>20034</v>
      </c>
      <c r="E4" s="10">
        <v>32719.934000000001</v>
      </c>
      <c r="F4" s="10">
        <f>IF(AND(ISNUMBER(D4),ISNUMBER(E4)), D4-E4, "")</f>
        <v>-12685.934000000001</v>
      </c>
      <c r="G4" s="11">
        <f>IFERROR(F4/E4, "")</f>
        <v>-0.3877127013764759</v>
      </c>
      <c r="H4" s="12">
        <v>29140.105</v>
      </c>
      <c r="I4" s="12">
        <f>IF(AND(ISNUMBER(D4),ISNUMBER(H4)), D4-H4, "")</f>
        <v>-9106.1049999999996</v>
      </c>
      <c r="J4" s="13">
        <f>IFERROR(I4/H4, "")</f>
        <v>-0.3124938980144375</v>
      </c>
      <c r="K4" s="53" t="s">
        <v>1904</v>
      </c>
      <c r="L4" s="99" t="s">
        <v>1905</v>
      </c>
    </row>
    <row r="5" spans="1:15" ht="15.6">
      <c r="A5" s="26" t="str">
        <v>K041</v>
      </c>
      <c r="B5" s="27" t="str">
        <v>NY</v>
      </c>
      <c r="C5" s="27" t="str">
        <f>Sites[[#This Row],[SOL'#]]</f>
        <v>SOL-10357</v>
      </c>
      <c r="D5" s="9">
        <v>22897.875</v>
      </c>
      <c r="E5" s="14">
        <v>26147.875</v>
      </c>
      <c r="F5" s="14">
        <f t="shared" ref="F5:F68" si="0">IF(AND(ISNUMBER(D5),ISNUMBER(E5)), D5-E5, "")</f>
        <v>-3250</v>
      </c>
      <c r="G5" s="15">
        <f>IFERROR(F5/E5, "")</f>
        <v>-0.12429308308992605</v>
      </c>
      <c r="H5" s="16">
        <v>23136</v>
      </c>
      <c r="I5" s="16">
        <f t="shared" ref="I5:I68" si="1">IF(AND(ISNUMBER(D5),ISNUMBER(H5)), D5-H5, "")</f>
        <v>-238.125</v>
      </c>
      <c r="J5" s="15">
        <f t="shared" ref="J5:J68" si="2">IFERROR(I5/H5, "")</f>
        <v>-1.0292401452282158E-2</v>
      </c>
      <c r="K5" s="51"/>
      <c r="L5" s="51"/>
    </row>
    <row r="6" spans="1:15" ht="43.15">
      <c r="A6" s="24" t="str">
        <v>K043</v>
      </c>
      <c r="B6" s="25" t="str">
        <v>NY</v>
      </c>
      <c r="C6" s="25" t="str">
        <f>Sites[[#This Row],[SOL'#]]</f>
        <v>SOL-10358</v>
      </c>
      <c r="D6" s="20">
        <v>28120.125</v>
      </c>
      <c r="E6" s="10">
        <v>29339.769</v>
      </c>
      <c r="F6" s="10">
        <f t="shared" si="0"/>
        <v>-1219.6440000000002</v>
      </c>
      <c r="G6" s="11">
        <f t="shared" ref="G6:G17" si="3">IFERROR(F6/E6, "")</f>
        <v>-4.1569652440003879E-2</v>
      </c>
      <c r="H6" s="12">
        <v>5129</v>
      </c>
      <c r="I6" s="12">
        <f t="shared" si="1"/>
        <v>22991.125</v>
      </c>
      <c r="J6" s="13">
        <f t="shared" si="2"/>
        <v>4.4825745759407294</v>
      </c>
      <c r="K6" s="53" t="s">
        <v>1906</v>
      </c>
      <c r="L6" s="99" t="s">
        <v>1907</v>
      </c>
    </row>
    <row r="7" spans="1:15" ht="15.6">
      <c r="A7" s="26" t="str">
        <v>K058</v>
      </c>
      <c r="B7" s="27" t="str">
        <v>NY</v>
      </c>
      <c r="C7" s="27" t="str">
        <f>Sites[[#This Row],[SOL'#]]</f>
        <v>SOL-10360</v>
      </c>
      <c r="D7" s="9">
        <v>22120.812999999998</v>
      </c>
      <c r="E7" s="14">
        <v>22796.144</v>
      </c>
      <c r="F7" s="14">
        <f t="shared" si="0"/>
        <v>-675.33100000000195</v>
      </c>
      <c r="G7" s="15">
        <f t="shared" si="3"/>
        <v>-2.9624790929553786E-2</v>
      </c>
      <c r="H7" s="16">
        <v>21889.192999999999</v>
      </c>
      <c r="I7" s="16">
        <f t="shared" si="1"/>
        <v>231.61999999999898</v>
      </c>
      <c r="J7" s="15">
        <f t="shared" si="2"/>
        <v>1.0581477352773991E-2</v>
      </c>
      <c r="K7" s="51"/>
      <c r="L7" s="52"/>
    </row>
    <row r="8" spans="1:15" ht="28.9">
      <c r="A8" s="24" t="str">
        <v>K115</v>
      </c>
      <c r="B8" s="25" t="str">
        <v>NY</v>
      </c>
      <c r="C8" s="25" t="str">
        <f>Sites[[#This Row],[SOL'#]]</f>
        <v>SOL-10361</v>
      </c>
      <c r="D8" s="20">
        <v>12486.703</v>
      </c>
      <c r="E8" s="10">
        <v>14691.922</v>
      </c>
      <c r="F8" s="10">
        <f t="shared" si="0"/>
        <v>-2205.219000000001</v>
      </c>
      <c r="G8" s="11">
        <f t="shared" si="3"/>
        <v>-0.15009738004326464</v>
      </c>
      <c r="H8" s="12">
        <v>13101.525</v>
      </c>
      <c r="I8" s="12">
        <f t="shared" si="1"/>
        <v>-614.82200000000012</v>
      </c>
      <c r="J8" s="13">
        <f t="shared" si="2"/>
        <v>-4.6927514163427553E-2</v>
      </c>
      <c r="K8" s="53" t="s">
        <v>1908</v>
      </c>
      <c r="L8" s="99" t="s">
        <v>25</v>
      </c>
    </row>
    <row r="9" spans="1:15" ht="15.6">
      <c r="A9" s="26" t="str">
        <v>K152</v>
      </c>
      <c r="B9" s="27" t="str">
        <v>NY</v>
      </c>
      <c r="C9" s="27" t="str">
        <f>Sites[[#This Row],[SOL'#]]</f>
        <v>SOL-10362</v>
      </c>
      <c r="D9" s="9">
        <v>8545.1880000000001</v>
      </c>
      <c r="E9" s="14">
        <v>8860.98</v>
      </c>
      <c r="F9" s="14">
        <f t="shared" si="0"/>
        <v>-315.79199999999946</v>
      </c>
      <c r="G9" s="15">
        <f t="shared" si="3"/>
        <v>-3.5638495967714574E-2</v>
      </c>
      <c r="H9" s="16">
        <v>8454</v>
      </c>
      <c r="I9" s="16">
        <f t="shared" si="1"/>
        <v>91.188000000000102</v>
      </c>
      <c r="J9" s="15">
        <f t="shared" si="2"/>
        <v>1.0786373314407393E-2</v>
      </c>
      <c r="K9" s="51"/>
      <c r="L9" s="52"/>
    </row>
    <row r="10" spans="1:15" ht="15.6">
      <c r="A10" s="24" t="str">
        <v>K166</v>
      </c>
      <c r="B10" s="25" t="str">
        <v>NY</v>
      </c>
      <c r="C10" s="25" t="str">
        <f>Sites[[#This Row],[SOL'#]]</f>
        <v>SOL-10363</v>
      </c>
      <c r="D10" s="20">
        <v>26930.25</v>
      </c>
      <c r="E10" s="10">
        <v>33458.021000000001</v>
      </c>
      <c r="F10" s="10">
        <f t="shared" si="0"/>
        <v>-6527.7710000000006</v>
      </c>
      <c r="G10" s="11">
        <f t="shared" si="3"/>
        <v>-0.19510332066561858</v>
      </c>
      <c r="H10" s="12">
        <v>30858.886999999999</v>
      </c>
      <c r="I10" s="12">
        <f t="shared" si="1"/>
        <v>-3928.6369999999988</v>
      </c>
      <c r="J10" s="13">
        <f t="shared" si="2"/>
        <v>-0.12730974386730146</v>
      </c>
      <c r="K10" s="53" t="s">
        <v>1909</v>
      </c>
      <c r="L10" s="99" t="s">
        <v>1910</v>
      </c>
    </row>
    <row r="11" spans="1:15" ht="15.6">
      <c r="A11" s="26" t="str">
        <v>K206</v>
      </c>
      <c r="B11" s="27" t="str">
        <v>NY</v>
      </c>
      <c r="C11" s="27" t="str">
        <f>Sites[[#This Row],[SOL'#]]</f>
        <v>SOL-10927</v>
      </c>
      <c r="D11" s="9">
        <v>18832.75</v>
      </c>
      <c r="E11" s="14">
        <v>17073.18</v>
      </c>
      <c r="F11" s="14">
        <f t="shared" si="0"/>
        <v>1759.5699999999997</v>
      </c>
      <c r="G11" s="15">
        <f t="shared" si="3"/>
        <v>0.10306047262431484</v>
      </c>
      <c r="H11" s="16">
        <v>17056</v>
      </c>
      <c r="I11" s="16">
        <f t="shared" si="1"/>
        <v>1776.75</v>
      </c>
      <c r="J11" s="15">
        <f t="shared" si="2"/>
        <v>0.10417155253283301</v>
      </c>
      <c r="K11" s="51"/>
      <c r="L11" s="51"/>
    </row>
    <row r="12" spans="1:15" ht="43.15">
      <c r="A12" s="24" t="str">
        <v>K251</v>
      </c>
      <c r="B12" s="25" t="str">
        <v>NY</v>
      </c>
      <c r="C12" s="25" t="str">
        <f>Sites[[#This Row],[SOL'#]]</f>
        <v>SOL-10365</v>
      </c>
      <c r="D12" s="20">
        <v>20008.375</v>
      </c>
      <c r="E12" s="10">
        <v>0</v>
      </c>
      <c r="F12" s="10">
        <f t="shared" si="0"/>
        <v>20008.375</v>
      </c>
      <c r="G12" s="11" t="str">
        <f t="shared" si="3"/>
        <v/>
      </c>
      <c r="H12" s="12">
        <v>19826.177</v>
      </c>
      <c r="I12" s="12">
        <f t="shared" si="1"/>
        <v>182.19800000000032</v>
      </c>
      <c r="J12" s="13">
        <f t="shared" si="2"/>
        <v>9.189769666638219E-3</v>
      </c>
      <c r="K12" s="53" t="s">
        <v>1664</v>
      </c>
      <c r="L12" s="99" t="s">
        <v>1911</v>
      </c>
      <c r="M12" s="103" t="s">
        <v>1177</v>
      </c>
    </row>
    <row r="13" spans="1:15" ht="28.9">
      <c r="A13" s="26" t="str">
        <v>K269</v>
      </c>
      <c r="B13" s="27" t="str">
        <v>NY</v>
      </c>
      <c r="C13" s="27" t="str">
        <f>Sites[[#This Row],[SOL'#]]</f>
        <v>SOL-10366</v>
      </c>
      <c r="D13" s="9">
        <v>18597.062999999998</v>
      </c>
      <c r="E13" s="14">
        <v>22080.492999999999</v>
      </c>
      <c r="F13" s="14">
        <f t="shared" si="0"/>
        <v>-3483.4300000000003</v>
      </c>
      <c r="G13" s="15">
        <f t="shared" si="3"/>
        <v>-0.15776051739424479</v>
      </c>
      <c r="H13" s="16">
        <v>18330.395</v>
      </c>
      <c r="I13" s="16">
        <f t="shared" si="1"/>
        <v>266.66799999999785</v>
      </c>
      <c r="J13" s="15">
        <f t="shared" si="2"/>
        <v>1.4547858897748676E-2</v>
      </c>
      <c r="K13" s="51" t="s">
        <v>1179</v>
      </c>
      <c r="L13" s="52"/>
    </row>
    <row r="14" spans="1:15" ht="57.6">
      <c r="A14" s="24" t="str">
        <v>K273</v>
      </c>
      <c r="B14" s="25" t="str">
        <v>NY</v>
      </c>
      <c r="C14" s="25" t="str">
        <f>Sites[[#This Row],[SOL'#]]</f>
        <v>SOL-10367</v>
      </c>
      <c r="D14" s="20">
        <v>12091</v>
      </c>
      <c r="E14" s="10">
        <v>0</v>
      </c>
      <c r="F14" s="10">
        <f t="shared" si="0"/>
        <v>12091</v>
      </c>
      <c r="G14" s="11" t="str">
        <f t="shared" si="3"/>
        <v/>
      </c>
      <c r="H14" s="134" t="s">
        <v>1912</v>
      </c>
      <c r="I14" s="12" t="str">
        <f t="shared" si="1"/>
        <v/>
      </c>
      <c r="J14" s="13" t="str">
        <f t="shared" si="2"/>
        <v/>
      </c>
      <c r="K14" s="53" t="s">
        <v>1913</v>
      </c>
      <c r="L14" s="99" t="s">
        <v>1914</v>
      </c>
      <c r="M14" s="103" t="s">
        <v>1915</v>
      </c>
      <c r="N14" s="103" t="s">
        <v>911</v>
      </c>
      <c r="O14" s="103" t="s">
        <v>1668</v>
      </c>
    </row>
    <row r="15" spans="1:15" ht="28.9">
      <c r="A15" s="26" t="str">
        <v>K287</v>
      </c>
      <c r="B15" s="27" t="str">
        <v>NY</v>
      </c>
      <c r="C15" s="27" t="str">
        <f>Sites[[#This Row],[SOL'#]]</f>
        <v>SOL-10919</v>
      </c>
      <c r="D15" s="9">
        <v>16091.063</v>
      </c>
      <c r="E15" s="14">
        <v>14086.846</v>
      </c>
      <c r="F15" s="14">
        <f t="shared" si="0"/>
        <v>2004.2170000000006</v>
      </c>
      <c r="G15" s="15">
        <f t="shared" si="3"/>
        <v>0.14227577983034673</v>
      </c>
      <c r="H15" s="16">
        <v>15813</v>
      </c>
      <c r="I15" s="16">
        <f t="shared" si="1"/>
        <v>278.0630000000001</v>
      </c>
      <c r="J15" s="15">
        <f t="shared" si="2"/>
        <v>1.7584455827483723E-2</v>
      </c>
      <c r="K15" s="51" t="s">
        <v>1669</v>
      </c>
      <c r="L15" s="52"/>
    </row>
    <row r="16" spans="1:15" ht="15.6">
      <c r="A16" s="24" t="str">
        <v>K298</v>
      </c>
      <c r="B16" s="25" t="str">
        <v>NY</v>
      </c>
      <c r="C16" s="25" t="str">
        <f>Sites[[#This Row],[SOL'#]]</f>
        <v>SOL-10368</v>
      </c>
      <c r="D16" s="20">
        <v>17325.437999999998</v>
      </c>
      <c r="E16" s="10">
        <v>18788.527999999998</v>
      </c>
      <c r="F16" s="10">
        <f t="shared" si="0"/>
        <v>-1463.0900000000001</v>
      </c>
      <c r="G16" s="11">
        <f t="shared" si="3"/>
        <v>-7.787145432574602E-2</v>
      </c>
      <c r="H16" s="12">
        <v>17581</v>
      </c>
      <c r="I16" s="12">
        <f t="shared" si="1"/>
        <v>-255.56200000000172</v>
      </c>
      <c r="J16" s="13">
        <f t="shared" si="2"/>
        <v>-1.453626073602194E-2</v>
      </c>
      <c r="K16" s="53"/>
      <c r="L16" s="53"/>
    </row>
    <row r="17" spans="1:15" ht="15.6">
      <c r="A17" s="26" t="str">
        <v>K335</v>
      </c>
      <c r="B17" s="27" t="str">
        <v>NY</v>
      </c>
      <c r="C17" s="27" t="str">
        <f>Sites[[#This Row],[SOL'#]]</f>
        <v>SOL-10370</v>
      </c>
      <c r="D17" s="9">
        <v>18447.875</v>
      </c>
      <c r="E17" s="14">
        <v>20337.054</v>
      </c>
      <c r="F17" s="14">
        <f t="shared" si="0"/>
        <v>-1889.1790000000001</v>
      </c>
      <c r="G17" s="15">
        <f t="shared" si="3"/>
        <v>-9.2893444645424067E-2</v>
      </c>
      <c r="H17" s="16">
        <v>19788.5</v>
      </c>
      <c r="I17" s="16">
        <f t="shared" si="1"/>
        <v>-1340.625</v>
      </c>
      <c r="J17" s="15">
        <f t="shared" si="2"/>
        <v>-6.7747681734340648E-2</v>
      </c>
      <c r="K17" s="51"/>
      <c r="L17" s="51"/>
    </row>
    <row r="18" spans="1:15" ht="63" customHeight="1">
      <c r="A18" s="24" t="str">
        <v>K345</v>
      </c>
      <c r="B18" s="25" t="str">
        <v>NY</v>
      </c>
      <c r="C18" s="25" t="str">
        <f>Sites[[#This Row],[SOL'#]]</f>
        <v>SOL-10920</v>
      </c>
      <c r="D18" s="20">
        <v>21438.75</v>
      </c>
      <c r="E18" s="10">
        <v>12870.767</v>
      </c>
      <c r="F18" s="10">
        <f t="shared" si="0"/>
        <v>8567.9830000000002</v>
      </c>
      <c r="G18" s="11">
        <f t="shared" ref="G18:G50" si="4">IFERROR(F18/E18, "")</f>
        <v>0.66569327220359131</v>
      </c>
      <c r="H18" s="12">
        <v>20845.5</v>
      </c>
      <c r="I18" s="12">
        <f t="shared" si="1"/>
        <v>593.25</v>
      </c>
      <c r="J18" s="13">
        <f t="shared" si="2"/>
        <v>2.845937972224221E-2</v>
      </c>
      <c r="K18" s="53" t="s">
        <v>1671</v>
      </c>
      <c r="L18" s="99" t="s">
        <v>1186</v>
      </c>
    </row>
    <row r="19" spans="1:15" ht="15.6">
      <c r="A19" s="26" t="str">
        <v>K445</v>
      </c>
      <c r="B19" s="27" t="str">
        <v>NY</v>
      </c>
      <c r="C19" s="27" t="str">
        <f>Sites[[#This Row],[SOL'#]]</f>
        <v>SOL-10373</v>
      </c>
      <c r="D19" s="9">
        <v>17136.844000000001</v>
      </c>
      <c r="E19" s="14">
        <v>19679.905999999999</v>
      </c>
      <c r="F19" s="14">
        <f t="shared" si="0"/>
        <v>-2543.0619999999981</v>
      </c>
      <c r="G19" s="15">
        <f t="shared" si="4"/>
        <v>-0.12922124729660794</v>
      </c>
      <c r="H19" s="16">
        <v>16981.73</v>
      </c>
      <c r="I19" s="16">
        <f t="shared" si="1"/>
        <v>155.1140000000014</v>
      </c>
      <c r="J19" s="15">
        <f t="shared" si="2"/>
        <v>9.1341694868544848E-3</v>
      </c>
      <c r="K19" s="51"/>
      <c r="L19" s="52"/>
    </row>
    <row r="20" spans="1:15" ht="72">
      <c r="A20" s="24" t="str">
        <v>K495</v>
      </c>
      <c r="B20" s="25" t="str">
        <v>NY</v>
      </c>
      <c r="C20" s="25" t="str">
        <f>Sites[[#This Row],[SOL'#]]</f>
        <v>SOL-10374</v>
      </c>
      <c r="D20" s="20">
        <v>70875.75</v>
      </c>
      <c r="E20" s="10">
        <v>77150.45</v>
      </c>
      <c r="F20" s="10">
        <f t="shared" si="0"/>
        <v>-6274.6999999999971</v>
      </c>
      <c r="G20" s="11">
        <f t="shared" si="4"/>
        <v>-8.1330698654382402E-2</v>
      </c>
      <c r="H20" s="12">
        <v>79570.816000000006</v>
      </c>
      <c r="I20" s="12">
        <f t="shared" si="1"/>
        <v>-8695.0660000000062</v>
      </c>
      <c r="J20" s="13">
        <f t="shared" si="2"/>
        <v>-0.10927456116574204</v>
      </c>
      <c r="K20" s="53" t="s">
        <v>1916</v>
      </c>
      <c r="L20" s="99" t="s">
        <v>1917</v>
      </c>
      <c r="M20" s="103" t="s">
        <v>1918</v>
      </c>
      <c r="N20" s="103" t="s">
        <v>1919</v>
      </c>
      <c r="O20" s="103" t="s">
        <v>1673</v>
      </c>
    </row>
    <row r="21" spans="1:15" ht="15.6">
      <c r="A21" s="26" t="str">
        <v>M020</v>
      </c>
      <c r="B21" s="27" t="str">
        <v>NY</v>
      </c>
      <c r="C21" s="27" t="str">
        <f>Sites[[#This Row],[SOL'#]]</f>
        <v>SOL-10380</v>
      </c>
      <c r="D21" s="9">
        <v>19863.530999999999</v>
      </c>
      <c r="E21" s="14">
        <v>20320.192999999999</v>
      </c>
      <c r="F21" s="14">
        <f t="shared" si="0"/>
        <v>-456.66200000000026</v>
      </c>
      <c r="G21" s="15">
        <f t="shared" si="4"/>
        <v>-2.2473310169839444E-2</v>
      </c>
      <c r="H21" s="16">
        <v>19905.5</v>
      </c>
      <c r="I21" s="16">
        <f t="shared" si="1"/>
        <v>-41.96900000000096</v>
      </c>
      <c r="J21" s="15">
        <f t="shared" si="2"/>
        <v>-2.1084122478712396E-3</v>
      </c>
      <c r="K21" s="51"/>
      <c r="L21" s="51"/>
    </row>
    <row r="22" spans="1:15" ht="15.6">
      <c r="A22" s="24" t="str">
        <v>M092</v>
      </c>
      <c r="B22" s="25" t="str">
        <v>NY</v>
      </c>
      <c r="C22" s="25" t="str">
        <f>Sites[[#This Row],[SOL'#]]</f>
        <v>SOL-10383</v>
      </c>
      <c r="D22" s="20">
        <v>19248.5</v>
      </c>
      <c r="E22" s="10">
        <v>20469.432000000001</v>
      </c>
      <c r="F22" s="10">
        <f t="shared" si="0"/>
        <v>-1220.9320000000007</v>
      </c>
      <c r="G22" s="11">
        <f t="shared" si="4"/>
        <v>-5.9646598889505124E-2</v>
      </c>
      <c r="H22" s="12">
        <v>18463.289000000001</v>
      </c>
      <c r="I22" s="12">
        <f t="shared" si="1"/>
        <v>785.21099999999933</v>
      </c>
      <c r="J22" s="13">
        <f t="shared" si="2"/>
        <v>4.252822993779707E-2</v>
      </c>
      <c r="K22" s="53"/>
      <c r="L22" s="53"/>
    </row>
    <row r="23" spans="1:15" ht="15.6">
      <c r="A23" s="26" t="str">
        <v>M143</v>
      </c>
      <c r="B23" s="27" t="str">
        <v>NY</v>
      </c>
      <c r="C23" s="27" t="str">
        <f>Sites[[#This Row],[SOL'#]]</f>
        <v>SOL-10384</v>
      </c>
      <c r="D23" s="9">
        <v>21054.937999999998</v>
      </c>
      <c r="E23" s="14">
        <v>24875.928</v>
      </c>
      <c r="F23" s="14">
        <f t="shared" si="0"/>
        <v>-3820.9900000000016</v>
      </c>
      <c r="G23" s="15">
        <f t="shared" si="4"/>
        <v>-0.15360190783636299</v>
      </c>
      <c r="H23" s="16">
        <v>20535.715</v>
      </c>
      <c r="I23" s="16">
        <f t="shared" si="1"/>
        <v>519.22299999999814</v>
      </c>
      <c r="J23" s="15">
        <f t="shared" si="2"/>
        <v>2.5283901729255501E-2</v>
      </c>
      <c r="K23" s="51" t="s">
        <v>1188</v>
      </c>
      <c r="L23" s="100" t="s">
        <v>1920</v>
      </c>
    </row>
    <row r="24" spans="1:15" ht="86.45">
      <c r="A24" s="24" t="str">
        <v>M144</v>
      </c>
      <c r="B24" s="25" t="str">
        <v>NY</v>
      </c>
      <c r="C24" s="25" t="str">
        <f>Sites[[#This Row],[SOL'#]]</f>
        <v>SOL-10385</v>
      </c>
      <c r="D24" s="20">
        <v>31845.75</v>
      </c>
      <c r="E24" s="10">
        <v>35186.455000000002</v>
      </c>
      <c r="F24" s="10">
        <f t="shared" si="0"/>
        <v>-3340.7050000000017</v>
      </c>
      <c r="G24" s="11">
        <f t="shared" si="4"/>
        <v>-9.4942926191342703E-2</v>
      </c>
      <c r="H24" s="12">
        <v>37663.851000000002</v>
      </c>
      <c r="I24" s="12">
        <f t="shared" si="1"/>
        <v>-5818.1010000000024</v>
      </c>
      <c r="J24" s="13">
        <f t="shared" si="2"/>
        <v>-0.15447440571066412</v>
      </c>
      <c r="K24" s="53" t="s">
        <v>1346</v>
      </c>
      <c r="L24" s="53"/>
    </row>
    <row r="25" spans="1:15" ht="35.25" customHeight="1">
      <c r="A25" s="26" t="str">
        <v>M167</v>
      </c>
      <c r="B25" s="27" t="str">
        <v>NY</v>
      </c>
      <c r="C25" s="27" t="str">
        <f>Sites[[#This Row],[SOL'#]]</f>
        <v>SOL-10386</v>
      </c>
      <c r="D25" s="9">
        <v>22903.437999999998</v>
      </c>
      <c r="E25" s="14">
        <v>17813.538</v>
      </c>
      <c r="F25" s="14">
        <f t="shared" si="0"/>
        <v>5089.8999999999978</v>
      </c>
      <c r="G25" s="15">
        <f t="shared" si="4"/>
        <v>0.28573212126642095</v>
      </c>
      <c r="H25" s="16">
        <v>25249.074000000001</v>
      </c>
      <c r="I25" s="16">
        <f t="shared" si="1"/>
        <v>-2345.6360000000022</v>
      </c>
      <c r="J25" s="15">
        <f t="shared" si="2"/>
        <v>-9.2899882189739005E-2</v>
      </c>
      <c r="K25" s="51" t="s">
        <v>1674</v>
      </c>
      <c r="L25" s="51"/>
    </row>
    <row r="26" spans="1:15" ht="86.45">
      <c r="A26" s="24" t="str">
        <v>M188</v>
      </c>
      <c r="B26" s="25" t="str">
        <v>NY</v>
      </c>
      <c r="C26" s="25" t="str">
        <f>Sites[[#This Row],[SOL'#]]</f>
        <v>SOL-10387</v>
      </c>
      <c r="D26" s="20">
        <v>16372.875</v>
      </c>
      <c r="E26" s="10">
        <v>17248.113000000001</v>
      </c>
      <c r="F26" s="10">
        <f>IF(AND(ISNUMBER(D26),ISNUMBER(E26)), D26-E26, "")</f>
        <v>-875.23800000000119</v>
      </c>
      <c r="G26" s="11">
        <f t="shared" si="4"/>
        <v>-5.0743985733395947E-2</v>
      </c>
      <c r="H26" s="12">
        <v>19189.208999999999</v>
      </c>
      <c r="I26" s="12">
        <f>IF(AND(ISNUMBER(D26),ISNUMBER(H26)), D26-H26, "")</f>
        <v>-2816.3339999999989</v>
      </c>
      <c r="J26" s="13">
        <f t="shared" si="2"/>
        <v>-0.14676654988749141</v>
      </c>
      <c r="K26" s="53" t="s">
        <v>1346</v>
      </c>
      <c r="L26" s="53"/>
    </row>
    <row r="27" spans="1:15" ht="43.15">
      <c r="A27" s="26" t="str">
        <v>EMHC</v>
      </c>
      <c r="B27" s="27" t="str">
        <v>NY</v>
      </c>
      <c r="C27" s="27" t="str">
        <f>Sites[[#This Row],[SOL'#]]</f>
        <v>SOL-10351</v>
      </c>
      <c r="D27" s="9">
        <v>7118.8280000000004</v>
      </c>
      <c r="E27" s="14">
        <v>5168.558</v>
      </c>
      <c r="F27" s="14">
        <f>IF(AND(ISNUMBER(D27),ISNUMBER(E27)), D27-E27, "")</f>
        <v>1950.2700000000004</v>
      </c>
      <c r="G27" s="15">
        <f t="shared" si="4"/>
        <v>0.37733348450380172</v>
      </c>
      <c r="H27" s="16">
        <v>7595.8429999999998</v>
      </c>
      <c r="I27" s="16">
        <f>IF(AND(ISNUMBER(D27),ISNUMBER(H27)), D27-H27, "")</f>
        <v>-477.01499999999942</v>
      </c>
      <c r="J27" s="15">
        <f t="shared" si="2"/>
        <v>-6.2799481242569052E-2</v>
      </c>
      <c r="K27" s="61" t="s">
        <v>1921</v>
      </c>
      <c r="L27" s="100" t="s">
        <v>669</v>
      </c>
    </row>
    <row r="28" spans="1:15" ht="28.9">
      <c r="A28" s="24" t="str">
        <v>Q008</v>
      </c>
      <c r="B28" s="25" t="str">
        <v>NY</v>
      </c>
      <c r="C28" s="25" t="str">
        <f>Sites[[#This Row],[SOL'#]]</f>
        <v>SOL-10397</v>
      </c>
      <c r="D28" s="20">
        <v>22429.155999999999</v>
      </c>
      <c r="E28" s="10">
        <v>26778.116999999998</v>
      </c>
      <c r="F28" s="10">
        <f t="shared" si="0"/>
        <v>-4348.9609999999993</v>
      </c>
      <c r="G28" s="11">
        <f t="shared" si="4"/>
        <v>-0.16240727456676657</v>
      </c>
      <c r="H28" s="12">
        <v>25128</v>
      </c>
      <c r="I28" s="12">
        <f t="shared" si="1"/>
        <v>-2698.844000000001</v>
      </c>
      <c r="J28" s="13">
        <f t="shared" si="2"/>
        <v>-0.10740385227634515</v>
      </c>
      <c r="K28" s="53" t="s">
        <v>1922</v>
      </c>
      <c r="L28" s="99" t="s">
        <v>1923</v>
      </c>
    </row>
    <row r="29" spans="1:15" ht="15.6">
      <c r="A29" s="26" t="str">
        <v>Q018</v>
      </c>
      <c r="B29" s="27" t="str">
        <v>NY</v>
      </c>
      <c r="C29" s="27" t="str">
        <f>Sites[[#This Row],[SOL'#]]</f>
        <v>SOL-10398</v>
      </c>
      <c r="D29" s="9">
        <v>16961.875</v>
      </c>
      <c r="E29" s="14">
        <v>18599.815999999999</v>
      </c>
      <c r="F29" s="14">
        <f t="shared" si="0"/>
        <v>-1637.9409999999989</v>
      </c>
      <c r="G29" s="15">
        <f t="shared" si="4"/>
        <v>-8.8062215239118447E-2</v>
      </c>
      <c r="H29" s="16">
        <v>11166</v>
      </c>
      <c r="I29" s="16">
        <f t="shared" si="1"/>
        <v>5795.875</v>
      </c>
      <c r="J29" s="15">
        <f t="shared" si="2"/>
        <v>0.51906457101916537</v>
      </c>
      <c r="K29" s="51" t="s">
        <v>908</v>
      </c>
      <c r="L29" s="51"/>
    </row>
    <row r="30" spans="1:15" ht="15.6">
      <c r="A30" s="24" t="str">
        <v>Q021</v>
      </c>
      <c r="B30" s="25" t="str">
        <v>NY</v>
      </c>
      <c r="C30" s="25" t="str">
        <f>Sites[[#This Row],[SOL'#]]</f>
        <v>SOL-10399</v>
      </c>
      <c r="D30" s="20">
        <v>13777.063</v>
      </c>
      <c r="E30" s="10">
        <v>14090.446</v>
      </c>
      <c r="F30" s="10">
        <f t="shared" si="0"/>
        <v>-313.38299999999981</v>
      </c>
      <c r="G30" s="11">
        <f t="shared" si="4"/>
        <v>-2.2240814804584598E-2</v>
      </c>
      <c r="H30" s="12">
        <v>12908.234</v>
      </c>
      <c r="I30" s="12">
        <f t="shared" si="1"/>
        <v>868.82899999999972</v>
      </c>
      <c r="J30" s="13">
        <f t="shared" si="2"/>
        <v>6.7308122861733044E-2</v>
      </c>
      <c r="K30" s="53"/>
      <c r="L30" s="53"/>
    </row>
    <row r="31" spans="1:15" ht="28.9">
      <c r="A31" s="26" t="str">
        <v>Q025</v>
      </c>
      <c r="B31" s="27" t="str">
        <v>NY</v>
      </c>
      <c r="C31" s="27" t="str">
        <f>Sites[[#This Row],[SOL'#]]</f>
        <v>SOL-10400</v>
      </c>
      <c r="D31" s="9">
        <v>23244.125</v>
      </c>
      <c r="E31" s="14">
        <v>23357.883000000002</v>
      </c>
      <c r="F31" s="14">
        <f t="shared" si="0"/>
        <v>-113.75800000000163</v>
      </c>
      <c r="G31" s="15">
        <f t="shared" si="4"/>
        <v>-4.8702187608355438E-3</v>
      </c>
      <c r="H31" s="16">
        <v>12092.5</v>
      </c>
      <c r="I31" s="16">
        <f t="shared" si="1"/>
        <v>11151.625</v>
      </c>
      <c r="J31" s="15">
        <f t="shared" si="2"/>
        <v>0.92219350837295844</v>
      </c>
      <c r="K31" s="51" t="s">
        <v>1680</v>
      </c>
      <c r="L31" s="52"/>
    </row>
    <row r="32" spans="1:15" ht="15.6">
      <c r="A32" s="24" t="str">
        <v>Q074</v>
      </c>
      <c r="B32" s="25" t="str">
        <v>NY</v>
      </c>
      <c r="C32" s="25" t="str">
        <f>Sites[[#This Row],[SOL'#]]</f>
        <v>SOL-10402</v>
      </c>
      <c r="D32" s="20">
        <v>11384.75</v>
      </c>
      <c r="E32" s="10">
        <v>11141.717000000001</v>
      </c>
      <c r="F32" s="10">
        <f t="shared" si="0"/>
        <v>243.03299999999945</v>
      </c>
      <c r="G32" s="11">
        <f t="shared" si="4"/>
        <v>2.1812885751810018E-2</v>
      </c>
      <c r="H32" s="12">
        <v>14623.434999999999</v>
      </c>
      <c r="I32" s="12">
        <f t="shared" si="1"/>
        <v>-3238.6849999999995</v>
      </c>
      <c r="J32" s="13">
        <f t="shared" si="2"/>
        <v>-0.22147224643184038</v>
      </c>
      <c r="K32" s="53" t="s">
        <v>1924</v>
      </c>
      <c r="L32" s="99" t="s">
        <v>1925</v>
      </c>
    </row>
    <row r="33" spans="1:13" ht="15.6">
      <c r="A33" s="26" t="str">
        <v>Q115</v>
      </c>
      <c r="B33" s="27" t="str">
        <v>NY</v>
      </c>
      <c r="C33" s="27" t="str">
        <f>Sites[[#This Row],[SOL'#]]</f>
        <v>SOL-10872</v>
      </c>
      <c r="D33" s="9">
        <v>19770.812999999998</v>
      </c>
      <c r="E33" s="14">
        <v>21410.148000000001</v>
      </c>
      <c r="F33" s="14">
        <f t="shared" si="0"/>
        <v>-1639.3350000000028</v>
      </c>
      <c r="G33" s="15">
        <f t="shared" si="4"/>
        <v>-7.6568130215634314E-2</v>
      </c>
      <c r="H33" s="16">
        <v>19479.758999999998</v>
      </c>
      <c r="I33" s="16">
        <f t="shared" si="1"/>
        <v>291.05400000000009</v>
      </c>
      <c r="J33" s="15">
        <f t="shared" si="2"/>
        <v>1.4941355280627452E-2</v>
      </c>
      <c r="K33" s="51"/>
      <c r="L33" s="52"/>
    </row>
    <row r="34" spans="1:13" ht="28.9">
      <c r="A34" s="24" t="str">
        <v>Q139</v>
      </c>
      <c r="B34" s="25" t="str">
        <v>NY</v>
      </c>
      <c r="C34" s="25" t="str">
        <f>Sites[[#This Row],[SOL'#]]</f>
        <v>SOL-10403</v>
      </c>
      <c r="D34" s="20">
        <v>11696.875</v>
      </c>
      <c r="E34" s="10">
        <v>11986.462</v>
      </c>
      <c r="F34" s="10">
        <f t="shared" si="0"/>
        <v>-289.58699999999953</v>
      </c>
      <c r="G34" s="11">
        <f t="shared" si="4"/>
        <v>-2.4159505949295092E-2</v>
      </c>
      <c r="H34" s="12">
        <v>12223</v>
      </c>
      <c r="I34" s="12">
        <f t="shared" si="1"/>
        <v>-526.125</v>
      </c>
      <c r="J34" s="13">
        <f t="shared" si="2"/>
        <v>-4.3043851754888326E-2</v>
      </c>
      <c r="K34" s="73" t="s">
        <v>1445</v>
      </c>
      <c r="L34" s="99" t="s">
        <v>1926</v>
      </c>
    </row>
    <row r="35" spans="1:13" ht="15.6">
      <c r="A35" s="26" t="str">
        <v>Q157</v>
      </c>
      <c r="B35" s="27" t="str">
        <v>NY</v>
      </c>
      <c r="C35" s="27" t="str">
        <f>Sites[[#This Row],[SOL'#]]</f>
        <v>SOL-10404</v>
      </c>
      <c r="D35" s="9">
        <v>19666.562999999998</v>
      </c>
      <c r="E35" s="14">
        <v>24651.896000000001</v>
      </c>
      <c r="F35" s="14">
        <f t="shared" si="0"/>
        <v>-4985.3330000000024</v>
      </c>
      <c r="G35" s="15">
        <f t="shared" si="4"/>
        <v>-0.20222919162079875</v>
      </c>
      <c r="H35" s="16">
        <v>18871.047999999999</v>
      </c>
      <c r="I35" s="16">
        <f t="shared" si="1"/>
        <v>795.51499999999942</v>
      </c>
      <c r="J35" s="15">
        <f t="shared" si="2"/>
        <v>4.215531644029518E-2</v>
      </c>
      <c r="K35" s="51" t="s">
        <v>1927</v>
      </c>
      <c r="L35" s="100" t="s">
        <v>1682</v>
      </c>
    </row>
    <row r="36" spans="1:13" ht="15.6">
      <c r="A36" s="24" t="str">
        <v>Q192</v>
      </c>
      <c r="B36" s="25" t="str">
        <v>NY</v>
      </c>
      <c r="C36" s="25" t="str">
        <f>Sites[[#This Row],[SOL'#]]</f>
        <v>SOL-10406</v>
      </c>
      <c r="D36" s="167">
        <v>32135</v>
      </c>
      <c r="E36" s="10">
        <v>36121.082000000002</v>
      </c>
      <c r="F36" s="10">
        <f t="shared" si="0"/>
        <v>-3986.0820000000022</v>
      </c>
      <c r="G36" s="55">
        <f t="shared" si="4"/>
        <v>-0.1103533388064068</v>
      </c>
      <c r="H36" s="67">
        <v>31753.191999999999</v>
      </c>
      <c r="I36" s="67">
        <f t="shared" si="1"/>
        <v>381.8080000000009</v>
      </c>
      <c r="J36" s="64">
        <f t="shared" si="2"/>
        <v>1.2024239956726268E-2</v>
      </c>
      <c r="K36" s="73" t="s">
        <v>1928</v>
      </c>
      <c r="L36" s="101" t="s">
        <v>1929</v>
      </c>
    </row>
    <row r="37" spans="1:13" ht="28.9" customHeight="1">
      <c r="A37" s="26" t="str">
        <v>Q210</v>
      </c>
      <c r="B37" s="27" t="str">
        <v>NY</v>
      </c>
      <c r="C37" s="27" t="str">
        <f>Sites[[#This Row],[SOL'#]]</f>
        <v>SOL-10407</v>
      </c>
      <c r="D37" s="9">
        <v>26615.125</v>
      </c>
      <c r="E37" s="14">
        <v>26548.079000000002</v>
      </c>
      <c r="F37" s="14">
        <f t="shared" si="0"/>
        <v>67.045999999998457</v>
      </c>
      <c r="G37" s="15">
        <f t="shared" si="4"/>
        <v>2.5254557966321576E-3</v>
      </c>
      <c r="H37" s="16">
        <v>26544</v>
      </c>
      <c r="I37" s="16">
        <f t="shared" si="1"/>
        <v>71.125</v>
      </c>
      <c r="J37" s="15">
        <f t="shared" si="2"/>
        <v>2.6795132610006028E-3</v>
      </c>
      <c r="K37" s="51"/>
      <c r="L37" s="51"/>
    </row>
    <row r="38" spans="1:13" ht="15.6">
      <c r="A38" s="24" t="str">
        <v>Q229</v>
      </c>
      <c r="B38" s="25" t="str">
        <v>NY</v>
      </c>
      <c r="C38" s="25" t="str">
        <f>Sites[[#This Row],[SOL'#]]</f>
        <v>SOL-10408</v>
      </c>
      <c r="D38" s="54">
        <v>11342.875</v>
      </c>
      <c r="E38" s="10">
        <v>13057.554</v>
      </c>
      <c r="F38" s="10">
        <f t="shared" si="0"/>
        <v>-1714.6790000000001</v>
      </c>
      <c r="G38" s="55">
        <f t="shared" si="4"/>
        <v>-0.13131701389096304</v>
      </c>
      <c r="H38" s="67">
        <v>9846.1370000000006</v>
      </c>
      <c r="I38" s="67">
        <f t="shared" si="1"/>
        <v>1496.7379999999994</v>
      </c>
      <c r="J38" s="64">
        <f t="shared" si="2"/>
        <v>0.15201271320925144</v>
      </c>
      <c r="K38" s="73" t="s">
        <v>932</v>
      </c>
      <c r="L38" s="101" t="s">
        <v>1199</v>
      </c>
    </row>
    <row r="39" spans="1:13" ht="28.9">
      <c r="A39" s="26" t="str">
        <v>Q231</v>
      </c>
      <c r="B39" s="27" t="str">
        <v>NY</v>
      </c>
      <c r="C39" s="27" t="str">
        <f>Sites[[#This Row],[SOL'#]]</f>
        <v>SOL-10870</v>
      </c>
      <c r="D39" s="9">
        <v>39584.75</v>
      </c>
      <c r="E39" s="14">
        <v>45767.991000000002</v>
      </c>
      <c r="F39" s="14">
        <f t="shared" si="0"/>
        <v>-6183.2410000000018</v>
      </c>
      <c r="G39" s="15">
        <f t="shared" si="4"/>
        <v>-0.13509968134716688</v>
      </c>
      <c r="H39" s="16">
        <v>42636.5</v>
      </c>
      <c r="I39" s="16">
        <f t="shared" si="1"/>
        <v>-3051.75</v>
      </c>
      <c r="J39" s="15">
        <f t="shared" si="2"/>
        <v>-7.1575997091693738E-2</v>
      </c>
      <c r="K39" s="51" t="s">
        <v>1930</v>
      </c>
      <c r="L39" s="100" t="s">
        <v>1684</v>
      </c>
    </row>
    <row r="40" spans="1:13" ht="43.15">
      <c r="A40" s="24" t="str">
        <v>Q405</v>
      </c>
      <c r="B40" s="25" t="str">
        <v>NY</v>
      </c>
      <c r="C40" s="25" t="str">
        <f>Sites[[#This Row],[SOL'#]]</f>
        <v>SOL-10409</v>
      </c>
      <c r="D40" s="54">
        <v>48143.5</v>
      </c>
      <c r="E40" s="10">
        <v>54005.925000000003</v>
      </c>
      <c r="F40" s="10">
        <f t="shared" si="0"/>
        <v>-5862.4250000000029</v>
      </c>
      <c r="G40" s="55">
        <f t="shared" si="4"/>
        <v>-0.10855151541242933</v>
      </c>
      <c r="H40" s="67">
        <v>47283.572</v>
      </c>
      <c r="I40" s="67">
        <f t="shared" si="1"/>
        <v>859.92799999999988</v>
      </c>
      <c r="J40" s="64">
        <f t="shared" si="2"/>
        <v>1.8186612466587759E-2</v>
      </c>
      <c r="K40" s="73" t="s">
        <v>1931</v>
      </c>
      <c r="L40" s="101" t="s">
        <v>1932</v>
      </c>
      <c r="M40" s="103" t="s">
        <v>1933</v>
      </c>
    </row>
    <row r="41" spans="1:13" ht="28.9">
      <c r="A41" s="26" t="str">
        <v>Q435</v>
      </c>
      <c r="B41" s="27" t="str">
        <v>NY</v>
      </c>
      <c r="C41" s="27" t="str">
        <f>Sites[[#This Row],[SOL'#]]</f>
        <v>SOL-10923</v>
      </c>
      <c r="D41" s="9">
        <v>57195.29</v>
      </c>
      <c r="E41" s="14">
        <v>47737.006999999998</v>
      </c>
      <c r="F41" s="14">
        <f t="shared" si="0"/>
        <v>9458.2830000000031</v>
      </c>
      <c r="G41" s="15">
        <f t="shared" si="4"/>
        <v>0.19813313809137645</v>
      </c>
      <c r="H41" s="16">
        <v>60533.5</v>
      </c>
      <c r="I41" s="16">
        <f t="shared" si="1"/>
        <v>-3338.2099999999991</v>
      </c>
      <c r="J41" s="15">
        <f t="shared" si="2"/>
        <v>-5.5146489134115809E-2</v>
      </c>
      <c r="K41" s="51" t="s">
        <v>1934</v>
      </c>
      <c r="L41" s="100" t="s">
        <v>1935</v>
      </c>
    </row>
    <row r="42" spans="1:13" ht="28.9">
      <c r="A42" s="24" t="str">
        <v>Q485</v>
      </c>
      <c r="B42" s="25" t="str">
        <v>NY</v>
      </c>
      <c r="C42" s="25" t="str">
        <f>Sites[[#This Row],[SOL'#]]</f>
        <v>SOL-10869</v>
      </c>
      <c r="D42" s="54">
        <v>58657.75</v>
      </c>
      <c r="E42" s="10">
        <v>48085.235999999997</v>
      </c>
      <c r="F42" s="10">
        <f t="shared" si="0"/>
        <v>10572.514000000003</v>
      </c>
      <c r="G42" s="55">
        <f t="shared" si="4"/>
        <v>0.21987027369481982</v>
      </c>
      <c r="H42" s="67">
        <v>57296.478999999999</v>
      </c>
      <c r="I42" s="67">
        <f t="shared" si="1"/>
        <v>1361.2710000000006</v>
      </c>
      <c r="J42" s="64">
        <f t="shared" si="2"/>
        <v>2.3758370911413258E-2</v>
      </c>
      <c r="K42" s="73" t="s">
        <v>1936</v>
      </c>
      <c r="L42" s="73"/>
    </row>
    <row r="43" spans="1:13" ht="72">
      <c r="A43" s="26" t="str">
        <v>Q490</v>
      </c>
      <c r="B43" s="27" t="str">
        <v>NY</v>
      </c>
      <c r="C43" s="27" t="str">
        <f>Sites[[#This Row],[SOL'#]]</f>
        <v>SOL-10411</v>
      </c>
      <c r="D43" s="9">
        <v>39358.5</v>
      </c>
      <c r="E43" s="14">
        <v>0</v>
      </c>
      <c r="F43" s="14">
        <f t="shared" si="0"/>
        <v>39358.5</v>
      </c>
      <c r="G43" s="15" t="str">
        <f t="shared" si="4"/>
        <v/>
      </c>
      <c r="H43" s="16">
        <v>41167.805</v>
      </c>
      <c r="I43" s="16">
        <f t="shared" si="1"/>
        <v>-1809.3050000000003</v>
      </c>
      <c r="J43" s="15">
        <f t="shared" si="2"/>
        <v>-4.3949513460822119E-2</v>
      </c>
      <c r="K43" s="51" t="s">
        <v>1937</v>
      </c>
      <c r="L43" s="100" t="s">
        <v>1938</v>
      </c>
      <c r="M43" s="103" t="s">
        <v>1939</v>
      </c>
    </row>
    <row r="44" spans="1:13" ht="28.9">
      <c r="A44" s="24" t="str">
        <v>Q620</v>
      </c>
      <c r="B44" s="25" t="str">
        <v>NY</v>
      </c>
      <c r="C44" s="25" t="str">
        <f>Sites[[#This Row],[SOL'#]]</f>
        <v>SOL-10867</v>
      </c>
      <c r="D44" s="54">
        <v>63311.78</v>
      </c>
      <c r="E44" s="10">
        <v>64228.413</v>
      </c>
      <c r="F44" s="10">
        <f t="shared" si="0"/>
        <v>-916.63300000000163</v>
      </c>
      <c r="G44" s="55">
        <f t="shared" si="4"/>
        <v>-1.4271456465847937E-2</v>
      </c>
      <c r="H44" s="67">
        <v>60821.093000000001</v>
      </c>
      <c r="I44" s="67">
        <f t="shared" si="1"/>
        <v>2490.6869999999981</v>
      </c>
      <c r="J44" s="64">
        <f t="shared" si="2"/>
        <v>4.0951039797985839E-2</v>
      </c>
      <c r="K44" s="73" t="s">
        <v>1940</v>
      </c>
      <c r="L44" s="101" t="s">
        <v>1941</v>
      </c>
    </row>
    <row r="45" spans="1:13" ht="15.6">
      <c r="A45" s="26" t="str">
        <v>QMOA</v>
      </c>
      <c r="B45" s="27" t="str">
        <v>NY</v>
      </c>
      <c r="C45" s="27" t="str">
        <f>Sites[[#This Row],[SOL'#]]</f>
        <v>SOL-10415</v>
      </c>
      <c r="D45" s="9">
        <v>5473.6</v>
      </c>
      <c r="E45" s="14"/>
      <c r="F45" s="14" t="str">
        <f t="shared" si="0"/>
        <v/>
      </c>
      <c r="G45" s="15" t="str">
        <f t="shared" si="4"/>
        <v/>
      </c>
      <c r="H45" s="16">
        <v>5544.8980000000001</v>
      </c>
      <c r="I45" s="16">
        <f t="shared" si="1"/>
        <v>-71.297999999999774</v>
      </c>
      <c r="J45" s="15">
        <f t="shared" si="2"/>
        <v>-1.2858306861550884E-2</v>
      </c>
      <c r="K45" s="51"/>
      <c r="L45" s="52"/>
    </row>
    <row r="46" spans="1:13" ht="15.6">
      <c r="A46" s="24" t="str">
        <v>X024</v>
      </c>
      <c r="B46" s="25" t="str">
        <v>NY</v>
      </c>
      <c r="C46" s="25" t="str">
        <f>Sites[[#This Row],[SOL'#]]</f>
        <v>SOL-10419</v>
      </c>
      <c r="D46" s="54">
        <v>25082.030999999999</v>
      </c>
      <c r="E46" s="10">
        <v>24457.917000000001</v>
      </c>
      <c r="F46" s="10">
        <f t="shared" si="0"/>
        <v>624.11399999999776</v>
      </c>
      <c r="G46" s="55">
        <f t="shared" si="4"/>
        <v>2.5517872188379646E-2</v>
      </c>
      <c r="H46" s="67">
        <v>21695</v>
      </c>
      <c r="I46" s="67">
        <f t="shared" si="1"/>
        <v>3387.030999999999</v>
      </c>
      <c r="J46" s="64">
        <f t="shared" si="2"/>
        <v>0.15612035031113156</v>
      </c>
      <c r="K46" s="73"/>
      <c r="L46" s="73"/>
    </row>
    <row r="47" spans="1:13" ht="28.9">
      <c r="A47" s="26" t="str">
        <v>X026</v>
      </c>
      <c r="B47" s="27" t="str">
        <v>NY</v>
      </c>
      <c r="C47" s="27" t="str">
        <f>Sites[[#This Row],[SOL'#]]</f>
        <v>SOL-10420</v>
      </c>
      <c r="D47" s="9">
        <v>21192.799999999999</v>
      </c>
      <c r="E47" s="14">
        <v>20624.916000000001</v>
      </c>
      <c r="F47" s="14">
        <f t="shared" si="0"/>
        <v>567.8839999999982</v>
      </c>
      <c r="G47" s="15">
        <f t="shared" si="4"/>
        <v>2.7533881834961083E-2</v>
      </c>
      <c r="H47" s="16">
        <v>29182.126</v>
      </c>
      <c r="I47" s="16">
        <f t="shared" si="1"/>
        <v>-7989.3260000000009</v>
      </c>
      <c r="J47" s="15">
        <f t="shared" si="2"/>
        <v>-0.27377463862639756</v>
      </c>
      <c r="K47" s="51" t="s">
        <v>1690</v>
      </c>
      <c r="L47" s="100" t="s">
        <v>690</v>
      </c>
    </row>
    <row r="48" spans="1:13" ht="15.6">
      <c r="A48" s="24" t="str">
        <v>X090</v>
      </c>
      <c r="B48" s="25" t="str">
        <v>NY</v>
      </c>
      <c r="C48" s="25" t="str">
        <f>Sites[[#This Row],[SOL'#]]</f>
        <v>SOL-10925</v>
      </c>
      <c r="D48" s="54">
        <v>18101.812999999998</v>
      </c>
      <c r="E48" s="10">
        <v>15022.557000000001</v>
      </c>
      <c r="F48" s="10">
        <f t="shared" si="0"/>
        <v>3079.2559999999976</v>
      </c>
      <c r="G48" s="55">
        <f t="shared" si="4"/>
        <v>0.20497549118968211</v>
      </c>
      <c r="H48" s="67">
        <v>17858</v>
      </c>
      <c r="I48" s="67">
        <f t="shared" si="1"/>
        <v>243.81299999999828</v>
      </c>
      <c r="J48" s="64">
        <f t="shared" si="2"/>
        <v>1.3652872662112122E-2</v>
      </c>
      <c r="K48" s="73"/>
      <c r="L48" s="73"/>
    </row>
    <row r="49" spans="1:14" ht="15.6">
      <c r="A49" s="26" t="str">
        <v>X117</v>
      </c>
      <c r="B49" s="27" t="str">
        <v>NY</v>
      </c>
      <c r="C49" s="27" t="str">
        <f>Sites[[#This Row],[SOL'#]]</f>
        <v>SOL-10422</v>
      </c>
      <c r="D49" s="9">
        <v>15410.1</v>
      </c>
      <c r="E49" s="14">
        <v>17247.805</v>
      </c>
      <c r="F49" s="14">
        <f t="shared" si="0"/>
        <v>-1837.7049999999999</v>
      </c>
      <c r="G49" s="15">
        <f t="shared" si="4"/>
        <v>-0.10654718093113877</v>
      </c>
      <c r="H49" s="16">
        <v>15770.38</v>
      </c>
      <c r="I49" s="16">
        <f t="shared" si="1"/>
        <v>-360.27999999999884</v>
      </c>
      <c r="J49" s="15">
        <f t="shared" si="2"/>
        <v>-2.2845359465022329E-2</v>
      </c>
      <c r="K49" s="51" t="s">
        <v>1942</v>
      </c>
      <c r="L49" s="52"/>
    </row>
    <row r="50" spans="1:14" ht="15.6">
      <c r="A50" s="24" t="str">
        <v>X125</v>
      </c>
      <c r="B50" s="25" t="str">
        <v>NY</v>
      </c>
      <c r="C50" s="25" t="str">
        <f>Sites[[#This Row],[SOL'#]]</f>
        <v>SOL-10423</v>
      </c>
      <c r="D50" s="54">
        <v>28874.625</v>
      </c>
      <c r="E50" s="10">
        <v>30335.623</v>
      </c>
      <c r="F50" s="10">
        <f t="shared" si="0"/>
        <v>-1460.9979999999996</v>
      </c>
      <c r="G50" s="15">
        <f t="shared" si="4"/>
        <v>-4.8161133859027705E-2</v>
      </c>
      <c r="H50" s="67">
        <v>26767.069</v>
      </c>
      <c r="I50" s="67">
        <f t="shared" si="1"/>
        <v>2107.5560000000005</v>
      </c>
      <c r="J50" s="64">
        <f t="shared" si="2"/>
        <v>7.8736898686964957E-2</v>
      </c>
      <c r="K50" s="73"/>
      <c r="L50" s="73"/>
    </row>
    <row r="51" spans="1:14" ht="115.15">
      <c r="A51" s="26" t="str">
        <v>X134</v>
      </c>
      <c r="B51" s="27" t="str">
        <v>NY</v>
      </c>
      <c r="C51" s="27" t="str">
        <f>Sites[[#This Row],[SOL'#]]</f>
        <v>SOL-10424</v>
      </c>
      <c r="D51" s="9">
        <v>27962.187999999998</v>
      </c>
      <c r="E51" s="14">
        <v>7766.6239999999998</v>
      </c>
      <c r="F51" s="14">
        <f t="shared" si="0"/>
        <v>20195.563999999998</v>
      </c>
      <c r="G51" s="15">
        <f t="shared" ref="G51:G81" si="5">IFERROR(F51/E51, "")</f>
        <v>2.6003014952185142</v>
      </c>
      <c r="H51" s="16">
        <v>26554</v>
      </c>
      <c r="I51" s="16">
        <f t="shared" si="1"/>
        <v>1408.1879999999983</v>
      </c>
      <c r="J51" s="15">
        <f t="shared" si="2"/>
        <v>5.3031106424644057E-2</v>
      </c>
      <c r="K51" s="51" t="s">
        <v>1943</v>
      </c>
      <c r="L51" s="100" t="s">
        <v>1944</v>
      </c>
      <c r="M51" s="103" t="s">
        <v>1945</v>
      </c>
      <c r="N51" s="103" t="s">
        <v>1946</v>
      </c>
    </row>
    <row r="52" spans="1:14" ht="28.9">
      <c r="A52" s="24" t="str">
        <v>X135</v>
      </c>
      <c r="B52" s="25" t="str">
        <v>NY</v>
      </c>
      <c r="C52" s="25" t="str">
        <f>Sites[[#This Row],[SOL'#]]</f>
        <v>SOL-10425</v>
      </c>
      <c r="D52" s="54">
        <v>22733.562999999998</v>
      </c>
      <c r="E52" s="10">
        <v>27306.838</v>
      </c>
      <c r="F52" s="10">
        <f t="shared" si="0"/>
        <v>-4573.2750000000015</v>
      </c>
      <c r="G52" s="55">
        <f t="shared" si="5"/>
        <v>-0.16747728169771986</v>
      </c>
      <c r="H52" s="67">
        <v>21711</v>
      </c>
      <c r="I52" s="67">
        <f t="shared" si="1"/>
        <v>1022.5629999999983</v>
      </c>
      <c r="J52" s="64">
        <f t="shared" si="2"/>
        <v>4.7098843904011714E-2</v>
      </c>
      <c r="K52" s="73" t="s">
        <v>1947</v>
      </c>
      <c r="L52" s="73"/>
    </row>
    <row r="53" spans="1:14" ht="28.9">
      <c r="A53" s="26" t="str">
        <v>X139 JHS 222</v>
      </c>
      <c r="B53" s="27" t="str">
        <v>NY</v>
      </c>
      <c r="C53" s="27" t="str">
        <f>Sites[[#This Row],[SOL'#]]</f>
        <v>SOL-10426</v>
      </c>
      <c r="D53" s="9">
        <v>28952.608</v>
      </c>
      <c r="E53" s="14">
        <v>37791.582000000002</v>
      </c>
      <c r="F53" s="14">
        <f t="shared" si="0"/>
        <v>-8838.974000000002</v>
      </c>
      <c r="G53" s="15">
        <f t="shared" si="5"/>
        <v>-0.23388737735297774</v>
      </c>
      <c r="H53" s="16">
        <v>32926.5</v>
      </c>
      <c r="I53" s="16">
        <f t="shared" si="1"/>
        <v>-3973.8919999999998</v>
      </c>
      <c r="J53" s="15">
        <f t="shared" si="2"/>
        <v>-0.12068977874963935</v>
      </c>
      <c r="K53" s="51" t="s">
        <v>1948</v>
      </c>
      <c r="L53" s="100" t="s">
        <v>1949</v>
      </c>
      <c r="M53" s="103" t="s">
        <v>1950</v>
      </c>
    </row>
    <row r="54" spans="1:14" ht="28.9">
      <c r="A54" s="24" t="str">
        <v>X140</v>
      </c>
      <c r="B54" s="25" t="str">
        <v>NY</v>
      </c>
      <c r="C54" s="25" t="str">
        <f>Sites[[#This Row],[SOL'#]]</f>
        <v>SOL-10926</v>
      </c>
      <c r="D54" s="54">
        <v>19931.187999999998</v>
      </c>
      <c r="E54" s="10">
        <v>16423.797999999999</v>
      </c>
      <c r="F54" s="10">
        <f t="shared" si="0"/>
        <v>3507.3899999999994</v>
      </c>
      <c r="G54" s="55">
        <f t="shared" si="5"/>
        <v>0.21355535424875535</v>
      </c>
      <c r="H54" s="67">
        <v>18287</v>
      </c>
      <c r="I54" s="67">
        <f t="shared" si="1"/>
        <v>1644.1879999999983</v>
      </c>
      <c r="J54" s="64">
        <f t="shared" si="2"/>
        <v>8.9910209438398767E-2</v>
      </c>
      <c r="K54" s="73" t="s">
        <v>1951</v>
      </c>
      <c r="L54" s="101" t="s">
        <v>1952</v>
      </c>
    </row>
    <row r="55" spans="1:14" ht="15.6">
      <c r="A55" s="26" t="str">
        <v>X166</v>
      </c>
      <c r="B55" s="27" t="str">
        <v>NY</v>
      </c>
      <c r="C55" s="27" t="str">
        <f>Sites[[#This Row],[SOL'#]]</f>
        <v>SOL-10427</v>
      </c>
      <c r="D55" s="9">
        <v>20321.599999999999</v>
      </c>
      <c r="E55" s="14">
        <v>21154.850999999999</v>
      </c>
      <c r="F55" s="14">
        <f t="shared" si="0"/>
        <v>-833.2510000000002</v>
      </c>
      <c r="G55" s="15">
        <f t="shared" si="5"/>
        <v>-3.9388176262739938E-2</v>
      </c>
      <c r="H55" s="16">
        <v>20083</v>
      </c>
      <c r="I55" s="16">
        <f t="shared" si="1"/>
        <v>238.59999999999854</v>
      </c>
      <c r="J55" s="15">
        <f t="shared" si="2"/>
        <v>1.1880695115271551E-2</v>
      </c>
      <c r="K55" s="51"/>
      <c r="L55" s="97"/>
    </row>
    <row r="56" spans="1:14" ht="57.6">
      <c r="A56" s="24" t="str">
        <v>Murphy</v>
      </c>
      <c r="B56" s="25" t="str">
        <v>MN</v>
      </c>
      <c r="C56" s="25" t="str">
        <f>Sites[[#This Row],[SOL'#]]</f>
        <v>SOL-10094</v>
      </c>
      <c r="D56" s="54">
        <v>786990</v>
      </c>
      <c r="E56" s="10">
        <v>882687.63399999996</v>
      </c>
      <c r="F56" s="10">
        <f t="shared" si="0"/>
        <v>-95697.633999999962</v>
      </c>
      <c r="G56" s="55">
        <f t="shared" si="5"/>
        <v>-0.10841619426153642</v>
      </c>
      <c r="H56" s="67">
        <v>811622.1</v>
      </c>
      <c r="I56" s="67">
        <f t="shared" si="1"/>
        <v>-24632.099999999977</v>
      </c>
      <c r="J56" s="64">
        <f t="shared" si="2"/>
        <v>-3.0349222871087392E-2</v>
      </c>
      <c r="K56" s="73" t="s">
        <v>1953</v>
      </c>
      <c r="L56" s="101" t="s">
        <v>1954</v>
      </c>
      <c r="M56" s="103" t="s">
        <v>1955</v>
      </c>
      <c r="N56" s="103" t="s">
        <v>1956</v>
      </c>
    </row>
    <row r="57" spans="1:14" ht="15.6">
      <c r="A57" s="26" t="str">
        <v>Terning</v>
      </c>
      <c r="B57" s="27" t="str">
        <v>MN</v>
      </c>
      <c r="C57" s="27" t="str">
        <f>Sites[[#This Row],[SOL'#]]</f>
        <v>SOL-10093</v>
      </c>
      <c r="D57" s="9">
        <v>852315.35499999998</v>
      </c>
      <c r="E57" s="14">
        <v>908127.66700000002</v>
      </c>
      <c r="F57" s="14">
        <f t="shared" si="0"/>
        <v>-55812.312000000034</v>
      </c>
      <c r="G57" s="15">
        <f t="shared" si="5"/>
        <v>-6.1458662727869554E-2</v>
      </c>
      <c r="H57" s="16">
        <v>794890.25</v>
      </c>
      <c r="I57" s="16">
        <f t="shared" si="1"/>
        <v>57425.104999999981</v>
      </c>
      <c r="J57" s="15">
        <f t="shared" si="2"/>
        <v>7.2242809620573389E-2</v>
      </c>
      <c r="K57" s="51"/>
      <c r="L57" s="52"/>
    </row>
    <row r="58" spans="1:14" ht="15.6">
      <c r="A58" s="24" t="str">
        <v>Boas Road 04</v>
      </c>
      <c r="B58" s="25" t="str">
        <v>NY</v>
      </c>
      <c r="C58" s="25" t="str">
        <f>Sites[[#This Row],[SOL'#]]</f>
        <v>SOL-10908</v>
      </c>
      <c r="D58" s="54">
        <v>0</v>
      </c>
      <c r="E58" s="10">
        <v>0</v>
      </c>
      <c r="F58" s="10">
        <f t="shared" si="0"/>
        <v>0</v>
      </c>
      <c r="G58" s="55" t="str">
        <f t="shared" si="5"/>
        <v/>
      </c>
      <c r="H58" s="67">
        <v>318906.342</v>
      </c>
      <c r="I58" s="67">
        <f t="shared" si="1"/>
        <v>-318906.342</v>
      </c>
      <c r="J58" s="64">
        <f t="shared" si="2"/>
        <v>-1</v>
      </c>
      <c r="K58" s="73" t="s">
        <v>1957</v>
      </c>
      <c r="L58" s="101" t="s">
        <v>701</v>
      </c>
    </row>
    <row r="59" spans="1:14" ht="28.9">
      <c r="A59" s="26" t="str">
        <v>Kelly Bridge Farm</v>
      </c>
      <c r="B59" s="27" t="str">
        <v>NY</v>
      </c>
      <c r="C59" s="27" t="str">
        <f>Sites[[#This Row],[SOL'#]]</f>
        <v>SOL-10911</v>
      </c>
      <c r="D59" s="9">
        <v>0</v>
      </c>
      <c r="E59" s="14">
        <v>0</v>
      </c>
      <c r="F59" s="14">
        <f t="shared" si="0"/>
        <v>0</v>
      </c>
      <c r="G59" s="15" t="str">
        <f t="shared" si="5"/>
        <v/>
      </c>
      <c r="H59" s="16">
        <v>321832.08899999998</v>
      </c>
      <c r="I59" s="16">
        <f t="shared" si="1"/>
        <v>-321832.08899999998</v>
      </c>
      <c r="J59" s="15">
        <f t="shared" si="2"/>
        <v>-1</v>
      </c>
      <c r="K59" s="51" t="s">
        <v>1958</v>
      </c>
      <c r="L59" s="100" t="s">
        <v>1959</v>
      </c>
    </row>
    <row r="60" spans="1:14" ht="43.15">
      <c r="A60" s="24" t="str">
        <v>Pool Brook Road</v>
      </c>
      <c r="B60" s="25" t="str">
        <v>NY</v>
      </c>
      <c r="C60" s="25" t="str">
        <f>Sites[[#This Row],[SOL'#]]</f>
        <v>SOL-10909</v>
      </c>
      <c r="D60" s="54">
        <v>269516</v>
      </c>
      <c r="E60" s="10">
        <v>269514</v>
      </c>
      <c r="F60" s="10">
        <f>IF(AND(ISNUMBER(D60),ISNUMBER(E60)), D60-E60, "")</f>
        <v>2</v>
      </c>
      <c r="G60" s="55">
        <f t="shared" si="5"/>
        <v>7.420764784018641E-6</v>
      </c>
      <c r="H60" s="67">
        <v>306366.022</v>
      </c>
      <c r="I60" s="67">
        <f t="shared" si="1"/>
        <v>-36850.021999999997</v>
      </c>
      <c r="J60" s="64">
        <f t="shared" si="2"/>
        <v>-0.12028103429824864</v>
      </c>
      <c r="K60" s="73" t="s">
        <v>1960</v>
      </c>
      <c r="L60" s="101" t="s">
        <v>1961</v>
      </c>
    </row>
    <row r="61" spans="1:14" ht="28.9">
      <c r="A61" s="26" t="str">
        <v>Sackett Lake</v>
      </c>
      <c r="B61" s="27" t="str">
        <v>NY</v>
      </c>
      <c r="C61" s="27" t="str">
        <f>Sites[[#This Row],[SOL'#]]</f>
        <v>SOL-10910</v>
      </c>
      <c r="D61" s="9">
        <v>445918</v>
      </c>
      <c r="E61" s="14">
        <v>0</v>
      </c>
      <c r="F61" s="14">
        <f t="shared" si="0"/>
        <v>445918</v>
      </c>
      <c r="G61" s="15" t="str">
        <f t="shared" si="5"/>
        <v/>
      </c>
      <c r="H61" s="16">
        <v>318187.21899999998</v>
      </c>
      <c r="I61" s="16">
        <f t="shared" si="1"/>
        <v>127730.78100000002</v>
      </c>
      <c r="J61" s="15">
        <f t="shared" si="2"/>
        <v>0.40143278350850425</v>
      </c>
      <c r="K61" s="51" t="s">
        <v>1962</v>
      </c>
      <c r="L61" s="100" t="s">
        <v>1963</v>
      </c>
      <c r="M61" s="103" t="s">
        <v>1964</v>
      </c>
    </row>
    <row r="62" spans="1:14" ht="15.6">
      <c r="A62" s="24" t="str">
        <v>Burritt Road</v>
      </c>
      <c r="B62" s="25" t="str">
        <v>NY</v>
      </c>
      <c r="C62" s="25" t="str">
        <f>Sites[[#This Row],[SOL'#]]</f>
        <v>SOL-10913</v>
      </c>
      <c r="D62" s="54">
        <v>360510</v>
      </c>
      <c r="E62" s="10">
        <v>0</v>
      </c>
      <c r="F62" s="10">
        <f t="shared" si="0"/>
        <v>360510</v>
      </c>
      <c r="G62" s="55" t="str">
        <f t="shared" si="5"/>
        <v/>
      </c>
      <c r="H62" s="67">
        <v>331204.76</v>
      </c>
      <c r="I62" s="67">
        <f t="shared" si="1"/>
        <v>29305.239999999991</v>
      </c>
      <c r="J62" s="64">
        <f t="shared" si="2"/>
        <v>8.8480733187530247E-2</v>
      </c>
      <c r="K62" s="73"/>
      <c r="L62" s="73"/>
    </row>
    <row r="63" spans="1:14" ht="43.15">
      <c r="A63" s="26" t="str">
        <v>Villa Roma 1</v>
      </c>
      <c r="B63" s="27" t="str">
        <v>NY</v>
      </c>
      <c r="C63" s="27" t="str">
        <f>Sites[[#This Row],[SOL'#]]</f>
        <v>SOL-10914</v>
      </c>
      <c r="D63" s="66">
        <v>293402</v>
      </c>
      <c r="E63" s="14">
        <v>0</v>
      </c>
      <c r="F63" s="14">
        <f t="shared" si="0"/>
        <v>293402</v>
      </c>
      <c r="G63" s="68" t="str">
        <f t="shared" si="5"/>
        <v/>
      </c>
      <c r="H63" s="69">
        <v>278783.22899999999</v>
      </c>
      <c r="I63" s="69">
        <f t="shared" si="1"/>
        <v>14618.771000000008</v>
      </c>
      <c r="J63" s="68">
        <f t="shared" si="2"/>
        <v>5.2437770566177093E-2</v>
      </c>
      <c r="K63" s="51" t="s">
        <v>1965</v>
      </c>
      <c r="L63" s="100" t="s">
        <v>1966</v>
      </c>
      <c r="M63" s="103" t="s">
        <v>440</v>
      </c>
    </row>
    <row r="64" spans="1:14" ht="15.6">
      <c r="A64" s="24" t="str">
        <v>Villa Roma 2</v>
      </c>
      <c r="B64" s="25" t="str">
        <v>NY</v>
      </c>
      <c r="C64" s="25" t="str">
        <f>Sites[[#This Row],[SOL'#]]</f>
        <v>SOL-10915</v>
      </c>
      <c r="D64" s="54">
        <v>274880</v>
      </c>
      <c r="E64" s="10">
        <v>312522.5</v>
      </c>
      <c r="F64" s="10">
        <f t="shared" si="0"/>
        <v>-37642.5</v>
      </c>
      <c r="G64" s="55">
        <f t="shared" si="5"/>
        <v>-0.12044732779239894</v>
      </c>
      <c r="H64" s="67">
        <v>269917.33199999999</v>
      </c>
      <c r="I64" s="67">
        <f t="shared" si="1"/>
        <v>4962.6680000000051</v>
      </c>
      <c r="J64" s="64">
        <f t="shared" si="2"/>
        <v>1.8385881200100204E-2</v>
      </c>
      <c r="K64" s="73" t="s">
        <v>1967</v>
      </c>
      <c r="L64" s="73"/>
    </row>
    <row r="65" spans="1:169" ht="15.6">
      <c r="A65" s="26" t="str">
        <v>Washington 1</v>
      </c>
      <c r="B65" s="27" t="str">
        <v>NY</v>
      </c>
      <c r="C65" s="27" t="str">
        <f>Sites[[#This Row],[SOL'#]]</f>
        <v>SOL-10912</v>
      </c>
      <c r="D65" s="9">
        <v>336020</v>
      </c>
      <c r="E65" s="14">
        <v>373089.69</v>
      </c>
      <c r="F65" s="14">
        <f t="shared" si="0"/>
        <v>-37069.69</v>
      </c>
      <c r="G65" s="15">
        <f t="shared" si="5"/>
        <v>-9.9358655555451023E-2</v>
      </c>
      <c r="H65" s="16">
        <v>326068.01699999999</v>
      </c>
      <c r="I65" s="16">
        <f t="shared" si="1"/>
        <v>9951.9830000000075</v>
      </c>
      <c r="J65" s="15">
        <f t="shared" si="2"/>
        <v>3.0521187240513711E-2</v>
      </c>
      <c r="K65" s="51" t="s">
        <v>1968</v>
      </c>
      <c r="L65" s="100" t="s">
        <v>1969</v>
      </c>
    </row>
    <row r="66" spans="1:169" ht="129.6">
      <c r="A66" s="24" t="str">
        <v>Washington 3</v>
      </c>
      <c r="B66" s="25" t="str">
        <v>NY</v>
      </c>
      <c r="C66" s="25" t="str">
        <f>Sites[[#This Row],[SOL'#]]</f>
        <v>SOL-10828</v>
      </c>
      <c r="D66" s="20">
        <v>257026</v>
      </c>
      <c r="E66" s="10">
        <v>850868</v>
      </c>
      <c r="F66" s="10">
        <f t="shared" si="0"/>
        <v>-593842</v>
      </c>
      <c r="G66" s="55">
        <f t="shared" si="5"/>
        <v>-0.69792494252927595</v>
      </c>
      <c r="H66" s="12">
        <v>398744.73700000002</v>
      </c>
      <c r="I66" s="67">
        <f t="shared" si="1"/>
        <v>-141718.73700000002</v>
      </c>
      <c r="J66" s="64">
        <f t="shared" si="2"/>
        <v>-0.35541218190423418</v>
      </c>
      <c r="K66" s="53" t="s">
        <v>1970</v>
      </c>
      <c r="L66" s="99" t="s">
        <v>1971</v>
      </c>
      <c r="M66" s="103" t="s">
        <v>1972</v>
      </c>
      <c r="N66" s="103" t="s">
        <v>1973</v>
      </c>
      <c r="O66" s="103" t="s">
        <v>719</v>
      </c>
    </row>
    <row r="67" spans="1:169" ht="43.15">
      <c r="A67" s="26" t="str">
        <v>Washington 4</v>
      </c>
      <c r="B67" s="27" t="str">
        <v>NY</v>
      </c>
      <c r="C67" s="27" t="str">
        <f>Sites[[#This Row],[SOL'#]]</f>
        <v>SOL-10829</v>
      </c>
      <c r="D67" s="9">
        <v>351554</v>
      </c>
      <c r="E67" s="14">
        <v>394430.9</v>
      </c>
      <c r="F67" s="14">
        <f t="shared" si="0"/>
        <v>-42876.900000000023</v>
      </c>
      <c r="G67" s="15">
        <f t="shared" si="5"/>
        <v>-0.10870573274051303</v>
      </c>
      <c r="H67" s="16">
        <v>399610.63900000002</v>
      </c>
      <c r="I67" s="16">
        <f t="shared" si="1"/>
        <v>-48056.639000000025</v>
      </c>
      <c r="J67" s="15">
        <f t="shared" si="2"/>
        <v>-0.12025865757793305</v>
      </c>
      <c r="K67" s="51" t="s">
        <v>1974</v>
      </c>
      <c r="L67" s="100" t="s">
        <v>1975</v>
      </c>
      <c r="M67" s="103" t="s">
        <v>1976</v>
      </c>
      <c r="N67" s="103" t="s">
        <v>1977</v>
      </c>
    </row>
    <row r="68" spans="1:169" ht="15.6">
      <c r="A68" s="24" t="str">
        <v>Big Tree</v>
      </c>
      <c r="B68" s="25" t="str">
        <v>NY</v>
      </c>
      <c r="C68" s="25" t="str">
        <f>Sites[[#This Row],[SOL'#]]</f>
        <v>SOL-10966</v>
      </c>
      <c r="D68" s="20">
        <v>366820</v>
      </c>
      <c r="E68" s="10">
        <v>365800</v>
      </c>
      <c r="F68" s="10">
        <f t="shared" si="0"/>
        <v>1020</v>
      </c>
      <c r="G68" s="55">
        <f t="shared" si="5"/>
        <v>2.7884089666484419E-3</v>
      </c>
      <c r="H68" s="12">
        <v>308895.59999999998</v>
      </c>
      <c r="I68" s="67">
        <f t="shared" si="1"/>
        <v>57924.400000000023</v>
      </c>
      <c r="J68" s="64">
        <f t="shared" si="2"/>
        <v>0.18752096177478744</v>
      </c>
      <c r="K68" s="53" t="s">
        <v>1978</v>
      </c>
      <c r="L68" s="99" t="s">
        <v>1979</v>
      </c>
    </row>
    <row r="69" spans="1:169" ht="15.6">
      <c r="A69" s="26" t="str">
        <v>Canoga</v>
      </c>
      <c r="B69" s="27" t="str">
        <v>NY</v>
      </c>
      <c r="C69" s="27" t="str">
        <f>Sites[[#This Row],[SOL'#]]</f>
        <v>SOL-10965</v>
      </c>
      <c r="D69" s="9">
        <v>924320</v>
      </c>
      <c r="E69" s="14" t="s">
        <v>661</v>
      </c>
      <c r="F69" s="14" t="str">
        <f t="shared" ref="F69:F131" si="6">IF(AND(ISNUMBER(D69),ISNUMBER(E69)), D69-E69, "")</f>
        <v/>
      </c>
      <c r="G69" s="15" t="str">
        <f t="shared" si="5"/>
        <v/>
      </c>
      <c r="H69" s="16">
        <v>0</v>
      </c>
      <c r="I69" s="16">
        <f t="shared" ref="I69:I132" si="7">IF(AND(ISNUMBER(D69),ISNUMBER(H69)), D69-H69, "")</f>
        <v>924320</v>
      </c>
      <c r="J69" s="15" t="str">
        <f t="shared" ref="J69:J132" si="8">IFERROR(I69/H69, "")</f>
        <v/>
      </c>
      <c r="K69" s="51"/>
      <c r="L69" s="51"/>
    </row>
    <row r="70" spans="1:169" ht="28.9">
      <c r="A70" s="24" t="str">
        <v>County Route 84</v>
      </c>
      <c r="B70" s="25" t="str">
        <v>NY</v>
      </c>
      <c r="C70" s="25" t="str">
        <f>Sites[[#This Row],[SOL'#]]</f>
        <v>SOL-10967</v>
      </c>
      <c r="D70" s="20">
        <v>926220</v>
      </c>
      <c r="E70" s="10">
        <v>923630</v>
      </c>
      <c r="F70" s="10">
        <f t="shared" si="6"/>
        <v>2590</v>
      </c>
      <c r="G70" s="55">
        <f t="shared" si="5"/>
        <v>2.8041531782207162E-3</v>
      </c>
      <c r="H70" s="12">
        <v>806605.68400000001</v>
      </c>
      <c r="I70" s="67">
        <f t="shared" si="7"/>
        <v>119614.31599999999</v>
      </c>
      <c r="J70" s="64">
        <f t="shared" si="8"/>
        <v>0.14829342065484377</v>
      </c>
      <c r="K70" s="53" t="s">
        <v>1980</v>
      </c>
      <c r="L70" s="99" t="s">
        <v>1981</v>
      </c>
    </row>
    <row r="71" spans="1:169" s="166" customFormat="1" ht="28.9">
      <c r="A71" s="26" t="str">
        <v>Donati</v>
      </c>
      <c r="B71" s="27" t="str">
        <v>NY</v>
      </c>
      <c r="C71" s="27" t="str">
        <f>Sites[[#This Row],[SOL'#]]</f>
        <v>SOL-10968</v>
      </c>
      <c r="D71" s="66">
        <v>458000</v>
      </c>
      <c r="E71" s="14" t="s">
        <v>661</v>
      </c>
      <c r="F71" s="14" t="str">
        <f t="shared" si="6"/>
        <v/>
      </c>
      <c r="G71" s="68" t="str">
        <f t="shared" si="5"/>
        <v/>
      </c>
      <c r="H71" s="69">
        <v>393379.84600000002</v>
      </c>
      <c r="I71" s="69">
        <f t="shared" si="7"/>
        <v>64620.15399999998</v>
      </c>
      <c r="J71" s="68">
        <f t="shared" si="8"/>
        <v>0.16426910187971341</v>
      </c>
      <c r="K71" s="51" t="s">
        <v>1982</v>
      </c>
      <c r="L71" s="100" t="s">
        <v>1983</v>
      </c>
      <c r="M71" s="103" t="s">
        <v>1984</v>
      </c>
      <c r="N71" s="104"/>
      <c r="O71" s="104"/>
      <c r="P71" s="104"/>
      <c r="Q71" s="104"/>
      <c r="R71" s="104"/>
      <c r="S71" s="104"/>
      <c r="T71" s="104"/>
      <c r="U71" s="104"/>
      <c r="V71" s="104"/>
      <c r="W71" s="104"/>
      <c r="X71" s="104"/>
      <c r="Y71" s="104"/>
      <c r="Z71" s="104"/>
      <c r="AA71" s="104"/>
      <c r="AB71" s="104"/>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row>
    <row r="72" spans="1:169" ht="28.9">
      <c r="A72" s="24" t="str">
        <v>Henrietta</v>
      </c>
      <c r="B72" s="25" t="str">
        <v>NY</v>
      </c>
      <c r="C72" s="25" t="str">
        <f>Sites[[#This Row],[SOL'#]]</f>
        <v>SOL-10972</v>
      </c>
      <c r="D72" s="20">
        <v>838690</v>
      </c>
      <c r="E72" s="10">
        <v>836970</v>
      </c>
      <c r="F72" s="10">
        <f t="shared" si="6"/>
        <v>1720</v>
      </c>
      <c r="G72" s="55">
        <f t="shared" si="5"/>
        <v>2.0550318410456768E-3</v>
      </c>
      <c r="H72" s="12">
        <v>793970.34900000005</v>
      </c>
      <c r="I72" s="67">
        <f t="shared" si="7"/>
        <v>44719.650999999954</v>
      </c>
      <c r="J72" s="64">
        <f t="shared" si="8"/>
        <v>5.6324081946289344E-2</v>
      </c>
      <c r="K72" s="53" t="s">
        <v>1985</v>
      </c>
      <c r="L72" s="99" t="s">
        <v>1986</v>
      </c>
      <c r="M72" s="103" t="s">
        <v>1728</v>
      </c>
    </row>
    <row r="73" spans="1:169" ht="72">
      <c r="A73" s="26" t="str">
        <v>NY 70</v>
      </c>
      <c r="B73" s="27" t="str">
        <v>NY</v>
      </c>
      <c r="C73" s="27" t="str">
        <f>Sites[[#This Row],[SOL'#]]</f>
        <v>SOL-10970</v>
      </c>
      <c r="D73" s="9">
        <v>943650</v>
      </c>
      <c r="E73" s="14">
        <v>941250</v>
      </c>
      <c r="F73" s="14">
        <f t="shared" si="6"/>
        <v>2400</v>
      </c>
      <c r="G73" s="15">
        <f t="shared" si="5"/>
        <v>2.5498007968127491E-3</v>
      </c>
      <c r="H73" s="16">
        <v>820222.13600000006</v>
      </c>
      <c r="I73" s="16">
        <f t="shared" si="7"/>
        <v>123427.86399999994</v>
      </c>
      <c r="J73" s="15">
        <f t="shared" si="8"/>
        <v>0.15048102042444747</v>
      </c>
      <c r="K73" s="51" t="s">
        <v>1987</v>
      </c>
      <c r="L73" s="100" t="s">
        <v>1988</v>
      </c>
      <c r="M73" s="103" t="s">
        <v>1989</v>
      </c>
      <c r="N73" s="103" t="s">
        <v>1732</v>
      </c>
      <c r="O73" s="103" t="s">
        <v>1990</v>
      </c>
    </row>
    <row r="74" spans="1:169" ht="172.9">
      <c r="A74" s="24" t="str">
        <v>Reid</v>
      </c>
      <c r="B74" s="25" t="str">
        <v>NY</v>
      </c>
      <c r="C74" s="25" t="str">
        <f>Sites[[#This Row],[SOL'#]]</f>
        <v>SOL-10991</v>
      </c>
      <c r="D74" s="20">
        <v>755783.02099999995</v>
      </c>
      <c r="E74" s="10">
        <v>407513.82400000002</v>
      </c>
      <c r="F74" s="10">
        <f t="shared" si="6"/>
        <v>348269.19699999993</v>
      </c>
      <c r="G74" s="55">
        <f t="shared" si="5"/>
        <v>0.85461934415260454</v>
      </c>
      <c r="H74" s="12">
        <v>700567.5</v>
      </c>
      <c r="I74" s="67">
        <f t="shared" si="7"/>
        <v>55215.52099999995</v>
      </c>
      <c r="J74" s="64">
        <f t="shared" si="8"/>
        <v>7.881541892822598E-2</v>
      </c>
      <c r="K74" s="53" t="s">
        <v>1991</v>
      </c>
      <c r="L74" s="99" t="s">
        <v>1992</v>
      </c>
      <c r="M74" s="103" t="s">
        <v>1993</v>
      </c>
      <c r="N74" s="103" t="s">
        <v>1994</v>
      </c>
      <c r="O74" s="103" t="s">
        <v>1995</v>
      </c>
      <c r="P74" s="103" t="s">
        <v>1742</v>
      </c>
      <c r="Q74" s="103" t="s">
        <v>1741</v>
      </c>
      <c r="R74" s="103" t="s">
        <v>1996</v>
      </c>
      <c r="S74" s="103" t="s">
        <v>1997</v>
      </c>
      <c r="T74" s="103" t="s">
        <v>1998</v>
      </c>
      <c r="U74" s="103" t="s">
        <v>1739</v>
      </c>
      <c r="V74" s="103" t="s">
        <v>1995</v>
      </c>
    </row>
    <row r="75" spans="1:169" ht="57.6">
      <c r="A75" s="26" t="str">
        <v>Sangolqui</v>
      </c>
      <c r="B75" s="27" t="str">
        <v>NY</v>
      </c>
      <c r="C75" s="27" t="str">
        <f>Sites[[#This Row],[SOL'#]]</f>
        <v>SOL-10975</v>
      </c>
      <c r="D75" s="9">
        <v>66500</v>
      </c>
      <c r="E75" s="14">
        <v>48130</v>
      </c>
      <c r="F75" s="14">
        <f t="shared" si="6"/>
        <v>18370</v>
      </c>
      <c r="G75" s="15">
        <f t="shared" si="5"/>
        <v>0.38167463120714729</v>
      </c>
      <c r="H75" s="16">
        <v>383539.73599999998</v>
      </c>
      <c r="I75" s="16">
        <f t="shared" si="7"/>
        <v>-317039.73599999998</v>
      </c>
      <c r="J75" s="15">
        <f t="shared" si="8"/>
        <v>-0.82661509679925316</v>
      </c>
      <c r="K75" s="51" t="s">
        <v>1999</v>
      </c>
      <c r="L75" s="100" t="s">
        <v>2000</v>
      </c>
      <c r="M75" s="103" t="s">
        <v>2001</v>
      </c>
      <c r="N75" s="103" t="s">
        <v>2002</v>
      </c>
    </row>
    <row r="76" spans="1:169" ht="28.9">
      <c r="A76" s="24" t="str">
        <v>State Highway 17B</v>
      </c>
      <c r="B76" s="25" t="str">
        <v>NY</v>
      </c>
      <c r="C76" s="25" t="str">
        <f>Sites[[#This Row],[SOL'#]]</f>
        <v>SOL-10988</v>
      </c>
      <c r="D76" s="20">
        <v>744680</v>
      </c>
      <c r="E76" s="10">
        <v>715450</v>
      </c>
      <c r="F76" s="10">
        <f t="shared" si="6"/>
        <v>29230</v>
      </c>
      <c r="G76" s="55">
        <f t="shared" si="5"/>
        <v>4.0855405688727371E-2</v>
      </c>
      <c r="H76" s="169" t="s">
        <v>661</v>
      </c>
      <c r="I76" s="67" t="str">
        <f t="shared" si="7"/>
        <v/>
      </c>
      <c r="J76" s="64" t="str">
        <f t="shared" si="8"/>
        <v/>
      </c>
      <c r="K76" s="53" t="s">
        <v>2003</v>
      </c>
      <c r="L76" s="99" t="s">
        <v>2004</v>
      </c>
    </row>
    <row r="77" spans="1:169" ht="72">
      <c r="A77" s="26" t="str">
        <v>State Route 14A</v>
      </c>
      <c r="B77" s="27" t="str">
        <v>NY</v>
      </c>
      <c r="C77" s="27" t="str">
        <f>Sites[[#This Row],[SOL'#]]</f>
        <v>SOL-10997</v>
      </c>
      <c r="D77" s="9">
        <v>0</v>
      </c>
      <c r="E77" s="14">
        <v>0</v>
      </c>
      <c r="F77" s="14">
        <f t="shared" si="6"/>
        <v>0</v>
      </c>
      <c r="G77" s="15" t="str">
        <f t="shared" si="5"/>
        <v/>
      </c>
      <c r="H77" s="16">
        <v>831585.98100000003</v>
      </c>
      <c r="I77" s="16">
        <f t="shared" si="7"/>
        <v>-831585.98100000003</v>
      </c>
      <c r="J77" s="15">
        <f t="shared" si="8"/>
        <v>-1</v>
      </c>
      <c r="K77" s="51" t="s">
        <v>1510</v>
      </c>
      <c r="L77" s="100" t="s">
        <v>2005</v>
      </c>
    </row>
    <row r="78" spans="1:169" ht="28.9">
      <c r="A78" s="24" t="str">
        <v>West Creek</v>
      </c>
      <c r="B78" s="25" t="str">
        <v>NY</v>
      </c>
      <c r="C78" s="25" t="str">
        <f>Sites[[#This Row],[SOL'#]]</f>
        <v>SOL-10995</v>
      </c>
      <c r="D78" s="20">
        <v>986880</v>
      </c>
      <c r="E78" s="10">
        <v>844610</v>
      </c>
      <c r="F78" s="10">
        <f t="shared" si="6"/>
        <v>142270</v>
      </c>
      <c r="G78" s="55">
        <f t="shared" si="5"/>
        <v>0.16844460757035792</v>
      </c>
      <c r="H78" s="12">
        <v>803415.52099999995</v>
      </c>
      <c r="I78" s="67">
        <f t="shared" si="7"/>
        <v>183464.47900000005</v>
      </c>
      <c r="J78" s="64">
        <f t="shared" si="8"/>
        <v>0.22835565682331405</v>
      </c>
      <c r="K78" s="53" t="s">
        <v>2006</v>
      </c>
      <c r="L78" s="53"/>
    </row>
    <row r="79" spans="1:169" ht="28.9">
      <c r="A79" s="26" t="str">
        <v>Wildflower</v>
      </c>
      <c r="B79" s="27" t="str">
        <v>NY</v>
      </c>
      <c r="C79" s="27" t="str">
        <f>Sites[[#This Row],[SOL'#]]</f>
        <v>SOL-10982</v>
      </c>
      <c r="D79" s="9">
        <v>747029</v>
      </c>
      <c r="E79" s="14">
        <v>745204</v>
      </c>
      <c r="F79" s="14">
        <f t="shared" si="6"/>
        <v>1825</v>
      </c>
      <c r="G79" s="15">
        <f t="shared" si="5"/>
        <v>2.4489938325612851E-3</v>
      </c>
      <c r="H79" s="16">
        <v>779828.53</v>
      </c>
      <c r="I79" s="16">
        <f t="shared" si="7"/>
        <v>-32799.530000000028</v>
      </c>
      <c r="J79" s="15">
        <f t="shared" si="8"/>
        <v>-4.2059925660837293E-2</v>
      </c>
      <c r="K79" s="51" t="s">
        <v>2007</v>
      </c>
      <c r="L79" s="100" t="s">
        <v>2008</v>
      </c>
    </row>
    <row r="80" spans="1:169" ht="44.25" customHeight="1">
      <c r="A80" s="24" t="str">
        <v>Glen Mary 1</v>
      </c>
      <c r="B80" s="25" t="str">
        <v>NY</v>
      </c>
      <c r="C80" s="25" t="str">
        <f>Sites[[#This Row],[SOL'#]]</f>
        <v>SOL-10993</v>
      </c>
      <c r="D80" s="20">
        <v>879050</v>
      </c>
      <c r="E80" s="10">
        <v>874930</v>
      </c>
      <c r="F80" s="10">
        <f t="shared" si="6"/>
        <v>4120</v>
      </c>
      <c r="G80" s="55">
        <f t="shared" si="5"/>
        <v>4.7089481444229824E-3</v>
      </c>
      <c r="H80" s="12">
        <v>817647.65700000001</v>
      </c>
      <c r="I80" s="67">
        <f t="shared" si="7"/>
        <v>61402.342999999993</v>
      </c>
      <c r="J80" s="64">
        <f t="shared" si="8"/>
        <v>7.5096335780241816E-2</v>
      </c>
      <c r="K80" s="53"/>
      <c r="L80" s="53"/>
    </row>
    <row r="81" spans="1:15" ht="47.25" customHeight="1">
      <c r="A81" s="26" t="str">
        <v>Glen Mary 2</v>
      </c>
      <c r="B81" s="27" t="str">
        <v>NY</v>
      </c>
      <c r="C81" s="27" t="str">
        <f>Sites[[#This Row],[SOL'#]]</f>
        <v>SOL-10994</v>
      </c>
      <c r="D81" s="9">
        <v>379830</v>
      </c>
      <c r="E81" s="14">
        <v>0</v>
      </c>
      <c r="F81" s="14">
        <f t="shared" si="6"/>
        <v>379830</v>
      </c>
      <c r="G81" s="15" t="str">
        <f t="shared" si="5"/>
        <v/>
      </c>
      <c r="H81" s="16">
        <v>346254.48800000001</v>
      </c>
      <c r="I81" s="16">
        <f t="shared" si="7"/>
        <v>33575.511999999988</v>
      </c>
      <c r="J81" s="15">
        <f t="shared" si="8"/>
        <v>9.696773085580912E-2</v>
      </c>
      <c r="K81" s="51" t="s">
        <v>2009</v>
      </c>
      <c r="L81" s="100" t="s">
        <v>2010</v>
      </c>
    </row>
    <row r="82" spans="1:15" ht="43.15">
      <c r="A82" s="24" t="str">
        <v>Telegraph 1</v>
      </c>
      <c r="B82" s="25" t="str">
        <v>NY</v>
      </c>
      <c r="C82" s="25" t="str">
        <f>Sites[[#This Row],[SOL'#]]</f>
        <v>SOL-11003</v>
      </c>
      <c r="D82" s="54">
        <v>671379</v>
      </c>
      <c r="E82" s="10" t="s">
        <v>661</v>
      </c>
      <c r="F82" s="10" t="str">
        <f t="shared" si="6"/>
        <v/>
      </c>
      <c r="G82" s="55" t="str">
        <f t="shared" ref="G82:G113" si="9">IFERROR(F82/E82, "")</f>
        <v/>
      </c>
      <c r="H82" s="67">
        <v>561734.44700000004</v>
      </c>
      <c r="I82" s="67">
        <f t="shared" si="7"/>
        <v>109644.55299999996</v>
      </c>
      <c r="J82" s="64">
        <f t="shared" si="8"/>
        <v>0.195189299117346</v>
      </c>
      <c r="K82" s="73" t="s">
        <v>2011</v>
      </c>
      <c r="L82" s="101" t="s">
        <v>2012</v>
      </c>
      <c r="M82" s="103" t="s">
        <v>2013</v>
      </c>
    </row>
    <row r="83" spans="1:15" ht="60.75" customHeight="1">
      <c r="A83" s="26" t="str">
        <v>Telegraph 2</v>
      </c>
      <c r="B83" s="27" t="str">
        <v>NY</v>
      </c>
      <c r="C83" s="27" t="str">
        <f>Sites[[#This Row],[SOL'#]]</f>
        <v>SOL-11004</v>
      </c>
      <c r="D83" s="9">
        <v>358560</v>
      </c>
      <c r="E83" s="14" t="s">
        <v>661</v>
      </c>
      <c r="F83" s="14" t="str">
        <f t="shared" si="6"/>
        <v/>
      </c>
      <c r="G83" s="15" t="str">
        <f t="shared" si="9"/>
        <v/>
      </c>
      <c r="H83" s="16">
        <v>291844.72700000001</v>
      </c>
      <c r="I83" s="16">
        <f t="shared" si="7"/>
        <v>66715.272999999986</v>
      </c>
      <c r="J83" s="15">
        <f t="shared" si="8"/>
        <v>0.2285985211581362</v>
      </c>
      <c r="K83" s="51" t="s">
        <v>2014</v>
      </c>
      <c r="L83" s="100" t="s">
        <v>2015</v>
      </c>
      <c r="M83" s="103" t="s">
        <v>1771</v>
      </c>
      <c r="N83" s="103" t="s">
        <v>2016</v>
      </c>
      <c r="O83" s="103" t="s">
        <v>2017</v>
      </c>
    </row>
    <row r="84" spans="1:15" ht="15.6">
      <c r="A84" s="24" t="str">
        <v>Cafferty Hill</v>
      </c>
      <c r="B84" s="25" t="str">
        <v>NY</v>
      </c>
      <c r="C84" s="25" t="str">
        <f>Sites[[#This Row],[SOL'#]]</f>
        <v>SOL-10996</v>
      </c>
      <c r="D84" s="54">
        <v>876020</v>
      </c>
      <c r="E84" s="10">
        <v>906739.44</v>
      </c>
      <c r="F84" s="10">
        <f t="shared" si="6"/>
        <v>-30719.439999999944</v>
      </c>
      <c r="G84" s="55">
        <f t="shared" si="9"/>
        <v>-3.3879016004862372E-2</v>
      </c>
      <c r="H84" s="67">
        <v>793235.02599999995</v>
      </c>
      <c r="I84" s="67">
        <f t="shared" si="7"/>
        <v>82784.974000000046</v>
      </c>
      <c r="J84" s="64">
        <f t="shared" si="8"/>
        <v>0.10436373998442178</v>
      </c>
      <c r="K84" s="73"/>
      <c r="L84" s="73"/>
    </row>
    <row r="85" spans="1:15" ht="43.15">
      <c r="A85" s="26" t="str">
        <v>Dunkleman</v>
      </c>
      <c r="B85" s="27" t="str">
        <v>NY</v>
      </c>
      <c r="C85" s="27" t="str">
        <f>Sites[[#This Row],[SOL'#]]</f>
        <v>SOL-11008</v>
      </c>
      <c r="D85" s="9">
        <v>1056180</v>
      </c>
      <c r="E85" s="14">
        <v>1052940</v>
      </c>
      <c r="F85" s="14">
        <f t="shared" si="6"/>
        <v>3240</v>
      </c>
      <c r="G85" s="15">
        <f t="shared" si="9"/>
        <v>3.0770984101658213E-3</v>
      </c>
      <c r="H85" s="16">
        <v>883883.24899999995</v>
      </c>
      <c r="I85" s="16">
        <f t="shared" si="7"/>
        <v>172296.75100000005</v>
      </c>
      <c r="J85" s="15">
        <f t="shared" si="8"/>
        <v>0.19493157178273446</v>
      </c>
      <c r="K85" s="51" t="s">
        <v>2018</v>
      </c>
      <c r="L85" s="100" t="s">
        <v>2019</v>
      </c>
    </row>
    <row r="86" spans="1:15" ht="57.6">
      <c r="A86" s="24" t="str">
        <v>Route 19 1</v>
      </c>
      <c r="B86" s="25" t="str">
        <v>NY</v>
      </c>
      <c r="C86" s="25" t="str">
        <f>Sites[[#This Row],[SOL'#]]</f>
        <v>SOL-11001</v>
      </c>
      <c r="D86" s="54">
        <v>226090</v>
      </c>
      <c r="E86" s="10">
        <v>225640</v>
      </c>
      <c r="F86" s="10">
        <f t="shared" si="6"/>
        <v>450</v>
      </c>
      <c r="G86" s="55">
        <f t="shared" si="9"/>
        <v>1.9943272469420317E-3</v>
      </c>
      <c r="H86" s="67">
        <v>358017.67200000002</v>
      </c>
      <c r="I86" s="67">
        <f t="shared" si="7"/>
        <v>-131927.67200000002</v>
      </c>
      <c r="J86" s="64">
        <f t="shared" si="8"/>
        <v>-0.36849486022019612</v>
      </c>
      <c r="K86" s="73" t="s">
        <v>2020</v>
      </c>
      <c r="L86" s="101" t="s">
        <v>2021</v>
      </c>
      <c r="M86" s="103" t="s">
        <v>2022</v>
      </c>
    </row>
    <row r="87" spans="1:15" ht="39" customHeight="1">
      <c r="A87" s="26" t="str">
        <v>Route 19 2</v>
      </c>
      <c r="B87" s="27" t="str">
        <v>NY</v>
      </c>
      <c r="C87" s="27" t="str">
        <f>Sites[[#This Row],[SOL'#]]</f>
        <v>SOL-11002</v>
      </c>
      <c r="D87" s="9">
        <v>1022560</v>
      </c>
      <c r="E87" s="14">
        <v>1019080</v>
      </c>
      <c r="F87" s="14">
        <f t="shared" si="6"/>
        <v>3480</v>
      </c>
      <c r="G87" s="15">
        <f t="shared" si="9"/>
        <v>3.4148447619421437E-3</v>
      </c>
      <c r="H87" s="16">
        <v>888708.56400000001</v>
      </c>
      <c r="I87" s="16">
        <f t="shared" si="7"/>
        <v>133851.43599999999</v>
      </c>
      <c r="J87" s="15">
        <f t="shared" si="8"/>
        <v>0.15061341976670767</v>
      </c>
      <c r="K87" s="51" t="s">
        <v>2023</v>
      </c>
      <c r="L87" s="100" t="s">
        <v>2024</v>
      </c>
    </row>
    <row r="88" spans="1:15" ht="28.9">
      <c r="A88" s="24" t="str">
        <v>Yellow Mills 1</v>
      </c>
      <c r="B88" s="25" t="str">
        <v>NY</v>
      </c>
      <c r="C88" s="25" t="str">
        <f>Sites[[#This Row],[SOL'#]]</f>
        <v>SOL-11006</v>
      </c>
      <c r="D88" s="20">
        <v>107931</v>
      </c>
      <c r="E88" s="10">
        <v>106753</v>
      </c>
      <c r="F88" s="10">
        <f t="shared" si="6"/>
        <v>1178</v>
      </c>
      <c r="G88" s="55">
        <f t="shared" si="9"/>
        <v>1.1034818693619851E-2</v>
      </c>
      <c r="H88" s="12">
        <v>329702.79800000001</v>
      </c>
      <c r="I88" s="67">
        <f t="shared" si="7"/>
        <v>-221771.79800000001</v>
      </c>
      <c r="J88" s="64">
        <f t="shared" si="8"/>
        <v>-0.67264154063988257</v>
      </c>
      <c r="K88" s="73" t="s">
        <v>2025</v>
      </c>
      <c r="L88" s="99" t="s">
        <v>2026</v>
      </c>
    </row>
    <row r="89" spans="1:15" ht="43.15">
      <c r="A89" s="26" t="str">
        <v>Yellow Mills 2</v>
      </c>
      <c r="B89" s="27" t="str">
        <v>NY</v>
      </c>
      <c r="C89" s="27" t="str">
        <f>Sites[[#This Row],[SOL'#]]</f>
        <v>SOL-11005</v>
      </c>
      <c r="D89" s="9">
        <v>105779</v>
      </c>
      <c r="E89" s="14" t="s">
        <v>661</v>
      </c>
      <c r="F89" s="14" t="str">
        <f t="shared" si="6"/>
        <v/>
      </c>
      <c r="G89" s="15" t="str">
        <f t="shared" si="9"/>
        <v/>
      </c>
      <c r="H89" s="16">
        <v>342267.64299999998</v>
      </c>
      <c r="I89" s="16">
        <f t="shared" si="7"/>
        <v>-236488.64299999998</v>
      </c>
      <c r="J89" s="15">
        <f t="shared" si="8"/>
        <v>-0.69094653799921135</v>
      </c>
      <c r="K89" s="51" t="s">
        <v>2027</v>
      </c>
      <c r="L89" s="100" t="s">
        <v>2028</v>
      </c>
      <c r="M89" s="103" t="s">
        <v>2029</v>
      </c>
    </row>
    <row r="90" spans="1:15" ht="28.9">
      <c r="A90" s="24" t="str">
        <v>Yellow Mills 3</v>
      </c>
      <c r="B90" s="25" t="str">
        <v>NY</v>
      </c>
      <c r="C90" s="25" t="str">
        <f>Sites[[#This Row],[SOL'#]]</f>
        <v>SOL-11007</v>
      </c>
      <c r="D90" s="54">
        <v>101186</v>
      </c>
      <c r="E90" s="10">
        <v>84818</v>
      </c>
      <c r="F90" s="10">
        <f>IF(AND(ISNUMBER(D90),ISNUMBER(E90)), D90-E90, "")</f>
        <v>16368</v>
      </c>
      <c r="G90" s="55">
        <f t="shared" si="9"/>
        <v>0.19297790563323822</v>
      </c>
      <c r="H90" s="67">
        <v>326250.23800000001</v>
      </c>
      <c r="I90" s="67">
        <f t="shared" si="7"/>
        <v>-225064.23800000001</v>
      </c>
      <c r="J90" s="64">
        <f t="shared" si="8"/>
        <v>-0.68985156725004448</v>
      </c>
      <c r="K90" s="73" t="s">
        <v>2025</v>
      </c>
      <c r="L90" s="101" t="s">
        <v>2030</v>
      </c>
    </row>
    <row r="91" spans="1:15" ht="15.6">
      <c r="A91" s="26" t="str">
        <v>Catskill</v>
      </c>
      <c r="B91" s="27" t="str">
        <v>NY</v>
      </c>
      <c r="C91" s="27" t="str">
        <f>Sites[[#This Row],[SOL'#]]</f>
        <v>SOL-11021</v>
      </c>
      <c r="D91" s="9">
        <v>471584</v>
      </c>
      <c r="E91" s="14" t="s">
        <v>661</v>
      </c>
      <c r="F91" s="14" t="str">
        <f t="shared" si="6"/>
        <v/>
      </c>
      <c r="G91" s="15" t="str">
        <f t="shared" si="9"/>
        <v/>
      </c>
      <c r="H91" s="16">
        <v>627325.80799999996</v>
      </c>
      <c r="I91" s="16">
        <f t="shared" si="7"/>
        <v>-155741.80799999996</v>
      </c>
      <c r="J91" s="15">
        <f t="shared" si="8"/>
        <v>-0.24826303336144584</v>
      </c>
      <c r="K91" s="51" t="s">
        <v>2031</v>
      </c>
      <c r="L91" s="100" t="s">
        <v>2032</v>
      </c>
    </row>
    <row r="92" spans="1:15" ht="15.6">
      <c r="A92" s="24" t="str">
        <v>Eddy Ridge</v>
      </c>
      <c r="B92" s="25" t="str">
        <v>NY</v>
      </c>
      <c r="C92" s="25" t="str">
        <f>Sites[[#This Row],[SOL'#]]</f>
        <v>SOL-11054</v>
      </c>
      <c r="D92" s="20">
        <v>427871</v>
      </c>
      <c r="E92" s="10">
        <v>425818</v>
      </c>
      <c r="F92" s="10">
        <f t="shared" si="6"/>
        <v>2053</v>
      </c>
      <c r="G92" s="55">
        <f t="shared" si="9"/>
        <v>4.8213086342052238E-3</v>
      </c>
      <c r="H92" s="12">
        <v>447750</v>
      </c>
      <c r="I92" s="67">
        <f t="shared" si="7"/>
        <v>-19879</v>
      </c>
      <c r="J92" s="64">
        <f t="shared" si="8"/>
        <v>-4.4397543271915134E-2</v>
      </c>
      <c r="K92" s="53" t="s">
        <v>1788</v>
      </c>
      <c r="L92" s="99" t="s">
        <v>2033</v>
      </c>
    </row>
    <row r="93" spans="1:15" ht="45" customHeight="1">
      <c r="A93" s="26" t="str">
        <v>Ridgeway #1</v>
      </c>
      <c r="B93" s="27" t="str">
        <v>NY</v>
      </c>
      <c r="C93" s="27" t="str">
        <f>Sites[[#This Row],[SOL'#]]</f>
        <v>SOL-11018</v>
      </c>
      <c r="D93" s="9">
        <v>1147207</v>
      </c>
      <c r="E93" s="14">
        <v>1142921</v>
      </c>
      <c r="F93" s="14">
        <f t="shared" si="6"/>
        <v>4286</v>
      </c>
      <c r="G93" s="15">
        <f t="shared" si="9"/>
        <v>3.7500404664889348E-3</v>
      </c>
      <c r="H93" s="16">
        <v>1142921</v>
      </c>
      <c r="I93" s="16">
        <f t="shared" si="7"/>
        <v>4286</v>
      </c>
      <c r="J93" s="15">
        <f t="shared" si="8"/>
        <v>3.7500404664889348E-3</v>
      </c>
      <c r="K93" s="51" t="s">
        <v>2034</v>
      </c>
      <c r="L93" s="100" t="s">
        <v>2035</v>
      </c>
    </row>
    <row r="94" spans="1:15" ht="15.6">
      <c r="A94" s="24" t="str">
        <v>Rivard 1</v>
      </c>
      <c r="B94" s="25" t="str">
        <v>NY</v>
      </c>
      <c r="C94" s="25" t="str">
        <f>Sites[[#This Row],[SOL'#]]</f>
        <v>SOL-11011</v>
      </c>
      <c r="D94" s="20">
        <v>854070.36499999999</v>
      </c>
      <c r="E94" s="10">
        <v>928806.68</v>
      </c>
      <c r="F94" s="10">
        <f t="shared" si="6"/>
        <v>-74736.315000000061</v>
      </c>
      <c r="G94" s="55">
        <f t="shared" si="9"/>
        <v>-8.0464876716864323E-2</v>
      </c>
      <c r="H94" s="12">
        <v>724471.91</v>
      </c>
      <c r="I94" s="67">
        <f t="shared" si="7"/>
        <v>129598.45499999996</v>
      </c>
      <c r="J94" s="64">
        <f t="shared" si="8"/>
        <v>0.17888679079358641</v>
      </c>
      <c r="K94" s="53"/>
      <c r="L94" s="53"/>
    </row>
    <row r="95" spans="1:15" ht="15.6">
      <c r="A95" s="26" t="str">
        <v>Rivard 2</v>
      </c>
      <c r="B95" s="27" t="str">
        <v>NY</v>
      </c>
      <c r="C95" s="27" t="str">
        <f>Sites[[#This Row],[SOL'#]]</f>
        <v>SOL-11012</v>
      </c>
      <c r="D95" s="9">
        <v>876610.97</v>
      </c>
      <c r="E95" s="14">
        <v>857273.84</v>
      </c>
      <c r="F95" s="14">
        <f t="shared" si="6"/>
        <v>19337.130000000005</v>
      </c>
      <c r="G95" s="15">
        <f t="shared" si="9"/>
        <v>2.2556538060230561E-2</v>
      </c>
      <c r="H95" s="16">
        <v>693618.81</v>
      </c>
      <c r="I95" s="16">
        <f t="shared" si="7"/>
        <v>182992.15999999992</v>
      </c>
      <c r="J95" s="15">
        <f t="shared" si="8"/>
        <v>0.26382237240653827</v>
      </c>
      <c r="K95" s="51"/>
      <c r="L95" s="52"/>
    </row>
    <row r="96" spans="1:15" ht="15.6">
      <c r="A96" s="24" t="str">
        <v>Ridgeway #2</v>
      </c>
      <c r="B96" s="25" t="str">
        <v>NY</v>
      </c>
      <c r="C96" s="25" t="str">
        <f>Sites[[#This Row],[SOL'#]]</f>
        <v>SOL-11027</v>
      </c>
      <c r="D96" s="20">
        <v>576344</v>
      </c>
      <c r="E96" s="10">
        <v>574553</v>
      </c>
      <c r="F96" s="10">
        <f t="shared" si="6"/>
        <v>1791</v>
      </c>
      <c r="G96" s="55">
        <f t="shared" si="9"/>
        <v>3.1172058974541948E-3</v>
      </c>
      <c r="H96" s="12">
        <v>492013.43</v>
      </c>
      <c r="I96" s="67">
        <f t="shared" si="7"/>
        <v>84330.57</v>
      </c>
      <c r="J96" s="64">
        <f t="shared" si="8"/>
        <v>0.17139891892788375</v>
      </c>
      <c r="K96" s="53"/>
      <c r="L96" s="53"/>
    </row>
    <row r="97" spans="1:76" ht="28.9">
      <c r="A97" s="26" t="str">
        <v>Spencer</v>
      </c>
      <c r="B97" s="27" t="str">
        <v>NY</v>
      </c>
      <c r="C97" s="27" t="str">
        <f>Sites[[#This Row],[SOL'#]]</f>
        <v>SOL-11017</v>
      </c>
      <c r="D97" s="9">
        <v>675104.05</v>
      </c>
      <c r="E97" s="14">
        <v>672343.15</v>
      </c>
      <c r="F97" s="14">
        <f t="shared" si="6"/>
        <v>2760.9000000000233</v>
      </c>
      <c r="G97" s="15">
        <f t="shared" si="9"/>
        <v>4.1063852587774905E-3</v>
      </c>
      <c r="H97" s="16">
        <v>936295</v>
      </c>
      <c r="I97" s="16">
        <f t="shared" si="7"/>
        <v>-261190.94999999995</v>
      </c>
      <c r="J97" s="15">
        <f t="shared" si="8"/>
        <v>-0.27896223946512577</v>
      </c>
      <c r="K97" s="51" t="s">
        <v>2036</v>
      </c>
      <c r="L97" s="100" t="s">
        <v>2037</v>
      </c>
    </row>
    <row r="98" spans="1:76" ht="15.6">
      <c r="A98" s="24" t="str">
        <v>Reisender</v>
      </c>
      <c r="B98" s="25" t="str">
        <v>NY</v>
      </c>
      <c r="C98" s="25" t="str">
        <f>Sites[[#This Row],[SOL'#]]</f>
        <v>SOL-10886</v>
      </c>
      <c r="D98" s="20">
        <v>334820</v>
      </c>
      <c r="E98" s="10">
        <v>334730</v>
      </c>
      <c r="F98" s="10">
        <f t="shared" si="6"/>
        <v>90</v>
      </c>
      <c r="G98" s="55">
        <f t="shared" si="9"/>
        <v>2.6887342036865534E-4</v>
      </c>
      <c r="H98" s="12">
        <v>325840.16700000002</v>
      </c>
      <c r="I98" s="67">
        <f t="shared" si="7"/>
        <v>8979.8329999999842</v>
      </c>
      <c r="J98" s="64">
        <f t="shared" si="8"/>
        <v>2.7559011777697696E-2</v>
      </c>
      <c r="K98" s="53"/>
      <c r="L98" s="53"/>
    </row>
    <row r="99" spans="1:76" ht="57.6">
      <c r="A99" s="26" t="str">
        <v>Finney</v>
      </c>
      <c r="B99" s="27" t="str">
        <v>NY</v>
      </c>
      <c r="C99" s="27" t="str">
        <f>Sites[[#This Row],[SOL'#]]</f>
        <v>SOL-10999</v>
      </c>
      <c r="D99" s="9">
        <v>297560</v>
      </c>
      <c r="E99" s="14">
        <v>285270</v>
      </c>
      <c r="F99" s="14">
        <f t="shared" si="6"/>
        <v>12290</v>
      </c>
      <c r="G99" s="15">
        <f t="shared" si="9"/>
        <v>4.3081992498334908E-2</v>
      </c>
      <c r="H99" s="16">
        <v>962613.79</v>
      </c>
      <c r="I99" s="16">
        <f t="shared" si="7"/>
        <v>-665053.79</v>
      </c>
      <c r="J99" s="15">
        <f t="shared" si="8"/>
        <v>-0.69088329806702642</v>
      </c>
      <c r="K99" s="51" t="s">
        <v>2038</v>
      </c>
      <c r="L99" s="100" t="s">
        <v>2039</v>
      </c>
      <c r="M99" s="103" t="s">
        <v>2040</v>
      </c>
      <c r="N99" s="103" t="s">
        <v>2041</v>
      </c>
    </row>
    <row r="100" spans="1:76" ht="57.6">
      <c r="A100" s="24" t="str">
        <v>Davis Solar</v>
      </c>
      <c r="B100" s="25" t="str">
        <v>NY</v>
      </c>
      <c r="C100" s="25" t="str">
        <f>Sites[[#This Row],[SOL'#]]</f>
        <v>SOL-10958</v>
      </c>
      <c r="D100" s="20">
        <v>350384</v>
      </c>
      <c r="E100" s="10">
        <v>374766.43</v>
      </c>
      <c r="F100" s="10">
        <f t="shared" si="6"/>
        <v>-24382.429999999993</v>
      </c>
      <c r="G100" s="55">
        <f t="shared" si="9"/>
        <v>-6.506033638071583E-2</v>
      </c>
      <c r="H100" s="12">
        <v>368671</v>
      </c>
      <c r="I100" s="67">
        <f t="shared" si="7"/>
        <v>-18287</v>
      </c>
      <c r="J100" s="64">
        <f t="shared" si="8"/>
        <v>-4.9602491109959831E-2</v>
      </c>
      <c r="K100" s="53" t="s">
        <v>2042</v>
      </c>
      <c r="L100" s="99" t="s">
        <v>2043</v>
      </c>
    </row>
    <row r="101" spans="1:76" ht="15.6">
      <c r="A101" s="26" t="str">
        <v>Genesee</v>
      </c>
      <c r="B101" s="27" t="str">
        <v>NY</v>
      </c>
      <c r="C101" s="27" t="str">
        <f>Sites[[#This Row],[SOL'#]]</f>
        <v>SOL-10951</v>
      </c>
      <c r="D101" s="9">
        <v>745988</v>
      </c>
      <c r="E101" s="14">
        <v>744584.55</v>
      </c>
      <c r="F101" s="14">
        <f t="shared" si="6"/>
        <v>1403.4499999999534</v>
      </c>
      <c r="G101" s="15">
        <f t="shared" si="9"/>
        <v>1.8848766066928912E-3</v>
      </c>
      <c r="H101" s="16">
        <v>725375.63800000004</v>
      </c>
      <c r="I101" s="16">
        <f t="shared" si="7"/>
        <v>20612.361999999965</v>
      </c>
      <c r="J101" s="15">
        <f t="shared" si="8"/>
        <v>2.8416121138052287E-2</v>
      </c>
      <c r="K101" s="51" t="s">
        <v>1804</v>
      </c>
      <c r="L101" s="100" t="s">
        <v>2044</v>
      </c>
    </row>
    <row r="102" spans="1:76" ht="15.6">
      <c r="A102" s="24" t="str">
        <v>Landau I</v>
      </c>
      <c r="B102" s="25" t="str">
        <v>NY</v>
      </c>
      <c r="C102" s="25" t="str">
        <f>Sites[[#This Row],[SOL'#]]</f>
        <v>SOL-10891</v>
      </c>
      <c r="D102" s="20">
        <v>349600</v>
      </c>
      <c r="E102" s="10" t="s">
        <v>661</v>
      </c>
      <c r="F102" s="10" t="str">
        <f t="shared" si="6"/>
        <v/>
      </c>
      <c r="G102" s="55" t="str">
        <f t="shared" si="9"/>
        <v/>
      </c>
      <c r="H102" s="12">
        <v>351386.53700000001</v>
      </c>
      <c r="I102" s="67">
        <f t="shared" si="7"/>
        <v>-1786.5370000000112</v>
      </c>
      <c r="J102" s="64">
        <f t="shared" si="8"/>
        <v>-5.0842499978876856E-3</v>
      </c>
      <c r="K102" s="53"/>
      <c r="L102" s="53"/>
    </row>
    <row r="103" spans="1:76" s="166" customFormat="1" ht="15.6">
      <c r="A103" s="26" t="str">
        <v>Landau II</v>
      </c>
      <c r="B103" s="27" t="str">
        <v>NY</v>
      </c>
      <c r="C103" s="27" t="str">
        <f>Sites[[#This Row],[SOL'#]]</f>
        <v>SOL-10895</v>
      </c>
      <c r="D103" s="66">
        <v>540650</v>
      </c>
      <c r="E103" s="14" t="s">
        <v>661</v>
      </c>
      <c r="F103" s="14" t="str">
        <f t="shared" si="6"/>
        <v/>
      </c>
      <c r="G103" s="68" t="str">
        <f t="shared" si="9"/>
        <v/>
      </c>
      <c r="H103" s="168" t="s">
        <v>661</v>
      </c>
      <c r="I103" s="69" t="str">
        <f t="shared" si="7"/>
        <v/>
      </c>
      <c r="J103" s="68" t="str">
        <f t="shared" si="8"/>
        <v/>
      </c>
      <c r="K103" s="51"/>
      <c r="L103" s="51"/>
      <c r="M103" s="104"/>
      <c r="N103" s="104"/>
      <c r="O103" s="104"/>
      <c r="P103" s="104"/>
      <c r="Q103" s="104"/>
      <c r="R103" s="104"/>
      <c r="S103" s="104"/>
      <c r="T103" s="104"/>
      <c r="U103" s="104"/>
      <c r="V103" s="104"/>
      <c r="W103" s="104"/>
      <c r="X103" s="104"/>
      <c r="Y103" s="104"/>
      <c r="Z103" s="104"/>
      <c r="AA103" s="104"/>
      <c r="AB103" s="104"/>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row>
    <row r="104" spans="1:76" ht="40.5" customHeight="1">
      <c r="A104" s="24" t="str">
        <v>New Beginnings</v>
      </c>
      <c r="B104" s="25" t="str">
        <v>NY</v>
      </c>
      <c r="C104" s="25" t="str">
        <f>Sites[[#This Row],[SOL'#]]</f>
        <v>SOL-10890</v>
      </c>
      <c r="D104" s="20">
        <v>344350</v>
      </c>
      <c r="E104" s="10">
        <v>344300</v>
      </c>
      <c r="F104" s="10">
        <f t="shared" si="6"/>
        <v>50</v>
      </c>
      <c r="G104" s="55">
        <f t="shared" si="9"/>
        <v>1.4522218995062446E-4</v>
      </c>
      <c r="H104" s="12">
        <v>343001.80699999997</v>
      </c>
      <c r="I104" s="67">
        <f t="shared" si="7"/>
        <v>1348.1930000000284</v>
      </c>
      <c r="J104" s="64">
        <f t="shared" si="8"/>
        <v>3.9305711296151527E-3</v>
      </c>
      <c r="K104" s="53"/>
      <c r="L104" s="53"/>
    </row>
    <row r="105" spans="1:76" ht="15.6">
      <c r="A105" s="26" t="str">
        <v>Bullitt Farm Solar, LLC</v>
      </c>
      <c r="B105" s="27" t="str">
        <v>NY</v>
      </c>
      <c r="C105" s="27" t="str">
        <f>Sites[[#This Row],[SOL'#]]</f>
        <v>SOL-10998</v>
      </c>
      <c r="D105" s="9">
        <v>365107</v>
      </c>
      <c r="E105" s="14">
        <v>383050.13400000002</v>
      </c>
      <c r="F105" s="14">
        <f t="shared" si="6"/>
        <v>-17943.13400000002</v>
      </c>
      <c r="G105" s="15">
        <f t="shared" si="9"/>
        <v>-4.6842782203543147E-2</v>
      </c>
      <c r="H105" s="16">
        <v>403105.53</v>
      </c>
      <c r="I105" s="16">
        <f t="shared" si="7"/>
        <v>-37998.530000000028</v>
      </c>
      <c r="J105" s="15">
        <f t="shared" si="8"/>
        <v>-9.4264472134629421E-2</v>
      </c>
      <c r="K105" s="51"/>
      <c r="L105" s="52"/>
    </row>
    <row r="106" spans="1:76" ht="15.6">
      <c r="A106" s="24" t="str">
        <v>Brodhead Solar, LLC</v>
      </c>
      <c r="B106" s="25" t="str">
        <v>NY</v>
      </c>
      <c r="C106" s="25" t="str">
        <f>Sites[[#This Row],[SOL'#]]</f>
        <v>SOL-10899</v>
      </c>
      <c r="D106" s="20">
        <v>977279</v>
      </c>
      <c r="E106" s="10">
        <v>1028065.607</v>
      </c>
      <c r="F106" s="10">
        <f t="shared" si="6"/>
        <v>-50786.60699999996</v>
      </c>
      <c r="G106" s="55">
        <f t="shared" si="9"/>
        <v>-4.9400161482106623E-2</v>
      </c>
      <c r="H106" s="12">
        <v>871698.31</v>
      </c>
      <c r="I106" s="67">
        <f t="shared" si="7"/>
        <v>105580.68999999994</v>
      </c>
      <c r="J106" s="64">
        <f t="shared" si="8"/>
        <v>0.12112067763444435</v>
      </c>
      <c r="K106" s="53"/>
      <c r="L106" s="53"/>
    </row>
    <row r="107" spans="1:76" ht="15.6">
      <c r="A107" s="26" t="str">
        <v>Svenski</v>
      </c>
      <c r="B107" s="27" t="str">
        <v>NY</v>
      </c>
      <c r="C107" s="27" t="str">
        <f>Sites[[#This Row],[SOL'#]]</f>
        <v>SOL-10894</v>
      </c>
      <c r="D107" s="9">
        <v>360081</v>
      </c>
      <c r="E107" s="14" t="s">
        <v>661</v>
      </c>
      <c r="F107" s="14" t="str">
        <f t="shared" si="6"/>
        <v/>
      </c>
      <c r="G107" s="15" t="str">
        <f t="shared" si="9"/>
        <v/>
      </c>
      <c r="H107" s="16">
        <v>351104.11099999998</v>
      </c>
      <c r="I107" s="16">
        <f t="shared" si="7"/>
        <v>8976.8890000000247</v>
      </c>
      <c r="J107" s="15">
        <f t="shared" si="8"/>
        <v>2.5567598665912589E-2</v>
      </c>
      <c r="K107" s="51"/>
      <c r="L107" s="97"/>
    </row>
    <row r="108" spans="1:76" ht="86.45">
      <c r="A108" s="24" t="str">
        <v>Bantam</v>
      </c>
      <c r="B108" s="25" t="str">
        <v>NY</v>
      </c>
      <c r="C108" s="25" t="str">
        <f>Sites[[#This Row],[SOL'#]]</f>
        <v>SOL-10986</v>
      </c>
      <c r="D108" s="20">
        <v>32790</v>
      </c>
      <c r="E108" s="10">
        <v>689420</v>
      </c>
      <c r="F108" s="10">
        <f t="shared" si="6"/>
        <v>-656630</v>
      </c>
      <c r="G108" s="55">
        <f t="shared" si="9"/>
        <v>-0.9524382814539758</v>
      </c>
      <c r="H108" s="12">
        <v>926335.49300000002</v>
      </c>
      <c r="I108" s="67">
        <f t="shared" si="7"/>
        <v>-893545.49300000002</v>
      </c>
      <c r="J108" s="64">
        <f t="shared" si="8"/>
        <v>-0.96460245748135232</v>
      </c>
      <c r="K108" s="53" t="s">
        <v>2045</v>
      </c>
      <c r="L108" s="99" t="s">
        <v>2046</v>
      </c>
      <c r="M108" s="103" t="s">
        <v>2047</v>
      </c>
      <c r="N108" s="103" t="s">
        <v>2048</v>
      </c>
    </row>
    <row r="109" spans="1:76" ht="15.6">
      <c r="A109" s="26" t="str">
        <v>Bogart</v>
      </c>
      <c r="B109" s="27" t="str">
        <v>NY</v>
      </c>
      <c r="C109" s="27" t="str">
        <f>Sites[[#This Row],[SOL'#]]</f>
        <v>SOL-10887</v>
      </c>
      <c r="D109" s="9">
        <v>349730</v>
      </c>
      <c r="E109" s="14">
        <v>348570</v>
      </c>
      <c r="F109" s="14">
        <f t="shared" si="6"/>
        <v>1160</v>
      </c>
      <c r="G109" s="15">
        <f t="shared" si="9"/>
        <v>3.3278824913216859E-3</v>
      </c>
      <c r="H109" s="16">
        <v>340590.93900000001</v>
      </c>
      <c r="I109" s="16">
        <f t="shared" si="7"/>
        <v>9139.060999999987</v>
      </c>
      <c r="J109" s="15">
        <f t="shared" si="8"/>
        <v>2.6832954002924861E-2</v>
      </c>
      <c r="K109" s="51"/>
      <c r="L109" s="97"/>
    </row>
    <row r="110" spans="1:76" ht="26.45">
      <c r="A110" s="24" t="str">
        <v>Dubois</v>
      </c>
      <c r="B110" s="25" t="str">
        <v>NY</v>
      </c>
      <c r="C110" s="25" t="str">
        <f>Sites[[#This Row],[SOL'#]]</f>
        <v>SOL-10892</v>
      </c>
      <c r="D110" s="20"/>
      <c r="E110" s="10"/>
      <c r="F110" s="10" t="str">
        <f t="shared" si="6"/>
        <v/>
      </c>
      <c r="G110" s="55" t="str">
        <f t="shared" si="9"/>
        <v/>
      </c>
      <c r="H110" s="12"/>
      <c r="I110" s="67" t="str">
        <f t="shared" si="7"/>
        <v/>
      </c>
      <c r="J110" s="64" t="str">
        <f t="shared" si="8"/>
        <v/>
      </c>
      <c r="K110" s="53" t="s">
        <v>1817</v>
      </c>
      <c r="L110" s="99" t="s">
        <v>1818</v>
      </c>
      <c r="M110" s="103" t="s">
        <v>1819</v>
      </c>
    </row>
    <row r="111" spans="1:76" ht="86.45">
      <c r="A111" s="26" t="str">
        <v>Salt Point</v>
      </c>
      <c r="B111" s="27" t="str">
        <v>NY</v>
      </c>
      <c r="C111" s="27" t="str">
        <f>Sites[[#This Row],[SOL'#]]</f>
        <v>SOL-10888</v>
      </c>
      <c r="D111" s="9">
        <v>288960</v>
      </c>
      <c r="E111" s="14">
        <v>288960</v>
      </c>
      <c r="F111" s="14">
        <f t="shared" si="6"/>
        <v>0</v>
      </c>
      <c r="G111" s="15">
        <f t="shared" si="9"/>
        <v>0</v>
      </c>
      <c r="H111" s="16">
        <v>373365.48700000002</v>
      </c>
      <c r="I111" s="16">
        <f t="shared" si="7"/>
        <v>-84405.487000000023</v>
      </c>
      <c r="J111" s="15">
        <f t="shared" si="8"/>
        <v>-0.22606665570028978</v>
      </c>
      <c r="K111" s="51" t="s">
        <v>2049</v>
      </c>
      <c r="L111" s="100" t="s">
        <v>2050</v>
      </c>
      <c r="M111" s="103" t="s">
        <v>2051</v>
      </c>
      <c r="N111" s="103" t="s">
        <v>2052</v>
      </c>
      <c r="O111" s="103" t="s">
        <v>2053</v>
      </c>
      <c r="P111" s="103" t="s">
        <v>2054</v>
      </c>
      <c r="Q111" s="103" t="s">
        <v>2055</v>
      </c>
    </row>
    <row r="112" spans="1:76" ht="57.6">
      <c r="A112" s="24" t="str">
        <v>Wheatland 2A</v>
      </c>
      <c r="B112" s="25" t="str">
        <v>NY</v>
      </c>
      <c r="C112" s="25" t="str">
        <f>Sites[[#This Row],[SOL'#]]</f>
        <v>SOL-10971</v>
      </c>
      <c r="D112" s="20">
        <v>777430</v>
      </c>
      <c r="E112" s="10">
        <v>775310</v>
      </c>
      <c r="F112" s="10">
        <f t="shared" si="6"/>
        <v>2120</v>
      </c>
      <c r="G112" s="55">
        <f t="shared" si="9"/>
        <v>2.7343901149217732E-3</v>
      </c>
      <c r="H112" s="12">
        <v>814850.22499999998</v>
      </c>
      <c r="I112" s="67">
        <f t="shared" si="7"/>
        <v>-37420.224999999977</v>
      </c>
      <c r="J112" s="64">
        <f t="shared" si="8"/>
        <v>-4.5922825878829419E-2</v>
      </c>
      <c r="K112" s="53" t="s">
        <v>2056</v>
      </c>
      <c r="L112" s="99" t="s">
        <v>2057</v>
      </c>
      <c r="M112" s="103" t="s">
        <v>2058</v>
      </c>
    </row>
    <row r="113" spans="1:14" ht="15.6">
      <c r="A113" s="26" t="str">
        <v>Wheatland 2B</v>
      </c>
      <c r="B113" s="27" t="str">
        <v>NY</v>
      </c>
      <c r="C113" s="27" t="str">
        <f>Sites[[#This Row],[SOL'#]]</f>
        <v>SOL-10961</v>
      </c>
      <c r="D113" s="9">
        <v>877860</v>
      </c>
      <c r="E113" s="14">
        <v>875560</v>
      </c>
      <c r="F113" s="14">
        <f t="shared" si="6"/>
        <v>2300</v>
      </c>
      <c r="G113" s="15">
        <f t="shared" si="9"/>
        <v>2.6268902188313764E-3</v>
      </c>
      <c r="H113" s="16">
        <v>804178.799</v>
      </c>
      <c r="I113" s="16">
        <f t="shared" si="7"/>
        <v>73681.201000000001</v>
      </c>
      <c r="J113" s="15">
        <f t="shared" si="8"/>
        <v>9.1622909098850791E-2</v>
      </c>
      <c r="K113" s="51"/>
      <c r="L113" s="51"/>
    </row>
    <row r="114" spans="1:14" ht="72">
      <c r="A114" s="24" t="str">
        <v>Brickchurch</v>
      </c>
      <c r="B114" s="25" t="str">
        <v>NY</v>
      </c>
      <c r="C114" s="25" t="str">
        <f>Sites[[#This Row],[SOL'#]]</f>
        <v>SOL-10889</v>
      </c>
      <c r="D114" s="20">
        <v>0</v>
      </c>
      <c r="E114" s="10">
        <v>0</v>
      </c>
      <c r="F114" s="10">
        <f t="shared" si="6"/>
        <v>0</v>
      </c>
      <c r="G114" s="55" t="str">
        <f t="shared" ref="G114:G145" si="10">IFERROR(F114/E114, "")</f>
        <v/>
      </c>
      <c r="H114" s="12">
        <v>374561.07900000003</v>
      </c>
      <c r="I114" s="67">
        <f t="shared" si="7"/>
        <v>-374561.07900000003</v>
      </c>
      <c r="J114" s="64">
        <f t="shared" si="8"/>
        <v>-1</v>
      </c>
      <c r="K114" s="53" t="s">
        <v>2059</v>
      </c>
      <c r="L114" s="99" t="s">
        <v>2060</v>
      </c>
      <c r="M114" s="103" t="s">
        <v>343</v>
      </c>
    </row>
    <row r="115" spans="1:14" ht="15.6">
      <c r="A115" s="26" t="str">
        <v>McCarthy Solar</v>
      </c>
      <c r="B115" s="27" t="str">
        <v>NY</v>
      </c>
      <c r="C115" s="27" t="str">
        <f>Sites[[#This Row],[SOL'#]]</f>
        <v>SOL-10992</v>
      </c>
      <c r="D115" s="9">
        <v>364240</v>
      </c>
      <c r="E115" s="14">
        <v>0</v>
      </c>
      <c r="F115" s="14">
        <f t="shared" si="6"/>
        <v>364240</v>
      </c>
      <c r="G115" s="15" t="str">
        <f t="shared" si="10"/>
        <v/>
      </c>
      <c r="H115" s="16">
        <v>350611.85</v>
      </c>
      <c r="I115" s="16">
        <f t="shared" si="7"/>
        <v>13628.150000000023</v>
      </c>
      <c r="J115" s="15">
        <f t="shared" si="8"/>
        <v>3.8869621776902362E-2</v>
      </c>
      <c r="K115" s="51"/>
      <c r="L115" s="52"/>
    </row>
    <row r="116" spans="1:14" ht="43.15">
      <c r="A116" s="24" t="str">
        <v>Costanza</v>
      </c>
      <c r="B116" s="25" t="str">
        <v>NY</v>
      </c>
      <c r="C116" s="25" t="str">
        <f>Sites[[#This Row],[SOL'#]]</f>
        <v>SOL-10907</v>
      </c>
      <c r="D116" s="20">
        <v>381550</v>
      </c>
      <c r="E116" s="10">
        <v>366527.32</v>
      </c>
      <c r="F116" s="10">
        <f t="shared" si="6"/>
        <v>15022.679999999993</v>
      </c>
      <c r="G116" s="55">
        <f t="shared" si="10"/>
        <v>4.0986521823257245E-2</v>
      </c>
      <c r="H116" s="12">
        <v>350492.93</v>
      </c>
      <c r="I116" s="67">
        <f t="shared" si="7"/>
        <v>31057.070000000007</v>
      </c>
      <c r="J116" s="64">
        <f t="shared" si="8"/>
        <v>8.860969035809084E-2</v>
      </c>
      <c r="K116" s="53" t="s">
        <v>2061</v>
      </c>
      <c r="L116" s="99" t="s">
        <v>2062</v>
      </c>
      <c r="M116" s="103" t="s">
        <v>2063</v>
      </c>
      <c r="N116" s="103" t="s">
        <v>2064</v>
      </c>
    </row>
    <row r="117" spans="1:14" ht="15.6">
      <c r="A117" s="26" t="str">
        <v>Lockenhurst Pond</v>
      </c>
      <c r="B117" s="27" t="str">
        <v>NY</v>
      </c>
      <c r="C117" s="27" t="str">
        <f>Sites[[#This Row],[SOL'#]]</f>
        <v>SOL-11000</v>
      </c>
      <c r="D117" s="9">
        <v>382747</v>
      </c>
      <c r="E117" s="14">
        <v>410378.17800000001</v>
      </c>
      <c r="F117" s="14">
        <f t="shared" si="6"/>
        <v>-27631.178000000014</v>
      </c>
      <c r="G117" s="15">
        <f t="shared" si="10"/>
        <v>-6.7331011933095555E-2</v>
      </c>
      <c r="H117" s="16">
        <v>382545</v>
      </c>
      <c r="I117" s="16">
        <f t="shared" si="7"/>
        <v>202</v>
      </c>
      <c r="J117" s="15">
        <f t="shared" si="8"/>
        <v>5.2804245252192547E-4</v>
      </c>
      <c r="K117" s="51"/>
      <c r="L117" s="52"/>
    </row>
    <row r="118" spans="1:14" ht="15.6">
      <c r="A118" s="24" t="str">
        <v>Drinkwater</v>
      </c>
      <c r="B118" s="25" t="str">
        <v>NY</v>
      </c>
      <c r="C118" s="25" t="str">
        <f>Sites[[#This Row],[SOL'#]]</f>
        <v>SOL-10896</v>
      </c>
      <c r="D118" s="20">
        <v>402780</v>
      </c>
      <c r="E118" s="10">
        <v>401580</v>
      </c>
      <c r="F118" s="10">
        <f t="shared" si="6"/>
        <v>1200</v>
      </c>
      <c r="G118" s="55">
        <f t="shared" si="10"/>
        <v>2.9881966233378156E-3</v>
      </c>
      <c r="H118" s="12">
        <v>353111.54</v>
      </c>
      <c r="I118" s="67">
        <f t="shared" si="7"/>
        <v>49668.460000000021</v>
      </c>
      <c r="J118" s="64">
        <f t="shared" si="8"/>
        <v>0.14065940750619485</v>
      </c>
      <c r="K118" s="53"/>
      <c r="L118" s="53"/>
    </row>
    <row r="119" spans="1:14" ht="15.6">
      <c r="A119" s="26" t="str">
        <v>Altamont</v>
      </c>
      <c r="B119" s="27" t="str">
        <v>NY</v>
      </c>
      <c r="C119" s="27" t="str">
        <f>Sites[[#This Row],[SOL'#]]</f>
        <v>SOL-11085</v>
      </c>
      <c r="D119" s="9">
        <v>771306</v>
      </c>
      <c r="E119" s="14">
        <v>808528.37300000002</v>
      </c>
      <c r="F119" s="14">
        <f t="shared" si="6"/>
        <v>-37222.373000000021</v>
      </c>
      <c r="G119" s="15">
        <f t="shared" si="10"/>
        <v>-4.6037188357272427E-2</v>
      </c>
      <c r="H119" s="16">
        <v>565272.03</v>
      </c>
      <c r="I119" s="16">
        <f t="shared" si="7"/>
        <v>206033.96999999997</v>
      </c>
      <c r="J119" s="15">
        <f t="shared" si="8"/>
        <v>0.36448640489075668</v>
      </c>
      <c r="K119" s="51"/>
      <c r="L119" s="97"/>
    </row>
    <row r="120" spans="1:14" ht="15.6">
      <c r="A120" s="24" t="str">
        <v>Krumkill North</v>
      </c>
      <c r="B120" s="25" t="str">
        <v>NY</v>
      </c>
      <c r="C120" s="25" t="str">
        <f>Sites[[#This Row],[SOL'#]]</f>
        <v>SOL-11086</v>
      </c>
      <c r="D120" s="20">
        <v>705400</v>
      </c>
      <c r="E120" s="10">
        <v>804517.54</v>
      </c>
      <c r="F120" s="10">
        <f t="shared" si="6"/>
        <v>-99117.540000000037</v>
      </c>
      <c r="G120" s="55">
        <f t="shared" si="10"/>
        <v>-0.12320121696787373</v>
      </c>
      <c r="H120" s="12">
        <v>657287.14</v>
      </c>
      <c r="I120" s="67">
        <f t="shared" si="7"/>
        <v>48112.859999999986</v>
      </c>
      <c r="J120" s="64">
        <f t="shared" si="8"/>
        <v>7.3199150070089591E-2</v>
      </c>
      <c r="K120" s="53" t="s">
        <v>2065</v>
      </c>
      <c r="L120" s="53"/>
    </row>
    <row r="121" spans="1:14" ht="15.6">
      <c r="A121" s="26" t="str">
        <v>Krumkill South</v>
      </c>
      <c r="B121" s="27" t="str">
        <v>NY</v>
      </c>
      <c r="C121" s="27" t="str">
        <f>Sites[[#This Row],[SOL'#]]</f>
        <v>SOL-11087</v>
      </c>
      <c r="D121" s="9">
        <v>617530</v>
      </c>
      <c r="E121" s="14">
        <v>639693.76100000006</v>
      </c>
      <c r="F121" s="14">
        <f t="shared" si="6"/>
        <v>-22163.761000000057</v>
      </c>
      <c r="G121" s="15">
        <f>IFERROR(F121/E121, "")</f>
        <v>-3.4647455315732018E-2</v>
      </c>
      <c r="H121" s="16">
        <v>515283.25</v>
      </c>
      <c r="I121" s="16">
        <f t="shared" si="7"/>
        <v>102246.75</v>
      </c>
      <c r="J121" s="15">
        <f t="shared" si="8"/>
        <v>0.1984282431070678</v>
      </c>
      <c r="K121" s="51"/>
      <c r="L121" s="52"/>
    </row>
    <row r="122" spans="1:14" ht="15.6">
      <c r="A122" s="24" t="str">
        <v>X092</v>
      </c>
      <c r="B122" s="25" t="str">
        <v>NY</v>
      </c>
      <c r="C122" s="25" t="str">
        <f>Sites[[#This Row],[SOL'#]]</f>
        <v>SOL-11189</v>
      </c>
      <c r="D122" s="20">
        <v>16742.8</v>
      </c>
      <c r="E122" s="10">
        <v>16770.178</v>
      </c>
      <c r="F122" s="10">
        <f t="shared" si="6"/>
        <v>-27.378000000000611</v>
      </c>
      <c r="G122" s="55">
        <f t="shared" si="10"/>
        <v>-1.6325408114332843E-3</v>
      </c>
      <c r="H122" s="12">
        <v>16607.5</v>
      </c>
      <c r="I122" s="67">
        <f t="shared" si="7"/>
        <v>135.29999999999927</v>
      </c>
      <c r="J122" s="64">
        <f t="shared" si="8"/>
        <v>8.1469215715790615E-3</v>
      </c>
      <c r="K122" s="53"/>
      <c r="L122" s="53"/>
    </row>
    <row r="123" spans="1:14" ht="15.6">
      <c r="A123" s="26" t="str">
        <v>X093</v>
      </c>
      <c r="B123" s="27" t="str">
        <v>NY</v>
      </c>
      <c r="C123" s="27" t="str">
        <f>Sites[[#This Row],[SOL'#]]</f>
        <v>SOL-10932</v>
      </c>
      <c r="D123" s="9">
        <v>12987.717000000001</v>
      </c>
      <c r="E123" s="14">
        <v>12203.745000000001</v>
      </c>
      <c r="F123" s="14">
        <f t="shared" si="6"/>
        <v>783.97199999999975</v>
      </c>
      <c r="G123" s="15">
        <f t="shared" si="10"/>
        <v>6.4240280340174247E-2</v>
      </c>
      <c r="H123" s="16">
        <v>11630</v>
      </c>
      <c r="I123" s="16">
        <f t="shared" si="7"/>
        <v>1357.7170000000006</v>
      </c>
      <c r="J123" s="15">
        <f t="shared" si="8"/>
        <v>0.11674264832330185</v>
      </c>
      <c r="K123" s="51"/>
      <c r="L123" s="52"/>
    </row>
    <row r="124" spans="1:14" ht="15.6">
      <c r="A124" s="24" t="str">
        <v>X095</v>
      </c>
      <c r="B124" s="25" t="str">
        <v>NY</v>
      </c>
      <c r="C124" s="25" t="str">
        <f>Sites[[#This Row],[SOL'#]]</f>
        <v>SOL-10929</v>
      </c>
      <c r="D124" s="54">
        <v>16558.437999999998</v>
      </c>
      <c r="E124" s="10">
        <v>16975.633000000002</v>
      </c>
      <c r="F124" s="10">
        <f t="shared" si="6"/>
        <v>-417.19500000000335</v>
      </c>
      <c r="G124" s="55">
        <f t="shared" si="10"/>
        <v>-2.4576108590472198E-2</v>
      </c>
      <c r="H124" s="67">
        <v>15647</v>
      </c>
      <c r="I124" s="67">
        <f t="shared" si="7"/>
        <v>911.43799999999828</v>
      </c>
      <c r="J124" s="64">
        <f t="shared" si="8"/>
        <v>5.8250015977503566E-2</v>
      </c>
      <c r="K124" s="73"/>
      <c r="L124" s="73"/>
    </row>
    <row r="125" spans="1:14" ht="15.6">
      <c r="A125" s="26" t="str">
        <v>X181</v>
      </c>
      <c r="B125" s="27" t="str">
        <v>NY</v>
      </c>
      <c r="C125" s="27" t="str">
        <f>Sites[[#This Row],[SOL'#]]</f>
        <v>SOL-10428</v>
      </c>
      <c r="D125" s="9">
        <v>31569.219000000001</v>
      </c>
      <c r="E125" s="14">
        <v>27160.68</v>
      </c>
      <c r="F125" s="14">
        <f t="shared" si="6"/>
        <v>4408.5390000000007</v>
      </c>
      <c r="G125" s="15">
        <f t="shared" si="10"/>
        <v>0.16231327787080443</v>
      </c>
      <c r="H125" s="16">
        <v>28857</v>
      </c>
      <c r="I125" s="16">
        <f t="shared" si="7"/>
        <v>2712.219000000001</v>
      </c>
      <c r="J125" s="15">
        <f t="shared" si="8"/>
        <v>9.3988252417091203E-2</v>
      </c>
      <c r="K125" s="51"/>
      <c r="L125" s="51"/>
    </row>
    <row r="126" spans="1:14" ht="15.6">
      <c r="A126" s="24" t="str">
        <v>X415</v>
      </c>
      <c r="B126" s="25" t="str">
        <v>NY</v>
      </c>
      <c r="C126" s="25" t="str">
        <f>Sites[[#This Row],[SOL'#]]</f>
        <v>SOL-10429</v>
      </c>
      <c r="D126" s="20">
        <v>19582.921999999999</v>
      </c>
      <c r="E126" s="10">
        <v>16711.879000000001</v>
      </c>
      <c r="F126" s="10">
        <f t="shared" si="6"/>
        <v>2871.0429999999978</v>
      </c>
      <c r="G126" s="55">
        <f t="shared" si="10"/>
        <v>0.1717965406523107</v>
      </c>
      <c r="H126" s="12">
        <v>16452.5</v>
      </c>
      <c r="I126" s="67">
        <f t="shared" si="7"/>
        <v>3130.4219999999987</v>
      </c>
      <c r="J126" s="64">
        <f t="shared" si="8"/>
        <v>0.19027029326850015</v>
      </c>
      <c r="K126" s="53"/>
      <c r="L126" s="53"/>
    </row>
    <row r="127" spans="1:14" ht="75" customHeight="1">
      <c r="A127" s="26" t="str">
        <v>K198</v>
      </c>
      <c r="B127" s="27" t="str">
        <v>NY</v>
      </c>
      <c r="C127" s="27" t="str">
        <f>Sites[[#This Row],[SOL'#]]</f>
        <v>SOL-10930</v>
      </c>
      <c r="D127" s="9">
        <v>14193.039000000001</v>
      </c>
      <c r="E127" s="14">
        <v>13846.802</v>
      </c>
      <c r="F127" s="14">
        <f t="shared" si="6"/>
        <v>346.23700000000099</v>
      </c>
      <c r="G127" s="15">
        <f t="shared" si="10"/>
        <v>2.500483505144372E-2</v>
      </c>
      <c r="H127" s="16">
        <v>13571.5</v>
      </c>
      <c r="I127" s="16">
        <f t="shared" si="7"/>
        <v>621.53900000000067</v>
      </c>
      <c r="J127" s="15">
        <f t="shared" si="8"/>
        <v>4.5797369487529063E-2</v>
      </c>
      <c r="K127" s="51"/>
      <c r="L127" s="97"/>
    </row>
    <row r="128" spans="1:14" ht="15.6">
      <c r="A128" s="24" t="str">
        <v>K203</v>
      </c>
      <c r="B128" s="25" t="str">
        <v>NY</v>
      </c>
      <c r="C128" s="25" t="str">
        <f>Sites[[#This Row],[SOL'#]]</f>
        <v>SOL-11190</v>
      </c>
      <c r="D128" s="20">
        <v>18451.900000000001</v>
      </c>
      <c r="E128" s="10">
        <v>16311.15</v>
      </c>
      <c r="F128" s="10">
        <f t="shared" si="6"/>
        <v>2140.7500000000018</v>
      </c>
      <c r="G128" s="55">
        <f t="shared" si="10"/>
        <v>0.13124457809535206</v>
      </c>
      <c r="H128" s="12">
        <v>18078.5</v>
      </c>
      <c r="I128" s="67">
        <f t="shared" si="7"/>
        <v>373.40000000000146</v>
      </c>
      <c r="J128" s="64">
        <f t="shared" si="8"/>
        <v>2.0654368448709874E-2</v>
      </c>
      <c r="K128" s="53"/>
      <c r="L128" s="53"/>
    </row>
    <row r="129" spans="1:15" ht="15.6">
      <c r="A129" s="26" t="str">
        <v>K213</v>
      </c>
      <c r="B129" s="27" t="str">
        <v>NY</v>
      </c>
      <c r="C129" s="27" t="str">
        <f>Sites[[#This Row],[SOL'#]]</f>
        <v>SOL-11191</v>
      </c>
      <c r="D129" s="9">
        <v>20538.400000000001</v>
      </c>
      <c r="E129" s="14">
        <v>22358.421999999999</v>
      </c>
      <c r="F129" s="14">
        <f t="shared" si="6"/>
        <v>-1820.0219999999972</v>
      </c>
      <c r="G129" s="15">
        <f t="shared" si="10"/>
        <v>-8.1402077481138757E-2</v>
      </c>
      <c r="H129" s="16">
        <v>19254.5</v>
      </c>
      <c r="I129" s="16">
        <f t="shared" si="7"/>
        <v>1283.9000000000015</v>
      </c>
      <c r="J129" s="15">
        <f t="shared" si="8"/>
        <v>6.6680516242956261E-2</v>
      </c>
      <c r="K129" s="51"/>
      <c r="L129" s="52"/>
    </row>
    <row r="130" spans="1:15" ht="15.6">
      <c r="A130" s="24" t="str">
        <v>K217</v>
      </c>
      <c r="B130" s="25" t="str">
        <v>NY</v>
      </c>
      <c r="C130" s="25" t="str">
        <f>Sites[[#This Row],[SOL'#]]</f>
        <v>SOL-10933</v>
      </c>
      <c r="D130" s="20">
        <v>10837.977000000001</v>
      </c>
      <c r="E130" s="10">
        <v>10607.657999999999</v>
      </c>
      <c r="F130" s="10">
        <f t="shared" si="6"/>
        <v>230.31900000000132</v>
      </c>
      <c r="G130" s="55">
        <f t="shared" si="10"/>
        <v>2.1712521274724481E-2</v>
      </c>
      <c r="H130" s="12">
        <v>10100.5</v>
      </c>
      <c r="I130" s="67">
        <f t="shared" si="7"/>
        <v>737.47700000000077</v>
      </c>
      <c r="J130" s="64">
        <f t="shared" si="8"/>
        <v>7.3013910202465296E-2</v>
      </c>
      <c r="K130" s="53"/>
      <c r="L130" s="53"/>
    </row>
    <row r="131" spans="1:15" ht="15.6">
      <c r="A131" s="26" t="str">
        <v>K307</v>
      </c>
      <c r="B131" s="27" t="str">
        <v>NY</v>
      </c>
      <c r="C131" s="27" t="str">
        <f>Sites[[#This Row],[SOL'#]]</f>
        <v>SOL-10876</v>
      </c>
      <c r="D131" s="9">
        <v>22645.766</v>
      </c>
      <c r="E131" s="14">
        <v>25851.781999999999</v>
      </c>
      <c r="F131" s="14">
        <f t="shared" si="6"/>
        <v>-3206.0159999999996</v>
      </c>
      <c r="G131" s="15">
        <f t="shared" si="10"/>
        <v>-0.12401528064873825</v>
      </c>
      <c r="H131" s="16">
        <v>20995</v>
      </c>
      <c r="I131" s="16">
        <f t="shared" si="7"/>
        <v>1650.7659999999996</v>
      </c>
      <c r="J131" s="15">
        <f t="shared" si="8"/>
        <v>7.8626625386996885E-2</v>
      </c>
      <c r="K131" s="51" t="s">
        <v>2066</v>
      </c>
      <c r="L131" s="52"/>
    </row>
    <row r="132" spans="1:15" ht="43.15">
      <c r="A132" s="24" t="str">
        <v>K610</v>
      </c>
      <c r="B132" s="25" t="str">
        <v>NY</v>
      </c>
      <c r="C132" s="25" t="str">
        <f>Sites[[#This Row],[SOL'#]]</f>
        <v>SOL-11158</v>
      </c>
      <c r="D132" s="20">
        <v>20083.400000000001</v>
      </c>
      <c r="E132" s="10">
        <v>26649.621999999999</v>
      </c>
      <c r="F132" s="10">
        <f>IF(AND(ISNUMBER(D132),ISNUMBER(E132)), D132-E132, "")</f>
        <v>-6566.2219999999979</v>
      </c>
      <c r="G132" s="55">
        <f t="shared" si="10"/>
        <v>-0.24639081184716233</v>
      </c>
      <c r="H132" s="12">
        <v>25554</v>
      </c>
      <c r="I132" s="67">
        <f t="shared" si="7"/>
        <v>-5470.5999999999985</v>
      </c>
      <c r="J132" s="64">
        <f t="shared" si="8"/>
        <v>-0.21407998747749857</v>
      </c>
      <c r="K132" s="53" t="s">
        <v>2067</v>
      </c>
      <c r="L132" s="99" t="s">
        <v>2068</v>
      </c>
    </row>
    <row r="133" spans="1:15" ht="59.25" customHeight="1">
      <c r="A133" s="26" t="str">
        <v>M025</v>
      </c>
      <c r="B133" s="27" t="str">
        <v>NY</v>
      </c>
      <c r="C133" s="27" t="str">
        <f>Sites[[#This Row],[SOL'#]]</f>
        <v>SOL-10392</v>
      </c>
      <c r="D133" s="9">
        <v>21902.109</v>
      </c>
      <c r="E133" s="14">
        <v>25290.633000000002</v>
      </c>
      <c r="F133" s="14">
        <f>IF(AND(ISNUMBER(D133),ISNUMBER(E133)), D133-E133, "")</f>
        <v>-3388.5240000000013</v>
      </c>
      <c r="G133" s="15">
        <f t="shared" si="10"/>
        <v>-0.13398336055882828</v>
      </c>
      <c r="H133" s="16">
        <v>22627.5</v>
      </c>
      <c r="I133" s="16">
        <f>IF(AND(ISNUMBER(D133),ISNUMBER(H133)), D133-H133, "")</f>
        <v>-725.39099999999962</v>
      </c>
      <c r="J133" s="15">
        <f t="shared" ref="J133:J158" si="11">IFERROR(I133/H133, "")</f>
        <v>-3.2057938349353644E-2</v>
      </c>
      <c r="K133" s="51" t="s">
        <v>2069</v>
      </c>
      <c r="L133" s="100" t="s">
        <v>2070</v>
      </c>
      <c r="M133" s="103" t="s">
        <v>1363</v>
      </c>
    </row>
    <row r="134" spans="1:15" ht="15.6">
      <c r="A134" s="24" t="str">
        <v>M028</v>
      </c>
      <c r="B134" s="25" t="str">
        <v>NY</v>
      </c>
      <c r="C134" s="25" t="str">
        <f>Sites[[#This Row],[SOL'#]]</f>
        <v>SOL-10381</v>
      </c>
      <c r="D134" s="20">
        <v>18832.828000000001</v>
      </c>
      <c r="E134" s="10">
        <v>18450.27</v>
      </c>
      <c r="F134" s="10">
        <f t="shared" ref="F134:F158" si="12">IF(AND(ISNUMBER(D134),ISNUMBER(E134)), D134-E134, "")</f>
        <v>382.5580000000009</v>
      </c>
      <c r="G134" s="55">
        <f t="shared" si="10"/>
        <v>2.0734547516106858E-2</v>
      </c>
      <c r="H134" s="12">
        <v>16699.5</v>
      </c>
      <c r="I134" s="67">
        <f t="shared" ref="I134:I158" si="13">IF(AND(ISNUMBER(D134),ISNUMBER(H134)), D134-H134, "")</f>
        <v>2133.3280000000013</v>
      </c>
      <c r="J134" s="64">
        <f t="shared" si="11"/>
        <v>0.12774801640767697</v>
      </c>
      <c r="K134" s="53"/>
      <c r="L134" s="53"/>
    </row>
    <row r="135" spans="1:15" ht="15.6">
      <c r="A135" s="26" t="str">
        <v>Q030</v>
      </c>
      <c r="B135" s="27" t="str">
        <v>NY</v>
      </c>
      <c r="C135" s="27" t="str">
        <f>Sites[[#This Row],[SOL'#]]</f>
        <v>SOL-10878</v>
      </c>
      <c r="D135" s="9">
        <v>21987.530999999999</v>
      </c>
      <c r="E135" s="14">
        <v>22008.785</v>
      </c>
      <c r="F135" s="14">
        <f t="shared" si="12"/>
        <v>-21.254000000000815</v>
      </c>
      <c r="G135" s="15">
        <f t="shared" si="10"/>
        <v>-9.6570528541220317E-4</v>
      </c>
      <c r="H135" s="16">
        <v>20328</v>
      </c>
      <c r="I135" s="16">
        <f t="shared" si="13"/>
        <v>1659.530999999999</v>
      </c>
      <c r="J135" s="15">
        <f t="shared" si="11"/>
        <v>8.1637691853600897E-2</v>
      </c>
      <c r="K135" s="51"/>
      <c r="L135" s="52"/>
    </row>
    <row r="136" spans="1:15" ht="15.6">
      <c r="A136" s="24" t="str">
        <v>Q130</v>
      </c>
      <c r="B136" s="25" t="str">
        <v>NY</v>
      </c>
      <c r="C136" s="25" t="str">
        <f>Sites[[#This Row],[SOL'#]]</f>
        <v>SOL-10877</v>
      </c>
      <c r="D136" s="20">
        <v>12071.445</v>
      </c>
      <c r="E136" s="10">
        <v>11539.963</v>
      </c>
      <c r="F136" s="10">
        <f t="shared" si="12"/>
        <v>531.48199999999997</v>
      </c>
      <c r="G136" s="55">
        <f t="shared" si="10"/>
        <v>4.6055780248168907E-2</v>
      </c>
      <c r="H136" s="12">
        <v>11688.512000000001</v>
      </c>
      <c r="I136" s="67">
        <f>IF(AND(ISNUMBER(D136),ISNUMBER(H136)), D136-H136, "")</f>
        <v>382.93299999999908</v>
      </c>
      <c r="J136" s="64">
        <f t="shared" si="11"/>
        <v>3.2761484096521361E-2</v>
      </c>
      <c r="K136" s="53"/>
      <c r="L136" s="53"/>
    </row>
    <row r="137" spans="1:15" ht="15.6">
      <c r="A137" s="26" t="str">
        <v>Q196</v>
      </c>
      <c r="B137" s="27" t="str">
        <v>NY</v>
      </c>
      <c r="C137" s="27" t="str">
        <f>Sites[[#This Row],[SOL'#]]</f>
        <v>SOL-10879</v>
      </c>
      <c r="D137" s="9">
        <v>15831.259</v>
      </c>
      <c r="E137" s="14">
        <v>16625.3</v>
      </c>
      <c r="F137" s="14">
        <f t="shared" si="12"/>
        <v>-794.04099999999926</v>
      </c>
      <c r="G137" s="15">
        <f t="shared" si="10"/>
        <v>-4.7761002808971824E-2</v>
      </c>
      <c r="H137" s="16">
        <v>15117</v>
      </c>
      <c r="I137" s="16">
        <f t="shared" si="13"/>
        <v>714.25900000000001</v>
      </c>
      <c r="J137" s="15">
        <f t="shared" si="11"/>
        <v>4.7248726599192964E-2</v>
      </c>
      <c r="K137" s="51"/>
      <c r="L137" s="52"/>
    </row>
    <row r="138" spans="1:15" ht="15.6">
      <c r="A138" s="24" t="str">
        <v>Q220</v>
      </c>
      <c r="B138" s="25" t="str">
        <v>NY</v>
      </c>
      <c r="C138" s="25" t="str">
        <f>Sites[[#This Row],[SOL'#]]</f>
        <v>SOL-10873</v>
      </c>
      <c r="D138" s="20">
        <v>18870.905999999999</v>
      </c>
      <c r="E138" s="10">
        <v>22142.483</v>
      </c>
      <c r="F138" s="10">
        <f>IF(AND(ISNUMBER(D138),ISNUMBER(E138)), D138-E138, "")</f>
        <v>-3271.5770000000011</v>
      </c>
      <c r="G138" s="55">
        <f t="shared" si="10"/>
        <v>-0.14775113522724626</v>
      </c>
      <c r="H138" s="12">
        <v>17206</v>
      </c>
      <c r="I138" s="67">
        <f t="shared" si="13"/>
        <v>1664.905999999999</v>
      </c>
      <c r="J138" s="64">
        <f t="shared" si="11"/>
        <v>9.6763105893292983E-2</v>
      </c>
      <c r="K138" s="53" t="s">
        <v>1364</v>
      </c>
      <c r="L138" s="53"/>
    </row>
    <row r="139" spans="1:15" ht="15.6">
      <c r="A139" s="26" t="str">
        <v>Q205</v>
      </c>
      <c r="B139" s="27" t="str">
        <v>NY</v>
      </c>
      <c r="C139" s="27" t="str">
        <f>Sites[[#This Row],[SOL'#]]</f>
        <v>SOL-10922</v>
      </c>
      <c r="D139" s="9">
        <v>19051.905999999999</v>
      </c>
      <c r="E139" s="14">
        <v>27873.992999999999</v>
      </c>
      <c r="F139" s="14">
        <f t="shared" si="12"/>
        <v>-8822.0869999999995</v>
      </c>
      <c r="G139" s="15">
        <f t="shared" si="10"/>
        <v>-0.31649885970768521</v>
      </c>
      <c r="H139" s="16">
        <v>20799</v>
      </c>
      <c r="I139" s="16">
        <f t="shared" si="13"/>
        <v>-1747.094000000001</v>
      </c>
      <c r="J139" s="15">
        <f t="shared" si="11"/>
        <v>-8.3998942256839321E-2</v>
      </c>
      <c r="K139" s="51" t="s">
        <v>2071</v>
      </c>
      <c r="L139" s="100" t="s">
        <v>1852</v>
      </c>
    </row>
    <row r="140" spans="1:15" ht="84.75" customHeight="1">
      <c r="A140" s="24" t="str">
        <v>Q400</v>
      </c>
      <c r="B140" s="25" t="str">
        <v>NY</v>
      </c>
      <c r="C140" s="25" t="str">
        <f>Sites[[#This Row],[SOL'#]]</f>
        <v>SOL-10871</v>
      </c>
      <c r="D140" s="54">
        <v>24972.609</v>
      </c>
      <c r="E140" s="10" t="s">
        <v>661</v>
      </c>
      <c r="F140" s="10" t="str">
        <f t="shared" si="12"/>
        <v/>
      </c>
      <c r="G140" s="55" t="str">
        <f t="shared" si="10"/>
        <v/>
      </c>
      <c r="H140" s="67">
        <v>32920</v>
      </c>
      <c r="I140" s="67">
        <f t="shared" si="13"/>
        <v>-7947.3909999999996</v>
      </c>
      <c r="J140" s="64">
        <f t="shared" si="11"/>
        <v>-0.24141527946537059</v>
      </c>
      <c r="K140" s="73" t="s">
        <v>2072</v>
      </c>
      <c r="L140" s="99" t="s">
        <v>2073</v>
      </c>
      <c r="M140" s="103" t="s">
        <v>1857</v>
      </c>
      <c r="N140" s="103" t="s">
        <v>2074</v>
      </c>
      <c r="O140" s="103" t="s">
        <v>1372</v>
      </c>
    </row>
    <row r="141" spans="1:15" ht="28.9">
      <c r="A141" s="26" t="str">
        <v>R003</v>
      </c>
      <c r="B141" s="27" t="str">
        <v>NY</v>
      </c>
      <c r="C141" s="27" t="str">
        <f>Sites[[#This Row],[SOL'#]]</f>
        <v>SOL-10416</v>
      </c>
      <c r="D141" s="66">
        <v>31126.136999999999</v>
      </c>
      <c r="E141" s="14">
        <v>32647.877</v>
      </c>
      <c r="F141" s="14">
        <f t="shared" si="12"/>
        <v>-1521.7400000000016</v>
      </c>
      <c r="G141" s="68">
        <f t="shared" si="10"/>
        <v>-4.6610687733233055E-2</v>
      </c>
      <c r="H141" s="69">
        <v>31715</v>
      </c>
      <c r="I141" s="16">
        <f t="shared" si="13"/>
        <v>-588.86300000000119</v>
      </c>
      <c r="J141" s="15">
        <f t="shared" si="11"/>
        <v>-1.8567334069052536E-2</v>
      </c>
      <c r="K141" s="51" t="s">
        <v>2075</v>
      </c>
      <c r="L141" s="103" t="s">
        <v>1618</v>
      </c>
    </row>
    <row r="142" spans="1:15" ht="15.6">
      <c r="A142" s="24" t="str">
        <v>R007</v>
      </c>
      <c r="B142" s="25" t="str">
        <v>NY</v>
      </c>
      <c r="C142" s="25" t="str">
        <f>Sites[[#This Row],[SOL'#]]</f>
        <v>SOL-10417</v>
      </c>
      <c r="D142" s="54">
        <v>33838.343999999997</v>
      </c>
      <c r="E142" s="10">
        <v>35931.705999999998</v>
      </c>
      <c r="F142" s="10">
        <f t="shared" si="12"/>
        <v>-2093.362000000001</v>
      </c>
      <c r="G142" s="55">
        <f t="shared" si="10"/>
        <v>-5.8259465887870759E-2</v>
      </c>
      <c r="H142" s="67">
        <v>37087.146999999997</v>
      </c>
      <c r="I142" s="67">
        <f t="shared" si="13"/>
        <v>-3248.8029999999999</v>
      </c>
      <c r="J142" s="64">
        <f t="shared" si="11"/>
        <v>-8.7599162049321291E-2</v>
      </c>
      <c r="K142" s="73" t="s">
        <v>2076</v>
      </c>
      <c r="L142" s="99" t="s">
        <v>2077</v>
      </c>
    </row>
    <row r="143" spans="1:15" ht="15.6">
      <c r="A143" s="26" t="str">
        <v>BK16</v>
      </c>
      <c r="B143" s="27" t="str">
        <v>NY</v>
      </c>
      <c r="C143" s="27" t="str">
        <f>Sites[[#This Row],[SOL'#]]</f>
        <v>SOL-11093</v>
      </c>
      <c r="D143" s="66">
        <v>35419.531000000003</v>
      </c>
      <c r="E143" s="14">
        <v>35684.722000000002</v>
      </c>
      <c r="F143" s="14">
        <f t="shared" si="12"/>
        <v>-265.19099999999889</v>
      </c>
      <c r="G143" s="68">
        <f t="shared" si="10"/>
        <v>-7.4314996765282035E-3</v>
      </c>
      <c r="H143" s="69">
        <v>33985</v>
      </c>
      <c r="I143" s="16">
        <f t="shared" si="13"/>
        <v>1434.5310000000027</v>
      </c>
      <c r="J143" s="15">
        <f t="shared" si="11"/>
        <v>4.2210710607621091E-2</v>
      </c>
      <c r="K143" s="51"/>
      <c r="L143" s="74"/>
    </row>
    <row r="144" spans="1:15" ht="72">
      <c r="A144" s="24" t="str">
        <v>Trenton - Trenton East</v>
      </c>
      <c r="B144" s="25" t="str">
        <v>IL</v>
      </c>
      <c r="C144" s="25" t="str">
        <f>Sites[[#This Row],[SOL'#]]</f>
        <v>SOL-11060</v>
      </c>
      <c r="D144" s="54">
        <v>385246</v>
      </c>
      <c r="E144" s="10">
        <v>370788.592</v>
      </c>
      <c r="F144" s="10">
        <f t="shared" si="12"/>
        <v>14457.407999999996</v>
      </c>
      <c r="G144" s="55">
        <f t="shared" si="10"/>
        <v>3.8990973055611146E-2</v>
      </c>
      <c r="H144" s="67">
        <v>414731</v>
      </c>
      <c r="I144" s="67"/>
      <c r="J144" s="64">
        <f t="shared" si="11"/>
        <v>0</v>
      </c>
      <c r="K144" s="73" t="s">
        <v>2078</v>
      </c>
      <c r="L144" s="99" t="s">
        <v>2079</v>
      </c>
      <c r="M144" s="103" t="s">
        <v>856</v>
      </c>
    </row>
    <row r="145" spans="1:15" ht="127.5" customHeight="1">
      <c r="A145" s="26" t="str">
        <v>Trenton - Trenton West</v>
      </c>
      <c r="B145" s="27" t="str">
        <v>IL</v>
      </c>
      <c r="C145" s="27" t="str">
        <f>Sites[[#This Row],[SOL'#]]</f>
        <v>SOL-11061</v>
      </c>
      <c r="D145" s="66">
        <v>200204</v>
      </c>
      <c r="E145" s="14">
        <v>314115.89799999999</v>
      </c>
      <c r="F145" s="14">
        <f t="shared" si="12"/>
        <v>-113911.89799999999</v>
      </c>
      <c r="G145" s="68">
        <f t="shared" si="10"/>
        <v>-0.36264289303816133</v>
      </c>
      <c r="H145" s="69">
        <v>418327.5</v>
      </c>
      <c r="I145" s="16">
        <f t="shared" si="13"/>
        <v>-218123.5</v>
      </c>
      <c r="J145" s="15">
        <f t="shared" si="11"/>
        <v>-0.52141802774142265</v>
      </c>
      <c r="K145" s="51" t="s">
        <v>2080</v>
      </c>
      <c r="L145" s="102" t="s">
        <v>2081</v>
      </c>
      <c r="M145" s="103" t="s">
        <v>2082</v>
      </c>
      <c r="N145" s="103" t="s">
        <v>2083</v>
      </c>
      <c r="O145" s="103" t="s">
        <v>2084</v>
      </c>
    </row>
    <row r="146" spans="1:15" ht="28.9">
      <c r="A146" s="24" t="str">
        <v>Dakota - Dakota Solar 1</v>
      </c>
      <c r="B146" s="25" t="str">
        <v>IL</v>
      </c>
      <c r="C146" s="25" t="str">
        <f>Sites[[#This Row],[SOL'#]]</f>
        <v>SOL-11113</v>
      </c>
      <c r="D146" s="54">
        <v>453465</v>
      </c>
      <c r="E146" s="10">
        <v>466964.15899999999</v>
      </c>
      <c r="F146" s="10">
        <f t="shared" si="12"/>
        <v>-13499.158999999985</v>
      </c>
      <c r="G146" s="55">
        <f t="shared" ref="G146:G158" si="14">IFERROR(F146/E146, "")</f>
        <v>-2.8908340693444924E-2</v>
      </c>
      <c r="H146" s="67">
        <v>338951</v>
      </c>
      <c r="I146" s="67">
        <f t="shared" si="13"/>
        <v>114514</v>
      </c>
      <c r="J146" s="64">
        <f t="shared" si="11"/>
        <v>0.33784824355142778</v>
      </c>
      <c r="K146" s="73" t="s">
        <v>2085</v>
      </c>
      <c r="L146" s="99" t="s">
        <v>2086</v>
      </c>
      <c r="M146" s="103" t="s">
        <v>1866</v>
      </c>
    </row>
    <row r="147" spans="1:15" ht="15.6">
      <c r="A147" s="26" t="str">
        <v>X018</v>
      </c>
      <c r="B147" s="27" t="str">
        <v>NY</v>
      </c>
      <c r="C147" s="27" t="str">
        <f>Sites[[#This Row],[SOL'#]]</f>
        <v>SOL-10418</v>
      </c>
      <c r="D147" s="66">
        <v>17922.437999999998</v>
      </c>
      <c r="E147" s="14">
        <v>17687.560000000001</v>
      </c>
      <c r="F147" s="14"/>
      <c r="G147" s="68">
        <f t="shared" si="14"/>
        <v>0</v>
      </c>
      <c r="H147" s="69">
        <v>18838.5</v>
      </c>
      <c r="I147" s="16">
        <f t="shared" si="13"/>
        <v>-916.06200000000172</v>
      </c>
      <c r="J147" s="15">
        <f t="shared" si="11"/>
        <v>-4.8627119993630161E-2</v>
      </c>
      <c r="K147" s="51"/>
      <c r="L147" s="74"/>
    </row>
    <row r="148" spans="1:15" ht="15.6">
      <c r="A148" s="24" t="str">
        <v>Janiak Solar</v>
      </c>
      <c r="B148" s="25" t="str">
        <v>NY</v>
      </c>
      <c r="C148" s="25" t="str">
        <f>Sites[[#This Row],[SOL'#]]</f>
        <v>SOL-10898</v>
      </c>
      <c r="D148" s="54">
        <v>364927</v>
      </c>
      <c r="E148" s="10">
        <v>388586.723</v>
      </c>
      <c r="F148" s="10">
        <f t="shared" si="12"/>
        <v>-23659.722999999998</v>
      </c>
      <c r="G148" s="55">
        <f t="shared" si="14"/>
        <v>-6.0886596477975903E-2</v>
      </c>
      <c r="H148" s="67">
        <v>348105</v>
      </c>
      <c r="I148" s="67">
        <f t="shared" si="13"/>
        <v>16822</v>
      </c>
      <c r="J148" s="64">
        <f t="shared" si="11"/>
        <v>4.8324499791729508E-2</v>
      </c>
      <c r="K148" s="73"/>
      <c r="L148" s="53"/>
    </row>
    <row r="149" spans="1:15" ht="15.6">
      <c r="A149" s="26" t="str">
        <v>County Route 11B</v>
      </c>
      <c r="B149" s="27" t="str">
        <v>NY</v>
      </c>
      <c r="C149" s="27" t="str">
        <f>Sites[[#This Row],[SOL'#]]</f>
        <v>SOL-10983</v>
      </c>
      <c r="D149" s="66">
        <v>1158494.01</v>
      </c>
      <c r="E149" s="14">
        <v>1155494.0900000001</v>
      </c>
      <c r="F149" s="14">
        <f t="shared" si="12"/>
        <v>2999.9199999999255</v>
      </c>
      <c r="G149" s="68">
        <f t="shared" si="14"/>
        <v>2.5962227119655152E-3</v>
      </c>
      <c r="H149" s="168" t="s">
        <v>661</v>
      </c>
      <c r="I149" s="16" t="str">
        <f t="shared" si="13"/>
        <v/>
      </c>
      <c r="J149" s="15" t="str">
        <f t="shared" si="11"/>
        <v/>
      </c>
      <c r="K149" s="51"/>
      <c r="L149" s="82"/>
    </row>
    <row r="150" spans="1:15" ht="43.15">
      <c r="A150" s="24" t="str">
        <v>Barone</v>
      </c>
      <c r="B150" s="25" t="str">
        <v>NY</v>
      </c>
      <c r="C150" s="25" t="str">
        <f>Sites[[#This Row],[SOL'#]]</f>
        <v>SOL-11034</v>
      </c>
      <c r="D150" s="54">
        <v>509899</v>
      </c>
      <c r="E150" s="10">
        <v>507654</v>
      </c>
      <c r="F150" s="10">
        <f t="shared" si="12"/>
        <v>2245</v>
      </c>
      <c r="G150" s="55">
        <f t="shared" si="14"/>
        <v>4.4223033798610869E-3</v>
      </c>
      <c r="H150" s="67">
        <v>553220</v>
      </c>
      <c r="I150" s="67">
        <f t="shared" si="13"/>
        <v>-43321</v>
      </c>
      <c r="J150" s="64">
        <f t="shared" si="11"/>
        <v>-7.830700263909475E-2</v>
      </c>
      <c r="K150" s="73" t="s">
        <v>2087</v>
      </c>
      <c r="L150" s="99" t="s">
        <v>2088</v>
      </c>
      <c r="M150" s="103" t="s">
        <v>2089</v>
      </c>
    </row>
    <row r="151" spans="1:15" ht="15.6">
      <c r="A151" s="26" t="str">
        <v>Cedarville</v>
      </c>
      <c r="B151" s="27" t="str">
        <v>IL</v>
      </c>
      <c r="C151" s="27" t="str">
        <f>Sites[[#This Row],[SOL'#]]</f>
        <v>SOL-11069</v>
      </c>
      <c r="D151" s="66">
        <v>401966</v>
      </c>
      <c r="E151" s="14">
        <v>398283.63900000002</v>
      </c>
      <c r="F151" s="14">
        <f t="shared" si="12"/>
        <v>3682.3609999999753</v>
      </c>
      <c r="G151" s="68">
        <f t="shared" si="14"/>
        <v>9.2455743581271611E-3</v>
      </c>
      <c r="H151" s="69">
        <v>406725.14</v>
      </c>
      <c r="I151" s="16">
        <f t="shared" si="13"/>
        <v>-4759.140000000014</v>
      </c>
      <c r="J151" s="15">
        <f t="shared" si="11"/>
        <v>-1.1701120810973263E-2</v>
      </c>
      <c r="K151" s="51"/>
      <c r="L151" s="74"/>
    </row>
    <row r="152" spans="1:15" ht="28.9">
      <c r="A152" s="24" t="str">
        <v xml:space="preserve"> O'Brien Hill #1</v>
      </c>
      <c r="B152" s="25" t="str">
        <v>NY</v>
      </c>
      <c r="C152" s="25" t="str">
        <f>Sites[[#This Row],[SOL'#]]</f>
        <v>SOL-11098</v>
      </c>
      <c r="D152" s="54">
        <v>0</v>
      </c>
      <c r="E152" s="10">
        <v>0</v>
      </c>
      <c r="F152" s="10">
        <f t="shared" si="12"/>
        <v>0</v>
      </c>
      <c r="G152" s="55" t="str">
        <f t="shared" si="14"/>
        <v/>
      </c>
      <c r="H152" s="128" t="s">
        <v>661</v>
      </c>
      <c r="I152" s="67" t="str">
        <f t="shared" si="13"/>
        <v/>
      </c>
      <c r="J152" s="64" t="str">
        <f t="shared" si="11"/>
        <v/>
      </c>
      <c r="K152" s="73" t="s">
        <v>1390</v>
      </c>
      <c r="L152" s="101" t="s">
        <v>1391</v>
      </c>
      <c r="M152" s="103" t="s">
        <v>877</v>
      </c>
    </row>
    <row r="153" spans="1:15" ht="15.6">
      <c r="A153" s="26" t="str">
        <v xml:space="preserve"> O'Brien Hill #2</v>
      </c>
      <c r="B153" s="27" t="str">
        <v>NY</v>
      </c>
      <c r="C153" s="27" t="str">
        <f>Sites[[#This Row],[SOL'#]]</f>
        <v>SOL-11099</v>
      </c>
      <c r="D153" s="66">
        <v>970564</v>
      </c>
      <c r="E153" s="14">
        <v>970445</v>
      </c>
      <c r="F153" s="14">
        <f t="shared" si="12"/>
        <v>119</v>
      </c>
      <c r="G153" s="68">
        <f t="shared" si="14"/>
        <v>1.226241569589209E-4</v>
      </c>
      <c r="H153" s="168" t="s">
        <v>661</v>
      </c>
      <c r="I153" s="16" t="str">
        <f t="shared" si="13"/>
        <v/>
      </c>
      <c r="J153" s="15" t="str">
        <f t="shared" si="11"/>
        <v/>
      </c>
      <c r="K153" s="182" t="s">
        <v>2090</v>
      </c>
      <c r="L153" s="103" t="s">
        <v>2091</v>
      </c>
      <c r="M153" s="103" t="s">
        <v>2092</v>
      </c>
    </row>
    <row r="154" spans="1:15" ht="72">
      <c r="A154" s="24" t="str">
        <v>Trinity - Freeport</v>
      </c>
      <c r="B154" s="25" t="str">
        <v>IL</v>
      </c>
      <c r="C154" s="25" t="str">
        <f>Sites[[#This Row],[SOL'#]]</f>
        <v>SOL-11057</v>
      </c>
      <c r="D154" s="54">
        <v>440093</v>
      </c>
      <c r="E154" s="10">
        <v>490266.228</v>
      </c>
      <c r="F154" s="10">
        <f t="shared" si="12"/>
        <v>-50173.228000000003</v>
      </c>
      <c r="G154" s="55">
        <f t="shared" si="14"/>
        <v>-0.10233873992234277</v>
      </c>
      <c r="H154" s="67">
        <v>417863.5</v>
      </c>
      <c r="I154" s="67">
        <f t="shared" si="13"/>
        <v>22229.5</v>
      </c>
      <c r="J154" s="64">
        <f t="shared" si="11"/>
        <v>5.3197994081799441E-2</v>
      </c>
      <c r="K154" s="73" t="s">
        <v>2093</v>
      </c>
      <c r="L154" s="99" t="s">
        <v>2094</v>
      </c>
      <c r="M154" s="103" t="s">
        <v>884</v>
      </c>
    </row>
    <row r="155" spans="1:15" ht="43.15">
      <c r="A155" s="26" t="str">
        <v>Ransom</v>
      </c>
      <c r="B155" s="27" t="str">
        <v>NY</v>
      </c>
      <c r="C155" s="27" t="str">
        <f>Sites[[#This Row],[SOL'#]]</f>
        <v>SOL-11157</v>
      </c>
      <c r="D155" s="66">
        <v>879502</v>
      </c>
      <c r="E155" s="14">
        <v>875614</v>
      </c>
      <c r="F155" s="14">
        <f t="shared" si="12"/>
        <v>3888</v>
      </c>
      <c r="G155" s="68">
        <f t="shared" si="14"/>
        <v>4.4403127405454913E-3</v>
      </c>
      <c r="H155" s="168" t="s">
        <v>661</v>
      </c>
      <c r="I155" s="16" t="str">
        <f t="shared" si="13"/>
        <v/>
      </c>
      <c r="J155" s="15" t="str">
        <f t="shared" si="11"/>
        <v/>
      </c>
      <c r="K155" s="51" t="s">
        <v>2095</v>
      </c>
      <c r="L155" s="103" t="s">
        <v>2096</v>
      </c>
    </row>
    <row r="156" spans="1:15" ht="28.9">
      <c r="A156" s="24" t="str">
        <v>Horseheads - Wedge</v>
      </c>
      <c r="B156" s="25" t="str">
        <v>NY</v>
      </c>
      <c r="C156" s="25" t="str">
        <f>Sites[[#This Row],[SOL'#]]</f>
        <v>SOL-11160</v>
      </c>
      <c r="D156" s="54">
        <v>538382</v>
      </c>
      <c r="E156" s="10">
        <v>536973</v>
      </c>
      <c r="F156" s="10">
        <f t="shared" si="12"/>
        <v>1409</v>
      </c>
      <c r="G156" s="55">
        <f t="shared" si="14"/>
        <v>2.6239680579842935E-3</v>
      </c>
      <c r="H156" s="128" t="s">
        <v>661</v>
      </c>
      <c r="I156" s="67" t="str">
        <f t="shared" si="13"/>
        <v/>
      </c>
      <c r="J156" s="64" t="str">
        <f t="shared" si="11"/>
        <v/>
      </c>
      <c r="K156" s="73" t="s">
        <v>2097</v>
      </c>
      <c r="L156" s="99" t="s">
        <v>2098</v>
      </c>
    </row>
    <row r="157" spans="1:15" ht="15.6">
      <c r="A157" s="26" t="str">
        <v>Otisville - Shoddy Hollow</v>
      </c>
      <c r="B157" s="27" t="str">
        <v>NY</v>
      </c>
      <c r="C157" s="27" t="str">
        <f>Sites[[#This Row],[SOL'#]]</f>
        <v>SOL-11185</v>
      </c>
      <c r="D157" s="66">
        <v>958525</v>
      </c>
      <c r="E157" s="14">
        <v>954010</v>
      </c>
      <c r="F157" s="14">
        <f t="shared" si="12"/>
        <v>4515</v>
      </c>
      <c r="G157" s="68">
        <f t="shared" si="14"/>
        <v>4.732654793974906E-3</v>
      </c>
      <c r="H157" s="168" t="s">
        <v>661</v>
      </c>
      <c r="I157" s="16" t="str">
        <f t="shared" si="13"/>
        <v/>
      </c>
      <c r="J157" s="15" t="str">
        <f t="shared" si="11"/>
        <v/>
      </c>
      <c r="L157" s="74"/>
    </row>
    <row r="158" spans="1:15" ht="39.6">
      <c r="A158" s="24" t="str">
        <v>Wellsville - Chenunda Creek</v>
      </c>
      <c r="B158" s="25" t="str">
        <v>NY</v>
      </c>
      <c r="C158" s="25" t="str">
        <f>Sites[[#This Row],[SOL'#]]</f>
        <v>SOL-11187</v>
      </c>
      <c r="D158" s="54">
        <v>429386</v>
      </c>
      <c r="E158" s="10">
        <v>428161</v>
      </c>
      <c r="F158" s="10">
        <f t="shared" si="12"/>
        <v>1225</v>
      </c>
      <c r="G158" s="55">
        <f t="shared" si="14"/>
        <v>2.8610732878519996E-3</v>
      </c>
      <c r="H158" s="128" t="s">
        <v>661</v>
      </c>
      <c r="I158" s="67" t="str">
        <f t="shared" si="13"/>
        <v/>
      </c>
      <c r="J158" s="64" t="str">
        <f t="shared" si="11"/>
        <v/>
      </c>
      <c r="K158" s="73" t="s">
        <v>2099</v>
      </c>
      <c r="L158" s="99" t="s">
        <v>2100</v>
      </c>
      <c r="M158" s="103" t="s">
        <v>2101</v>
      </c>
      <c r="N158" s="103" t="s">
        <v>2102</v>
      </c>
    </row>
    <row r="159" spans="1:15" ht="28.9">
      <c r="A159" s="26" t="str">
        <v>DC: Washington - Essex Condominium</v>
      </c>
      <c r="B159" s="27" t="str">
        <v>DC</v>
      </c>
      <c r="C159" s="27" t="str">
        <f>Sites[[#This Row],[SOL'#]]</f>
        <v>SOL-10036</v>
      </c>
      <c r="D159" s="66">
        <v>3165</v>
      </c>
      <c r="E159" s="14">
        <v>4005.1320000000001</v>
      </c>
      <c r="F159" s="14">
        <f t="shared" ref="F159:F166" si="15">IF(AND(ISNUMBER(D159),ISNUMBER(E159)), D159-E159, "")</f>
        <v>-840.13200000000006</v>
      </c>
      <c r="G159" s="68">
        <f t="shared" ref="G159:G166" si="16">IFERROR(F159/E159, "")</f>
        <v>-0.20976387295100388</v>
      </c>
      <c r="H159" s="69">
        <v>4042.779</v>
      </c>
      <c r="I159" s="69">
        <f t="shared" ref="I159:I166" si="17">IF(AND(ISNUMBER(D159),ISNUMBER(H159)), D159-H159, "")</f>
        <v>-877.779</v>
      </c>
      <c r="J159" s="68">
        <f t="shared" ref="J159:J166" si="18">IFERROR(I159/H159, "")</f>
        <v>-0.21712267724750722</v>
      </c>
      <c r="K159" s="51" t="s">
        <v>2103</v>
      </c>
      <c r="L159" s="74"/>
    </row>
    <row r="160" spans="1:15" ht="28.9">
      <c r="A160" s="24" t="str">
        <v>HI: Waipahu - 94-246 Leoku St - E.F.G.</v>
      </c>
      <c r="B160" s="25" t="str">
        <v>HI</v>
      </c>
      <c r="C160" s="25" t="str">
        <f>Sites[[#This Row],[SOL'#]]</f>
        <v>SOL-10071</v>
      </c>
      <c r="D160" s="54">
        <v>7461</v>
      </c>
      <c r="E160" s="10">
        <v>11389.513999999999</v>
      </c>
      <c r="F160" s="10">
        <f t="shared" si="15"/>
        <v>-3928.5139999999992</v>
      </c>
      <c r="G160" s="55">
        <f t="shared" si="16"/>
        <v>-0.34492376057485857</v>
      </c>
      <c r="H160" s="67">
        <v>12766.550999999999</v>
      </c>
      <c r="I160" s="67">
        <f t="shared" si="17"/>
        <v>-5305.5509999999995</v>
      </c>
      <c r="J160" s="64">
        <f t="shared" si="18"/>
        <v>-0.41558217250688928</v>
      </c>
      <c r="K160" s="73" t="s">
        <v>2104</v>
      </c>
      <c r="L160" s="101" t="s">
        <v>2105</v>
      </c>
      <c r="M160" s="103" t="s">
        <v>2106</v>
      </c>
    </row>
    <row r="161" spans="1:13" ht="15.6">
      <c r="A161" s="26" t="str">
        <v>HI: Waipahu - 94-099 Waipahu St - PV</v>
      </c>
      <c r="B161" s="27" t="str">
        <v>HI</v>
      </c>
      <c r="C161" s="27" t="str">
        <f>Sites[[#This Row],[SOL'#]]</f>
        <v>SOL-10068</v>
      </c>
      <c r="D161" s="66">
        <v>12995</v>
      </c>
      <c r="E161" s="14">
        <v>10270.552</v>
      </c>
      <c r="F161" s="14">
        <f t="shared" si="15"/>
        <v>2724.4480000000003</v>
      </c>
      <c r="G161" s="68">
        <f t="shared" si="16"/>
        <v>0.26526792328202031</v>
      </c>
      <c r="H161" s="69">
        <v>12759.718999999999</v>
      </c>
      <c r="I161" s="69">
        <f t="shared" si="17"/>
        <v>235.28100000000086</v>
      </c>
      <c r="J161" s="68">
        <f t="shared" si="18"/>
        <v>1.8439355913715722E-2</v>
      </c>
      <c r="L161" s="74"/>
    </row>
    <row r="162" spans="1:13" ht="15.6">
      <c r="A162" s="24" t="str">
        <v>IL: Prophetstown - 5170 Yager Road (PW)</v>
      </c>
      <c r="B162" s="25" t="str">
        <v>IL</v>
      </c>
      <c r="C162" s="25" t="str">
        <f>Sites[[#This Row],[SOL'#]]</f>
        <v>SOL-11149</v>
      </c>
      <c r="D162" s="54">
        <v>441656</v>
      </c>
      <c r="E162" s="10">
        <v>451979.62900000002</v>
      </c>
      <c r="F162" s="10">
        <f t="shared" si="15"/>
        <v>-10323.629000000015</v>
      </c>
      <c r="G162" s="55">
        <f t="shared" si="16"/>
        <v>-2.2840916575910582E-2</v>
      </c>
      <c r="H162" s="67">
        <v>467435.56</v>
      </c>
      <c r="I162" s="67">
        <f t="shared" si="17"/>
        <v>-25779.559999999998</v>
      </c>
      <c r="J162" s="64">
        <f t="shared" si="18"/>
        <v>-5.515104584683287E-2</v>
      </c>
      <c r="K162" s="73"/>
      <c r="L162" s="73"/>
    </row>
    <row r="163" spans="1:13" ht="15.6">
      <c r="A163" s="26" t="str">
        <v>IL: Viola - Goldenrod - (PW)</v>
      </c>
      <c r="B163" s="27" t="str">
        <v>IL</v>
      </c>
      <c r="C163" s="27" t="str">
        <f>Sites[[#This Row],[SOL'#]]</f>
        <v>SOL-11132</v>
      </c>
      <c r="D163" s="66">
        <v>867778</v>
      </c>
      <c r="E163" s="14">
        <v>1010152.24</v>
      </c>
      <c r="F163" s="14">
        <f t="shared" si="15"/>
        <v>-142374.24</v>
      </c>
      <c r="G163" s="68">
        <f t="shared" si="16"/>
        <v>-0.14094334929158797</v>
      </c>
      <c r="H163" s="69">
        <v>1121564</v>
      </c>
      <c r="I163" s="69">
        <f t="shared" si="17"/>
        <v>-253786</v>
      </c>
      <c r="J163" s="68">
        <f t="shared" si="18"/>
        <v>-0.2262786608699994</v>
      </c>
      <c r="K163" s="48" t="s">
        <v>2107</v>
      </c>
      <c r="L163" s="103" t="s">
        <v>2108</v>
      </c>
    </row>
    <row r="164" spans="1:13" ht="28.9">
      <c r="A164" s="24" t="str">
        <v>IL: Marengo - Grant - (PW)</v>
      </c>
      <c r="B164" s="25" t="str">
        <v>IL</v>
      </c>
      <c r="C164" s="25" t="str">
        <f>Sites[[#This Row],[SOL'#]]</f>
        <v>SOL-11147</v>
      </c>
      <c r="D164" s="54">
        <v>441290</v>
      </c>
      <c r="E164" s="10">
        <v>325978.842</v>
      </c>
      <c r="F164" s="10">
        <f t="shared" si="15"/>
        <v>115311.158</v>
      </c>
      <c r="G164" s="55">
        <f t="shared" si="16"/>
        <v>0.35373816684703724</v>
      </c>
      <c r="H164" s="67">
        <v>456126.23</v>
      </c>
      <c r="I164" s="67">
        <f t="shared" si="17"/>
        <v>-14836.229999999981</v>
      </c>
      <c r="J164" s="64">
        <f t="shared" si="18"/>
        <v>-3.2526588089441782E-2</v>
      </c>
      <c r="K164" s="73" t="s">
        <v>2109</v>
      </c>
      <c r="L164" s="101" t="s">
        <v>2110</v>
      </c>
      <c r="M164" s="103" t="s">
        <v>2111</v>
      </c>
    </row>
    <row r="165" spans="1:13" ht="15.6">
      <c r="A165" s="26" t="str">
        <v>NY: Cambridge - Cambridge (PW)</v>
      </c>
      <c r="B165" s="27" t="str">
        <v>NY</v>
      </c>
      <c r="C165" s="27" t="str">
        <f>Sites[[#This Row],[SOL'#]]</f>
        <v>SOL-11126</v>
      </c>
      <c r="D165" s="66">
        <v>859803.23</v>
      </c>
      <c r="E165" s="14">
        <v>883303.58</v>
      </c>
      <c r="F165" s="14">
        <f t="shared" si="15"/>
        <v>-23500.349999999977</v>
      </c>
      <c r="G165" s="68">
        <f t="shared" si="16"/>
        <v>-2.6605065950259115E-2</v>
      </c>
      <c r="H165" s="69">
        <v>839014.5</v>
      </c>
      <c r="I165" s="69"/>
      <c r="J165" s="68">
        <f t="shared" si="18"/>
        <v>0</v>
      </c>
      <c r="K165" s="48"/>
      <c r="L165" s="75"/>
    </row>
    <row r="166" spans="1:13" ht="15.6">
      <c r="A166" s="24" t="str">
        <v>NY: Whitesville - Independence North</v>
      </c>
      <c r="B166" s="25" t="str">
        <v>NY</v>
      </c>
      <c r="C166" s="25" t="str">
        <f>Sites[[#This Row],[SOL'#]]</f>
        <v>SOL-11186</v>
      </c>
      <c r="D166" s="54">
        <v>765233</v>
      </c>
      <c r="E166" s="10" t="s">
        <v>661</v>
      </c>
      <c r="F166" s="10" t="str">
        <f t="shared" si="15"/>
        <v/>
      </c>
      <c r="G166" s="55" t="str">
        <f t="shared" si="16"/>
        <v/>
      </c>
      <c r="H166" s="148" t="s">
        <v>661</v>
      </c>
      <c r="I166" s="67" t="str">
        <f t="shared" si="17"/>
        <v/>
      </c>
      <c r="J166" s="64" t="str">
        <f t="shared" si="18"/>
        <v/>
      </c>
      <c r="K166" s="73"/>
      <c r="L166" s="73"/>
    </row>
    <row r="167" spans="1:13" ht="14.45">
      <c r="A167" s="17" t="str">
        <v>IL: Beecher - Cottage Grove North (PW)</v>
      </c>
      <c r="B167" s="29" t="str">
        <v>IL</v>
      </c>
      <c r="C167" s="29"/>
      <c r="D167" s="17"/>
      <c r="E167" s="17"/>
      <c r="F167" s="17"/>
      <c r="G167" s="18"/>
      <c r="H167" s="17"/>
      <c r="I167" s="17"/>
      <c r="J167" s="18"/>
      <c r="K167" s="74"/>
      <c r="L167" s="74"/>
    </row>
    <row r="168" spans="1:13" ht="14.45">
      <c r="A168" s="17" t="str">
        <v>IL: Beecher - Cottage Grove South (PW)</v>
      </c>
      <c r="B168" s="29" t="str">
        <v>IL</v>
      </c>
      <c r="C168" s="29"/>
      <c r="D168" s="17"/>
      <c r="E168" s="17"/>
      <c r="F168" s="17"/>
      <c r="G168" s="18"/>
      <c r="H168" s="17"/>
      <c r="I168" s="17"/>
      <c r="J168" s="18"/>
      <c r="K168" s="74"/>
      <c r="L168" s="74"/>
    </row>
    <row r="169" spans="1:13" ht="14.45">
      <c r="A169" s="17" t="str">
        <v>IL: Harvard - 9618 US HWY 14 (PW)</v>
      </c>
      <c r="B169" s="29" t="str">
        <v>IL</v>
      </c>
      <c r="C169" s="29"/>
      <c r="D169" s="17"/>
      <c r="E169" s="17"/>
      <c r="F169" s="17"/>
      <c r="G169" s="18"/>
      <c r="H169" s="17"/>
      <c r="I169" s="17"/>
      <c r="J169" s="18"/>
      <c r="K169" s="74"/>
      <c r="L169" s="74"/>
    </row>
    <row r="170" spans="1:13" ht="14.45">
      <c r="A170" s="17" t="str">
        <v>IL: Beecher - 701 E Goodenow Rd (PW)</v>
      </c>
      <c r="B170" s="29" t="str">
        <v>IL</v>
      </c>
      <c r="C170" s="29"/>
      <c r="D170" s="17"/>
      <c r="E170" s="17"/>
      <c r="F170" s="17"/>
      <c r="G170" s="18"/>
      <c r="H170" s="17"/>
      <c r="I170" s="17"/>
      <c r="J170" s="18"/>
      <c r="K170" s="74"/>
      <c r="L170" s="74"/>
    </row>
    <row r="171" spans="1:13" ht="14.45">
      <c r="A171" s="17" t="str">
        <v>NY: Stormville - Green Haven - (IRA)</v>
      </c>
      <c r="B171" s="29" t="str">
        <v>NY</v>
      </c>
      <c r="C171" s="29"/>
      <c r="D171" s="17"/>
      <c r="E171" s="17"/>
      <c r="F171" s="17"/>
      <c r="G171" s="18"/>
      <c r="H171" s="17"/>
      <c r="I171" s="17"/>
      <c r="J171" s="18"/>
      <c r="K171" s="74"/>
      <c r="L171" s="74"/>
    </row>
    <row r="172" spans="1:13" ht="14.45">
      <c r="A172" s="17" t="str">
        <v>IL: Hillsboro - Anacott (PW)</v>
      </c>
      <c r="B172" s="29" t="str">
        <v>IL</v>
      </c>
      <c r="C172" s="29"/>
      <c r="D172" s="17"/>
      <c r="E172" s="17"/>
      <c r="F172" s="17"/>
      <c r="G172" s="18"/>
      <c r="H172" s="17"/>
      <c r="I172" s="17"/>
      <c r="J172" s="18"/>
      <c r="K172" s="74"/>
      <c r="L172" s="74"/>
    </row>
  </sheetData>
  <mergeCells count="4">
    <mergeCell ref="H1:J1"/>
    <mergeCell ref="A1:D1"/>
    <mergeCell ref="E1:G1"/>
    <mergeCell ref="A2:B2"/>
  </mergeCells>
  <phoneticPr fontId="40"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166 J4:J166 EX50 FG50 FJ50 FS50 FV50 GE50 GH50 GQ50 GT50 HC50 HF50 HO50 HR50 IA50 ID50 IM50 IP50 IY50 JB50 JK50 JN50 JW50 JZ50 KI50 KL50 KU50 KX50 LG50 LJ50 LS50 LV50 ME50 MH50 MQ50 MT50 NC50 NF50 NO50 NR50 OA50 OD50 OM50 OP50 OY50 PB50 PK50 PN50 PW50 PZ50 QI50 QL50 QU50 QX50 RG50 RJ50 RS50 RV50 SE50 SH50 SQ50 ST50 TC50 TF50 TO50 TR50 UA50 UD50 UM50 UP50 UY50 VB50 VK50 VN50 VW50 VZ50 WI50 WL50 WU50 WX50 XG50 XJ50 XS50 XV50 YE50 YH50 YQ50 YT50 ZC50 ZF50 ZO50 ZR50 AAA50 AAD50 AAM50 AAP50 AAY50 ABB50 ABK50 ABN50 ABW50 ABZ50 ACI50 ACL50 ACU50 ACX50 ADG50 ADJ50 ADS50 ADV50 AEE50 AEH50 AEQ50 AET50 AFC50 AFF50 AFO50 AFR50 AGA50 AGD50 AGM50 AGP50 AGY50 AHB50 AHK50 AHN50 AHW50 AHZ50 AII50 AIL50 AIU50 AIX50 AJG50 AJJ50 AJS50 AJV50 AKE50 AKH50 AKQ50 AKT50 ALC50 ALF50 ALO50 ALR50 AMA50 AMD50 AMM50 AMP50 AMY50 ANB50 ANK50 ANN50 ANW50 ANZ50 AOI50 AOL50 AOU50 AOX50 APG50 APJ50 APS50 APV50 AQE50 AQH50 AQQ50 AQT50 ARC50 ARF50 ARO50 ARR50 ASA50 ASD50 ASM50 ASP50 ASY50 ATB50 ATK50 ATN50 ATW50 ATZ50 AUI50 AUL50 AUU50 AUX50 AVG50 AVJ50 AVS50 AVV50 AWE50 AWH50 AWQ50 AWT50 AXC50 AXF50 AXO50 AXR50 AYA50 AYD50 AYM50 AYP50 AYY50 AZB50 AZK50 AZN50 AZW50 AZZ50 BAI50 BAL50 BAU50 BAX50 BBG50 BBJ50 BBS50 BBV50 BCE50 BCH50 BCQ50 BCT50 BDC50 BDF50 BDO50 BDR50 BEA50 BED50 BEM50 BEP50 BEY50 BFB50 BFK50 BFN50 BFW50 BFZ50 BGI50 BGL50 BGU50 BGX50 BHG50 BHJ50 BHS50 BHV50 BIE50 BIH50 BIQ50 BIT50 BJC50 BJF50 BJO50 BJR50 BKA50 BKD50 BKM50 BKP50 BKY50 BLB50 BLK50 BLN50 BLW50 BLZ50 BMI50 BML50 BMU50 BMX50 BNG50 BNJ50 BNS50 BNV50 BOE50 BOH50 BOQ50 BOT50 BPC50 BPF50 BPO50 BPR50 BQA50 BQD50 BQM50 BQP50 BQY50 BRB50 BRK50 BRN50 BRW50 BRZ50 BSI50 BSL50 BSU50 BSX50 BTG50 BTJ50 BTS50 BTV50 BUE50 BUH50 BUQ50 BUT50 BVC50 BVF50 BVO50 BVR50 BWA50 BWD50 BWM50 BWP50 BWY50 BXB50 BXK50 BXN50 BXW50 BXZ50 BYI50 BYL50 BYU50 BYX50 BZG50 BZJ50 BZS50 BZV50 CAE50 CAH50 CAQ50 CAT50 CBC50 CBF50 CBO50 CBR50 CCA50 CCD50 CCM50 CCP50 CCY50 CDB50 CDK50 CDN50 CDW50 CDZ50 CEI50 CEL50 CEU50 CEX50 CFG50 CFJ50 CFS50 CFV50 CGE50 CGH50 CGQ50 CGT50 CHC50 CHF50 CHO50 CHR50 CIA50 CID50 CIM50 CIP50 CIY50 CJB50 CJK50 CJN50 CJW50 CJZ50 CKI50 CKL50 CKU50 CKX50 CLG50 CLJ50 CLS50 CLV50 CME50 CMH50 CMQ50 CMT50 CNC50 CNF50 CNO50 CNR50 COA50 COD50 COM50 COP50 COY50 CPB50 CPK50 CPN50 CPW50 CPZ50 CQI50 CQL50 CQU50 CQX50 CRG50 CRJ50 CRS50 CRV50 CSE50 CSH50 CSQ50 CST50 CTC50 CTF50 CTO50 CTR50 CUA50 CUD50 CUM50 CUP50 CUY50 CVB50 CVK50 CVN50 CVW50 CVZ50 CWI50 CWL50 CWU50 CWX50 CXG50 CXJ50 CXS50 CXV50 CYE50 CYH50 CYQ50 CYT50 CZC50 CZF50 CZO50 CZR50 DAA50 DAD50 DAM50 DAP50 DAY50 DBB50 DBK50 DBN50 DBW50 DBZ50 DCI50 DCL50 DCU50 DCX50 DDG50 DDJ50 DDS50 DDV50 DEE50 DEH50 DEQ50 DET50 DFC50 DFF50 DFO50 DFR50 DGA50 DGD50 DGM50 DGP50 DGY50 DHB50 DHK50 DHN50 DHW50 DHZ50 DII50 DIL50 DIU50 DIX50 DJG50 DJJ50 DJS50 DJV50 DKE50 DKH50 DKQ50 DKT50 DLC50 DLF50 DLO50 DLR50 DMA50 DMD50 DMM50 DMP50 DMY50 DNB50 DNK50 DNN50 DNW50 DNZ50 DOI50 DOL50 DOU50 DOX50 DPG50 DPJ50 DPS50 DPV50 DQE50 DQH50 DQQ50 DQT50 DRC50 DRF50 DRO50 DRR50 DSA50 DSD50 DSM50 DSP50 DSY50 DTB50 DTK50 DTN50 DTW50 DTZ50 DUI50 DUL50 DUU50 DUX50 DVG50 DVJ50 DVS50 DVV50 DWE50 DWH50 DWQ50 DWT50 DXC50 DXF50 DXO50 DXR50 DYA50 DYD50 DYM50 DYP50 DYY50 DZB50 DZK50 DZN50 DZW50 DZZ50 EAI50 EAL50 EAU50 EAX50 EBG50 EBJ50 EBS50 EBV50 ECE50 ECH50 ECQ50 ECT50 EDC50 EDF50 EDO50 EDR50 EEA50 EED50 EEM50 EEP50 EEY50 EFB50 EFK50 EFN50 EFW50 EFZ50 EGI50 EGL50 EGU50 EGX50 EHG50 EHJ50 EHS50 EHV50 EIE50 EIH50 EIQ50 EIT50 EJC50 EJF50 EJO50 EJR50 EKA50 EKD50 EKM50 EKP50 EKY50 ELB50 ELK50 ELN50 ELW50 ELZ50 EMI50 EML50 EMU50 EMX50 ENG50 ENJ50 ENS50 ENV50 EOE50 EOH50 EOQ50 EOT50 EPC50 EPF50 EPO50 EPR50 EQA50 EQD50 EQM50 EQP50 EQY50 ERB50 ERK50 ERN50 ERW50 ERZ50 ESI50 ESL50 ESU50 ESX50 ETG50 ETJ50 ETS50 ETV50 EUE50 EUH50 EUQ50 EUT50 EVC50 EVF50 EVO50 EVR50 EWA50 EWD50 EWM50 EWP50 EWY50 EXB50 EXK50 EXN50 EXW50 EXZ50 EYI50 EYL50 EYU50 EYX50 EZG50 EZJ50 EZS50 EZV50 FAE50 FAH50 FAQ50 FAT50 FBC50 FBF50 FBO50 FBR50 FCA50 FCD50 FCM50 FCP50 FCY50 FDB50 FDK50 FDN50 FDW50 FDZ50 FEI50 FEL50 FEU50 FEX50 FFG50 FFJ50 FFS50 FFV50 FGE50 FGH50 FGQ50 FGT50 FHC50 FHF50 FHO50 FHR50 FIA50 FID50 FIM50 FIP50 FIY50 FJB50 FJK50 FJN50 FJW50 FJZ50 FKI50 FKL50 FKU50 FKX50 FLG50 FLJ50 FLS50 FLV50 FME50 FMH50 FMQ50 FMT50 FNC50 FNF50 FNO50 FNR50 FOA50 FOD50 FOM50 FOP50 FOY50 FPB50 FPK50 FPN50 FPW50 FPZ50 FQI50 FQL50 FQU50 FQX50 FRG50 FRJ50 FRS50 FRV50 FSE50 FSH50 FSQ50 FST50 FTC50 FTF50 FTO50 FTR50 FUA50 FUD50 FUM50 FUP50 FUY50 FVB50 FVK50 FVN50 FVW50 FVZ50 FWI50 FWL50 FWU50 FWX50 FXG50 FXJ50 FXS50 FXV50 FYE50 FYH50 FYQ50 FYT50 FZC50 FZF50 FZO50 FZR50 GAA50 GAD50 GAM50 GAP50 GAY50 GBB50 GBK50 GBN50 GBW50 GBZ50 GCI50 GCL50 GCU50 GCX50 GDG50 GDJ50 GDS50 GDV50 GEE50 GEH50 GEQ50 GET50 GFC50 GFF50 GFO50 GFR50 GGA50 GGD50 GGM50 GGP50 GGY50 GHB50 GHK50 GHN50 GHW50 GHZ50 GII50 GIL50 GIU50 GIX50 GJG50 GJJ50 GJS50 GJV50 GKE50 GKH50 GKQ50 GKT50 GLC50 GLF50 GLO50 GLR50 GMA50 GMD50 GMM50 GMP50 GMY50 GNB50 GNK50 GNN50 GNW50 GNZ50 GOI50 GOL50 GOU50 GOX50 GPG50 GPJ50 GPS50 GPV50 GQE50 GQH50 GQQ50 GQT50 GRC50 GRF50 GRO50 GRR50 GSA50 GSD50 GSM50 GSP50 GSY50 GTB50 GTK50 GTN50 GTW50 GTZ50 GUI50 GUL50 GUU50 GUX50 GVG50 GVJ50 GVS50 GVV50 GWE50 GWH50 GWQ50 GWT50 GXC50 GXF50 GXO50 GXR50 GYA50 GYD50 GYM50 GYP50 GYY50 GZB50 GZK50 GZN50 GZW50 GZZ50 HAI50 HAL50 HAU50 HAX50 HBG50 HBJ50 HBS50 HBV50 HCE50 HCH50 HCQ50 HCT50 HDC50 HDF50 HDO50 HDR50 HEA50 HED50 HEM50 HEP50 HEY50 HFB50 HFK50 HFN50 HFW50 HFZ50 HGI50 HGL50 HGU50 HGX50 HHG50 HHJ50 HHS50 HHV50 HIE50 HIH50 HIQ50 HIT50 HJC50 HJF50 HJO50 HJR50 HKA50 HKD50 HKM50 HKP50 HKY50 HLB50 HLK50 HLN50 HLW50 HLZ50 HMI50 HML50 HMU50 HMX50 HNG50 HNJ50 HNS50 HNV50 HOE50 HOH50 HOQ50 HOT50 HPC50 HPF50 HPO50 HPR50 HQA50 HQD50 HQM50 HQP50 HQY50 HRB50 HRK50 HRN50 HRW50 HRZ50 HSI50 HSL50 HSU50 HSX50 HTG50 HTJ50 HTS50 HTV50 HUE50 HUH50 HUQ50 HUT50 HVC50 HVF50 HVO50 HVR50 HWA50 HWD50 HWM50 HWP50 HWY50 HXB50 HXK50 HXN50 HXW50 HXZ50 HYI50 HYL50 HYU50 HYX50 HZG50 HZJ50 HZS50 HZV50 IAE50 IAH50 IAQ50 IAT50 IBC50 IBF50 IBO50 IBR50 ICA50 ICD50 ICM50 ICP50 ICY50 IDB50 IDK50 IDN50 IDW50 IDZ50 IEI50 IEL50 IEU50 IEX50 IFG50 IFJ50 IFS50 IFV50 IGE50 IGH50 IGQ50 IGT50 IHC50 IHF50 IHO50 IHR50 IIA50 IID50 IIM50 IIP50 IIY50 IJB50 IJK50 IJN50 IJW50 IJZ50 IKI50 IKL50 IKU50 IKX50 ILG50 ILJ50 ILS50 ILV50 IME50 IMH50 IMQ50 IMT50 INC50 INF50 INO50 INR50 IOA50 IOD50 IOM50 IOP50 IOY50 IPB50 IPK50 IPN50 IPW50 IPZ50 IQI50 IQL50 IQU50 IQX50 IRG50 IRJ50 IRS50 IRV50 ISE50 ISH50 ISQ50 IST50 ITC50 ITF50 ITO50 ITR50 IUA50 IUD50 IUM50 IUP50 IUY50 IVB50 IVK50 IVN50 IVW50 IVZ50 IWI50 IWL50 IWU50 IWX50 IXG50 IXJ50 IXS50 IXV50 IYE50 IYH50 IYQ50 IYT50 IZC50 IZF50 IZO50 IZR50 JAA50 JAD50 JAM50 JAP50 JAY50 JBB50 JBK50 JBN50 JBW50 JBZ50 JCI50 JCL50 JCU50 JCX50 JDG50 JDJ50 JDS50 JDV50 JEE50 JEH50 JEQ50 JET50 JFC50 JFF50 JFO50 JFR50 JGA50 JGD50 JGM50 JGP50 JGY50 JHB50 JHK50 JHN50 JHW50 JHZ50 JII50 JIL50 JIU50 JIX50 JJG50 JJJ50 JJS50 JJV50 JKE50 JKH50 JKQ50 JKT50 JLC50 JLF50 JLO50 JLR50 JMA50 JMD50 JMM50 JMP50 JMY50 JNB50 JNK50 JNN50 JNW50 JNZ50 JOI50 JOL50 JOU50 JOX50 JPG50 JPJ50 JPS50 JPV50 JQE50 JQH50 JQQ50 JQT50 JRC50 JRF50 JRO50 JRR50 JSA50 JSD50 JSM50 JSP50 JSY50 JTB50 JTK50 JTN50 JTW50 JTZ50 JUI50 JUL50 JUU50 JUX50 JVG50 JVJ50 JVS50 JVV50 JWE50 JWH50 JWQ50 JWT50 JXC50 JXF50 JXO50 JXR50 JYA50 JYD50 JYM50 JYP50 JYY50 JZB50 JZK50 JZN50 JZW50 JZZ50 KAI50 KAL50 KAU50 KAX50 KBG50 KBJ50 KBS50 KBV50 KCE50 KCH50 KCQ50 KCT50 KDC50 KDF50 KDO50 KDR50 KEA50 KED50 KEM50 KEP50 KEY50 KFB50 KFK50 KFN50 KFW50 KFZ50 KGI50 KGL50 KGU50 KGX50 KHG50 KHJ50 KHS50 KHV50 KIE50 KIH50 KIQ50 KIT50 KJC50 KJF50 KJO50 KJR50 KKA50 KKD50 KKM50 KKP50 KKY50 KLB50 KLK50 KLN50 KLW50 KLZ50 KMI50 KML50 KMU50 KMX50 KNG50 KNJ50 KNS50 KNV50 KOE50 KOH50 KOQ50 KOT50 KPC50 KPF50 KPO50 KPR50 KQA50 KQD50 KQM50 KQP50 KQY50 KRB50 KRK50 KRN50 KRW50 KRZ50 KSI50 KSL50 KSU50 KSX50 KTG50 KTJ50 KTS50 KTV50 KUE50 KUH50 KUQ50 KUT50 KVC50 KVF50 KVO50 KVR50 KWA50 KWD50 KWM50 KWP50 KWY50 KXB50 KXK50 KXN50 KXW50 KXZ50 KYI50 KYL50 KYU50 KYX50 KZG50 KZJ50 KZS50 KZV50 LAE50 LAH50 LAQ50 LAT50 LBC50 LBF50 LBO50 LBR50 LCA50 LCD50 LCM50 LCP50 LCY50 LDB50 LDK50 LDN50 LDW50 LDZ50 LEI50 LEL50 LEU50 LEX50 LFG50 LFJ50 LFS50 LFV50 LGE50 LGH50 LGQ50 LGT50 LHC50 LHF50 LHO50 LHR50 LIA50 LID50 LIM50 LIP50 LIY50 LJB50 LJK50 LJN50 LJW50 LJZ50 LKI50 LKL50 LKU50 LKX50 LLG50 LLJ50 LLS50 LLV50 LME50 LMH50 LMQ50 LMT50 LNC50 LNF50 LNO50 LNR50 LOA50 LOD50 LOM50 LOP50 LOY50 LPB50 LPK50 LPN50 LPW50 LPZ50 LQI50 LQL50 LQU50 LQX50 LRG50 LRJ50 LRS50 LRV50 LSE50 LSH50 LSQ50 LST50 LTC50 LTF50 LTO50 LTR50 LUA50 LUD50 LUM50 LUP50 LUY50 LVB50 LVK50 LVN50 LVW50 LVZ50 LWI50 LWL50 LWU50 LWX50 LXG50 LXJ50 LXS50 LXV50 LYE50 LYH50 LYQ50 LYT50 LZC50 LZF50 LZO50 LZR50 MAA50 MAD50 MAM50 MAP50 MAY50 MBB50 MBK50 MBN50 MBW50 MBZ50 MCI50 MCL50 MCU50 MCX50 MDG50 MDJ50 MDS50 MDV50 MEE50 MEH50 MEQ50 MET50 MFC50 MFF50 MFO50 MFR50 MGA50 MGD50 MGM50 MGP50 MGY50 MHB50 MHK50 MHN50 MHW50 MHZ50 MII50 MIL50 MIU50 MIX50 MJG50 MJJ50 MJS50 MJV50 MKE50 MKH50 MKQ50 MKT50 MLC50 MLF50 MLO50 MLR50 MMA50 MMD50 MMM50 MMP50 MMY50 MNB50 MNK50 MNN50 MNW50 MNZ50 MOI50 MOL50 MOU50 MOX50 MPG50 MPJ50 MPS50 MPV50 MQE50 MQH50 MQQ50 MQT50 MRC50 MRF50 MRO50 MRR50 MSA50 MSD50 MSM50 MSP50 MSY50 MTB50 MTK50 MTN50 MTW50 MTZ50 MUI50 MUL50 MUU50 MUX50 MVG50 MVJ50 MVS50 MVV50 MWE50 MWH50 MWQ50 MWT50 MXC50 MXF50 MXO50 MXR50 MYA50 MYD50 MYM50 MYP50 MYY50 MZB50 MZK50 MZN50 MZW50 MZZ50 NAI50 NAL50 NAU50 NAX50 NBG50 NBJ50 NBS50 NBV50 NCE50 NCH50 NCQ50 NCT50 NDC50 NDF50 NDO50 NDR50 NEA50 NED50 NEM50 NEP50 NEY50 NFB50 NFK50 NFN50 NFW50 NFZ50 NGI50 NGL50 NGU50 NGX50 NHG50 NHJ50 NHS50 NHV50 NIE50 NIH50 NIQ50 NIT50 NJC50 NJF50 NJO50 NJR50 NKA50 NKD50 NKM50 NKP50 NKY50 NLB50 NLK50 NLN50 NLW50 NLZ50 NMI50 NML50 NMU50 NMX50 NNG50 NNJ50 NNS50 NNV50 NOE50 NOH50 NOQ50 NOT50 NPC50 NPF50 NPO50 NPR50 NQA50 NQD50 NQM50 NQP50 NQY50 NRB50 NRK50 NRN50 NRW50 NRZ50 NSI50 NSL50 NSU50 NSX50 NTG50 NTJ50 NTS50 NTV50 NUE50 NUH50 NUQ50 NUT50 NVC50 NVF50 NVO50 NVR50 NWA50 NWD50 NWM50 NWP50 NWY50 NXB50 NXK50 NXN50 NXW50 NXZ50 NYI50 NYL50 NYU50 NYX50 NZG50 NZJ50 NZS50 NZV50 OAE50 OAH50 OAQ50 OAT50 OBC50 OBF50 OBO50 OBR50 OCA50 OCD50 OCM50 OCP50 OCY50 ODB50 ODK50 ODN50 ODW50 ODZ50 OEI50 OEL50 OEU50 OEX50 OFG50 OFJ50 OFS50 OFV50 OGE50 OGH50 OGQ50 OGT50 OHC50 OHF50 OHO50 OHR50 OIA50 OID50 OIM50 OIP50 OIY50 OJB50 OJK50 OJN50 OJW50 OJZ50 OKI50 OKL50 OKU50 OKX50 OLG50 OLJ50 OLS50 OLV50 OME50 OMH50 OMQ50 OMT50 ONC50 ONF50 ONO50 ONR50 OOA50 OOD50 OOM50 OOP50 OOY50 OPB50 OPK50 OPN50 OPW50 OPZ50 OQI50 OQL50 OQU50 OQX50 ORG50 ORJ50 ORS50 ORV50 OSE50 OSH50 OSQ50 OST50 OTC50 OTF50 OTO50 OTR50 OUA50 OUD50 OUM50 OUP50 OUY50 OVB50 OVK50 OVN50 OVW50 OVZ50 OWI50 OWL50 OWU50 OWX50 OXG50 OXJ50 OXS50 OXV50 OYE50 OYH50 OYQ50 OYT50 OZC50 OZF50 OZO50 OZR50 PAA50 PAD50 PAM50 PAP50 PAY50 PBB50 PBK50 PBN50 PBW50 PBZ50 PCI50 PCL50 PCU50 PCX50 PDG50 PDJ50 PDS50 PDV50 PEE50 PEH50 PEQ50 PET50 PFC50 PFF50 PFO50 PFR50 PGA50 PGD50 PGM50 PGP50 PGY50 PHB50 PHK50 PHN50 PHW50 PHZ50 PII50 PIL50 PIU50 PIX50 PJG50 PJJ50 PJS50 PJV50 PKE50 PKH50 PKQ50 PKT50 PLC50 PLF50 PLO50 PLR50 PMA50 PMD50 PMM50 PMP50 PMY50 PNB50 PNK50 PNN50 PNW50 PNZ50 POI50 POL50 POU50 POX50 PPG50 PPJ50 PPS50 PPV50 PQE50 PQH50 PQQ50 PQT50 PRC50 PRF50 PRO50 PRR50 PSA50 PSD50 PSM50 PSP50 PSY50 PTB50 PTK50 PTN50 PTW50 PTZ50 PUI50 PUL50 PUU50 PUX50 PVG50 PVJ50 PVS50 PVV50 PWE50 PWH50 PWQ50 PWT50 PXC50 PXF50 PXO50 PXR50 PYA50 PYD50 PYM50 PYP50 PYY50 PZB50 PZK50 PZN50 PZW50 PZZ50 QAI50 QAL50 QAU50 QAX50 QBG50 QBJ50 QBS50 QBV50 QCE50 QCH50 QCQ50 QCT50 QDC50 QDF50 QDO50 QDR50 QEA50 QED50 QEM50 QEP50 QEY50 QFB50 QFK50 QFN50 QFW50 QFZ50 QGI50 QGL50 QGU50 QGX50 QHG50 QHJ50 QHS50 QHV50 QIE50 QIH50 QIQ50 QIT50 QJC50 QJF50 QJO50 QJR50 QKA50 QKD50 QKM50 QKP50 QKY50 QLB50 QLK50 QLN50 QLW50 QLZ50 QMI50 QML50 QMU50 QMX50 QNG50 QNJ50 QNS50 QNV50 QOE50 QOH50 QOQ50 QOT50 QPC50 QPF50 QPO50 QPR50 QQA50 QQD50 QQM50 QQP50 QQY50 QRB50 QRK50 QRN50 QRW50 QRZ50 QSI50 QSL50 QSU50 QSX50 QTG50 QTJ50 QTS50 QTV50 QUE50 QUH50 QUQ50 QUT50 QVC50 QVF50 QVO50 QVR50 QWA50 QWD50 QWM50 QWP50 QWY50 QXB50 QXK50 QXN50 QXW50 QXZ50 QYI50 QYL50 QYU50 QYX50 QZG50 QZJ50 QZS50 QZV50 RAE50 RAH50 RAQ50 RAT50 RBC50 RBF50 RBO50 RBR50 RCA50 RCD50 RCM50 RCP50 RCY50 RDB50 RDK50 RDN50 RDW50 RDZ50 REI50 REL50 REU50 REX50 RFG50 RFJ50 RFS50 RFV50 RGE50 RGH50 RGQ50 RGT50 RHC50 RHF50 RHO50 RHR50 RIA50 RID50 RIM50 RIP50 RIY50 RJB50 RJK50 RJN50 RJW50 RJZ50 RKI50 RKL50 RKU50 RKX50 RLG50 RLJ50 RLS50 RLV50 RME50 RMH50 RMQ50 RMT50 RNC50 RNF50 RNO50 RNR50 ROA50 ROD50 ROM50 ROP50 ROY50 RPB50 RPK50 RPN50 RPW50 RPZ50 RQI50 RQL50 RQU50 RQX50 RRG50 RRJ50 RRS50 RRV50 RSE50 RSH50 RSQ50 RST50 RTC50 RTF50 RTO50 RTR50 RUA50 RUD50 RUM50 RUP50 RUY50 RVB50 RVK50 RVN50 RVW50 RVZ50 RWI50 RWL50 RWU50 RWX50 RXG50 RXJ50 RXS50 RXV50 RYE50 RYH50 RYQ50 RYT50 RZC50 RZF50 RZO50 RZR50 SAA50 SAD50 SAM50 SAP50 SAY50 SBB50 SBK50 SBN50 SBW50 SBZ50 SCI50 SCL50 SCU50 SCX50 SDG50 SDJ50 SDS50 SDV50 SEE50 SEH50 SEQ50 SET50 SFC50 SFF50 SFO50 SFR50 SGA50 SGD50 SGM50 SGP50 SGY50 SHB50 SHK50 SHN50 SHW50 SHZ50 SII50 SIL50 SIU50 SIX50 SJG50 SJJ50 SJS50 SJV50 SKE50 SKH50 SKQ50 SKT50 SLC50 SLF50 SLO50 SLR50 SMA50 SMD50 SMM50 SMP50 SMY50 SNB50 SNK50 SNN50 SNW50 SNZ50 SOI50 SOL50 SOU50 SOX50 SPG50 SPJ50 SPS50 SPV50 SQE50 SQH50 SQQ50 SQT50 SRC50 SRF50 SRO50 SRR50 SSA50 SSD50 SSM50 SSP50 SSY50 STB50 STK50 STN50 STW50 STZ50 SUI50 SUL50 SUU50 SUX50 SVG50 SVJ50 SVS50 SVV50 SWE50 SWH50 SWQ50 SWT50 SXC50 SXF50 SXO50 SXR50 SYA50 SYD50 SYM50 SYP50 SYY50 SZB50 SZK50 SZN50 SZW50 SZZ50 TAI50 TAL50 TAU50 TAX50 TBG50 TBJ50 TBS50 TBV50 TCE50 TCH50 TCQ50 TCT50 TDC50 TDF50 TDO50 TDR50 TEA50 TED50 TEM50 TEP50 TEY50 TFB50 TFK50 TFN50 TFW50 TFZ50 TGI50 TGL50 TGU50 TGX50 THG50 THJ50 THS50 THV50 TIE50 TIH50 TIQ50 TIT50 TJC50 TJF50 TJO50 TJR50 TKA50 TKD50 TKM50 TKP50 TKY50 TLB50 TLK50 TLN50 TLW50 TLZ50 TMI50 TML50 TMU50 TMX50 TNG50 TNJ50 TNS50 TNV50 TOE50 TOH50 TOQ50 TOT50 TPC50 TPF50 TPO50 TPR50 TQA50 TQD50 TQM50 TQP50 TQY50 TRB50 TRK50 TRN50 TRW50 TRZ50 TSI50 TSL50 TSU50 TSX50 TTG50 TTJ50 TTS50 TTV50 TUE50 TUH50 TUQ50 TUT50 TVC50 TVF50 TVO50 TVR50 TWA50 TWD50 TWM50 TWP50 TWY50 TXB50 TXK50 TXN50 TXW50 TXZ50 TYI50 TYL50 TYU50 TYX50 TZG50 TZJ50 TZS50 TZV50 UAE50 UAH50 UAQ50 UAT50 UBC50 UBF50 UBO50 UBR50 UCA50 UCD50 UCM50 UCP50 UCY50 UDB50 UDK50 UDN50 UDW50 UDZ50 UEI50 UEL50 UEU50 UEX50 UFG50 UFJ50 UFS50 UFV50 UGE50 UGH50 UGQ50 UGT50 UHC50 UHF50 UHO50 UHR50 UIA50 UID50 UIM50 UIP50 UIY50 UJB50 UJK50 UJN50 UJW50 UJZ50 UKI50 UKL50 UKU50 UKX50 ULG50 ULJ50 ULS50 ULV50 UME50 UMH50 UMQ50 UMT50 UNC50 UNF50 UNO50 UNR50 UOA50 UOD50 UOM50 UOP50 UOY50 UPB50 UPK50 UPN50 UPW50 UPZ50 UQI50 UQL50 UQU50 UQX50 URG50 URJ50 URS50 URV50 USE50 USH50 USQ50 UST50 UTC50 UTF50 UTO50 UTR50 UUA50 UUD50 UUM50 UUP50 UUY50 UVB50 UVK50 UVN50 UVW50 UVZ50 UWI50 UWL50 UWU50 UWX50 UXG50 UXJ50 UXS50 UXV50 UYE50 UYH50 UYQ50 UYT50 UZC50 UZF50 UZO50 UZR50 VAA50 VAD50 VAM50 VAP50 VAY50 VBB50 VBK50 VBN50 VBW50 VBZ50 VCI50 VCL50 VCU50 VCX50 VDG50 VDJ50 VDS50 VDV50 VEE50 VEH50 VEQ50 VET50 VFC50 VFF50 VFO50 VFR50 VGA50 VGD50 VGM50 VGP50 VGY50 VHB50 VHK50 VHN50 VHW50 VHZ50 VII50 VIL50 VIU50 VIX50 VJG50 VJJ50 VJS50 VJV50 VKE50 VKH50 VKQ50 VKT50 VLC50 VLF50 VLO50 VLR50 VMA50 VMD50 VMM50 VMP50 VMY50 VNB50 VNK50 VNN50 VNW50 VNZ50 VOI50 VOL50 VOU50 VOX50 VPG50 VPJ50 VPS50 VPV50 VQE50 VQH50 VQQ50 VQT50 VRC50 VRF50 VRO50 VRR50 VSA50 VSD50 VSM50 VSP50 VSY50 VTB50 VTK50 VTN50 VTW50 VTZ50 VUI50 VUL50 VUU50 VUX50 VVG50 VVJ50 VVS50 VVV50 VWE50 VWH50 VWQ50 VWT50 VXC50 VXF50 VXO50 VXR50 VYA50 VYD50 VYM50 VYP50 VYY50 VZB50 VZK50 VZN50 VZW50 VZZ50 WAI50 WAL50 WAU50 WAX50 WBG50 WBJ50 WBS50 WBV50 WCE50 WCH50 WCQ50 WCT50 WDC50 WDF50 WDO50 WDR50 WEA50 WED50 WEM50 WEP50 WEY50 WFB50 WFK50 WFN50 WFW50 WFZ50 WGI50 WGL50 WGU50 WGX50 WHG50 WHJ50 WHS50 WHV50 WIE50 WIH50 WIQ50 WIT50 WJC50 WJF50 WJO50 WJR50 WKA50 WKD50 WKM50 WKP50 WKY50 WLB50 WLK50 WLN50 WLW50 WLZ50 WMI50 WML50 WMU50 WMX50 WNG50 WNJ50 WNS50 WNV50 WOE50 WOH50 WOQ50 WOT50 WPC50 WPF50 WPO50 WPR50 WQA50 WQD50 WQM50 WQP50 WQY50 WRB50 WRK50 WRN50 WRW50 WRZ50 WSI50 WSL50 WSU50 WSX50 WTG50 WTJ50 WTS50 WTV50 WUE50 WUH50 WUQ50 WUT50 WVC50 WVF50 WVO50 WVR50 WWA50 WWD50 WWM50 WWP50 WWY50 WXB50 WXK50 WXN50 WXW50 WXZ50 WYI50 WYL50 WYU50 WYX50 WZG50 WZJ50 WZS50 WZV50 XAE50 XAH50 XAQ50 XAT50 XBC50 XBF50 XBO50 XBR50 XCA50 XCD50 XCM50 XCP50 XCY50 XDB50 XDK50 XDN50 XDW50 XDZ50 XEI50 XEL50 XEU50 XEX50 EX52 FG52 FJ52 FS52 FV52 GE52 GH52 GQ52 GT52 HC52 HF52 HO52 HR52 IA52 ID52 IM52 IP52 IY52 JB52 JK52 JN52 JW52 JZ52 KI52 KL52 KU52 KX52 LG52 LJ52 LS52 LV52 ME52 MH52 MQ52 MT52 NC52 NF52 NO52 NR52 OA52 OD52 OM52 OP52 OY52 PB52 PK52 PN52 PW52 PZ52 QI52 QL52 QU52 QX52 RG52 RJ52 RS52 RV52 SE52 SH52 SQ52 ST52 TC52 TF52 TO52 TR52 UA52 UD52 UM52 UP52 UY52 VB52 VK52 VN52 VW52 VZ52 WI52 WL52 WU52 WX52 XG52 XJ52 XS52 XV52 YE52 YH52 YQ52 YT52 ZC52 ZF52 ZO52 ZR52 AAA52 AAD52 AAM52 AAP52 AAY52 ABB52 ABK52 ABN52 ABW52 ABZ52 ACI52 ACL52 ACU52 ACX52 ADG52 ADJ52 ADS52 ADV52 AEE52 AEH52 AEQ52 AET52 AFC52 AFF52 AFO52 AFR52 AGA52 AGD52 AGM52 AGP52 AGY52 AHB52 AHK52 AHN52 AHW52 AHZ52 AII52 AIL52 AIU52 AIX52 AJG52 AJJ52 AJS52 AJV52 AKE52 AKH52 AKQ52 AKT52 ALC52 ALF52 ALO52 ALR52 AMA52 AMD52 AMM52 AMP52 AMY52 ANB52 ANK52 ANN52 ANW52 ANZ52 AOI52 AOL52 AOU52 AOX52 APG52 APJ52 APS52 APV52 AQE52 AQH52 AQQ52 AQT52 ARC52 ARF52 ARO52 ARR52 ASA52 ASD52 ASM52 ASP52 ASY52 ATB52 ATK52 ATN52 ATW52 ATZ52 AUI52 AUL52 AUU52 AUX52 AVG52 AVJ52 AVS52 AVV52 AWE52 AWH52 AWQ52 AWT52 AXC52 AXF52 AXO52 AXR52 AYA52 AYD52 AYM52 AYP52 AYY52 AZB52 AZK52 AZN52 AZW52 AZZ52 BAI52 BAL52 BAU52 BAX52 BBG52 BBJ52 BBS52 BBV52 BCE52 BCH52 BCQ52 BCT52 BDC52 BDF52 BDO52 BDR52 BEA52 BED52 BEM52 BEP52 BEY52 BFB52 BFK52 BFN52 BFW52 BFZ52 BGI52 BGL52 BGU52 BGX52 BHG52 BHJ52 BHS52 BHV52 BIE52 BIH52 BIQ52 BIT52 BJC52 BJF52 BJO52 BJR52 BKA52 BKD52 BKM52 BKP52 BKY52 BLB52 BLK52 BLN52 BLW52 BLZ52 BMI52 BML52 BMU52 BMX52 BNG52 BNJ52 BNS52 BNV52 BOE52 BOH52 BOQ52 BOT52 BPC52 BPF52 BPO52 BPR52 BQA52 BQD52 BQM52 BQP52 BQY52 BRB52 BRK52 BRN52 BRW52 BRZ52 BSI52 BSL52 BSU52 BSX52 BTG52 BTJ52 BTS52 BTV52 BUE52 BUH52 BUQ52 BUT52 BVC52 BVF52 BVO52 BVR52 BWA52 BWD52 BWM52 BWP52 BWY52 BXB52 BXK52 BXN52 BXW52 BXZ52 BYI52 BYL52 BYU52 BYX52 BZG52 BZJ52 BZS52 BZV52 CAE52 CAH52 CAQ52 CAT52 CBC52 CBF52 CBO52 CBR52 CCA52 CCD52 CCM52 CCP52 CCY52 CDB52 CDK52 CDN52 CDW52 CDZ52 CEI52 CEL52 CEU52 CEX52 CFG52 CFJ52 CFS52 CFV52 CGE52 CGH52 CGQ52 CGT52 CHC52 CHF52 CHO52 CHR52 CIA52 CID52 CIM52 CIP52 CIY52 CJB52 CJK52 CJN52 CJW52 CJZ52 CKI52 CKL52 CKU52 CKX52 CLG52 CLJ52 CLS52 CLV52 CME52 CMH52 CMQ52 CMT52 CNC52 CNF52 CNO52 CNR52 COA52 COD52 COM52 COP52 COY52 CPB52 CPK52 CPN52 CPW52 CPZ52 CQI52 CQL52 CQU52 CQX52 CRG52 CRJ52 CRS52 CRV52 CSE52 CSH52 CSQ52 CST52 CTC52 CTF52 CTO52 CTR52 CUA52 CUD52 CUM52 CUP52 CUY52 CVB52 CVK52 CVN52 CVW52 CVZ52 CWI52 CWL52 CWU52 CWX52 CXG52 CXJ52 CXS52 CXV52 CYE52 CYH52 CYQ52 CYT52 CZC52 CZF52 CZO52 CZR52 DAA52 DAD52 DAM52 DAP52 DAY52 DBB52 DBK52 DBN52 DBW52 DBZ52 DCI52 DCL52 DCU52 DCX52 DDG52 DDJ52 DDS52 DDV52 DEE52 DEH52 DEQ52 DET52 DFC52 DFF52 DFO52 DFR52 DGA52 DGD52 DGM52 DGP52 DGY52 DHB52 DHK52 DHN52 DHW52 DHZ52 DII52 DIL52 DIU52 DIX52 DJG52 DJJ52 DJS52 DJV52 DKE52 DKH52 DKQ52 DKT52 DLC52 DLF52 DLO52 DLR52 DMA52 DMD52 DMM52 DMP52 DMY52 DNB52 DNK52 DNN52 DNW52 DNZ52 DOI52 DOL52 DOU52 DOX52 DPG52 DPJ52 DPS52 DPV52 DQE52 DQH52 DQQ52 DQT52 DRC52 DRF52 DRO52 DRR52 DSA52 DSD52 DSM52 DSP52 DSY52 DTB52 DTK52 DTN52 DTW52 DTZ52 DUI52 DUL52 DUU52 DUX52 DVG52 DVJ52 DVS52 DVV52 DWE52 DWH52 DWQ52 DWT52 DXC52 DXF52 DXO52 DXR52 DYA52 DYD52 DYM52 DYP52 DYY52 DZB52 DZK52 DZN52 DZW52 DZZ52 EAI52 EAL52 EAU52 EAX52 EBG52 EBJ52 EBS52 EBV52 ECE52 ECH52 ECQ52 ECT52 EDC52 EDF52 EDO52 EDR52 EEA52 EED52 EEM52 EEP52 EEY52 EFB52 EFK52 EFN52 EFW52 EFZ52 EGI52 EGL52 EGU52 EGX52 EHG52 EHJ52 EHS52 EHV52 EIE52 EIH52 EIQ52 EIT52 EJC52 EJF52 EJO52 EJR52 EKA52 EKD52 EKM52 EKP52 EKY52 ELB52 ELK52 ELN52 ELW52 ELZ52 EMI52 EML52 EMU52 EMX52 ENG52 ENJ52 ENS52 ENV52 EOE52 EOH52 EOQ52 EOT52 EPC52 EPF52 EPO52 EPR52 EQA52 EQD52 EQM52 EQP52 EQY52 ERB52 ERK52 ERN52 ERW52 ERZ52 ESI52 ESL52 ESU52 ESX52 ETG52 ETJ52 ETS52 ETV52 EUE52 EUH52 EUQ52 EUT52 EVC52 EVF52 EVO52 EVR52 EWA52 EWD52 EWM52 EWP52 EWY52 EXB52 EXK52 EXN52 EXW52 EXZ52 EYI52 EYL52 EYU52 EYX52 EZG52 EZJ52 EZS52 EZV52 FAE52 FAH52 FAQ52 FAT52 FBC52 FBF52 FBO52 FBR52 FCA52 FCD52 FCM52 FCP52 FCY52 FDB52 FDK52 FDN52 FDW52 FDZ52 FEI52 FEL52 FEU52 FEX52 FFG52 FFJ52 FFS52 FFV52 FGE52 FGH52 FGQ52 FGT52 FHC52 FHF52 FHO52 FHR52 FIA52 FID52 FIM52 FIP52 FIY52 FJB52 FJK52 FJN52 FJW52 FJZ52 FKI52 FKL52 FKU52 FKX52 FLG52 FLJ52 FLS52 FLV52 FME52 FMH52 FMQ52 FMT52 FNC52 FNF52 FNO52 FNR52 FOA52 FOD52 FOM52 FOP52 FOY52 FPB52 FPK52 FPN52 FPW52 FPZ52 FQI52 FQL52 FQU52 FQX52 FRG52 FRJ52 FRS52 FRV52 FSE52 FSH52 FSQ52 FST52 FTC52 FTF52 FTO52 FTR52 FUA52 FUD52 FUM52 FUP52 FUY52 FVB52 FVK52 FVN52 FVW52 FVZ52 FWI52 FWL52 FWU52 FWX52 FXG52 FXJ52 FXS52 FXV52 FYE52 FYH52 FYQ52 FYT52 FZC52 FZF52 FZO52 FZR52 GAA52 GAD52 GAM52 GAP52 GAY52 GBB52 GBK52 GBN52 GBW52 GBZ52 GCI52 GCL52 GCU52 GCX52 GDG52 GDJ52 GDS52 GDV52 GEE52 GEH52 GEQ52 GET52 GFC52 GFF52 GFO52 GFR52 GGA52 GGD52 GGM52 GGP52 GGY52 GHB52 GHK52 GHN52 GHW52 GHZ52 GII52 GIL52 GIU52 GIX52 GJG52 GJJ52 GJS52 GJV52 GKE52 GKH52 GKQ52 GKT52 GLC52 GLF52 GLO52 GLR52 GMA52 GMD52 GMM52 GMP52 GMY52 GNB52 GNK52 GNN52 GNW52 GNZ52 GOI52 GOL52 GOU52 GOX52 GPG52 GPJ52 GPS52 GPV52 GQE52 GQH52 GQQ52 GQT52 GRC52 GRF52 GRO52 GRR52 GSA52 GSD52 GSM52 GSP52 GSY52 GTB52 GTK52 GTN52 GTW52 GTZ52 GUI52 GUL52 GUU52 GUX52 GVG52 GVJ52 GVS52 GVV52 GWE52 GWH52 GWQ52 GWT52 GXC52 GXF52 GXO52 GXR52 GYA52 GYD52 GYM52 GYP52 GYY52 GZB52 GZK52 GZN52 GZW52 GZZ52 HAI52 HAL52 HAU52 HAX52 HBG52 HBJ52 HBS52 HBV52 HCE52 HCH52 HCQ52 HCT52 HDC52 HDF52 HDO52 HDR52 HEA52 HED52 HEM52 HEP52 HEY52 HFB52 HFK52 HFN52 HFW52 HFZ52 HGI52 HGL52 HGU52 HGX52 HHG52 HHJ52 HHS52 HHV52 HIE52 HIH52 HIQ52 HIT52 HJC52 HJF52 HJO52 HJR52 HKA52 HKD52 HKM52 HKP52 HKY52 HLB52 HLK52 HLN52 HLW52 HLZ52 HMI52 HML52 HMU52 HMX52 HNG52 HNJ52 HNS52 HNV52 HOE52 HOH52 HOQ52 HOT52 HPC52 HPF52 HPO52 HPR52 HQA52 HQD52 HQM52 HQP52 HQY52 HRB52 HRK52 HRN52 HRW52 HRZ52 HSI52 HSL52 HSU52 HSX52 HTG52 HTJ52 HTS52 HTV52 HUE52 HUH52 HUQ52 HUT52 HVC52 HVF52 HVO52 HVR52 HWA52 HWD52 HWM52 HWP52 HWY52 HXB52 HXK52 HXN52 HXW52 HXZ52 HYI52 HYL52 HYU52 HYX52 HZG52 HZJ52 HZS52 HZV52 IAE52 IAH52 IAQ52 IAT52 IBC52 IBF52 IBO52 IBR52 ICA52 ICD52 ICM52 ICP52 ICY52 IDB52 IDK52 IDN52 IDW52 IDZ52 IEI52 IEL52 IEU52 IEX52 IFG52 IFJ52 IFS52 IFV52 IGE52 IGH52 IGQ52 IGT52 IHC52 IHF52 IHO52 IHR52 IIA52 IID52 IIM52 IIP52 IIY52 IJB52 IJK52 IJN52 IJW52 IJZ52 IKI52 IKL52 IKU52 IKX52 ILG52 ILJ52 ILS52 ILV52 IME52 IMH52 IMQ52 IMT52 INC52 INF52 INO52 INR52 IOA52 IOD52 IOM52 IOP52 IOY52 IPB52 IPK52 IPN52 IPW52 IPZ52 IQI52 IQL52 IQU52 IQX52 IRG52 IRJ52 IRS52 IRV52 ISE52 ISH52 ISQ52 IST52 ITC52 ITF52 ITO52 ITR52 IUA52 IUD52 IUM52 IUP52 IUY52 IVB52 IVK52 IVN52 IVW52 IVZ52 IWI52 IWL52 IWU52 IWX52 IXG52 IXJ52 IXS52 IXV52 IYE52 IYH52 IYQ52 IYT52 IZC52 IZF52 IZO52 IZR52 JAA52 JAD52 JAM52 JAP52 JAY52 JBB52 JBK52 JBN52 JBW52 JBZ52 JCI52 JCL52 JCU52 JCX52 JDG52 JDJ52 JDS52 JDV52 JEE52 JEH52 JEQ52 JET52 JFC52 JFF52 JFO52 JFR52 JGA52 JGD52 JGM52 JGP52 JGY52 JHB52 JHK52 JHN52 JHW52 JHZ52 JII52 JIL52 JIU52 JIX52 JJG52 JJJ52 JJS52 JJV52 JKE52 JKH52 JKQ52 JKT52 JLC52 JLF52 JLO52 JLR52 JMA52 JMD52 JMM52 JMP52 JMY52 JNB52 JNK52 JNN52 JNW52 JNZ52 JOI52 JOL52 JOU52 JOX52 JPG52 JPJ52 JPS52 JPV52 JQE52 JQH52 JQQ52 JQT52 JRC52 JRF52 JRO52 JRR52 JSA52 JSD52 JSM52 JSP52 JSY52 JTB52 JTK52 JTN52 JTW52 JTZ52 JUI52 JUL52 JUU52 JUX52 JVG52 JVJ52 JVS52 JVV52 JWE52 JWH52 JWQ52 JWT52 JXC52 JXF52 JXO52 JXR52 JYA52 JYD52 JYM52 JYP52 JYY52 JZB52 JZK52 JZN52 JZW52 JZZ52 KAI52 KAL52 KAU52 KAX52 KBG52 KBJ52 KBS52 KBV52 KCE52 KCH52 KCQ52 KCT52 KDC52 KDF52 KDO52 KDR52 KEA52 KED52 KEM52 KEP52 KEY52 KFB52 KFK52 KFN52 KFW52 KFZ52 KGI52 KGL52 KGU52 KGX52 KHG52 KHJ52 KHS52 KHV52 KIE52 KIH52 KIQ52 KIT52 KJC52 KJF52 KJO52 KJR52 KKA52 KKD52 KKM52 KKP52 KKY52 KLB52 KLK52 KLN52 KLW52 KLZ52 KMI52 KML52 KMU52 KMX52 KNG52 KNJ52 KNS52 KNV52 KOE52 KOH52 KOQ52 KOT52 KPC52 KPF52 KPO52 KPR52 KQA52 KQD52 KQM52 KQP52 KQY52 KRB52 KRK52 KRN52 KRW52 KRZ52 KSI52 KSL52 KSU52 KSX52 KTG52 KTJ52 KTS52 KTV52 KUE52 KUH52 KUQ52 KUT52 KVC52 KVF52 KVO52 KVR52 KWA52 KWD52 KWM52 KWP52 KWY52 KXB52 KXK52 KXN52 KXW52 KXZ52 KYI52 KYL52 KYU52 KYX52 KZG52 KZJ52 KZS52 KZV52 LAE52 LAH52 LAQ52 LAT52 LBC52 LBF52 LBO52 LBR52 LCA52 LCD52 LCM52 LCP52 LCY52 LDB52 LDK52 LDN52 LDW52 LDZ52 LEI52 LEL52 LEU52 LEX52 LFG52 LFJ52 LFS52 LFV52 LGE52 LGH52 LGQ52 LGT52 LHC52 LHF52 LHO52 LHR52 LIA52 LID52 LIM52 LIP52 LIY52 LJB52 LJK52 LJN52 LJW52 LJZ52 LKI52 LKL52 LKU52 LKX52 LLG52 LLJ52 LLS52 LLV52 LME52 LMH52 LMQ52 LMT52 LNC52 LNF52 LNO52 LNR52 LOA52 LOD52 LOM52 LOP52 LOY52 LPB52 LPK52 LPN52 LPW52 LPZ52 LQI52 LQL52 LQU52 LQX52 LRG52 LRJ52 LRS52 LRV52 LSE52 LSH52 LSQ52 LST52 LTC52 LTF52 LTO52 LTR52 LUA52 LUD52 LUM52 LUP52 LUY52 LVB52 LVK52 LVN52 LVW52 LVZ52 LWI52 LWL52 LWU52 LWX52 LXG52 LXJ52 LXS52 LXV52 LYE52 LYH52 LYQ52 LYT52 LZC52 LZF52 LZO52 LZR52 MAA52 MAD52 MAM52 MAP52 MAY52 MBB52 MBK52 MBN52 MBW52 MBZ52 MCI52 MCL52 MCU52 MCX52 MDG52 MDJ52 MDS52 MDV52 MEE52 MEH52 MEQ52 MET52 MFC52 MFF52 MFO52 MFR52 MGA52 MGD52 MGM52 MGP52 MGY52 MHB52 MHK52 MHN52 MHW52 MHZ52 MII52 MIL52 MIU52 MIX52 MJG52 MJJ52 MJS52 MJV52 MKE52 MKH52 MKQ52 MKT52 MLC52 MLF52 MLO52 MLR52 MMA52 MMD52 MMM52 MMP52 MMY52 MNB52 MNK52 MNN52 MNW52 MNZ52 MOI52 MOL52 MOU52 MOX52 MPG52 MPJ52 MPS52 MPV52 MQE52 MQH52 MQQ52 MQT52 MRC52 MRF52 MRO52 MRR52 MSA52 MSD52 MSM52 MSP52 MSY52 MTB52 MTK52 MTN52 MTW52 MTZ52 MUI52 MUL52 MUU52 MUX52 MVG52 MVJ52 MVS52 MVV52 MWE52 MWH52 MWQ52 MWT52 MXC52 MXF52 MXO52 MXR52 MYA52 MYD52 MYM52 MYP52 MYY52 MZB52 MZK52 MZN52 MZW52 MZZ52 NAI52 NAL52 NAU52 NAX52 NBG52 NBJ52 NBS52 NBV52 NCE52 NCH52 NCQ52 NCT52 NDC52 NDF52 NDO52 NDR52 NEA52 NED52 NEM52 NEP52 NEY52 NFB52 NFK52 NFN52 NFW52 NFZ52 NGI52 NGL52 NGU52 NGX52 NHG52 NHJ52 NHS52 NHV52 NIE52 NIH52 NIQ52 NIT52 NJC52 NJF52 NJO52 NJR52 NKA52 NKD52 NKM52 NKP52 NKY52 NLB52 NLK52 NLN52 NLW52 NLZ52 NMI52 NML52 NMU52 NMX52 NNG52 NNJ52 NNS52 NNV52 NOE52 NOH52 NOQ52 NOT52 NPC52 NPF52 NPO52 NPR52 NQA52 NQD52 NQM52 NQP52 NQY52 NRB52 NRK52 NRN52 NRW52 NRZ52 NSI52 NSL52 NSU52 NSX52 NTG52 NTJ52 NTS52 NTV52 NUE52 NUH52 NUQ52 NUT52 NVC52 NVF52 NVO52 NVR52 NWA52 NWD52 NWM52 NWP52 NWY52 NXB52 NXK52 NXN52 NXW52 NXZ52 NYI52 NYL52 NYU52 NYX52 NZG52 NZJ52 NZS52 NZV52 OAE52 OAH52 OAQ52 OAT52 OBC52 OBF52 OBO52 OBR52 OCA52 OCD52 OCM52 OCP52 OCY52 ODB52 ODK52 ODN52 ODW52 ODZ52 OEI52 OEL52 OEU52 OEX52 OFG52 OFJ52 OFS52 OFV52 OGE52 OGH52 OGQ52 OGT52 OHC52 OHF52 OHO52 OHR52 OIA52 OID52 OIM52 OIP52 OIY52 OJB52 OJK52 OJN52 OJW52 OJZ52 OKI52 OKL52 OKU52 OKX52 OLG52 OLJ52 OLS52 OLV52 OME52 OMH52 OMQ52 OMT52 ONC52 ONF52 ONO52 ONR52 OOA52 OOD52 OOM52 OOP52 OOY52 OPB52 OPK52 OPN52 OPW52 OPZ52 OQI52 OQL52 OQU52 OQX52 ORG52 ORJ52 ORS52 ORV52 OSE52 OSH52 OSQ52 OST52 OTC52 OTF52 OTO52 OTR52 OUA52 OUD52 OUM52 OUP52 OUY52 OVB52 OVK52 OVN52 OVW52 OVZ52 OWI52 OWL52 OWU52 OWX52 OXG52 OXJ52 OXS52 OXV52 OYE52 OYH52 OYQ52 OYT52 OZC52 OZF52 OZO52 OZR52 PAA52 PAD52 PAM52 PAP52 PAY52 PBB52 PBK52 PBN52 PBW52 PBZ52 PCI52 PCL52 PCU52 PCX52 PDG52 PDJ52 PDS52 PDV52 PEE52 PEH52 PEQ52 PET52 PFC52 PFF52 PFO52 PFR52 PGA52 PGD52 PGM52 PGP52 PGY52 PHB52 PHK52 PHN52 PHW52 PHZ52 PII52 PIL52 PIU52 PIX52 PJG52 PJJ52 PJS52 PJV52 PKE52 PKH52 PKQ52 PKT52 PLC52 PLF52 PLO52 PLR52 PMA52 PMD52 PMM52 PMP52 PMY52 PNB52 PNK52 PNN52 PNW52 PNZ52 POI52 POL52 POU52 POX52 PPG52 PPJ52 PPS52 PPV52 PQE52 PQH52 PQQ52 PQT52 PRC52 PRF52 PRO52 PRR52 PSA52 PSD52 PSM52 PSP52 PSY52 PTB52 PTK52 PTN52 PTW52 PTZ52 PUI52 PUL52 PUU52 PUX52 PVG52 PVJ52 PVS52 PVV52 PWE52 PWH52 PWQ52 PWT52 PXC52 PXF52 PXO52 PXR52 PYA52 PYD52 PYM52 PYP52 PYY52 PZB52 PZK52 PZN52 PZW52 PZZ52 QAI52 QAL52 QAU52 QAX52 QBG52 QBJ52 QBS52 QBV52 QCE52 QCH52 QCQ52 QCT52 QDC52 QDF52 QDO52 QDR52 QEA52 QED52 QEM52 QEP52 QEY52 QFB52 QFK52 QFN52 QFW52 QFZ52 QGI52 QGL52 QGU52 QGX52 QHG52 QHJ52 QHS52 QHV52 QIE52 QIH52 QIQ52 QIT52 QJC52 QJF52 QJO52 QJR52 QKA52 QKD52 QKM52 QKP52 QKY52 QLB52 QLK52 QLN52 QLW52 QLZ52 QMI52 QML52 QMU52 QMX52 QNG52 QNJ52 QNS52 QNV52 QOE52 QOH52 QOQ52 QOT52 QPC52 QPF52 QPO52 QPR52 QQA52 QQD52 QQM52 QQP52 QQY52 QRB52 QRK52 QRN52 QRW52 QRZ52 QSI52 QSL52 QSU52 QSX52 QTG52 QTJ52 QTS52 QTV52 QUE52 QUH52 QUQ52 QUT52 QVC52 QVF52 QVO52 QVR52 QWA52 QWD52 QWM52 QWP52 QWY52 QXB52 QXK52 QXN52 QXW52 QXZ52 QYI52 QYL52 QYU52 QYX52 QZG52 QZJ52 QZS52 QZV52 RAE52 RAH52 RAQ52 RAT52 RBC52 RBF52 RBO52 RBR52 RCA52 RCD52 RCM52 RCP52 RCY52 RDB52 RDK52 RDN52 RDW52 RDZ52 REI52 REL52 REU52 REX52 RFG52 RFJ52 RFS52 RFV52 RGE52 RGH52 RGQ52 RGT52 RHC52 RHF52 RHO52 RHR52 RIA52 RID52 RIM52 RIP52 RIY52 RJB52 RJK52 RJN52 RJW52 RJZ52 RKI52 RKL52 RKU52 RKX52 RLG52 RLJ52 RLS52 RLV52 RME52 RMH52 RMQ52 RMT52 RNC52 RNF52 RNO52 RNR52 ROA52 ROD52 ROM52 ROP52 ROY52 RPB52 RPK52 RPN52 RPW52 RPZ52 RQI52 RQL52 RQU52 RQX52 RRG52 RRJ52 RRS52 RRV52 RSE52 RSH52 RSQ52 RST52 RTC52 RTF52 RTO52 RTR52 RUA52 RUD52 RUM52 RUP52 RUY52 RVB52 RVK52 RVN52 RVW52 RVZ52 RWI52 RWL52 RWU52 RWX52 RXG52 RXJ52 RXS52 RXV52 RYE52 RYH52 RYQ52 RYT52 RZC52 RZF52 RZO52 RZR52 SAA52 SAD52 SAM52 SAP52 SAY52 SBB52 SBK52 SBN52 SBW52 SBZ52 SCI52 SCL52 SCU52 SCX52 SDG52 SDJ52 SDS52 SDV52 SEE52 SEH52 SEQ52 SET52 SFC52 SFF52 SFO52 SFR52 SGA52 SGD52 SGM52 SGP52 SGY52 SHB52 SHK52 SHN52 SHW52 SHZ52 SII52 SIL52 SIU52 SIX52 SJG52 SJJ52 SJS52 SJV52 SKE52 SKH52 SKQ52 SKT52 SLC52 SLF52 SLO52 SLR52 SMA52 SMD52 SMM52 SMP52 SMY52 SNB52 SNK52 SNN52 SNW52 SNZ52 SOI52 SOL52 SOU52 SOX52 SPG52 SPJ52 SPS52 SPV52 SQE52 SQH52 SQQ52 SQT52 SRC52 SRF52 SRO52 SRR52 SSA52 SSD52 SSM52 SSP52 SSY52 STB52 STK52 STN52 STW52 STZ52 SUI52 SUL52 SUU52 SUX52 SVG52 SVJ52 SVS52 SVV52 SWE52 SWH52 SWQ52 SWT52 SXC52 SXF52 SXO52 SXR52 SYA52 SYD52 SYM52 SYP52 SYY52 SZB52 SZK52 SZN52 SZW52 SZZ52 TAI52 TAL52 TAU52 TAX52 TBG52 TBJ52 TBS52 TBV52 TCE52 TCH52 TCQ52 TCT52 TDC52 TDF52 TDO52 TDR52 TEA52 TED52 TEM52 TEP52 TEY52 TFB52 TFK52 TFN52 TFW52 TFZ52 TGI52 TGL52 TGU52 TGX52 THG52 THJ52 THS52 THV52 TIE52 TIH52 TIQ52 TIT52 TJC52 TJF52 TJO52 TJR52 TKA52 TKD52 TKM52 TKP52 TKY52 TLB52 TLK52 TLN52 TLW52 TLZ52 TMI52 TML52 TMU52 TMX52 TNG52 TNJ52 TNS52 TNV52 TOE52 TOH52 TOQ52 TOT52 TPC52 TPF52 TPO52 TPR52 TQA52 TQD52 TQM52 TQP52 TQY52 TRB52 TRK52 TRN52 TRW52 TRZ52 TSI52 TSL52 TSU52 TSX52 TTG52 TTJ52 TTS52 TTV52 TUE52 TUH52 TUQ52 TUT52 TVC52 TVF52 TVO52 TVR52 TWA52 TWD52 TWM52 TWP52 TWY52 TXB52 TXK52 TXN52 TXW52 TXZ52 TYI52 TYL52 TYU52 TYX52 TZG52 TZJ52 TZS52 TZV52 UAE52 UAH52 UAQ52 UAT52 UBC52 UBF52 UBO52 UBR52 UCA52 UCD52 UCM52 UCP52 UCY52 UDB52 UDK52 UDN52 UDW52 UDZ52 UEI52 UEL52 UEU52 UEX52 UFG52 UFJ52 UFS52 UFV52 UGE52 UGH52 UGQ52 UGT52 UHC52 UHF52 UHO52 UHR52 UIA52 UID52 UIM52 UIP52 UIY52 UJB52 UJK52 UJN52 UJW52 UJZ52 UKI52 UKL52 UKU52 UKX52 ULG52 ULJ52 ULS52 ULV52 UME52 UMH52 UMQ52 UMT52 UNC52 UNF52 UNO52 UNR52 UOA52 UOD52 UOM52 UOP52 UOY52 UPB52 UPK52 UPN52 UPW52 UPZ52 UQI52 UQL52 UQU52 UQX52 URG52 URJ52 URS52 URV52 USE52 USH52 USQ52 UST52 UTC52 UTF52 UTO52 UTR52 UUA52 UUD52 UUM52 UUP52 UUY52 UVB52 UVK52 UVN52 UVW52 UVZ52 UWI52 UWL52 UWU52 UWX52 UXG52 UXJ52 UXS52 UXV52 UYE52 UYH52 UYQ52 UYT52 UZC52 UZF52 UZO52 UZR52 VAA52 VAD52 VAM52 VAP52 VAY52 VBB52 VBK52 VBN52 VBW52 VBZ52 VCI52 VCL52 VCU52 VCX52 VDG52 VDJ52 VDS52 VDV52 VEE52 VEH52 VEQ52 VET52 VFC52 VFF52 VFO52 VFR52 VGA52 VGD52 VGM52 VGP52 VGY52 VHB52 VHK52 VHN52 VHW52 VHZ52 VII52 VIL52 VIU52 VIX52 VJG52 VJJ52 VJS52 VJV52 VKE52 VKH52 VKQ52 VKT52 VLC52 VLF52 VLO52 VLR52 VMA52 VMD52 VMM52 VMP52 VMY52 VNB52 VNK52 VNN52 VNW52 VNZ52 VOI52 VOL52 VOU52 VOX52 VPG52 VPJ52 VPS52 VPV52 VQE52 VQH52 VQQ52 VQT52 VRC52 VRF52 VRO52 VRR52 VSA52 VSD52 VSM52 VSP52 VSY52 VTB52 VTK52 VTN52 VTW52 VTZ52 VUI52 VUL52 VUU52 VUX52 VVG52 VVJ52 VVS52 VVV52 VWE52 VWH52 VWQ52 VWT52 VXC52 VXF52 VXO52 VXR52 VYA52 VYD52 VYM52 VYP52 VYY52 VZB52 VZK52 VZN52 VZW52 VZZ52 WAI52 WAL52 WAU52 WAX52 WBG52 WBJ52 WBS52 WBV52 WCE52 WCH52 WCQ52 WCT52 WDC52 WDF52 WDO52 WDR52 WEA52 WED52 WEM52 WEP52 WEY52 WFB52 WFK52 WFN52 WFW52 WFZ52 WGI52 WGL52 WGU52 WGX52 WHG52 WHJ52 WHS52 WHV52 WIE52 WIH52 WIQ52 WIT52 WJC52 WJF52 WJO52 WJR52 WKA52 WKD52 WKM52 WKP52 WKY52 WLB52 WLK52 WLN52 WLW52 WLZ52 WMI52 WML52 WMU52 WMX52 WNG52 WNJ52 WNS52 WNV52 WOE52 WOH52 WOQ52 WOT52 WPC52 WPF52 WPO52 WPR52 WQA52 WQD52 WQM52 WQP52 WQY52 WRB52 WRK52 WRN52 WRW52 WRZ52 WSI52 WSL52 WSU52 WSX52 WTG52 WTJ52 WTS52 WTV52 WUE52 WUH52 WUQ52 WUT52 WVC52 WVF52 WVO52 WVR52 WWA52 WWD52 WWM52 WWP52 WWY52 WXB52 WXK52 WXN52 WXW52 WXZ52 WYI52 WYL52 WYU52 WYX52 WZG52 WZJ52 WZS52 WZV52 XAE52 XAH52 XAQ52 XAT52 XBC52 XBF52 XBO52 XBR52 XCA52 XCD52 XCM52 XCP52 XCY52 XDB52 XDK52 XDN52 XDW52 XDZ52 XEI52 XEL52 XEU52 XEX52">
    <cfRule type="cellIs" dxfId="16" priority="1" stopIfTrue="1" operator="lessThanOrEqual">
      <formula>-0.1</formula>
    </cfRule>
    <cfRule type="expression" dxfId="15" priority="2">
      <formula>AND(ISNUMBER(G4), G4&gt;=0.1)</formula>
    </cfRule>
  </conditionalFormatting>
  <hyperlinks>
    <hyperlink ref="L4" r:id="rId1" display="https://us3.assetplanner.com/service_request?ID=107464" xr:uid="{7370A6B1-7CBA-4210-8B85-EAACEA7B9545}"/>
    <hyperlink ref="L6" r:id="rId2" display="https://us3.assetplanner.com/service_request?ID=108295" xr:uid="{1599CD2E-9D9C-43E7-9EDC-BBDF6E0D0298}"/>
    <hyperlink ref="L8" r:id="rId3" display="https://us3.assetplanner.com/service_request?ID=093291" xr:uid="{13D4154A-4CD4-4928-8D58-1454C70EED20}"/>
    <hyperlink ref="L10" r:id="rId4" display="https://us3.assetplanner.com/service_request?ID=095666" xr:uid="{BBC4BE35-0494-40D6-8945-5EEF940A0E45}"/>
    <hyperlink ref="L12" r:id="rId5" display="https://us3.assetplanner.com/service_request?ID=093633" xr:uid="{960C12E6-4684-47DB-A294-D00F231B46C8}"/>
    <hyperlink ref="M12" r:id="rId6" display="https://us3.assetplanner.com/service_request?ID=093292" xr:uid="{9267C166-2F14-4C57-8BB8-62AE36998E61}"/>
    <hyperlink ref="L14" r:id="rId7" display="https://us3.assetplanner.com/service_request?ID=104856" xr:uid="{A45965EB-D9DC-452F-83F6-7773314BAD0A}"/>
    <hyperlink ref="M14" r:id="rId8" display="https://us3.assetplanner.com/service_request?ID=093924" xr:uid="{D0445F22-8A3B-4401-8BF7-C5B000B29FDB}"/>
    <hyperlink ref="N14" r:id="rId9" display="https://us3.assetplanner.com/service_request?ID=086842" xr:uid="{F613B9FD-195A-42B4-8836-82CDB8E731FE}"/>
    <hyperlink ref="O14" r:id="rId10" display="https://us3.assetplanner.com/service_request?ID=103245" xr:uid="{A3FD0BA5-4BC9-4373-9A7F-CC14C064DEB0}"/>
    <hyperlink ref="L18" r:id="rId11" display="https://us3.assetplanner.com/service_request?ID=103259" xr:uid="{64B92779-99B2-4A66-AE59-1C94E338B6AA}"/>
    <hyperlink ref="L20" r:id="rId12" display="https://us3.assetplanner.com/service_request?ID=108228" xr:uid="{EB1C6B4E-34D6-40F1-A099-6D82C9ABE43D}"/>
    <hyperlink ref="M20" r:id="rId13" display="https://us3.assetplanner.com/service_request?ID=107240" xr:uid="{60BA210B-2CB9-4B73-ACF9-2E77C4C807E5}"/>
    <hyperlink ref="N20" r:id="rId14" display="https://us3.assetplanner.com/service_request?ID=101786" xr:uid="{1D55D456-FE11-4BBC-8FE9-B4C46E33D0B9}"/>
    <hyperlink ref="O20" r:id="rId15" display="https://us3.assetplanner.com/service_request?ID=102902" xr:uid="{53D2298C-713B-4C43-9271-DC9D82420DE4}"/>
    <hyperlink ref="L23" r:id="rId16" display="https://us3.assetplanner.com/service_request?ID=102672" xr:uid="{5B194EAE-C2FB-434C-8E29-7D4192BFC42D}"/>
    <hyperlink ref="L27" r:id="rId17" display="https://us3.assetplanner.com/service_request?ID=093236" xr:uid="{B0847869-142F-4D8E-811E-4A43FE7C1172}"/>
    <hyperlink ref="L28" r:id="rId18" display="https://us3.assetplanner.com/service_request?ID=107361" xr:uid="{BE855188-991F-4510-8A3F-EC34D106BB7E}"/>
    <hyperlink ref="L32" r:id="rId19" display="https://us3.assetplanner.com/service_request?ID=102529" xr:uid="{7DEE25ED-7CB4-4B1D-89D2-8D7B738C2D97}"/>
    <hyperlink ref="L34" r:id="rId20" display="https://us3.assetplanner.com/service_request?ID=088282" xr:uid="{80185229-749C-4179-A6B4-8BE97DBF1F8D}"/>
    <hyperlink ref="L35" r:id="rId21" display="https://us3.assetplanner.com/service_request?ID=105502" xr:uid="{9C03EDD4-D7F4-454E-B40F-E7DC1D515149}"/>
    <hyperlink ref="L36" r:id="rId22" display="https://us3.assetplanner.com/service_request?ID=108939" xr:uid="{BFD194B7-BC60-4C77-AA8C-D77411FE8ED8}"/>
    <hyperlink ref="L38" r:id="rId23" display="https://us3.assetplanner.com/service_request?ID=088813" xr:uid="{BB497665-AA5D-46DE-9E6A-F31113A32CE4}"/>
    <hyperlink ref="L39" r:id="rId24" display="https://us3.assetplanner.com/service_request?ID=105544" xr:uid="{6EEA07C6-14D2-44A5-AA51-0913F1FB0BA0}"/>
    <hyperlink ref="L40" r:id="rId25" display="https://us3.assetplanner.com/service_request?ID=107242" xr:uid="{AF2C3CA1-8B2A-4C9D-B6FF-0BB611126D87}"/>
    <hyperlink ref="M40" r:id="rId26" display="https://us3.assetplanner.com/service_request?ID=093324" xr:uid="{C53D6E75-91A6-47C8-81A6-167270AF0006}"/>
    <hyperlink ref="L41" r:id="rId27" display="https://us3.assetplanner.com/service_request?ID=107329" xr:uid="{7D213F27-B9D1-4B46-8AD2-CB7E8D573BBB}"/>
    <hyperlink ref="L43" r:id="rId28" display="https://us3.assetplanner.com/service_request?ID=093326" xr:uid="{321C6E01-2D18-46CF-910C-45A2A543F2BB}"/>
    <hyperlink ref="M43" r:id="rId29" display="https://us3.assetplanner.com/service_request?ID=107164" xr:uid="{07B18070-16D7-4978-AD9D-56821FF9E899}"/>
    <hyperlink ref="L44" r:id="rId30" display="https://us3.assetplanner.com/service_request?ID=093327" xr:uid="{D7DB1E60-FE36-40B3-ADE0-6A800CEDEB1B}"/>
    <hyperlink ref="L47" r:id="rId31" display="https://us3.assetplanner.com/service_request?ID=095662" xr:uid="{BD5189E2-DFC2-4EDD-9603-348BE02DC170}"/>
    <hyperlink ref="L51" r:id="rId32" display="https://us3.assetplanner.com/service_request?ID=105932" xr:uid="{6ED0C127-6779-4C26-91A2-27E36D2DA345}"/>
    <hyperlink ref="M51" r:id="rId33" display="https://us3.assetplanner.com/service_request?ID=098241" xr:uid="{1F3F71A0-9CBC-46DF-83F5-9FDF50644E1B}"/>
    <hyperlink ref="N51" r:id="rId34" display="https://us3.assetplanner.com/service_request?ID=105932" xr:uid="{700AAD5C-5647-4579-8F11-9CD4D7BCCD78}"/>
    <hyperlink ref="L53" r:id="rId35" display="https://us3.assetplanner.com/service_request?ID=107934" xr:uid="{3FC4B2DB-3ADD-43B5-9E7E-AA344E10DDBB}"/>
    <hyperlink ref="M53" r:id="rId36" display="https://us3.assetplanner.com/service_request?ID=105933" xr:uid="{8531819B-6451-469B-A1DB-4BC89F1D90FC}"/>
    <hyperlink ref="L54" r:id="rId37" display="https://us3.assetplanner.com/service_request?ID=106721" xr:uid="{4763D776-BA60-43F8-ABE1-52985289232D}"/>
    <hyperlink ref="L56" r:id="rId38" display="https://us3.assetplanner.com/service_request?ID=108007" xr:uid="{4A08A02F-D5A8-4750-A611-1EFBF767A219}"/>
    <hyperlink ref="M56" r:id="rId39" display="https://us3.assetplanner.com/service_request?ID=108411" xr:uid="{DF793B32-9B05-41BE-BAD9-01D502139924}"/>
    <hyperlink ref="N56" r:id="rId40" display="https://us3.assetplanner.com/service_request?ID=104403" xr:uid="{B56B76C1-2877-471E-B421-5ADBF448C80D}"/>
    <hyperlink ref="L58" r:id="rId41" display="https://us3.assetplanner.com/service_request?ID=098641" xr:uid="{909FAF85-D346-4472-9D0F-A19473F10524}"/>
    <hyperlink ref="L59" r:id="rId42" display="https://us3.assetplanner.com/service_request?ID=106726" xr:uid="{FF2AE7EB-504D-4ABD-B5A4-7FCF0CE615EC}"/>
    <hyperlink ref="L60" r:id="rId43" display="https://us3.assetplanner.com/service_request?ID=107702" xr:uid="{A479B421-F7F1-4C3A-BCCE-5596179A10A5}"/>
    <hyperlink ref="L61" r:id="rId44" display="https://us3.assetplanner.com/service_request?ID=107603" xr:uid="{48D3F033-20FE-4FC5-931F-C19AF22DA769}"/>
    <hyperlink ref="M61" r:id="rId45" display="https://us3.assetplanner.com/service_request?ID=107011" xr:uid="{12BFD7CC-CB55-4D81-B9D1-6A499DAFE907}"/>
    <hyperlink ref="L63" r:id="rId46" display="https://us3.assetplanner.com/service_request?ID=108390" xr:uid="{43804A5A-00B0-4EE7-8ED3-F92D585D5EFB}"/>
    <hyperlink ref="M63" r:id="rId47" display="https://us3.assetplanner.com/service_request?ID=099403" xr:uid="{C36CDAF3-9B17-4F28-A04D-5E70511EAF62}"/>
    <hyperlink ref="L65" r:id="rId48" display="https://us3.assetplanner.com/service_request?ID=107750" xr:uid="{E342625D-94EC-4C72-BC6F-A5E8573A4380}"/>
    <hyperlink ref="L66" r:id="rId49" display="https://us3.assetplanner.com/service_request?ID=107751" xr:uid="{F5AED1C2-07D3-4318-8427-A8A5E2E04F9B}"/>
    <hyperlink ref="M66" r:id="rId50" display="https://us3.assetplanner.com/service_request?ID=105816" xr:uid="{BC994CC7-BB5E-42BC-8060-3C2502162013}"/>
    <hyperlink ref="N66" r:id="rId51" display="https://us3.assetplanner.com/service_request?ID=107490" xr:uid="{DDBCB53F-C573-469D-8E67-7602EA9D02DD}"/>
    <hyperlink ref="O66" r:id="rId52" display="https://us3.assetplanner.com/service_request?ID=093024" xr:uid="{4E7B74A7-C50B-472A-8E0C-B4692BAE13D8}"/>
    <hyperlink ref="L67" r:id="rId53" display="https://us3.assetplanner.com/service_request?ID=107758" xr:uid="{DFEE27F2-BE74-4D75-8E88-ACA1F37FE8A0}"/>
    <hyperlink ref="M67" r:id="rId54" display="https://us3.assetplanner.com/service_request?ID=107491" xr:uid="{051A6D03-C2B2-4939-96AE-F6F945F4DCE1}"/>
    <hyperlink ref="N67" r:id="rId55" display="https://us3.assetplanner.com/service_request?ID=108045" xr:uid="{7780AAA4-304A-4581-A792-8F983BE918FF}"/>
    <hyperlink ref="L68" r:id="rId56" display="https://us3.assetplanner.com/service_request?ID=107780" xr:uid="{DE520446-13A1-4D46-ABC1-5633E82862EB}"/>
    <hyperlink ref="L70" r:id="rId57" display="https://us3.assetplanner.com/service_request?ID=108277" xr:uid="{99F8AE75-71B6-4818-9496-6293BED73E7D}"/>
    <hyperlink ref="L71" r:id="rId58" display="https://us3.assetplanner.com/service_request?ID=108456" xr:uid="{D759C16A-5A29-4034-9A52-2932CB854A17}"/>
    <hyperlink ref="M71" r:id="rId59" display="https://us3.assetplanner.com/service_request?ID=107506" xr:uid="{9B6188BF-E09F-465D-899F-0EAE26C37788}"/>
    <hyperlink ref="L72" r:id="rId60" display="https://us3.assetplanner.com/service_request?ID=108486" xr:uid="{D3696F29-A6EA-40B0-80D2-3FC01C26B232}"/>
    <hyperlink ref="M72" r:id="rId61" display="https://us3.assetplanner.com/service_request?ID=106622" xr:uid="{0D599B4F-2A6E-4EEE-8E18-BA6E5D57036D}"/>
    <hyperlink ref="L73" r:id="rId62" display="https://us3.assetplanner.com/service_request?ID=107254" xr:uid="{1B0122E8-4A46-45CC-948F-DE12EDE4E30F}"/>
    <hyperlink ref="M73" r:id="rId63" display="https://us3.assetplanner.com/service_request?ID=108118" xr:uid="{5E7DA26B-1244-4067-9576-7957818EE294}"/>
    <hyperlink ref="N73" r:id="rId64" display="https://us3.assetplanner.com/service_request?ID=106503" xr:uid="{C2DE922D-E5A2-47B8-AB78-AC190A17B2E1}"/>
    <hyperlink ref="O73" r:id="rId65" display="https://us3.assetplanner.com/service_request?ID=105774" xr:uid="{22C529D9-7AD2-4D19-8380-F963C7D80240}"/>
    <hyperlink ref="L74" r:id="rId66" display="https://us3.assetplanner.com/service_request?ID=107267" xr:uid="{69880A76-7D61-4802-9F10-4C65EE3BDF02}"/>
    <hyperlink ref="M74" r:id="rId67" display="https://us3.assetplanner.com/service_request?ID=108310" xr:uid="{D51DCF4A-3F3D-4F09-BDBD-7BF33495CD06}"/>
    <hyperlink ref="N74" r:id="rId68" display="https://us3.assetplanner.com/service_request?ID=107323" xr:uid="{9F576889-7C27-468E-BB7A-99F4F8C4F0FC}"/>
    <hyperlink ref="O74" r:id="rId69" display="https://us3.assetplanner.com/service_request?ID=108010" xr:uid="{FDBEEA2A-FF96-41CB-A028-7F719E647855}"/>
    <hyperlink ref="P74" r:id="rId70" display="https://us3.assetplanner.com/service_request?ID=106662" xr:uid="{9B618850-F97E-470B-B5BA-5F5D7AFF79FB}"/>
    <hyperlink ref="Q74" r:id="rId71" display="https://us3.assetplanner.com/service_request?ID=106755" xr:uid="{11491098-140B-4F69-8EC3-20C43E7CA9E7}"/>
    <hyperlink ref="R74" r:id="rId72" display="https://us3.assetplanner.com/service_request?ID=107706" xr:uid="{972DED96-8B59-4F6D-9DBD-FBC1F9987F5E}"/>
    <hyperlink ref="S74" r:id="rId73" display="https://us3.assetplanner.com/service_request?ID=107651" xr:uid="{09920105-B76A-4AEE-874C-2865E8F8D4E3}"/>
    <hyperlink ref="T74" r:id="rId74" display="https://us3.assetplanner.com/service_request?ID=107331" xr:uid="{4A24163A-D156-4E67-89B5-B84BF73653B4}"/>
    <hyperlink ref="U74" r:id="rId75" display="https://us3.assetplanner.com/service_request?ID=106786" xr:uid="{070CB0F7-B7CB-4452-8207-55C597093AD1}"/>
    <hyperlink ref="V74" r:id="rId76" display="https://us3.assetplanner.com/service_request?ID=108010" xr:uid="{E40F5EA0-4364-4CB3-B1A0-E8822514D85B}"/>
    <hyperlink ref="L75" r:id="rId77" display="https://us3.assetplanner.com/service_request?ID=108338" xr:uid="{845BC03A-AB62-4C2F-8846-8BFDA6BCB61E}"/>
    <hyperlink ref="M75" r:id="rId78" display="https://us3.assetplanner.com/service_request?ID=107449" xr:uid="{45B0CBBA-7A7F-40EA-BC82-B2F29897C00D}"/>
    <hyperlink ref="N75" r:id="rId79" display="https://us3.assetplanner.com/service_request?ID=108470" xr:uid="{082E7733-9E8B-41FF-97C1-0D56086F9111}"/>
    <hyperlink ref="L76" r:id="rId80" display="https://us3.assetplanner.com/service_request?ID=108139" xr:uid="{AC32BA36-FBBA-4B67-B295-CE90FF16BB0A}"/>
    <hyperlink ref="L77" r:id="rId81" display="https://us3.assetplanner.com/service_request?ID=101820" xr:uid="{F7772FE9-C5A5-434B-9902-C323CDD0F320}"/>
    <hyperlink ref="L79" r:id="rId82" display="https://us3.assetplanner.com/service_request?ID=105775" xr:uid="{3F0CD0A2-BE0A-474D-A5BD-64A34B6F34E3}"/>
    <hyperlink ref="L81" r:id="rId83" display="https://us3.assetplanner.com/service_request?ID=105649" xr:uid="{726444C5-95A1-4978-8034-792CE381E79E}"/>
    <hyperlink ref="L82" r:id="rId84" display="https://us3.assetplanner.com/service_request?ID=107234" xr:uid="{EDCCB894-9019-4581-A974-B64DFDE26E22}"/>
    <hyperlink ref="M82" r:id="rId85" display="https://us3.assetplanner.com/service_request?ID=108143" xr:uid="{5CF1503E-D623-41C0-83DE-05F1CE44FE73}"/>
    <hyperlink ref="L83" r:id="rId86" display="https://us3.assetplanner.com/service_request?ID=108145" xr:uid="{0EA4426A-B017-4AB2-8362-FF1C4CFBDCDC}"/>
    <hyperlink ref="M83" r:id="rId87" display="https://us3.assetplanner.com/service_request?ID=107236" xr:uid="{22E15D74-5AAA-4443-8DAF-21C8A40E2546}"/>
    <hyperlink ref="N83" r:id="rId88" display="https://us3.assetplanner.com/service_request?ID=105659" xr:uid="{D21AA40B-4C7E-4C18-B38B-B326C76F43CB}"/>
    <hyperlink ref="O83" r:id="rId89" display="https://us3.assetplanner.com/service_request?ID=108266" xr:uid="{B3E5492E-7BFF-48E4-B85B-410CDC1F98B2}"/>
    <hyperlink ref="L85" r:id="rId90" display="https://us3.assetplanner.com/service_request?ID=107585" xr:uid="{A4956E45-7977-4D97-8D8C-0535CF53DA74}"/>
    <hyperlink ref="L86" r:id="rId91" display="https://us3.assetplanner.com/service_request?ID=106797" xr:uid="{EA37553E-D444-4A03-916D-58429E570EE8}"/>
    <hyperlink ref="M86" r:id="rId92" display="https://us3.assetplanner.com/service_request?ID=108023" xr:uid="{FD8DB488-DD7E-46F1-8207-FDD865C33FBD}"/>
    <hyperlink ref="L87" r:id="rId93" display="https://us3.assetplanner.com/service_request?ID=108111" xr:uid="{49182905-CA61-4C8D-84C2-7328EBE5ECDD}"/>
    <hyperlink ref="L88" r:id="rId94" display="https://us3.assetplanner.com/service_request?ID=107665" xr:uid="{C3DB3DFA-60D0-46C2-AD2F-2F12A96EE694}"/>
    <hyperlink ref="L89" r:id="rId95" display="https://us3.assetplanner.com/service_request?ID=107450" xr:uid="{13142F65-98DA-4639-A2E8-E1D9A8456270}"/>
    <hyperlink ref="M89" r:id="rId96" display="https://us3.assetplanner.com/service_request?ID=107667" xr:uid="{550B1BCD-FACE-47F6-B9EA-4DCE1140715C}"/>
    <hyperlink ref="L90" r:id="rId97" display="https://us3.assetplanner.com/service_request?ID=107666" xr:uid="{1D4C4193-A2A9-4881-AD31-5978EB2EB65B}"/>
    <hyperlink ref="L91" r:id="rId98" display="https://us3.assetplanner.com/service_request?ID=106843" xr:uid="{938395CA-2F20-4147-B6FE-3FABCB68FC4D}"/>
    <hyperlink ref="L92" r:id="rId99" display="https://us3.assetplanner.com/service_request?ID=105180" xr:uid="{0050504D-AF77-4C40-A53B-6194EA02E334}"/>
    <hyperlink ref="L93" r:id="rId100" display="https://us3.assetplanner.com/service_request?ID=107142" xr:uid="{08868AC3-AC49-4337-8A5C-05471E3BA746}"/>
    <hyperlink ref="L97" r:id="rId101" display="https://us3.assetplanner.com/service_request?ID=107955" xr:uid="{F35B73E5-B7F1-4BF2-B242-32A7EBB6EE50}"/>
    <hyperlink ref="L99" r:id="rId102" display="https://us3.assetplanner.com/service_request?ID=107478" xr:uid="{BD05A548-A53A-433C-9488-5BAAB70609CC}"/>
    <hyperlink ref="M99" r:id="rId103" display="https://us3.assetplanner.com/service_request?ID=107493" xr:uid="{DF539288-D287-496B-8889-E0C8CD5B7792}"/>
    <hyperlink ref="N99" r:id="rId104" display="https://us3.assetplanner.com/service_request?ID=107781" xr:uid="{1FF4DA1E-D22B-4D40-9202-C7CA5C14E924}"/>
    <hyperlink ref="L100" r:id="rId105" display="https://us3.assetplanner.com/service_request?ID=107090" xr:uid="{FF61674F-500A-4CC0-8672-4524DFE9D498}"/>
    <hyperlink ref="L101" r:id="rId106" display="https://us3.assetplanner.com/service_request?ID=102328" xr:uid="{184065AF-40C8-44F7-9210-AF5BEAB511C3}"/>
    <hyperlink ref="L108" r:id="rId107" display="https://us3.assetplanner.com/service_request?ID=106058" xr:uid="{81633A10-AD09-4AE2-96DB-61DCEC004183}"/>
    <hyperlink ref="M108" r:id="rId108" display="https://us3.assetplanner.com/service_request?ID=106176" xr:uid="{B0DC3F17-D929-4CDD-B068-B17C52E97480}"/>
    <hyperlink ref="N108" r:id="rId109" display="https://us3.assetplanner.com/service_request?ID=108248" xr:uid="{9B26AD05-A0D8-4143-A198-D7A70B5CE60D}"/>
    <hyperlink ref="L110" r:id="rId110" display="https://us3.assetplanner.com/service_request?ID=105964" xr:uid="{DA4EBC61-510E-4DCE-846E-B60251D2F6D4}"/>
    <hyperlink ref="M110" r:id="rId111" display="https://us3.assetplanner.com/service_request?ID=106921" xr:uid="{9BFFC367-267D-4906-BA5F-153EB2DB7616}"/>
    <hyperlink ref="L111" r:id="rId112" display="https://us3.assetplanner.com/service_request?ID=107313" xr:uid="{35BAF010-FA76-447D-89F2-C0C21D4E8B6A}"/>
    <hyperlink ref="M111" r:id="rId113" display="https://us3.assetplanner.com/service_request?ID=107939" xr:uid="{8AE0409E-3959-44FC-8285-4E2A45A2812D}"/>
    <hyperlink ref="N111" r:id="rId114" display="https://us3.assetplanner.com/service_request?ID=108225" xr:uid="{548ADBBA-A9C6-4A18-ACC7-CDC2860934D7}"/>
    <hyperlink ref="O111" r:id="rId115" display="https://us3.assetplanner.com/service_request?ID=108330" xr:uid="{998494F0-93DA-4F9C-8167-FB3790030E56}"/>
    <hyperlink ref="P111" r:id="rId116" display="https://us3.assetplanner.com/service_request?ID=108395" xr:uid="{62D98FAF-38C6-438E-856A-EA2765C0E633}"/>
    <hyperlink ref="Q111" r:id="rId117" display="https://us3.assetplanner.com/service_request?ID=108400" xr:uid="{464D4833-7BDF-48F7-8E59-A90FE97709E7}"/>
    <hyperlink ref="L112" r:id="rId118" display="https://us3.assetplanner.com/service_request?ID=107376" xr:uid="{2EA13BDB-D0F0-4FB8-BCA5-CD3D7275343A}"/>
    <hyperlink ref="M112" r:id="rId119" display="https://us3.assetplanner.com/service_request?ID=107937" xr:uid="{DFC4B292-0AC3-4B7F-8388-A85908E77ACE}"/>
    <hyperlink ref="L114" r:id="rId120" display="https://us3.assetplanner.com/service_request?ID=106501" xr:uid="{6BDD3F55-A961-4A8D-9416-E28E3E2E450C}"/>
    <hyperlink ref="M114" r:id="rId121" display="https://us3.assetplanner.com/service_request?ID=097454" xr:uid="{F4DE27E8-1DD5-420B-9577-FFFCC4D95E89}"/>
    <hyperlink ref="L116" r:id="rId122" display="https://us3.assetplanner.com/service_request?ID=107556" xr:uid="{B5515286-2799-4DEA-AE94-7BB74596BA36}"/>
    <hyperlink ref="M116" r:id="rId123" display="https://us3.assetplanner.com/service_request?ID=107893" xr:uid="{54EED91A-A267-42DF-959C-876DBCEED563}"/>
    <hyperlink ref="N116" r:id="rId124" display="https://us3.assetplanner.com/service_request?ID=108334" xr:uid="{E51A09F2-1C3E-479D-A55A-8A97D2DD5CDA}"/>
    <hyperlink ref="L132" r:id="rId125" display="https://us3.assetplanner.com/service_request?ID=103141" xr:uid="{6FDB23C1-4D0A-4A6D-B950-812594B2405A}"/>
    <hyperlink ref="L133" r:id="rId126" display="https://us3.assetplanner.com/service_request?ID=103871" xr:uid="{8C09EBB0-0DA9-422C-A343-B79A7E8DF9A9}"/>
    <hyperlink ref="M133" r:id="rId127" display="https://us3.assetplanner.com/service_request?ID=103710" xr:uid="{79ECF2D8-C2F4-45C7-8EFE-9D07C58D8414}"/>
    <hyperlink ref="L139" r:id="rId128" display="https://us3.assetplanner.com/service_request?ID=106530" xr:uid="{0038DD38-DD89-4B04-AF73-1595B8BEC16D}"/>
    <hyperlink ref="L140" r:id="rId129" display="https://us3.assetplanner.com/service_request?ID=107411" xr:uid="{0AE2D005-00B0-485E-B133-47A1CE3D3912}"/>
    <hyperlink ref="M140" r:id="rId130" display="https://us3.assetplanner.com/service_request?ID=106387" xr:uid="{B4D9E7F0-719B-47DB-96C5-BC49D314B857}"/>
    <hyperlink ref="N140" r:id="rId131" display="https://us3.assetplanner.com/service_request?ID=107805" xr:uid="{74D44069-1576-4CF6-A26E-EF7FBB3FF2BF}"/>
    <hyperlink ref="O140" r:id="rId132" display="https://us3.assetplanner.com/service_request?ID=103641" xr:uid="{48094B1D-04DC-4CD9-9031-0F8147ED065D}"/>
    <hyperlink ref="L141" r:id="rId133" display="https://us3.assetplanner.com/service_request?ID=103246" xr:uid="{30864666-4264-4690-9B5F-A1F5901C7F11}"/>
    <hyperlink ref="L142" r:id="rId134" display="https://us3.assetplanner.com/service_request?ID=108093" xr:uid="{6A624DF6-5EEA-4E12-9157-18094F52B882}"/>
    <hyperlink ref="L144" r:id="rId135" display="https://us3.assetplanner.com/service_request?ID=107495" xr:uid="{A200F455-787F-4ED3-BA3C-920FF45F280F}"/>
    <hyperlink ref="M144" r:id="rId136" display="https://us3.assetplanner.com/service_request?ID=100220" xr:uid="{4A9C86C7-661F-48E4-A309-B860CC3B70A1}"/>
    <hyperlink ref="L145" r:id="rId137" display="https://us3.assetplanner.com/service_request?ID=108427" xr:uid="{9A66924D-F0B4-4A68-94FB-B6CBB296DDC7}"/>
    <hyperlink ref="M145" r:id="rId138" display="https://us3.assetplanner.com/service_request?ID=108396" xr:uid="{88417FF1-4A89-4603-B376-5A1786A822DE}"/>
    <hyperlink ref="N145" r:id="rId139" display="https://us3.assetplanner.com/service_request?ID=107295" xr:uid="{7602448B-94F8-4161-99AD-61805BFA6564}"/>
    <hyperlink ref="O145" r:id="rId140" display="https://us3.assetplanner.com/service_request?ID=107059" xr:uid="{DEB10D25-BB8E-4DCE-8F48-765FCF4C52CE}"/>
    <hyperlink ref="L146" r:id="rId141" display="https://us3.assetplanner.com/service_request?ID=105922" xr:uid="{BACD6BD6-0B6E-4FDB-8F06-BC40C51DCBAC}"/>
    <hyperlink ref="M146" r:id="rId142" display="https://us3.assetplanner.com/service_request?ID=106486" xr:uid="{D6EF4C6F-4202-4FEE-9DC2-8A981DC63808}"/>
    <hyperlink ref="L150" r:id="rId143" display="https://us3.assetplanner.com/service_request?ID=107368" xr:uid="{4D2C1A0A-D9AB-4B79-9EFE-323F510792BB}"/>
    <hyperlink ref="M150" r:id="rId144" display="https://us3.assetplanner.com/service_request?ID=107988" xr:uid="{6A7CAABB-CCFB-4CBE-BE33-E6F6BFA39773}"/>
    <hyperlink ref="L152" r:id="rId145" display="https://us3.assetplanner.com/service_request?ID=098278" xr:uid="{440F69F5-2756-42F4-9443-24C653DD90CE}"/>
    <hyperlink ref="M152" r:id="rId146" display="https://us3.assetplanner.com/service_request?ID=098670" xr:uid="{8FF89DF2-2F6A-4E16-AA5C-0F6C80DE1456}"/>
    <hyperlink ref="L153" r:id="rId147" display="https://us3.assetplanner.com/service_request?ID=105354" xr:uid="{1AA2050C-FA9C-4C00-89E3-E14FDA9E3086}"/>
    <hyperlink ref="M153" r:id="rId148" display="https://us3.assetplanner.com/service_request?ID=106824" xr:uid="{62075BC8-7329-41A3-86BD-A23E76296462}"/>
    <hyperlink ref="L154" r:id="rId149" display="https://us3.assetplanner.com/service_request?ID=098066" xr:uid="{C1CA938D-D00A-4C49-B98E-520B778DB014}"/>
    <hyperlink ref="M154" r:id="rId150" display="https://us3.assetplanner.com/service_request?ID=099545" xr:uid="{E55AEA54-65A6-4069-9DFC-07A5AE3389C1}"/>
    <hyperlink ref="L155" r:id="rId151" display="https://us3.assetplanner.com/service_request?ID=107641" xr:uid="{E2719DF1-0956-4D18-872A-92DA4E51623A}"/>
    <hyperlink ref="L156" r:id="rId152" display="https://us3.assetplanner.com/service_request?ID=105284" xr:uid="{E619EBCD-67C4-48BE-9BD5-81C1E078D036}"/>
    <hyperlink ref="L158" r:id="rId153" display="https://us3.assetplanner.com/service_request?ID=107529" xr:uid="{DB7660B6-5930-4E52-9A8C-AA6F915787B3}"/>
    <hyperlink ref="M158" r:id="rId154" display="https://us3.assetplanner.com/service_request?ID=107809" xr:uid="{352ADE25-BE2D-442D-8D5C-F34A22FD2D3D}"/>
    <hyperlink ref="N158" r:id="rId155" display="https://us3.assetplanner.com/service_request?ID=107813" xr:uid="{8F25A781-1958-4F91-AA7B-7862F7F0E9CB}"/>
    <hyperlink ref="L160" r:id="rId156" display="https://us3.assetplanner.com/service_request?ID=107263" xr:uid="{EBE15DCF-A8A5-4B75-B100-38B89C0093D5}"/>
    <hyperlink ref="M160" r:id="rId157" display="https://us3.assetplanner.com/service_request?ID=100771" xr:uid="{690F4A0B-10C1-4D54-B736-0D3671A15F06}"/>
    <hyperlink ref="L163" r:id="rId158" display="https://us3.assetplanner.com/service_request?ID=108424" xr:uid="{B8C24F04-101A-477A-B2CD-FB4A0F6B6291}"/>
    <hyperlink ref="L164" r:id="rId159" display="https://us3.assetplanner.com/service_request?ID=107245" xr:uid="{3DEBE924-A503-4D95-97D6-7FC2A6047DFE}"/>
    <hyperlink ref="M164" r:id="rId160" display="https://us3.assetplanner.com/service_request?ID=108392" xr:uid="{CAC1ACB3-1102-46C5-8FE1-29FEC1E3ED23}"/>
  </hyperlinks>
  <pageMargins left="0.4" right="0.7" top="0.25" bottom="0.25" header="0.3" footer="0.3"/>
  <pageSetup scale="45" fitToHeight="99" orientation="landscape" r:id="rId16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S172"/>
  <sheetViews>
    <sheetView zoomScale="60" zoomScaleNormal="60" workbookViewId="0">
      <pane xSplit="2" ySplit="3" topLeftCell="C166" activePane="bottomRight" state="frozen"/>
      <selection pane="bottomRight" activeCell="H3" sqref="H3"/>
      <selection pane="bottomLeft" activeCell="K164" sqref="K164"/>
      <selection pane="topRight" activeCell="K164" sqref="K164"/>
    </sheetView>
  </sheetViews>
  <sheetFormatPr defaultRowHeight="13.9"/>
  <cols>
    <col min="1" max="1" width="35.85546875" bestFit="1" customWidth="1"/>
    <col min="2" max="2" width="16" style="30" customWidth="1"/>
    <col min="3" max="3" width="10.5703125" style="30"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2" width="24.140625" customWidth="1"/>
    <col min="13" max="13" width="13.42578125" style="104" customWidth="1"/>
    <col min="14" max="19" width="9.140625" style="104"/>
  </cols>
  <sheetData>
    <row r="1" spans="1:16" ht="19.5" customHeight="1">
      <c r="A1" s="187" t="str" cm="1">
        <f t="array" ref="A1">portfolio</f>
        <v>Generate Capital</v>
      </c>
      <c r="B1" s="187"/>
      <c r="C1" s="187"/>
      <c r="D1" s="187"/>
      <c r="E1" s="188" t="s">
        <v>2112</v>
      </c>
      <c r="F1" s="188"/>
      <c r="G1" s="188"/>
      <c r="H1" s="186" t="s">
        <v>2113</v>
      </c>
      <c r="I1" s="186"/>
      <c r="J1" s="186"/>
      <c r="K1" s="4"/>
      <c r="L1" s="4"/>
    </row>
    <row r="2" spans="1:16" ht="19.5" customHeight="1">
      <c r="A2" s="189" t="s">
        <v>2</v>
      </c>
      <c r="B2" s="189"/>
      <c r="C2" s="57"/>
      <c r="D2" s="5">
        <f>SUM(D4:D200)</f>
        <v>39009950.094405837</v>
      </c>
      <c r="E2" s="5">
        <f>SUM(E4:E200)</f>
        <v>31313122.296999998</v>
      </c>
      <c r="F2" s="5">
        <f>D2-E2</f>
        <v>7696827.797405839</v>
      </c>
      <c r="G2" s="6">
        <f>IFERROR(F2/E2, 0)</f>
        <v>0.24580199075654763</v>
      </c>
      <c r="H2" s="5">
        <f>SUM(H4:H200)</f>
        <v>32192167.075000007</v>
      </c>
      <c r="I2" s="7">
        <f>D2-H2</f>
        <v>6817783.0194058307</v>
      </c>
      <c r="J2" s="6">
        <f>IFERROR(I2/H2, 0)</f>
        <v>0.21178391015187129</v>
      </c>
      <c r="K2" s="22" t="str">
        <f ca="1">IF(AND(TODAY()&gt;DATE(2024, 10,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6" ht="14.25" customHeight="1">
      <c r="A3" s="8" t="s">
        <v>3</v>
      </c>
      <c r="B3" s="8" t="s">
        <v>4</v>
      </c>
      <c r="C3" s="8" t="s">
        <v>5</v>
      </c>
      <c r="D3" s="19" t="s">
        <v>6</v>
      </c>
      <c r="E3" s="31" t="s">
        <v>7</v>
      </c>
      <c r="F3" s="31" t="s">
        <v>8</v>
      </c>
      <c r="G3" s="32" t="s">
        <v>9</v>
      </c>
      <c r="H3" s="33" t="s">
        <v>10</v>
      </c>
      <c r="I3" s="34" t="s">
        <v>8</v>
      </c>
      <c r="J3" s="35" t="s">
        <v>9</v>
      </c>
      <c r="K3" s="21" t="s">
        <v>21</v>
      </c>
      <c r="L3" s="21" t="s">
        <v>22</v>
      </c>
      <c r="M3" s="172" t="s">
        <v>2114</v>
      </c>
    </row>
    <row r="4" spans="1:16" ht="15.6">
      <c r="A4" s="28" t="str" cm="1">
        <f t="array" ref="A4:A172">Sites[Site]</f>
        <v>K026</v>
      </c>
      <c r="B4" s="25" t="str" cm="1">
        <f t="array" ref="B4:B172">Sites[State]</f>
        <v>NY</v>
      </c>
      <c r="C4" s="25" t="str">
        <f>Sites[[#This Row],[SOL'#]]</f>
        <v>SOL-10356</v>
      </c>
      <c r="D4" s="20">
        <v>15322.125</v>
      </c>
      <c r="E4" s="10">
        <v>25865.84</v>
      </c>
      <c r="F4" s="10">
        <f>IF(AND(ISNUMBER(D4),ISNUMBER(E4)), D4-E4, "")</f>
        <v>-10543.715</v>
      </c>
      <c r="G4" s="11">
        <f>IFERROR(F4/E4, "")</f>
        <v>-0.40763087531663383</v>
      </c>
      <c r="H4" s="12">
        <v>24623.61</v>
      </c>
      <c r="I4" s="12">
        <f>IF(AND(ISNUMBER(D4),ISNUMBER(H4)), D4-H4, "")</f>
        <v>-9301.4850000000006</v>
      </c>
      <c r="J4" s="13">
        <f>IFERROR(I4/H4, "")</f>
        <v>-0.37774660173711327</v>
      </c>
      <c r="K4" s="53" t="s">
        <v>2115</v>
      </c>
      <c r="L4" s="99" t="s">
        <v>1905</v>
      </c>
      <c r="M4" s="104" t="s">
        <v>2116</v>
      </c>
    </row>
    <row r="5" spans="1:16" ht="15.6">
      <c r="A5" s="26" t="str">
        <v>K041</v>
      </c>
      <c r="B5" s="27" t="str">
        <v>NY</v>
      </c>
      <c r="C5" s="27" t="str">
        <f>Sites[[#This Row],[SOL'#]]</f>
        <v>SOL-10357</v>
      </c>
      <c r="D5" s="9">
        <v>17728.15625</v>
      </c>
      <c r="E5" s="14">
        <v>20661.97</v>
      </c>
      <c r="F5" s="14">
        <f t="shared" ref="F5:F17" si="0">IF(AND(ISNUMBER(D5),ISNUMBER(E5)), D5-E5, "")</f>
        <v>-2933.8137500000012</v>
      </c>
      <c r="G5" s="15">
        <f>IFERROR(F5/E5, "")</f>
        <v>-0.14199099843819349</v>
      </c>
      <c r="H5" s="16">
        <v>17613</v>
      </c>
      <c r="I5" s="16">
        <f t="shared" ref="I5:I17" si="1">IF(AND(ISNUMBER(D5),ISNUMBER(H5)), D5-H5, "")</f>
        <v>115.15625</v>
      </c>
      <c r="J5" s="15">
        <f t="shared" ref="J5:J17" si="2">IFERROR(I5/H5, "")</f>
        <v>6.5381394424572758E-3</v>
      </c>
      <c r="K5" s="51" t="s">
        <v>2117</v>
      </c>
      <c r="L5" s="182"/>
      <c r="M5"/>
    </row>
    <row r="6" spans="1:16" ht="63.75" customHeight="1">
      <c r="A6" s="24" t="str">
        <v>K043</v>
      </c>
      <c r="B6" s="25" t="str">
        <v>NY</v>
      </c>
      <c r="C6" s="25" t="str">
        <f>Sites[[#This Row],[SOL'#]]</f>
        <v>SOL-10358</v>
      </c>
      <c r="D6" s="20">
        <v>20883.78313</v>
      </c>
      <c r="E6" s="10">
        <v>22521.48</v>
      </c>
      <c r="F6" s="10">
        <f t="shared" si="0"/>
        <v>-1637.6968699999998</v>
      </c>
      <c r="G6" s="11">
        <f t="shared" ref="G6:G17" si="3">IFERROR(F6/E6, "")</f>
        <v>-7.2717106957446834E-2</v>
      </c>
      <c r="H6" s="12">
        <v>3897</v>
      </c>
      <c r="I6" s="12">
        <f t="shared" si="1"/>
        <v>16986.78313</v>
      </c>
      <c r="J6" s="13">
        <f t="shared" si="2"/>
        <v>4.3589384475237365</v>
      </c>
      <c r="K6" s="53" t="s">
        <v>2118</v>
      </c>
      <c r="L6" s="99" t="s">
        <v>1907</v>
      </c>
      <c r="M6" s="104" t="s">
        <v>2119</v>
      </c>
    </row>
    <row r="7" spans="1:16" ht="15.6">
      <c r="A7" s="26" t="str">
        <v>K058</v>
      </c>
      <c r="B7" s="27" t="str">
        <v>NY</v>
      </c>
      <c r="C7" s="27" t="str">
        <f>Sites[[#This Row],[SOL'#]]</f>
        <v>SOL-10360</v>
      </c>
      <c r="D7" s="9">
        <v>17473.1875</v>
      </c>
      <c r="E7" s="14">
        <v>18255.689999999999</v>
      </c>
      <c r="F7" s="14">
        <f t="shared" si="0"/>
        <v>-782.50249999999869</v>
      </c>
      <c r="G7" s="15">
        <f t="shared" si="3"/>
        <v>-4.2863485302390585E-2</v>
      </c>
      <c r="H7" s="16">
        <v>19098.849999999999</v>
      </c>
      <c r="I7" s="16">
        <f t="shared" si="1"/>
        <v>-1625.6624999999985</v>
      </c>
      <c r="J7" s="15">
        <f t="shared" si="2"/>
        <v>-8.5118344821808578E-2</v>
      </c>
      <c r="K7" s="51"/>
      <c r="L7" s="182"/>
    </row>
    <row r="8" spans="1:16" ht="28.9">
      <c r="A8" s="24" t="str">
        <v>K115</v>
      </c>
      <c r="B8" s="25" t="str">
        <v>NY</v>
      </c>
      <c r="C8" s="25" t="str">
        <f>Sites[[#This Row],[SOL'#]]</f>
        <v>SOL-10361</v>
      </c>
      <c r="D8" s="20">
        <v>10477.875</v>
      </c>
      <c r="E8" s="10">
        <v>11459.6</v>
      </c>
      <c r="F8" s="10">
        <f t="shared" si="0"/>
        <v>-981.72500000000036</v>
      </c>
      <c r="G8" s="11">
        <f t="shared" si="3"/>
        <v>-8.5668347935355535E-2</v>
      </c>
      <c r="H8" s="12">
        <v>9801.6679999999997</v>
      </c>
      <c r="I8" s="12">
        <f t="shared" si="1"/>
        <v>676.20700000000033</v>
      </c>
      <c r="J8" s="13">
        <f t="shared" si="2"/>
        <v>6.8988972081078487E-2</v>
      </c>
      <c r="K8" s="53" t="s">
        <v>1908</v>
      </c>
      <c r="L8" s="99" t="s">
        <v>25</v>
      </c>
      <c r="M8" s="104" t="s">
        <v>2120</v>
      </c>
    </row>
    <row r="9" spans="1:16" ht="15.6">
      <c r="A9" s="26" t="str">
        <v>K152</v>
      </c>
      <c r="B9" s="27" t="str">
        <v>NY</v>
      </c>
      <c r="C9" s="27" t="str">
        <f>Sites[[#This Row],[SOL'#]]</f>
        <v>SOL-10362</v>
      </c>
      <c r="D9" s="9">
        <v>6524.75</v>
      </c>
      <c r="E9" s="14">
        <v>6954.5709999999999</v>
      </c>
      <c r="F9" s="14">
        <f t="shared" si="0"/>
        <v>-429.82099999999991</v>
      </c>
      <c r="G9" s="15">
        <f t="shared" si="3"/>
        <v>-6.1804099778404724E-2</v>
      </c>
      <c r="H9" s="16">
        <v>7441</v>
      </c>
      <c r="I9" s="16">
        <f t="shared" si="1"/>
        <v>-916.25</v>
      </c>
      <c r="J9" s="15">
        <f t="shared" si="2"/>
        <v>-0.12313533127267841</v>
      </c>
      <c r="K9" s="51" t="s">
        <v>2121</v>
      </c>
      <c r="L9" s="86"/>
    </row>
    <row r="10" spans="1:16" ht="15.6">
      <c r="A10" s="24" t="str">
        <v>K166</v>
      </c>
      <c r="B10" s="25" t="str">
        <v>NY</v>
      </c>
      <c r="C10" s="25" t="str">
        <f>Sites[[#This Row],[SOL'#]]</f>
        <v>SOL-10363</v>
      </c>
      <c r="D10" s="20">
        <v>19095.625</v>
      </c>
      <c r="E10" s="10">
        <v>25560.51</v>
      </c>
      <c r="F10" s="10">
        <f t="shared" si="0"/>
        <v>-6464.8849999999984</v>
      </c>
      <c r="G10" s="11">
        <f t="shared" si="3"/>
        <v>-0.25292472646281311</v>
      </c>
      <c r="H10" s="12">
        <v>26412.32</v>
      </c>
      <c r="I10" s="12">
        <f t="shared" si="1"/>
        <v>-7316.6949999999997</v>
      </c>
      <c r="J10" s="13">
        <f t="shared" si="2"/>
        <v>-0.27701826268953278</v>
      </c>
      <c r="K10" s="53" t="s">
        <v>1909</v>
      </c>
      <c r="L10" s="99" t="s">
        <v>1910</v>
      </c>
      <c r="M10" s="104" t="s">
        <v>2116</v>
      </c>
    </row>
    <row r="11" spans="1:16" ht="15.6">
      <c r="A11" s="26" t="str">
        <v>K206</v>
      </c>
      <c r="B11" s="27" t="str">
        <v>NY</v>
      </c>
      <c r="C11" s="27" t="str">
        <f>Sites[[#This Row],[SOL'#]]</f>
        <v>SOL-10927</v>
      </c>
      <c r="D11" s="9">
        <v>13546.15625</v>
      </c>
      <c r="E11" s="14">
        <v>12440.67</v>
      </c>
      <c r="F11" s="14">
        <f t="shared" si="0"/>
        <v>1105.4862499999999</v>
      </c>
      <c r="G11" s="15">
        <f t="shared" si="3"/>
        <v>8.8860668275904747E-2</v>
      </c>
      <c r="H11" s="16">
        <v>12467</v>
      </c>
      <c r="I11" s="16">
        <f t="shared" si="1"/>
        <v>1079.15625</v>
      </c>
      <c r="J11" s="15">
        <f t="shared" si="2"/>
        <v>8.6561021095692622E-2</v>
      </c>
      <c r="K11" s="51"/>
      <c r="L11" s="87"/>
    </row>
    <row r="12" spans="1:16" ht="57.6">
      <c r="A12" s="24" t="str">
        <v>K251</v>
      </c>
      <c r="B12" s="25" t="str">
        <v>NY</v>
      </c>
      <c r="C12" s="25" t="str">
        <f>Sites[[#This Row],[SOL'#]]</f>
        <v>SOL-10365</v>
      </c>
      <c r="D12" s="20">
        <v>15420.4375</v>
      </c>
      <c r="E12" s="10">
        <v>0</v>
      </c>
      <c r="F12" s="10">
        <f t="shared" si="0"/>
        <v>15420.4375</v>
      </c>
      <c r="G12" s="11" t="str">
        <f t="shared" si="3"/>
        <v/>
      </c>
      <c r="H12" s="12">
        <v>17427.71</v>
      </c>
      <c r="I12" s="12">
        <f t="shared" si="1"/>
        <v>-2007.2724999999991</v>
      </c>
      <c r="J12" s="13">
        <f t="shared" si="2"/>
        <v>-0.11517706571890393</v>
      </c>
      <c r="K12" s="53" t="s">
        <v>2122</v>
      </c>
      <c r="L12" s="99" t="s">
        <v>1911</v>
      </c>
      <c r="M12" s="65" t="s">
        <v>2123</v>
      </c>
      <c r="N12" s="103" t="s">
        <v>1177</v>
      </c>
    </row>
    <row r="13" spans="1:16" ht="28.9">
      <c r="A13" s="26" t="str">
        <v>K269</v>
      </c>
      <c r="B13" s="27" t="str">
        <v>NY</v>
      </c>
      <c r="C13" s="27" t="str">
        <f>Sites[[#This Row],[SOL'#]]</f>
        <v>SOL-10366</v>
      </c>
      <c r="D13" s="9">
        <v>14114.0625</v>
      </c>
      <c r="E13" s="14">
        <v>17502.91</v>
      </c>
      <c r="F13" s="14">
        <f t="shared" si="0"/>
        <v>-3388.8474999999999</v>
      </c>
      <c r="G13" s="15">
        <f t="shared" si="3"/>
        <v>-0.19361623295783387</v>
      </c>
      <c r="H13" s="16">
        <v>13588.61</v>
      </c>
      <c r="I13" s="16">
        <f t="shared" si="1"/>
        <v>525.45249999999942</v>
      </c>
      <c r="J13" s="15">
        <f t="shared" si="2"/>
        <v>3.8668598186275077E-2</v>
      </c>
      <c r="K13" s="51" t="s">
        <v>1179</v>
      </c>
      <c r="L13" s="182"/>
    </row>
    <row r="14" spans="1:16" ht="86.45">
      <c r="A14" s="24" t="str">
        <v>K273</v>
      </c>
      <c r="B14" s="25" t="str">
        <v>NY</v>
      </c>
      <c r="C14" s="25" t="str">
        <f>Sites[[#This Row],[SOL'#]]</f>
        <v>SOL-10367</v>
      </c>
      <c r="D14" s="20">
        <v>10509.4375</v>
      </c>
      <c r="E14" s="10">
        <v>0</v>
      </c>
      <c r="F14" s="10">
        <f t="shared" si="0"/>
        <v>10509.4375</v>
      </c>
      <c r="G14" s="11" t="str">
        <f t="shared" si="3"/>
        <v/>
      </c>
      <c r="H14" s="12">
        <v>20518</v>
      </c>
      <c r="I14" s="12">
        <f t="shared" si="1"/>
        <v>-10008.5625</v>
      </c>
      <c r="J14" s="13">
        <f t="shared" si="2"/>
        <v>-0.48779425382590896</v>
      </c>
      <c r="K14" s="53" t="s">
        <v>2124</v>
      </c>
      <c r="L14" s="99" t="s">
        <v>1914</v>
      </c>
      <c r="M14" s="65" t="s">
        <v>2125</v>
      </c>
      <c r="N14" s="103" t="s">
        <v>1915</v>
      </c>
      <c r="O14" s="103" t="s">
        <v>911</v>
      </c>
      <c r="P14" s="103" t="s">
        <v>1668</v>
      </c>
    </row>
    <row r="15" spans="1:16" ht="28.9">
      <c r="A15" s="26" t="str">
        <v>K287</v>
      </c>
      <c r="B15" s="27" t="str">
        <v>NY</v>
      </c>
      <c r="C15" s="27" t="str">
        <f>Sites[[#This Row],[SOL'#]]</f>
        <v>SOL-10919</v>
      </c>
      <c r="D15" s="9">
        <v>12717.28125</v>
      </c>
      <c r="E15" s="14">
        <v>11438.47</v>
      </c>
      <c r="F15" s="14">
        <f t="shared" si="0"/>
        <v>1278.8112500000007</v>
      </c>
      <c r="G15" s="15">
        <f t="shared" si="3"/>
        <v>0.11179915233418462</v>
      </c>
      <c r="H15" s="16">
        <v>11897</v>
      </c>
      <c r="I15" s="16">
        <f t="shared" si="1"/>
        <v>820.28125</v>
      </c>
      <c r="J15" s="15">
        <f t="shared" si="2"/>
        <v>6.8948579473816926E-2</v>
      </c>
      <c r="K15" s="51" t="s">
        <v>1669</v>
      </c>
      <c r="L15" s="182"/>
    </row>
    <row r="16" spans="1:16" ht="15.6">
      <c r="A16" s="24" t="str">
        <v>K298</v>
      </c>
      <c r="B16" s="25" t="str">
        <v>NY</v>
      </c>
      <c r="C16" s="25" t="str">
        <f>Sites[[#This Row],[SOL'#]]</f>
        <v>SOL-10368</v>
      </c>
      <c r="D16" s="20">
        <v>12865.3125</v>
      </c>
      <c r="E16" s="10">
        <v>14909.92</v>
      </c>
      <c r="F16" s="10">
        <f t="shared" si="0"/>
        <v>-2044.6075000000001</v>
      </c>
      <c r="G16" s="11">
        <f t="shared" si="3"/>
        <v>-0.13713068212304291</v>
      </c>
      <c r="H16" s="12">
        <v>12316</v>
      </c>
      <c r="I16" s="12">
        <f t="shared" si="1"/>
        <v>549.3125</v>
      </c>
      <c r="J16" s="13">
        <f t="shared" si="2"/>
        <v>4.4601534589152322E-2</v>
      </c>
      <c r="K16" s="53" t="s">
        <v>2126</v>
      </c>
      <c r="L16" s="99" t="s">
        <v>2127</v>
      </c>
      <c r="M16" s="173" t="s">
        <v>2128</v>
      </c>
    </row>
    <row r="17" spans="1:13" ht="15.6">
      <c r="A17" s="26" t="str">
        <v>K335</v>
      </c>
      <c r="B17" s="27" t="str">
        <v>NY</v>
      </c>
      <c r="C17" s="27" t="str">
        <f>Sites[[#This Row],[SOL'#]]</f>
        <v>SOL-10370</v>
      </c>
      <c r="D17" s="9">
        <v>13563.0625</v>
      </c>
      <c r="E17" s="14">
        <v>15975.83</v>
      </c>
      <c r="F17" s="14">
        <f t="shared" si="0"/>
        <v>-2412.7674999999999</v>
      </c>
      <c r="G17" s="15">
        <f t="shared" si="3"/>
        <v>-0.15102611257130302</v>
      </c>
      <c r="H17" s="16">
        <v>17347</v>
      </c>
      <c r="I17" s="16">
        <f t="shared" si="1"/>
        <v>-3783.9375</v>
      </c>
      <c r="J17" s="15">
        <f t="shared" si="2"/>
        <v>-0.2181320977690667</v>
      </c>
      <c r="K17" s="51" t="s">
        <v>2129</v>
      </c>
      <c r="L17" s="182"/>
      <c r="M17"/>
    </row>
    <row r="18" spans="1:13" ht="63.75" customHeight="1">
      <c r="A18" s="24" t="str">
        <v>K345</v>
      </c>
      <c r="B18" s="25" t="str">
        <v>NY</v>
      </c>
      <c r="C18" s="25" t="str">
        <f>Sites[[#This Row],[SOL'#]]</f>
        <v>SOL-10920</v>
      </c>
      <c r="D18" s="20">
        <v>16271.78125</v>
      </c>
      <c r="E18" s="10">
        <v>10617.07</v>
      </c>
      <c r="F18" s="10">
        <f t="shared" ref="F18:F81" si="4">IF(AND(ISNUMBER(D18),ISNUMBER(E18)), D18-E18, "")</f>
        <v>5654.7112500000003</v>
      </c>
      <c r="G18" s="11">
        <f t="shared" ref="G18:G81" si="5">IFERROR(F18/E18, "")</f>
        <v>0.5326056294250674</v>
      </c>
      <c r="H18" s="12">
        <v>15094</v>
      </c>
      <c r="I18" s="12">
        <f t="shared" ref="I18:I81" si="6">IF(AND(ISNUMBER(D18),ISNUMBER(H18)), D18-H18, "")</f>
        <v>1177.78125</v>
      </c>
      <c r="J18" s="13">
        <f t="shared" ref="J18:J81" si="7">IFERROR(I18/H18, "")</f>
        <v>7.8029763482178355E-2</v>
      </c>
      <c r="K18" s="53" t="s">
        <v>1671</v>
      </c>
      <c r="L18" s="99" t="s">
        <v>1186</v>
      </c>
      <c r="M18" s="104" t="s">
        <v>2119</v>
      </c>
    </row>
    <row r="19" spans="1:13" ht="28.9">
      <c r="A19" s="26" t="str">
        <v>K445</v>
      </c>
      <c r="B19" s="27" t="str">
        <v>NY</v>
      </c>
      <c r="C19" s="27" t="str">
        <f>Sites[[#This Row],[SOL'#]]</f>
        <v>SOL-10373</v>
      </c>
      <c r="D19" s="9">
        <v>9833.2862251244405</v>
      </c>
      <c r="E19" s="14">
        <v>15889.4</v>
      </c>
      <c r="F19" s="14">
        <f t="shared" si="4"/>
        <v>-6056.1137748755591</v>
      </c>
      <c r="G19" s="15">
        <f t="shared" si="5"/>
        <v>-0.38114175329940458</v>
      </c>
      <c r="H19" s="16">
        <v>12274.88</v>
      </c>
      <c r="I19" s="16">
        <f t="shared" si="6"/>
        <v>-2441.5937748755587</v>
      </c>
      <c r="J19" s="15">
        <f t="shared" si="7"/>
        <v>-0.19890978770265444</v>
      </c>
      <c r="K19" s="51" t="s">
        <v>2130</v>
      </c>
      <c r="L19" s="100" t="s">
        <v>2131</v>
      </c>
      <c r="M19" s="51" t="s">
        <v>2132</v>
      </c>
    </row>
    <row r="20" spans="1:13" ht="15.6">
      <c r="A20" s="24" t="str">
        <v>K495</v>
      </c>
      <c r="B20" s="25" t="str">
        <v>NY</v>
      </c>
      <c r="C20" s="25" t="str">
        <f>Sites[[#This Row],[SOL'#]]</f>
        <v>SOL-10374</v>
      </c>
      <c r="D20" s="20">
        <v>57601.625</v>
      </c>
      <c r="E20" s="10">
        <v>63443.040000000001</v>
      </c>
      <c r="F20" s="10">
        <f t="shared" si="4"/>
        <v>-5841.4150000000009</v>
      </c>
      <c r="G20" s="11">
        <f t="shared" si="5"/>
        <v>-9.2073377946580132E-2</v>
      </c>
      <c r="H20" s="12">
        <v>63000.45</v>
      </c>
      <c r="I20" s="12">
        <f t="shared" si="6"/>
        <v>-5398.8249999999971</v>
      </c>
      <c r="J20" s="13">
        <f t="shared" si="7"/>
        <v>-8.5695022813329066E-2</v>
      </c>
      <c r="K20" s="53" t="s">
        <v>2133</v>
      </c>
      <c r="L20" s="99" t="s">
        <v>2134</v>
      </c>
      <c r="M20" s="104" t="s">
        <v>2135</v>
      </c>
    </row>
    <row r="21" spans="1:13" ht="15.6">
      <c r="A21" s="26" t="str">
        <v>M020</v>
      </c>
      <c r="B21" s="27" t="str">
        <v>NY</v>
      </c>
      <c r="C21" s="27" t="str">
        <f>Sites[[#This Row],[SOL'#]]</f>
        <v>SOL-10380</v>
      </c>
      <c r="D21" s="9">
        <v>15019.9375</v>
      </c>
      <c r="E21" s="14">
        <v>15837.73</v>
      </c>
      <c r="F21" s="14">
        <f t="shared" si="4"/>
        <v>-817.79249999999956</v>
      </c>
      <c r="G21" s="15">
        <f t="shared" si="5"/>
        <v>-5.1635714209043823E-2</v>
      </c>
      <c r="H21" s="16">
        <v>15061</v>
      </c>
      <c r="I21" s="16">
        <f t="shared" si="6"/>
        <v>-41.0625</v>
      </c>
      <c r="J21" s="15">
        <f t="shared" si="7"/>
        <v>-2.7264125888055244E-3</v>
      </c>
      <c r="K21" s="51"/>
      <c r="L21" s="86"/>
    </row>
    <row r="22" spans="1:13" ht="15.6">
      <c r="A22" s="24" t="str">
        <v>M092</v>
      </c>
      <c r="B22" s="25" t="str">
        <v>NY</v>
      </c>
      <c r="C22" s="25" t="str">
        <f>Sites[[#This Row],[SOL'#]]</f>
        <v>SOL-10383</v>
      </c>
      <c r="D22" s="20">
        <v>14068.1875000001</v>
      </c>
      <c r="E22" s="10">
        <v>15915.89</v>
      </c>
      <c r="F22" s="10">
        <f t="shared" si="4"/>
        <v>-1847.7024999998994</v>
      </c>
      <c r="G22" s="11">
        <f t="shared" si="5"/>
        <v>-0.11609168573041781</v>
      </c>
      <c r="H22" s="12">
        <v>13368.61</v>
      </c>
      <c r="I22" s="12">
        <f t="shared" si="6"/>
        <v>699.57750000009946</v>
      </c>
      <c r="J22" s="13">
        <f t="shared" si="7"/>
        <v>5.232986077087292E-2</v>
      </c>
      <c r="K22" s="53" t="s">
        <v>2121</v>
      </c>
      <c r="L22" s="47"/>
    </row>
    <row r="23" spans="1:13" ht="43.15">
      <c r="A23" s="26" t="str">
        <v>M143</v>
      </c>
      <c r="B23" s="27" t="str">
        <v>NY</v>
      </c>
      <c r="C23" s="27" t="str">
        <f>Sites[[#This Row],[SOL'#]]</f>
        <v>SOL-10384</v>
      </c>
      <c r="D23" s="9">
        <v>16474.625</v>
      </c>
      <c r="E23" s="14">
        <v>18416.57</v>
      </c>
      <c r="F23" s="14">
        <f t="shared" si="4"/>
        <v>-1941.9449999999997</v>
      </c>
      <c r="G23" s="15">
        <f t="shared" si="5"/>
        <v>-0.10544553084532025</v>
      </c>
      <c r="H23" s="16">
        <v>15146.07</v>
      </c>
      <c r="I23" s="16">
        <f t="shared" si="6"/>
        <v>1328.5550000000003</v>
      </c>
      <c r="J23" s="15">
        <f t="shared" si="7"/>
        <v>8.7716153431220134E-2</v>
      </c>
      <c r="K23" s="51" t="s">
        <v>2136</v>
      </c>
      <c r="L23" s="100" t="s">
        <v>1920</v>
      </c>
      <c r="M23" s="104" t="s">
        <v>2128</v>
      </c>
    </row>
    <row r="24" spans="1:13" ht="15.6">
      <c r="A24" s="24" t="str">
        <v>M144</v>
      </c>
      <c r="B24" s="25" t="str">
        <v>NY</v>
      </c>
      <c r="C24" s="25" t="str">
        <f>Sites[[#This Row],[SOL'#]]</f>
        <v>SOL-10385</v>
      </c>
      <c r="D24" s="20">
        <v>23735.437500000098</v>
      </c>
      <c r="E24" s="10">
        <v>27682.29</v>
      </c>
      <c r="F24" s="10">
        <f t="shared" si="4"/>
        <v>-3946.8524999999026</v>
      </c>
      <c r="G24" s="11">
        <f t="shared" si="5"/>
        <v>-0.1425768063263517</v>
      </c>
      <c r="H24" s="12">
        <v>30843.31</v>
      </c>
      <c r="I24" s="12">
        <f t="shared" si="6"/>
        <v>-7107.8724999999031</v>
      </c>
      <c r="J24" s="13">
        <f t="shared" si="7"/>
        <v>-0.23045102811598051</v>
      </c>
      <c r="K24" s="53" t="s">
        <v>2117</v>
      </c>
      <c r="L24" s="47"/>
    </row>
    <row r="25" spans="1:13" ht="28.9">
      <c r="A25" s="26" t="str">
        <v>M167</v>
      </c>
      <c r="B25" s="27" t="str">
        <v>NY</v>
      </c>
      <c r="C25" s="27" t="str">
        <f>Sites[[#This Row],[SOL'#]]</f>
        <v>SOL-10386</v>
      </c>
      <c r="D25" s="9">
        <v>16164.40625</v>
      </c>
      <c r="E25" s="14">
        <v>14225.12</v>
      </c>
      <c r="F25" s="14">
        <f t="shared" si="4"/>
        <v>1939.2862499999992</v>
      </c>
      <c r="G25" s="15">
        <f t="shared" si="5"/>
        <v>0.13632828756453366</v>
      </c>
      <c r="H25" s="16">
        <v>17650.07</v>
      </c>
      <c r="I25" s="16">
        <f t="shared" si="6"/>
        <v>-1485.6637499999997</v>
      </c>
      <c r="J25" s="15">
        <f t="shared" si="7"/>
        <v>-8.4173249737819728E-2</v>
      </c>
      <c r="K25" s="51" t="s">
        <v>1674</v>
      </c>
      <c r="L25" s="86"/>
    </row>
    <row r="26" spans="1:13" ht="15.6">
      <c r="A26" s="24" t="str">
        <v>M188</v>
      </c>
      <c r="B26" s="25" t="str">
        <v>NY</v>
      </c>
      <c r="C26" s="25" t="str">
        <f>Sites[[#This Row],[SOL'#]]</f>
        <v>SOL-10387</v>
      </c>
      <c r="D26" s="20">
        <v>12373.6875</v>
      </c>
      <c r="E26" s="10">
        <v>13753.56</v>
      </c>
      <c r="F26" s="10">
        <f t="shared" si="4"/>
        <v>-1379.8724999999995</v>
      </c>
      <c r="G26" s="11">
        <f t="shared" si="5"/>
        <v>-0.1003283877047106</v>
      </c>
      <c r="H26" s="12">
        <v>16022.87</v>
      </c>
      <c r="I26" s="12">
        <f t="shared" si="6"/>
        <v>-3649.1825000000008</v>
      </c>
      <c r="J26" s="13">
        <f t="shared" si="7"/>
        <v>-0.22774836842588128</v>
      </c>
      <c r="K26" s="53" t="s">
        <v>2137</v>
      </c>
      <c r="L26" s="47"/>
    </row>
    <row r="27" spans="1:13" ht="15.6">
      <c r="A27" s="26" t="str">
        <v>EMHC</v>
      </c>
      <c r="B27" s="27" t="str">
        <v>NY</v>
      </c>
      <c r="C27" s="27" t="str">
        <f>Sites[[#This Row],[SOL'#]]</f>
        <v>SOL-10351</v>
      </c>
      <c r="D27" s="9">
        <v>5036.59375</v>
      </c>
      <c r="E27" s="14">
        <v>3712.4760000000001</v>
      </c>
      <c r="F27" s="14">
        <f t="shared" si="4"/>
        <v>1324.1177499999999</v>
      </c>
      <c r="G27" s="15">
        <f t="shared" si="5"/>
        <v>0.35666701953090063</v>
      </c>
      <c r="H27" s="16">
        <v>4938.8329999999996</v>
      </c>
      <c r="I27" s="16">
        <f t="shared" si="6"/>
        <v>97.760750000000371</v>
      </c>
      <c r="J27" s="15">
        <f t="shared" si="7"/>
        <v>1.9794301609307376E-2</v>
      </c>
      <c r="K27" s="51" t="s">
        <v>668</v>
      </c>
      <c r="L27" s="100" t="s">
        <v>669</v>
      </c>
      <c r="M27" s="104" t="s">
        <v>2138</v>
      </c>
    </row>
    <row r="28" spans="1:13" ht="28.9">
      <c r="A28" s="24" t="str">
        <v>Q008</v>
      </c>
      <c r="B28" s="25" t="str">
        <v>NY</v>
      </c>
      <c r="C28" s="25" t="str">
        <f>Sites[[#This Row],[SOL'#]]</f>
        <v>SOL-10397</v>
      </c>
      <c r="D28" s="20">
        <v>19059.5625</v>
      </c>
      <c r="E28" s="10">
        <v>21709.07</v>
      </c>
      <c r="F28" s="10">
        <f t="shared" si="4"/>
        <v>-2649.5074999999997</v>
      </c>
      <c r="G28" s="11">
        <f t="shared" si="5"/>
        <v>-0.1220461079171056</v>
      </c>
      <c r="H28" s="12">
        <v>18843</v>
      </c>
      <c r="I28" s="12">
        <f t="shared" si="6"/>
        <v>216.5625</v>
      </c>
      <c r="J28" s="13">
        <f t="shared" si="7"/>
        <v>1.1492994746059545E-2</v>
      </c>
      <c r="K28" s="53" t="s">
        <v>2139</v>
      </c>
      <c r="L28" s="101" t="s">
        <v>2140</v>
      </c>
      <c r="M28" s="104" t="s">
        <v>2120</v>
      </c>
    </row>
    <row r="29" spans="1:13" ht="15.6">
      <c r="A29" s="26" t="str">
        <v>Q018</v>
      </c>
      <c r="B29" s="27" t="str">
        <v>NY</v>
      </c>
      <c r="C29" s="27" t="str">
        <f>Sites[[#This Row],[SOL'#]]</f>
        <v>SOL-10398</v>
      </c>
      <c r="D29" s="9">
        <v>13329.5625</v>
      </c>
      <c r="E29" s="14">
        <v>14739.7</v>
      </c>
      <c r="F29" s="14">
        <f t="shared" si="4"/>
        <v>-1410.1375000000007</v>
      </c>
      <c r="G29" s="15">
        <f t="shared" si="5"/>
        <v>-9.5669348765578727E-2</v>
      </c>
      <c r="H29" s="16">
        <v>13629.77</v>
      </c>
      <c r="I29" s="16">
        <f t="shared" si="6"/>
        <v>-300.20750000000044</v>
      </c>
      <c r="J29" s="15">
        <f t="shared" si="7"/>
        <v>-2.2025866907512043E-2</v>
      </c>
      <c r="K29" s="51"/>
      <c r="L29" s="182"/>
    </row>
    <row r="30" spans="1:13" ht="15.6">
      <c r="A30" s="24" t="str">
        <v>Q021</v>
      </c>
      <c r="B30" s="25" t="str">
        <v>NY</v>
      </c>
      <c r="C30" s="25" t="str">
        <f>Sites[[#This Row],[SOL'#]]</f>
        <v>SOL-10399</v>
      </c>
      <c r="D30" s="20">
        <v>10328.3125</v>
      </c>
      <c r="E30" s="10">
        <v>11597.72</v>
      </c>
      <c r="F30" s="10">
        <f t="shared" si="4"/>
        <v>-1269.4074999999993</v>
      </c>
      <c r="G30" s="11">
        <f t="shared" si="5"/>
        <v>-0.10945319424852466</v>
      </c>
      <c r="H30" s="12">
        <v>11279.66</v>
      </c>
      <c r="I30" s="12">
        <f t="shared" si="6"/>
        <v>-951.34749999999985</v>
      </c>
      <c r="J30" s="13">
        <f t="shared" si="7"/>
        <v>-8.4341859595058702E-2</v>
      </c>
      <c r="K30" s="53" t="s">
        <v>2121</v>
      </c>
      <c r="L30" s="47"/>
    </row>
    <row r="31" spans="1:13" ht="28.9">
      <c r="A31" s="26" t="str">
        <v>Q025</v>
      </c>
      <c r="B31" s="27" t="str">
        <v>NY</v>
      </c>
      <c r="C31" s="27" t="str">
        <f>Sites[[#This Row],[SOL'#]]</f>
        <v>SOL-10400</v>
      </c>
      <c r="D31" s="9">
        <v>17661.375</v>
      </c>
      <c r="E31" s="14">
        <v>18436.689999999999</v>
      </c>
      <c r="F31" s="14">
        <f t="shared" si="4"/>
        <v>-775.31499999999869</v>
      </c>
      <c r="G31" s="15">
        <f t="shared" si="5"/>
        <v>-4.2052830524351104E-2</v>
      </c>
      <c r="H31" s="16">
        <v>9900</v>
      </c>
      <c r="I31" s="16">
        <f t="shared" si="6"/>
        <v>7761.375</v>
      </c>
      <c r="J31" s="15">
        <f t="shared" si="7"/>
        <v>0.78397727272727269</v>
      </c>
      <c r="K31" s="51" t="s">
        <v>2141</v>
      </c>
      <c r="L31" s="182"/>
    </row>
    <row r="32" spans="1:13" ht="15.6">
      <c r="A32" s="24" t="str">
        <v>Q074</v>
      </c>
      <c r="B32" s="25" t="str">
        <v>NY</v>
      </c>
      <c r="C32" s="25" t="str">
        <f>Sites[[#This Row],[SOL'#]]</f>
        <v>SOL-10402</v>
      </c>
      <c r="D32" s="20">
        <v>0</v>
      </c>
      <c r="E32" s="10">
        <v>0</v>
      </c>
      <c r="F32" s="10">
        <f t="shared" si="4"/>
        <v>0</v>
      </c>
      <c r="G32" s="11" t="str">
        <f t="shared" si="5"/>
        <v/>
      </c>
      <c r="H32" s="12">
        <v>13063</v>
      </c>
      <c r="I32" s="12">
        <f t="shared" si="6"/>
        <v>-13063</v>
      </c>
      <c r="J32" s="13">
        <f t="shared" si="7"/>
        <v>-1</v>
      </c>
      <c r="K32" s="53" t="s">
        <v>1924</v>
      </c>
      <c r="L32" s="99" t="s">
        <v>1925</v>
      </c>
      <c r="M32" s="104" t="s">
        <v>2138</v>
      </c>
    </row>
    <row r="33" spans="1:14" ht="15.6">
      <c r="A33" s="26" t="str">
        <v>Q115</v>
      </c>
      <c r="B33" s="27" t="str">
        <v>NY</v>
      </c>
      <c r="C33" s="27" t="str">
        <f>Sites[[#This Row],[SOL'#]]</f>
        <v>SOL-10872</v>
      </c>
      <c r="D33" s="9">
        <v>15241.9375</v>
      </c>
      <c r="E33" s="14">
        <v>17179.18</v>
      </c>
      <c r="F33" s="14">
        <f t="shared" si="4"/>
        <v>-1937.2425000000003</v>
      </c>
      <c r="G33" s="15">
        <f t="shared" si="5"/>
        <v>-0.11276687827940567</v>
      </c>
      <c r="H33" s="16">
        <v>17055.62</v>
      </c>
      <c r="I33" s="16">
        <f t="shared" si="6"/>
        <v>-1813.682499999999</v>
      </c>
      <c r="J33" s="15">
        <f t="shared" si="7"/>
        <v>-0.10633928875057014</v>
      </c>
      <c r="K33" s="51" t="s">
        <v>2142</v>
      </c>
      <c r="L33" s="100" t="s">
        <v>2143</v>
      </c>
      <c r="M33" t="s">
        <v>2138</v>
      </c>
    </row>
    <row r="34" spans="1:14" ht="28.9">
      <c r="A34" s="24" t="str">
        <v>Q139</v>
      </c>
      <c r="B34" s="25" t="str">
        <v>NY</v>
      </c>
      <c r="C34" s="25" t="str">
        <f>Sites[[#This Row],[SOL'#]]</f>
        <v>SOL-10403</v>
      </c>
      <c r="D34" s="20">
        <v>8826.8125</v>
      </c>
      <c r="E34" s="10">
        <v>9185.8240000000005</v>
      </c>
      <c r="F34" s="10">
        <f t="shared" si="4"/>
        <v>-359.01150000000052</v>
      </c>
      <c r="G34" s="11">
        <f t="shared" si="5"/>
        <v>-3.9083211261178148E-2</v>
      </c>
      <c r="H34" s="12">
        <v>10659</v>
      </c>
      <c r="I34" s="12">
        <f t="shared" si="6"/>
        <v>-1832.1875</v>
      </c>
      <c r="J34" s="13">
        <f t="shared" si="7"/>
        <v>-0.17189112487100103</v>
      </c>
      <c r="K34" s="53" t="s">
        <v>1445</v>
      </c>
      <c r="L34" s="99" t="s">
        <v>1926</v>
      </c>
      <c r="M34" s="104" t="s">
        <v>2138</v>
      </c>
    </row>
    <row r="35" spans="1:14" ht="15.6">
      <c r="A35" s="26" t="str">
        <v>Q157</v>
      </c>
      <c r="B35" s="27" t="str">
        <v>NY</v>
      </c>
      <c r="C35" s="27" t="str">
        <f>Sites[[#This Row],[SOL'#]]</f>
        <v>SOL-10404</v>
      </c>
      <c r="D35" s="9">
        <v>15808.375</v>
      </c>
      <c r="E35" s="14">
        <v>20001.04</v>
      </c>
      <c r="F35" s="14">
        <f t="shared" si="4"/>
        <v>-4192.6650000000009</v>
      </c>
      <c r="G35" s="15">
        <f t="shared" si="5"/>
        <v>-0.20962234963781887</v>
      </c>
      <c r="H35" s="16">
        <v>19280</v>
      </c>
      <c r="I35" s="16">
        <f t="shared" si="6"/>
        <v>-3471.625</v>
      </c>
      <c r="J35" s="15">
        <f t="shared" si="7"/>
        <v>-0.18006353734439834</v>
      </c>
      <c r="K35" s="51" t="s">
        <v>2144</v>
      </c>
      <c r="L35" s="86"/>
      <c r="M35"/>
    </row>
    <row r="36" spans="1:14" ht="15.6">
      <c r="A36" s="24" t="str">
        <v>Q192</v>
      </c>
      <c r="B36" s="25" t="str">
        <v>NY</v>
      </c>
      <c r="C36" s="25" t="str">
        <f>Sites[[#This Row],[SOL'#]]</f>
        <v>SOL-10406</v>
      </c>
      <c r="D36" s="20">
        <v>20984.75</v>
      </c>
      <c r="E36" s="10">
        <v>28074.19</v>
      </c>
      <c r="F36" s="10">
        <f t="shared" si="4"/>
        <v>-7089.4399999999987</v>
      </c>
      <c r="G36" s="11">
        <f t="shared" si="5"/>
        <v>-0.25252518416381736</v>
      </c>
      <c r="H36" s="12">
        <v>27986.62</v>
      </c>
      <c r="I36" s="12">
        <f t="shared" si="6"/>
        <v>-7001.869999999999</v>
      </c>
      <c r="J36" s="13">
        <f t="shared" si="7"/>
        <v>-0.2501863390434429</v>
      </c>
      <c r="K36" s="53" t="s">
        <v>2145</v>
      </c>
      <c r="L36" s="99" t="s">
        <v>1929</v>
      </c>
      <c r="M36" t="s">
        <v>2138</v>
      </c>
    </row>
    <row r="37" spans="1:14" ht="15.6">
      <c r="A37" s="26" t="str">
        <v>Q210</v>
      </c>
      <c r="B37" s="27" t="str">
        <v>NY</v>
      </c>
      <c r="C37" s="27" t="str">
        <f>Sites[[#This Row],[SOL'#]]</f>
        <v>SOL-10407</v>
      </c>
      <c r="D37" s="9">
        <v>20535.375</v>
      </c>
      <c r="E37" s="14">
        <v>20691.099999999999</v>
      </c>
      <c r="F37" s="14">
        <f t="shared" si="4"/>
        <v>-155.72499999999854</v>
      </c>
      <c r="G37" s="15">
        <f t="shared" si="5"/>
        <v>-7.5261827549042131E-3</v>
      </c>
      <c r="H37" s="16">
        <v>23419</v>
      </c>
      <c r="I37" s="16">
        <f t="shared" si="6"/>
        <v>-2883.625</v>
      </c>
      <c r="J37" s="15">
        <f t="shared" si="7"/>
        <v>-0.1231318587471711</v>
      </c>
      <c r="K37" s="51" t="s">
        <v>2146</v>
      </c>
      <c r="L37" s="100" t="s">
        <v>2147</v>
      </c>
      <c r="M37" t="s">
        <v>2120</v>
      </c>
    </row>
    <row r="38" spans="1:14" ht="28.9">
      <c r="A38" s="24" t="str">
        <v>Q229</v>
      </c>
      <c r="B38" s="25" t="str">
        <v>NY</v>
      </c>
      <c r="C38" s="25" t="str">
        <f>Sites[[#This Row],[SOL'#]]</f>
        <v>SOL-10408</v>
      </c>
      <c r="D38" s="20">
        <v>8171.6875</v>
      </c>
      <c r="E38" s="10">
        <v>10096.77</v>
      </c>
      <c r="F38" s="10">
        <f t="shared" si="4"/>
        <v>-1925.0825000000004</v>
      </c>
      <c r="G38" s="11">
        <f t="shared" si="5"/>
        <v>-0.19066320219238433</v>
      </c>
      <c r="H38" s="12">
        <v>8650</v>
      </c>
      <c r="I38" s="12">
        <f t="shared" si="6"/>
        <v>-478.3125</v>
      </c>
      <c r="J38" s="13">
        <f t="shared" si="7"/>
        <v>-5.5296242774566476E-2</v>
      </c>
      <c r="K38" s="53" t="s">
        <v>932</v>
      </c>
      <c r="L38" s="99" t="s">
        <v>1199</v>
      </c>
      <c r="M38" t="s">
        <v>2138</v>
      </c>
    </row>
    <row r="39" spans="1:14" ht="15.6">
      <c r="A39" s="26" t="str">
        <v>Q231</v>
      </c>
      <c r="B39" s="27" t="str">
        <v>NY</v>
      </c>
      <c r="C39" s="27" t="str">
        <f>Sites[[#This Row],[SOL'#]]</f>
        <v>SOL-10870</v>
      </c>
      <c r="D39" s="9">
        <v>33472.625</v>
      </c>
      <c r="E39" s="14">
        <v>39024.29</v>
      </c>
      <c r="F39" s="14">
        <f t="shared" si="4"/>
        <v>-5551.6650000000009</v>
      </c>
      <c r="G39" s="15">
        <f t="shared" si="5"/>
        <v>-0.1422617810599501</v>
      </c>
      <c r="H39" s="16">
        <v>30569</v>
      </c>
      <c r="I39" s="16">
        <f t="shared" si="6"/>
        <v>2903.625</v>
      </c>
      <c r="J39" s="15">
        <f t="shared" si="7"/>
        <v>9.4985933462003985E-2</v>
      </c>
      <c r="K39" s="51" t="s">
        <v>2148</v>
      </c>
      <c r="L39" s="100" t="s">
        <v>2149</v>
      </c>
      <c r="M39" t="s">
        <v>2120</v>
      </c>
    </row>
    <row r="40" spans="1:14" ht="28.9">
      <c r="A40" s="24" t="str">
        <v>Q405</v>
      </c>
      <c r="B40" s="25" t="str">
        <v>NY</v>
      </c>
      <c r="C40" s="25" t="str">
        <f>Sites[[#This Row],[SOL'#]]</f>
        <v>SOL-10409</v>
      </c>
      <c r="D40" s="20">
        <v>38302.75</v>
      </c>
      <c r="E40" s="10">
        <v>43609.51</v>
      </c>
      <c r="F40" s="10">
        <f t="shared" si="4"/>
        <v>-5306.760000000002</v>
      </c>
      <c r="G40" s="11">
        <f t="shared" si="5"/>
        <v>-0.12168813637208953</v>
      </c>
      <c r="H40" s="12">
        <v>41663.050000000003</v>
      </c>
      <c r="I40" s="12">
        <f t="shared" si="6"/>
        <v>-3360.3000000000029</v>
      </c>
      <c r="J40" s="13">
        <f t="shared" si="7"/>
        <v>-8.0654200784628163E-2</v>
      </c>
      <c r="K40" s="53" t="s">
        <v>2150</v>
      </c>
      <c r="L40" s="99" t="s">
        <v>1932</v>
      </c>
      <c r="M40" t="s">
        <v>2151</v>
      </c>
      <c r="N40" s="103" t="s">
        <v>1933</v>
      </c>
    </row>
    <row r="41" spans="1:14" ht="15.6">
      <c r="A41" s="26" t="str">
        <v>Q435</v>
      </c>
      <c r="B41" s="27" t="str">
        <v>NY</v>
      </c>
      <c r="C41" s="27" t="str">
        <f>Sites[[#This Row],[SOL'#]]</f>
        <v>SOL-10923</v>
      </c>
      <c r="D41" s="9">
        <v>50565.5</v>
      </c>
      <c r="E41" s="14">
        <v>36680.839999999997</v>
      </c>
      <c r="F41" s="14">
        <f t="shared" si="4"/>
        <v>13884.660000000003</v>
      </c>
      <c r="G41" s="15">
        <f t="shared" si="5"/>
        <v>0.37852622786173939</v>
      </c>
      <c r="H41" s="16">
        <v>44849</v>
      </c>
      <c r="I41" s="16">
        <f t="shared" si="6"/>
        <v>5716.5</v>
      </c>
      <c r="J41" s="15">
        <f t="shared" si="7"/>
        <v>0.12746103592053334</v>
      </c>
      <c r="K41" s="51" t="s">
        <v>2152</v>
      </c>
      <c r="L41" s="182"/>
      <c r="M41"/>
    </row>
    <row r="42" spans="1:14" ht="28.9">
      <c r="A42" s="24" t="str">
        <v>Q485</v>
      </c>
      <c r="B42" s="25" t="str">
        <v>NY</v>
      </c>
      <c r="C42" s="25" t="str">
        <f>Sites[[#This Row],[SOL'#]]</f>
        <v>SOL-10869</v>
      </c>
      <c r="D42" s="20">
        <v>43347.25</v>
      </c>
      <c r="E42" s="10">
        <v>38010.839999999997</v>
      </c>
      <c r="F42" s="10">
        <f t="shared" si="4"/>
        <v>5336.4100000000035</v>
      </c>
      <c r="G42" s="11">
        <f t="shared" si="5"/>
        <v>0.14039179349890726</v>
      </c>
      <c r="H42" s="12">
        <v>42385.08</v>
      </c>
      <c r="I42" s="12">
        <f t="shared" si="6"/>
        <v>962.16999999999825</v>
      </c>
      <c r="J42" s="13">
        <f t="shared" si="7"/>
        <v>2.2700676747572451E-2</v>
      </c>
      <c r="K42" s="53" t="s">
        <v>2153</v>
      </c>
      <c r="L42" s="47"/>
    </row>
    <row r="43" spans="1:14" ht="72">
      <c r="A43" s="26" t="str">
        <v>Q490</v>
      </c>
      <c r="B43" s="27" t="str">
        <v>NY</v>
      </c>
      <c r="C43" s="27" t="str">
        <f>Sites[[#This Row],[SOL'#]]</f>
        <v>SOL-10411</v>
      </c>
      <c r="D43" s="9">
        <v>30568</v>
      </c>
      <c r="E43" s="14">
        <v>0</v>
      </c>
      <c r="F43" s="14">
        <f t="shared" si="4"/>
        <v>30568</v>
      </c>
      <c r="G43" s="15" t="str">
        <f t="shared" si="5"/>
        <v/>
      </c>
      <c r="H43" s="16">
        <v>36013.56</v>
      </c>
      <c r="I43" s="16">
        <f t="shared" si="6"/>
        <v>-5445.5599999999977</v>
      </c>
      <c r="J43" s="15">
        <f t="shared" si="7"/>
        <v>-0.15120860031610311</v>
      </c>
      <c r="K43" s="51" t="s">
        <v>2154</v>
      </c>
      <c r="L43" s="100" t="s">
        <v>1938</v>
      </c>
      <c r="M43" s="65" t="s">
        <v>2155</v>
      </c>
      <c r="N43" s="103" t="s">
        <v>1939</v>
      </c>
    </row>
    <row r="44" spans="1:14" ht="28.9">
      <c r="A44" s="24" t="str">
        <v>Q620</v>
      </c>
      <c r="B44" s="25" t="str">
        <v>NY</v>
      </c>
      <c r="C44" s="25" t="str">
        <f>Sites[[#This Row],[SOL'#]]</f>
        <v>SOL-10867</v>
      </c>
      <c r="D44" s="20">
        <v>49130</v>
      </c>
      <c r="E44" s="10">
        <v>50485.440000000002</v>
      </c>
      <c r="F44" s="10">
        <f t="shared" si="4"/>
        <v>-1355.4400000000023</v>
      </c>
      <c r="G44" s="11">
        <f t="shared" si="5"/>
        <v>-2.6848136809345471E-2</v>
      </c>
      <c r="H44" s="12">
        <v>46090.57</v>
      </c>
      <c r="I44" s="12">
        <f t="shared" si="6"/>
        <v>3039.4300000000003</v>
      </c>
      <c r="J44" s="13">
        <f t="shared" si="7"/>
        <v>6.5944725786641401E-2</v>
      </c>
      <c r="K44" s="53" t="s">
        <v>1940</v>
      </c>
      <c r="L44" s="99" t="s">
        <v>1941</v>
      </c>
      <c r="M44" s="104" t="s">
        <v>2138</v>
      </c>
    </row>
    <row r="45" spans="1:14" ht="15.6">
      <c r="A45" s="26" t="str">
        <v>QMOA</v>
      </c>
      <c r="B45" s="27" t="str">
        <v>NY</v>
      </c>
      <c r="C45" s="27" t="str">
        <f>Sites[[#This Row],[SOL'#]]</f>
        <v>SOL-10415</v>
      </c>
      <c r="D45" s="9">
        <v>4287.8999999999896</v>
      </c>
      <c r="E45" s="14" t="s">
        <v>661</v>
      </c>
      <c r="F45" s="14" t="str">
        <f t="shared" si="4"/>
        <v/>
      </c>
      <c r="G45" s="15" t="str">
        <f t="shared" si="5"/>
        <v/>
      </c>
      <c r="H45" s="16">
        <v>4127.0389999999998</v>
      </c>
      <c r="I45" s="16">
        <f t="shared" si="6"/>
        <v>160.86099999998987</v>
      </c>
      <c r="J45" s="15">
        <f t="shared" si="7"/>
        <v>3.8977339443603487E-2</v>
      </c>
      <c r="K45" s="51"/>
      <c r="L45" s="86"/>
    </row>
    <row r="46" spans="1:14" ht="15.6">
      <c r="A46" s="24" t="str">
        <v>X024</v>
      </c>
      <c r="B46" s="25" t="str">
        <v>NY</v>
      </c>
      <c r="C46" s="25" t="str">
        <f>Sites[[#This Row],[SOL'#]]</f>
        <v>SOL-10419</v>
      </c>
      <c r="D46" s="20">
        <v>19157.625</v>
      </c>
      <c r="E46" s="10">
        <v>19462.55</v>
      </c>
      <c r="F46" s="10">
        <f t="shared" si="4"/>
        <v>-304.92499999999927</v>
      </c>
      <c r="G46" s="11">
        <f t="shared" si="5"/>
        <v>-1.566726867753708E-2</v>
      </c>
      <c r="H46" s="12">
        <v>18573</v>
      </c>
      <c r="I46" s="12">
        <f t="shared" si="6"/>
        <v>584.625</v>
      </c>
      <c r="J46" s="13">
        <f t="shared" si="7"/>
        <v>3.1477144241641095E-2</v>
      </c>
      <c r="K46" s="53"/>
      <c r="L46" s="47"/>
    </row>
    <row r="47" spans="1:14" ht="28.9">
      <c r="A47" s="26" t="str">
        <v>X026</v>
      </c>
      <c r="B47" s="27" t="str">
        <v>NY</v>
      </c>
      <c r="C47" s="27" t="str">
        <f>Sites[[#This Row],[SOL'#]]</f>
        <v>SOL-10420</v>
      </c>
      <c r="D47" s="9">
        <v>15160.7</v>
      </c>
      <c r="E47" s="14">
        <v>16267.21</v>
      </c>
      <c r="F47" s="14">
        <f t="shared" si="4"/>
        <v>-1106.5099999999984</v>
      </c>
      <c r="G47" s="15">
        <f t="shared" si="5"/>
        <v>-6.8020883728678636E-2</v>
      </c>
      <c r="H47" s="16">
        <v>24659.119999999999</v>
      </c>
      <c r="I47" s="16">
        <f t="shared" si="6"/>
        <v>-9498.4199999999983</v>
      </c>
      <c r="J47" s="15">
        <f t="shared" si="7"/>
        <v>-0.38518892807204791</v>
      </c>
      <c r="K47" s="51" t="s">
        <v>1690</v>
      </c>
      <c r="L47" s="100" t="s">
        <v>2156</v>
      </c>
      <c r="M47" s="104" t="s">
        <v>2138</v>
      </c>
    </row>
    <row r="48" spans="1:14" ht="28.9">
      <c r="A48" s="24" t="str">
        <v>X090</v>
      </c>
      <c r="B48" s="25" t="str">
        <v>NY</v>
      </c>
      <c r="C48" s="25" t="str">
        <f>Sites[[#This Row],[SOL'#]]</f>
        <v>SOL-10925</v>
      </c>
      <c r="D48" s="20">
        <v>7869.71875</v>
      </c>
      <c r="E48" s="10">
        <v>10452.049999999999</v>
      </c>
      <c r="F48" s="10">
        <f t="shared" si="4"/>
        <v>-2582.3312499999993</v>
      </c>
      <c r="G48" s="11">
        <f t="shared" si="5"/>
        <v>-0.24706457106500634</v>
      </c>
      <c r="H48" s="12">
        <v>12975</v>
      </c>
      <c r="I48" s="12">
        <f t="shared" si="6"/>
        <v>-5105.28125</v>
      </c>
      <c r="J48" s="13">
        <f t="shared" si="7"/>
        <v>-0.39347061657032756</v>
      </c>
      <c r="K48" s="53" t="s">
        <v>2157</v>
      </c>
      <c r="L48" s="99" t="s">
        <v>2158</v>
      </c>
      <c r="M48" s="104" t="s">
        <v>2159</v>
      </c>
    </row>
    <row r="49" spans="1:17" ht="15.6">
      <c r="A49" s="26" t="str">
        <v>X117</v>
      </c>
      <c r="B49" s="27" t="str">
        <v>NY</v>
      </c>
      <c r="C49" s="27" t="str">
        <f>Sites[[#This Row],[SOL'#]]</f>
        <v>SOL-10422</v>
      </c>
      <c r="D49" s="9">
        <v>11156.7</v>
      </c>
      <c r="E49" s="14">
        <v>13548.14</v>
      </c>
      <c r="F49" s="14">
        <f t="shared" si="4"/>
        <v>-2391.4399999999987</v>
      </c>
      <c r="G49" s="15">
        <f t="shared" si="5"/>
        <v>-0.17651426690305819</v>
      </c>
      <c r="H49" s="16">
        <v>13801.31</v>
      </c>
      <c r="I49" s="16">
        <f t="shared" si="6"/>
        <v>-2644.6099999999988</v>
      </c>
      <c r="J49" s="15">
        <f t="shared" si="7"/>
        <v>-0.19162021576212684</v>
      </c>
      <c r="K49" s="51" t="s">
        <v>1942</v>
      </c>
      <c r="L49" s="86"/>
    </row>
    <row r="50" spans="1:17" ht="15.6">
      <c r="A50" s="24" t="str">
        <v>X125</v>
      </c>
      <c r="B50" s="25" t="str">
        <v>NY</v>
      </c>
      <c r="C50" s="25" t="str">
        <f>Sites[[#This Row],[SOL'#]]</f>
        <v>SOL-10423</v>
      </c>
      <c r="D50" s="20">
        <v>21704.0625</v>
      </c>
      <c r="E50" s="10">
        <v>23787.01</v>
      </c>
      <c r="F50" s="10">
        <f t="shared" si="4"/>
        <v>-2082.9474999999984</v>
      </c>
      <c r="G50" s="11">
        <f t="shared" si="5"/>
        <v>-8.7566596222055593E-2</v>
      </c>
      <c r="H50" s="12">
        <v>20245.09</v>
      </c>
      <c r="I50" s="12">
        <f t="shared" si="6"/>
        <v>1458.9724999999999</v>
      </c>
      <c r="J50" s="13">
        <f t="shared" si="7"/>
        <v>7.2065498350464233E-2</v>
      </c>
      <c r="K50" s="53"/>
      <c r="L50" s="47"/>
    </row>
    <row r="51" spans="1:17" ht="144">
      <c r="A51" s="26" t="str">
        <v>X134</v>
      </c>
      <c r="B51" s="27" t="str">
        <v>NY</v>
      </c>
      <c r="C51" s="27" t="str">
        <f>Sites[[#This Row],[SOL'#]]</f>
        <v>SOL-10424</v>
      </c>
      <c r="D51" s="9">
        <v>20769.875</v>
      </c>
      <c r="E51" s="14">
        <v>16055.73</v>
      </c>
      <c r="F51" s="14">
        <f t="shared" si="4"/>
        <v>4714.1450000000004</v>
      </c>
      <c r="G51" s="15">
        <f t="shared" si="5"/>
        <v>0.29361137737119397</v>
      </c>
      <c r="H51" s="16">
        <v>19866</v>
      </c>
      <c r="I51" s="16">
        <f t="shared" si="6"/>
        <v>903.875</v>
      </c>
      <c r="J51" s="15">
        <f t="shared" si="7"/>
        <v>4.5498590556730091E-2</v>
      </c>
      <c r="K51" s="51" t="s">
        <v>1943</v>
      </c>
      <c r="L51" s="100" t="s">
        <v>1944</v>
      </c>
      <c r="M51" s="65" t="s">
        <v>2160</v>
      </c>
      <c r="N51" s="103" t="s">
        <v>1945</v>
      </c>
      <c r="O51" s="103" t="s">
        <v>1946</v>
      </c>
    </row>
    <row r="52" spans="1:17" ht="28.9">
      <c r="A52" s="24" t="str">
        <v>X135</v>
      </c>
      <c r="B52" s="25" t="str">
        <v>NY</v>
      </c>
      <c r="C52" s="25" t="str">
        <f>Sites[[#This Row],[SOL'#]]</f>
        <v>SOL-10425</v>
      </c>
      <c r="D52" s="20">
        <v>17511.8125</v>
      </c>
      <c r="E52" s="10">
        <v>22283.25</v>
      </c>
      <c r="F52" s="10">
        <f t="shared" si="4"/>
        <v>-4771.4375</v>
      </c>
      <c r="G52" s="11">
        <f t="shared" si="5"/>
        <v>-0.21412664220883398</v>
      </c>
      <c r="H52" s="12">
        <v>16253</v>
      </c>
      <c r="I52" s="12">
        <f t="shared" si="6"/>
        <v>1258.8125</v>
      </c>
      <c r="J52" s="13">
        <f t="shared" si="7"/>
        <v>7.7451085953362461E-2</v>
      </c>
      <c r="K52" s="73" t="s">
        <v>1947</v>
      </c>
      <c r="L52" s="108"/>
    </row>
    <row r="53" spans="1:17" ht="15.6">
      <c r="A53" s="26" t="str">
        <v>X139 JHS 222</v>
      </c>
      <c r="B53" s="27" t="str">
        <v>NY</v>
      </c>
      <c r="C53" s="27" t="str">
        <f>Sites[[#This Row],[SOL'#]]</f>
        <v>SOL-10426</v>
      </c>
      <c r="D53" s="9">
        <v>26151.516449999999</v>
      </c>
      <c r="E53" s="14">
        <v>27313.86</v>
      </c>
      <c r="F53" s="14">
        <f t="shared" si="4"/>
        <v>-1162.3435500000014</v>
      </c>
      <c r="G53" s="15">
        <f t="shared" si="5"/>
        <v>-4.2555081925440101E-2</v>
      </c>
      <c r="H53" s="16">
        <v>23270</v>
      </c>
      <c r="I53" s="16">
        <f t="shared" si="6"/>
        <v>2881.5164499999992</v>
      </c>
      <c r="J53" s="15">
        <f t="shared" si="7"/>
        <v>0.12382967125053713</v>
      </c>
      <c r="K53" s="51"/>
      <c r="L53" s="182"/>
    </row>
    <row r="54" spans="1:17" ht="28.9">
      <c r="A54" s="24" t="str">
        <v>X140</v>
      </c>
      <c r="B54" s="25" t="str">
        <v>NY</v>
      </c>
      <c r="C54" s="25" t="str">
        <f>Sites[[#This Row],[SOL'#]]</f>
        <v>SOL-10926</v>
      </c>
      <c r="D54" s="20">
        <v>15207.125</v>
      </c>
      <c r="E54" s="10">
        <v>12538.88</v>
      </c>
      <c r="F54" s="10">
        <f t="shared" si="4"/>
        <v>2668.2450000000008</v>
      </c>
      <c r="G54" s="11">
        <f t="shared" si="5"/>
        <v>0.21279771399040431</v>
      </c>
      <c r="H54" s="12">
        <v>13726</v>
      </c>
      <c r="I54" s="12">
        <f t="shared" si="6"/>
        <v>1481.125</v>
      </c>
      <c r="J54" s="13">
        <f t="shared" si="7"/>
        <v>0.10790652775754044</v>
      </c>
      <c r="K54" s="53" t="s">
        <v>2161</v>
      </c>
      <c r="L54" s="47"/>
      <c r="M54"/>
    </row>
    <row r="55" spans="1:17" ht="15.6">
      <c r="A55" s="26" t="str">
        <v>X166</v>
      </c>
      <c r="B55" s="27" t="str">
        <v>NY</v>
      </c>
      <c r="C55" s="27" t="str">
        <f>Sites[[#This Row],[SOL'#]]</f>
        <v>SOL-10427</v>
      </c>
      <c r="D55" s="9">
        <v>15296.6</v>
      </c>
      <c r="E55" s="14">
        <v>17519.310000000001</v>
      </c>
      <c r="F55" s="14">
        <f t="shared" si="4"/>
        <v>-2222.7100000000009</v>
      </c>
      <c r="G55" s="15">
        <f t="shared" si="5"/>
        <v>-0.12687200580388158</v>
      </c>
      <c r="H55" s="16">
        <v>14295</v>
      </c>
      <c r="I55" s="16">
        <f t="shared" si="6"/>
        <v>1001.6000000000004</v>
      </c>
      <c r="J55" s="15">
        <f t="shared" si="7"/>
        <v>7.006645680307802E-2</v>
      </c>
      <c r="K55" s="51" t="s">
        <v>2117</v>
      </c>
      <c r="L55" s="86"/>
      <c r="M55"/>
    </row>
    <row r="56" spans="1:17" ht="28.9">
      <c r="A56" s="24" t="str">
        <v>Murphy</v>
      </c>
      <c r="B56" s="25" t="str">
        <v>MN</v>
      </c>
      <c r="C56" s="25" t="str">
        <f>Sites[[#This Row],[SOL'#]]</f>
        <v>SOL-10094</v>
      </c>
      <c r="D56" s="20">
        <v>561770</v>
      </c>
      <c r="E56" s="10">
        <v>691938.9</v>
      </c>
      <c r="F56" s="10">
        <f t="shared" si="4"/>
        <v>-130168.90000000002</v>
      </c>
      <c r="G56" s="11">
        <f t="shared" si="5"/>
        <v>-0.1881219570109442</v>
      </c>
      <c r="H56" s="12">
        <v>663600.4</v>
      </c>
      <c r="I56" s="12">
        <f t="shared" si="6"/>
        <v>-101830.40000000002</v>
      </c>
      <c r="J56" s="13">
        <f t="shared" si="7"/>
        <v>-0.15345138429693536</v>
      </c>
      <c r="K56" s="53" t="s">
        <v>2162</v>
      </c>
      <c r="L56" s="99" t="s">
        <v>2163</v>
      </c>
      <c r="M56" s="104" t="s">
        <v>2135</v>
      </c>
    </row>
    <row r="57" spans="1:17" ht="15.6">
      <c r="A57" s="26" t="str">
        <v>Terning</v>
      </c>
      <c r="B57" s="27" t="str">
        <v>MN</v>
      </c>
      <c r="C57" s="27" t="str">
        <f>Sites[[#This Row],[SOL'#]]</f>
        <v>SOL-10093</v>
      </c>
      <c r="D57" s="9">
        <v>663259.99999999802</v>
      </c>
      <c r="E57" s="14">
        <v>709175.4</v>
      </c>
      <c r="F57" s="14">
        <f t="shared" si="4"/>
        <v>-45915.400000002002</v>
      </c>
      <c r="G57" s="15">
        <f t="shared" si="5"/>
        <v>-6.4744772590817443E-2</v>
      </c>
      <c r="H57" s="16">
        <v>637880.69999999995</v>
      </c>
      <c r="I57" s="16">
        <f t="shared" si="6"/>
        <v>25379.299999998068</v>
      </c>
      <c r="J57" s="15">
        <f t="shared" si="7"/>
        <v>3.9786906862048138E-2</v>
      </c>
      <c r="K57" s="51"/>
      <c r="L57" s="86"/>
    </row>
    <row r="58" spans="1:17" ht="43.15">
      <c r="A58" s="24" t="str">
        <v>Boas Road 04</v>
      </c>
      <c r="B58" s="25" t="str">
        <v>NY</v>
      </c>
      <c r="C58" s="25" t="str">
        <f>Sites[[#This Row],[SOL'#]]</f>
        <v>SOL-10908</v>
      </c>
      <c r="D58" s="20">
        <v>0</v>
      </c>
      <c r="E58" s="10">
        <v>0</v>
      </c>
      <c r="F58" s="10">
        <f t="shared" si="4"/>
        <v>0</v>
      </c>
      <c r="G58" s="11" t="str">
        <f t="shared" si="5"/>
        <v/>
      </c>
      <c r="H58" s="12">
        <v>240886.44200000001</v>
      </c>
      <c r="I58" s="12">
        <f t="shared" si="6"/>
        <v>-240886.44200000001</v>
      </c>
      <c r="J58" s="13">
        <f t="shared" si="7"/>
        <v>-1</v>
      </c>
      <c r="K58" s="53" t="s">
        <v>2164</v>
      </c>
      <c r="L58" s="99" t="s">
        <v>2165</v>
      </c>
      <c r="M58" s="65" t="s">
        <v>2166</v>
      </c>
      <c r="N58" s="103" t="s">
        <v>427</v>
      </c>
    </row>
    <row r="59" spans="1:17" ht="57.6">
      <c r="A59" s="26" t="str">
        <v>Kelly Bridge Farm</v>
      </c>
      <c r="B59" s="27" t="str">
        <v>NY</v>
      </c>
      <c r="C59" s="27" t="str">
        <f>Sites[[#This Row],[SOL'#]]</f>
        <v>SOL-10911</v>
      </c>
      <c r="D59" s="9">
        <v>109520</v>
      </c>
      <c r="E59" s="14" t="s">
        <v>661</v>
      </c>
      <c r="F59" s="14" t="str">
        <f t="shared" si="4"/>
        <v/>
      </c>
      <c r="G59" s="15" t="str">
        <f t="shared" si="5"/>
        <v/>
      </c>
      <c r="H59" s="16">
        <v>250638.93</v>
      </c>
      <c r="I59" s="16">
        <f t="shared" si="6"/>
        <v>-141118.93</v>
      </c>
      <c r="J59" s="15">
        <f t="shared" si="7"/>
        <v>-0.5630367557027155</v>
      </c>
      <c r="K59" s="51" t="s">
        <v>2167</v>
      </c>
      <c r="L59" s="100" t="s">
        <v>1959</v>
      </c>
      <c r="M59" s="104" t="s">
        <v>2116</v>
      </c>
    </row>
    <row r="60" spans="1:17" ht="100.5" customHeight="1">
      <c r="A60" s="24" t="str">
        <v>Pool Brook Road</v>
      </c>
      <c r="B60" s="25" t="str">
        <v>NY</v>
      </c>
      <c r="C60" s="25" t="str">
        <f>Sites[[#This Row],[SOL'#]]</f>
        <v>SOL-10909</v>
      </c>
      <c r="D60" s="20">
        <v>225178</v>
      </c>
      <c r="E60" s="10">
        <v>225180</v>
      </c>
      <c r="F60" s="10">
        <f t="shared" si="4"/>
        <v>-2</v>
      </c>
      <c r="G60" s="11">
        <f t="shared" si="5"/>
        <v>-8.8817834621191942E-6</v>
      </c>
      <c r="H60" s="12">
        <v>241349.43900000001</v>
      </c>
      <c r="I60" s="12">
        <f t="shared" si="6"/>
        <v>-16171.439000000013</v>
      </c>
      <c r="J60" s="13">
        <f t="shared" si="7"/>
        <v>-6.7004253529671612E-2</v>
      </c>
      <c r="K60" s="53" t="s">
        <v>2168</v>
      </c>
      <c r="L60" s="99" t="s">
        <v>2169</v>
      </c>
      <c r="M60" s="65" t="s">
        <v>2170</v>
      </c>
      <c r="N60" s="103" t="s">
        <v>2171</v>
      </c>
    </row>
    <row r="61" spans="1:17" ht="115.15">
      <c r="A61" s="26" t="str">
        <v>Sackett Lake</v>
      </c>
      <c r="B61" s="27" t="str">
        <v>NY</v>
      </c>
      <c r="C61" s="27" t="str">
        <f>Sites[[#This Row],[SOL'#]]</f>
        <v>SOL-10910</v>
      </c>
      <c r="D61" s="9">
        <v>261090</v>
      </c>
      <c r="E61" s="14">
        <v>0</v>
      </c>
      <c r="F61" s="14">
        <f t="shared" si="4"/>
        <v>261090</v>
      </c>
      <c r="G61" s="15" t="str">
        <f t="shared" si="5"/>
        <v/>
      </c>
      <c r="H61" s="16">
        <v>255140.83499999999</v>
      </c>
      <c r="I61" s="16">
        <f t="shared" si="6"/>
        <v>5949.1650000000081</v>
      </c>
      <c r="J61" s="15">
        <f t="shared" si="7"/>
        <v>2.3317180881688375E-2</v>
      </c>
      <c r="K61" s="51" t="s">
        <v>2172</v>
      </c>
      <c r="L61" s="100" t="s">
        <v>2173</v>
      </c>
      <c r="M61" s="65" t="s">
        <v>2174</v>
      </c>
      <c r="N61" s="103" t="s">
        <v>2175</v>
      </c>
      <c r="O61" s="103" t="s">
        <v>2176</v>
      </c>
      <c r="P61" s="103" t="s">
        <v>2177</v>
      </c>
      <c r="Q61" s="103" t="s">
        <v>2178</v>
      </c>
    </row>
    <row r="62" spans="1:17" ht="15.6">
      <c r="A62" s="24" t="str">
        <v>Burritt Road</v>
      </c>
      <c r="B62" s="25" t="str">
        <v>NY</v>
      </c>
      <c r="C62" s="25" t="str">
        <f>Sites[[#This Row],[SOL'#]]</f>
        <v>SOL-10913</v>
      </c>
      <c r="D62" s="20">
        <v>266280</v>
      </c>
      <c r="E62" s="10">
        <v>0</v>
      </c>
      <c r="F62" s="10">
        <f t="shared" si="4"/>
        <v>266280</v>
      </c>
      <c r="G62" s="11" t="str">
        <f t="shared" si="5"/>
        <v/>
      </c>
      <c r="H62" s="12">
        <v>240156.51199999999</v>
      </c>
      <c r="I62" s="12">
        <f t="shared" si="6"/>
        <v>26123.488000000012</v>
      </c>
      <c r="J62" s="13">
        <f t="shared" si="7"/>
        <v>0.10877692960497366</v>
      </c>
      <c r="K62" s="53"/>
      <c r="L62" s="47"/>
    </row>
    <row r="63" spans="1:17" ht="28.9">
      <c r="A63" s="26" t="str">
        <v>Villa Roma 1</v>
      </c>
      <c r="B63" s="27" t="str">
        <v>NY</v>
      </c>
      <c r="C63" s="27" t="str">
        <f>Sites[[#This Row],[SOL'#]]</f>
        <v>SOL-10914</v>
      </c>
      <c r="D63" s="9">
        <v>255964</v>
      </c>
      <c r="E63" s="14">
        <v>0</v>
      </c>
      <c r="F63" s="14">
        <f t="shared" si="4"/>
        <v>255964</v>
      </c>
      <c r="G63" s="15" t="str">
        <f t="shared" si="5"/>
        <v/>
      </c>
      <c r="H63" s="16">
        <v>238394.14</v>
      </c>
      <c r="I63" s="16">
        <f t="shared" si="6"/>
        <v>17569.859999999986</v>
      </c>
      <c r="J63" s="15">
        <f t="shared" si="7"/>
        <v>7.3700888788625366E-2</v>
      </c>
      <c r="K63" s="51" t="s">
        <v>2179</v>
      </c>
      <c r="L63" s="100" t="s">
        <v>968</v>
      </c>
      <c r="M63" s="104" t="s">
        <v>2128</v>
      </c>
    </row>
    <row r="64" spans="1:17" ht="15.6">
      <c r="A64" s="24" t="str">
        <v>Villa Roma 2</v>
      </c>
      <c r="B64" s="25" t="str">
        <v>NY</v>
      </c>
      <c r="C64" s="25" t="str">
        <f>Sites[[#This Row],[SOL'#]]</f>
        <v>SOL-10915</v>
      </c>
      <c r="D64" s="20">
        <v>236611</v>
      </c>
      <c r="E64" s="10" t="s">
        <v>661</v>
      </c>
      <c r="F64" s="10" t="str">
        <f t="shared" si="4"/>
        <v/>
      </c>
      <c r="G64" s="11" t="str">
        <f t="shared" si="5"/>
        <v/>
      </c>
      <c r="H64" s="12">
        <v>230513.342</v>
      </c>
      <c r="I64" s="12">
        <f t="shared" si="6"/>
        <v>6097.6579999999958</v>
      </c>
      <c r="J64" s="13">
        <f t="shared" si="7"/>
        <v>2.6452516574940792E-2</v>
      </c>
      <c r="K64" s="53"/>
      <c r="L64" s="47"/>
    </row>
    <row r="65" spans="1:19" ht="15.6">
      <c r="A65" s="26" t="str">
        <v>Washington 1</v>
      </c>
      <c r="B65" s="27" t="str">
        <v>NY</v>
      </c>
      <c r="C65" s="27" t="str">
        <f>Sites[[#This Row],[SOL'#]]</f>
        <v>SOL-10912</v>
      </c>
      <c r="D65" s="9">
        <v>267410</v>
      </c>
      <c r="E65" s="14" t="s">
        <v>661</v>
      </c>
      <c r="F65" s="14" t="str">
        <f t="shared" si="4"/>
        <v/>
      </c>
      <c r="G65" s="15" t="str">
        <f t="shared" si="5"/>
        <v/>
      </c>
      <c r="H65" s="16">
        <v>235438.84</v>
      </c>
      <c r="I65" s="16">
        <f t="shared" si="6"/>
        <v>31971.160000000003</v>
      </c>
      <c r="J65" s="15">
        <f t="shared" si="7"/>
        <v>0.135793907241473</v>
      </c>
      <c r="K65" s="51"/>
      <c r="L65" s="182"/>
    </row>
    <row r="66" spans="1:19" ht="100.9">
      <c r="A66" s="24" t="str">
        <v>Washington 3</v>
      </c>
      <c r="B66" s="25" t="str">
        <v>NY</v>
      </c>
      <c r="C66" s="25" t="str">
        <f>Sites[[#This Row],[SOL'#]]</f>
        <v>SOL-10828</v>
      </c>
      <c r="D66" s="20">
        <v>0</v>
      </c>
      <c r="E66" s="10" t="s">
        <v>661</v>
      </c>
      <c r="F66" s="10" t="str">
        <f t="shared" si="4"/>
        <v/>
      </c>
      <c r="G66" s="11" t="str">
        <f t="shared" si="5"/>
        <v/>
      </c>
      <c r="H66" s="12">
        <v>287963.37400000001</v>
      </c>
      <c r="I66" s="12">
        <f t="shared" si="6"/>
        <v>-287963.37400000001</v>
      </c>
      <c r="J66" s="13">
        <f t="shared" si="7"/>
        <v>-1</v>
      </c>
      <c r="K66" s="53" t="s">
        <v>2180</v>
      </c>
      <c r="L66" s="99" t="s">
        <v>2181</v>
      </c>
      <c r="M66" s="65" t="s">
        <v>2174</v>
      </c>
      <c r="N66" s="103" t="s">
        <v>719</v>
      </c>
    </row>
    <row r="67" spans="1:19" ht="172.9">
      <c r="A67" s="26" t="str">
        <v>Washington 4</v>
      </c>
      <c r="B67" s="27" t="str">
        <v>NY</v>
      </c>
      <c r="C67" s="27" t="str">
        <f>Sites[[#This Row],[SOL'#]]</f>
        <v>SOL-10829</v>
      </c>
      <c r="D67" s="9">
        <v>311789</v>
      </c>
      <c r="E67" s="14" t="s">
        <v>661</v>
      </c>
      <c r="F67" s="14" t="str">
        <f t="shared" si="4"/>
        <v/>
      </c>
      <c r="G67" s="15" t="str">
        <f t="shared" si="5"/>
        <v/>
      </c>
      <c r="H67" s="16">
        <v>288480.55099999998</v>
      </c>
      <c r="I67" s="16">
        <f t="shared" si="6"/>
        <v>23308.449000000022</v>
      </c>
      <c r="J67" s="15">
        <f t="shared" si="7"/>
        <v>8.0797297839326515E-2</v>
      </c>
      <c r="K67" s="51" t="s">
        <v>2182</v>
      </c>
      <c r="L67" s="100" t="s">
        <v>2183</v>
      </c>
      <c r="M67" s="65" t="s">
        <v>2184</v>
      </c>
      <c r="N67" s="103" t="s">
        <v>2185</v>
      </c>
      <c r="O67" s="103" t="s">
        <v>2186</v>
      </c>
      <c r="P67" s="103" t="s">
        <v>2186</v>
      </c>
      <c r="Q67" s="103" t="s">
        <v>2187</v>
      </c>
    </row>
    <row r="68" spans="1:19" ht="15.6">
      <c r="A68" s="24" t="str">
        <v>Big Tree</v>
      </c>
      <c r="B68" s="25" t="str">
        <v>NY</v>
      </c>
      <c r="C68" s="25" t="str">
        <f>Sites[[#This Row],[SOL'#]]</f>
        <v>SOL-10966</v>
      </c>
      <c r="D68" s="20">
        <v>291940</v>
      </c>
      <c r="E68" s="10">
        <v>290390</v>
      </c>
      <c r="F68" s="10">
        <f t="shared" si="4"/>
        <v>1550</v>
      </c>
      <c r="G68" s="11">
        <f t="shared" si="5"/>
        <v>5.3376493680911876E-3</v>
      </c>
      <c r="H68" s="12">
        <v>233651.8</v>
      </c>
      <c r="I68" s="12">
        <f t="shared" si="6"/>
        <v>58288.200000000012</v>
      </c>
      <c r="J68" s="13">
        <f t="shared" si="7"/>
        <v>0.24946608585938571</v>
      </c>
      <c r="K68" s="53"/>
      <c r="L68" s="47"/>
    </row>
    <row r="69" spans="1:19" ht="43.15">
      <c r="A69" s="26" t="str">
        <v>Canoga</v>
      </c>
      <c r="B69" s="27" t="str">
        <v>NY</v>
      </c>
      <c r="C69" s="27" t="str">
        <f>Sites[[#This Row],[SOL'#]]</f>
        <v>SOL-10965</v>
      </c>
      <c r="D69" s="9">
        <v>713910</v>
      </c>
      <c r="E69" s="14" t="s">
        <v>661</v>
      </c>
      <c r="F69" s="14" t="str">
        <f t="shared" si="4"/>
        <v/>
      </c>
      <c r="G69" s="15" t="str">
        <f t="shared" si="5"/>
        <v/>
      </c>
      <c r="H69" s="176" t="s">
        <v>661</v>
      </c>
      <c r="I69" s="16" t="str">
        <f t="shared" si="6"/>
        <v/>
      </c>
      <c r="J69" s="15" t="str">
        <f t="shared" si="7"/>
        <v/>
      </c>
      <c r="K69" s="175" t="s">
        <v>2188</v>
      </c>
      <c r="L69" s="100" t="s">
        <v>2189</v>
      </c>
      <c r="M69" s="104" t="s">
        <v>2190</v>
      </c>
    </row>
    <row r="70" spans="1:19" ht="57.6">
      <c r="A70" s="24" t="str">
        <v>County Route 84</v>
      </c>
      <c r="B70" s="25" t="str">
        <v>NY</v>
      </c>
      <c r="C70" s="25" t="str">
        <f>Sites[[#This Row],[SOL'#]]</f>
        <v>SOL-10967</v>
      </c>
      <c r="D70" s="20">
        <v>745120</v>
      </c>
      <c r="E70" s="10">
        <v>730020</v>
      </c>
      <c r="F70" s="10">
        <f t="shared" si="4"/>
        <v>15100</v>
      </c>
      <c r="G70" s="11">
        <f t="shared" si="5"/>
        <v>2.068436481192296E-2</v>
      </c>
      <c r="H70" s="12">
        <v>598634.4</v>
      </c>
      <c r="I70" s="12">
        <f t="shared" si="6"/>
        <v>146485.59999999998</v>
      </c>
      <c r="J70" s="13">
        <f t="shared" si="7"/>
        <v>0.24469960296301044</v>
      </c>
      <c r="K70" s="53" t="s">
        <v>2191</v>
      </c>
      <c r="L70" s="99" t="s">
        <v>2192</v>
      </c>
      <c r="M70" s="65" t="s">
        <v>2193</v>
      </c>
      <c r="N70" s="103" t="s">
        <v>2194</v>
      </c>
    </row>
    <row r="71" spans="1:19" ht="72">
      <c r="A71" s="26" t="str">
        <v>Donati</v>
      </c>
      <c r="B71" s="27" t="str">
        <v>NY</v>
      </c>
      <c r="C71" s="27" t="str">
        <f>Sites[[#This Row],[SOL'#]]</f>
        <v>SOL-10968</v>
      </c>
      <c r="D71" s="9">
        <v>275810</v>
      </c>
      <c r="E71" s="14">
        <v>260880</v>
      </c>
      <c r="F71" s="14">
        <f t="shared" si="4"/>
        <v>14930</v>
      </c>
      <c r="G71" s="15">
        <f t="shared" si="5"/>
        <v>5.7229377491567007E-2</v>
      </c>
      <c r="H71" s="16">
        <v>254656.47399999999</v>
      </c>
      <c r="I71" s="16">
        <f t="shared" si="6"/>
        <v>21153.526000000013</v>
      </c>
      <c r="J71" s="15">
        <f t="shared" si="7"/>
        <v>8.3066908403043441E-2</v>
      </c>
      <c r="K71" s="51" t="s">
        <v>2195</v>
      </c>
      <c r="L71" s="100" t="s">
        <v>2196</v>
      </c>
      <c r="M71" s="65" t="s">
        <v>2197</v>
      </c>
      <c r="N71" s="103" t="s">
        <v>1984</v>
      </c>
    </row>
    <row r="72" spans="1:19" ht="15.6">
      <c r="A72" s="24" t="str">
        <v>Henrietta</v>
      </c>
      <c r="B72" s="25" t="str">
        <v>NY</v>
      </c>
      <c r="C72" s="25" t="str">
        <f>Sites[[#This Row],[SOL'#]]</f>
        <v>SOL-10972</v>
      </c>
      <c r="D72" s="20">
        <v>582710</v>
      </c>
      <c r="E72" s="10">
        <v>572670</v>
      </c>
      <c r="F72" s="10">
        <f t="shared" si="4"/>
        <v>10040</v>
      </c>
      <c r="G72" s="11">
        <f t="shared" si="5"/>
        <v>1.7531911921350864E-2</v>
      </c>
      <c r="H72" s="12">
        <v>501403.11099999998</v>
      </c>
      <c r="I72" s="12">
        <f t="shared" si="6"/>
        <v>81306.889000000025</v>
      </c>
      <c r="J72" s="13">
        <f t="shared" si="7"/>
        <v>0.16215872461948092</v>
      </c>
      <c r="K72" s="53"/>
      <c r="L72" s="47"/>
    </row>
    <row r="73" spans="1:19" ht="115.15">
      <c r="A73" s="26" t="str">
        <v>NY 70</v>
      </c>
      <c r="B73" s="27" t="str">
        <v>NY</v>
      </c>
      <c r="C73" s="27" t="str">
        <f>Sites[[#This Row],[SOL'#]]</f>
        <v>SOL-10970</v>
      </c>
      <c r="D73" s="9">
        <v>564940</v>
      </c>
      <c r="E73" s="14">
        <v>561130</v>
      </c>
      <c r="F73" s="14">
        <f t="shared" si="4"/>
        <v>3810</v>
      </c>
      <c r="G73" s="15">
        <f t="shared" si="5"/>
        <v>6.7898704400049898E-3</v>
      </c>
      <c r="H73" s="16">
        <v>612530.103</v>
      </c>
      <c r="I73" s="16">
        <f t="shared" si="6"/>
        <v>-47590.103000000003</v>
      </c>
      <c r="J73" s="15">
        <f t="shared" si="7"/>
        <v>-7.7694308846074797E-2</v>
      </c>
      <c r="K73" s="51" t="s">
        <v>2198</v>
      </c>
      <c r="L73" s="100" t="s">
        <v>2199</v>
      </c>
      <c r="M73" s="65" t="s">
        <v>2200</v>
      </c>
      <c r="N73" s="103" t="s">
        <v>1990</v>
      </c>
      <c r="O73" s="103" t="s">
        <v>2201</v>
      </c>
      <c r="P73" s="103" t="s">
        <v>2202</v>
      </c>
    </row>
    <row r="74" spans="1:19" ht="230.45">
      <c r="A74" s="24" t="str">
        <v>Reid</v>
      </c>
      <c r="B74" s="25" t="str">
        <v>NY</v>
      </c>
      <c r="C74" s="25" t="str">
        <f>Sites[[#This Row],[SOL'#]]</f>
        <v>SOL-10991</v>
      </c>
      <c r="D74" s="20">
        <v>583317.97902833996</v>
      </c>
      <c r="E74" s="10">
        <v>640176.30000000005</v>
      </c>
      <c r="F74" s="10">
        <f t="shared" si="4"/>
        <v>-56858.320971660083</v>
      </c>
      <c r="G74" s="11">
        <f t="shared" si="5"/>
        <v>-8.8816660303825803E-2</v>
      </c>
      <c r="H74" s="12">
        <v>540119</v>
      </c>
      <c r="I74" s="12">
        <f t="shared" si="6"/>
        <v>43198.979028339963</v>
      </c>
      <c r="J74" s="13">
        <f t="shared" si="7"/>
        <v>7.9980483982862963E-2</v>
      </c>
      <c r="K74" s="53" t="s">
        <v>2203</v>
      </c>
      <c r="L74" s="99" t="s">
        <v>2204</v>
      </c>
      <c r="M74" s="102" t="s">
        <v>2205</v>
      </c>
      <c r="N74" s="103" t="s">
        <v>1998</v>
      </c>
      <c r="O74" s="103" t="s">
        <v>2206</v>
      </c>
      <c r="P74" s="103" t="s">
        <v>2207</v>
      </c>
      <c r="Q74" s="103" t="s">
        <v>2208</v>
      </c>
      <c r="R74" s="103" t="s">
        <v>2209</v>
      </c>
      <c r="S74" s="103" t="s">
        <v>2205</v>
      </c>
    </row>
    <row r="75" spans="1:19" ht="72">
      <c r="A75" s="26" t="str">
        <v>Sangolqui</v>
      </c>
      <c r="B75" s="27" t="str">
        <v>NY</v>
      </c>
      <c r="C75" s="27" t="str">
        <f>Sites[[#This Row],[SOL'#]]</f>
        <v>SOL-10975</v>
      </c>
      <c r="D75" s="9">
        <v>188210</v>
      </c>
      <c r="E75" s="14">
        <v>129980</v>
      </c>
      <c r="F75" s="14">
        <f t="shared" si="4"/>
        <v>58230</v>
      </c>
      <c r="G75" s="15">
        <f t="shared" si="5"/>
        <v>0.44799199876904139</v>
      </c>
      <c r="H75" s="16">
        <v>245669.92300000001</v>
      </c>
      <c r="I75" s="16">
        <f t="shared" si="6"/>
        <v>-57459.92300000001</v>
      </c>
      <c r="J75" s="15">
        <f t="shared" si="7"/>
        <v>-0.23389075186057678</v>
      </c>
      <c r="K75" s="51" t="s">
        <v>2210</v>
      </c>
      <c r="L75" s="100" t="s">
        <v>2211</v>
      </c>
      <c r="M75" s="65" t="s">
        <v>2212</v>
      </c>
      <c r="N75" s="103" t="s">
        <v>2001</v>
      </c>
    </row>
    <row r="76" spans="1:19" ht="15.6">
      <c r="A76" s="24" t="str">
        <v>State Highway 17B</v>
      </c>
      <c r="B76" s="25" t="str">
        <v>NY</v>
      </c>
      <c r="C76" s="25" t="str">
        <f>Sites[[#This Row],[SOL'#]]</f>
        <v>SOL-10988</v>
      </c>
      <c r="D76" s="20">
        <v>691270</v>
      </c>
      <c r="E76" s="10">
        <v>678040</v>
      </c>
      <c r="F76" s="10">
        <f t="shared" si="4"/>
        <v>13230</v>
      </c>
      <c r="G76" s="11">
        <f t="shared" si="5"/>
        <v>1.9512123178573537E-2</v>
      </c>
      <c r="H76" s="12">
        <v>625045.87</v>
      </c>
      <c r="I76" s="12">
        <f t="shared" si="6"/>
        <v>66224.13</v>
      </c>
      <c r="J76" s="13">
        <f t="shared" si="7"/>
        <v>0.10595083205653372</v>
      </c>
      <c r="K76" s="53"/>
      <c r="L76" s="47"/>
    </row>
    <row r="77" spans="1:19" ht="94.5" customHeight="1">
      <c r="A77" s="26" t="str">
        <v>State Route 14A</v>
      </c>
      <c r="B77" s="27" t="str">
        <v>NY</v>
      </c>
      <c r="C77" s="27" t="str">
        <f>Sites[[#This Row],[SOL'#]]</f>
        <v>SOL-10997</v>
      </c>
      <c r="D77" s="9">
        <v>0</v>
      </c>
      <c r="E77" s="14">
        <v>0</v>
      </c>
      <c r="F77" s="14">
        <f t="shared" si="4"/>
        <v>0</v>
      </c>
      <c r="G77" s="15" t="str">
        <f t="shared" si="5"/>
        <v/>
      </c>
      <c r="H77" s="16">
        <v>620433.19099999999</v>
      </c>
      <c r="I77" s="16">
        <f t="shared" si="6"/>
        <v>-620433.19099999999</v>
      </c>
      <c r="J77" s="15">
        <f t="shared" si="7"/>
        <v>-1</v>
      </c>
      <c r="K77" s="51" t="s">
        <v>1510</v>
      </c>
      <c r="L77" s="100" t="s">
        <v>2213</v>
      </c>
      <c r="M77" s="104" t="s">
        <v>2116</v>
      </c>
    </row>
    <row r="78" spans="1:19" ht="15.6">
      <c r="A78" s="24" t="str">
        <v>West Creek</v>
      </c>
      <c r="B78" s="25" t="str">
        <v>NY</v>
      </c>
      <c r="C78" s="25" t="str">
        <f>Sites[[#This Row],[SOL'#]]</f>
        <v>SOL-10995</v>
      </c>
      <c r="D78" s="20">
        <v>745120</v>
      </c>
      <c r="E78" s="10">
        <v>709670</v>
      </c>
      <c r="F78" s="10">
        <f t="shared" si="4"/>
        <v>35450</v>
      </c>
      <c r="G78" s="11">
        <f t="shared" si="5"/>
        <v>4.995279496103823E-2</v>
      </c>
      <c r="H78" s="12">
        <v>587744.55799999996</v>
      </c>
      <c r="I78" s="12">
        <f t="shared" si="6"/>
        <v>157375.44200000004</v>
      </c>
      <c r="J78" s="13">
        <f t="shared" si="7"/>
        <v>0.26776163191629254</v>
      </c>
      <c r="K78" s="53"/>
      <c r="L78" s="47"/>
    </row>
    <row r="79" spans="1:19" ht="43.15">
      <c r="A79" s="26" t="str">
        <v>Wildflower</v>
      </c>
      <c r="B79" s="27" t="str">
        <v>NY</v>
      </c>
      <c r="C79" s="27" t="str">
        <f>Sites[[#This Row],[SOL'#]]</f>
        <v>SOL-10982</v>
      </c>
      <c r="D79" s="9">
        <v>619955</v>
      </c>
      <c r="E79" s="14">
        <v>592101</v>
      </c>
      <c r="F79" s="14">
        <f t="shared" si="4"/>
        <v>27854</v>
      </c>
      <c r="G79" s="15">
        <f t="shared" si="5"/>
        <v>4.70426498181898E-2</v>
      </c>
      <c r="H79" s="16">
        <v>627017.63</v>
      </c>
      <c r="I79" s="16">
        <f t="shared" si="6"/>
        <v>-7062.6300000000047</v>
      </c>
      <c r="J79" s="15">
        <f t="shared" si="7"/>
        <v>-1.126384596235357E-2</v>
      </c>
      <c r="K79" s="51" t="s">
        <v>2214</v>
      </c>
      <c r="L79" s="100" t="s">
        <v>2215</v>
      </c>
      <c r="M79" s="65" t="s">
        <v>2197</v>
      </c>
      <c r="N79" s="103" t="s">
        <v>2216</v>
      </c>
    </row>
    <row r="80" spans="1:19" ht="15.6">
      <c r="A80" s="24" t="str">
        <v>Glen Mary 1</v>
      </c>
      <c r="B80" s="25" t="str">
        <v>NY</v>
      </c>
      <c r="C80" s="25" t="str">
        <f>Sites[[#This Row],[SOL'#]]</f>
        <v>SOL-10993</v>
      </c>
      <c r="D80" s="20">
        <v>743960</v>
      </c>
      <c r="E80" s="10">
        <v>705610</v>
      </c>
      <c r="F80" s="10">
        <f t="shared" si="4"/>
        <v>38350</v>
      </c>
      <c r="G80" s="11">
        <f t="shared" si="5"/>
        <v>5.4350136761100322E-2</v>
      </c>
      <c r="H80" s="12">
        <v>677715.86399999994</v>
      </c>
      <c r="I80" s="12">
        <f t="shared" si="6"/>
        <v>66244.136000000057</v>
      </c>
      <c r="J80" s="13">
        <f t="shared" si="7"/>
        <v>9.7746178773232995E-2</v>
      </c>
      <c r="K80" s="53"/>
      <c r="L80" s="47"/>
    </row>
    <row r="81" spans="1:17" ht="94.5" customHeight="1">
      <c r="A81" s="26" t="str">
        <v>Glen Mary 2</v>
      </c>
      <c r="B81" s="27" t="str">
        <v>NY</v>
      </c>
      <c r="C81" s="27" t="str">
        <f>Sites[[#This Row],[SOL'#]]</f>
        <v>SOL-10994</v>
      </c>
      <c r="D81" s="9">
        <v>322050</v>
      </c>
      <c r="E81" s="14">
        <v>0</v>
      </c>
      <c r="F81" s="14">
        <f t="shared" si="4"/>
        <v>322050</v>
      </c>
      <c r="G81" s="15" t="str">
        <f t="shared" si="5"/>
        <v/>
      </c>
      <c r="H81" s="16">
        <v>284624.29100000003</v>
      </c>
      <c r="I81" s="16">
        <f t="shared" si="6"/>
        <v>37425.708999999973</v>
      </c>
      <c r="J81" s="15">
        <f t="shared" si="7"/>
        <v>0.13149161959616429</v>
      </c>
      <c r="K81" s="51" t="s">
        <v>2009</v>
      </c>
      <c r="L81" s="100" t="s">
        <v>2010</v>
      </c>
      <c r="M81" s="104" t="s">
        <v>2116</v>
      </c>
    </row>
    <row r="82" spans="1:17" ht="72">
      <c r="A82" s="24" t="str">
        <v>Telegraph 1</v>
      </c>
      <c r="B82" s="25" t="str">
        <v>NY</v>
      </c>
      <c r="C82" s="25" t="str">
        <f>Sites[[#This Row],[SOL'#]]</f>
        <v>SOL-11003</v>
      </c>
      <c r="D82" s="20">
        <v>498030</v>
      </c>
      <c r="E82" s="10" t="s">
        <v>661</v>
      </c>
      <c r="F82" s="10" t="str">
        <f t="shared" ref="F82:F145" si="8">IF(AND(ISNUMBER(D82),ISNUMBER(E82)), D82-E82, "")</f>
        <v/>
      </c>
      <c r="G82" s="11" t="str">
        <f t="shared" ref="G82:G145" si="9">IFERROR(F82/E82, "")</f>
        <v/>
      </c>
      <c r="H82" s="12">
        <v>443415.34299999999</v>
      </c>
      <c r="I82" s="12">
        <f t="shared" ref="I82:I145" si="10">IF(AND(ISNUMBER(D82),ISNUMBER(H82)), D82-H82, "")</f>
        <v>54614.657000000007</v>
      </c>
      <c r="J82" s="13">
        <f t="shared" ref="J82:J145" si="11">IFERROR(I82/H82, "")</f>
        <v>0.12316817147213602</v>
      </c>
      <c r="K82" s="53" t="s">
        <v>2217</v>
      </c>
      <c r="L82" s="99" t="s">
        <v>2218</v>
      </c>
      <c r="M82" s="65" t="s">
        <v>2219</v>
      </c>
      <c r="N82" s="103" t="s">
        <v>2220</v>
      </c>
      <c r="O82" s="103" t="s">
        <v>2221</v>
      </c>
    </row>
    <row r="83" spans="1:17" ht="121.5" customHeight="1">
      <c r="A83" s="26" t="str">
        <v>Telegraph 2</v>
      </c>
      <c r="B83" s="27" t="str">
        <v>NY</v>
      </c>
      <c r="C83" s="27" t="str">
        <f>Sites[[#This Row],[SOL'#]]</f>
        <v>SOL-11004</v>
      </c>
      <c r="D83" s="9">
        <v>258440</v>
      </c>
      <c r="E83" s="14" t="s">
        <v>661</v>
      </c>
      <c r="F83" s="14" t="str">
        <f t="shared" si="8"/>
        <v/>
      </c>
      <c r="G83" s="15" t="str">
        <f t="shared" si="9"/>
        <v/>
      </c>
      <c r="H83" s="16">
        <v>229927.77600000001</v>
      </c>
      <c r="I83" s="16">
        <f t="shared" si="10"/>
        <v>28512.223999999987</v>
      </c>
      <c r="J83" s="15">
        <f t="shared" si="11"/>
        <v>0.12400513107211539</v>
      </c>
      <c r="K83" s="51" t="s">
        <v>2222</v>
      </c>
      <c r="L83" s="100" t="s">
        <v>2223</v>
      </c>
      <c r="M83" s="65" t="s">
        <v>2224</v>
      </c>
      <c r="N83" s="103" t="s">
        <v>2225</v>
      </c>
      <c r="O83" s="103" t="s">
        <v>2225</v>
      </c>
      <c r="P83" s="103" t="s">
        <v>2226</v>
      </c>
      <c r="Q83" s="103" t="s">
        <v>2227</v>
      </c>
    </row>
    <row r="84" spans="1:17" ht="15.6">
      <c r="A84" s="24" t="str">
        <v>Cafferty Hill</v>
      </c>
      <c r="B84" s="25" t="str">
        <v>NY</v>
      </c>
      <c r="C84" s="25" t="str">
        <f>Sites[[#This Row],[SOL'#]]</f>
        <v>SOL-10996</v>
      </c>
      <c r="D84" s="20">
        <v>729450</v>
      </c>
      <c r="E84" s="10">
        <v>734715.78</v>
      </c>
      <c r="F84" s="10">
        <f t="shared" si="8"/>
        <v>-5265.7800000000279</v>
      </c>
      <c r="G84" s="11">
        <f t="shared" si="9"/>
        <v>-7.1670980035300558E-3</v>
      </c>
      <c r="H84" s="12">
        <v>608266.81999999995</v>
      </c>
      <c r="I84" s="12">
        <f t="shared" si="10"/>
        <v>121183.18000000005</v>
      </c>
      <c r="J84" s="13">
        <f t="shared" si="11"/>
        <v>0.19922701027815401</v>
      </c>
      <c r="K84" s="53"/>
      <c r="L84" s="47"/>
    </row>
    <row r="85" spans="1:17" ht="57.6">
      <c r="A85" s="26" t="str">
        <v>Dunkleman</v>
      </c>
      <c r="B85" s="27" t="str">
        <v>NY</v>
      </c>
      <c r="C85" s="27" t="str">
        <f>Sites[[#This Row],[SOL'#]]</f>
        <v>SOL-11008</v>
      </c>
      <c r="D85" s="9">
        <v>788740</v>
      </c>
      <c r="E85" s="14"/>
      <c r="F85" s="14" t="str">
        <f t="shared" si="8"/>
        <v/>
      </c>
      <c r="G85" s="15" t="str">
        <f t="shared" si="9"/>
        <v/>
      </c>
      <c r="H85" s="16">
        <v>681852.79200000002</v>
      </c>
      <c r="I85" s="16">
        <f t="shared" si="10"/>
        <v>106887.20799999998</v>
      </c>
      <c r="J85" s="15">
        <f t="shared" si="11"/>
        <v>0.15675994768090645</v>
      </c>
      <c r="K85" s="51" t="s">
        <v>2228</v>
      </c>
      <c r="L85" s="100" t="s">
        <v>2229</v>
      </c>
      <c r="M85" s="104" t="s">
        <v>2119</v>
      </c>
    </row>
    <row r="86" spans="1:17" ht="57.6">
      <c r="A86" s="24" t="str">
        <v>Route 19 1</v>
      </c>
      <c r="B86" s="25" t="str">
        <v>NY</v>
      </c>
      <c r="C86" s="25" t="str">
        <f>Sites[[#This Row],[SOL'#]]</f>
        <v>SOL-11001</v>
      </c>
      <c r="D86" s="20">
        <v>85381.1</v>
      </c>
      <c r="E86" s="10">
        <v>84652.17</v>
      </c>
      <c r="F86" s="10">
        <f t="shared" si="8"/>
        <v>728.93000000000757</v>
      </c>
      <c r="G86" s="11">
        <f t="shared" si="9"/>
        <v>8.6108838084127982E-3</v>
      </c>
      <c r="H86" s="12">
        <v>249315.92800000001</v>
      </c>
      <c r="I86" s="12">
        <f t="shared" si="10"/>
        <v>-163934.82800000001</v>
      </c>
      <c r="J86" s="13">
        <f t="shared" si="11"/>
        <v>-0.65753852678036684</v>
      </c>
      <c r="K86" s="53" t="s">
        <v>2230</v>
      </c>
      <c r="L86" s="99" t="s">
        <v>2231</v>
      </c>
      <c r="M86" s="65" t="s">
        <v>2232</v>
      </c>
      <c r="N86" s="103" t="s">
        <v>2233</v>
      </c>
      <c r="O86" s="103" t="s">
        <v>2234</v>
      </c>
    </row>
    <row r="87" spans="1:17" ht="72">
      <c r="A87" s="26" t="str">
        <v>Route 19 2</v>
      </c>
      <c r="B87" s="27" t="str">
        <v>NY</v>
      </c>
      <c r="C87" s="27" t="str">
        <f>Sites[[#This Row],[SOL'#]]</f>
        <v>SOL-11002</v>
      </c>
      <c r="D87" s="9">
        <v>688610</v>
      </c>
      <c r="E87" s="14">
        <v>684290</v>
      </c>
      <c r="F87" s="14">
        <f t="shared" si="8"/>
        <v>4320</v>
      </c>
      <c r="G87" s="15">
        <f t="shared" si="9"/>
        <v>6.313112861506087E-3</v>
      </c>
      <c r="H87" s="16">
        <v>630759.32400000002</v>
      </c>
      <c r="I87" s="16">
        <f t="shared" si="10"/>
        <v>57850.675999999978</v>
      </c>
      <c r="J87" s="15">
        <f t="shared" si="11"/>
        <v>9.1715926818388138E-2</v>
      </c>
      <c r="K87" s="51" t="s">
        <v>2217</v>
      </c>
      <c r="L87" s="100" t="s">
        <v>2235</v>
      </c>
      <c r="M87" s="65" t="s">
        <v>2219</v>
      </c>
      <c r="N87" s="103" t="s">
        <v>2236</v>
      </c>
      <c r="O87" s="103" t="s">
        <v>2237</v>
      </c>
    </row>
    <row r="88" spans="1:17" ht="15.6">
      <c r="A88" s="24" t="str">
        <v>Yellow Mills 1</v>
      </c>
      <c r="B88" s="25" t="str">
        <v>NY</v>
      </c>
      <c r="C88" s="25" t="str">
        <f>Sites[[#This Row],[SOL'#]]</f>
        <v>SOL-11006</v>
      </c>
      <c r="D88" s="20">
        <v>254545</v>
      </c>
      <c r="E88" s="10">
        <v>251901</v>
      </c>
      <c r="F88" s="10">
        <f t="shared" si="8"/>
        <v>2644</v>
      </c>
      <c r="G88" s="11">
        <f t="shared" si="9"/>
        <v>1.0496186994096888E-2</v>
      </c>
      <c r="H88" s="12">
        <v>228051.99</v>
      </c>
      <c r="I88" s="12">
        <f t="shared" si="10"/>
        <v>26493.010000000009</v>
      </c>
      <c r="J88" s="13">
        <f t="shared" si="11"/>
        <v>0.11617092225329852</v>
      </c>
      <c r="K88" s="53" t="s">
        <v>2238</v>
      </c>
      <c r="L88" s="99" t="s">
        <v>2026</v>
      </c>
      <c r="M88" s="104" t="s">
        <v>2239</v>
      </c>
    </row>
    <row r="89" spans="1:17" ht="43.15">
      <c r="A89" s="26" t="str">
        <v>Yellow Mills 2</v>
      </c>
      <c r="B89" s="27" t="str">
        <v>NY</v>
      </c>
      <c r="C89" s="27" t="str">
        <f>Sites[[#This Row],[SOL'#]]</f>
        <v>SOL-11005</v>
      </c>
      <c r="D89" s="9">
        <v>160545</v>
      </c>
      <c r="E89" s="14" t="s">
        <v>661</v>
      </c>
      <c r="F89" s="14" t="str">
        <f t="shared" si="8"/>
        <v/>
      </c>
      <c r="G89" s="15" t="str">
        <f t="shared" si="9"/>
        <v/>
      </c>
      <c r="H89" s="16">
        <v>236588.97399999999</v>
      </c>
      <c r="I89" s="16">
        <f t="shared" si="10"/>
        <v>-76043.973999999987</v>
      </c>
      <c r="J89" s="15">
        <f t="shared" si="11"/>
        <v>-0.32141808096264024</v>
      </c>
      <c r="K89" s="51" t="s">
        <v>2240</v>
      </c>
      <c r="L89" s="100" t="s">
        <v>2028</v>
      </c>
      <c r="M89" s="65" t="s">
        <v>2155</v>
      </c>
      <c r="N89" s="103" t="s">
        <v>2029</v>
      </c>
    </row>
    <row r="90" spans="1:17" ht="15.6">
      <c r="A90" s="24" t="str">
        <v>Yellow Mills 3</v>
      </c>
      <c r="B90" s="25" t="str">
        <v>NY</v>
      </c>
      <c r="C90" s="25" t="str">
        <f>Sites[[#This Row],[SOL'#]]</f>
        <v>SOL-11007</v>
      </c>
      <c r="D90" s="20">
        <v>240148</v>
      </c>
      <c r="E90" s="10">
        <v>238031</v>
      </c>
      <c r="F90" s="10">
        <f t="shared" si="8"/>
        <v>2117</v>
      </c>
      <c r="G90" s="11">
        <f t="shared" si="9"/>
        <v>8.893799547117812E-3</v>
      </c>
      <c r="H90" s="12">
        <v>225149.685</v>
      </c>
      <c r="I90" s="12">
        <f t="shared" si="10"/>
        <v>14998.315000000002</v>
      </c>
      <c r="J90" s="13">
        <f t="shared" si="11"/>
        <v>6.6614861131162592E-2</v>
      </c>
      <c r="K90" s="53" t="s">
        <v>2238</v>
      </c>
      <c r="L90" s="99" t="s">
        <v>2030</v>
      </c>
      <c r="M90" s="104" t="s">
        <v>2239</v>
      </c>
    </row>
    <row r="91" spans="1:17" ht="48.75" customHeight="1">
      <c r="A91" s="26" t="str">
        <v>Catskill</v>
      </c>
      <c r="B91" s="27" t="str">
        <v>NY</v>
      </c>
      <c r="C91" s="27" t="str">
        <f>Sites[[#This Row],[SOL'#]]</f>
        <v>SOL-11021</v>
      </c>
      <c r="D91" s="9">
        <v>520918</v>
      </c>
      <c r="E91" s="14">
        <v>0</v>
      </c>
      <c r="F91" s="14">
        <f t="shared" si="8"/>
        <v>520918</v>
      </c>
      <c r="G91" s="15" t="str">
        <f t="shared" si="9"/>
        <v/>
      </c>
      <c r="H91" s="16">
        <v>472047.37599999999</v>
      </c>
      <c r="I91" s="16">
        <f t="shared" si="10"/>
        <v>48870.624000000011</v>
      </c>
      <c r="J91" s="15">
        <f t="shared" si="11"/>
        <v>0.10352906611644848</v>
      </c>
      <c r="K91" s="51" t="s">
        <v>2241</v>
      </c>
      <c r="L91" s="100" t="s">
        <v>2242</v>
      </c>
      <c r="M91" s="65" t="s">
        <v>2155</v>
      </c>
      <c r="N91" s="103" t="s">
        <v>2243</v>
      </c>
    </row>
    <row r="92" spans="1:17" ht="15.6">
      <c r="A92" s="24" t="str">
        <v>Eddy Ridge</v>
      </c>
      <c r="B92" s="25" t="str">
        <v>NY</v>
      </c>
      <c r="C92" s="25" t="str">
        <f>Sites[[#This Row],[SOL'#]]</f>
        <v>SOL-11054</v>
      </c>
      <c r="D92" s="20">
        <v>287315</v>
      </c>
      <c r="E92" s="10">
        <v>284895</v>
      </c>
      <c r="F92" s="10">
        <f t="shared" si="8"/>
        <v>2420</v>
      </c>
      <c r="G92" s="11">
        <f t="shared" si="9"/>
        <v>8.4943575703329294E-3</v>
      </c>
      <c r="H92" s="12">
        <v>303475</v>
      </c>
      <c r="I92" s="12">
        <f t="shared" si="10"/>
        <v>-16160</v>
      </c>
      <c r="J92" s="13">
        <f t="shared" si="11"/>
        <v>-5.3249855836559848E-2</v>
      </c>
      <c r="K92" s="53" t="s">
        <v>1788</v>
      </c>
      <c r="L92" s="99" t="s">
        <v>2244</v>
      </c>
      <c r="M92" s="104" t="s">
        <v>2138</v>
      </c>
    </row>
    <row r="93" spans="1:17" ht="54" customHeight="1">
      <c r="A93" s="26" t="str">
        <v>Ridgeway #1</v>
      </c>
      <c r="B93" s="27" t="str">
        <v>NY</v>
      </c>
      <c r="C93" s="27" t="str">
        <f>Sites[[#This Row],[SOL'#]]</f>
        <v>SOL-11018</v>
      </c>
      <c r="D93" s="9">
        <v>787103</v>
      </c>
      <c r="E93" s="14">
        <v>779465</v>
      </c>
      <c r="F93" s="14">
        <f t="shared" si="8"/>
        <v>7638</v>
      </c>
      <c r="G93" s="15">
        <f t="shared" si="9"/>
        <v>9.7990288210503367E-3</v>
      </c>
      <c r="H93" s="16">
        <v>635692.43000000005</v>
      </c>
      <c r="I93" s="16">
        <f t="shared" si="10"/>
        <v>151410.56999999995</v>
      </c>
      <c r="J93" s="15">
        <f t="shared" si="11"/>
        <v>0.23818211898480518</v>
      </c>
      <c r="K93" s="51"/>
      <c r="L93" s="182"/>
    </row>
    <row r="94" spans="1:17" ht="15.6">
      <c r="A94" s="24" t="str">
        <v>Rivard 1</v>
      </c>
      <c r="B94" s="25" t="str">
        <v>NY</v>
      </c>
      <c r="C94" s="25" t="str">
        <f>Sites[[#This Row],[SOL'#]]</f>
        <v>SOL-11011</v>
      </c>
      <c r="D94" s="20">
        <v>610444.00000000198</v>
      </c>
      <c r="E94" s="10">
        <v>639127</v>
      </c>
      <c r="F94" s="10">
        <f t="shared" si="8"/>
        <v>-28682.999999998021</v>
      </c>
      <c r="G94" s="11">
        <f t="shared" si="9"/>
        <v>-4.4878404448565029E-2</v>
      </c>
      <c r="H94" s="12">
        <v>507876.1</v>
      </c>
      <c r="I94" s="12">
        <f t="shared" si="10"/>
        <v>102567.900000002</v>
      </c>
      <c r="J94" s="13">
        <f t="shared" si="11"/>
        <v>0.20195457120349236</v>
      </c>
      <c r="K94" s="73"/>
      <c r="L94" s="47"/>
    </row>
    <row r="95" spans="1:17" ht="15.6">
      <c r="A95" s="26" t="str">
        <v>Rivard 2</v>
      </c>
      <c r="B95" s="27" t="str">
        <v>NY</v>
      </c>
      <c r="C95" s="27" t="str">
        <f>Sites[[#This Row],[SOL'#]]</f>
        <v>SOL-11012</v>
      </c>
      <c r="D95" s="9">
        <v>586380.92000000004</v>
      </c>
      <c r="E95" s="14">
        <v>579785.1</v>
      </c>
      <c r="F95" s="14">
        <f t="shared" si="8"/>
        <v>6595.8200000000652</v>
      </c>
      <c r="G95" s="15">
        <f t="shared" si="9"/>
        <v>1.137631857044975E-2</v>
      </c>
      <c r="H95" s="16">
        <v>484208.1</v>
      </c>
      <c r="I95" s="16">
        <f t="shared" si="10"/>
        <v>102172.82000000007</v>
      </c>
      <c r="J95" s="15">
        <f t="shared" si="11"/>
        <v>0.21101014212690797</v>
      </c>
      <c r="K95" s="51"/>
      <c r="L95" s="88"/>
    </row>
    <row r="96" spans="1:17" ht="15.6">
      <c r="A96" s="24" t="str">
        <v>Ridgeway #2</v>
      </c>
      <c r="B96" s="25" t="str">
        <v>NY</v>
      </c>
      <c r="C96" s="25" t="str">
        <f>Sites[[#This Row],[SOL'#]]</f>
        <v>SOL-11027</v>
      </c>
      <c r="D96" s="20">
        <v>407899</v>
      </c>
      <c r="E96" s="10">
        <v>404959</v>
      </c>
      <c r="F96" s="10">
        <f t="shared" si="8"/>
        <v>2940</v>
      </c>
      <c r="G96" s="11">
        <f t="shared" si="9"/>
        <v>7.2599942216372525E-3</v>
      </c>
      <c r="H96" s="12">
        <v>329308.82</v>
      </c>
      <c r="I96" s="12">
        <f t="shared" si="10"/>
        <v>78590.179999999993</v>
      </c>
      <c r="J96" s="13">
        <f t="shared" si="11"/>
        <v>0.23865191342278652</v>
      </c>
      <c r="K96" s="53"/>
      <c r="L96" s="47"/>
    </row>
    <row r="97" spans="1:16" ht="28.9">
      <c r="A97" s="26" t="str">
        <v>Spencer</v>
      </c>
      <c r="B97" s="27" t="str">
        <v>NY</v>
      </c>
      <c r="C97" s="27" t="str">
        <f>Sites[[#This Row],[SOL'#]]</f>
        <v>SOL-11017</v>
      </c>
      <c r="D97" s="9">
        <v>796809.53</v>
      </c>
      <c r="E97" s="14">
        <v>769468.24</v>
      </c>
      <c r="F97" s="14">
        <f t="shared" si="8"/>
        <v>27341.290000000037</v>
      </c>
      <c r="G97" s="15">
        <f t="shared" si="9"/>
        <v>3.5532707626763173E-2</v>
      </c>
      <c r="H97" s="16">
        <v>663665</v>
      </c>
      <c r="I97" s="16">
        <f t="shared" si="10"/>
        <v>133144.53000000003</v>
      </c>
      <c r="J97" s="15">
        <f t="shared" si="11"/>
        <v>0.20062008694145395</v>
      </c>
      <c r="K97" s="51" t="s">
        <v>2245</v>
      </c>
      <c r="L97" s="100" t="s">
        <v>2246</v>
      </c>
      <c r="M97" s="104" t="s">
        <v>2239</v>
      </c>
    </row>
    <row r="98" spans="1:16" ht="15.6">
      <c r="A98" s="24" t="str">
        <v>Reisender</v>
      </c>
      <c r="B98" s="25" t="str">
        <v>NY</v>
      </c>
      <c r="C98" s="25" t="str">
        <f>Sites[[#This Row],[SOL'#]]</f>
        <v>SOL-10886</v>
      </c>
      <c r="D98" s="20">
        <v>278720</v>
      </c>
      <c r="E98" s="10">
        <v>278640</v>
      </c>
      <c r="F98" s="10">
        <f t="shared" si="8"/>
        <v>80</v>
      </c>
      <c r="G98" s="11">
        <f t="shared" si="9"/>
        <v>2.871088142405972E-4</v>
      </c>
      <c r="H98" s="12">
        <v>255766.95600000001</v>
      </c>
      <c r="I98" s="12">
        <f t="shared" si="10"/>
        <v>22953.043999999994</v>
      </c>
      <c r="J98" s="13">
        <f t="shared" si="11"/>
        <v>8.9742022812360461E-2</v>
      </c>
      <c r="K98" s="53"/>
      <c r="L98" s="47"/>
    </row>
    <row r="99" spans="1:16" ht="43.15">
      <c r="A99" s="26" t="str">
        <v>Finney</v>
      </c>
      <c r="B99" s="27" t="str">
        <v>NY</v>
      </c>
      <c r="C99" s="27" t="str">
        <f>Sites[[#This Row],[SOL'#]]</f>
        <v>SOL-10999</v>
      </c>
      <c r="D99" s="9">
        <v>493630</v>
      </c>
      <c r="E99" s="14">
        <v>491240</v>
      </c>
      <c r="F99" s="14">
        <f t="shared" si="8"/>
        <v>2390</v>
      </c>
      <c r="G99" s="15">
        <f t="shared" si="9"/>
        <v>4.8652389870531719E-3</v>
      </c>
      <c r="H99" s="16">
        <v>617297.95600000001</v>
      </c>
      <c r="I99" s="16">
        <f t="shared" si="10"/>
        <v>-123667.95600000001</v>
      </c>
      <c r="J99" s="15">
        <f t="shared" si="11"/>
        <v>-0.2003375433175742</v>
      </c>
      <c r="K99" s="51" t="s">
        <v>2247</v>
      </c>
      <c r="L99" s="100" t="s">
        <v>2248</v>
      </c>
      <c r="M99" s="65" t="s">
        <v>2249</v>
      </c>
      <c r="N99" s="103" t="s">
        <v>2250</v>
      </c>
    </row>
    <row r="100" spans="1:16" ht="15.6">
      <c r="A100" s="24" t="str">
        <v>Davis Solar</v>
      </c>
      <c r="B100" s="25" t="str">
        <v>NY</v>
      </c>
      <c r="C100" s="25" t="str">
        <f>Sites[[#This Row],[SOL'#]]</f>
        <v>SOL-10958</v>
      </c>
      <c r="D100" s="20">
        <v>294666</v>
      </c>
      <c r="E100" s="10">
        <v>320015.59999999998</v>
      </c>
      <c r="F100" s="10">
        <f t="shared" si="8"/>
        <v>-25349.599999999977</v>
      </c>
      <c r="G100" s="11">
        <f t="shared" si="9"/>
        <v>-7.9213638335131092E-2</v>
      </c>
      <c r="H100" s="12">
        <v>292669</v>
      </c>
      <c r="I100" s="12">
        <f t="shared" si="10"/>
        <v>1997</v>
      </c>
      <c r="J100" s="13">
        <f t="shared" si="11"/>
        <v>6.8234080138313245E-3</v>
      </c>
      <c r="K100" s="53"/>
      <c r="L100" s="47"/>
    </row>
    <row r="101" spans="1:16" ht="28.9">
      <c r="A101" s="26" t="str">
        <v>Genesee</v>
      </c>
      <c r="B101" s="27" t="str">
        <v>NY</v>
      </c>
      <c r="C101" s="27" t="str">
        <f>Sites[[#This Row],[SOL'#]]</f>
        <v>SOL-10951</v>
      </c>
      <c r="D101" s="9">
        <v>494011.2</v>
      </c>
      <c r="E101" s="14">
        <v>480122.63</v>
      </c>
      <c r="F101" s="14">
        <f t="shared" si="8"/>
        <v>13888.570000000007</v>
      </c>
      <c r="G101" s="15">
        <f t="shared" si="9"/>
        <v>2.8927130554125321E-2</v>
      </c>
      <c r="H101" s="16">
        <v>430901.36599999998</v>
      </c>
      <c r="I101" s="16">
        <f t="shared" si="10"/>
        <v>63109.834000000032</v>
      </c>
      <c r="J101" s="15">
        <f t="shared" si="11"/>
        <v>0.14646004626497294</v>
      </c>
      <c r="K101" s="51" t="s">
        <v>2251</v>
      </c>
      <c r="L101" s="100" t="s">
        <v>2044</v>
      </c>
      <c r="M101" s="104" t="s">
        <v>2120</v>
      </c>
    </row>
    <row r="102" spans="1:16" ht="15.6">
      <c r="A102" s="24" t="str">
        <v>Landau I</v>
      </c>
      <c r="B102" s="25" t="str">
        <v>NY</v>
      </c>
      <c r="C102" s="25" t="str">
        <f>Sites[[#This Row],[SOL'#]]</f>
        <v>SOL-10891</v>
      </c>
      <c r="D102" s="20">
        <v>275640</v>
      </c>
      <c r="E102" s="10" t="s">
        <v>661</v>
      </c>
      <c r="F102" s="10" t="str">
        <f t="shared" si="8"/>
        <v/>
      </c>
      <c r="G102" s="11" t="str">
        <f t="shared" si="9"/>
        <v/>
      </c>
      <c r="H102" s="12">
        <v>276046.64500000002</v>
      </c>
      <c r="I102" s="12">
        <f t="shared" si="10"/>
        <v>-406.64500000001863</v>
      </c>
      <c r="J102" s="13">
        <f t="shared" si="11"/>
        <v>-1.4731024896173564E-3</v>
      </c>
      <c r="K102" s="53"/>
      <c r="L102" s="47"/>
    </row>
    <row r="103" spans="1:16" ht="28.9">
      <c r="A103" s="26" t="str">
        <v>Landau II</v>
      </c>
      <c r="B103" s="27" t="str">
        <v>NY</v>
      </c>
      <c r="C103" s="27" t="str">
        <f>Sites[[#This Row],[SOL'#]]</f>
        <v>SOL-10895</v>
      </c>
      <c r="D103" s="9">
        <v>541660</v>
      </c>
      <c r="E103" s="14" t="s">
        <v>661</v>
      </c>
      <c r="F103" s="14" t="str">
        <f t="shared" si="8"/>
        <v/>
      </c>
      <c r="G103" s="15" t="str">
        <f t="shared" si="9"/>
        <v/>
      </c>
      <c r="H103" s="176" t="s">
        <v>661</v>
      </c>
      <c r="I103" s="16" t="str">
        <f t="shared" si="10"/>
        <v/>
      </c>
      <c r="J103" s="15" t="str">
        <f t="shared" si="11"/>
        <v/>
      </c>
      <c r="K103" s="51" t="s">
        <v>2252</v>
      </c>
      <c r="L103" s="100" t="s">
        <v>2253</v>
      </c>
      <c r="M103" s="65" t="s">
        <v>2254</v>
      </c>
      <c r="N103" s="103" t="s">
        <v>2255</v>
      </c>
    </row>
    <row r="104" spans="1:16" ht="42" customHeight="1">
      <c r="A104" s="24" t="str">
        <v>New Beginnings</v>
      </c>
      <c r="B104" s="25" t="str">
        <v>NY</v>
      </c>
      <c r="C104" s="25" t="str">
        <f>Sites[[#This Row],[SOL'#]]</f>
        <v>SOL-10890</v>
      </c>
      <c r="D104" s="20">
        <v>72340</v>
      </c>
      <c r="E104" s="10">
        <v>72320</v>
      </c>
      <c r="F104" s="10">
        <f t="shared" si="8"/>
        <v>20</v>
      </c>
      <c r="G104" s="11">
        <f t="shared" si="9"/>
        <v>2.7654867256637168E-4</v>
      </c>
      <c r="H104" s="12">
        <v>278665.03399999999</v>
      </c>
      <c r="I104" s="12">
        <f t="shared" si="10"/>
        <v>-206325.03399999999</v>
      </c>
      <c r="J104" s="13">
        <f t="shared" si="11"/>
        <v>-0.74040517763703351</v>
      </c>
      <c r="K104" s="53" t="s">
        <v>2256</v>
      </c>
      <c r="L104" s="99" t="s">
        <v>2257</v>
      </c>
      <c r="M104" s="104" t="s">
        <v>2138</v>
      </c>
    </row>
    <row r="105" spans="1:16" ht="15.6">
      <c r="A105" s="26" t="str">
        <v>Bullitt Farm Solar, LLC</v>
      </c>
      <c r="B105" s="27" t="str">
        <v>NY</v>
      </c>
      <c r="C105" s="27" t="str">
        <f>Sites[[#This Row],[SOL'#]]</f>
        <v>SOL-10998</v>
      </c>
      <c r="D105" s="9">
        <v>648453.06519999995</v>
      </c>
      <c r="E105" s="14">
        <v>714320.9</v>
      </c>
      <c r="F105" s="14">
        <f t="shared" si="8"/>
        <v>-65867.83480000007</v>
      </c>
      <c r="G105" s="15">
        <f t="shared" si="9"/>
        <v>-9.2210426434393936E-2</v>
      </c>
      <c r="H105" s="16">
        <v>553668.30000000005</v>
      </c>
      <c r="I105" s="16">
        <f t="shared" si="10"/>
        <v>94784.765199999907</v>
      </c>
      <c r="J105" s="15">
        <f t="shared" si="11"/>
        <v>0.17119413410520323</v>
      </c>
      <c r="K105" s="51" t="s">
        <v>2258</v>
      </c>
      <c r="L105" s="100" t="s">
        <v>2259</v>
      </c>
      <c r="M105" s="104" t="s">
        <v>2120</v>
      </c>
    </row>
    <row r="106" spans="1:16" ht="15.6">
      <c r="A106" s="24" t="str">
        <v>Brodhead Solar, LLC</v>
      </c>
      <c r="B106" s="25" t="str">
        <v>NY</v>
      </c>
      <c r="C106" s="25" t="str">
        <f>Sites[[#This Row],[SOL'#]]</f>
        <v>SOL-10899</v>
      </c>
      <c r="D106" s="20">
        <v>320511</v>
      </c>
      <c r="E106" s="10">
        <v>352139</v>
      </c>
      <c r="F106" s="10">
        <f t="shared" si="8"/>
        <v>-31628</v>
      </c>
      <c r="G106" s="11">
        <f t="shared" si="9"/>
        <v>-8.9816805295636098E-2</v>
      </c>
      <c r="H106" s="12">
        <v>301492.2</v>
      </c>
      <c r="I106" s="12">
        <f t="shared" si="10"/>
        <v>19018.799999999988</v>
      </c>
      <c r="J106" s="13">
        <f t="shared" si="11"/>
        <v>6.3082228992988834E-2</v>
      </c>
      <c r="K106" s="53"/>
      <c r="L106" s="47"/>
    </row>
    <row r="107" spans="1:16" ht="129.6">
      <c r="A107" s="26" t="str">
        <v>Svenski</v>
      </c>
      <c r="B107" s="27" t="str">
        <v>NY</v>
      </c>
      <c r="C107" s="27" t="str">
        <f>Sites[[#This Row],[SOL'#]]</f>
        <v>SOL-10894</v>
      </c>
      <c r="D107" s="9">
        <v>277486</v>
      </c>
      <c r="E107" s="14" t="s">
        <v>661</v>
      </c>
      <c r="F107" s="14" t="str">
        <f t="shared" si="8"/>
        <v/>
      </c>
      <c r="G107" s="15" t="str">
        <f t="shared" si="9"/>
        <v/>
      </c>
      <c r="H107" s="16">
        <v>272117.891</v>
      </c>
      <c r="I107" s="16">
        <f t="shared" si="10"/>
        <v>5368.1089999999967</v>
      </c>
      <c r="J107" s="15">
        <f t="shared" si="11"/>
        <v>1.972714465878319E-2</v>
      </c>
      <c r="K107" s="51" t="s">
        <v>2260</v>
      </c>
      <c r="L107" s="100" t="s">
        <v>2261</v>
      </c>
      <c r="M107" s="65" t="s">
        <v>2262</v>
      </c>
      <c r="N107" s="103" t="s">
        <v>2263</v>
      </c>
      <c r="O107" s="103" t="s">
        <v>2264</v>
      </c>
      <c r="P107" s="103" t="s">
        <v>2265</v>
      </c>
    </row>
    <row r="108" spans="1:16" ht="108.75" customHeight="1">
      <c r="A108" s="24" t="str">
        <v>Bantam</v>
      </c>
      <c r="B108" s="25" t="str">
        <v>NY</v>
      </c>
      <c r="C108" s="25" t="str">
        <f>Sites[[#This Row],[SOL'#]]</f>
        <v>SOL-10986</v>
      </c>
      <c r="D108" s="20">
        <v>44580</v>
      </c>
      <c r="E108" s="10">
        <v>469320</v>
      </c>
      <c r="F108" s="10">
        <f t="shared" si="8"/>
        <v>-424740</v>
      </c>
      <c r="G108" s="11">
        <f t="shared" si="9"/>
        <v>-0.9050115060086934</v>
      </c>
      <c r="H108" s="12">
        <v>590709.679</v>
      </c>
      <c r="I108" s="12">
        <f t="shared" si="10"/>
        <v>-546129.679</v>
      </c>
      <c r="J108" s="13">
        <f t="shared" si="11"/>
        <v>-0.92453145498569023</v>
      </c>
      <c r="K108" s="53" t="s">
        <v>2266</v>
      </c>
      <c r="L108" s="99" t="s">
        <v>2267</v>
      </c>
      <c r="M108" s="65" t="s">
        <v>2268</v>
      </c>
      <c r="N108" s="103" t="s">
        <v>2047</v>
      </c>
      <c r="O108" s="103" t="s">
        <v>2269</v>
      </c>
      <c r="P108" s="103" t="s">
        <v>2270</v>
      </c>
    </row>
    <row r="109" spans="1:16" ht="15.6">
      <c r="A109" s="26" t="str">
        <v>Bogart</v>
      </c>
      <c r="B109" s="27" t="str">
        <v>NY</v>
      </c>
      <c r="C109" s="27" t="str">
        <f>Sites[[#This Row],[SOL'#]]</f>
        <v>SOL-10887</v>
      </c>
      <c r="D109" s="9">
        <v>289530</v>
      </c>
      <c r="E109" s="14">
        <v>217280</v>
      </c>
      <c r="F109" s="14">
        <f t="shared" si="8"/>
        <v>72250</v>
      </c>
      <c r="G109" s="15">
        <f t="shared" si="9"/>
        <v>0.3325202503681885</v>
      </c>
      <c r="H109" s="16">
        <v>265631.136</v>
      </c>
      <c r="I109" s="16">
        <f t="shared" si="10"/>
        <v>23898.864000000001</v>
      </c>
      <c r="J109" s="15">
        <f t="shared" si="11"/>
        <v>8.9970115551514268E-2</v>
      </c>
      <c r="K109" s="51"/>
      <c r="L109" s="88"/>
    </row>
    <row r="110" spans="1:16" ht="15.6">
      <c r="A110" s="24" t="str">
        <v>Dubois</v>
      </c>
      <c r="B110" s="25" t="str">
        <v>NY</v>
      </c>
      <c r="C110" s="25" t="str">
        <f>Sites[[#This Row],[SOL'#]]</f>
        <v>SOL-10892</v>
      </c>
      <c r="D110" s="20">
        <v>0</v>
      </c>
      <c r="E110" s="10">
        <v>0</v>
      </c>
      <c r="F110" s="10">
        <f t="shared" si="8"/>
        <v>0</v>
      </c>
      <c r="G110" s="11" t="str">
        <f t="shared" si="9"/>
        <v/>
      </c>
      <c r="H110" s="12"/>
      <c r="I110" s="12" t="str">
        <f t="shared" si="10"/>
        <v/>
      </c>
      <c r="J110" s="13" t="str">
        <f t="shared" si="11"/>
        <v/>
      </c>
      <c r="K110" s="53" t="s">
        <v>1817</v>
      </c>
      <c r="L110" s="99" t="s">
        <v>2271</v>
      </c>
      <c r="M110" s="104" t="s">
        <v>2138</v>
      </c>
    </row>
    <row r="111" spans="1:16" ht="63.75" customHeight="1">
      <c r="A111" s="26" t="str">
        <v>Salt Point</v>
      </c>
      <c r="B111" s="27" t="str">
        <v>NY</v>
      </c>
      <c r="C111" s="27" t="str">
        <f>Sites[[#This Row],[SOL'#]]</f>
        <v>SOL-10888</v>
      </c>
      <c r="D111" s="9">
        <v>274500</v>
      </c>
      <c r="E111" s="14">
        <v>266540</v>
      </c>
      <c r="F111" s="14">
        <f t="shared" si="8"/>
        <v>7960</v>
      </c>
      <c r="G111" s="15">
        <f t="shared" si="9"/>
        <v>2.9864185488106852E-2</v>
      </c>
      <c r="H111" s="16">
        <v>263654.78399999999</v>
      </c>
      <c r="I111" s="16">
        <f t="shared" si="10"/>
        <v>10845.216000000015</v>
      </c>
      <c r="J111" s="15">
        <f t="shared" si="11"/>
        <v>4.1134152149501738E-2</v>
      </c>
      <c r="K111" s="51" t="s">
        <v>2272</v>
      </c>
      <c r="L111" s="100" t="s">
        <v>2273</v>
      </c>
      <c r="M111" s="104" t="s">
        <v>2274</v>
      </c>
    </row>
    <row r="112" spans="1:16" ht="84.75" customHeight="1">
      <c r="A112" s="24" t="str">
        <v>Wheatland 2A</v>
      </c>
      <c r="B112" s="25" t="str">
        <v>NY</v>
      </c>
      <c r="C112" s="25" t="str">
        <f>Sites[[#This Row],[SOL'#]]</f>
        <v>SOL-10971</v>
      </c>
      <c r="D112" s="20">
        <v>582600</v>
      </c>
      <c r="E112" s="10">
        <v>580410</v>
      </c>
      <c r="F112" s="10">
        <f t="shared" si="8"/>
        <v>2190</v>
      </c>
      <c r="G112" s="11">
        <f t="shared" si="9"/>
        <v>3.7731948105649456E-3</v>
      </c>
      <c r="H112" s="12">
        <v>509021.59700000001</v>
      </c>
      <c r="I112" s="12">
        <f t="shared" si="10"/>
        <v>73578.402999999991</v>
      </c>
      <c r="J112" s="13">
        <f t="shared" si="11"/>
        <v>0.14454868601577231</v>
      </c>
      <c r="K112" s="53" t="s">
        <v>2275</v>
      </c>
      <c r="L112" s="99" t="s">
        <v>2276</v>
      </c>
      <c r="M112" s="104" t="s">
        <v>2120</v>
      </c>
    </row>
    <row r="113" spans="1:15" ht="43.15">
      <c r="A113" s="26" t="str">
        <v>Wheatland 2B</v>
      </c>
      <c r="B113" s="27" t="str">
        <v>NY</v>
      </c>
      <c r="C113" s="27" t="str">
        <f>Sites[[#This Row],[SOL'#]]</f>
        <v>SOL-10961</v>
      </c>
      <c r="D113" s="9">
        <v>608220</v>
      </c>
      <c r="E113" s="14">
        <v>605890</v>
      </c>
      <c r="F113" s="14">
        <f t="shared" si="8"/>
        <v>2330</v>
      </c>
      <c r="G113" s="15">
        <f t="shared" si="9"/>
        <v>3.8455825314826124E-3</v>
      </c>
      <c r="H113" s="16">
        <v>502325.85100000002</v>
      </c>
      <c r="I113" s="16">
        <f t="shared" si="10"/>
        <v>105894.14899999998</v>
      </c>
      <c r="J113" s="15">
        <f t="shared" si="11"/>
        <v>0.2108076834771539</v>
      </c>
      <c r="K113" s="51" t="s">
        <v>2277</v>
      </c>
      <c r="L113" s="100" t="s">
        <v>2278</v>
      </c>
      <c r="M113" s="65" t="s">
        <v>2279</v>
      </c>
      <c r="N113" s="103" t="s">
        <v>823</v>
      </c>
    </row>
    <row r="114" spans="1:15" ht="43.15">
      <c r="A114" s="24" t="str">
        <v>Brickchurch</v>
      </c>
      <c r="B114" s="25" t="str">
        <v>NY</v>
      </c>
      <c r="C114" s="25" t="str">
        <f>Sites[[#This Row],[SOL'#]]</f>
        <v>SOL-10889</v>
      </c>
      <c r="D114" s="20">
        <v>55150</v>
      </c>
      <c r="E114" s="10">
        <v>55040</v>
      </c>
      <c r="F114" s="10">
        <f t="shared" si="8"/>
        <v>110</v>
      </c>
      <c r="G114" s="11">
        <f t="shared" si="9"/>
        <v>1.9985465116279071E-3</v>
      </c>
      <c r="H114" s="12">
        <v>224030.44099999999</v>
      </c>
      <c r="I114" s="12">
        <f t="shared" si="10"/>
        <v>-168880.44099999999</v>
      </c>
      <c r="J114" s="13">
        <f t="shared" si="11"/>
        <v>-0.75382809695937703</v>
      </c>
      <c r="K114" s="53" t="s">
        <v>2280</v>
      </c>
      <c r="L114" s="99" t="s">
        <v>2281</v>
      </c>
      <c r="M114" s="65" t="s">
        <v>2282</v>
      </c>
      <c r="N114" s="103" t="s">
        <v>2283</v>
      </c>
    </row>
    <row r="115" spans="1:15" ht="60.75" customHeight="1">
      <c r="A115" s="26" t="str">
        <v>McCarthy Solar</v>
      </c>
      <c r="B115" s="27" t="str">
        <v>NY</v>
      </c>
      <c r="C115" s="27" t="str">
        <f>Sites[[#This Row],[SOL'#]]</f>
        <v>SOL-10992</v>
      </c>
      <c r="D115" s="9">
        <v>71190</v>
      </c>
      <c r="E115" s="14">
        <v>0</v>
      </c>
      <c r="F115" s="14">
        <f t="shared" si="8"/>
        <v>71190</v>
      </c>
      <c r="G115" s="15" t="str">
        <f t="shared" si="9"/>
        <v/>
      </c>
      <c r="H115" s="16">
        <v>276553.03000000003</v>
      </c>
      <c r="I115" s="16">
        <f t="shared" si="10"/>
        <v>-205363.03000000003</v>
      </c>
      <c r="J115" s="15">
        <f t="shared" si="11"/>
        <v>-0.74258101601707283</v>
      </c>
      <c r="K115" s="51" t="s">
        <v>2284</v>
      </c>
      <c r="L115" s="100" t="s">
        <v>2285</v>
      </c>
      <c r="M115" s="65" t="s">
        <v>2286</v>
      </c>
      <c r="N115" s="103" t="s">
        <v>2287</v>
      </c>
    </row>
    <row r="116" spans="1:15" ht="43.15">
      <c r="A116" s="24" t="str">
        <v>Costanza</v>
      </c>
      <c r="B116" s="25" t="str">
        <v>NY</v>
      </c>
      <c r="C116" s="25" t="str">
        <f>Sites[[#This Row],[SOL'#]]</f>
        <v>SOL-10907</v>
      </c>
      <c r="D116" s="20">
        <v>304060</v>
      </c>
      <c r="E116" s="10">
        <v>303984.25</v>
      </c>
      <c r="F116" s="10">
        <f t="shared" si="8"/>
        <v>75.75</v>
      </c>
      <c r="G116" s="11">
        <f t="shared" si="9"/>
        <v>2.4919054194419611E-4</v>
      </c>
      <c r="H116" s="12">
        <v>264626.717</v>
      </c>
      <c r="I116" s="12">
        <f t="shared" si="10"/>
        <v>39433.282999999996</v>
      </c>
      <c r="J116" s="13">
        <f t="shared" si="11"/>
        <v>0.14901474592982988</v>
      </c>
      <c r="K116" s="53" t="s">
        <v>2288</v>
      </c>
      <c r="L116" s="99" t="s">
        <v>2289</v>
      </c>
      <c r="M116" s="65" t="s">
        <v>2219</v>
      </c>
      <c r="N116" s="103" t="s">
        <v>2290</v>
      </c>
      <c r="O116" s="103" t="s">
        <v>2291</v>
      </c>
    </row>
    <row r="117" spans="1:15" ht="15.6">
      <c r="A117" s="26" t="str">
        <v>Lockenhurst Pond</v>
      </c>
      <c r="B117" s="27" t="str">
        <v>NY</v>
      </c>
      <c r="C117" s="27" t="str">
        <f>Sites[[#This Row],[SOL'#]]</f>
        <v>SOL-11000</v>
      </c>
      <c r="D117" s="9">
        <v>318818</v>
      </c>
      <c r="E117" s="14">
        <v>345078.9</v>
      </c>
      <c r="F117" s="14">
        <f t="shared" si="8"/>
        <v>-26260.900000000023</v>
      </c>
      <c r="G117" s="15">
        <f t="shared" si="9"/>
        <v>-7.6101146723256685E-2</v>
      </c>
      <c r="H117" s="16">
        <v>287759</v>
      </c>
      <c r="I117" s="16">
        <f t="shared" si="10"/>
        <v>31059</v>
      </c>
      <c r="J117" s="15">
        <f t="shared" si="11"/>
        <v>0.10793406982926686</v>
      </c>
      <c r="K117" s="51" t="s">
        <v>2292</v>
      </c>
      <c r="L117" s="100" t="s">
        <v>2293</v>
      </c>
      <c r="M117" s="104" t="s">
        <v>2294</v>
      </c>
    </row>
    <row r="118" spans="1:15" ht="15.6">
      <c r="A118" s="24" t="str">
        <v>Drinkwater</v>
      </c>
      <c r="B118" s="25" t="str">
        <v>NY</v>
      </c>
      <c r="C118" s="25" t="str">
        <f>Sites[[#This Row],[SOL'#]]</f>
        <v>SOL-10896</v>
      </c>
      <c r="D118" s="20">
        <v>332380</v>
      </c>
      <c r="E118" s="10">
        <v>331060</v>
      </c>
      <c r="F118" s="10">
        <f t="shared" si="8"/>
        <v>1320</v>
      </c>
      <c r="G118" s="11">
        <f t="shared" si="9"/>
        <v>3.9871926538995956E-3</v>
      </c>
      <c r="H118" s="12">
        <v>250301.454</v>
      </c>
      <c r="I118" s="12">
        <f t="shared" si="10"/>
        <v>82078.546000000002</v>
      </c>
      <c r="J118" s="13">
        <f t="shared" si="11"/>
        <v>0.3279187742952544</v>
      </c>
      <c r="K118" s="53"/>
      <c r="L118" s="47"/>
    </row>
    <row r="119" spans="1:15" ht="15.6">
      <c r="A119" s="26" t="str">
        <v>Altamont</v>
      </c>
      <c r="B119" s="27" t="str">
        <v>NY</v>
      </c>
      <c r="C119" s="27" t="str">
        <f>Sites[[#This Row],[SOL'#]]</f>
        <v>SOL-11085</v>
      </c>
      <c r="D119" s="9">
        <v>616338</v>
      </c>
      <c r="E119" s="14">
        <v>665783.1</v>
      </c>
      <c r="F119" s="14">
        <f t="shared" si="8"/>
        <v>-49445.099999999977</v>
      </c>
      <c r="G119" s="15">
        <f t="shared" si="9"/>
        <v>-7.4266078547202505E-2</v>
      </c>
      <c r="H119" s="16">
        <v>420982.6</v>
      </c>
      <c r="I119" s="16">
        <f t="shared" si="10"/>
        <v>195355.40000000002</v>
      </c>
      <c r="J119" s="15">
        <f t="shared" si="11"/>
        <v>0.46404625749377776</v>
      </c>
      <c r="K119" s="51"/>
      <c r="L119" s="182"/>
    </row>
    <row r="120" spans="1:15" ht="15.6">
      <c r="A120" s="24" t="str">
        <v>Krumkill North</v>
      </c>
      <c r="B120" s="25" t="str">
        <v>NY</v>
      </c>
      <c r="C120" s="25" t="str">
        <f>Sites[[#This Row],[SOL'#]]</f>
        <v>SOL-11086</v>
      </c>
      <c r="D120" s="20">
        <v>515455</v>
      </c>
      <c r="E120" s="10">
        <v>636140.4</v>
      </c>
      <c r="F120" s="10">
        <f t="shared" si="8"/>
        <v>-120685.40000000002</v>
      </c>
      <c r="G120" s="11">
        <f t="shared" si="9"/>
        <v>-0.18971503774952828</v>
      </c>
      <c r="H120" s="12">
        <v>530658.80000000005</v>
      </c>
      <c r="I120" s="12">
        <f t="shared" si="10"/>
        <v>-15203.800000000047</v>
      </c>
      <c r="J120" s="13">
        <f t="shared" si="11"/>
        <v>-2.8650801607360596E-2</v>
      </c>
      <c r="K120" s="53" t="s">
        <v>2065</v>
      </c>
      <c r="L120" s="47"/>
    </row>
    <row r="121" spans="1:15" ht="15.6">
      <c r="A121" s="26" t="str">
        <v>Krumkill South</v>
      </c>
      <c r="B121" s="27" t="str">
        <v>NY</v>
      </c>
      <c r="C121" s="27" t="str">
        <f>Sites[[#This Row],[SOL'#]]</f>
        <v>SOL-11087</v>
      </c>
      <c r="D121" s="9">
        <v>466720</v>
      </c>
      <c r="E121" s="14">
        <v>508822.7</v>
      </c>
      <c r="F121" s="14">
        <f t="shared" si="8"/>
        <v>-42102.700000000012</v>
      </c>
      <c r="G121" s="15">
        <f t="shared" si="9"/>
        <v>-8.2745325631108854E-2</v>
      </c>
      <c r="H121" s="16">
        <v>416020</v>
      </c>
      <c r="I121" s="16">
        <f t="shared" si="10"/>
        <v>50700</v>
      </c>
      <c r="J121" s="15">
        <f t="shared" si="11"/>
        <v>0.12186914090668718</v>
      </c>
      <c r="K121" s="51" t="s">
        <v>2295</v>
      </c>
      <c r="L121" s="100" t="s">
        <v>2296</v>
      </c>
      <c r="M121" s="104" t="s">
        <v>2239</v>
      </c>
    </row>
    <row r="122" spans="1:15" ht="15.6">
      <c r="A122" s="24" t="str">
        <v>X092</v>
      </c>
      <c r="B122" s="25" t="str">
        <v>NY</v>
      </c>
      <c r="C122" s="25" t="str">
        <f>Sites[[#This Row],[SOL'#]]</f>
        <v>SOL-11189</v>
      </c>
      <c r="D122" s="20">
        <v>12600.1</v>
      </c>
      <c r="E122" s="10">
        <v>12960.93</v>
      </c>
      <c r="F122" s="10">
        <f t="shared" si="8"/>
        <v>-360.82999999999993</v>
      </c>
      <c r="G122" s="11">
        <f t="shared" si="9"/>
        <v>-2.7839823222561955E-2</v>
      </c>
      <c r="H122" s="12">
        <v>12338</v>
      </c>
      <c r="I122" s="12">
        <f t="shared" si="10"/>
        <v>262.10000000000036</v>
      </c>
      <c r="J122" s="13">
        <f t="shared" si="11"/>
        <v>2.1243313340898066E-2</v>
      </c>
      <c r="K122" s="53"/>
      <c r="L122" s="47"/>
    </row>
    <row r="123" spans="1:15" ht="15.6">
      <c r="A123" s="26" t="str">
        <v>X093</v>
      </c>
      <c r="B123" s="27" t="str">
        <v>NY</v>
      </c>
      <c r="C123" s="27" t="str">
        <f>Sites[[#This Row],[SOL'#]]</f>
        <v>SOL-10932</v>
      </c>
      <c r="D123" s="9">
        <v>9719.40625</v>
      </c>
      <c r="E123" s="14">
        <v>9495.5259999999998</v>
      </c>
      <c r="F123" s="14">
        <f t="shared" si="8"/>
        <v>223.88025000000016</v>
      </c>
      <c r="G123" s="15">
        <f t="shared" si="9"/>
        <v>2.3577445841336243E-2</v>
      </c>
      <c r="H123" s="16">
        <v>8699</v>
      </c>
      <c r="I123" s="16">
        <f t="shared" si="10"/>
        <v>1020.40625</v>
      </c>
      <c r="J123" s="15">
        <f t="shared" si="11"/>
        <v>0.11730155765030463</v>
      </c>
      <c r="K123" s="51"/>
      <c r="L123" s="86"/>
    </row>
    <row r="124" spans="1:15" ht="43.15">
      <c r="A124" s="24" t="str">
        <v>X095</v>
      </c>
      <c r="B124" s="25" t="str">
        <v>NY</v>
      </c>
      <c r="C124" s="25" t="str">
        <f>Sites[[#This Row],[SOL'#]]</f>
        <v>SOL-10929</v>
      </c>
      <c r="D124" s="20">
        <v>12763.265625</v>
      </c>
      <c r="E124" s="10">
        <v>14734.83</v>
      </c>
      <c r="F124" s="10">
        <f t="shared" si="8"/>
        <v>-1971.5643749999999</v>
      </c>
      <c r="G124" s="11">
        <f t="shared" si="9"/>
        <v>-0.1338029943338335</v>
      </c>
      <c r="H124" s="12">
        <v>11699</v>
      </c>
      <c r="I124" s="12">
        <f t="shared" si="10"/>
        <v>1064.265625</v>
      </c>
      <c r="J124" s="13">
        <f t="shared" si="11"/>
        <v>9.0970649200786388E-2</v>
      </c>
      <c r="K124" s="53" t="s">
        <v>2297</v>
      </c>
      <c r="L124" s="99" t="s">
        <v>2298</v>
      </c>
      <c r="M124" s="104" t="s">
        <v>2239</v>
      </c>
    </row>
    <row r="125" spans="1:15" ht="15.6">
      <c r="A125" s="26" t="str">
        <v>X181</v>
      </c>
      <c r="B125" s="27" t="str">
        <v>NY</v>
      </c>
      <c r="C125" s="27" t="str">
        <f>Sites[[#This Row],[SOL'#]]</f>
        <v>SOL-10428</v>
      </c>
      <c r="D125" s="9">
        <v>23583.765625</v>
      </c>
      <c r="E125" s="14">
        <v>22296.69</v>
      </c>
      <c r="F125" s="14">
        <f t="shared" si="8"/>
        <v>1287.0756250000013</v>
      </c>
      <c r="G125" s="15">
        <f t="shared" si="9"/>
        <v>5.7724963884773987E-2</v>
      </c>
      <c r="H125" s="16">
        <v>21210</v>
      </c>
      <c r="I125" s="16">
        <f t="shared" si="10"/>
        <v>2373.765625</v>
      </c>
      <c r="J125" s="15">
        <f t="shared" si="11"/>
        <v>0.11191728547854786</v>
      </c>
      <c r="K125" s="51"/>
      <c r="L125" s="182"/>
    </row>
    <row r="126" spans="1:15" ht="44.25" customHeight="1">
      <c r="A126" s="24" t="str">
        <v>X415</v>
      </c>
      <c r="B126" s="25" t="str">
        <v>NY</v>
      </c>
      <c r="C126" s="25" t="str">
        <f>Sites[[#This Row],[SOL'#]]</f>
        <v>SOL-10429</v>
      </c>
      <c r="D126" s="20">
        <v>14487.022031250001</v>
      </c>
      <c r="E126" s="10">
        <v>12761.31</v>
      </c>
      <c r="F126" s="10">
        <f t="shared" si="8"/>
        <v>1725.712031250001</v>
      </c>
      <c r="G126" s="11">
        <f t="shared" si="9"/>
        <v>0.13523000626503087</v>
      </c>
      <c r="H126" s="12">
        <v>11741</v>
      </c>
      <c r="I126" s="12">
        <f t="shared" si="10"/>
        <v>2746.0220312500005</v>
      </c>
      <c r="J126" s="13">
        <f t="shared" si="11"/>
        <v>0.23388314719785372</v>
      </c>
      <c r="K126" s="53"/>
      <c r="L126" s="47"/>
    </row>
    <row r="127" spans="1:15" ht="36" customHeight="1">
      <c r="A127" s="26" t="str">
        <v>K198</v>
      </c>
      <c r="B127" s="27" t="str">
        <v>NY</v>
      </c>
      <c r="C127" s="27" t="str">
        <f>Sites[[#This Row],[SOL'#]]</f>
        <v>SOL-10930</v>
      </c>
      <c r="D127" s="9">
        <v>11087.6875</v>
      </c>
      <c r="E127" s="14">
        <v>11280</v>
      </c>
      <c r="F127" s="14">
        <f t="shared" si="8"/>
        <v>-192.3125</v>
      </c>
      <c r="G127" s="15">
        <f t="shared" si="9"/>
        <v>-1.7048980496453901E-2</v>
      </c>
      <c r="H127" s="16">
        <v>10487</v>
      </c>
      <c r="I127" s="16">
        <f>IF(AND(ISNUMBER(D127),ISNUMBER(H127)), D127-H127, "")</f>
        <v>600.6875</v>
      </c>
      <c r="J127" s="15">
        <f t="shared" si="11"/>
        <v>5.7279250500619813E-2</v>
      </c>
      <c r="K127" s="51"/>
      <c r="L127" s="182"/>
    </row>
    <row r="128" spans="1:15" ht="15.6">
      <c r="A128" s="24" t="str">
        <v>K203</v>
      </c>
      <c r="B128" s="25" t="str">
        <v>NY</v>
      </c>
      <c r="C128" s="25" t="str">
        <f>Sites[[#This Row],[SOL'#]]</f>
        <v>SOL-11190</v>
      </c>
      <c r="D128" s="20">
        <v>14366.1</v>
      </c>
      <c r="E128" s="10">
        <v>12720.55</v>
      </c>
      <c r="F128" s="10">
        <f t="shared" si="8"/>
        <v>1645.5500000000011</v>
      </c>
      <c r="G128" s="11">
        <f t="shared" si="9"/>
        <v>0.12936154490175356</v>
      </c>
      <c r="H128" s="12">
        <v>13958</v>
      </c>
      <c r="I128" s="12">
        <f t="shared" si="10"/>
        <v>408.10000000000036</v>
      </c>
      <c r="J128" s="13">
        <f t="shared" si="11"/>
        <v>2.9237713139418281E-2</v>
      </c>
      <c r="K128" s="53"/>
      <c r="L128" s="47"/>
    </row>
    <row r="129" spans="1:15" ht="15.6">
      <c r="A129" s="26" t="str">
        <v>K213</v>
      </c>
      <c r="B129" s="27" t="str">
        <v>NY</v>
      </c>
      <c r="C129" s="27" t="str">
        <f>Sites[[#This Row],[SOL'#]]</f>
        <v>SOL-11191</v>
      </c>
      <c r="D129" s="9">
        <v>15240.7</v>
      </c>
      <c r="E129" s="14">
        <v>17509.86</v>
      </c>
      <c r="F129" s="14">
        <f t="shared" si="8"/>
        <v>-2269.16</v>
      </c>
      <c r="G129" s="15">
        <f t="shared" si="9"/>
        <v>-0.12959326916377401</v>
      </c>
      <c r="H129" s="16">
        <v>14843</v>
      </c>
      <c r="I129" s="16">
        <f t="shared" si="10"/>
        <v>397.70000000000073</v>
      </c>
      <c r="J129" s="15">
        <f t="shared" si="11"/>
        <v>2.6793774843360554E-2</v>
      </c>
      <c r="K129" s="51" t="s">
        <v>2299</v>
      </c>
      <c r="L129" s="86"/>
      <c r="M129"/>
    </row>
    <row r="130" spans="1:15" ht="15.6">
      <c r="A130" s="24" t="str">
        <v>K217</v>
      </c>
      <c r="B130" s="25" t="str">
        <v>NY</v>
      </c>
      <c r="C130" s="25" t="str">
        <f>Sites[[#This Row],[SOL'#]]</f>
        <v>SOL-10933</v>
      </c>
      <c r="D130" s="20">
        <v>7801.1171875</v>
      </c>
      <c r="E130" s="10">
        <v>8503.5519999999997</v>
      </c>
      <c r="F130" s="10">
        <f t="shared" si="8"/>
        <v>-702.43481249999968</v>
      </c>
      <c r="G130" s="11">
        <f t="shared" si="9"/>
        <v>-8.2604870588196516E-2</v>
      </c>
      <c r="H130" s="12">
        <v>7153</v>
      </c>
      <c r="I130" s="12">
        <f t="shared" si="10"/>
        <v>648.1171875</v>
      </c>
      <c r="J130" s="13">
        <f t="shared" si="11"/>
        <v>9.0607743254578502E-2</v>
      </c>
      <c r="K130" s="53"/>
      <c r="L130" s="47"/>
    </row>
    <row r="131" spans="1:15" ht="15.6">
      <c r="A131" s="26" t="str">
        <v>K307</v>
      </c>
      <c r="B131" s="27" t="str">
        <v>NY</v>
      </c>
      <c r="C131" s="27" t="str">
        <f>Sites[[#This Row],[SOL'#]]</f>
        <v>SOL-10876</v>
      </c>
      <c r="D131" s="9">
        <v>17488.015625</v>
      </c>
      <c r="E131" s="14">
        <v>23418.639999999999</v>
      </c>
      <c r="F131" s="14">
        <f t="shared" si="8"/>
        <v>-5930.6243749999994</v>
      </c>
      <c r="G131" s="15">
        <f t="shared" si="9"/>
        <v>-0.25324375689621598</v>
      </c>
      <c r="H131" s="16">
        <v>14771</v>
      </c>
      <c r="I131" s="16">
        <f t="shared" si="10"/>
        <v>2717.015625</v>
      </c>
      <c r="J131" s="15">
        <f t="shared" si="11"/>
        <v>0.18394256482296392</v>
      </c>
      <c r="K131" s="51" t="s">
        <v>2066</v>
      </c>
      <c r="L131" s="88"/>
    </row>
    <row r="132" spans="1:15" ht="15.6">
      <c r="A132" s="24" t="str">
        <v>K610</v>
      </c>
      <c r="B132" s="25" t="str">
        <v>NY</v>
      </c>
      <c r="C132" s="25" t="str">
        <f>Sites[[#This Row],[SOL'#]]</f>
        <v>SOL-11158</v>
      </c>
      <c r="D132" s="20">
        <v>19819.599999999999</v>
      </c>
      <c r="E132" s="10">
        <v>20843.41</v>
      </c>
      <c r="F132" s="10">
        <f t="shared" si="8"/>
        <v>-1023.8100000000013</v>
      </c>
      <c r="G132" s="11">
        <f t="shared" si="9"/>
        <v>-4.9119122063040609E-2</v>
      </c>
      <c r="H132" s="12">
        <v>18914</v>
      </c>
      <c r="I132" s="12">
        <f t="shared" si="10"/>
        <v>905.59999999999854</v>
      </c>
      <c r="J132" s="13">
        <f t="shared" si="11"/>
        <v>4.7879877339536775E-2</v>
      </c>
      <c r="K132" s="53"/>
      <c r="L132" s="47"/>
    </row>
    <row r="133" spans="1:15" ht="28.9">
      <c r="A133" s="26" t="str">
        <v>M025</v>
      </c>
      <c r="B133" s="27" t="str">
        <v>NY</v>
      </c>
      <c r="C133" s="27" t="str">
        <f>Sites[[#This Row],[SOL'#]]</f>
        <v>SOL-10392</v>
      </c>
      <c r="D133" s="9">
        <v>16248.1953125</v>
      </c>
      <c r="E133" s="14">
        <v>20668.759999999998</v>
      </c>
      <c r="F133" s="14">
        <f t="shared" si="8"/>
        <v>-4420.5646874999984</v>
      </c>
      <c r="G133" s="15">
        <f t="shared" si="9"/>
        <v>-0.21387662769803312</v>
      </c>
      <c r="H133" s="16">
        <v>17635</v>
      </c>
      <c r="I133" s="16">
        <f t="shared" si="10"/>
        <v>-1386.8046875</v>
      </c>
      <c r="J133" s="15">
        <f t="shared" si="11"/>
        <v>-7.863933583782251E-2</v>
      </c>
      <c r="K133" s="51" t="s">
        <v>2300</v>
      </c>
      <c r="L133" s="100" t="s">
        <v>2301</v>
      </c>
      <c r="M133"/>
      <c r="N133" s="103" t="s">
        <v>2302</v>
      </c>
    </row>
    <row r="134" spans="1:15" ht="15.6">
      <c r="A134" s="24" t="str">
        <v>M028</v>
      </c>
      <c r="B134" s="25" t="str">
        <v>NY</v>
      </c>
      <c r="C134" s="25" t="str">
        <f>Sites[[#This Row],[SOL'#]]</f>
        <v>SOL-10381</v>
      </c>
      <c r="D134" s="20">
        <v>13964.546875</v>
      </c>
      <c r="E134" s="10">
        <v>13884.17</v>
      </c>
      <c r="F134" s="10">
        <f t="shared" si="8"/>
        <v>80.376874999999927</v>
      </c>
      <c r="G134" s="11">
        <f t="shared" si="9"/>
        <v>5.7891019052633266E-3</v>
      </c>
      <c r="H134" s="12">
        <v>12198</v>
      </c>
      <c r="I134" s="12">
        <f t="shared" si="10"/>
        <v>1766.546875</v>
      </c>
      <c r="J134" s="13">
        <f t="shared" si="11"/>
        <v>0.14482266560091819</v>
      </c>
      <c r="K134" s="53"/>
      <c r="L134" s="47"/>
    </row>
    <row r="135" spans="1:15" ht="15.6">
      <c r="A135" s="26" t="str">
        <v>Q030</v>
      </c>
      <c r="B135" s="27" t="str">
        <v>NY</v>
      </c>
      <c r="C135" s="27" t="str">
        <f>Sites[[#This Row],[SOL'#]]</f>
        <v>SOL-10878</v>
      </c>
      <c r="D135" s="9">
        <v>16894.78125</v>
      </c>
      <c r="E135" s="14">
        <v>17490.12</v>
      </c>
      <c r="F135" s="14">
        <f t="shared" si="8"/>
        <v>-595.33874999999898</v>
      </c>
      <c r="G135" s="15">
        <f t="shared" si="9"/>
        <v>-3.4038574349404063E-2</v>
      </c>
      <c r="H135" s="16">
        <v>15243</v>
      </c>
      <c r="I135" s="16">
        <f t="shared" si="10"/>
        <v>1651.78125</v>
      </c>
      <c r="J135" s="15">
        <f t="shared" si="11"/>
        <v>0.10836326510529423</v>
      </c>
      <c r="K135" s="51"/>
      <c r="L135" s="86"/>
    </row>
    <row r="136" spans="1:15" ht="15.6">
      <c r="A136" s="24" t="str">
        <v>Q130</v>
      </c>
      <c r="B136" s="25" t="str">
        <v>NY</v>
      </c>
      <c r="C136" s="25" t="str">
        <f>Sites[[#This Row],[SOL'#]]</f>
        <v>SOL-10877</v>
      </c>
      <c r="D136" s="20">
        <v>8591.7109374999909</v>
      </c>
      <c r="E136" s="10">
        <v>9775.902</v>
      </c>
      <c r="F136" s="10">
        <f t="shared" si="8"/>
        <v>-1184.1910625000091</v>
      </c>
      <c r="G136" s="11">
        <f t="shared" si="9"/>
        <v>-0.1211336879706864</v>
      </c>
      <c r="H136" s="12">
        <v>8293.7440000000006</v>
      </c>
      <c r="I136" s="12">
        <f t="shared" si="10"/>
        <v>297.96693749999031</v>
      </c>
      <c r="J136" s="13">
        <f t="shared" si="11"/>
        <v>3.5926710240874363E-2</v>
      </c>
      <c r="K136" s="53" t="s">
        <v>2303</v>
      </c>
      <c r="L136" s="47"/>
      <c r="M136"/>
    </row>
    <row r="137" spans="1:15" ht="15.6">
      <c r="A137" s="26" t="str">
        <v>Q196</v>
      </c>
      <c r="B137" s="27" t="str">
        <v>NY</v>
      </c>
      <c r="C137" s="27" t="str">
        <f>Sites[[#This Row],[SOL'#]]</f>
        <v>SOL-10879</v>
      </c>
      <c r="D137" s="9">
        <v>11576.375</v>
      </c>
      <c r="E137" s="14">
        <v>12951.76</v>
      </c>
      <c r="F137" s="14">
        <f t="shared" si="8"/>
        <v>-1375.3850000000002</v>
      </c>
      <c r="G137" s="15">
        <f t="shared" si="9"/>
        <v>-0.10619290351272724</v>
      </c>
      <c r="H137" s="16">
        <v>10846</v>
      </c>
      <c r="I137" s="16">
        <f t="shared" si="10"/>
        <v>730.375</v>
      </c>
      <c r="J137" s="15">
        <f t="shared" si="11"/>
        <v>6.7340494191406974E-2</v>
      </c>
      <c r="K137" s="51" t="s">
        <v>2304</v>
      </c>
      <c r="L137" s="86"/>
      <c r="M137"/>
    </row>
    <row r="138" spans="1:15" ht="15.6">
      <c r="A138" s="24" t="str">
        <v>Q220</v>
      </c>
      <c r="B138" s="25" t="str">
        <v>NY</v>
      </c>
      <c r="C138" s="25" t="str">
        <f>Sites[[#This Row],[SOL'#]]</f>
        <v>SOL-10873</v>
      </c>
      <c r="D138" s="20">
        <v>11859.203125</v>
      </c>
      <c r="E138" s="10">
        <v>17078.349999999999</v>
      </c>
      <c r="F138" s="10">
        <f t="shared" si="8"/>
        <v>-5219.1468749999985</v>
      </c>
      <c r="G138" s="11">
        <f t="shared" si="9"/>
        <v>-0.30560018239466924</v>
      </c>
      <c r="H138" s="12">
        <v>11811</v>
      </c>
      <c r="I138" s="12">
        <f t="shared" si="10"/>
        <v>48.203125</v>
      </c>
      <c r="J138" s="13">
        <f t="shared" si="11"/>
        <v>4.0812060790788246E-3</v>
      </c>
      <c r="K138" s="53" t="s">
        <v>1364</v>
      </c>
      <c r="L138" s="108"/>
    </row>
    <row r="139" spans="1:15" ht="15.6">
      <c r="A139" s="26" t="str">
        <v>Q205</v>
      </c>
      <c r="B139" s="27" t="str">
        <v>NY</v>
      </c>
      <c r="C139" s="27" t="str">
        <f>Sites[[#This Row],[SOL'#]]</f>
        <v>SOL-10922</v>
      </c>
      <c r="D139" s="9">
        <v>17762.71875</v>
      </c>
      <c r="E139" s="14">
        <v>22208.54</v>
      </c>
      <c r="F139" s="14">
        <f t="shared" si="8"/>
        <v>-4445.8212500000009</v>
      </c>
      <c r="G139" s="15">
        <f t="shared" si="9"/>
        <v>-0.20018521028397188</v>
      </c>
      <c r="H139" s="16">
        <v>15510</v>
      </c>
      <c r="I139" s="16">
        <f t="shared" si="10"/>
        <v>2252.71875</v>
      </c>
      <c r="J139" s="15">
        <f t="shared" si="11"/>
        <v>0.14524298839458413</v>
      </c>
      <c r="K139" s="51" t="s">
        <v>2305</v>
      </c>
      <c r="L139" s="86"/>
    </row>
    <row r="140" spans="1:15" ht="43.15">
      <c r="A140" s="28" t="str">
        <v>Q400</v>
      </c>
      <c r="B140" s="25" t="str">
        <v>NY</v>
      </c>
      <c r="C140" s="25" t="str">
        <f>Sites[[#This Row],[SOL'#]]</f>
        <v>SOL-10871</v>
      </c>
      <c r="D140" s="54">
        <v>18383.78125</v>
      </c>
      <c r="E140" s="10" t="s">
        <v>661</v>
      </c>
      <c r="F140" s="10" t="str">
        <f t="shared" si="8"/>
        <v/>
      </c>
      <c r="G140" s="55" t="str">
        <f t="shared" si="9"/>
        <v/>
      </c>
      <c r="H140" s="67">
        <v>23463</v>
      </c>
      <c r="I140" s="67">
        <f t="shared" si="10"/>
        <v>-5079.21875</v>
      </c>
      <c r="J140" s="64">
        <f t="shared" si="11"/>
        <v>-0.21647780548097004</v>
      </c>
      <c r="K140" s="73" t="s">
        <v>2306</v>
      </c>
      <c r="L140" s="99" t="s">
        <v>2307</v>
      </c>
      <c r="M140" s="104" t="s">
        <v>2138</v>
      </c>
    </row>
    <row r="141" spans="1:15" ht="15.6">
      <c r="A141" s="26" t="str">
        <v>R003</v>
      </c>
      <c r="B141" s="27" t="str">
        <v>NY</v>
      </c>
      <c r="C141" s="27" t="str">
        <f>Sites[[#This Row],[SOL'#]]</f>
        <v>SOL-10416</v>
      </c>
      <c r="D141" s="66">
        <v>26215.769278606898</v>
      </c>
      <c r="E141" s="14">
        <v>25469.34</v>
      </c>
      <c r="F141" s="14">
        <f t="shared" si="8"/>
        <v>746.42927860689815</v>
      </c>
      <c r="G141" s="68">
        <f t="shared" si="9"/>
        <v>2.9306973742032505E-2</v>
      </c>
      <c r="H141" s="69">
        <v>23556</v>
      </c>
      <c r="I141" s="69">
        <f t="shared" si="10"/>
        <v>2659.7692786068983</v>
      </c>
      <c r="J141" s="68">
        <f t="shared" si="11"/>
        <v>0.11291260309929098</v>
      </c>
      <c r="K141" s="51" t="s">
        <v>2308</v>
      </c>
      <c r="L141" s="89"/>
    </row>
    <row r="142" spans="1:15" ht="51.75" customHeight="1">
      <c r="A142" s="24" t="str">
        <v>R007</v>
      </c>
      <c r="B142" s="25" t="str">
        <v>NY</v>
      </c>
      <c r="C142" s="25" t="str">
        <f>Sites[[#This Row],[SOL'#]]</f>
        <v>SOL-10417</v>
      </c>
      <c r="D142" s="54">
        <v>27178.71875</v>
      </c>
      <c r="E142" s="10">
        <v>29091.52</v>
      </c>
      <c r="F142" s="10">
        <f t="shared" si="8"/>
        <v>-1912.8012500000004</v>
      </c>
      <c r="G142" s="55">
        <f t="shared" si="9"/>
        <v>-6.5751162194343932E-2</v>
      </c>
      <c r="H142" s="67">
        <v>29298.79</v>
      </c>
      <c r="I142" s="67">
        <f t="shared" si="10"/>
        <v>-2120.0712500000009</v>
      </c>
      <c r="J142" s="64">
        <f t="shared" si="11"/>
        <v>-7.2360368807039499E-2</v>
      </c>
      <c r="K142" s="73" t="s">
        <v>2309</v>
      </c>
      <c r="L142" s="99" t="s">
        <v>2310</v>
      </c>
      <c r="M142" s="104" t="s">
        <v>2239</v>
      </c>
    </row>
    <row r="143" spans="1:15" ht="15.6">
      <c r="A143" s="26" t="str">
        <v>BK16</v>
      </c>
      <c r="B143" s="27" t="str">
        <v>NY</v>
      </c>
      <c r="C143" s="27" t="str">
        <f>Sites[[#This Row],[SOL'#]]</f>
        <v>SOL-11093</v>
      </c>
      <c r="D143" s="66">
        <v>26814.90625</v>
      </c>
      <c r="E143" s="14">
        <v>27664.22</v>
      </c>
      <c r="F143" s="14">
        <f t="shared" si="8"/>
        <v>-849.31375000000116</v>
      </c>
      <c r="G143" s="68">
        <f t="shared" si="9"/>
        <v>-3.0700802336013851E-2</v>
      </c>
      <c r="H143" s="69">
        <v>25000</v>
      </c>
      <c r="I143" s="69">
        <f t="shared" si="10"/>
        <v>1814.90625</v>
      </c>
      <c r="J143" s="68">
        <f t="shared" si="11"/>
        <v>7.2596250000000001E-2</v>
      </c>
      <c r="K143" s="51"/>
      <c r="L143" s="90"/>
    </row>
    <row r="144" spans="1:15" ht="57.6">
      <c r="A144" s="24" t="str">
        <v>Trenton - Trenton East</v>
      </c>
      <c r="B144" s="25" t="str">
        <v>IL</v>
      </c>
      <c r="C144" s="25" t="str">
        <f>Sites[[#This Row],[SOL'#]]</f>
        <v>SOL-11060</v>
      </c>
      <c r="D144" s="54">
        <v>362392</v>
      </c>
      <c r="E144" s="10">
        <v>347090.1</v>
      </c>
      <c r="F144" s="10">
        <f t="shared" si="8"/>
        <v>15301.900000000023</v>
      </c>
      <c r="G144" s="55">
        <f t="shared" si="9"/>
        <v>4.4086247346150249E-2</v>
      </c>
      <c r="H144" s="67">
        <v>334977</v>
      </c>
      <c r="I144" s="67">
        <f t="shared" si="10"/>
        <v>27415</v>
      </c>
      <c r="J144" s="64">
        <f t="shared" si="11"/>
        <v>8.1841439860050089E-2</v>
      </c>
      <c r="K144" s="73" t="s">
        <v>2311</v>
      </c>
      <c r="L144" s="99" t="s">
        <v>2312</v>
      </c>
      <c r="M144" s="65" t="s">
        <v>2313</v>
      </c>
      <c r="N144" s="103" t="s">
        <v>2314</v>
      </c>
      <c r="O144" s="103" t="s">
        <v>2315</v>
      </c>
    </row>
    <row r="145" spans="1:16" ht="84.75" customHeight="1">
      <c r="A145" s="26" t="str">
        <v>Trenton - Trenton West</v>
      </c>
      <c r="B145" s="27" t="str">
        <v>IL</v>
      </c>
      <c r="C145" s="27" t="str">
        <f>Sites[[#This Row],[SOL'#]]</f>
        <v>SOL-11061</v>
      </c>
      <c r="D145" s="66">
        <v>273805</v>
      </c>
      <c r="E145" s="14">
        <v>254733.5</v>
      </c>
      <c r="F145" s="14">
        <f t="shared" si="8"/>
        <v>19071.5</v>
      </c>
      <c r="G145" s="68">
        <f t="shared" si="9"/>
        <v>7.4868440939256126E-2</v>
      </c>
      <c r="H145" s="69">
        <v>339504</v>
      </c>
      <c r="I145" s="69">
        <f t="shared" si="10"/>
        <v>-65699</v>
      </c>
      <c r="J145" s="68">
        <f t="shared" si="11"/>
        <v>-0.1935146566756209</v>
      </c>
      <c r="K145" s="51" t="s">
        <v>2316</v>
      </c>
      <c r="L145" s="102" t="s">
        <v>2317</v>
      </c>
      <c r="M145" s="65" t="s">
        <v>2318</v>
      </c>
      <c r="N145" s="103" t="s">
        <v>2082</v>
      </c>
      <c r="O145" s="103" t="s">
        <v>2319</v>
      </c>
      <c r="P145" s="103" t="s">
        <v>2084</v>
      </c>
    </row>
    <row r="146" spans="1:16" ht="39.6">
      <c r="A146" s="24" t="str">
        <v>Dakota - Dakota Solar 1</v>
      </c>
      <c r="B146" s="25" t="str">
        <v>IL</v>
      </c>
      <c r="C146" s="25" t="str">
        <f>Sites[[#This Row],[SOL'#]]</f>
        <v>SOL-11113</v>
      </c>
      <c r="D146" s="54">
        <v>341684</v>
      </c>
      <c r="E146" s="10">
        <v>335706.8</v>
      </c>
      <c r="F146" s="10">
        <f t="shared" ref="F146:F171" si="12">IF(AND(ISNUMBER(D146),ISNUMBER(E146)), D146-E146, "")</f>
        <v>5977.2000000000116</v>
      </c>
      <c r="G146" s="55">
        <f t="shared" ref="G146:G171" si="13">IFERROR(F146/E146, "")</f>
        <v>1.7804822541575005E-2</v>
      </c>
      <c r="H146" s="67">
        <v>265320</v>
      </c>
      <c r="I146" s="67">
        <f t="shared" ref="I146:I171" si="14">IF(AND(ISNUMBER(D146),ISNUMBER(H146)), D146-H146, "")</f>
        <v>76364</v>
      </c>
      <c r="J146" s="64">
        <f t="shared" ref="J146:J171" si="15">IFERROR(I146/H146, "")</f>
        <v>0.2878184833408714</v>
      </c>
      <c r="K146" s="73" t="s">
        <v>2320</v>
      </c>
      <c r="L146" s="99" t="s">
        <v>2321</v>
      </c>
      <c r="M146" s="65" t="s">
        <v>2322</v>
      </c>
      <c r="N146" s="103" t="s">
        <v>2323</v>
      </c>
    </row>
    <row r="147" spans="1:16" ht="15.6">
      <c r="A147" s="26" t="str">
        <v>X018</v>
      </c>
      <c r="B147" s="27" t="str">
        <v>NY</v>
      </c>
      <c r="C147" s="27" t="str">
        <f>Sites[[#This Row],[SOL'#]]</f>
        <v>SOL-10418</v>
      </c>
      <c r="D147" s="66">
        <v>13335.1875</v>
      </c>
      <c r="E147" s="14">
        <v>13788.46</v>
      </c>
      <c r="F147" s="14">
        <f t="shared" si="12"/>
        <v>-453.27249999999913</v>
      </c>
      <c r="G147" s="68">
        <f t="shared" si="13"/>
        <v>-3.2873323054206136E-2</v>
      </c>
      <c r="H147" s="69">
        <v>13680</v>
      </c>
      <c r="I147" s="69">
        <f t="shared" si="14"/>
        <v>-344.8125</v>
      </c>
      <c r="J147" s="68">
        <f t="shared" si="15"/>
        <v>-2.5205592105263158E-2</v>
      </c>
      <c r="K147" s="51"/>
      <c r="L147" s="89"/>
    </row>
    <row r="148" spans="1:16" ht="43.15">
      <c r="A148" s="24" t="str">
        <v>Janiak Solar</v>
      </c>
      <c r="B148" s="25" t="str">
        <v>NY</v>
      </c>
      <c r="C148" s="25" t="str">
        <f>Sites[[#This Row],[SOL'#]]</f>
        <v>SOL-10898</v>
      </c>
      <c r="D148" s="54">
        <v>321409</v>
      </c>
      <c r="E148" s="10">
        <v>332661.2</v>
      </c>
      <c r="F148" s="10">
        <f t="shared" si="12"/>
        <v>-11252.200000000012</v>
      </c>
      <c r="G148" s="55">
        <f t="shared" si="13"/>
        <v>-3.3824804335462061E-2</v>
      </c>
      <c r="H148" s="67">
        <v>279683</v>
      </c>
      <c r="I148" s="67">
        <f t="shared" si="14"/>
        <v>41726</v>
      </c>
      <c r="J148" s="64">
        <f t="shared" si="15"/>
        <v>0.14919033334167611</v>
      </c>
      <c r="K148" s="73" t="s">
        <v>2324</v>
      </c>
      <c r="L148" s="99" t="s">
        <v>2325</v>
      </c>
      <c r="M148" s="65" t="s">
        <v>2294</v>
      </c>
    </row>
    <row r="149" spans="1:16" ht="28.9">
      <c r="A149" s="26" t="str">
        <v>County Route 11B</v>
      </c>
      <c r="B149" s="27" t="str">
        <v>NY</v>
      </c>
      <c r="C149" s="27" t="str">
        <f>Sites[[#This Row],[SOL'#]]</f>
        <v>SOL-10983</v>
      </c>
      <c r="D149" s="66">
        <v>776669.75</v>
      </c>
      <c r="E149" s="14">
        <v>772546.88</v>
      </c>
      <c r="F149" s="14">
        <f t="shared" si="12"/>
        <v>4122.8699999999953</v>
      </c>
      <c r="G149" s="68">
        <f t="shared" si="13"/>
        <v>5.3367246787664139E-3</v>
      </c>
      <c r="H149" s="168" t="s">
        <v>661</v>
      </c>
      <c r="I149" s="69" t="str">
        <f t="shared" si="14"/>
        <v/>
      </c>
      <c r="J149" s="68" t="str">
        <f t="shared" si="15"/>
        <v/>
      </c>
      <c r="K149" s="51" t="s">
        <v>2326</v>
      </c>
      <c r="L149" s="102" t="s">
        <v>2327</v>
      </c>
      <c r="M149" s="65" t="s">
        <v>2328</v>
      </c>
    </row>
    <row r="150" spans="1:16" ht="43.15">
      <c r="A150" s="24" t="str">
        <v>Barone</v>
      </c>
      <c r="B150" s="25" t="str">
        <v>NY</v>
      </c>
      <c r="C150" s="25" t="str">
        <f>Sites[[#This Row],[SOL'#]]</f>
        <v>SOL-11034</v>
      </c>
      <c r="D150" s="54">
        <v>447305</v>
      </c>
      <c r="E150" s="10">
        <v>443968</v>
      </c>
      <c r="F150" s="10">
        <f t="shared" si="12"/>
        <v>3337</v>
      </c>
      <c r="G150" s="55">
        <f t="shared" si="13"/>
        <v>7.5163074816202973E-3</v>
      </c>
      <c r="H150" s="67">
        <v>409940</v>
      </c>
      <c r="I150" s="67">
        <f t="shared" si="14"/>
        <v>37365</v>
      </c>
      <c r="J150" s="64">
        <f t="shared" si="15"/>
        <v>9.1147484997804562E-2</v>
      </c>
      <c r="K150" s="73" t="s">
        <v>2329</v>
      </c>
      <c r="L150" s="99" t="s">
        <v>2330</v>
      </c>
      <c r="M150" s="65" t="s">
        <v>2197</v>
      </c>
      <c r="N150" s="103" t="s">
        <v>2331</v>
      </c>
    </row>
    <row r="151" spans="1:16" ht="52.9">
      <c r="A151" s="26" t="str">
        <v>Cedarville</v>
      </c>
      <c r="B151" s="27" t="str">
        <v>IL</v>
      </c>
      <c r="C151" s="27" t="str">
        <f>Sites[[#This Row],[SOL'#]]</f>
        <v>SOL-11069</v>
      </c>
      <c r="D151" s="66">
        <v>287282</v>
      </c>
      <c r="E151" s="14">
        <v>286434.40000000002</v>
      </c>
      <c r="F151" s="14">
        <f t="shared" si="12"/>
        <v>847.59999999997672</v>
      </c>
      <c r="G151" s="68">
        <f t="shared" si="13"/>
        <v>2.9591417790599756E-3</v>
      </c>
      <c r="H151" s="69">
        <v>303211.8</v>
      </c>
      <c r="I151" s="69">
        <f t="shared" si="14"/>
        <v>-15929.799999999988</v>
      </c>
      <c r="J151" s="68">
        <f t="shared" si="15"/>
        <v>-5.2536873564946976E-2</v>
      </c>
      <c r="K151" s="51" t="s">
        <v>2332</v>
      </c>
      <c r="L151" s="102" t="s">
        <v>2333</v>
      </c>
      <c r="M151" s="65" t="s">
        <v>2334</v>
      </c>
      <c r="N151" s="103" t="s">
        <v>2335</v>
      </c>
    </row>
    <row r="152" spans="1:16" ht="28.9">
      <c r="A152" s="24" t="str">
        <v xml:space="preserve"> O'Brien Hill #1</v>
      </c>
      <c r="B152" s="25" t="str">
        <v>NY</v>
      </c>
      <c r="C152" s="25" t="str">
        <f>Sites[[#This Row],[SOL'#]]</f>
        <v>SOL-11098</v>
      </c>
      <c r="D152" s="54">
        <v>0</v>
      </c>
      <c r="E152" s="10">
        <v>0</v>
      </c>
      <c r="F152" s="10">
        <f t="shared" si="12"/>
        <v>0</v>
      </c>
      <c r="G152" s="55" t="str">
        <f t="shared" si="13"/>
        <v/>
      </c>
      <c r="H152" s="128" t="s">
        <v>661</v>
      </c>
      <c r="I152" s="67" t="str">
        <f t="shared" si="14"/>
        <v/>
      </c>
      <c r="J152" s="64" t="str">
        <f t="shared" si="15"/>
        <v/>
      </c>
      <c r="K152" s="73" t="s">
        <v>1390</v>
      </c>
      <c r="L152" s="99" t="s">
        <v>1391</v>
      </c>
      <c r="M152" s="65" t="s">
        <v>2328</v>
      </c>
      <c r="N152" s="103" t="s">
        <v>877</v>
      </c>
    </row>
    <row r="153" spans="1:16" ht="28.9">
      <c r="A153" s="26" t="str">
        <v xml:space="preserve"> O'Brien Hill #2</v>
      </c>
      <c r="B153" s="27" t="str">
        <v>NY</v>
      </c>
      <c r="C153" s="27" t="str">
        <f>Sites[[#This Row],[SOL'#]]</f>
        <v>SOL-11099</v>
      </c>
      <c r="D153" s="66">
        <v>675090</v>
      </c>
      <c r="E153" s="14">
        <v>674985</v>
      </c>
      <c r="F153" s="14">
        <f t="shared" si="12"/>
        <v>105</v>
      </c>
      <c r="G153" s="68">
        <f t="shared" si="13"/>
        <v>1.5555901242249827E-4</v>
      </c>
      <c r="H153" s="168" t="s">
        <v>661</v>
      </c>
      <c r="I153" s="69" t="str">
        <f t="shared" si="14"/>
        <v/>
      </c>
      <c r="J153" s="68" t="str">
        <f t="shared" si="15"/>
        <v/>
      </c>
      <c r="K153" s="182" t="s">
        <v>2336</v>
      </c>
      <c r="L153" s="103" t="s">
        <v>2337</v>
      </c>
      <c r="M153" s="104" t="s">
        <v>2119</v>
      </c>
    </row>
    <row r="154" spans="1:16" ht="86.45">
      <c r="A154" s="24" t="str">
        <v>Trinity - Freeport</v>
      </c>
      <c r="B154" s="25" t="str">
        <v>IL</v>
      </c>
      <c r="C154" s="25" t="str">
        <f>Sites[[#This Row],[SOL'#]]</f>
        <v>SOL-11057</v>
      </c>
      <c r="D154" s="54">
        <v>320506</v>
      </c>
      <c r="E154" s="10">
        <v>359435.7</v>
      </c>
      <c r="F154" s="10">
        <f t="shared" si="12"/>
        <v>-38929.700000000012</v>
      </c>
      <c r="G154" s="55">
        <f t="shared" si="13"/>
        <v>-0.10830782807606482</v>
      </c>
      <c r="H154" s="67">
        <v>296864</v>
      </c>
      <c r="I154" s="67">
        <f t="shared" si="14"/>
        <v>23642</v>
      </c>
      <c r="J154" s="64">
        <f t="shared" si="15"/>
        <v>7.9639161366821171E-2</v>
      </c>
      <c r="K154" s="73" t="s">
        <v>2338</v>
      </c>
      <c r="L154" s="99" t="s">
        <v>2094</v>
      </c>
      <c r="M154" s="65" t="s">
        <v>2339</v>
      </c>
      <c r="N154" s="103" t="s">
        <v>884</v>
      </c>
    </row>
    <row r="155" spans="1:16" ht="57.6">
      <c r="A155" s="26" t="str">
        <v>Ransom</v>
      </c>
      <c r="B155" s="27" t="str">
        <v>NY</v>
      </c>
      <c r="C155" s="27" t="str">
        <f>Sites[[#This Row],[SOL'#]]</f>
        <v>SOL-11157</v>
      </c>
      <c r="D155" s="66">
        <v>659665</v>
      </c>
      <c r="E155" s="14">
        <v>654273</v>
      </c>
      <c r="F155" s="14">
        <f t="shared" si="12"/>
        <v>5392</v>
      </c>
      <c r="G155" s="68">
        <f t="shared" si="13"/>
        <v>8.2412081806829875E-3</v>
      </c>
      <c r="H155" s="168" t="s">
        <v>661</v>
      </c>
      <c r="I155" s="69" t="str">
        <f t="shared" si="14"/>
        <v/>
      </c>
      <c r="J155" s="68" t="str">
        <f t="shared" si="15"/>
        <v/>
      </c>
      <c r="K155" s="51" t="s">
        <v>2340</v>
      </c>
      <c r="L155" s="102" t="s">
        <v>2341</v>
      </c>
      <c r="M155" s="65" t="s">
        <v>2219</v>
      </c>
      <c r="N155" s="103" t="s">
        <v>2342</v>
      </c>
      <c r="O155" s="103" t="s">
        <v>2343</v>
      </c>
    </row>
    <row r="156" spans="1:16" ht="43.15">
      <c r="A156" s="24" t="str">
        <v>Horseheads - Wedge</v>
      </c>
      <c r="B156" s="25" t="str">
        <v>NY</v>
      </c>
      <c r="C156" s="25" t="str">
        <f>Sites[[#This Row],[SOL'#]]</f>
        <v>SOL-11160</v>
      </c>
      <c r="D156" s="54">
        <v>412424</v>
      </c>
      <c r="E156" s="10">
        <v>405092</v>
      </c>
      <c r="F156" s="10">
        <f t="shared" si="12"/>
        <v>7332</v>
      </c>
      <c r="G156" s="55">
        <f t="shared" si="13"/>
        <v>1.8099592191403436E-2</v>
      </c>
      <c r="H156" s="128" t="s">
        <v>661</v>
      </c>
      <c r="I156" s="67" t="str">
        <f t="shared" si="14"/>
        <v/>
      </c>
      <c r="J156" s="64" t="str">
        <f t="shared" si="15"/>
        <v/>
      </c>
      <c r="K156" s="73" t="s">
        <v>2344</v>
      </c>
      <c r="L156" s="99" t="s">
        <v>2345</v>
      </c>
      <c r="M156" s="65" t="s">
        <v>2193</v>
      </c>
      <c r="N156" s="103" t="s">
        <v>2346</v>
      </c>
    </row>
    <row r="157" spans="1:16" ht="26.45">
      <c r="A157" s="26" t="str">
        <v>Otisville - Shoddy Hollow</v>
      </c>
      <c r="B157" s="27" t="str">
        <v>NY</v>
      </c>
      <c r="C157" s="27" t="str">
        <f>Sites[[#This Row],[SOL'#]]</f>
        <v>SOL-11185</v>
      </c>
      <c r="D157" s="66">
        <v>703087</v>
      </c>
      <c r="E157" s="14">
        <v>678670</v>
      </c>
      <c r="F157" s="14">
        <f t="shared" si="12"/>
        <v>24417</v>
      </c>
      <c r="G157" s="68">
        <f t="shared" si="13"/>
        <v>3.59777211310357E-2</v>
      </c>
      <c r="H157" s="168" t="s">
        <v>661</v>
      </c>
      <c r="I157" s="69" t="str">
        <f t="shared" si="14"/>
        <v/>
      </c>
      <c r="J157" s="68" t="str">
        <f t="shared" si="15"/>
        <v/>
      </c>
      <c r="K157" s="51" t="s">
        <v>2347</v>
      </c>
      <c r="L157" s="103" t="s">
        <v>2348</v>
      </c>
      <c r="M157" s="65" t="s">
        <v>2294</v>
      </c>
    </row>
    <row r="158" spans="1:16" ht="100.9">
      <c r="A158" s="24" t="str">
        <v>Wellsville - Chenunda Creek</v>
      </c>
      <c r="B158" s="25" t="str">
        <v>NY</v>
      </c>
      <c r="C158" s="25" t="str">
        <f>Sites[[#This Row],[SOL'#]]</f>
        <v>SOL-11187</v>
      </c>
      <c r="D158" s="54">
        <v>349774</v>
      </c>
      <c r="E158" s="10">
        <v>343685</v>
      </c>
      <c r="F158" s="10">
        <f t="shared" si="12"/>
        <v>6089</v>
      </c>
      <c r="G158" s="55">
        <f t="shared" si="13"/>
        <v>1.7716804632148624E-2</v>
      </c>
      <c r="H158" s="128" t="s">
        <v>661</v>
      </c>
      <c r="I158" s="67" t="str">
        <f t="shared" si="14"/>
        <v/>
      </c>
      <c r="J158" s="64" t="str">
        <f t="shared" si="15"/>
        <v/>
      </c>
      <c r="K158" s="73" t="s">
        <v>2349</v>
      </c>
      <c r="L158" s="99" t="s">
        <v>2350</v>
      </c>
      <c r="M158" s="65" t="s">
        <v>2351</v>
      </c>
      <c r="N158" s="103" t="s">
        <v>2352</v>
      </c>
      <c r="O158" s="103" t="s">
        <v>2353</v>
      </c>
      <c r="P158" s="103" t="s">
        <v>2354</v>
      </c>
    </row>
    <row r="159" spans="1:16" ht="28.9">
      <c r="A159" s="26" t="str">
        <v>DC: Washington - Essex Condominium</v>
      </c>
      <c r="B159" s="27" t="str">
        <v>DC</v>
      </c>
      <c r="C159" s="27" t="str">
        <f>Sites[[#This Row],[SOL'#]]</f>
        <v>SOL-10036</v>
      </c>
      <c r="D159" s="66">
        <v>2803</v>
      </c>
      <c r="E159" s="14">
        <v>3602.1909999999998</v>
      </c>
      <c r="F159" s="14">
        <f t="shared" si="12"/>
        <v>-799.1909999999998</v>
      </c>
      <c r="G159" s="68">
        <f t="shared" si="13"/>
        <v>-0.22186247203438125</v>
      </c>
      <c r="H159" s="69">
        <v>3707.346</v>
      </c>
      <c r="I159" s="69">
        <f t="shared" si="14"/>
        <v>-904.346</v>
      </c>
      <c r="J159" s="68">
        <f t="shared" si="15"/>
        <v>-0.24393353088705505</v>
      </c>
      <c r="K159" s="51" t="s">
        <v>2103</v>
      </c>
      <c r="L159" s="89"/>
    </row>
    <row r="160" spans="1:16" ht="28.9">
      <c r="A160" s="24" t="str">
        <v>HI: Waipahu - 94-246 Leoku St - E.F.G.</v>
      </c>
      <c r="B160" s="25" t="str">
        <v>HI</v>
      </c>
      <c r="C160" s="25" t="str">
        <f>Sites[[#This Row],[SOL'#]]</f>
        <v>SOL-10071</v>
      </c>
      <c r="D160" s="54">
        <v>4217</v>
      </c>
      <c r="E160" s="10">
        <v>10946.41</v>
      </c>
      <c r="F160" s="10">
        <f t="shared" si="12"/>
        <v>-6729.41</v>
      </c>
      <c r="G160" s="55">
        <f t="shared" si="13"/>
        <v>-0.61475954216953321</v>
      </c>
      <c r="H160" s="67">
        <v>11602.42</v>
      </c>
      <c r="I160" s="67">
        <f t="shared" si="14"/>
        <v>-7385.42</v>
      </c>
      <c r="J160" s="64">
        <f t="shared" si="15"/>
        <v>-0.63654134223722292</v>
      </c>
      <c r="K160" s="73" t="s">
        <v>2355</v>
      </c>
      <c r="L160" s="99" t="s">
        <v>2356</v>
      </c>
      <c r="M160" s="174" t="s">
        <v>2174</v>
      </c>
      <c r="N160" s="103" t="s">
        <v>2106</v>
      </c>
    </row>
    <row r="161" spans="1:19" ht="15.6">
      <c r="A161" s="26" t="str">
        <v>HI: Waipahu - 94-099 Waipahu St - PV</v>
      </c>
      <c r="B161" s="27" t="str">
        <v>HI</v>
      </c>
      <c r="C161" s="27" t="str">
        <f>Sites[[#This Row],[SOL'#]]</f>
        <v>SOL-10068</v>
      </c>
      <c r="D161" s="66">
        <v>12446</v>
      </c>
      <c r="E161" s="14">
        <v>9834.7049999999999</v>
      </c>
      <c r="F161" s="14">
        <f t="shared" si="12"/>
        <v>2611.2950000000001</v>
      </c>
      <c r="G161" s="68">
        <f t="shared" si="13"/>
        <v>0.26551838616409951</v>
      </c>
      <c r="H161" s="69">
        <v>11596.21</v>
      </c>
      <c r="I161" s="69">
        <f t="shared" si="14"/>
        <v>849.79000000000087</v>
      </c>
      <c r="J161" s="68">
        <f t="shared" si="15"/>
        <v>7.3281701521445447E-2</v>
      </c>
      <c r="K161" s="51"/>
      <c r="L161" s="89"/>
    </row>
    <row r="162" spans="1:19" ht="244.9">
      <c r="A162" s="24" t="str">
        <v>IL: Prophetstown - 5170 Yager Road (PW)</v>
      </c>
      <c r="B162" s="25" t="str">
        <v>IL</v>
      </c>
      <c r="C162" s="25" t="str">
        <f>Sites[[#This Row],[SOL'#]]</f>
        <v>SOL-11149</v>
      </c>
      <c r="D162" s="54">
        <v>302465</v>
      </c>
      <c r="E162" s="10">
        <v>363338.3</v>
      </c>
      <c r="F162" s="10">
        <f t="shared" si="12"/>
        <v>-60873.299999999988</v>
      </c>
      <c r="G162" s="55">
        <f t="shared" si="13"/>
        <v>-0.16753890244986558</v>
      </c>
      <c r="H162" s="67">
        <v>346777.8</v>
      </c>
      <c r="I162" s="67">
        <f t="shared" si="14"/>
        <v>-44312.799999999988</v>
      </c>
      <c r="J162" s="64">
        <f t="shared" si="15"/>
        <v>-0.12778441987924252</v>
      </c>
      <c r="K162" s="73" t="s">
        <v>2357</v>
      </c>
      <c r="L162" s="99" t="s">
        <v>2358</v>
      </c>
      <c r="M162" s="102" t="s">
        <v>2359</v>
      </c>
      <c r="N162" s="103" t="s">
        <v>2360</v>
      </c>
      <c r="O162" s="103" t="s">
        <v>2361</v>
      </c>
      <c r="P162" s="103" t="s">
        <v>2362</v>
      </c>
      <c r="Q162" s="103" t="s">
        <v>2363</v>
      </c>
      <c r="R162" s="103" t="s">
        <v>2364</v>
      </c>
      <c r="S162" s="103" t="s">
        <v>2365</v>
      </c>
    </row>
    <row r="163" spans="1:19" ht="72">
      <c r="A163" s="26" t="str">
        <v>IL: Viola - Goldenrod - (PW)</v>
      </c>
      <c r="B163" s="27" t="str">
        <v>IL</v>
      </c>
      <c r="C163" s="27" t="str">
        <f>Sites[[#This Row],[SOL'#]]</f>
        <v>SOL-11132</v>
      </c>
      <c r="D163" s="66">
        <v>637027.77650000004</v>
      </c>
      <c r="E163" s="14">
        <v>664991.4</v>
      </c>
      <c r="F163" s="14">
        <f t="shared" si="12"/>
        <v>-27963.623499999987</v>
      </c>
      <c r="G163" s="68">
        <f t="shared" si="13"/>
        <v>-4.205110547294294E-2</v>
      </c>
      <c r="H163" s="69">
        <v>803920</v>
      </c>
      <c r="I163" s="69">
        <f t="shared" si="14"/>
        <v>-166892.22349999996</v>
      </c>
      <c r="J163" s="68">
        <f t="shared" si="15"/>
        <v>-0.20759804893521738</v>
      </c>
      <c r="K163" s="51" t="s">
        <v>2366</v>
      </c>
      <c r="L163" s="103" t="s">
        <v>2367</v>
      </c>
      <c r="M163" s="104" t="s">
        <v>2128</v>
      </c>
    </row>
    <row r="164" spans="1:19" ht="57.6">
      <c r="A164" s="24" t="str">
        <v>IL: Marengo - Grant - (PW)</v>
      </c>
      <c r="B164" s="25" t="str">
        <v>IL</v>
      </c>
      <c r="C164" s="25" t="str">
        <f>Sites[[#This Row],[SOL'#]]</f>
        <v>SOL-11147</v>
      </c>
      <c r="D164" s="54">
        <v>357255</v>
      </c>
      <c r="E164" s="10">
        <v>0</v>
      </c>
      <c r="F164" s="10">
        <f t="shared" si="12"/>
        <v>357255</v>
      </c>
      <c r="G164" s="55" t="str">
        <f t="shared" si="13"/>
        <v/>
      </c>
      <c r="H164" s="67">
        <v>326891</v>
      </c>
      <c r="I164" s="67">
        <f t="shared" si="14"/>
        <v>30364</v>
      </c>
      <c r="J164" s="64">
        <f t="shared" si="15"/>
        <v>9.2887231523657729E-2</v>
      </c>
      <c r="K164" s="73" t="s">
        <v>2368</v>
      </c>
      <c r="L164" s="99" t="s">
        <v>2369</v>
      </c>
      <c r="M164" s="65" t="s">
        <v>2174</v>
      </c>
      <c r="N164" s="103" t="s">
        <v>2370</v>
      </c>
    </row>
    <row r="165" spans="1:19" ht="15.6">
      <c r="A165" s="26" t="str">
        <v>NY: Cambridge - Cambridge (PW)</v>
      </c>
      <c r="B165" s="27" t="str">
        <v>NY</v>
      </c>
      <c r="C165" s="27" t="str">
        <f>Sites[[#This Row],[SOL'#]]</f>
        <v>SOL-11126</v>
      </c>
      <c r="D165" s="66">
        <v>477254.77</v>
      </c>
      <c r="E165" s="14">
        <v>688404</v>
      </c>
      <c r="F165" s="14">
        <f t="shared" si="12"/>
        <v>-211149.22999999998</v>
      </c>
      <c r="G165" s="68">
        <f t="shared" si="13"/>
        <v>-0.30672284007646672</v>
      </c>
      <c r="H165" s="69">
        <v>612495</v>
      </c>
      <c r="I165" s="69">
        <f t="shared" si="14"/>
        <v>-135240.22999999998</v>
      </c>
      <c r="J165" s="68">
        <f t="shared" si="15"/>
        <v>-0.22080217797696305</v>
      </c>
      <c r="K165" s="51" t="s">
        <v>2371</v>
      </c>
      <c r="L165" s="103" t="s">
        <v>2372</v>
      </c>
      <c r="M165" s="104" t="s">
        <v>2128</v>
      </c>
    </row>
    <row r="166" spans="1:19" ht="43.15">
      <c r="A166" s="24" t="str">
        <v>NY: Whitesville - Independence North</v>
      </c>
      <c r="B166" s="25" t="str">
        <v>NY</v>
      </c>
      <c r="C166" s="25" t="str">
        <f>Sites[[#This Row],[SOL'#]]</f>
        <v>SOL-11186</v>
      </c>
      <c r="D166" s="54">
        <v>486766</v>
      </c>
      <c r="E166" s="10" t="s">
        <v>661</v>
      </c>
      <c r="F166" s="10" t="str">
        <f t="shared" si="12"/>
        <v/>
      </c>
      <c r="G166" s="55" t="str">
        <f t="shared" si="13"/>
        <v/>
      </c>
      <c r="H166" s="128" t="s">
        <v>661</v>
      </c>
      <c r="I166" s="67" t="str">
        <f t="shared" si="14"/>
        <v/>
      </c>
      <c r="J166" s="64" t="str">
        <f t="shared" si="15"/>
        <v/>
      </c>
      <c r="K166" s="73" t="s">
        <v>2373</v>
      </c>
      <c r="L166" s="99" t="s">
        <v>2374</v>
      </c>
      <c r="M166" s="65" t="s">
        <v>2219</v>
      </c>
      <c r="N166" s="103" t="s">
        <v>2375</v>
      </c>
      <c r="O166" s="103" t="s">
        <v>2376</v>
      </c>
      <c r="P166" s="103" t="s">
        <v>2377</v>
      </c>
    </row>
    <row r="167" spans="1:19" ht="15.6">
      <c r="A167" s="26" t="str">
        <v>IL: Beecher - Cottage Grove North (PW)</v>
      </c>
      <c r="B167" s="27" t="str">
        <v>IL</v>
      </c>
      <c r="C167" s="27" t="str">
        <f>Sites[[#This Row],[SOL'#]]</f>
        <v>SOL-11114</v>
      </c>
      <c r="D167" s="66">
        <v>356324</v>
      </c>
      <c r="E167" s="14">
        <v>371592.7</v>
      </c>
      <c r="F167" s="14">
        <f t="shared" si="12"/>
        <v>-15268.700000000012</v>
      </c>
      <c r="G167" s="68">
        <f t="shared" si="13"/>
        <v>-4.1089881475066682E-2</v>
      </c>
      <c r="H167" s="69">
        <v>346960</v>
      </c>
      <c r="I167" s="69">
        <f t="shared" si="14"/>
        <v>9364</v>
      </c>
      <c r="J167" s="68">
        <f t="shared" si="15"/>
        <v>2.6988701867650448E-2</v>
      </c>
      <c r="K167" s="51" t="s">
        <v>2378</v>
      </c>
      <c r="L167" s="103" t="s">
        <v>2379</v>
      </c>
      <c r="M167" s="65" t="s">
        <v>2116</v>
      </c>
    </row>
    <row r="168" spans="1:19" ht="15.6">
      <c r="A168" s="24" t="str">
        <v>IL: Beecher - Cottage Grove South (PW)</v>
      </c>
      <c r="B168" s="25" t="str">
        <v>IL</v>
      </c>
      <c r="C168" s="25" t="str">
        <f>Sites[[#This Row],[SOL'#]]</f>
        <v>SOL-11115</v>
      </c>
      <c r="D168" s="54">
        <v>354185</v>
      </c>
      <c r="E168" s="10">
        <v>443551.4</v>
      </c>
      <c r="F168" s="10">
        <f t="shared" si="12"/>
        <v>-89366.400000000023</v>
      </c>
      <c r="G168" s="55">
        <f t="shared" si="13"/>
        <v>-0.20147924231554679</v>
      </c>
      <c r="H168" s="67">
        <v>325794</v>
      </c>
      <c r="I168" s="67">
        <f t="shared" si="14"/>
        <v>28391</v>
      </c>
      <c r="J168" s="64">
        <f t="shared" si="15"/>
        <v>8.714402352406736E-2</v>
      </c>
      <c r="K168" s="73" t="s">
        <v>2380</v>
      </c>
      <c r="L168" s="101" t="s">
        <v>2381</v>
      </c>
      <c r="M168" s="104" t="s">
        <v>2116</v>
      </c>
    </row>
    <row r="169" spans="1:19" ht="15.6">
      <c r="A169" s="26" t="str">
        <v>IL: Harvard - 9618 US HWY 14 (PW)</v>
      </c>
      <c r="B169" s="27" t="str">
        <v>IL</v>
      </c>
      <c r="C169" s="27" t="str">
        <f>Sites[[#This Row],[SOL'#]]</f>
        <v>SOL-11110</v>
      </c>
      <c r="D169" s="66">
        <v>312636</v>
      </c>
      <c r="E169" s="14">
        <v>501258</v>
      </c>
      <c r="F169" s="14">
        <f t="shared" si="12"/>
        <v>-188622</v>
      </c>
      <c r="G169" s="68">
        <f t="shared" si="13"/>
        <v>-0.37629723615383692</v>
      </c>
      <c r="H169" s="69">
        <v>284225</v>
      </c>
      <c r="I169" s="69">
        <f t="shared" si="14"/>
        <v>28411</v>
      </c>
      <c r="J169" s="68">
        <f t="shared" si="15"/>
        <v>9.9959539097545957E-2</v>
      </c>
      <c r="K169" s="51" t="s">
        <v>2382</v>
      </c>
      <c r="L169" s="103" t="s">
        <v>2383</v>
      </c>
      <c r="M169" s="104" t="s">
        <v>2116</v>
      </c>
    </row>
    <row r="170" spans="1:19" ht="26.45">
      <c r="A170" s="24" t="str">
        <v>IL: Beecher - 701 E Goodenow Rd (PW)</v>
      </c>
      <c r="B170" s="25" t="str">
        <v>IL</v>
      </c>
      <c r="C170" s="25" t="str">
        <f>Sites[[#This Row],[SOL'#]]</f>
        <v>SOL-11112</v>
      </c>
      <c r="D170" s="54">
        <v>344052</v>
      </c>
      <c r="E170" s="10">
        <v>385536</v>
      </c>
      <c r="F170" s="10">
        <f t="shared" si="12"/>
        <v>-41484</v>
      </c>
      <c r="G170" s="55">
        <f t="shared" si="13"/>
        <v>-0.10760084661354581</v>
      </c>
      <c r="H170" s="67">
        <v>291184</v>
      </c>
      <c r="I170" s="67">
        <f t="shared" si="14"/>
        <v>52868</v>
      </c>
      <c r="J170" s="64">
        <f t="shared" si="15"/>
        <v>0.18156217374581021</v>
      </c>
      <c r="K170" s="73" t="s">
        <v>2384</v>
      </c>
      <c r="L170" s="101" t="s">
        <v>2385</v>
      </c>
      <c r="M170" s="104" t="s">
        <v>2128</v>
      </c>
      <c r="N170" s="103" t="s">
        <v>2386</v>
      </c>
      <c r="O170" s="103" t="s">
        <v>2387</v>
      </c>
    </row>
    <row r="171" spans="1:19" ht="15.6">
      <c r="A171" s="26" t="str">
        <v>NY: Stormville - Green Haven - (IRA)</v>
      </c>
      <c r="B171" s="27" t="str">
        <v>NY</v>
      </c>
      <c r="C171" s="27" t="str">
        <f>Sites[[#This Row],[SOL'#]]</f>
        <v>SOL-11151</v>
      </c>
      <c r="D171" s="66">
        <v>2002613</v>
      </c>
      <c r="E171" s="14" t="s">
        <v>661</v>
      </c>
      <c r="F171" s="14" t="str">
        <f t="shared" si="12"/>
        <v/>
      </c>
      <c r="G171" s="68" t="str">
        <f t="shared" si="13"/>
        <v/>
      </c>
      <c r="H171" s="168" t="s">
        <v>661</v>
      </c>
      <c r="I171" s="69" t="str">
        <f t="shared" si="14"/>
        <v/>
      </c>
      <c r="J171" s="68" t="str">
        <f t="shared" si="15"/>
        <v/>
      </c>
      <c r="K171" s="51"/>
      <c r="L171" s="89"/>
    </row>
    <row r="172" spans="1:19" ht="14.45">
      <c r="A172" s="17" t="str">
        <v>IL: Hillsboro - Anacott (PW)</v>
      </c>
      <c r="B172" s="29" t="str">
        <v>IL</v>
      </c>
      <c r="C172" s="29"/>
      <c r="D172" s="17"/>
      <c r="E172" s="17"/>
      <c r="F172" s="17"/>
      <c r="G172" s="18"/>
      <c r="H172" s="17"/>
      <c r="I172" s="17"/>
      <c r="J172" s="18"/>
      <c r="K172" s="17"/>
      <c r="L172" s="17"/>
    </row>
  </sheetData>
  <mergeCells count="4">
    <mergeCell ref="H1:J1"/>
    <mergeCell ref="A1:D1"/>
    <mergeCell ref="E1:G1"/>
    <mergeCell ref="A2:B2"/>
  </mergeCells>
  <phoneticPr fontId="40" type="noConversion"/>
  <conditionalFormatting sqref="G2 J2">
    <cfRule type="cellIs" dxfId="14" priority="29" stopIfTrue="1" operator="lessThanOrEqual">
      <formula>-0.1</formula>
    </cfRule>
    <cfRule type="expression" dxfId="13" priority="30">
      <formula>AND(ISNUMBER(G2), G2&gt;=0.1)</formula>
    </cfRule>
  </conditionalFormatting>
  <conditionalFormatting sqref="G4:G171 J4:J171">
    <cfRule type="cellIs" dxfId="12" priority="1" stopIfTrue="1" operator="lessThanOrEqual">
      <formula>-0.1</formula>
    </cfRule>
    <cfRule type="expression" dxfId="11" priority="2">
      <formula>AND(ISNUMBER(G4), G4&gt;=0.1)</formula>
    </cfRule>
  </conditionalFormatting>
  <hyperlinks>
    <hyperlink ref="L4" r:id="rId1" display="https://us3.assetplanner.com/service_request?ID=107464" xr:uid="{5107A8F2-9BCB-445B-B49C-AAA801DC7D4B}"/>
    <hyperlink ref="L6" r:id="rId2" display="https://us3.assetplanner.com/service_request?ID=108295" xr:uid="{888A3E53-19F8-4381-91FE-1453019B19E4}"/>
    <hyperlink ref="L8" r:id="rId3" display="https://us3.assetplanner.com/service_request?ID=093291" xr:uid="{085F7B5A-3125-40BE-92CE-D949947E1575}"/>
    <hyperlink ref="L10" r:id="rId4" display="https://us3.assetplanner.com/service_request?ID=095666" xr:uid="{6A91AA25-AA02-4591-A51D-875B4035E0AA}"/>
    <hyperlink ref="L12" r:id="rId5" display="https://us3.assetplanner.com/service_request?ID=093633" xr:uid="{1AF9FE5D-FD1D-4243-A90D-DB19E496E2CE}"/>
    <hyperlink ref="N12" r:id="rId6" display="https://us3.assetplanner.com/service_request?ID=093292" xr:uid="{C0848255-00A0-4096-B409-2D455565F043}"/>
    <hyperlink ref="L14" r:id="rId7" display="https://us3.assetplanner.com/service_request?ID=104856" xr:uid="{8ED5F9E8-8B00-47BE-B0AB-6D2C06CF7676}"/>
    <hyperlink ref="N14" r:id="rId8" display="https://us3.assetplanner.com/service_request?ID=093924" xr:uid="{E382877D-2D1C-4464-914F-6D0347659348}"/>
    <hyperlink ref="O14" r:id="rId9" display="https://us3.assetplanner.com/service_request?ID=086842" xr:uid="{3546B2BC-4703-4E51-B543-00BA09895CF3}"/>
    <hyperlink ref="P14" r:id="rId10" display="https://us3.assetplanner.com/service_request?ID=103245" xr:uid="{59AA4D3B-7E45-4645-B5EC-A6B22ECF5FFC}"/>
    <hyperlink ref="L16" r:id="rId11" display="https://us3.assetplanner.com/service_request?ID=109161" xr:uid="{47F38B14-4AED-416D-9158-4C6F3DAABE53}"/>
    <hyperlink ref="L18" r:id="rId12" display="https://us3.assetplanner.com/service_request?ID=103259" xr:uid="{F9463632-41C2-47AB-950E-C009487C4D6F}"/>
    <hyperlink ref="L19" r:id="rId13" display="https://us3.assetplanner.com/service_request?ID=109623" xr:uid="{121E4E2B-DB8C-417F-A37F-EEDECF39048E}"/>
    <hyperlink ref="L20" r:id="rId14" display="https://us3.assetplanner.com/service_request?ID=110132" xr:uid="{11FD7811-F8EE-43E9-A93B-ECC3FEF50680}"/>
    <hyperlink ref="L23" r:id="rId15" display="https://us3.assetplanner.com/service_request?ID=102672" xr:uid="{CFDD2683-287E-43CF-9D23-154B347BDA77}"/>
    <hyperlink ref="L27" r:id="rId16" display="https://us3.assetplanner.com/service_request?ID=093236" xr:uid="{8694D4A7-6E05-44F0-B40C-0DEB63E97B32}"/>
    <hyperlink ref="L28" r:id="rId17" display="https://us3.assetplanner.com/service_request?ID=107741" xr:uid="{5E661112-D93E-48E5-8ADA-5BDD801EDF6E}"/>
    <hyperlink ref="L32" r:id="rId18" display="https://us3.assetplanner.com/service_request?ID=102529" xr:uid="{27191974-F37A-44A3-8ED6-541376DCCFF5}"/>
    <hyperlink ref="L33" r:id="rId19" display="https://us3.assetplanner.com/service_request?ID=110250" xr:uid="{876C9313-BABC-436C-8FC0-08C0B0DA123F}"/>
    <hyperlink ref="L34" r:id="rId20" display="https://us3.assetplanner.com/service_request?ID=088282" xr:uid="{FC4596E0-8F59-47E5-9E76-DD4CFA401A25}"/>
    <hyperlink ref="L36" r:id="rId21" display="https://us3.assetplanner.com/service_request?ID=108939" xr:uid="{3EA863B9-E9A0-4804-8F3A-704B2B86B1A0}"/>
    <hyperlink ref="L37" r:id="rId22" display="https://us3.assetplanner.com/service_request?ID=089666" xr:uid="{FA7A8315-B0E6-4131-96DE-9FF97035D859}"/>
    <hyperlink ref="L38" r:id="rId23" display="https://us3.assetplanner.com/service_request?ID=088813" xr:uid="{179EAAD0-FD51-4AE1-955D-1545412439A4}"/>
    <hyperlink ref="L39" r:id="rId24" display="https://us3.assetplanner.com/service_request?ID=105544" xr:uid="{28C12CB8-BE33-459C-A48E-380BFDB0CDE5}"/>
    <hyperlink ref="L40" r:id="rId25" display="https://us3.assetplanner.com/service_request?ID=107242" xr:uid="{093ADA11-41DC-49ED-8D58-EEB459FE0CCD}"/>
    <hyperlink ref="N40" r:id="rId26" display="https://us3.assetplanner.com/service_request?ID=093324" xr:uid="{ECC22D23-A73A-4A9D-A2BD-132492050D2F}"/>
    <hyperlink ref="L43" r:id="rId27" display="https://us3.assetplanner.com/service_request?ID=093326" xr:uid="{AF9588AF-D657-4095-A192-76D46CAA5B20}"/>
    <hyperlink ref="N43" r:id="rId28" display="https://us3.assetplanner.com/service_request?ID=107164" xr:uid="{2065462A-A023-4329-821F-1026321F6AAC}"/>
    <hyperlink ref="L44" r:id="rId29" display="https://us3.assetplanner.com/service_request?ID=093327" xr:uid="{7098BFCE-DE6A-4DDE-9F40-A6F7F4D95BD9}"/>
    <hyperlink ref="L47" r:id="rId30" display="https://us3.assetplanner.com/service_request?ID=109950" xr:uid="{780EBC12-D76C-420D-92A3-E9A34CAABC40}"/>
    <hyperlink ref="L48" r:id="rId31" display="https://us3.assetplanner.com/service_request?ID=110586" xr:uid="{318CAC4A-E988-49CF-9251-50BAF0D56990}"/>
    <hyperlink ref="L51" r:id="rId32" display="https://us3.assetplanner.com/service_request?ID=105932" xr:uid="{34B83545-EB45-4C1D-83A9-2DDE4772AACD}"/>
    <hyperlink ref="N51" r:id="rId33" display="https://us3.assetplanner.com/service_request?ID=098241" xr:uid="{E577F394-EA82-489E-8A22-B71152AACA70}"/>
    <hyperlink ref="O51" r:id="rId34" display="https://us3.assetplanner.com/service_request?ID=105932" xr:uid="{9D4F374D-A040-4A42-8F73-29D56AC0D869}"/>
    <hyperlink ref="L56" r:id="rId35" display="https://us3.assetplanner.com/service_request?ID=104403" xr:uid="{06CB6888-16E2-4D30-A67A-12607011BBC3}"/>
    <hyperlink ref="L58" r:id="rId36" display="https://us3.assetplanner.com/service_request?ID=109570" xr:uid="{83C06CBA-5922-4D6F-B414-1C071E842C00}"/>
    <hyperlink ref="N58" r:id="rId37" display="https://us3.assetplanner.com/service_request?ID=098641" xr:uid="{71A02CC7-4CD4-4495-9D61-A2B7A6BB7C48}"/>
    <hyperlink ref="L59" r:id="rId38" display="https://us3.assetplanner.com/service_request?ID=106726" xr:uid="{0CE0283B-4F91-4E5F-91EF-6B72FCF705CE}"/>
    <hyperlink ref="L60" r:id="rId39" display="https://us3.assetplanner.com/service_request?ID=107702" xr:uid="{BD35B661-5266-4B91-B344-5F21F42598F3}"/>
    <hyperlink ref="N60" r:id="rId40" display="https://us3.assetplanner.com/service_request?ID=108697" xr:uid="{2A1B1C65-3545-46AF-8AFA-E4CFEE72CF5A}"/>
    <hyperlink ref="L61" r:id="rId41" display="https://us3.assetplanner.com/service_request?ID=107603" xr:uid="{6E77ED1D-C1A5-4520-A2C2-6B4A9C9DBE69}"/>
    <hyperlink ref="N61" r:id="rId42" display="https://us3.assetplanner.com/service_request?ID=108823" xr:uid="{E3FB1B97-0115-443F-9903-59943145EF7F}"/>
    <hyperlink ref="O61" r:id="rId43" display="https://us3.assetplanner.com/service_request?ID=109086" xr:uid="{B9513F37-B76B-460D-88E0-C6B3E55532A4}"/>
    <hyperlink ref="P61" r:id="rId44" display="https://us3.assetplanner.com/service_request?ID=109267" xr:uid="{3C8B4D3D-A63C-4089-BCD3-EF1AD02D84DF}"/>
    <hyperlink ref="Q61" r:id="rId45" display="https://us3.assetplanner.com/service_request?ID=109625" xr:uid="{E27E67FB-844B-4243-BA74-270AAF6E44BC}"/>
    <hyperlink ref="L63" r:id="rId46" display="https://us3.assetplanner.com/service_request?ID=099403" xr:uid="{32A4AE96-2A97-4A94-A5D1-F530B09A8AE3}"/>
    <hyperlink ref="L66" r:id="rId47" display="https://us3.assetplanner.com/service_request?ID=105816" xr:uid="{B4096BC6-EAF7-4AC5-97EC-2A6D8679A48B}"/>
    <hyperlink ref="N66" r:id="rId48" display="https://us3.assetplanner.com/service_request?ID=093024" xr:uid="{860F9E46-C498-4382-8537-6B5A00351860}"/>
    <hyperlink ref="L67" r:id="rId49" display="https://us3.assetplanner.com/service_request?ID=108045" xr:uid="{231C419E-981F-4ED9-918D-D8794C674352}"/>
    <hyperlink ref="N67" r:id="rId50" display="https://us3.assetplanner.com/service_request?ID=109320" xr:uid="{652477DE-A60E-4714-8D55-2A0EE90BBFA2}"/>
    <hyperlink ref="O67" r:id="rId51" display="https://us3.assetplanner.com/service_request?ID=109505" xr:uid="{7E7840E1-A1BC-4D5E-9C29-82D6CE7352B0}"/>
    <hyperlink ref="P67" r:id="rId52" display="https://us3.assetplanner.com/service_request?ID=109505" xr:uid="{228C3623-0D38-4C90-AED3-E8162E988D21}"/>
    <hyperlink ref="Q67" r:id="rId53" display="https://us3.assetplanner.com/service_request?ID=109987" xr:uid="{6366477B-A842-4A3E-A24E-B285992C9D46}"/>
    <hyperlink ref="L69" r:id="rId54" display="https://us3.assetplanner.com/service_request?ID=109668" xr:uid="{6D0F6898-8FBE-400D-97A2-5FE2D1B4D688}"/>
    <hyperlink ref="L70" r:id="rId55" display="https://us3.assetplanner.com/service_request?ID=108636" xr:uid="{23700ED6-BCAA-4CC7-86C7-DDBEB464BA82}"/>
    <hyperlink ref="N70" r:id="rId56" display="https://us3.assetplanner.com/service_request?ID=107181" xr:uid="{7D69D94A-3063-4A57-AD1B-E7C010EEA49A}"/>
    <hyperlink ref="L71" r:id="rId57" display="https://us3.assetplanner.com/service_request?ID=109840" xr:uid="{A87B5B6E-ABBF-4CAD-884B-8874D32EEB0B}"/>
    <hyperlink ref="N71" r:id="rId58" display="https://us3.assetplanner.com/service_request?ID=107506" xr:uid="{DFB698B8-A226-42AA-8B73-CD08591A15FA}"/>
    <hyperlink ref="L73" r:id="rId59" display="https://us3.assetplanner.com/service_request?ID=106503" xr:uid="{164AC0C0-76AE-47EE-9C93-1DC001DE4D8B}"/>
    <hyperlink ref="N73" r:id="rId60" display="https://us3.assetplanner.com/service_request?ID=105774" xr:uid="{90420A8D-BAC1-41E4-8E35-AD0AC6475FA2}"/>
    <hyperlink ref="O73" r:id="rId61" display="https://us3.assetplanner.com/service_request?ID=109185" xr:uid="{30B9CF0C-23BB-4824-A08D-5BE600BA2D5E}"/>
    <hyperlink ref="P73" r:id="rId62" display="https://us3.assetplanner.com/service_request?ID=109523" xr:uid="{30CC185B-960F-4285-A93C-3E8FACFA4438}"/>
    <hyperlink ref="L74" r:id="rId63" display="https://us3.assetplanner.com/service_request?ID=108010" xr:uid="{211685D3-21F0-4F6D-80A6-D256B081B248}"/>
    <hyperlink ref="N74" r:id="rId64" display="https://us3.assetplanner.com/service_request?ID=107331" xr:uid="{E54C38E9-A0E6-4F7D-961B-463965CC7BBA}"/>
    <hyperlink ref="O74" r:id="rId65" display="https://us3.assetplanner.com/service_request?ID=108847" xr:uid="{43CA09DD-490A-444D-A2AC-0AE4840F3D95}"/>
    <hyperlink ref="P74" r:id="rId66" display="https://us3.assetplanner.com/service_request?ID=110116" xr:uid="{17EE930D-2E84-4891-BD49-1BC7FA3960CF}"/>
    <hyperlink ref="Q74" r:id="rId67" display="https://us3.assetplanner.com/service_request?ID=108922" xr:uid="{B8AAB3FC-4B44-475D-A8FE-09B77C0575A3}"/>
    <hyperlink ref="R74" r:id="rId68" display="https://us3.assetplanner.com/service_request?ID=109568" xr:uid="{EA2258F5-A1F0-4D5F-890E-03D52EA8ABEE}"/>
    <hyperlink ref="S74" r:id="rId69" display="https://us3.assetplanner.com/service_request?ID=109669" xr:uid="{F2DE2546-2A89-4DDE-B3EC-A0177980B137}"/>
    <hyperlink ref="M74" r:id="rId70" display="https://us3.assetplanner.com/service_request?ID=109669" xr:uid="{A95C6380-F143-405C-9BE6-EAD218060958}"/>
    <hyperlink ref="L75" r:id="rId71" display="https://us3.assetplanner.com/service_request?ID=108338" xr:uid="{3F495A07-83E1-4286-B903-E165D5C80FCF}"/>
    <hyperlink ref="N75" r:id="rId72" display="https://us3.assetplanner.com/service_request?ID=107449" xr:uid="{1376F427-1091-44A4-B0ED-5238009CA953}"/>
    <hyperlink ref="L77" r:id="rId73" display="https://us3.assetplanner.com/service_request?ID=101820" xr:uid="{F7057C2A-903A-401A-9ED2-26F7FCDCD801}"/>
    <hyperlink ref="L79" r:id="rId74" display="https://us3.assetplanner.com/service_request?ID=105775" xr:uid="{4D941480-5D8C-4E27-A468-6B7EF43EA72B}"/>
    <hyperlink ref="N79" r:id="rId75" display="https://us3.assetplanner.com/service_request?ID=109680" xr:uid="{66F96C4E-F98C-4821-8B95-A105CEC81B42}"/>
    <hyperlink ref="L81" r:id="rId76" display="https://us3.assetplanner.com/service_request?ID=105649" xr:uid="{4CDF2AA5-D9E9-42B0-8A6F-C082BB91752E}"/>
    <hyperlink ref="L82" r:id="rId77" display="https://us3.assetplanner.com/service_request?ID=109223" xr:uid="{D4FC993B-A32E-42D4-99FF-679E23306E43}"/>
    <hyperlink ref="N82" r:id="rId78" display="https://us3.assetplanner.com/service_request?ID=109728" xr:uid="{1E0C2E9E-DCC1-4144-BDC8-660E7C90F6BF}"/>
    <hyperlink ref="O82" r:id="rId79" display="https://us3.assetplanner.com/service_request?ID=109937" xr:uid="{910D7D49-DEDA-499C-9D62-1A0B49BA32C5}"/>
    <hyperlink ref="L83" r:id="rId80" display="https://us3.assetplanner.com/service_request?ID=109224" xr:uid="{AE675459-153A-4AB4-85D4-939DDF515ED3}"/>
    <hyperlink ref="N83" r:id="rId81" display="https://us3.assetplanner.com/service_request?ID=109343" xr:uid="{9E5B0C9A-C8A6-4B1E-9BB4-C048FE44A769}"/>
    <hyperlink ref="O83" r:id="rId82" display="https://us3.assetplanner.com/service_request?ID=109343" xr:uid="{84BD7B3A-13F7-4C18-A0F6-96DC279535BF}"/>
    <hyperlink ref="P83" r:id="rId83" display="https://us3.assetplanner.com/service_request?ID=109729" xr:uid="{8EA26A4C-2189-473F-91E3-D939AB5639EC}"/>
    <hyperlink ref="Q83" r:id="rId84" display="https://us3.assetplanner.com/service_request?ID=109938" xr:uid="{10A5D0BD-1FCC-41E8-BA44-0E95D10577C8}"/>
    <hyperlink ref="L85" r:id="rId85" display="https://us3.assetplanner.com/service_request?ID=107585" xr:uid="{A83A8BED-415C-4747-8199-E568C8F5B1DB}"/>
    <hyperlink ref="L86" r:id="rId86" display="https://us3.assetplanner.com/service_request?ID=108023" xr:uid="{618D4341-0D79-4D2B-98B6-9C5AE7799E83}"/>
    <hyperlink ref="N86" r:id="rId87" display="https://us3.assetplanner.com/service_request?ID=109726" xr:uid="{180299AA-6000-42B7-9CBA-6A58588F83E0}"/>
    <hyperlink ref="O86" r:id="rId88" display="https://us3.assetplanner.com/service_request?ID=109939" xr:uid="{9A9EBBF5-5FBB-4724-BABF-2D0F4B9B4778}"/>
    <hyperlink ref="L87" r:id="rId89" display="https://us3.assetplanner.com/service_request?ID=109225" xr:uid="{9E6820C2-012B-41FD-A9AF-AFA0BE809679}"/>
    <hyperlink ref="N87" r:id="rId90" display="https://us3.assetplanner.com/service_request?ID=109727" xr:uid="{60221430-EF11-4267-BE4E-F27CCD09782B}"/>
    <hyperlink ref="O87" r:id="rId91" display="https://us3.assetplanner.com/service_request?ID=109940" xr:uid="{940CF13D-27BF-4FB1-B4A6-4F747E4964D8}"/>
    <hyperlink ref="L88" r:id="rId92" display="https://us3.assetplanner.com/service_request?ID=107665" xr:uid="{7470F0AD-0FA8-44B5-8F2E-658EADEA0D45}"/>
    <hyperlink ref="L89" r:id="rId93" display="https://us3.assetplanner.com/service_request?ID=107450" xr:uid="{E2B89DE9-805D-4A53-A33F-FA89C9D9BC5F}"/>
    <hyperlink ref="N89" r:id="rId94" display="https://us3.assetplanner.com/service_request?ID=107667" xr:uid="{33A4E916-0DB1-4E82-80DC-667490DADD69}"/>
    <hyperlink ref="L90" r:id="rId95" display="https://us3.assetplanner.com/service_request?ID=107666" xr:uid="{54452E4B-D759-46A7-8CA6-BFF44E4AB8D2}"/>
    <hyperlink ref="L91" r:id="rId96" display="https://us3.assetplanner.com/service_request?ID=106739" xr:uid="{160D311A-C4D4-43AE-939E-B0630E58BAA2}"/>
    <hyperlink ref="N91" r:id="rId97" display="https://us3.assetplanner.com/service_request?ID=109707" xr:uid="{5F420C6B-188E-4DB6-8BDE-75F67EFD901F}"/>
    <hyperlink ref="L92" r:id="rId98" display="https://us3.assetplanner.com/service_request?ID=109604" xr:uid="{8BA2C249-4607-49FA-B99F-EA9E6733909F}"/>
    <hyperlink ref="L97" r:id="rId99" display="https://us3.assetplanner.com/service_request?ID=109988" xr:uid="{9C88B656-B814-40F3-A132-FCE6552204CB}"/>
    <hyperlink ref="L99" r:id="rId100" display="https://us3.assetplanner.com/service_request?ID=107781" xr:uid="{33CC49E9-33B3-4104-82F2-E43AE6EBDC7A}"/>
    <hyperlink ref="N99" r:id="rId101" display="https://us3.assetplanner.com/service_request?ID=108776" xr:uid="{12A7699D-3FB1-456C-A59F-846C13E070FA}"/>
    <hyperlink ref="L101" r:id="rId102" display="https://us3.assetplanner.com/service_request?ID=102328" xr:uid="{48BEAFB2-8F53-41AE-A2F6-17C818E81F43}"/>
    <hyperlink ref="L103" r:id="rId103" display="https://us3.assetplanner.com/service_request?ID=108983" xr:uid="{A7681224-9C7A-42E0-A70D-D003B8246CDE}"/>
    <hyperlink ref="N103" r:id="rId104" display="https://us3.assetplanner.com/service_request?ID=109461" xr:uid="{CCCE8AF7-7D16-4CF1-B458-A56A3CF72E4F}"/>
    <hyperlink ref="L104" r:id="rId105" display="https://us3.assetplanner.com/service_request?ID=108827" xr:uid="{1E0802F9-FBDA-42AE-A0A4-37717C9CBAEC}"/>
    <hyperlink ref="L105" r:id="rId106" display="https://us3.assetplanner.com/service_request?ID=109390" xr:uid="{673317A9-2D2A-4BFC-9A57-5DF197A2ABAC}"/>
    <hyperlink ref="L107" r:id="rId107" display="https://us3.assetplanner.com/service_request?ID=108808" xr:uid="{5107D244-FBDA-42DE-B59F-5286761A8D4D}"/>
    <hyperlink ref="N107" r:id="rId108" display="https://us3.assetplanner.com/service_request?ID=106270" xr:uid="{5D86619C-A306-4578-885A-BDFAF4F28D7D}"/>
    <hyperlink ref="O107" r:id="rId109" display="https://us3.assetplanner.com/service_request?ID=109462" xr:uid="{10C9F4F1-6205-4798-9304-11643A5E82D3}"/>
    <hyperlink ref="P107" r:id="rId110" display="https://us3.assetplanner.com/service_request?ID=109620" xr:uid="{83C83612-AF17-4452-A441-7C2CF2B87F2E}"/>
    <hyperlink ref="L108" r:id="rId111" display="https://us3.assetplanner.com/service_request?ID=108248" xr:uid="{B78BABEC-1F8F-4C5E-B81A-88F2D3DB61E6}"/>
    <hyperlink ref="N108" r:id="rId112" display="https://us3.assetplanner.com/service_request?ID=106176" xr:uid="{1DA49ABD-A002-441B-85A7-6563CF7003F5}"/>
    <hyperlink ref="O108" r:id="rId113" display="https://us3.assetplanner.com/service_request?ID=109493" xr:uid="{9609A165-659D-441F-A8CF-8D23CD88035C}"/>
    <hyperlink ref="P108" r:id="rId114" display="https://us3.assetplanner.com/service_request?ID=108120" xr:uid="{6D976117-C087-40F3-B72A-5AC9F7E87D7D}"/>
    <hyperlink ref="L110" r:id="rId115" display="https://us3.assetplanner.com/service_request?ID=106921" xr:uid="{843297BE-1F83-4549-831B-E2A06AB1CA10}"/>
    <hyperlink ref="L111" r:id="rId116" display="https://us3.assetplanner.com/service_request?ID=109619" xr:uid="{6784AD67-9E08-4FB1-8D7E-C68ABACCF672}"/>
    <hyperlink ref="L112" r:id="rId117" display="https://us3.assetplanner.com/service_request?ID=109675" xr:uid="{54BB72C3-D522-4099-BA85-74BE2DA2C556}"/>
    <hyperlink ref="L113" r:id="rId118" display="https://us3.assetplanner.com/service_request?ID=109676" xr:uid="{ECC09AD4-93A6-4C9A-8633-1FFB7000DA93}"/>
    <hyperlink ref="N113" r:id="rId119" display="https://us3.assetplanner.com/service_request?ID=098860" xr:uid="{C466FC88-3C67-40C6-823D-04D56A217B18}"/>
    <hyperlink ref="L114" r:id="rId120" display="https://us3.assetplanner.com/service_request?ID=106501" xr:uid="{2A4702A4-279E-4289-80AB-43D8C2545627}"/>
    <hyperlink ref="N114" r:id="rId121" display="https://us3.assetplanner.com/service_request?ID=109998" xr:uid="{B6A5FD62-9F4D-45B3-BA4C-BF6EA7765C44}"/>
    <hyperlink ref="L115" r:id="rId122" display="https://us3.assetplanner.com/service_request?ID=109080" xr:uid="{5B8F5496-80F6-4E9B-829C-DC0F1A33190B}"/>
    <hyperlink ref="N115" r:id="rId123" display="https://us3.assetplanner.com/service_request?ID=109079" xr:uid="{2B7A5B32-7CB4-4E9F-BC22-C0B6D9EADBBF}"/>
    <hyperlink ref="L116" r:id="rId124" display="https://us3.assetplanner.com/service_request?ID=109187" xr:uid="{C9EFF64D-E6F0-4AC9-97B3-32B310E266D3}"/>
    <hyperlink ref="N116" r:id="rId125" display="https://us3.assetplanner.com/service_request?ID=109632" xr:uid="{EF8ADCC0-F14F-4E25-9338-DA65B14F5AD7}"/>
    <hyperlink ref="O116" r:id="rId126" display="https://us3.assetplanner.com/service_request?ID=110017" xr:uid="{F3FE1A8A-64B2-4B76-92BD-2BF226F02062}"/>
    <hyperlink ref="L117" r:id="rId127" display="https://us3.assetplanner.com/service_request?ID=109990" xr:uid="{04F8B5E8-6061-401A-9F0F-3352F2C473BB}"/>
    <hyperlink ref="L121" r:id="rId128" display="https://us3.assetplanner.com/service_request?ID=109794" xr:uid="{301E3EBB-D4DA-4103-B0B0-A70E76BE8749}"/>
    <hyperlink ref="L124" r:id="rId129" display="https://us3.assetplanner.com/service_request?ID=095946" xr:uid="{DA7AC793-74D6-4CEF-933F-11EE07B3BBD0}"/>
    <hyperlink ref="L133" r:id="rId130" display="https://us3.assetplanner.com/service_request?ID=110156" xr:uid="{570DC6F4-8673-45B6-909F-91E882884401}"/>
    <hyperlink ref="N133" r:id="rId131" display="https://us3.assetplanner.com/service_request?ID=110155" xr:uid="{99A81744-D96F-4E62-AEAF-C76C27246555}"/>
    <hyperlink ref="L140" r:id="rId132" display="https://us3.assetplanner.com/service_request?ID=107411" xr:uid="{CB0A3E50-872A-4BE3-B240-D2EFC1284E0F}"/>
    <hyperlink ref="L142" r:id="rId133" display="https://us3.assetplanner.com/service_request?ID=109644" xr:uid="{083555E0-284C-4AF2-9B82-A5D5215807D2}"/>
    <hyperlink ref="L144" r:id="rId134" display="https://us3.assetplanner.com/service_request?ID=108394" xr:uid="{CAE892DD-37A1-4548-B401-906929017EDC}"/>
    <hyperlink ref="N144" r:id="rId135" display="https://us3.assetplanner.com/service_request?ID=109330" xr:uid="{498FBD51-C5EF-44E5-B454-2FB165DC855B}"/>
    <hyperlink ref="O144" r:id="rId136" display="https://us3.assetplanner.com/service_request?ID=109858" xr:uid="{5882E852-A367-4FCC-A282-644CA40305D9}"/>
    <hyperlink ref="L145" r:id="rId137" display="https://us3.assetplanner.com/service_request?ID=108936" xr:uid="{30C56C8C-E941-4BAE-B83D-372C1591D19A}"/>
    <hyperlink ref="N145" r:id="rId138" display="https://us3.assetplanner.com/service_request?ID=108396" xr:uid="{BDAD82A6-9B3A-4391-8485-2D7D02A37F91}"/>
    <hyperlink ref="O145" r:id="rId139" display="https://us3.assetplanner.com/service_request?ID=108982" xr:uid="{050E1F51-19DF-4B4F-BFD6-7725FAAA818B}"/>
    <hyperlink ref="P145" r:id="rId140" display="https://us3.assetplanner.com/service_request?ID=107059" xr:uid="{67C5C7EE-C310-489B-9E6D-637C9600261F}"/>
    <hyperlink ref="L146" r:id="rId141" display="https://us3.assetplanner.com/service_request?ID=108972" xr:uid="{E109183B-6B60-45F2-AC75-259E8C63473F}"/>
    <hyperlink ref="N146" r:id="rId142" display="https://us3.assetplanner.com/service_request?ID=105922" xr:uid="{FE39464A-C78F-4377-9F2B-86B6F39DB7FF}"/>
    <hyperlink ref="L148" r:id="rId143" display="https://us3.assetplanner.com/service_request?ID=109734" xr:uid="{382A0191-1CC3-4350-B73F-3F755149E16B}"/>
    <hyperlink ref="L149" r:id="rId144" display="https://us3.assetplanner.com/service_request?ID=109715" xr:uid="{9321373C-6586-4EE0-9250-DE26FE6A6E96}"/>
    <hyperlink ref="L150" r:id="rId145" display="https://us3.assetplanner.com/service_request?ID=109096" xr:uid="{B68ACC60-577B-44E9-A2C8-263219547834}"/>
    <hyperlink ref="N150" r:id="rId146" display="https://us3.assetplanner.com/service_request?ID=109144" xr:uid="{C3537DFD-3757-4FD8-8B2D-AAAC45530483}"/>
    <hyperlink ref="L151" r:id="rId147" display="https://us3.assetplanner.com/service_request?ID=109450" xr:uid="{A8F3FA4E-4FBE-4F9B-8374-670653E1255A}"/>
    <hyperlink ref="N151" r:id="rId148" display="https://us3.assetplanner.com/service_request?ID=109452" xr:uid="{8B67BD0F-FF74-4B5D-B9C8-33725627B86A}"/>
    <hyperlink ref="L152" r:id="rId149" display="https://us3.assetplanner.com/service_request?ID=098278" xr:uid="{24579231-87C0-4D46-80CE-CCDB13D0C3DF}"/>
    <hyperlink ref="N152" r:id="rId150" display="https://us3.assetplanner.com/service_request?ID=098670" xr:uid="{A751DE07-5ED9-4A3F-ACAB-791C3A5CC612}"/>
    <hyperlink ref="L153" r:id="rId151" display="https://us3.assetplanner.com/service_request?ID=110025" xr:uid="{CD09E454-FEBC-4D5E-B112-6B1902705334}"/>
    <hyperlink ref="L154" r:id="rId152" display="https://us3.assetplanner.com/service_request?ID=098066" xr:uid="{F2A453BA-37A5-47D7-AE15-714016157121}"/>
    <hyperlink ref="N154" r:id="rId153" display="https://us3.assetplanner.com/service_request?ID=099545" xr:uid="{84E4D0EA-A881-4E83-BB0D-C766B5BB5690}"/>
    <hyperlink ref="L155" r:id="rId154" display="https://us3.assetplanner.com/service_request?ID=109097" xr:uid="{BBD5B81E-101D-40F9-AF0E-52CFFF8DE8D3}"/>
    <hyperlink ref="N155" r:id="rId155" display="https://us3.assetplanner.com/service_request?ID=109353" xr:uid="{8238880C-0B3C-4708-8EB7-734A9B1ED1BB}"/>
    <hyperlink ref="O155" r:id="rId156" display="https://us3.assetplanner.com/service_request?ID=109692" xr:uid="{FA4871EC-3547-4735-8DF6-7C47D4705377}"/>
    <hyperlink ref="L156" r:id="rId157" display="https://us3.assetplanner.com/service_request?ID=105284" xr:uid="{C7AD75DF-63DF-4D1C-9944-935DE13D40B6}"/>
    <hyperlink ref="N156" r:id="rId158" display="https://us3.assetplanner.com/service_request?ID=109592" xr:uid="{A83114DD-635C-4FD1-9596-DF5EDB81C612}"/>
    <hyperlink ref="L157" r:id="rId159" display="https://us3.assetplanner.com/service_request?ID=109335" xr:uid="{0BA4F1A0-66D2-457B-B504-0D8907DC0E4B}"/>
    <hyperlink ref="L158" r:id="rId160" display="https://us3.assetplanner.com/service_request?ID=108961" xr:uid="{004B1A5A-CCCD-4DA4-8791-37437297970A}"/>
    <hyperlink ref="N158" r:id="rId161" display="https://us3.assetplanner.com/service_request?ID=109101" xr:uid="{2AB9F7EE-329A-47E9-9496-0434BE6BF5F2}"/>
    <hyperlink ref="O158" r:id="rId162" display="https://us3.assetplanner.com/service_request?ID=109195" xr:uid="{9B51AE55-C8D3-4D22-902A-74A025520646}"/>
    <hyperlink ref="P158" r:id="rId163" display="https://us3.assetplanner.com/service_request?ID=109326" xr:uid="{A902242D-3BF1-4B79-B381-1F4484B88D70}"/>
    <hyperlink ref="L160" r:id="rId164" display="https://us3.assetplanner.com/service_request?ID=109524" xr:uid="{34C8EB1F-AAE0-4818-825F-EC434E3767FF}"/>
    <hyperlink ref="N160" r:id="rId165" display="https://us3.assetplanner.com/service_request?ID=100771" xr:uid="{D22A8328-B3FF-42F5-8BDF-52D148304811}"/>
    <hyperlink ref="L162" r:id="rId166" display="https://us3.assetplanner.com/service_request?ID=108678" xr:uid="{0DA8854B-C5A0-4A1C-B531-C1E688163DCA}"/>
    <hyperlink ref="N162" r:id="rId167" display="https://us3.assetplanner.com/service_request?ID=108984" xr:uid="{B14F2B0A-3EB4-4539-93FD-CDBD8E71CE69}"/>
    <hyperlink ref="O162" r:id="rId168" display="https://us3.assetplanner.com/service_request?ID=109158" xr:uid="{ACF8A8C5-B32C-41BE-B921-95CAC98F2ECB}"/>
    <hyperlink ref="P162" r:id="rId169" display="https://us3.assetplanner.com/service_request?ID=109664" xr:uid="{B5C258EB-8057-4162-9C00-8E604C9CF812}"/>
    <hyperlink ref="Q162" r:id="rId170" display="https://us3.assetplanner.com/service_request?ID=109665" xr:uid="{406B582F-F68E-448E-A778-8F7D5165894C}"/>
    <hyperlink ref="R162" r:id="rId171" display="https://us3.assetplanner.com/service_request?ID=109681" xr:uid="{B3EA5E36-0FB4-46C7-9FE5-8BCB5A7640FD}"/>
    <hyperlink ref="S162" r:id="rId172" display="https://us3.assetplanner.com/service_request?ID=109851" xr:uid="{7C0AC4E1-9FD3-4867-8653-CE3D94804BFB}"/>
    <hyperlink ref="M162" r:id="rId173" display="https://us3.assetplanner.com/service_request?ID=109995" xr:uid="{9AEE0445-8B95-4312-88E4-23C0E8087190}"/>
    <hyperlink ref="L163" r:id="rId174" display="https://us3.assetplanner.com/service_request?ID=108599" xr:uid="{A4FC074A-41F1-41C1-A356-9EF4718E3CCD}"/>
    <hyperlink ref="L164" r:id="rId175" display="https://us3.assetplanner.com/service_request?ID=108392" xr:uid="{1D46A935-3FDB-4A87-A70E-4DB529414AEE}"/>
    <hyperlink ref="N164" r:id="rId176" display="https://us3.assetplanner.com/service_request?ID=109809" xr:uid="{4C675D1D-8A8E-4514-A688-DDABFB6EB5F3}"/>
    <hyperlink ref="L165" r:id="rId177" display="https://us3.assetplanner.com/service_request?ID=110198" xr:uid="{148F7315-04C4-42C0-B17F-028B25137A76}"/>
    <hyperlink ref="L166" r:id="rId178" display="https://us3.assetplanner.com/service_request?ID=109102" xr:uid="{DADDDF41-09AA-450D-B5E5-2356A3B27416}"/>
    <hyperlink ref="N166" r:id="rId179" display="https://us3.assetplanner.com/service_request?ID=109103" xr:uid="{554CD500-D2A5-4339-B0DA-95559EEF1187}"/>
    <hyperlink ref="O166" r:id="rId180" display="https://us3.assetplanner.com/service_request?ID=109325" xr:uid="{FB5F24D8-0705-4C36-967B-F86CD906B0BA}"/>
    <hyperlink ref="P166" r:id="rId181" display="https://us3.assetplanner.com/service_request?ID=109403" xr:uid="{4A39C74B-A158-4A39-8F50-E28E92DB3FC7}"/>
    <hyperlink ref="L167" r:id="rId182" display="https://us3.assetplanner.com/service_request?ID=109160" xr:uid="{B6678E26-8132-43EC-9413-AFA36589AB64}"/>
    <hyperlink ref="L168" r:id="rId183" display="https://us3.assetplanner.com/service_request?ID=109156" xr:uid="{49E5AE08-FE7D-479A-8A42-28E8C0379E41}"/>
    <hyperlink ref="L169" r:id="rId184" display="https://us3.assetplanner.com/service_request?ID=109157" xr:uid="{D1134291-A570-41F8-A125-517A4044EA6E}"/>
    <hyperlink ref="L170" r:id="rId185" display="https://us3.assetplanner.com/service_request?ID=109198" xr:uid="{6232283E-ABEE-4D9A-9FB0-D87D8CD7177F}"/>
    <hyperlink ref="N170" r:id="rId186" display="https://us3.assetplanner.com/service_request?ID=109525" xr:uid="{B32BE44F-286B-4106-98EB-35D7612D593A}"/>
    <hyperlink ref="O170" r:id="rId187" display="https://us3.assetplanner.com/service_request?ID=109585" xr:uid="{A1D75B06-DA7D-44CC-9073-A2B5FA323E3D}"/>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R172"/>
  <sheetViews>
    <sheetView tabSelected="1" zoomScale="70" zoomScaleNormal="70" workbookViewId="0">
      <pane xSplit="2" ySplit="3" topLeftCell="C66" activePane="bottomRight" state="frozen"/>
      <selection pane="bottomRight" activeCell="B73" sqref="B73"/>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2.28515625" style="30"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 min="13" max="13" width="18" style="104" customWidth="1"/>
  </cols>
  <sheetData>
    <row r="1" spans="1:14" ht="19.5" customHeight="1">
      <c r="A1" s="187" t="str" cm="1">
        <f t="array" ref="A1">portfolio</f>
        <v>Generate Capital</v>
      </c>
      <c r="B1" s="187"/>
      <c r="C1" s="187"/>
      <c r="D1" s="187"/>
      <c r="E1" s="188" t="s">
        <v>2388</v>
      </c>
      <c r="F1" s="188"/>
      <c r="G1" s="188"/>
      <c r="H1" s="186" t="s">
        <v>2389</v>
      </c>
      <c r="I1" s="186"/>
      <c r="J1" s="186"/>
      <c r="K1" s="4"/>
      <c r="L1" s="4"/>
    </row>
    <row r="2" spans="1:14" ht="19.5" customHeight="1">
      <c r="A2" s="189" t="s">
        <v>2</v>
      </c>
      <c r="B2" s="189"/>
      <c r="C2" s="57"/>
      <c r="D2" s="5">
        <f>SUM(D4:D200)</f>
        <v>19972387.827596553</v>
      </c>
      <c r="E2" s="5">
        <f>SUM(E4:E200)</f>
        <v>16030213.193999998</v>
      </c>
      <c r="F2" s="5">
        <f>D2-E2</f>
        <v>3942174.6335965544</v>
      </c>
      <c r="G2" s="6">
        <f>IFERROR(F2/E2, 0)</f>
        <v>0.24592153490959709</v>
      </c>
      <c r="H2" s="5">
        <f>SUM(H4:H200)</f>
        <v>22096297.204000011</v>
      </c>
      <c r="I2" s="7">
        <f>D2-H2</f>
        <v>-2123909.3764034584</v>
      </c>
      <c r="J2" s="6">
        <f>IFERROR(I2/H2, 0)</f>
        <v>-9.6120601419996066E-2</v>
      </c>
      <c r="K2" s="22" t="str">
        <f ca="1">IF(AND(TODAY()&gt;DATE(2024, 11, 1), COUNTA(Sites[Site])&lt;&gt;(COUNT(D:D)-1)), "Some sites are missing actual data; if new sites were added, make sure they are aligned correctly (including prior months!)", "")</f>
        <v/>
      </c>
      <c r="L2" s="4"/>
    </row>
    <row r="3" spans="1:14" ht="14.25" customHeight="1">
      <c r="A3" s="8" t="s">
        <v>3</v>
      </c>
      <c r="B3" s="8" t="s">
        <v>4</v>
      </c>
      <c r="C3" s="8" t="s">
        <v>5</v>
      </c>
      <c r="D3" s="19" t="s">
        <v>6</v>
      </c>
      <c r="E3" s="31" t="s">
        <v>7</v>
      </c>
      <c r="F3" s="31" t="s">
        <v>8</v>
      </c>
      <c r="G3" s="32" t="s">
        <v>9</v>
      </c>
      <c r="H3" s="33" t="s">
        <v>10</v>
      </c>
      <c r="I3" s="34" t="s">
        <v>8</v>
      </c>
      <c r="J3" s="35" t="s">
        <v>9</v>
      </c>
      <c r="K3" s="21" t="s">
        <v>21</v>
      </c>
      <c r="L3" s="21" t="s">
        <v>22</v>
      </c>
      <c r="M3" s="172" t="s">
        <v>2114</v>
      </c>
    </row>
    <row r="4" spans="1:14" ht="15.6">
      <c r="A4" s="28" t="str" cm="1">
        <f t="array" ref="A4:A172">Sites[Site]</f>
        <v>K026</v>
      </c>
      <c r="B4" s="25" t="str" cm="1">
        <f t="array" ref="B4:B172">Sites[State]</f>
        <v>NY</v>
      </c>
      <c r="C4" s="25" t="str">
        <f>Sites[[#This Row],[SOL'#]]</f>
        <v>SOL-10356</v>
      </c>
      <c r="D4" s="20">
        <v>9316</v>
      </c>
      <c r="E4" s="10">
        <v>16506.62</v>
      </c>
      <c r="F4" s="10">
        <f>IF(AND(ISNUMBER(D4),ISNUMBER(E4)), D4-E4, "")</f>
        <v>-7190.619999999999</v>
      </c>
      <c r="G4" s="11">
        <f>IFERROR(F4/E4, "")</f>
        <v>-0.43562037534031794</v>
      </c>
      <c r="H4" s="12">
        <v>12235.73</v>
      </c>
      <c r="I4" s="12">
        <f>IF(AND(ISNUMBER(D4),ISNUMBER(H4)), D4-H4, "")</f>
        <v>-2919.7299999999996</v>
      </c>
      <c r="J4" s="13">
        <f>IFERROR(I4/H4, "")</f>
        <v>-0.23862327789187893</v>
      </c>
      <c r="K4" s="49" t="s">
        <v>2115</v>
      </c>
      <c r="L4" s="110" t="s">
        <v>1905</v>
      </c>
      <c r="M4" s="47" t="s">
        <v>2138</v>
      </c>
    </row>
    <row r="5" spans="1:14" ht="15.6">
      <c r="A5" s="26" t="str">
        <v>K041</v>
      </c>
      <c r="B5" s="27" t="str">
        <v>NY</v>
      </c>
      <c r="C5" s="26" t="str">
        <f>Sites[[#This Row],[SOL'#]]</f>
        <v>SOL-10357</v>
      </c>
      <c r="D5" s="9">
        <v>10472.21875</v>
      </c>
      <c r="E5" s="14">
        <v>12670.92</v>
      </c>
      <c r="F5" s="14">
        <f t="shared" ref="F5:F17" si="0">IF(AND(ISNUMBER(D5),ISNUMBER(E5)), D5-E5, "")</f>
        <v>-2198.7012500000001</v>
      </c>
      <c r="G5" s="15">
        <f>IFERROR(F5/E5, "")</f>
        <v>-0.17352341029696344</v>
      </c>
      <c r="H5" s="16">
        <v>11963</v>
      </c>
      <c r="I5" s="16">
        <f t="shared" ref="I5:I17" si="1">IF(AND(ISNUMBER(D5),ISNUMBER(H5)), D5-H5, "")</f>
        <v>-1490.78125</v>
      </c>
      <c r="J5" s="15">
        <f t="shared" ref="J5:J17" si="2">IFERROR(I5/H5, "")</f>
        <v>-0.12461600351082504</v>
      </c>
      <c r="K5" s="179" t="s">
        <v>2117</v>
      </c>
      <c r="L5" s="179"/>
      <c r="M5" s="182"/>
    </row>
    <row r="6" spans="1:14" ht="28.9">
      <c r="A6" s="24" t="str">
        <v>K043</v>
      </c>
      <c r="B6" s="25" t="str">
        <v>NY</v>
      </c>
      <c r="C6" s="25" t="str">
        <f>Sites[[#This Row],[SOL'#]]</f>
        <v>SOL-10358</v>
      </c>
      <c r="D6" s="20">
        <v>12557.77937</v>
      </c>
      <c r="E6" s="10">
        <v>14003</v>
      </c>
      <c r="F6" s="10">
        <f t="shared" si="0"/>
        <v>-1445.2206299999998</v>
      </c>
      <c r="G6" s="11">
        <f t="shared" ref="G6:G16" si="3">IFERROR(F6/E6, "")</f>
        <v>-0.10320792901521102</v>
      </c>
      <c r="H6" s="12">
        <v>2700</v>
      </c>
      <c r="I6" s="12">
        <f t="shared" si="1"/>
        <v>9857.7793700000002</v>
      </c>
      <c r="J6" s="13">
        <f t="shared" si="2"/>
        <v>3.6510293962962965</v>
      </c>
      <c r="K6" s="49" t="s">
        <v>2390</v>
      </c>
      <c r="L6" s="49"/>
      <c r="M6" s="47"/>
    </row>
    <row r="7" spans="1:14" ht="24.75" customHeight="1">
      <c r="A7" s="26" t="str">
        <v>K058</v>
      </c>
      <c r="B7" s="27" t="str">
        <v>NY</v>
      </c>
      <c r="C7" s="26" t="str">
        <f>Sites[[#This Row],[SOL'#]]</f>
        <v>SOL-10360</v>
      </c>
      <c r="D7" s="9">
        <v>10157.75</v>
      </c>
      <c r="E7" s="14">
        <v>11357.2</v>
      </c>
      <c r="F7" s="14">
        <f t="shared" si="0"/>
        <v>-1199.4500000000007</v>
      </c>
      <c r="G7" s="15">
        <f t="shared" si="3"/>
        <v>-0.10561141830732933</v>
      </c>
      <c r="H7" s="16">
        <v>9904.4770000000008</v>
      </c>
      <c r="I7" s="16">
        <f t="shared" si="1"/>
        <v>253.27299999999923</v>
      </c>
      <c r="J7" s="15">
        <f t="shared" si="2"/>
        <v>2.5571567282149196E-2</v>
      </c>
      <c r="K7" s="179"/>
      <c r="L7" s="92"/>
    </row>
    <row r="8" spans="1:14" ht="15.6">
      <c r="A8" s="24" t="str">
        <v>K115</v>
      </c>
      <c r="B8" s="25" t="str">
        <v>NY</v>
      </c>
      <c r="C8" s="25" t="str">
        <f>Sites[[#This Row],[SOL'#]]</f>
        <v>SOL-10361</v>
      </c>
      <c r="D8" s="20">
        <v>5727.54203125002</v>
      </c>
      <c r="E8" s="10">
        <v>6963.1469999999999</v>
      </c>
      <c r="F8" s="10">
        <f t="shared" si="0"/>
        <v>-1235.6049687499799</v>
      </c>
      <c r="G8" s="11">
        <f t="shared" si="3"/>
        <v>-0.17744921495266147</v>
      </c>
      <c r="H8" s="12">
        <v>6362.2309999999998</v>
      </c>
      <c r="I8" s="12">
        <f t="shared" si="1"/>
        <v>-634.68896874997972</v>
      </c>
      <c r="J8" s="13">
        <f t="shared" si="2"/>
        <v>-9.9758868980076285E-2</v>
      </c>
      <c r="K8" s="49" t="s">
        <v>2391</v>
      </c>
      <c r="L8" s="110" t="s">
        <v>2392</v>
      </c>
      <c r="M8" s="47" t="s">
        <v>2393</v>
      </c>
    </row>
    <row r="9" spans="1:14" ht="15.6">
      <c r="A9" s="26" t="str">
        <v>K152</v>
      </c>
      <c r="B9" s="27" t="str">
        <v>NY</v>
      </c>
      <c r="C9" s="26" t="str">
        <f>Sites[[#This Row],[SOL'#]]</f>
        <v>SOL-10362</v>
      </c>
      <c r="D9" s="9">
        <v>3772.59375</v>
      </c>
      <c r="E9" s="14">
        <v>4200.5129999999999</v>
      </c>
      <c r="F9" s="14">
        <f t="shared" si="0"/>
        <v>-427.91924999999992</v>
      </c>
      <c r="G9" s="15">
        <f t="shared" si="3"/>
        <v>-0.10187309264368422</v>
      </c>
      <c r="H9" s="16">
        <v>3871</v>
      </c>
      <c r="I9" s="16">
        <f t="shared" si="1"/>
        <v>-98.40625</v>
      </c>
      <c r="J9" s="15">
        <f t="shared" si="2"/>
        <v>-2.5421402738310513E-2</v>
      </c>
      <c r="K9" s="179"/>
      <c r="L9" s="93"/>
    </row>
    <row r="10" spans="1:14" ht="64.5" customHeight="1">
      <c r="A10" s="24" t="str">
        <v>K166</v>
      </c>
      <c r="B10" s="25" t="str">
        <v>NY</v>
      </c>
      <c r="C10" s="25" t="str">
        <f>Sites[[#This Row],[SOL'#]]</f>
        <v>SOL-10363</v>
      </c>
      <c r="D10" s="20">
        <v>11908.625</v>
      </c>
      <c r="E10" s="10">
        <v>15709.6</v>
      </c>
      <c r="F10" s="10">
        <f t="shared" si="0"/>
        <v>-3800.9750000000004</v>
      </c>
      <c r="G10" s="11">
        <f t="shared" si="3"/>
        <v>-0.24195237307124307</v>
      </c>
      <c r="H10" s="12">
        <v>13335.22</v>
      </c>
      <c r="I10" s="12">
        <f t="shared" si="1"/>
        <v>-1426.5949999999993</v>
      </c>
      <c r="J10" s="13">
        <f t="shared" si="2"/>
        <v>-0.10697948740253249</v>
      </c>
      <c r="K10" s="49" t="s">
        <v>1909</v>
      </c>
      <c r="L10" s="110" t="s">
        <v>1910</v>
      </c>
      <c r="M10" s="47" t="s">
        <v>2116</v>
      </c>
    </row>
    <row r="11" spans="1:14" ht="15.6">
      <c r="A11" s="26" t="str">
        <v>K206</v>
      </c>
      <c r="B11" s="27" t="str">
        <v>NY</v>
      </c>
      <c r="C11" s="26" t="str">
        <f>Sites[[#This Row],[SOL'#]]</f>
        <v>SOL-10927</v>
      </c>
      <c r="D11" s="9">
        <v>7900.21875</v>
      </c>
      <c r="E11" s="14">
        <v>7300.277</v>
      </c>
      <c r="F11" s="14">
        <f t="shared" si="0"/>
        <v>599.94174999999996</v>
      </c>
      <c r="G11" s="15">
        <f t="shared" si="3"/>
        <v>8.2180683006959868E-2</v>
      </c>
      <c r="H11" s="16">
        <v>8303</v>
      </c>
      <c r="I11" s="16">
        <f t="shared" si="1"/>
        <v>-402.78125</v>
      </c>
      <c r="J11" s="15">
        <f t="shared" si="2"/>
        <v>-4.8510327592436467E-2</v>
      </c>
      <c r="K11" s="179"/>
      <c r="L11" s="92"/>
    </row>
    <row r="12" spans="1:14" ht="26.45">
      <c r="A12" s="24" t="str">
        <v>K251</v>
      </c>
      <c r="B12" s="25" t="str">
        <v>NY</v>
      </c>
      <c r="C12" s="25" t="str">
        <f>Sites[[#This Row],[SOL'#]]</f>
        <v>SOL-10365</v>
      </c>
      <c r="D12" s="20">
        <v>9121.5625</v>
      </c>
      <c r="E12" s="10">
        <v>0</v>
      </c>
      <c r="F12" s="10">
        <f t="shared" si="0"/>
        <v>9121.5625</v>
      </c>
      <c r="G12" s="11" t="str">
        <f t="shared" si="3"/>
        <v/>
      </c>
      <c r="H12" s="12">
        <v>9176.4519999999993</v>
      </c>
      <c r="I12" s="12">
        <f t="shared" si="1"/>
        <v>-54.889499999999316</v>
      </c>
      <c r="J12" s="13">
        <f t="shared" si="2"/>
        <v>-5.9815601934167283E-3</v>
      </c>
      <c r="K12" s="49" t="s">
        <v>2394</v>
      </c>
      <c r="L12" s="110" t="s">
        <v>2395</v>
      </c>
      <c r="M12" s="47" t="s">
        <v>2396</v>
      </c>
    </row>
    <row r="13" spans="1:14" ht="39" customHeight="1">
      <c r="A13" s="26" t="str">
        <v>K269</v>
      </c>
      <c r="B13" s="27" t="str">
        <v>NY</v>
      </c>
      <c r="C13" s="26" t="str">
        <f>Sites[[#This Row],[SOL'#]]</f>
        <v>SOL-10366</v>
      </c>
      <c r="D13" s="9">
        <v>8324.0988247862606</v>
      </c>
      <c r="E13" s="14">
        <v>10481.219999999999</v>
      </c>
      <c r="F13" s="14">
        <f t="shared" si="0"/>
        <v>-2157.1211752137388</v>
      </c>
      <c r="G13" s="15">
        <f t="shared" si="3"/>
        <v>-0.20580821461754822</v>
      </c>
      <c r="H13" s="16">
        <v>9295.5810000000001</v>
      </c>
      <c r="I13" s="16">
        <f t="shared" si="1"/>
        <v>-971.48217521373954</v>
      </c>
      <c r="J13" s="15">
        <f t="shared" si="2"/>
        <v>-0.1045101081055331</v>
      </c>
      <c r="K13" s="179" t="s">
        <v>1179</v>
      </c>
      <c r="L13" s="92"/>
    </row>
    <row r="14" spans="1:14" ht="39" customHeight="1">
      <c r="A14" s="24" t="str">
        <v>K273</v>
      </c>
      <c r="B14" s="25" t="str">
        <v>NY</v>
      </c>
      <c r="C14" s="25" t="str">
        <f>Sites[[#This Row],[SOL'#]]</f>
        <v>SOL-10367</v>
      </c>
      <c r="D14" s="20">
        <v>8721.8125</v>
      </c>
      <c r="E14" s="10">
        <v>0</v>
      </c>
      <c r="F14" s="10">
        <f t="shared" si="0"/>
        <v>8721.8125</v>
      </c>
      <c r="G14" s="11" t="str">
        <f t="shared" si="3"/>
        <v/>
      </c>
      <c r="H14" s="12">
        <v>10468</v>
      </c>
      <c r="I14" s="12">
        <f t="shared" si="1"/>
        <v>-1746.1875</v>
      </c>
      <c r="J14" s="13">
        <f t="shared" si="2"/>
        <v>-0.16681195070691632</v>
      </c>
      <c r="K14" s="49" t="s">
        <v>2397</v>
      </c>
      <c r="L14" s="110" t="s">
        <v>2398</v>
      </c>
      <c r="M14" s="49" t="s">
        <v>2399</v>
      </c>
      <c r="N14" s="112" t="s">
        <v>911</v>
      </c>
    </row>
    <row r="15" spans="1:14" ht="28.9">
      <c r="A15" s="26" t="str">
        <v>K287</v>
      </c>
      <c r="B15" s="27" t="str">
        <v>NY</v>
      </c>
      <c r="C15" s="26" t="str">
        <f>Sites[[#This Row],[SOL'#]]</f>
        <v>SOL-10919</v>
      </c>
      <c r="D15" s="9">
        <v>7501.25</v>
      </c>
      <c r="E15" s="14">
        <v>7166.5860000000002</v>
      </c>
      <c r="F15" s="14">
        <f t="shared" si="0"/>
        <v>334.66399999999976</v>
      </c>
      <c r="G15" s="15">
        <f t="shared" si="3"/>
        <v>4.6697827947644772E-2</v>
      </c>
      <c r="H15" s="16">
        <v>8320</v>
      </c>
      <c r="I15" s="16">
        <f t="shared" si="1"/>
        <v>-818.75</v>
      </c>
      <c r="J15" s="15">
        <f t="shared" si="2"/>
        <v>-9.8407451923076927E-2</v>
      </c>
      <c r="K15" s="179" t="s">
        <v>1669</v>
      </c>
      <c r="L15" s="92"/>
      <c r="M15" s="92"/>
    </row>
    <row r="16" spans="1:14" ht="42" customHeight="1">
      <c r="A16" s="24" t="str">
        <v>K298</v>
      </c>
      <c r="B16" s="25" t="str">
        <v>NY</v>
      </c>
      <c r="C16" s="25" t="str">
        <f>Sites[[#This Row],[SOL'#]]</f>
        <v>SOL-10368</v>
      </c>
      <c r="D16" s="20">
        <v>6919.5</v>
      </c>
      <c r="E16" s="10">
        <v>9283.9979999999996</v>
      </c>
      <c r="F16" s="10">
        <f>IF(AND(ISNUMBER(D16),ISNUMBER(E16)), D16-E16, "")</f>
        <v>-2364.4979999999996</v>
      </c>
      <c r="G16" s="11">
        <f t="shared" si="3"/>
        <v>-0.25468531983742343</v>
      </c>
      <c r="H16" s="12">
        <v>7584</v>
      </c>
      <c r="I16" s="12">
        <f t="shared" si="1"/>
        <v>-664.5</v>
      </c>
      <c r="J16" s="13">
        <f>IFERROR(I16/H16, "")</f>
        <v>-8.7618670886075944E-2</v>
      </c>
      <c r="K16" s="49"/>
      <c r="L16" s="49"/>
      <c r="M16" s="49"/>
    </row>
    <row r="17" spans="1:13" ht="15.6">
      <c r="A17" s="26" t="str">
        <v>K335</v>
      </c>
      <c r="B17" s="27" t="str">
        <v>NY</v>
      </c>
      <c r="C17" s="26" t="str">
        <f>Sites[[#This Row],[SOL'#]]</f>
        <v>SOL-10370</v>
      </c>
      <c r="D17" s="9">
        <v>7915.125</v>
      </c>
      <c r="E17" s="14">
        <v>9866.1880000000001</v>
      </c>
      <c r="F17" s="14">
        <f t="shared" si="0"/>
        <v>-1951.0630000000001</v>
      </c>
      <c r="G17" s="15">
        <f t="shared" ref="G17:G48" si="4">IFERROR(F17/E17, "")</f>
        <v>-0.19775246528851873</v>
      </c>
      <c r="H17" s="16">
        <v>8935</v>
      </c>
      <c r="I17" s="16">
        <f t="shared" si="1"/>
        <v>-1019.875</v>
      </c>
      <c r="J17" s="15">
        <f t="shared" si="2"/>
        <v>-0.11414381645215445</v>
      </c>
      <c r="K17" s="179" t="s">
        <v>2129</v>
      </c>
      <c r="L17" s="92"/>
      <c r="M17" s="92"/>
    </row>
    <row r="18" spans="1:13" ht="74.25" customHeight="1">
      <c r="A18" s="24" t="str">
        <v>K345</v>
      </c>
      <c r="B18" s="25" t="str">
        <v>NY</v>
      </c>
      <c r="C18" s="25" t="str">
        <f>Sites[[#This Row],[SOL'#]]</f>
        <v>SOL-10920</v>
      </c>
      <c r="D18" s="20">
        <v>9400.40625</v>
      </c>
      <c r="E18" s="10">
        <v>6990.0020000000004</v>
      </c>
      <c r="F18" s="10">
        <f t="shared" ref="F18:F49" si="5">IF(AND(ISNUMBER(D18),ISNUMBER(E18)), D18-E18, "")</f>
        <v>2410.4042499999996</v>
      </c>
      <c r="G18" s="11">
        <f t="shared" si="4"/>
        <v>0.34483598860200604</v>
      </c>
      <c r="H18" s="12">
        <v>8732</v>
      </c>
      <c r="I18" s="12">
        <f t="shared" ref="I18:I49" si="6">IF(AND(ISNUMBER(D18),ISNUMBER(H18)), D18-H18, "")</f>
        <v>668.40625</v>
      </c>
      <c r="J18" s="13">
        <f t="shared" ref="J18:J49" si="7">IFERROR(I18/H18, "")</f>
        <v>7.6546753321117725E-2</v>
      </c>
      <c r="K18" s="49" t="s">
        <v>2400</v>
      </c>
      <c r="L18" s="110" t="s">
        <v>1186</v>
      </c>
      <c r="M18" s="49" t="s">
        <v>2128</v>
      </c>
    </row>
    <row r="19" spans="1:13" ht="43.15">
      <c r="A19" s="26" t="str">
        <v>K445</v>
      </c>
      <c r="B19" s="27" t="str">
        <v>NY</v>
      </c>
      <c r="C19" s="26" t="str">
        <f>Sites[[#This Row],[SOL'#]]</f>
        <v>SOL-10373</v>
      </c>
      <c r="D19" s="9">
        <v>6804.4950248755604</v>
      </c>
      <c r="E19" s="14">
        <v>9924.4320000000007</v>
      </c>
      <c r="F19" s="14">
        <f t="shared" si="5"/>
        <v>-3119.9369751244403</v>
      </c>
      <c r="G19" s="15">
        <f t="shared" si="4"/>
        <v>-0.31436932361715414</v>
      </c>
      <c r="H19" s="16">
        <v>8343.9259999999995</v>
      </c>
      <c r="I19" s="16">
        <f t="shared" si="6"/>
        <v>-1539.4309751244391</v>
      </c>
      <c r="J19" s="15">
        <f t="shared" si="7"/>
        <v>-0.18449719893542191</v>
      </c>
      <c r="K19" s="179" t="s">
        <v>2401</v>
      </c>
      <c r="L19" s="111" t="s">
        <v>2402</v>
      </c>
      <c r="M19" s="92" t="s">
        <v>2294</v>
      </c>
    </row>
    <row r="20" spans="1:13" ht="36" customHeight="1">
      <c r="A20" s="24" t="str">
        <v>K495</v>
      </c>
      <c r="B20" s="25" t="str">
        <v>NY</v>
      </c>
      <c r="C20" s="25" t="str">
        <f>Sites[[#This Row],[SOL'#]]</f>
        <v>SOL-10374</v>
      </c>
      <c r="D20" s="20">
        <v>33907.5</v>
      </c>
      <c r="E20" s="10">
        <v>38076.519999999997</v>
      </c>
      <c r="F20" s="10">
        <f t="shared" si="5"/>
        <v>-4169.0199999999968</v>
      </c>
      <c r="G20" s="11">
        <f t="shared" si="4"/>
        <v>-0.10949057319313837</v>
      </c>
      <c r="H20" s="12">
        <v>48974.71</v>
      </c>
      <c r="I20" s="12">
        <f t="shared" si="6"/>
        <v>-15067.21</v>
      </c>
      <c r="J20" s="13">
        <f t="shared" si="7"/>
        <v>-0.30765286818441601</v>
      </c>
      <c r="K20" s="49" t="s">
        <v>2403</v>
      </c>
      <c r="L20" s="110" t="s">
        <v>2134</v>
      </c>
      <c r="M20" s="49" t="s">
        <v>2128</v>
      </c>
    </row>
    <row r="21" spans="1:13" ht="15.6">
      <c r="A21" s="26" t="str">
        <v>M020</v>
      </c>
      <c r="B21" s="27" t="str">
        <v>NY</v>
      </c>
      <c r="C21" s="26" t="str">
        <f>Sites[[#This Row],[SOL'#]]</f>
        <v>SOL-10380</v>
      </c>
      <c r="D21" s="9">
        <v>8519.625</v>
      </c>
      <c r="E21" s="14">
        <v>9212.2450000000008</v>
      </c>
      <c r="F21" s="14">
        <f t="shared" si="5"/>
        <v>-692.6200000000008</v>
      </c>
      <c r="G21" s="15">
        <f t="shared" si="4"/>
        <v>-7.518471338962443E-2</v>
      </c>
      <c r="H21" s="16">
        <v>10258</v>
      </c>
      <c r="I21" s="16">
        <f t="shared" si="6"/>
        <v>-1738.375</v>
      </c>
      <c r="J21" s="15">
        <f t="shared" si="7"/>
        <v>-0.16946529537921623</v>
      </c>
      <c r="K21" s="179" t="s">
        <v>2404</v>
      </c>
      <c r="L21" s="111" t="s">
        <v>2405</v>
      </c>
      <c r="M21" s="104" t="s">
        <v>2120</v>
      </c>
    </row>
    <row r="22" spans="1:13" ht="15.6">
      <c r="A22" s="24" t="str">
        <v>M092</v>
      </c>
      <c r="B22" s="25" t="str">
        <v>NY</v>
      </c>
      <c r="C22" s="25" t="str">
        <f>Sites[[#This Row],[SOL'#]]</f>
        <v>SOL-10383</v>
      </c>
      <c r="D22" s="20">
        <v>8241.1874999998799</v>
      </c>
      <c r="E22" s="10">
        <v>9823.6</v>
      </c>
      <c r="F22" s="10">
        <f t="shared" si="5"/>
        <v>-1582.4125000001204</v>
      </c>
      <c r="G22" s="11">
        <f t="shared" si="4"/>
        <v>-0.1610827497048048</v>
      </c>
      <c r="H22" s="12">
        <v>9410.0110000000004</v>
      </c>
      <c r="I22" s="12">
        <f t="shared" si="6"/>
        <v>-1168.8235000001205</v>
      </c>
      <c r="J22" s="13">
        <f t="shared" si="7"/>
        <v>-0.12421064119905072</v>
      </c>
      <c r="K22" s="49"/>
      <c r="L22" s="49"/>
    </row>
    <row r="23" spans="1:13" ht="27" customHeight="1">
      <c r="A23" s="26" t="str">
        <v>M143</v>
      </c>
      <c r="B23" s="27" t="str">
        <v>NY</v>
      </c>
      <c r="C23" s="26" t="str">
        <f>Sites[[#This Row],[SOL'#]]</f>
        <v>SOL-10384</v>
      </c>
      <c r="D23" s="9">
        <v>9215.25</v>
      </c>
      <c r="E23" s="14">
        <v>10648.48</v>
      </c>
      <c r="F23" s="14">
        <f t="shared" si="5"/>
        <v>-1433.2299999999996</v>
      </c>
      <c r="G23" s="15">
        <f t="shared" si="4"/>
        <v>-0.13459479662825113</v>
      </c>
      <c r="H23" s="16">
        <v>10083.92</v>
      </c>
      <c r="I23" s="16">
        <f t="shared" si="6"/>
        <v>-868.67000000000007</v>
      </c>
      <c r="J23" s="15">
        <f t="shared" si="7"/>
        <v>-8.6144078889955497E-2</v>
      </c>
      <c r="K23" s="179"/>
      <c r="L23" s="93"/>
    </row>
    <row r="24" spans="1:13" ht="15.6">
      <c r="A24" s="24" t="str">
        <v>M144</v>
      </c>
      <c r="B24" s="25" t="str">
        <v>NY</v>
      </c>
      <c r="C24" s="25" t="str">
        <f>Sites[[#This Row],[SOL'#]]</f>
        <v>SOL-10385</v>
      </c>
      <c r="D24" s="20">
        <v>13733.25</v>
      </c>
      <c r="E24" s="10">
        <v>16821.61</v>
      </c>
      <c r="F24" s="10">
        <f t="shared" si="5"/>
        <v>-3088.3600000000006</v>
      </c>
      <c r="G24" s="11">
        <f t="shared" si="4"/>
        <v>-0.18359479265064405</v>
      </c>
      <c r="H24" s="12">
        <v>23182.880000000001</v>
      </c>
      <c r="I24" s="12">
        <f t="shared" si="6"/>
        <v>-9449.630000000001</v>
      </c>
      <c r="J24" s="13">
        <f t="shared" si="7"/>
        <v>-0.40761242779154278</v>
      </c>
      <c r="K24" s="49" t="s">
        <v>2117</v>
      </c>
      <c r="L24" s="49"/>
    </row>
    <row r="25" spans="1:13" ht="28.9">
      <c r="A25" s="26" t="str">
        <v>M167</v>
      </c>
      <c r="B25" s="27" t="str">
        <v>NY</v>
      </c>
      <c r="C25" s="26" t="str">
        <f>Sites[[#This Row],[SOL'#]]</f>
        <v>SOL-10386</v>
      </c>
      <c r="D25" s="9">
        <v>8672.65624999994</v>
      </c>
      <c r="E25" s="14">
        <v>8439.2189999999991</v>
      </c>
      <c r="F25" s="14">
        <f t="shared" si="5"/>
        <v>233.43724999994083</v>
      </c>
      <c r="G25" s="15">
        <f t="shared" si="4"/>
        <v>2.766100156897704E-2</v>
      </c>
      <c r="H25" s="16">
        <v>10189.85</v>
      </c>
      <c r="I25" s="16">
        <f t="shared" si="6"/>
        <v>-1517.1937500000604</v>
      </c>
      <c r="J25" s="15">
        <f t="shared" si="7"/>
        <v>-0.14889264807627789</v>
      </c>
      <c r="K25" s="179" t="s">
        <v>2406</v>
      </c>
      <c r="L25" s="94"/>
    </row>
    <row r="26" spans="1:13" ht="15.6">
      <c r="A26" s="24" t="str">
        <v>M188</v>
      </c>
      <c r="B26" s="25" t="str">
        <v>NY</v>
      </c>
      <c r="C26" s="25" t="str">
        <f>Sites[[#This Row],[SOL'#]]</f>
        <v>SOL-10387</v>
      </c>
      <c r="D26" s="20">
        <v>7381.34375</v>
      </c>
      <c r="E26" s="10">
        <v>8688.0069999999996</v>
      </c>
      <c r="F26" s="10">
        <f t="shared" si="5"/>
        <v>-1306.6632499999996</v>
      </c>
      <c r="G26" s="11">
        <f t="shared" si="4"/>
        <v>-0.15039850336216345</v>
      </c>
      <c r="H26" s="12">
        <v>12627.36</v>
      </c>
      <c r="I26" s="12">
        <f t="shared" si="6"/>
        <v>-5246.0162500000006</v>
      </c>
      <c r="J26" s="13">
        <f t="shared" si="7"/>
        <v>-0.41544837955043656</v>
      </c>
      <c r="K26" s="49" t="s">
        <v>2407</v>
      </c>
      <c r="L26" s="49"/>
    </row>
    <row r="27" spans="1:13" ht="15.6">
      <c r="A27" s="26" t="str">
        <v>EMHC</v>
      </c>
      <c r="B27" s="27" t="str">
        <v>NY</v>
      </c>
      <c r="C27" s="26" t="str">
        <f>Sites[[#This Row],[SOL'#]]</f>
        <v>SOL-10351</v>
      </c>
      <c r="D27" s="9">
        <v>2700.75</v>
      </c>
      <c r="E27" s="14">
        <v>2130.8249999999998</v>
      </c>
      <c r="F27" s="14">
        <f t="shared" si="5"/>
        <v>569.92500000000018</v>
      </c>
      <c r="G27" s="15">
        <f t="shared" si="4"/>
        <v>0.26746682622927748</v>
      </c>
      <c r="H27" s="16">
        <v>2751.5239999999999</v>
      </c>
      <c r="I27" s="16">
        <f t="shared" si="6"/>
        <v>-50.773999999999887</v>
      </c>
      <c r="J27" s="15">
        <f t="shared" si="7"/>
        <v>-1.8453046384476344E-2</v>
      </c>
      <c r="K27" s="179" t="s">
        <v>668</v>
      </c>
      <c r="L27" s="111" t="s">
        <v>2408</v>
      </c>
      <c r="M27" s="104" t="s">
        <v>2138</v>
      </c>
    </row>
    <row r="28" spans="1:13" ht="15.6">
      <c r="A28" s="24" t="str">
        <v>Q008</v>
      </c>
      <c r="B28" s="25" t="str">
        <v>NY</v>
      </c>
      <c r="C28" s="25" t="str">
        <f>Sites[[#This Row],[SOL'#]]</f>
        <v>SOL-10397</v>
      </c>
      <c r="D28" s="20">
        <v>11787.46875</v>
      </c>
      <c r="E28" s="10">
        <v>13574.13</v>
      </c>
      <c r="F28" s="10">
        <f t="shared" si="5"/>
        <v>-1786.6612499999992</v>
      </c>
      <c r="G28" s="11">
        <f t="shared" si="4"/>
        <v>-0.13162252387445819</v>
      </c>
      <c r="H28" s="12">
        <v>12978</v>
      </c>
      <c r="I28" s="12">
        <f t="shared" si="6"/>
        <v>-1190.53125</v>
      </c>
      <c r="J28" s="13">
        <f t="shared" si="7"/>
        <v>-9.1734570041608871E-2</v>
      </c>
      <c r="K28" s="49"/>
      <c r="L28" s="49"/>
    </row>
    <row r="29" spans="1:13" ht="15.6">
      <c r="A29" s="26" t="str">
        <v>Q018</v>
      </c>
      <c r="B29" s="27" t="str">
        <v>NY</v>
      </c>
      <c r="C29" s="26" t="str">
        <f>Sites[[#This Row],[SOL'#]]</f>
        <v>SOL-10398</v>
      </c>
      <c r="D29" s="9">
        <v>8243.5625</v>
      </c>
      <c r="E29" s="14">
        <v>8976.8169999999991</v>
      </c>
      <c r="F29" s="14">
        <f t="shared" si="5"/>
        <v>-733.2544999999991</v>
      </c>
      <c r="G29" s="15">
        <f t="shared" si="4"/>
        <v>-8.16831288863301E-2</v>
      </c>
      <c r="H29" s="16">
        <v>7162.3490000000002</v>
      </c>
      <c r="I29" s="16">
        <f t="shared" si="6"/>
        <v>1081.2134999999998</v>
      </c>
      <c r="J29" s="15">
        <f t="shared" si="7"/>
        <v>0.15095794689703054</v>
      </c>
      <c r="K29" s="179"/>
      <c r="L29" s="179"/>
    </row>
    <row r="30" spans="1:13" ht="15.6">
      <c r="A30" s="24" t="str">
        <v>Q021</v>
      </c>
      <c r="B30" s="25" t="str">
        <v>NY</v>
      </c>
      <c r="C30" s="25" t="str">
        <f>Sites[[#This Row],[SOL'#]]</f>
        <v>SOL-10399</v>
      </c>
      <c r="D30" s="20">
        <v>6298.3125</v>
      </c>
      <c r="E30" s="10">
        <v>7577.8209999999999</v>
      </c>
      <c r="F30" s="10">
        <f t="shared" si="5"/>
        <v>-1279.5084999999999</v>
      </c>
      <c r="G30" s="11">
        <f t="shared" si="4"/>
        <v>-0.16884913222415784</v>
      </c>
      <c r="H30" s="12">
        <v>5762.3609999999999</v>
      </c>
      <c r="I30" s="12">
        <f t="shared" si="6"/>
        <v>535.95150000000012</v>
      </c>
      <c r="J30" s="13">
        <f t="shared" si="7"/>
        <v>9.3009011410427098E-2</v>
      </c>
      <c r="K30" s="49"/>
      <c r="L30" s="49"/>
    </row>
    <row r="31" spans="1:13" ht="28.9">
      <c r="A31" s="26" t="str">
        <v>Q025</v>
      </c>
      <c r="B31" s="27" t="str">
        <v>NY</v>
      </c>
      <c r="C31" s="26" t="str">
        <f>Sites[[#This Row],[SOL'#]]</f>
        <v>SOL-10400</v>
      </c>
      <c r="D31" s="9">
        <v>11030</v>
      </c>
      <c r="E31" s="14">
        <v>11646.7</v>
      </c>
      <c r="F31" s="14">
        <f t="shared" si="5"/>
        <v>-616.70000000000073</v>
      </c>
      <c r="G31" s="15">
        <f t="shared" si="4"/>
        <v>-5.2950621206006909E-2</v>
      </c>
      <c r="H31" s="16">
        <v>7509</v>
      </c>
      <c r="I31" s="16">
        <f t="shared" si="6"/>
        <v>3521</v>
      </c>
      <c r="J31" s="15">
        <f t="shared" si="7"/>
        <v>0.4689039818884006</v>
      </c>
      <c r="K31" s="179" t="s">
        <v>2409</v>
      </c>
      <c r="L31" s="179"/>
    </row>
    <row r="32" spans="1:13" ht="15.6">
      <c r="A32" s="24" t="str">
        <v>Q074</v>
      </c>
      <c r="B32" s="25" t="str">
        <v>NY</v>
      </c>
      <c r="C32" s="25" t="str">
        <f>Sites[[#This Row],[SOL'#]]</f>
        <v>SOL-10402</v>
      </c>
      <c r="D32" s="20">
        <v>0</v>
      </c>
      <c r="E32" s="10">
        <v>0</v>
      </c>
      <c r="F32" s="10">
        <f t="shared" si="5"/>
        <v>0</v>
      </c>
      <c r="G32" s="11" t="str">
        <f t="shared" si="4"/>
        <v/>
      </c>
      <c r="H32" s="12"/>
      <c r="I32" s="12" t="str">
        <f t="shared" si="6"/>
        <v/>
      </c>
      <c r="J32" s="13" t="str">
        <f t="shared" si="7"/>
        <v/>
      </c>
      <c r="K32" s="49" t="s">
        <v>1924</v>
      </c>
      <c r="L32" s="110" t="s">
        <v>2410</v>
      </c>
      <c r="M32" s="104" t="s">
        <v>2116</v>
      </c>
    </row>
    <row r="33" spans="1:15" ht="28.9">
      <c r="A33" s="26" t="str">
        <v>Q115</v>
      </c>
      <c r="B33" s="27" t="str">
        <v>NY</v>
      </c>
      <c r="C33" s="26" t="str">
        <f>Sites[[#This Row],[SOL'#]]</f>
        <v>SOL-10872</v>
      </c>
      <c r="D33" s="9">
        <v>6806.0625</v>
      </c>
      <c r="E33" s="14">
        <v>10653.71</v>
      </c>
      <c r="F33" s="14">
        <f t="shared" si="5"/>
        <v>-3847.6474999999991</v>
      </c>
      <c r="G33" s="15">
        <f t="shared" si="4"/>
        <v>-0.36115564437177278</v>
      </c>
      <c r="H33" s="16">
        <v>8877.85</v>
      </c>
      <c r="I33" s="16">
        <f t="shared" si="6"/>
        <v>-2071.7875000000004</v>
      </c>
      <c r="J33" s="15">
        <f t="shared" si="7"/>
        <v>-0.23336590503331328</v>
      </c>
      <c r="K33" s="179" t="s">
        <v>2411</v>
      </c>
      <c r="L33" s="111" t="s">
        <v>2412</v>
      </c>
      <c r="M33" s="104" t="s">
        <v>2116</v>
      </c>
    </row>
    <row r="34" spans="1:15" ht="28.9">
      <c r="A34" s="24" t="str">
        <v>Q139</v>
      </c>
      <c r="B34" s="25" t="str">
        <v>NY</v>
      </c>
      <c r="C34" s="25" t="str">
        <f>Sites[[#This Row],[SOL'#]]</f>
        <v>SOL-10403</v>
      </c>
      <c r="D34" s="20">
        <v>5406.25</v>
      </c>
      <c r="E34" s="10">
        <v>5897.5860000000002</v>
      </c>
      <c r="F34" s="10">
        <f t="shared" si="5"/>
        <v>-491.33600000000024</v>
      </c>
      <c r="G34" s="11">
        <f t="shared" si="4"/>
        <v>-8.3311375196563509E-2</v>
      </c>
      <c r="H34" s="12">
        <v>5595</v>
      </c>
      <c r="I34" s="12">
        <f t="shared" si="6"/>
        <v>-188.75</v>
      </c>
      <c r="J34" s="13">
        <f t="shared" si="7"/>
        <v>-3.3735478105451293E-2</v>
      </c>
      <c r="K34" s="49" t="s">
        <v>2413</v>
      </c>
      <c r="L34" s="110" t="s">
        <v>2414</v>
      </c>
      <c r="M34" s="109" t="s">
        <v>2116</v>
      </c>
    </row>
    <row r="35" spans="1:15" ht="15.6">
      <c r="A35" s="26" t="str">
        <v>Q157</v>
      </c>
      <c r="B35" s="27" t="str">
        <v>NY</v>
      </c>
      <c r="C35" s="26" t="str">
        <f>Sites[[#This Row],[SOL'#]]</f>
        <v>SOL-10404</v>
      </c>
      <c r="D35" s="9">
        <v>9578.4375</v>
      </c>
      <c r="E35" s="14">
        <v>12694.15</v>
      </c>
      <c r="F35" s="14">
        <f t="shared" si="5"/>
        <v>-3115.7124999999996</v>
      </c>
      <c r="G35" s="15">
        <f t="shared" si="4"/>
        <v>-0.24544475211022398</v>
      </c>
      <c r="H35" s="16">
        <v>9618.4259999999995</v>
      </c>
      <c r="I35" s="16">
        <f t="shared" si="6"/>
        <v>-39.988499999999476</v>
      </c>
      <c r="J35" s="15">
        <f t="shared" si="7"/>
        <v>-4.1574889696089027E-3</v>
      </c>
      <c r="K35" s="179" t="s">
        <v>2415</v>
      </c>
      <c r="L35" s="93"/>
    </row>
    <row r="36" spans="1:15" ht="43.15">
      <c r="A36" s="24" t="str">
        <v>Q192</v>
      </c>
      <c r="B36" s="25" t="str">
        <v>NY</v>
      </c>
      <c r="C36" s="25" t="str">
        <f>Sites[[#This Row],[SOL'#]]</f>
        <v>SOL-10406</v>
      </c>
      <c r="D36" s="20">
        <v>10982.875</v>
      </c>
      <c r="E36" s="10">
        <v>17397.169999999998</v>
      </c>
      <c r="F36" s="10">
        <f t="shared" si="5"/>
        <v>-6414.2949999999983</v>
      </c>
      <c r="G36" s="11">
        <f t="shared" si="4"/>
        <v>-0.36869761001358259</v>
      </c>
      <c r="H36" s="12">
        <v>14869.81</v>
      </c>
      <c r="I36" s="12">
        <f t="shared" si="6"/>
        <v>-3886.9349999999995</v>
      </c>
      <c r="J36" s="13">
        <f t="shared" si="7"/>
        <v>-0.26139775827666928</v>
      </c>
      <c r="K36" s="49" t="s">
        <v>2416</v>
      </c>
      <c r="L36" s="110" t="s">
        <v>2417</v>
      </c>
      <c r="M36" s="109" t="s">
        <v>2418</v>
      </c>
      <c r="N36" s="112" t="s">
        <v>2419</v>
      </c>
      <c r="O36" s="112" t="s">
        <v>2420</v>
      </c>
    </row>
    <row r="37" spans="1:15" ht="15.6">
      <c r="A37" s="26" t="str">
        <v>Q210</v>
      </c>
      <c r="B37" s="27" t="str">
        <v>NY</v>
      </c>
      <c r="C37" s="26" t="str">
        <f>Sites[[#This Row],[SOL'#]]</f>
        <v>SOL-10407</v>
      </c>
      <c r="D37" s="9">
        <v>12714.25</v>
      </c>
      <c r="E37" s="14">
        <v>12657.88</v>
      </c>
      <c r="F37" s="14">
        <f t="shared" si="5"/>
        <v>56.3700000000008</v>
      </c>
      <c r="G37" s="15">
        <f t="shared" si="4"/>
        <v>4.4533523781234144E-3</v>
      </c>
      <c r="H37" s="16">
        <v>12454</v>
      </c>
      <c r="I37" s="16">
        <f t="shared" si="6"/>
        <v>260.25</v>
      </c>
      <c r="J37" s="15">
        <f t="shared" si="7"/>
        <v>2.0896900594186606E-2</v>
      </c>
      <c r="K37" s="179"/>
      <c r="L37" s="93"/>
    </row>
    <row r="38" spans="1:15" ht="28.9">
      <c r="A38" s="24" t="str">
        <v>Q229</v>
      </c>
      <c r="B38" s="25" t="str">
        <v>NY</v>
      </c>
      <c r="C38" s="25" t="str">
        <f>Sites[[#This Row],[SOL'#]]</f>
        <v>SOL-10408</v>
      </c>
      <c r="D38" s="20">
        <v>4777.6875</v>
      </c>
      <c r="E38" s="10">
        <v>6275.1490000000003</v>
      </c>
      <c r="F38" s="10">
        <f t="shared" si="5"/>
        <v>-1497.4615000000003</v>
      </c>
      <c r="G38" s="11">
        <f t="shared" si="4"/>
        <v>-0.23863361650854828</v>
      </c>
      <c r="H38" s="12">
        <v>4177.4380000000001</v>
      </c>
      <c r="I38" s="12">
        <f t="shared" si="6"/>
        <v>600.2494999999999</v>
      </c>
      <c r="J38" s="13">
        <f t="shared" si="7"/>
        <v>0.14368842817056768</v>
      </c>
      <c r="K38" s="49" t="s">
        <v>932</v>
      </c>
      <c r="L38" s="110" t="s">
        <v>2421</v>
      </c>
      <c r="M38" s="104" t="s">
        <v>2116</v>
      </c>
    </row>
    <row r="39" spans="1:15" ht="15.6">
      <c r="A39" s="26" t="str">
        <v>Q231</v>
      </c>
      <c r="B39" s="27" t="str">
        <v>NY</v>
      </c>
      <c r="C39" s="26" t="str">
        <f>Sites[[#This Row],[SOL'#]]</f>
        <v>SOL-10870</v>
      </c>
      <c r="D39" s="9">
        <v>19893</v>
      </c>
      <c r="E39" s="14">
        <v>26623.33</v>
      </c>
      <c r="F39" s="14">
        <f t="shared" si="5"/>
        <v>-6730.3300000000017</v>
      </c>
      <c r="G39" s="15">
        <f t="shared" si="4"/>
        <v>-0.25279820368075673</v>
      </c>
      <c r="H39" s="16">
        <v>20029</v>
      </c>
      <c r="I39" s="16">
        <f t="shared" si="6"/>
        <v>-136</v>
      </c>
      <c r="J39" s="15">
        <f t="shared" si="7"/>
        <v>-6.7901542762993658E-3</v>
      </c>
      <c r="K39" s="179" t="s">
        <v>2422</v>
      </c>
      <c r="L39" s="93"/>
    </row>
    <row r="40" spans="1:15" ht="15.6">
      <c r="A40" s="24" t="str">
        <v>Q405</v>
      </c>
      <c r="B40" s="25" t="str">
        <v>NY</v>
      </c>
      <c r="C40" s="25" t="str">
        <f>Sites[[#This Row],[SOL'#]]</f>
        <v>SOL-10409</v>
      </c>
      <c r="D40" s="20">
        <v>23775.75</v>
      </c>
      <c r="E40" s="10">
        <v>27520.16</v>
      </c>
      <c r="F40" s="10">
        <f t="shared" si="5"/>
        <v>-3744.41</v>
      </c>
      <c r="G40" s="11">
        <f t="shared" si="4"/>
        <v>-0.13606061883361142</v>
      </c>
      <c r="H40" s="12">
        <v>22257.55</v>
      </c>
      <c r="I40" s="12">
        <f t="shared" si="6"/>
        <v>1518.2000000000007</v>
      </c>
      <c r="J40" s="13">
        <f t="shared" si="7"/>
        <v>6.821056225864934E-2</v>
      </c>
      <c r="K40" s="49" t="s">
        <v>2423</v>
      </c>
      <c r="L40" s="110" t="s">
        <v>2424</v>
      </c>
      <c r="M40" s="104" t="s">
        <v>2116</v>
      </c>
    </row>
    <row r="41" spans="1:15" ht="15.6">
      <c r="A41" s="26" t="str">
        <v>Q435</v>
      </c>
      <c r="B41" s="27" t="str">
        <v>NY</v>
      </c>
      <c r="C41" s="26" t="str">
        <f>Sites[[#This Row],[SOL'#]]</f>
        <v>SOL-10923</v>
      </c>
      <c r="D41" s="9">
        <v>30844.5</v>
      </c>
      <c r="E41" s="14">
        <v>22683.27</v>
      </c>
      <c r="F41" s="14">
        <f t="shared" si="5"/>
        <v>8161.23</v>
      </c>
      <c r="G41" s="15">
        <f t="shared" si="4"/>
        <v>0.35979071800494372</v>
      </c>
      <c r="H41" s="16">
        <v>30747</v>
      </c>
      <c r="I41" s="16">
        <f t="shared" si="6"/>
        <v>97.5</v>
      </c>
      <c r="J41" s="15">
        <f t="shared" si="7"/>
        <v>3.1710410771782615E-3</v>
      </c>
      <c r="K41" s="179" t="s">
        <v>2152</v>
      </c>
      <c r="L41" s="179"/>
    </row>
    <row r="42" spans="1:15" ht="28.9">
      <c r="A42" s="24" t="str">
        <v>Q485</v>
      </c>
      <c r="B42" s="25" t="str">
        <v>NY</v>
      </c>
      <c r="C42" s="25" t="str">
        <f>Sites[[#This Row],[SOL'#]]</f>
        <v>SOL-10869</v>
      </c>
      <c r="D42" s="20">
        <v>24169.625</v>
      </c>
      <c r="E42" s="10">
        <v>24389.8</v>
      </c>
      <c r="F42" s="10">
        <f t="shared" si="5"/>
        <v>-220.17499999999927</v>
      </c>
      <c r="G42" s="11">
        <f t="shared" si="4"/>
        <v>-9.0273392975751855E-3</v>
      </c>
      <c r="H42" s="12">
        <v>29073.75</v>
      </c>
      <c r="I42" s="12">
        <f t="shared" si="6"/>
        <v>-4904.125</v>
      </c>
      <c r="J42" s="13">
        <f t="shared" si="7"/>
        <v>-0.16867879100563224</v>
      </c>
      <c r="K42" s="49" t="s">
        <v>2425</v>
      </c>
      <c r="L42" s="110" t="s">
        <v>2426</v>
      </c>
      <c r="M42" s="104" t="s">
        <v>2159</v>
      </c>
    </row>
    <row r="43" spans="1:15" ht="43.15">
      <c r="A43" s="26" t="str">
        <v>Q490</v>
      </c>
      <c r="B43" s="27" t="str">
        <v>NY</v>
      </c>
      <c r="C43" s="26" t="str">
        <f>Sites[[#This Row],[SOL'#]]</f>
        <v>SOL-10411</v>
      </c>
      <c r="D43" s="9">
        <v>18665.25</v>
      </c>
      <c r="E43" s="14">
        <v>0</v>
      </c>
      <c r="F43" s="14">
        <f t="shared" si="5"/>
        <v>18665.25</v>
      </c>
      <c r="G43" s="15" t="str">
        <f t="shared" si="4"/>
        <v/>
      </c>
      <c r="H43" s="16">
        <v>18472.73</v>
      </c>
      <c r="I43" s="16">
        <f t="shared" si="6"/>
        <v>192.52000000000044</v>
      </c>
      <c r="J43" s="15">
        <f t="shared" si="7"/>
        <v>1.0421848855042024E-2</v>
      </c>
      <c r="K43" s="179" t="s">
        <v>1205</v>
      </c>
      <c r="L43" s="111" t="s">
        <v>2427</v>
      </c>
      <c r="M43" s="104" t="s">
        <v>2116</v>
      </c>
      <c r="N43" s="112" t="s">
        <v>2428</v>
      </c>
    </row>
    <row r="44" spans="1:15" ht="28.9">
      <c r="A44" s="24" t="str">
        <v>Q620</v>
      </c>
      <c r="B44" s="25" t="str">
        <v>NY</v>
      </c>
      <c r="C44" s="25" t="str">
        <f>Sites[[#This Row],[SOL'#]]</f>
        <v>SOL-10867</v>
      </c>
      <c r="D44" s="20">
        <v>28964.5</v>
      </c>
      <c r="E44" s="10">
        <v>30478.66</v>
      </c>
      <c r="F44" s="10">
        <f t="shared" si="5"/>
        <v>-1514.1599999999999</v>
      </c>
      <c r="G44" s="11">
        <f t="shared" si="4"/>
        <v>-4.9679349420217289E-2</v>
      </c>
      <c r="H44" s="12">
        <v>32340.400000000001</v>
      </c>
      <c r="I44" s="12">
        <f t="shared" si="6"/>
        <v>-3375.9000000000015</v>
      </c>
      <c r="J44" s="13">
        <f t="shared" si="7"/>
        <v>-0.10438646398931371</v>
      </c>
      <c r="K44" s="49" t="s">
        <v>2429</v>
      </c>
      <c r="L44" s="110" t="s">
        <v>2430</v>
      </c>
      <c r="M44" s="104" t="s">
        <v>2138</v>
      </c>
    </row>
    <row r="45" spans="1:15" ht="15.6">
      <c r="A45" s="26" t="str">
        <v>QMOA</v>
      </c>
      <c r="B45" s="27" t="str">
        <v>NY</v>
      </c>
      <c r="C45" s="26" t="str">
        <f>Sites[[#This Row],[SOL'#]]</f>
        <v>SOL-10415</v>
      </c>
      <c r="D45" s="9">
        <v>2746.6000000000099</v>
      </c>
      <c r="E45" s="14">
        <v>0</v>
      </c>
      <c r="F45" s="14">
        <f t="shared" si="5"/>
        <v>2746.6000000000099</v>
      </c>
      <c r="G45" s="15" t="str">
        <f t="shared" si="4"/>
        <v/>
      </c>
      <c r="H45" s="16">
        <v>3040.201</v>
      </c>
      <c r="I45" s="16">
        <f t="shared" si="6"/>
        <v>-293.60099999999011</v>
      </c>
      <c r="J45" s="15">
        <f t="shared" si="7"/>
        <v>-9.6572891068712266E-2</v>
      </c>
      <c r="K45" s="179"/>
      <c r="L45" s="93"/>
    </row>
    <row r="46" spans="1:15" ht="15.6">
      <c r="A46" s="24" t="str">
        <v>X024</v>
      </c>
      <c r="B46" s="25" t="str">
        <v>NY</v>
      </c>
      <c r="C46" s="25" t="str">
        <f>Sites[[#This Row],[SOL'#]]</f>
        <v>SOL-10419</v>
      </c>
      <c r="D46" s="20">
        <v>10428.59375</v>
      </c>
      <c r="E46" s="10">
        <v>12244.82</v>
      </c>
      <c r="F46" s="10">
        <f t="shared" si="5"/>
        <v>-1816.2262499999997</v>
      </c>
      <c r="G46" s="11">
        <f t="shared" si="4"/>
        <v>-0.14832608809276085</v>
      </c>
      <c r="H46" s="12">
        <v>9503</v>
      </c>
      <c r="I46" s="12">
        <f t="shared" si="6"/>
        <v>925.59375</v>
      </c>
      <c r="J46" s="13">
        <f t="shared" si="7"/>
        <v>9.7400163106387452E-2</v>
      </c>
      <c r="K46" s="49" t="s">
        <v>2431</v>
      </c>
      <c r="L46" s="49"/>
    </row>
    <row r="47" spans="1:15" ht="28.9">
      <c r="A47" s="26" t="str">
        <v>X026</v>
      </c>
      <c r="B47" s="27" t="str">
        <v>NY</v>
      </c>
      <c r="C47" s="26" t="str">
        <f>Sites[[#This Row],[SOL'#]]</f>
        <v>SOL-10420</v>
      </c>
      <c r="D47" s="9">
        <v>8707.6</v>
      </c>
      <c r="E47" s="14">
        <v>10105.83</v>
      </c>
      <c r="F47" s="14">
        <f t="shared" si="5"/>
        <v>-1398.2299999999996</v>
      </c>
      <c r="G47" s="15">
        <f t="shared" si="4"/>
        <v>-0.13835874935556997</v>
      </c>
      <c r="H47" s="16">
        <v>12253.37</v>
      </c>
      <c r="I47" s="16">
        <f t="shared" si="6"/>
        <v>-3545.7700000000004</v>
      </c>
      <c r="J47" s="15">
        <f t="shared" si="7"/>
        <v>-0.28937100569067942</v>
      </c>
      <c r="K47" s="179" t="s">
        <v>1690</v>
      </c>
      <c r="L47" s="111" t="s">
        <v>2432</v>
      </c>
      <c r="M47" s="104" t="s">
        <v>2138</v>
      </c>
    </row>
    <row r="48" spans="1:15" ht="63.75" customHeight="1">
      <c r="A48" s="24" t="str">
        <v>X090</v>
      </c>
      <c r="B48" s="25" t="str">
        <v>NY</v>
      </c>
      <c r="C48" s="25" t="str">
        <f>Sites[[#This Row],[SOL'#]]</f>
        <v>SOL-10925</v>
      </c>
      <c r="D48" s="20">
        <v>5888.96875</v>
      </c>
      <c r="E48" s="10">
        <v>6658.3770000000004</v>
      </c>
      <c r="F48" s="10">
        <f t="shared" si="5"/>
        <v>-769.40825000000041</v>
      </c>
      <c r="G48" s="11">
        <f t="shared" si="4"/>
        <v>-0.11555492427058431</v>
      </c>
      <c r="H48" s="12">
        <v>8527</v>
      </c>
      <c r="I48" s="12">
        <f t="shared" si="6"/>
        <v>-2638.03125</v>
      </c>
      <c r="J48" s="13">
        <f t="shared" si="7"/>
        <v>-0.30937390055119035</v>
      </c>
      <c r="K48" s="49" t="s">
        <v>2433</v>
      </c>
      <c r="L48" s="110" t="s">
        <v>2158</v>
      </c>
      <c r="M48" s="104" t="s">
        <v>2128</v>
      </c>
    </row>
    <row r="49" spans="1:15" ht="15.6">
      <c r="A49" s="26" t="str">
        <v>X117</v>
      </c>
      <c r="B49" s="27" t="str">
        <v>NY</v>
      </c>
      <c r="C49" s="26" t="str">
        <f>Sites[[#This Row],[SOL'#]]</f>
        <v>SOL-10422</v>
      </c>
      <c r="D49" s="9">
        <v>6321.6</v>
      </c>
      <c r="E49" s="14">
        <v>8474.1380000000008</v>
      </c>
      <c r="F49" s="14">
        <f t="shared" si="5"/>
        <v>-2152.5380000000005</v>
      </c>
      <c r="G49" s="15">
        <f t="shared" ref="G49:G80" si="8">IFERROR(F49/E49, "")</f>
        <v>-0.25401262051668266</v>
      </c>
      <c r="H49" s="16">
        <v>7106.625</v>
      </c>
      <c r="I49" s="16">
        <f t="shared" si="6"/>
        <v>-785.02499999999964</v>
      </c>
      <c r="J49" s="15">
        <f t="shared" si="7"/>
        <v>-0.11046382776634474</v>
      </c>
      <c r="K49" s="179" t="s">
        <v>2434</v>
      </c>
      <c r="L49" s="92"/>
    </row>
    <row r="50" spans="1:15" ht="15.6">
      <c r="A50" s="24" t="str">
        <v>X125</v>
      </c>
      <c r="B50" s="25" t="str">
        <v>NY</v>
      </c>
      <c r="C50" s="25" t="str">
        <f>Sites[[#This Row],[SOL'#]]</f>
        <v>SOL-10423</v>
      </c>
      <c r="D50" s="20">
        <v>13119.9375</v>
      </c>
      <c r="E50" s="10">
        <v>15051.95</v>
      </c>
      <c r="F50" s="10">
        <f t="shared" ref="F50:F81" si="9">IF(AND(ISNUMBER(D50),ISNUMBER(E50)), D50-E50, "")</f>
        <v>-1932.0125000000007</v>
      </c>
      <c r="G50" s="11">
        <f t="shared" si="8"/>
        <v>-0.1283562927062607</v>
      </c>
      <c r="H50" s="12">
        <v>14143.7</v>
      </c>
      <c r="I50" s="12">
        <f t="shared" ref="I50:I81" si="10">IF(AND(ISNUMBER(D50),ISNUMBER(H50)), D50-H50, "")</f>
        <v>-1023.7625000000007</v>
      </c>
      <c r="J50" s="13">
        <f t="shared" ref="J50:J81" si="11">IFERROR(I50/H50, "")</f>
        <v>-7.2382933744352659E-2</v>
      </c>
      <c r="K50" s="49" t="s">
        <v>2435</v>
      </c>
      <c r="L50" s="49"/>
    </row>
    <row r="51" spans="1:15" ht="75.75" customHeight="1">
      <c r="A51" s="26" t="str">
        <v>X134</v>
      </c>
      <c r="B51" s="27" t="str">
        <v>NY</v>
      </c>
      <c r="C51" s="26" t="str">
        <f>Sites[[#This Row],[SOL'#]]</f>
        <v>SOL-10424</v>
      </c>
      <c r="D51" s="9">
        <v>11442.1875</v>
      </c>
      <c r="E51" s="14">
        <v>14878.43</v>
      </c>
      <c r="F51" s="14">
        <f t="shared" si="9"/>
        <v>-3436.2425000000003</v>
      </c>
      <c r="G51" s="15">
        <f t="shared" si="8"/>
        <v>-0.23095464373593183</v>
      </c>
      <c r="H51" s="16">
        <v>12502</v>
      </c>
      <c r="I51" s="16">
        <f t="shared" si="10"/>
        <v>-1059.8125</v>
      </c>
      <c r="J51" s="15">
        <f t="shared" si="11"/>
        <v>-8.4771436570148781E-2</v>
      </c>
      <c r="K51" s="179" t="s">
        <v>1943</v>
      </c>
      <c r="L51" s="111" t="s">
        <v>2436</v>
      </c>
      <c r="M51" s="65" t="s">
        <v>2160</v>
      </c>
      <c r="N51" s="112" t="s">
        <v>1945</v>
      </c>
      <c r="O51" s="112" t="s">
        <v>1946</v>
      </c>
    </row>
    <row r="52" spans="1:15" ht="28.9">
      <c r="A52" s="24" t="str">
        <v>X135</v>
      </c>
      <c r="B52" s="25" t="str">
        <v>NY</v>
      </c>
      <c r="C52" s="25" t="str">
        <f>Sites[[#This Row],[SOL'#]]</f>
        <v>SOL-10425</v>
      </c>
      <c r="D52" s="20">
        <v>10523.0625</v>
      </c>
      <c r="E52" s="10">
        <v>13728.07</v>
      </c>
      <c r="F52" s="10">
        <f t="shared" si="9"/>
        <v>-3205.0074999999997</v>
      </c>
      <c r="G52" s="11">
        <f t="shared" si="8"/>
        <v>-0.23346380809538411</v>
      </c>
      <c r="H52" s="12">
        <v>11620</v>
      </c>
      <c r="I52" s="12">
        <f t="shared" si="10"/>
        <v>-1096.9375</v>
      </c>
      <c r="J52" s="13">
        <f t="shared" si="11"/>
        <v>-9.4400817555938044E-2</v>
      </c>
      <c r="K52" s="49" t="s">
        <v>1947</v>
      </c>
      <c r="L52" s="49"/>
    </row>
    <row r="53" spans="1:15" ht="15.6">
      <c r="A53" s="26" t="str">
        <v>X139 JHS 222</v>
      </c>
      <c r="B53" s="27" t="str">
        <v>NY</v>
      </c>
      <c r="C53" s="26" t="str">
        <f>Sites[[#This Row],[SOL'#]]</f>
        <v>SOL-10426</v>
      </c>
      <c r="D53" s="9">
        <v>15036.706620000001</v>
      </c>
      <c r="E53" s="14">
        <v>15046.13</v>
      </c>
      <c r="F53" s="14">
        <f t="shared" si="9"/>
        <v>-9.4233799999983603</v>
      </c>
      <c r="G53" s="15">
        <f t="shared" si="8"/>
        <v>-6.2629925435964996E-4</v>
      </c>
      <c r="H53" s="16">
        <v>15018</v>
      </c>
      <c r="I53" s="16">
        <f t="shared" si="10"/>
        <v>18.706620000000839</v>
      </c>
      <c r="J53" s="15">
        <f t="shared" si="11"/>
        <v>1.2456132640831562E-3</v>
      </c>
      <c r="K53" s="179"/>
      <c r="L53" s="179"/>
    </row>
    <row r="54" spans="1:15" ht="15.6">
      <c r="A54" s="24" t="str">
        <v>X140</v>
      </c>
      <c r="B54" s="25" t="str">
        <v>NY</v>
      </c>
      <c r="C54" s="25" t="str">
        <f>Sites[[#This Row],[SOL'#]]</f>
        <v>SOL-10926</v>
      </c>
      <c r="D54" s="20">
        <v>9349.5762130801995</v>
      </c>
      <c r="E54" s="10">
        <v>7738.4549999999999</v>
      </c>
      <c r="F54" s="10">
        <f t="shared" si="9"/>
        <v>1611.1212130801996</v>
      </c>
      <c r="G54" s="11">
        <f t="shared" si="8"/>
        <v>0.20819675414281011</v>
      </c>
      <c r="H54" s="12">
        <v>9515</v>
      </c>
      <c r="I54" s="12">
        <f t="shared" si="10"/>
        <v>-165.42378691980048</v>
      </c>
      <c r="J54" s="13">
        <f t="shared" si="11"/>
        <v>-1.7385579287419912E-2</v>
      </c>
      <c r="K54" s="49"/>
      <c r="L54" s="49"/>
    </row>
    <row r="55" spans="1:15" ht="15.6">
      <c r="A55" s="26" t="str">
        <v>X166</v>
      </c>
      <c r="B55" s="27" t="str">
        <v>NY</v>
      </c>
      <c r="C55" s="26" t="str">
        <f>Sites[[#This Row],[SOL'#]]</f>
        <v>SOL-10427</v>
      </c>
      <c r="D55" s="9">
        <v>8907.5</v>
      </c>
      <c r="E55" s="14">
        <v>11172.59</v>
      </c>
      <c r="F55" s="14">
        <f t="shared" si="9"/>
        <v>-2265.09</v>
      </c>
      <c r="G55" s="15">
        <f t="shared" si="8"/>
        <v>-0.2027363395595829</v>
      </c>
      <c r="H55" s="16">
        <v>9160</v>
      </c>
      <c r="I55" s="16">
        <f t="shared" si="10"/>
        <v>-252.5</v>
      </c>
      <c r="J55" s="15">
        <f t="shared" si="11"/>
        <v>-2.7565502183406112E-2</v>
      </c>
      <c r="K55" s="179" t="s">
        <v>2117</v>
      </c>
      <c r="L55" s="92"/>
    </row>
    <row r="56" spans="1:15" ht="28.9">
      <c r="A56" s="24" t="str">
        <v>Murphy</v>
      </c>
      <c r="B56" s="25" t="str">
        <v>MN</v>
      </c>
      <c r="C56" s="25" t="str">
        <f>Sites[[#This Row],[SOL'#]]</f>
        <v>SOL-10094</v>
      </c>
      <c r="D56" s="20">
        <v>400900</v>
      </c>
      <c r="E56" s="10">
        <v>526376.4</v>
      </c>
      <c r="F56" s="10">
        <f t="shared" si="9"/>
        <v>-125476.40000000002</v>
      </c>
      <c r="G56" s="11">
        <f t="shared" si="8"/>
        <v>-0.23837770842309802</v>
      </c>
      <c r="H56" s="12">
        <v>491188.9</v>
      </c>
      <c r="I56" s="12">
        <f t="shared" si="10"/>
        <v>-90288.900000000023</v>
      </c>
      <c r="J56" s="13">
        <f t="shared" si="11"/>
        <v>-0.18381706101257586</v>
      </c>
      <c r="K56" s="49" t="s">
        <v>2162</v>
      </c>
      <c r="L56" s="110" t="s">
        <v>2163</v>
      </c>
      <c r="M56" s="104" t="s">
        <v>2135</v>
      </c>
    </row>
    <row r="57" spans="1:15" ht="41.45">
      <c r="A57" s="26" t="str">
        <v>Terning</v>
      </c>
      <c r="B57" s="27" t="str">
        <v>MN</v>
      </c>
      <c r="C57" s="26" t="str">
        <f>Sites[[#This Row],[SOL'#]]</f>
        <v>SOL-10093</v>
      </c>
      <c r="D57" s="9">
        <v>423557.48258706398</v>
      </c>
      <c r="E57" s="14">
        <v>495028.5</v>
      </c>
      <c r="F57" s="14">
        <f t="shared" si="9"/>
        <v>-71471.017412936024</v>
      </c>
      <c r="G57" s="15">
        <f t="shared" si="8"/>
        <v>-0.14437758111489749</v>
      </c>
      <c r="H57" s="16">
        <v>455541.5</v>
      </c>
      <c r="I57" s="16">
        <f t="shared" si="10"/>
        <v>-31984.017412936024</v>
      </c>
      <c r="J57" s="15">
        <f t="shared" si="11"/>
        <v>-7.0210984977078977E-2</v>
      </c>
      <c r="K57" s="177" t="s">
        <v>2437</v>
      </c>
      <c r="L57" s="111" t="s">
        <v>2438</v>
      </c>
      <c r="M57" s="104" t="s">
        <v>2135</v>
      </c>
    </row>
    <row r="58" spans="1:15" ht="28.9">
      <c r="A58" s="24" t="str">
        <v>Boas Road 04</v>
      </c>
      <c r="B58" s="25" t="str">
        <v>NY</v>
      </c>
      <c r="C58" s="25" t="str">
        <f>Sites[[#This Row],[SOL'#]]</f>
        <v>SOL-10908</v>
      </c>
      <c r="D58" s="20">
        <v>39623</v>
      </c>
      <c r="E58" s="10">
        <v>39623</v>
      </c>
      <c r="F58" s="10">
        <f t="shared" si="9"/>
        <v>0</v>
      </c>
      <c r="G58" s="11">
        <f t="shared" si="8"/>
        <v>0</v>
      </c>
      <c r="H58" s="12">
        <v>142386.318</v>
      </c>
      <c r="I58" s="12">
        <f t="shared" si="10"/>
        <v>-102763.318</v>
      </c>
      <c r="J58" s="13">
        <f t="shared" si="11"/>
        <v>-0.7217218581352739</v>
      </c>
      <c r="K58" s="109" t="s">
        <v>2439</v>
      </c>
      <c r="L58" s="110" t="s">
        <v>2440</v>
      </c>
      <c r="M58" s="104" t="s">
        <v>2128</v>
      </c>
    </row>
    <row r="59" spans="1:15" ht="43.15">
      <c r="A59" s="26" t="str">
        <v>Kelly Bridge Farm</v>
      </c>
      <c r="B59" s="27" t="str">
        <v>NY</v>
      </c>
      <c r="C59" s="26" t="str">
        <f>Sites[[#This Row],[SOL'#]]</f>
        <v>SOL-10911</v>
      </c>
      <c r="D59" s="9">
        <v>132198</v>
      </c>
      <c r="E59" s="14" t="s">
        <v>661</v>
      </c>
      <c r="F59" s="14" t="str">
        <f t="shared" si="9"/>
        <v/>
      </c>
      <c r="G59" s="15" t="str">
        <f t="shared" si="8"/>
        <v/>
      </c>
      <c r="H59" s="16">
        <v>174569.527</v>
      </c>
      <c r="I59" s="16">
        <f t="shared" si="10"/>
        <v>-42371.527000000002</v>
      </c>
      <c r="J59" s="15">
        <f t="shared" si="11"/>
        <v>-0.24272006534107182</v>
      </c>
      <c r="K59" s="179" t="s">
        <v>2441</v>
      </c>
      <c r="L59" s="111" t="s">
        <v>2442</v>
      </c>
      <c r="M59" s="104" t="s">
        <v>2128</v>
      </c>
      <c r="N59" s="112" t="s">
        <v>2443</v>
      </c>
    </row>
    <row r="60" spans="1:15" ht="28.9">
      <c r="A60" s="24" t="str">
        <v>Pool Brook Road</v>
      </c>
      <c r="B60" s="25" t="str">
        <v>NY</v>
      </c>
      <c r="C60" s="25" t="str">
        <f>Sites[[#This Row],[SOL'#]]</f>
        <v>SOL-10909</v>
      </c>
      <c r="D60" s="20">
        <v>105643</v>
      </c>
      <c r="E60" s="10">
        <v>105644</v>
      </c>
      <c r="F60" s="10">
        <f t="shared" si="9"/>
        <v>-1</v>
      </c>
      <c r="G60" s="11">
        <f t="shared" si="8"/>
        <v>-9.4657529059861427E-6</v>
      </c>
      <c r="H60" s="12">
        <v>163526.55900000001</v>
      </c>
      <c r="I60" s="12">
        <f t="shared" si="10"/>
        <v>-57883.559000000008</v>
      </c>
      <c r="J60" s="13">
        <f t="shared" si="11"/>
        <v>-0.3539703847128588</v>
      </c>
      <c r="K60" s="49" t="s">
        <v>2444</v>
      </c>
      <c r="L60" s="49"/>
    </row>
    <row r="61" spans="1:15" ht="21.4" customHeight="1">
      <c r="A61" s="26" t="str">
        <v>Sackett Lake</v>
      </c>
      <c r="B61" s="27" t="str">
        <v>NY</v>
      </c>
      <c r="C61" s="26" t="str">
        <f>Sites[[#This Row],[SOL'#]]</f>
        <v>SOL-10910</v>
      </c>
      <c r="D61" s="9">
        <v>157875</v>
      </c>
      <c r="E61" s="14">
        <v>0</v>
      </c>
      <c r="F61" s="14">
        <f t="shared" si="9"/>
        <v>157875</v>
      </c>
      <c r="G61" s="15" t="str">
        <f t="shared" si="8"/>
        <v/>
      </c>
      <c r="H61" s="16">
        <v>188154.052</v>
      </c>
      <c r="I61" s="16">
        <f t="shared" si="10"/>
        <v>-30279.051999999996</v>
      </c>
      <c r="J61" s="15">
        <f t="shared" si="11"/>
        <v>-0.16092691960734387</v>
      </c>
      <c r="K61" s="179" t="s">
        <v>2445</v>
      </c>
      <c r="L61" s="111" t="s">
        <v>2446</v>
      </c>
      <c r="M61" s="104" t="s">
        <v>2447</v>
      </c>
    </row>
    <row r="62" spans="1:15" ht="28.9">
      <c r="A62" s="24" t="str">
        <v>Burritt Road</v>
      </c>
      <c r="B62" s="25" t="str">
        <v>NY</v>
      </c>
      <c r="C62" s="25" t="str">
        <f>Sites[[#This Row],[SOL'#]]</f>
        <v>SOL-10913</v>
      </c>
      <c r="D62" s="20">
        <v>116460</v>
      </c>
      <c r="E62" s="10">
        <v>0</v>
      </c>
      <c r="F62" s="10">
        <f t="shared" si="9"/>
        <v>116460</v>
      </c>
      <c r="G62" s="11" t="str">
        <f t="shared" si="8"/>
        <v/>
      </c>
      <c r="H62" s="12">
        <v>142556.073</v>
      </c>
      <c r="I62" s="12">
        <f t="shared" si="10"/>
        <v>-26096.073000000004</v>
      </c>
      <c r="J62" s="13">
        <f t="shared" si="11"/>
        <v>-0.18305830436280329</v>
      </c>
      <c r="K62" s="49" t="s">
        <v>2448</v>
      </c>
      <c r="L62" s="49"/>
    </row>
    <row r="63" spans="1:15" ht="15.6">
      <c r="A63" s="26" t="str">
        <v>Villa Roma 1</v>
      </c>
      <c r="B63" s="27" t="str">
        <v>NY</v>
      </c>
      <c r="C63" s="26" t="str">
        <f>Sites[[#This Row],[SOL'#]]</f>
        <v>SOL-10914</v>
      </c>
      <c r="D63" s="9">
        <v>125785</v>
      </c>
      <c r="E63" s="14">
        <v>0</v>
      </c>
      <c r="F63" s="14">
        <f t="shared" si="9"/>
        <v>125785</v>
      </c>
      <c r="G63" s="15" t="str">
        <f t="shared" si="8"/>
        <v/>
      </c>
      <c r="H63" s="16">
        <v>128062.96799999999</v>
      </c>
      <c r="I63" s="16">
        <f t="shared" si="10"/>
        <v>-2277.9679999999935</v>
      </c>
      <c r="J63" s="15">
        <f t="shared" si="11"/>
        <v>-1.7787874477499174E-2</v>
      </c>
      <c r="K63" s="179"/>
      <c r="L63" s="92"/>
    </row>
    <row r="64" spans="1:15" ht="15.6">
      <c r="A64" s="24" t="str">
        <v>Villa Roma 2</v>
      </c>
      <c r="B64" s="25" t="str">
        <v>NY</v>
      </c>
      <c r="C64" s="25" t="str">
        <f>Sites[[#This Row],[SOL'#]]</f>
        <v>SOL-10915</v>
      </c>
      <c r="D64" s="20">
        <v>118014</v>
      </c>
      <c r="E64" s="10" t="s">
        <v>661</v>
      </c>
      <c r="F64" s="10" t="str">
        <f t="shared" si="9"/>
        <v/>
      </c>
      <c r="G64" s="11" t="str">
        <f t="shared" si="8"/>
        <v/>
      </c>
      <c r="H64" s="12">
        <v>124122.569</v>
      </c>
      <c r="I64" s="12">
        <f t="shared" si="10"/>
        <v>-6108.5690000000031</v>
      </c>
      <c r="J64" s="13">
        <f t="shared" si="11"/>
        <v>-4.9214007164160474E-2</v>
      </c>
      <c r="K64" s="49"/>
      <c r="L64" s="49"/>
    </row>
    <row r="65" spans="1:15" ht="15.6">
      <c r="A65" s="26" t="str">
        <v>Washington 1</v>
      </c>
      <c r="B65" s="27" t="str">
        <v>NY</v>
      </c>
      <c r="C65" s="26" t="str">
        <f>Sites[[#This Row],[SOL'#]]</f>
        <v>SOL-10912</v>
      </c>
      <c r="D65" s="9">
        <v>117260</v>
      </c>
      <c r="E65" s="14" t="s">
        <v>661</v>
      </c>
      <c r="F65" s="14" t="str">
        <f t="shared" si="9"/>
        <v/>
      </c>
      <c r="G65" s="15" t="str">
        <f t="shared" si="8"/>
        <v/>
      </c>
      <c r="H65" s="16">
        <v>137913.965</v>
      </c>
      <c r="I65" s="16">
        <f t="shared" si="10"/>
        <v>-20653.964999999997</v>
      </c>
      <c r="J65" s="15">
        <f t="shared" si="11"/>
        <v>-0.14975977958432271</v>
      </c>
      <c r="K65" s="179" t="s">
        <v>2449</v>
      </c>
      <c r="L65" s="179"/>
    </row>
    <row r="66" spans="1:15" ht="100.9">
      <c r="A66" s="24" t="str">
        <v>Washington 3</v>
      </c>
      <c r="B66" s="25" t="str">
        <v>NY</v>
      </c>
      <c r="C66" s="25" t="str">
        <f>Sites[[#This Row],[SOL'#]]</f>
        <v>SOL-10828</v>
      </c>
      <c r="D66" s="20">
        <v>0</v>
      </c>
      <c r="E66" s="10" t="s">
        <v>661</v>
      </c>
      <c r="F66" s="10" t="str">
        <f t="shared" si="9"/>
        <v/>
      </c>
      <c r="G66" s="11" t="str">
        <f t="shared" si="8"/>
        <v/>
      </c>
      <c r="H66" s="12">
        <v>168483.58100000001</v>
      </c>
      <c r="I66" s="12">
        <f t="shared" si="10"/>
        <v>-168483.58100000001</v>
      </c>
      <c r="J66" s="13">
        <f t="shared" si="11"/>
        <v>-1</v>
      </c>
      <c r="K66" s="49" t="s">
        <v>2180</v>
      </c>
      <c r="L66" s="110" t="s">
        <v>2181</v>
      </c>
      <c r="M66" s="65" t="s">
        <v>2174</v>
      </c>
      <c r="N66" s="112" t="s">
        <v>719</v>
      </c>
    </row>
    <row r="67" spans="1:15" ht="81" customHeight="1">
      <c r="A67" s="26" t="str">
        <v>Washington 4</v>
      </c>
      <c r="B67" s="27" t="str">
        <v>NY</v>
      </c>
      <c r="C67" s="26" t="str">
        <f>Sites[[#This Row],[SOL'#]]</f>
        <v>SOL-10829</v>
      </c>
      <c r="D67" s="9">
        <v>141649</v>
      </c>
      <c r="E67" s="14" t="s">
        <v>661</v>
      </c>
      <c r="F67" s="14" t="str">
        <f t="shared" si="9"/>
        <v/>
      </c>
      <c r="G67" s="15" t="str">
        <f t="shared" si="8"/>
        <v/>
      </c>
      <c r="H67" s="16">
        <v>168883.53099999999</v>
      </c>
      <c r="I67" s="16">
        <f t="shared" si="10"/>
        <v>-27234.530999999988</v>
      </c>
      <c r="J67" s="15">
        <f t="shared" si="11"/>
        <v>-0.1612622073848041</v>
      </c>
      <c r="K67" s="179" t="s">
        <v>2450</v>
      </c>
      <c r="L67" s="111" t="s">
        <v>2451</v>
      </c>
      <c r="M67" s="65" t="s">
        <v>2197</v>
      </c>
      <c r="N67" s="112" t="s">
        <v>2452</v>
      </c>
      <c r="O67" s="112" t="s">
        <v>2452</v>
      </c>
    </row>
    <row r="68" spans="1:15" ht="28.9">
      <c r="A68" s="24" t="str">
        <v>Big Tree</v>
      </c>
      <c r="B68" s="25" t="str">
        <v>NY</v>
      </c>
      <c r="C68" s="25" t="str">
        <f>Sites[[#This Row],[SOL'#]]</f>
        <v>SOL-10966</v>
      </c>
      <c r="D68" s="20">
        <v>121800</v>
      </c>
      <c r="E68" s="10">
        <v>120500</v>
      </c>
      <c r="F68" s="10">
        <f t="shared" si="9"/>
        <v>1300</v>
      </c>
      <c r="G68" s="11">
        <f t="shared" si="8"/>
        <v>1.0788381742738589E-2</v>
      </c>
      <c r="H68" s="12">
        <v>133656.75</v>
      </c>
      <c r="I68" s="12">
        <f t="shared" si="10"/>
        <v>-11856.75</v>
      </c>
      <c r="J68" s="13">
        <f t="shared" si="11"/>
        <v>-8.8710446722668326E-2</v>
      </c>
      <c r="K68" s="49" t="s">
        <v>2453</v>
      </c>
      <c r="L68" s="110" t="s">
        <v>2454</v>
      </c>
      <c r="M68" s="104" t="s">
        <v>2128</v>
      </c>
    </row>
    <row r="69" spans="1:15" ht="15.6">
      <c r="A69" s="26" t="str">
        <v>Canoga</v>
      </c>
      <c r="B69" s="27" t="str">
        <v>NY</v>
      </c>
      <c r="C69" s="26" t="str">
        <f>Sites[[#This Row],[SOL'#]]</f>
        <v>SOL-10965</v>
      </c>
      <c r="D69" s="9">
        <v>218690</v>
      </c>
      <c r="E69" s="14" t="s">
        <v>661</v>
      </c>
      <c r="F69" s="14" t="str">
        <f t="shared" si="9"/>
        <v/>
      </c>
      <c r="G69" s="15" t="str">
        <f t="shared" si="8"/>
        <v/>
      </c>
      <c r="H69" s="16">
        <v>368801.4</v>
      </c>
      <c r="I69" s="16">
        <f t="shared" si="10"/>
        <v>-150111.40000000002</v>
      </c>
      <c r="J69" s="15">
        <f t="shared" si="11"/>
        <v>-0.40702502756225983</v>
      </c>
      <c r="K69" s="179" t="s">
        <v>2455</v>
      </c>
      <c r="L69" s="111" t="s">
        <v>2456</v>
      </c>
      <c r="M69" s="104" t="s">
        <v>2116</v>
      </c>
    </row>
    <row r="70" spans="1:15" ht="82.5" customHeight="1">
      <c r="A70" s="24" t="str">
        <v>County Route 84</v>
      </c>
      <c r="B70" s="25" t="str">
        <v>NY</v>
      </c>
      <c r="C70" s="25" t="str">
        <f>Sites[[#This Row],[SOL'#]]</f>
        <v>SOL-10967</v>
      </c>
      <c r="D70" s="20">
        <v>333660</v>
      </c>
      <c r="E70" s="10">
        <v>330830</v>
      </c>
      <c r="F70" s="10">
        <f t="shared" si="9"/>
        <v>2830</v>
      </c>
      <c r="G70" s="11">
        <f t="shared" si="8"/>
        <v>8.5542423601245345E-3</v>
      </c>
      <c r="H70" s="12">
        <v>441192.04200000002</v>
      </c>
      <c r="I70" s="12">
        <f t="shared" si="10"/>
        <v>-107532.04200000002</v>
      </c>
      <c r="J70" s="13">
        <f t="shared" si="11"/>
        <v>-0.24373069267645586</v>
      </c>
      <c r="K70" s="49" t="s">
        <v>2457</v>
      </c>
      <c r="L70" s="117" t="s">
        <v>2458</v>
      </c>
      <c r="M70" s="65" t="s">
        <v>2193</v>
      </c>
      <c r="N70" s="112" t="s">
        <v>2459</v>
      </c>
    </row>
    <row r="71" spans="1:15" ht="57.6">
      <c r="A71" s="26" t="str">
        <v>Donati</v>
      </c>
      <c r="B71" s="27" t="str">
        <v>NY</v>
      </c>
      <c r="C71" s="26" t="str">
        <f>Sites[[#This Row],[SOL'#]]</f>
        <v>SOL-10968</v>
      </c>
      <c r="D71" s="9">
        <v>121660</v>
      </c>
      <c r="E71" s="14">
        <v>115500</v>
      </c>
      <c r="F71" s="14">
        <f t="shared" si="9"/>
        <v>6160</v>
      </c>
      <c r="G71" s="15">
        <f t="shared" si="8"/>
        <v>5.3333333333333337E-2</v>
      </c>
      <c r="H71" s="16">
        <v>143677.777</v>
      </c>
      <c r="I71" s="16">
        <f t="shared" si="10"/>
        <v>-22017.777000000002</v>
      </c>
      <c r="J71" s="15">
        <f t="shared" si="11"/>
        <v>-0.15324413740059467</v>
      </c>
      <c r="K71" s="179" t="s">
        <v>2460</v>
      </c>
      <c r="L71" s="111" t="s">
        <v>2461</v>
      </c>
      <c r="M71" s="104" t="s">
        <v>2116</v>
      </c>
    </row>
    <row r="72" spans="1:15" ht="15.6">
      <c r="A72" s="24" t="str">
        <v>Henrietta</v>
      </c>
      <c r="B72" s="25" t="str">
        <v>NY</v>
      </c>
      <c r="C72" s="25" t="str">
        <f>Sites[[#This Row],[SOL'#]]</f>
        <v>SOL-10972</v>
      </c>
      <c r="D72" s="20">
        <v>228280</v>
      </c>
      <c r="E72" s="10">
        <v>223860</v>
      </c>
      <c r="F72" s="10">
        <f t="shared" si="9"/>
        <v>4420</v>
      </c>
      <c r="G72" s="11">
        <f t="shared" si="8"/>
        <v>1.9744483159117306E-2</v>
      </c>
      <c r="H72" s="12">
        <v>274835.89</v>
      </c>
      <c r="I72" s="12">
        <f t="shared" si="10"/>
        <v>-46555.890000000014</v>
      </c>
      <c r="J72" s="13">
        <f t="shared" si="11"/>
        <v>-0.16939523437059117</v>
      </c>
      <c r="K72" s="49" t="s">
        <v>2462</v>
      </c>
      <c r="L72" s="110" t="s">
        <v>2463</v>
      </c>
      <c r="M72" s="104" t="s">
        <v>2116</v>
      </c>
      <c r="N72" s="112" t="s">
        <v>2464</v>
      </c>
    </row>
    <row r="73" spans="1:15" ht="86.45">
      <c r="A73" s="26" t="str">
        <v>NY 70</v>
      </c>
      <c r="B73" s="27" t="str">
        <v>NY</v>
      </c>
      <c r="C73" s="26" t="str">
        <f>Sites[[#This Row],[SOL'#]]</f>
        <v>SOL-10970</v>
      </c>
      <c r="D73" s="9">
        <v>200190</v>
      </c>
      <c r="E73" s="14">
        <v>197550</v>
      </c>
      <c r="F73" s="14">
        <f t="shared" si="9"/>
        <v>2640</v>
      </c>
      <c r="G73" s="15">
        <f t="shared" si="8"/>
        <v>1.3363705391040244E-2</v>
      </c>
      <c r="H73" s="16">
        <v>364301.52</v>
      </c>
      <c r="I73" s="16">
        <f t="shared" si="10"/>
        <v>-164111.52000000002</v>
      </c>
      <c r="J73" s="15">
        <f t="shared" si="11"/>
        <v>-0.4504826661167925</v>
      </c>
      <c r="K73" s="179" t="s">
        <v>2465</v>
      </c>
      <c r="L73" s="111" t="s">
        <v>2466</v>
      </c>
      <c r="M73" s="65" t="s">
        <v>2219</v>
      </c>
      <c r="N73" s="112" t="s">
        <v>2467</v>
      </c>
      <c r="O73" s="112" t="s">
        <v>2468</v>
      </c>
    </row>
    <row r="74" spans="1:15" ht="72">
      <c r="A74" s="24" t="str">
        <v>Reid</v>
      </c>
      <c r="B74" s="25" t="str">
        <v>NY</v>
      </c>
      <c r="C74" s="25" t="str">
        <f>Sites[[#This Row],[SOL'#]]</f>
        <v>SOL-10991</v>
      </c>
      <c r="D74" s="20">
        <v>257503.07402062399</v>
      </c>
      <c r="E74" s="10">
        <v>278209</v>
      </c>
      <c r="F74" s="10">
        <f t="shared" si="9"/>
        <v>-20705.925979376014</v>
      </c>
      <c r="G74" s="11">
        <f t="shared" si="8"/>
        <v>-7.4425794921717178E-2</v>
      </c>
      <c r="H74" s="12">
        <v>315841</v>
      </c>
      <c r="I74" s="12">
        <f t="shared" si="10"/>
        <v>-58337.925979376014</v>
      </c>
      <c r="J74" s="13">
        <f t="shared" si="11"/>
        <v>-0.18470662763661466</v>
      </c>
      <c r="K74" s="49" t="s">
        <v>2469</v>
      </c>
      <c r="L74" s="110" t="s">
        <v>2470</v>
      </c>
      <c r="M74" s="65" t="s">
        <v>2471</v>
      </c>
      <c r="N74" s="112" t="s">
        <v>2206</v>
      </c>
      <c r="O74" s="112" t="s">
        <v>2207</v>
      </c>
    </row>
    <row r="75" spans="1:15" ht="86.25" customHeight="1">
      <c r="A75" s="26" t="str">
        <v>Sangolqui</v>
      </c>
      <c r="B75" s="27" t="str">
        <v>NY</v>
      </c>
      <c r="C75" s="26" t="str">
        <f>Sites[[#This Row],[SOL'#]]</f>
        <v>SOL-10975</v>
      </c>
      <c r="D75" s="9">
        <v>123510</v>
      </c>
      <c r="E75" s="14">
        <v>53100</v>
      </c>
      <c r="F75" s="14">
        <f t="shared" si="9"/>
        <v>70410</v>
      </c>
      <c r="G75" s="15">
        <f t="shared" si="8"/>
        <v>1.3259887005649718</v>
      </c>
      <c r="H75" s="16">
        <v>139173.83100000001</v>
      </c>
      <c r="I75" s="16">
        <f t="shared" si="10"/>
        <v>-15663.831000000006</v>
      </c>
      <c r="J75" s="15">
        <f t="shared" si="11"/>
        <v>-0.11254868021848162</v>
      </c>
      <c r="K75" s="179" t="s">
        <v>2472</v>
      </c>
      <c r="L75" s="111" t="s">
        <v>2473</v>
      </c>
      <c r="M75" s="65" t="s">
        <v>2474</v>
      </c>
      <c r="N75" s="112" t="s">
        <v>2475</v>
      </c>
    </row>
    <row r="76" spans="1:15" ht="30.75" customHeight="1">
      <c r="A76" s="24" t="str">
        <v>State Highway 17B</v>
      </c>
      <c r="B76" s="25" t="str">
        <v>NY</v>
      </c>
      <c r="C76" s="25" t="str">
        <f>Sites[[#This Row],[SOL'#]]</f>
        <v>SOL-10988</v>
      </c>
      <c r="D76" s="20">
        <v>362770</v>
      </c>
      <c r="E76" s="10">
        <v>359540</v>
      </c>
      <c r="F76" s="10">
        <f t="shared" si="9"/>
        <v>3230</v>
      </c>
      <c r="G76" s="11">
        <f t="shared" si="8"/>
        <v>8.9837013962285137E-3</v>
      </c>
      <c r="H76" s="12">
        <v>359873.2</v>
      </c>
      <c r="I76" s="12">
        <f t="shared" si="10"/>
        <v>2896.7999999999884</v>
      </c>
      <c r="J76" s="13">
        <f t="shared" si="11"/>
        <v>8.049501880106627E-3</v>
      </c>
      <c r="K76" s="49"/>
      <c r="L76" s="49"/>
    </row>
    <row r="77" spans="1:15" ht="86.45">
      <c r="A77" s="26" t="str">
        <v>State Route 14A</v>
      </c>
      <c r="B77" s="27" t="str">
        <v>NY</v>
      </c>
      <c r="C77" s="26" t="str">
        <f>Sites[[#This Row],[SOL'#]]</f>
        <v>SOL-10997</v>
      </c>
      <c r="D77" s="9">
        <v>0</v>
      </c>
      <c r="E77" s="14">
        <v>0</v>
      </c>
      <c r="F77" s="14">
        <f t="shared" si="9"/>
        <v>0</v>
      </c>
      <c r="G77" s="15" t="str">
        <f t="shared" si="8"/>
        <v/>
      </c>
      <c r="H77" s="16">
        <v>439104.68800000002</v>
      </c>
      <c r="I77" s="16">
        <f t="shared" si="10"/>
        <v>-439104.68800000002</v>
      </c>
      <c r="J77" s="15">
        <f t="shared" si="11"/>
        <v>-1</v>
      </c>
      <c r="K77" s="179" t="s">
        <v>1510</v>
      </c>
      <c r="L77" s="111" t="s">
        <v>2213</v>
      </c>
      <c r="M77" s="104" t="s">
        <v>2116</v>
      </c>
    </row>
    <row r="78" spans="1:15" ht="15.6">
      <c r="A78" s="24" t="str">
        <v>West Creek</v>
      </c>
      <c r="B78" s="25" t="str">
        <v>NY</v>
      </c>
      <c r="C78" s="25" t="str">
        <f>Sites[[#This Row],[SOL'#]]</f>
        <v>SOL-10995</v>
      </c>
      <c r="D78" s="20">
        <v>375260</v>
      </c>
      <c r="E78" s="10">
        <v>371590</v>
      </c>
      <c r="F78" s="10">
        <f t="shared" si="9"/>
        <v>3670</v>
      </c>
      <c r="G78" s="11">
        <f t="shared" si="8"/>
        <v>9.8764767620226589E-3</v>
      </c>
      <c r="H78" s="12">
        <v>413949.43</v>
      </c>
      <c r="I78" s="12">
        <f t="shared" si="10"/>
        <v>-38689.429999999993</v>
      </c>
      <c r="J78" s="13">
        <f t="shared" si="11"/>
        <v>-9.3464146091468206E-2</v>
      </c>
      <c r="K78" s="49"/>
      <c r="L78" s="49"/>
    </row>
    <row r="79" spans="1:15" ht="30.75">
      <c r="A79" s="26" t="str">
        <v>Wildflower</v>
      </c>
      <c r="B79" s="27" t="str">
        <v>NY</v>
      </c>
      <c r="C79" s="26" t="str">
        <f>Sites[[#This Row],[SOL'#]]</f>
        <v>SOL-10982</v>
      </c>
      <c r="D79" s="9">
        <v>225943</v>
      </c>
      <c r="E79" s="14">
        <v>142367</v>
      </c>
      <c r="F79" s="14">
        <f t="shared" si="9"/>
        <v>83576</v>
      </c>
      <c r="G79" s="15">
        <f t="shared" si="8"/>
        <v>0.58704615535903681</v>
      </c>
      <c r="H79" s="16">
        <v>429842.2</v>
      </c>
      <c r="I79" s="16">
        <f t="shared" si="10"/>
        <v>-203899.2</v>
      </c>
      <c r="J79" s="15">
        <f t="shared" si="11"/>
        <v>-0.47435826449799484</v>
      </c>
      <c r="K79" s="179" t="s">
        <v>2476</v>
      </c>
      <c r="L79" s="111" t="s">
        <v>2477</v>
      </c>
      <c r="M79" s="104" t="s">
        <v>2159</v>
      </c>
    </row>
    <row r="80" spans="1:15" ht="80.25" customHeight="1">
      <c r="A80" s="24" t="str">
        <v>Glen Mary 1</v>
      </c>
      <c r="B80" s="25" t="str">
        <v>NY</v>
      </c>
      <c r="C80" s="25" t="str">
        <f>Sites[[#This Row],[SOL'#]]</f>
        <v>SOL-10993</v>
      </c>
      <c r="D80" s="20">
        <v>234530</v>
      </c>
      <c r="E80" s="10">
        <v>231500</v>
      </c>
      <c r="F80" s="10">
        <f t="shared" si="9"/>
        <v>3030</v>
      </c>
      <c r="G80" s="11">
        <f t="shared" si="8"/>
        <v>1.3088552915766738E-2</v>
      </c>
      <c r="H80" s="12">
        <v>460387.386</v>
      </c>
      <c r="I80" s="12">
        <f t="shared" si="10"/>
        <v>-225857.386</v>
      </c>
      <c r="J80" s="13">
        <f t="shared" si="11"/>
        <v>-0.49058117765198717</v>
      </c>
      <c r="K80" s="49" t="s">
        <v>2478</v>
      </c>
      <c r="L80" s="110" t="s">
        <v>2479</v>
      </c>
      <c r="M80" s="65" t="s">
        <v>2339</v>
      </c>
      <c r="N80" s="112" t="s">
        <v>2480</v>
      </c>
    </row>
    <row r="81" spans="1:14" ht="31.15" customHeight="1">
      <c r="A81" s="26" t="str">
        <v>Glen Mary 2</v>
      </c>
      <c r="B81" s="27" t="str">
        <v>NY</v>
      </c>
      <c r="C81" s="26" t="str">
        <f>Sites[[#This Row],[SOL'#]]</f>
        <v>SOL-10994</v>
      </c>
      <c r="D81" s="9">
        <v>179680</v>
      </c>
      <c r="E81" s="14">
        <v>0</v>
      </c>
      <c r="F81" s="14">
        <f t="shared" si="9"/>
        <v>179680</v>
      </c>
      <c r="G81" s="15" t="str">
        <f t="shared" ref="G81:G83" si="12">IFERROR(F81/E81, "")</f>
        <v/>
      </c>
      <c r="H81" s="16">
        <v>190921.348</v>
      </c>
      <c r="I81" s="16">
        <f t="shared" si="10"/>
        <v>-11241.347999999998</v>
      </c>
      <c r="J81" s="15">
        <f t="shared" si="11"/>
        <v>-5.8879471142221342E-2</v>
      </c>
      <c r="K81" s="179" t="s">
        <v>2009</v>
      </c>
      <c r="L81" s="111" t="s">
        <v>2010</v>
      </c>
      <c r="M81" s="104" t="s">
        <v>2481</v>
      </c>
    </row>
    <row r="82" spans="1:14" ht="28.9">
      <c r="A82" s="24" t="str">
        <v>Telegraph 1</v>
      </c>
      <c r="B82" s="25" t="str">
        <v>NY</v>
      </c>
      <c r="C82" s="25" t="str">
        <f>Sites[[#This Row],[SOL'#]]</f>
        <v>SOL-11003</v>
      </c>
      <c r="D82" s="20">
        <v>231050</v>
      </c>
      <c r="E82" s="10" t="s">
        <v>661</v>
      </c>
      <c r="F82" s="10" t="str">
        <f t="shared" ref="F82:F113" si="13">IF(AND(ISNUMBER(D82),ISNUMBER(E82)), D82-E82, "")</f>
        <v/>
      </c>
      <c r="G82" s="11" t="str">
        <f t="shared" si="12"/>
        <v/>
      </c>
      <c r="H82" s="12">
        <v>268935.19699999999</v>
      </c>
      <c r="I82" s="12">
        <f t="shared" ref="I82:I113" si="14">IF(AND(ISNUMBER(D82),ISNUMBER(H82)), D82-H82, "")</f>
        <v>-37885.196999999986</v>
      </c>
      <c r="J82" s="13">
        <f t="shared" ref="J82:J113" si="15">IFERROR(I82/H82, "")</f>
        <v>-0.14087109988805216</v>
      </c>
      <c r="K82" s="49" t="s">
        <v>2482</v>
      </c>
      <c r="L82" s="110" t="s">
        <v>2483</v>
      </c>
      <c r="M82" s="109" t="s">
        <v>2254</v>
      </c>
      <c r="N82" s="112" t="s">
        <v>2484</v>
      </c>
    </row>
    <row r="83" spans="1:14" ht="16.899999999999999" customHeight="1">
      <c r="A83" s="26" t="str">
        <v>Telegraph 2</v>
      </c>
      <c r="B83" s="27" t="str">
        <v>NY</v>
      </c>
      <c r="C83" s="26" t="str">
        <f>Sites[[#This Row],[SOL'#]]</f>
        <v>SOL-11004</v>
      </c>
      <c r="D83" s="9">
        <v>125680</v>
      </c>
      <c r="E83" s="14" t="s">
        <v>661</v>
      </c>
      <c r="F83" s="14" t="str">
        <f t="shared" si="13"/>
        <v/>
      </c>
      <c r="G83" s="15" t="str">
        <f t="shared" si="12"/>
        <v/>
      </c>
      <c r="H83" s="16">
        <v>138779.81700000001</v>
      </c>
      <c r="I83" s="16">
        <f t="shared" si="14"/>
        <v>-13099.81700000001</v>
      </c>
      <c r="J83" s="15">
        <f t="shared" si="15"/>
        <v>-9.4392810735584184E-2</v>
      </c>
      <c r="K83" s="179" t="s">
        <v>2485</v>
      </c>
      <c r="L83" s="111" t="s">
        <v>2486</v>
      </c>
      <c r="M83" s="104" t="s">
        <v>2120</v>
      </c>
    </row>
    <row r="84" spans="1:14" ht="52.15" customHeight="1">
      <c r="A84" s="24" t="str">
        <v>Cafferty Hill</v>
      </c>
      <c r="B84" s="25" t="str">
        <v>NY</v>
      </c>
      <c r="C84" s="25" t="str">
        <f>Sites[[#This Row],[SOL'#]]</f>
        <v>SOL-10996</v>
      </c>
      <c r="D84" s="20">
        <v>375680</v>
      </c>
      <c r="E84" s="10">
        <v>383668.84</v>
      </c>
      <c r="F84" s="10">
        <f t="shared" si="13"/>
        <v>-7988.8400000000256</v>
      </c>
      <c r="G84" s="11">
        <f t="shared" ref="G84:G90" si="16">IFERROR(F84/E84, "")</f>
        <v>-2.0822227835859762E-2</v>
      </c>
      <c r="H84" s="12">
        <v>425240.90299999999</v>
      </c>
      <c r="I84" s="12">
        <f t="shared" si="14"/>
        <v>-49560.902999999991</v>
      </c>
      <c r="J84" s="13">
        <f t="shared" si="15"/>
        <v>-0.11654782653869021</v>
      </c>
      <c r="K84" s="49" t="s">
        <v>2487</v>
      </c>
      <c r="L84" s="110" t="s">
        <v>2488</v>
      </c>
      <c r="M84" s="109" t="s">
        <v>2120</v>
      </c>
    </row>
    <row r="85" spans="1:14" ht="43.15">
      <c r="A85" s="26" t="str">
        <v>Dunkleman</v>
      </c>
      <c r="B85" s="27" t="str">
        <v>NY</v>
      </c>
      <c r="C85" s="26" t="str">
        <f>Sites[[#This Row],[SOL'#]]</f>
        <v>SOL-11008</v>
      </c>
      <c r="D85" s="9">
        <v>287690</v>
      </c>
      <c r="E85" s="14">
        <v>285870</v>
      </c>
      <c r="F85" s="14">
        <f t="shared" si="13"/>
        <v>1820</v>
      </c>
      <c r="G85" s="15">
        <f t="shared" si="16"/>
        <v>6.3665302410186447E-3</v>
      </c>
      <c r="H85" s="16">
        <v>382847.71600000001</v>
      </c>
      <c r="I85" s="16">
        <f t="shared" si="14"/>
        <v>-95157.716000000015</v>
      </c>
      <c r="J85" s="15">
        <f t="shared" si="15"/>
        <v>-0.24855239308780416</v>
      </c>
      <c r="K85" s="179" t="s">
        <v>2489</v>
      </c>
      <c r="L85" s="111" t="s">
        <v>2490</v>
      </c>
      <c r="M85" s="104" t="s">
        <v>2138</v>
      </c>
    </row>
    <row r="86" spans="1:14" ht="35.25" customHeight="1">
      <c r="A86" s="24" t="str">
        <v>Route 19 1</v>
      </c>
      <c r="B86" s="25" t="str">
        <v>NY</v>
      </c>
      <c r="C86" s="25" t="str">
        <f>Sites[[#This Row],[SOL'#]]</f>
        <v>SOL-11001</v>
      </c>
      <c r="D86" s="20">
        <v>122657.2</v>
      </c>
      <c r="E86" s="10">
        <v>119767.6</v>
      </c>
      <c r="F86" s="10">
        <f t="shared" si="13"/>
        <v>2889.5999999999913</v>
      </c>
      <c r="G86" s="11">
        <f t="shared" si="16"/>
        <v>2.4126725424906161E-2</v>
      </c>
      <c r="H86" s="12">
        <v>136625.128</v>
      </c>
      <c r="I86" s="12">
        <f t="shared" si="14"/>
        <v>-13967.928</v>
      </c>
      <c r="J86" s="13">
        <f t="shared" si="15"/>
        <v>-0.10223542480413998</v>
      </c>
      <c r="K86" s="49" t="s">
        <v>2491</v>
      </c>
      <c r="L86" s="110" t="s">
        <v>2492</v>
      </c>
      <c r="M86" s="65" t="s">
        <v>2254</v>
      </c>
      <c r="N86" s="112" t="s">
        <v>2493</v>
      </c>
    </row>
    <row r="87" spans="1:14" ht="28.9">
      <c r="A87" s="26" t="str">
        <v>Route 19 2</v>
      </c>
      <c r="B87" s="27" t="str">
        <v>NY</v>
      </c>
      <c r="C87" s="26" t="str">
        <f>Sites[[#This Row],[SOL'#]]</f>
        <v>SOL-11002</v>
      </c>
      <c r="D87" s="9">
        <v>306830</v>
      </c>
      <c r="E87" s="14">
        <v>301810</v>
      </c>
      <c r="F87" s="14">
        <f t="shared" si="13"/>
        <v>5020</v>
      </c>
      <c r="G87" s="15">
        <f t="shared" si="16"/>
        <v>1.6632981014545575E-2</v>
      </c>
      <c r="H87" s="16">
        <v>357089.22</v>
      </c>
      <c r="I87" s="16">
        <f t="shared" si="14"/>
        <v>-50259.219999999972</v>
      </c>
      <c r="J87" s="15">
        <f t="shared" si="15"/>
        <v>-0.14074695394053055</v>
      </c>
      <c r="K87" s="179" t="s">
        <v>2494</v>
      </c>
      <c r="L87" s="111" t="s">
        <v>2495</v>
      </c>
      <c r="M87" s="65" t="s">
        <v>2254</v>
      </c>
      <c r="N87" s="112" t="s">
        <v>2496</v>
      </c>
    </row>
    <row r="88" spans="1:14" ht="43.15">
      <c r="A88" s="24" t="str">
        <v>Yellow Mills 1</v>
      </c>
      <c r="B88" s="25" t="str">
        <v>NY</v>
      </c>
      <c r="C88" s="25" t="str">
        <f>Sites[[#This Row],[SOL'#]]</f>
        <v>SOL-11006</v>
      </c>
      <c r="D88" s="20">
        <v>134037</v>
      </c>
      <c r="E88" s="10">
        <v>131732</v>
      </c>
      <c r="F88" s="10">
        <f t="shared" si="13"/>
        <v>2305</v>
      </c>
      <c r="G88" s="11">
        <f t="shared" si="16"/>
        <v>1.7497646737315155E-2</v>
      </c>
      <c r="H88" s="12">
        <v>158372.84299999999</v>
      </c>
      <c r="I88" s="12">
        <f t="shared" si="14"/>
        <v>-24335.842999999993</v>
      </c>
      <c r="J88" s="13">
        <f t="shared" si="15"/>
        <v>-0.15366171711648818</v>
      </c>
      <c r="K88" s="49" t="s">
        <v>2497</v>
      </c>
      <c r="L88" s="49"/>
    </row>
    <row r="89" spans="1:14" ht="60.75" customHeight="1">
      <c r="A89" s="26" t="str">
        <v>Yellow Mills 2</v>
      </c>
      <c r="B89" s="27" t="str">
        <v>NY</v>
      </c>
      <c r="C89" s="26" t="str">
        <f>Sites[[#This Row],[SOL'#]]</f>
        <v>SOL-11005</v>
      </c>
      <c r="D89" s="9">
        <v>134735</v>
      </c>
      <c r="E89" s="14" t="s">
        <v>661</v>
      </c>
      <c r="F89" s="14" t="str">
        <f t="shared" si="13"/>
        <v/>
      </c>
      <c r="G89" s="15" t="str">
        <f t="shared" si="16"/>
        <v/>
      </c>
      <c r="H89" s="16">
        <v>163481.128</v>
      </c>
      <c r="I89" s="16">
        <f t="shared" si="14"/>
        <v>-28746.127999999997</v>
      </c>
      <c r="J89" s="15">
        <f t="shared" si="15"/>
        <v>-0.17583759270366667</v>
      </c>
      <c r="K89" s="179" t="s">
        <v>2498</v>
      </c>
      <c r="L89" s="111" t="s">
        <v>2499</v>
      </c>
      <c r="M89" s="104" t="s">
        <v>2120</v>
      </c>
    </row>
    <row r="90" spans="1:14" ht="43.15">
      <c r="A90" s="24" t="str">
        <v>Yellow Mills 3</v>
      </c>
      <c r="B90" s="25" t="str">
        <v>NY</v>
      </c>
      <c r="C90" s="25" t="str">
        <f>Sites[[#This Row],[SOL'#]]</f>
        <v>SOL-11007</v>
      </c>
      <c r="D90" s="20">
        <v>127582</v>
      </c>
      <c r="E90" s="10">
        <v>125165</v>
      </c>
      <c r="F90" s="10">
        <f t="shared" si="13"/>
        <v>2417</v>
      </c>
      <c r="G90" s="11">
        <f t="shared" si="16"/>
        <v>1.9310510126632846E-2</v>
      </c>
      <c r="H90" s="12">
        <v>153044.86499999999</v>
      </c>
      <c r="I90" s="12">
        <f t="shared" si="14"/>
        <v>-25462.864999999991</v>
      </c>
      <c r="J90" s="13">
        <f t="shared" si="15"/>
        <v>-0.16637516717728487</v>
      </c>
      <c r="K90" s="49" t="s">
        <v>2497</v>
      </c>
      <c r="L90" s="49"/>
    </row>
    <row r="91" spans="1:14" ht="43.15">
      <c r="A91" s="26" t="str">
        <v>Catskill</v>
      </c>
      <c r="B91" s="27" t="str">
        <v>NY</v>
      </c>
      <c r="C91" s="26" t="str">
        <f>Sites[[#This Row],[SOL'#]]</f>
        <v>SOL-11021</v>
      </c>
      <c r="D91" s="9">
        <v>232875</v>
      </c>
      <c r="E91" s="14">
        <v>0</v>
      </c>
      <c r="F91" s="14">
        <f t="shared" si="13"/>
        <v>232875</v>
      </c>
      <c r="G91" s="15" t="str">
        <f t="shared" ref="G91:G122" si="17">IFERROR(F91/E91, "")</f>
        <v/>
      </c>
      <c r="H91" s="16">
        <v>326228.60499999998</v>
      </c>
      <c r="I91" s="16">
        <f t="shared" si="14"/>
        <v>-93353.604999999981</v>
      </c>
      <c r="J91" s="15">
        <f t="shared" si="15"/>
        <v>-0.28616008396933795</v>
      </c>
      <c r="K91" s="179" t="s">
        <v>2500</v>
      </c>
      <c r="L91" s="111" t="s">
        <v>2501</v>
      </c>
      <c r="M91" s="93" t="s">
        <v>2254</v>
      </c>
      <c r="N91" s="112" t="s">
        <v>2502</v>
      </c>
    </row>
    <row r="92" spans="1:14" ht="15.6">
      <c r="A92" s="24" t="str">
        <v>Eddy Ridge</v>
      </c>
      <c r="B92" s="25" t="str">
        <v>NY</v>
      </c>
      <c r="C92" s="25" t="str">
        <f>Sites[[#This Row],[SOL'#]]</f>
        <v>SOL-11054</v>
      </c>
      <c r="D92" s="20">
        <v>127439</v>
      </c>
      <c r="E92" s="10">
        <v>124693</v>
      </c>
      <c r="F92" s="10">
        <f t="shared" si="13"/>
        <v>2746</v>
      </c>
      <c r="G92" s="11">
        <f t="shared" si="17"/>
        <v>2.2022086243814808E-2</v>
      </c>
      <c r="H92" s="12">
        <v>169294.27499999999</v>
      </c>
      <c r="I92" s="12">
        <f t="shared" si="14"/>
        <v>-41855.274999999994</v>
      </c>
      <c r="J92" s="13">
        <f t="shared" si="15"/>
        <v>-0.24723384768917908</v>
      </c>
      <c r="K92" s="49" t="s">
        <v>1788</v>
      </c>
      <c r="L92" s="110" t="s">
        <v>2244</v>
      </c>
      <c r="M92" s="109" t="s">
        <v>2138</v>
      </c>
    </row>
    <row r="93" spans="1:14" ht="28.9">
      <c r="A93" s="26" t="str">
        <v>Ridgeway #1</v>
      </c>
      <c r="B93" s="27" t="str">
        <v>NY</v>
      </c>
      <c r="C93" s="26" t="str">
        <f>Sites[[#This Row],[SOL'#]]</f>
        <v>SOL-11018</v>
      </c>
      <c r="D93" s="9">
        <v>334638</v>
      </c>
      <c r="E93" s="14">
        <v>325910</v>
      </c>
      <c r="F93" s="14">
        <f t="shared" si="13"/>
        <v>8728</v>
      </c>
      <c r="G93" s="15">
        <f t="shared" si="17"/>
        <v>2.6780399496793592E-2</v>
      </c>
      <c r="H93" s="16">
        <v>414052</v>
      </c>
      <c r="I93" s="16">
        <f t="shared" si="14"/>
        <v>-79414</v>
      </c>
      <c r="J93" s="15">
        <f t="shared" si="15"/>
        <v>-0.19179716557340623</v>
      </c>
      <c r="K93" s="179" t="s">
        <v>2503</v>
      </c>
      <c r="L93" s="179"/>
    </row>
    <row r="94" spans="1:14" ht="29.25" customHeight="1">
      <c r="A94" s="24" t="str">
        <v>Rivard 1</v>
      </c>
      <c r="B94" s="25" t="str">
        <v>NY</v>
      </c>
      <c r="C94" s="25" t="str">
        <f>Sites[[#This Row],[SOL'#]]</f>
        <v>SOL-11011</v>
      </c>
      <c r="D94" s="20">
        <v>220361.99999999799</v>
      </c>
      <c r="E94" s="10">
        <v>235956.6</v>
      </c>
      <c r="F94" s="10">
        <f t="shared" si="13"/>
        <v>-15594.600000002014</v>
      </c>
      <c r="G94" s="11">
        <f t="shared" si="17"/>
        <v>-6.6090967576249243E-2</v>
      </c>
      <c r="H94" s="12">
        <v>281923.8</v>
      </c>
      <c r="I94" s="12">
        <f t="shared" si="14"/>
        <v>-61561.800000001997</v>
      </c>
      <c r="J94" s="13">
        <f t="shared" si="15"/>
        <v>-0.21836325985958616</v>
      </c>
      <c r="K94" s="49" t="s">
        <v>2504</v>
      </c>
      <c r="L94" s="49"/>
    </row>
    <row r="95" spans="1:14" ht="15.6">
      <c r="A95" s="26" t="str">
        <v>Rivard 2</v>
      </c>
      <c r="B95" s="27" t="str">
        <v>NY</v>
      </c>
      <c r="C95" s="26" t="str">
        <f>Sites[[#This Row],[SOL'#]]</f>
        <v>SOL-11012</v>
      </c>
      <c r="D95" s="9">
        <v>210880.08</v>
      </c>
      <c r="E95" s="14">
        <v>208298</v>
      </c>
      <c r="F95" s="14">
        <f t="shared" si="13"/>
        <v>2582.0799999999872</v>
      </c>
      <c r="G95" s="15">
        <f t="shared" si="17"/>
        <v>1.239608637624935E-2</v>
      </c>
      <c r="H95" s="16">
        <v>268123.40000000002</v>
      </c>
      <c r="I95" s="16">
        <f t="shared" si="14"/>
        <v>-57243.320000000036</v>
      </c>
      <c r="J95" s="15">
        <f t="shared" si="15"/>
        <v>-0.21349617377670144</v>
      </c>
      <c r="K95" s="179" t="s">
        <v>2504</v>
      </c>
      <c r="L95" s="93"/>
    </row>
    <row r="96" spans="1:14" ht="43.15">
      <c r="A96" s="24" t="str">
        <v>Ridgeway #2</v>
      </c>
      <c r="B96" s="25" t="str">
        <v>NY</v>
      </c>
      <c r="C96" s="25" t="str">
        <f>Sites[[#This Row],[SOL'#]]</f>
        <v>SOL-11027</v>
      </c>
      <c r="D96" s="20">
        <v>157103</v>
      </c>
      <c r="E96" s="10">
        <v>153618</v>
      </c>
      <c r="F96" s="10">
        <f t="shared" si="13"/>
        <v>3485</v>
      </c>
      <c r="G96" s="11">
        <f t="shared" si="17"/>
        <v>2.2686143550885964E-2</v>
      </c>
      <c r="H96" s="12">
        <v>214158.17</v>
      </c>
      <c r="I96" s="12">
        <f t="shared" si="14"/>
        <v>-57055.170000000013</v>
      </c>
      <c r="J96" s="13">
        <f t="shared" si="15"/>
        <v>-0.26641603259870966</v>
      </c>
      <c r="K96" s="49" t="s">
        <v>2505</v>
      </c>
      <c r="L96" s="110" t="s">
        <v>2506</v>
      </c>
      <c r="M96" s="49" t="s">
        <v>2239</v>
      </c>
    </row>
    <row r="97" spans="1:15" ht="43.15">
      <c r="A97" s="26" t="str">
        <v>Spencer</v>
      </c>
      <c r="B97" s="27" t="str">
        <v>NY</v>
      </c>
      <c r="C97" s="26" t="str">
        <f>Sites[[#This Row],[SOL'#]]</f>
        <v>SOL-11017</v>
      </c>
      <c r="D97" s="9">
        <v>334461.40000000002</v>
      </c>
      <c r="E97" s="14">
        <v>330410</v>
      </c>
      <c r="F97" s="14">
        <f t="shared" si="13"/>
        <v>4051.4000000000233</v>
      </c>
      <c r="G97" s="15">
        <f t="shared" si="17"/>
        <v>1.2261735419630227E-2</v>
      </c>
      <c r="H97" s="16">
        <v>406955</v>
      </c>
      <c r="I97" s="16">
        <f t="shared" si="14"/>
        <v>-72493.599999999977</v>
      </c>
      <c r="J97" s="15">
        <f t="shared" si="15"/>
        <v>-0.17813664901524734</v>
      </c>
      <c r="K97" s="179" t="s">
        <v>2507</v>
      </c>
      <c r="L97" s="111" t="s">
        <v>2508</v>
      </c>
      <c r="M97" s="93" t="s">
        <v>2509</v>
      </c>
      <c r="N97" s="112" t="s">
        <v>2510</v>
      </c>
      <c r="O97" s="112" t="s">
        <v>2511</v>
      </c>
    </row>
    <row r="98" spans="1:15" ht="15.6">
      <c r="A98" s="24" t="str">
        <v>Reisender</v>
      </c>
      <c r="B98" s="25" t="str">
        <v>NY</v>
      </c>
      <c r="C98" s="25" t="str">
        <f>Sites[[#This Row],[SOL'#]]</f>
        <v>SOL-10886</v>
      </c>
      <c r="D98" s="20">
        <v>101430</v>
      </c>
      <c r="E98" s="10">
        <v>101280</v>
      </c>
      <c r="F98" s="10">
        <f t="shared" si="13"/>
        <v>150</v>
      </c>
      <c r="G98" s="11">
        <f t="shared" si="17"/>
        <v>1.4810426540284359E-3</v>
      </c>
      <c r="H98" s="12">
        <v>183452.73</v>
      </c>
      <c r="I98" s="12">
        <f t="shared" si="14"/>
        <v>-82022.73000000001</v>
      </c>
      <c r="J98" s="13">
        <f t="shared" si="15"/>
        <v>-0.44710552958247068</v>
      </c>
      <c r="K98" s="49" t="s">
        <v>2512</v>
      </c>
      <c r="L98" s="110" t="s">
        <v>2513</v>
      </c>
      <c r="M98" s="49" t="s">
        <v>2120</v>
      </c>
    </row>
    <row r="99" spans="1:15" ht="30.75">
      <c r="A99" s="26" t="str">
        <v>Finney</v>
      </c>
      <c r="B99" s="27" t="str">
        <v>NY</v>
      </c>
      <c r="C99" s="26" t="str">
        <f>Sites[[#This Row],[SOL'#]]</f>
        <v>SOL-10999</v>
      </c>
      <c r="D99" s="9">
        <v>365990</v>
      </c>
      <c r="E99" s="14">
        <v>364060</v>
      </c>
      <c r="F99" s="14">
        <f t="shared" si="13"/>
        <v>1930</v>
      </c>
      <c r="G99" s="15">
        <f t="shared" si="17"/>
        <v>5.3013239575894081E-3</v>
      </c>
      <c r="H99" s="16">
        <v>436477.81099999999</v>
      </c>
      <c r="I99" s="16">
        <f t="shared" si="14"/>
        <v>-70487.810999999987</v>
      </c>
      <c r="J99" s="15">
        <f t="shared" si="15"/>
        <v>-0.16149231237782208</v>
      </c>
      <c r="K99" s="179" t="s">
        <v>2514</v>
      </c>
      <c r="L99" s="111" t="s">
        <v>2515</v>
      </c>
      <c r="M99" s="104" t="s">
        <v>2159</v>
      </c>
    </row>
    <row r="100" spans="1:15" ht="57.6">
      <c r="A100" s="24" t="str">
        <v>Davis Solar</v>
      </c>
      <c r="B100" s="25" t="str">
        <v>NY</v>
      </c>
      <c r="C100" s="25" t="str">
        <f>Sites[[#This Row],[SOL'#]]</f>
        <v>SOL-10958</v>
      </c>
      <c r="D100" s="20">
        <v>163436</v>
      </c>
      <c r="E100" s="10">
        <v>192407.1</v>
      </c>
      <c r="F100" s="10">
        <f t="shared" si="13"/>
        <v>-28971.100000000006</v>
      </c>
      <c r="G100" s="11">
        <f t="shared" si="17"/>
        <v>-0.15057188638049221</v>
      </c>
      <c r="H100" s="12">
        <v>203914</v>
      </c>
      <c r="I100" s="12">
        <f t="shared" si="14"/>
        <v>-40478</v>
      </c>
      <c r="J100" s="13">
        <f t="shared" si="15"/>
        <v>-0.19850525221416873</v>
      </c>
      <c r="K100" s="49" t="s">
        <v>2516</v>
      </c>
      <c r="L100" s="110" t="s">
        <v>2517</v>
      </c>
      <c r="M100" s="49" t="s">
        <v>2254</v>
      </c>
      <c r="N100" s="112" t="s">
        <v>2518</v>
      </c>
    </row>
    <row r="101" spans="1:15" ht="86.45">
      <c r="A101" s="26" t="str">
        <v>Genesee</v>
      </c>
      <c r="B101" s="27" t="str">
        <v>NY</v>
      </c>
      <c r="C101" s="26" t="str">
        <f>Sites[[#This Row],[SOL'#]]</f>
        <v>SOL-10951</v>
      </c>
      <c r="D101" s="9">
        <v>31923.3</v>
      </c>
      <c r="E101" s="14">
        <v>31071.599999999999</v>
      </c>
      <c r="F101" s="14">
        <f t="shared" si="13"/>
        <v>851.70000000000073</v>
      </c>
      <c r="G101" s="15">
        <f t="shared" si="17"/>
        <v>2.7410883250299334E-2</v>
      </c>
      <c r="H101" s="16">
        <v>251275.242</v>
      </c>
      <c r="I101" s="16">
        <f t="shared" si="14"/>
        <v>-219351.94200000001</v>
      </c>
      <c r="J101" s="15">
        <f t="shared" si="15"/>
        <v>-0.87295485322823807</v>
      </c>
      <c r="K101" s="179" t="s">
        <v>2519</v>
      </c>
      <c r="L101" s="111" t="s">
        <v>2520</v>
      </c>
      <c r="M101" s="179" t="s">
        <v>2521</v>
      </c>
      <c r="N101" s="112" t="s">
        <v>2522</v>
      </c>
      <c r="O101" s="112" t="s">
        <v>2523</v>
      </c>
    </row>
    <row r="102" spans="1:15" ht="15.6">
      <c r="A102" s="24" t="str">
        <v>Landau I</v>
      </c>
      <c r="B102" s="25" t="str">
        <v>NY</v>
      </c>
      <c r="C102" s="25" t="str">
        <f>Sites[[#This Row],[SOL'#]]</f>
        <v>SOL-10891</v>
      </c>
      <c r="D102" s="20">
        <v>148040</v>
      </c>
      <c r="E102" s="10" t="s">
        <v>661</v>
      </c>
      <c r="F102" s="10" t="str">
        <f t="shared" si="13"/>
        <v/>
      </c>
      <c r="G102" s="11" t="str">
        <f t="shared" si="17"/>
        <v/>
      </c>
      <c r="H102" s="12">
        <v>200679.864</v>
      </c>
      <c r="I102" s="12">
        <f t="shared" si="14"/>
        <v>-52639.864000000001</v>
      </c>
      <c r="J102" s="13">
        <f t="shared" si="15"/>
        <v>-0.26230765235120951</v>
      </c>
      <c r="K102" s="49"/>
      <c r="L102" s="49"/>
    </row>
    <row r="103" spans="1:15" ht="15.6">
      <c r="A103" s="26" t="str">
        <v>Landau II</v>
      </c>
      <c r="B103" s="27" t="str">
        <v>NY</v>
      </c>
      <c r="C103" s="26" t="str">
        <f>Sites[[#This Row],[SOL'#]]</f>
        <v>SOL-10895</v>
      </c>
      <c r="D103" s="9">
        <v>301870</v>
      </c>
      <c r="E103" s="14" t="s">
        <v>661</v>
      </c>
      <c r="F103" s="14" t="str">
        <f t="shared" si="13"/>
        <v/>
      </c>
      <c r="G103" s="15" t="str">
        <f t="shared" si="17"/>
        <v/>
      </c>
      <c r="H103" s="135" t="s">
        <v>661</v>
      </c>
      <c r="I103" s="16" t="str">
        <f t="shared" si="14"/>
        <v/>
      </c>
      <c r="J103" s="15" t="str">
        <f t="shared" si="15"/>
        <v/>
      </c>
      <c r="K103" s="179" t="s">
        <v>2524</v>
      </c>
      <c r="L103" s="111" t="s">
        <v>2525</v>
      </c>
      <c r="M103" s="93" t="s">
        <v>2526</v>
      </c>
    </row>
    <row r="104" spans="1:15" ht="23.25" customHeight="1">
      <c r="A104" s="24" t="str">
        <v>New Beginnings</v>
      </c>
      <c r="B104" s="25" t="str">
        <v>NY</v>
      </c>
      <c r="C104" s="25" t="str">
        <f>Sites[[#This Row],[SOL'#]]</f>
        <v>SOL-10890</v>
      </c>
      <c r="D104" s="20">
        <v>173890</v>
      </c>
      <c r="E104" s="10">
        <v>173880</v>
      </c>
      <c r="F104" s="10">
        <f t="shared" si="13"/>
        <v>10</v>
      </c>
      <c r="G104" s="11">
        <f t="shared" si="17"/>
        <v>5.7510927076144466E-5</v>
      </c>
      <c r="H104" s="12">
        <v>209800.10200000001</v>
      </c>
      <c r="I104" s="12">
        <f t="shared" si="14"/>
        <v>-35910.102000000014</v>
      </c>
      <c r="J104" s="13">
        <f t="shared" si="15"/>
        <v>-0.17116341535429763</v>
      </c>
      <c r="K104" s="49" t="s">
        <v>2527</v>
      </c>
      <c r="L104" s="110" t="s">
        <v>2528</v>
      </c>
      <c r="M104" s="104" t="s">
        <v>2120</v>
      </c>
    </row>
    <row r="105" spans="1:15" ht="22.5" customHeight="1">
      <c r="A105" s="26" t="str">
        <v>Bullitt Farm Solar, LLC</v>
      </c>
      <c r="B105" s="27" t="str">
        <v>NY</v>
      </c>
      <c r="C105" s="26" t="str">
        <f>Sites[[#This Row],[SOL'#]]</f>
        <v>SOL-10998</v>
      </c>
      <c r="D105" s="9">
        <v>250857.93479999999</v>
      </c>
      <c r="E105" s="14">
        <v>292506.5</v>
      </c>
      <c r="F105" s="14">
        <f t="shared" si="13"/>
        <v>-41648.565200000012</v>
      </c>
      <c r="G105" s="15">
        <f t="shared" si="17"/>
        <v>-0.14238509298083979</v>
      </c>
      <c r="H105" s="16">
        <v>343740.1</v>
      </c>
      <c r="I105" s="16">
        <f t="shared" si="14"/>
        <v>-92882.165199999989</v>
      </c>
      <c r="J105" s="15">
        <f t="shared" si="15"/>
        <v>-0.27021044446080045</v>
      </c>
      <c r="K105" s="179" t="s">
        <v>2529</v>
      </c>
      <c r="L105" s="93"/>
    </row>
    <row r="106" spans="1:15" ht="15.6">
      <c r="A106" s="24" t="str">
        <v>Brodhead Solar, LLC</v>
      </c>
      <c r="B106" s="25" t="str">
        <v>NY</v>
      </c>
      <c r="C106" s="25" t="str">
        <f>Sites[[#This Row],[SOL'#]]</f>
        <v>SOL-10899</v>
      </c>
      <c r="D106" s="20">
        <v>166943</v>
      </c>
      <c r="E106" s="10">
        <v>189622.8</v>
      </c>
      <c r="F106" s="10">
        <f t="shared" si="13"/>
        <v>-22679.799999999988</v>
      </c>
      <c r="G106" s="11">
        <f t="shared" si="17"/>
        <v>-0.11960481545468156</v>
      </c>
      <c r="H106" s="12">
        <v>218045.7</v>
      </c>
      <c r="I106" s="12">
        <f t="shared" si="14"/>
        <v>-51102.700000000012</v>
      </c>
      <c r="J106" s="13">
        <f t="shared" si="15"/>
        <v>-0.23436692399804265</v>
      </c>
      <c r="K106" s="109" t="s">
        <v>2530</v>
      </c>
      <c r="L106" s="49"/>
    </row>
    <row r="107" spans="1:15" ht="56.25" customHeight="1">
      <c r="A107" s="26" t="str">
        <v>Svenski</v>
      </c>
      <c r="B107" s="27" t="str">
        <v>NY</v>
      </c>
      <c r="C107" s="26" t="str">
        <f>Sites[[#This Row],[SOL'#]]</f>
        <v>SOL-10894</v>
      </c>
      <c r="D107" s="9">
        <v>143480</v>
      </c>
      <c r="E107" s="14" t="s">
        <v>661</v>
      </c>
      <c r="F107" s="14" t="str">
        <f t="shared" si="13"/>
        <v/>
      </c>
      <c r="G107" s="15" t="str">
        <f t="shared" si="17"/>
        <v/>
      </c>
      <c r="H107" s="16">
        <v>183433.94899999999</v>
      </c>
      <c r="I107" s="16">
        <f t="shared" si="14"/>
        <v>-39953.948999999993</v>
      </c>
      <c r="J107" s="15">
        <f t="shared" si="15"/>
        <v>-0.21781109340888691</v>
      </c>
      <c r="K107" s="179" t="s">
        <v>2531</v>
      </c>
      <c r="L107" s="111" t="s">
        <v>2532</v>
      </c>
      <c r="M107" s="65" t="s">
        <v>2254</v>
      </c>
      <c r="N107" s="112" t="s">
        <v>2533</v>
      </c>
    </row>
    <row r="108" spans="1:15" ht="57.6">
      <c r="A108" s="24" t="str">
        <v>Bantam</v>
      </c>
      <c r="B108" s="25" t="str">
        <v>NY</v>
      </c>
      <c r="C108" s="25" t="str">
        <f>Sites[[#This Row],[SOL'#]]</f>
        <v>SOL-10986</v>
      </c>
      <c r="D108" s="20">
        <v>129900</v>
      </c>
      <c r="E108" s="10">
        <v>198900</v>
      </c>
      <c r="F108" s="10">
        <f t="shared" si="13"/>
        <v>-69000</v>
      </c>
      <c r="G108" s="11">
        <f t="shared" si="17"/>
        <v>-0.34690799396681749</v>
      </c>
      <c r="H108" s="12">
        <v>366773.88</v>
      </c>
      <c r="I108" s="12">
        <f t="shared" si="14"/>
        <v>-236873.88</v>
      </c>
      <c r="J108" s="13">
        <f t="shared" si="15"/>
        <v>-0.64583083179205669</v>
      </c>
      <c r="K108" s="109" t="s">
        <v>2534</v>
      </c>
      <c r="L108" s="110" t="s">
        <v>2535</v>
      </c>
      <c r="M108" s="65" t="s">
        <v>2151</v>
      </c>
      <c r="N108" s="112" t="s">
        <v>2270</v>
      </c>
    </row>
    <row r="109" spans="1:15" ht="15.6">
      <c r="A109" s="26" t="str">
        <v>Bogart</v>
      </c>
      <c r="B109" s="27" t="str">
        <v>NY</v>
      </c>
      <c r="C109" s="26" t="str">
        <f>Sites[[#This Row],[SOL'#]]</f>
        <v>SOL-10887</v>
      </c>
      <c r="D109" s="9">
        <v>155650</v>
      </c>
      <c r="E109" s="14">
        <v>154200</v>
      </c>
      <c r="F109" s="14">
        <f t="shared" si="13"/>
        <v>1450</v>
      </c>
      <c r="G109" s="15">
        <f t="shared" si="17"/>
        <v>9.4033722438391695E-3</v>
      </c>
      <c r="H109" s="16">
        <v>199521.546</v>
      </c>
      <c r="I109" s="16">
        <f t="shared" si="14"/>
        <v>-43871.546000000002</v>
      </c>
      <c r="J109" s="15">
        <f t="shared" si="15"/>
        <v>-0.21988375130172658</v>
      </c>
      <c r="K109" s="179" t="s">
        <v>2536</v>
      </c>
      <c r="L109" s="111" t="s">
        <v>2537</v>
      </c>
      <c r="M109" s="104" t="s">
        <v>2120</v>
      </c>
    </row>
    <row r="110" spans="1:15" ht="15.6">
      <c r="A110" s="24" t="str">
        <v>Dubois</v>
      </c>
      <c r="B110" s="25" t="str">
        <v>NY</v>
      </c>
      <c r="C110" s="25" t="str">
        <f>Sites[[#This Row],[SOL'#]]</f>
        <v>SOL-10892</v>
      </c>
      <c r="D110" s="20">
        <v>0</v>
      </c>
      <c r="E110" s="10">
        <v>0</v>
      </c>
      <c r="F110" s="10">
        <f t="shared" si="13"/>
        <v>0</v>
      </c>
      <c r="G110" s="11" t="str">
        <f t="shared" si="17"/>
        <v/>
      </c>
      <c r="H110" s="134">
        <v>0</v>
      </c>
      <c r="I110" s="12">
        <f t="shared" si="14"/>
        <v>0</v>
      </c>
      <c r="J110" s="13" t="str">
        <f t="shared" si="15"/>
        <v/>
      </c>
      <c r="K110" s="49" t="s">
        <v>1817</v>
      </c>
      <c r="L110" s="110" t="s">
        <v>2538</v>
      </c>
      <c r="M110" s="104" t="s">
        <v>2138</v>
      </c>
    </row>
    <row r="111" spans="1:15" ht="15.6">
      <c r="A111" s="26" t="str">
        <v>Salt Point</v>
      </c>
      <c r="B111" s="27" t="str">
        <v>NY</v>
      </c>
      <c r="C111" s="26" t="str">
        <f>Sites[[#This Row],[SOL'#]]</f>
        <v>SOL-10888</v>
      </c>
      <c r="D111" s="9">
        <v>136530</v>
      </c>
      <c r="E111" s="14">
        <v>136530</v>
      </c>
      <c r="F111" s="14">
        <f t="shared" si="13"/>
        <v>0</v>
      </c>
      <c r="G111" s="15">
        <f t="shared" si="17"/>
        <v>0</v>
      </c>
      <c r="H111" s="16">
        <v>167108.81</v>
      </c>
      <c r="I111" s="16">
        <f t="shared" si="14"/>
        <v>-30578.809999999998</v>
      </c>
      <c r="J111" s="15">
        <f t="shared" si="15"/>
        <v>-0.18298741999299736</v>
      </c>
      <c r="K111" s="179" t="s">
        <v>2539</v>
      </c>
      <c r="L111" s="111" t="s">
        <v>2540</v>
      </c>
      <c r="M111" s="104" t="s">
        <v>2120</v>
      </c>
    </row>
    <row r="112" spans="1:15" ht="43.15">
      <c r="A112" s="24" t="str">
        <v>Wheatland 2A</v>
      </c>
      <c r="B112" s="25" t="str">
        <v>NY</v>
      </c>
      <c r="C112" s="25" t="str">
        <f>Sites[[#This Row],[SOL'#]]</f>
        <v>SOL-10971</v>
      </c>
      <c r="D112" s="20">
        <v>253880</v>
      </c>
      <c r="E112" s="10">
        <v>252000</v>
      </c>
      <c r="F112" s="10">
        <f t="shared" si="13"/>
        <v>1880</v>
      </c>
      <c r="G112" s="11">
        <f t="shared" si="17"/>
        <v>7.4603174603174605E-3</v>
      </c>
      <c r="H112" s="12">
        <v>304084.96500000003</v>
      </c>
      <c r="I112" s="12">
        <f t="shared" si="14"/>
        <v>-50204.965000000026</v>
      </c>
      <c r="J112" s="13">
        <f t="shared" si="15"/>
        <v>-0.16510176686966427</v>
      </c>
      <c r="K112" s="49" t="s">
        <v>2541</v>
      </c>
      <c r="L112" s="110" t="s">
        <v>2542</v>
      </c>
      <c r="M112" s="104" t="s">
        <v>2138</v>
      </c>
    </row>
    <row r="113" spans="1:18" ht="60.75">
      <c r="A113" s="26" t="str">
        <v>Wheatland 2B</v>
      </c>
      <c r="B113" s="27" t="str">
        <v>NY</v>
      </c>
      <c r="C113" s="26" t="str">
        <f>Sites[[#This Row],[SOL'#]]</f>
        <v>SOL-10961</v>
      </c>
      <c r="D113" s="9">
        <v>263920</v>
      </c>
      <c r="E113" s="14">
        <v>81060</v>
      </c>
      <c r="F113" s="14">
        <f t="shared" si="13"/>
        <v>182860</v>
      </c>
      <c r="G113" s="15">
        <f t="shared" si="17"/>
        <v>2.2558598568961261</v>
      </c>
      <c r="H113" s="16">
        <v>300053.00400000002</v>
      </c>
      <c r="I113" s="16">
        <f t="shared" si="14"/>
        <v>-36133.004000000015</v>
      </c>
      <c r="J113" s="15">
        <f t="shared" si="15"/>
        <v>-0.12042207049525161</v>
      </c>
      <c r="K113" s="183" t="s">
        <v>2543</v>
      </c>
      <c r="L113" s="111" t="s">
        <v>2544</v>
      </c>
      <c r="M113" s="65" t="s">
        <v>2545</v>
      </c>
      <c r="N113" s="112" t="s">
        <v>2546</v>
      </c>
    </row>
    <row r="114" spans="1:18" ht="57.6">
      <c r="A114" s="24" t="str">
        <v>Brickchurch</v>
      </c>
      <c r="B114" s="25" t="str">
        <v>NY</v>
      </c>
      <c r="C114" s="25" t="str">
        <f>Sites[[#This Row],[SOL'#]]</f>
        <v>SOL-10889</v>
      </c>
      <c r="D114" s="20">
        <v>66070</v>
      </c>
      <c r="E114" s="10">
        <v>66930</v>
      </c>
      <c r="F114" s="10">
        <f t="shared" ref="F114:F145" si="18">IF(AND(ISNUMBER(D114),ISNUMBER(E114)), D114-E114, "")</f>
        <v>-860</v>
      </c>
      <c r="G114" s="11">
        <f t="shared" si="17"/>
        <v>-1.2849245480352607E-2</v>
      </c>
      <c r="H114" s="12">
        <v>124629.8</v>
      </c>
      <c r="I114" s="12">
        <f t="shared" ref="I114:I145" si="19">IF(AND(ISNUMBER(D114),ISNUMBER(H114)), D114-H114, "")</f>
        <v>-58559.8</v>
      </c>
      <c r="J114" s="13">
        <f t="shared" ref="J114:J145" si="20">IFERROR(I114/H114, "")</f>
        <v>-0.46986996689395316</v>
      </c>
      <c r="K114" s="49" t="s">
        <v>2547</v>
      </c>
      <c r="L114" s="110" t="s">
        <v>2548</v>
      </c>
      <c r="M114" s="109" t="s">
        <v>2549</v>
      </c>
      <c r="N114" s="112" t="s">
        <v>2550</v>
      </c>
      <c r="O114" s="112" t="s">
        <v>2551</v>
      </c>
      <c r="P114" s="112" t="s">
        <v>2552</v>
      </c>
    </row>
    <row r="115" spans="1:18" ht="29.25" customHeight="1">
      <c r="A115" s="26" t="str">
        <v>McCarthy Solar</v>
      </c>
      <c r="B115" s="27" t="str">
        <v>NY</v>
      </c>
      <c r="C115" s="26" t="str">
        <f>Sites[[#This Row],[SOL'#]]</f>
        <v>SOL-10992</v>
      </c>
      <c r="D115" s="9">
        <v>45370</v>
      </c>
      <c r="E115" s="14">
        <v>0</v>
      </c>
      <c r="F115" s="14">
        <f t="shared" si="18"/>
        <v>45370</v>
      </c>
      <c r="G115" s="15" t="str">
        <f t="shared" si="17"/>
        <v/>
      </c>
      <c r="H115" s="16">
        <v>207683.3</v>
      </c>
      <c r="I115" s="16">
        <f t="shared" si="19"/>
        <v>-162313.29999999999</v>
      </c>
      <c r="J115" s="15">
        <f t="shared" si="20"/>
        <v>-0.78154237726384357</v>
      </c>
      <c r="K115" s="179" t="s">
        <v>2553</v>
      </c>
      <c r="L115" s="111" t="s">
        <v>2554</v>
      </c>
      <c r="M115" s="93" t="s">
        <v>2555</v>
      </c>
      <c r="N115" s="112" t="s">
        <v>2556</v>
      </c>
    </row>
    <row r="116" spans="1:18" ht="86.45">
      <c r="A116" s="24" t="str">
        <v>Costanza</v>
      </c>
      <c r="B116" s="25" t="str">
        <v>NY</v>
      </c>
      <c r="C116" s="25" t="str">
        <f>Sites[[#This Row],[SOL'#]]</f>
        <v>SOL-10907</v>
      </c>
      <c r="D116" s="20">
        <v>146240</v>
      </c>
      <c r="E116" s="10">
        <v>146436.70000000001</v>
      </c>
      <c r="F116" s="10">
        <f t="shared" si="18"/>
        <v>-196.70000000001164</v>
      </c>
      <c r="G116" s="11">
        <f t="shared" si="17"/>
        <v>-1.3432425068306759E-3</v>
      </c>
      <c r="H116" s="12">
        <v>185414.084</v>
      </c>
      <c r="I116" s="12">
        <f t="shared" si="19"/>
        <v>-39174.084000000003</v>
      </c>
      <c r="J116" s="13">
        <f t="shared" si="20"/>
        <v>-0.21127890155313123</v>
      </c>
      <c r="K116" s="49" t="s">
        <v>2557</v>
      </c>
      <c r="L116" s="110" t="s">
        <v>2558</v>
      </c>
      <c r="M116" s="109" t="s">
        <v>2559</v>
      </c>
      <c r="N116" s="112" t="s">
        <v>2560</v>
      </c>
      <c r="O116" s="112" t="s">
        <v>2561</v>
      </c>
      <c r="P116" s="112" t="s">
        <v>2562</v>
      </c>
      <c r="Q116" s="112" t="s">
        <v>2563</v>
      </c>
      <c r="R116" s="112" t="s">
        <v>2564</v>
      </c>
    </row>
    <row r="117" spans="1:18" ht="28.9">
      <c r="A117" s="26" t="str">
        <v>Lockenhurst Pond</v>
      </c>
      <c r="B117" s="27" t="str">
        <v>NY</v>
      </c>
      <c r="C117" s="26" t="str">
        <f>Sites[[#This Row],[SOL'#]]</f>
        <v>SOL-11000</v>
      </c>
      <c r="D117" s="9">
        <v>162381</v>
      </c>
      <c r="E117" s="14">
        <v>178371.20000000001</v>
      </c>
      <c r="F117" s="14">
        <f t="shared" si="18"/>
        <v>-15990.200000000012</v>
      </c>
      <c r="G117" s="15">
        <f t="shared" si="17"/>
        <v>-8.9645637860820637E-2</v>
      </c>
      <c r="H117" s="16">
        <v>186277</v>
      </c>
      <c r="I117" s="16">
        <f t="shared" si="19"/>
        <v>-23896</v>
      </c>
      <c r="J117" s="15">
        <f t="shared" si="20"/>
        <v>-0.12828207454489818</v>
      </c>
      <c r="K117" s="180" t="s">
        <v>2565</v>
      </c>
      <c r="L117" s="93"/>
    </row>
    <row r="118" spans="1:18" ht="28.9">
      <c r="A118" s="24" t="str">
        <v>Drinkwater</v>
      </c>
      <c r="B118" s="25" t="str">
        <v>NY</v>
      </c>
      <c r="C118" s="25" t="str">
        <f>Sites[[#This Row],[SOL'#]]</f>
        <v>SOL-10896</v>
      </c>
      <c r="D118" s="20">
        <v>139130</v>
      </c>
      <c r="E118" s="10">
        <v>138060</v>
      </c>
      <c r="F118" s="10">
        <f t="shared" si="18"/>
        <v>1070</v>
      </c>
      <c r="G118" s="11">
        <f t="shared" si="17"/>
        <v>7.7502535129653771E-3</v>
      </c>
      <c r="H118" s="12">
        <v>185773.391</v>
      </c>
      <c r="I118" s="12">
        <f t="shared" si="19"/>
        <v>-46643.391000000003</v>
      </c>
      <c r="J118" s="13">
        <f t="shared" si="20"/>
        <v>-0.25107681325578002</v>
      </c>
      <c r="K118" s="49" t="s">
        <v>2566</v>
      </c>
      <c r="L118" s="49"/>
    </row>
    <row r="119" spans="1:18" ht="43.15">
      <c r="A119" s="26" t="str">
        <v>Altamont</v>
      </c>
      <c r="B119" s="27" t="str">
        <v>NY</v>
      </c>
      <c r="C119" s="26" t="str">
        <f>Sites[[#This Row],[SOL'#]]</f>
        <v>SOL-11085</v>
      </c>
      <c r="D119" s="9">
        <v>317255</v>
      </c>
      <c r="E119" s="14">
        <v>383759.9</v>
      </c>
      <c r="F119" s="14">
        <f t="shared" si="18"/>
        <v>-66504.900000000023</v>
      </c>
      <c r="G119" s="15">
        <f t="shared" si="17"/>
        <v>-0.173298200254899</v>
      </c>
      <c r="H119" s="91">
        <v>334880.90000000002</v>
      </c>
      <c r="I119" s="16">
        <f t="shared" si="19"/>
        <v>-17625.900000000023</v>
      </c>
      <c r="J119" s="15">
        <f t="shared" si="20"/>
        <v>-5.2633339196114265E-2</v>
      </c>
      <c r="K119" s="179" t="s">
        <v>2567</v>
      </c>
      <c r="L119" s="111" t="s">
        <v>2568</v>
      </c>
      <c r="M119" s="65" t="s">
        <v>2569</v>
      </c>
      <c r="N119" s="112" t="s">
        <v>2570</v>
      </c>
    </row>
    <row r="120" spans="1:18" ht="15.6">
      <c r="A120" s="24" t="str">
        <v>Krumkill North</v>
      </c>
      <c r="B120" s="25" t="str">
        <v>NY</v>
      </c>
      <c r="C120" s="25" t="str">
        <f>Sites[[#This Row],[SOL'#]]</f>
        <v>SOL-11086</v>
      </c>
      <c r="D120" s="20">
        <v>232343</v>
      </c>
      <c r="E120" s="10">
        <v>299357.59999999998</v>
      </c>
      <c r="F120" s="10">
        <f t="shared" si="18"/>
        <v>-67014.599999999977</v>
      </c>
      <c r="G120" s="11">
        <f t="shared" si="17"/>
        <v>-0.22386136179605923</v>
      </c>
      <c r="H120" s="12">
        <v>419535.3</v>
      </c>
      <c r="I120" s="12">
        <f t="shared" si="19"/>
        <v>-187192.3</v>
      </c>
      <c r="J120" s="13">
        <f t="shared" si="20"/>
        <v>-0.44618962933512385</v>
      </c>
      <c r="K120" s="49" t="s">
        <v>2065</v>
      </c>
      <c r="L120" s="49"/>
    </row>
    <row r="121" spans="1:18" ht="30" customHeight="1">
      <c r="A121" s="26" t="str">
        <v>Krumkill South</v>
      </c>
      <c r="B121" s="27" t="str">
        <v>NY</v>
      </c>
      <c r="C121" s="26" t="str">
        <f>Sites[[#This Row],[SOL'#]]</f>
        <v>SOL-11087</v>
      </c>
      <c r="D121" s="9">
        <v>218985</v>
      </c>
      <c r="E121" s="14">
        <v>274991.7</v>
      </c>
      <c r="F121" s="14">
        <f t="shared" si="18"/>
        <v>-56006.700000000012</v>
      </c>
      <c r="G121" s="15">
        <f t="shared" si="17"/>
        <v>-0.20366687430929736</v>
      </c>
      <c r="H121" s="16">
        <v>328902.5</v>
      </c>
      <c r="I121" s="16">
        <f t="shared" si="19"/>
        <v>-109917.5</v>
      </c>
      <c r="J121" s="15">
        <f t="shared" si="20"/>
        <v>-0.33419478416856058</v>
      </c>
      <c r="K121" s="179" t="s">
        <v>2571</v>
      </c>
      <c r="L121" s="111" t="s">
        <v>2572</v>
      </c>
      <c r="M121" s="104" t="s">
        <v>2120</v>
      </c>
    </row>
    <row r="122" spans="1:18" ht="15.6">
      <c r="A122" s="24" t="str">
        <v>X092</v>
      </c>
      <c r="B122" s="25" t="str">
        <v>NY</v>
      </c>
      <c r="C122" s="25" t="str">
        <f>Sites[[#This Row],[SOL'#]]</f>
        <v>SOL-11189</v>
      </c>
      <c r="D122" s="20">
        <v>7322.3999999999896</v>
      </c>
      <c r="E122" s="10">
        <v>7811.5810000000001</v>
      </c>
      <c r="F122" s="10">
        <f t="shared" si="18"/>
        <v>-489.1810000000105</v>
      </c>
      <c r="G122" s="11">
        <f t="shared" si="17"/>
        <v>-6.2622534413969533E-2</v>
      </c>
      <c r="H122" s="12">
        <v>8644</v>
      </c>
      <c r="I122" s="12">
        <f t="shared" si="19"/>
        <v>-1321.6000000000104</v>
      </c>
      <c r="J122" s="13">
        <f t="shared" si="20"/>
        <v>-0.15289217954650744</v>
      </c>
      <c r="K122" s="49" t="s">
        <v>2573</v>
      </c>
      <c r="L122" s="49"/>
    </row>
    <row r="123" spans="1:18" ht="15.6">
      <c r="A123" s="26" t="str">
        <v>X093</v>
      </c>
      <c r="B123" s="27" t="str">
        <v>NY</v>
      </c>
      <c r="C123" s="26" t="str">
        <f>Sites[[#This Row],[SOL'#]]</f>
        <v>SOL-10932</v>
      </c>
      <c r="D123" s="9">
        <v>5398.7109375</v>
      </c>
      <c r="E123" s="14">
        <v>5737.0940000000001</v>
      </c>
      <c r="F123" s="14">
        <f t="shared" si="18"/>
        <v>-338.38306250000005</v>
      </c>
      <c r="G123" s="15">
        <f t="shared" ref="G123:G154" si="21">IFERROR(F123/E123, "")</f>
        <v>-5.8981613775196999E-2</v>
      </c>
      <c r="H123" s="16">
        <v>5908</v>
      </c>
      <c r="I123" s="16">
        <f t="shared" si="19"/>
        <v>-509.2890625</v>
      </c>
      <c r="J123" s="15">
        <f t="shared" si="20"/>
        <v>-8.6203294262017602E-2</v>
      </c>
      <c r="K123" s="179"/>
      <c r="L123" s="93"/>
    </row>
    <row r="124" spans="1:18" ht="28.9">
      <c r="A124" s="24" t="str">
        <v>X095</v>
      </c>
      <c r="B124" s="25" t="str">
        <v>NY</v>
      </c>
      <c r="C124" s="25" t="str">
        <f>Sites[[#This Row],[SOL'#]]</f>
        <v>SOL-10929</v>
      </c>
      <c r="D124" s="20">
        <v>7256.0625</v>
      </c>
      <c r="E124" s="10">
        <v>9892.3549999999996</v>
      </c>
      <c r="F124" s="10">
        <f t="shared" si="18"/>
        <v>-2636.2924999999996</v>
      </c>
      <c r="G124" s="11">
        <f t="shared" si="21"/>
        <v>-0.26649796736975168</v>
      </c>
      <c r="H124" s="12">
        <v>8332</v>
      </c>
      <c r="I124" s="12">
        <f t="shared" si="19"/>
        <v>-1075.9375</v>
      </c>
      <c r="J124" s="13">
        <f t="shared" si="20"/>
        <v>-0.12913316130580893</v>
      </c>
      <c r="K124" s="49" t="s">
        <v>2574</v>
      </c>
      <c r="L124" s="49"/>
    </row>
    <row r="125" spans="1:18" ht="18" customHeight="1">
      <c r="A125" s="26" t="str">
        <v>X181</v>
      </c>
      <c r="B125" s="27" t="str">
        <v>NY</v>
      </c>
      <c r="C125" s="26" t="str">
        <f>Sites[[#This Row],[SOL'#]]</f>
        <v>SOL-10428</v>
      </c>
      <c r="D125" s="9">
        <v>13731.71875</v>
      </c>
      <c r="E125" s="14">
        <v>14089.21</v>
      </c>
      <c r="F125" s="14">
        <f t="shared" si="18"/>
        <v>-357.49124999999913</v>
      </c>
      <c r="G125" s="15">
        <f t="shared" si="21"/>
        <v>-2.5373406315896997E-2</v>
      </c>
      <c r="H125" s="16">
        <v>13747</v>
      </c>
      <c r="I125" s="16">
        <f t="shared" si="19"/>
        <v>-15.28125</v>
      </c>
      <c r="J125" s="15">
        <f t="shared" si="20"/>
        <v>-1.1116061686186078E-3</v>
      </c>
      <c r="K125" s="179"/>
      <c r="L125" s="179"/>
    </row>
    <row r="126" spans="1:18" ht="15.6">
      <c r="A126" s="24" t="str">
        <v>X415</v>
      </c>
      <c r="B126" s="25" t="str">
        <v>NY</v>
      </c>
      <c r="C126" s="25" t="str">
        <f>Sites[[#This Row],[SOL'#]]</f>
        <v>SOL-10429</v>
      </c>
      <c r="D126" s="20">
        <v>8417.3842187499995</v>
      </c>
      <c r="E126" s="10">
        <v>7556.8969999999999</v>
      </c>
      <c r="F126" s="10">
        <f t="shared" si="18"/>
        <v>860.48721874999956</v>
      </c>
      <c r="G126" s="11">
        <f t="shared" si="21"/>
        <v>0.11386779768865443</v>
      </c>
      <c r="H126" s="12">
        <v>7479</v>
      </c>
      <c r="I126" s="12">
        <f t="shared" si="19"/>
        <v>938.38421874999949</v>
      </c>
      <c r="J126" s="13">
        <f t="shared" si="20"/>
        <v>0.12546920962027003</v>
      </c>
      <c r="K126" s="49"/>
      <c r="L126" s="49"/>
    </row>
    <row r="127" spans="1:18" ht="15.6">
      <c r="A127" s="26" t="str">
        <v>K198</v>
      </c>
      <c r="B127" s="27" t="str">
        <v>NY</v>
      </c>
      <c r="C127" s="26" t="str">
        <f>Sites[[#This Row],[SOL'#]]</f>
        <v>SOL-10930</v>
      </c>
      <c r="D127" s="9">
        <v>6419.03125</v>
      </c>
      <c r="E127" s="14">
        <v>7026.1880000000001</v>
      </c>
      <c r="F127" s="14">
        <f t="shared" si="18"/>
        <v>-607.1567500000001</v>
      </c>
      <c r="G127" s="15">
        <f t="shared" si="21"/>
        <v>-8.641339372074873E-2</v>
      </c>
      <c r="H127" s="16">
        <v>7080</v>
      </c>
      <c r="I127" s="16">
        <f t="shared" si="19"/>
        <v>-660.96875</v>
      </c>
      <c r="J127" s="15">
        <f t="shared" si="20"/>
        <v>-9.335716807909604E-2</v>
      </c>
      <c r="K127" s="179"/>
      <c r="L127" s="93"/>
    </row>
    <row r="128" spans="1:18" ht="28.9">
      <c r="A128" s="24" t="str">
        <v>K203</v>
      </c>
      <c r="B128" s="25" t="str">
        <v>NY</v>
      </c>
      <c r="C128" s="25" t="str">
        <f>Sites[[#This Row],[SOL'#]]</f>
        <v>SOL-11190</v>
      </c>
      <c r="D128" s="20">
        <v>8063.7999999999902</v>
      </c>
      <c r="E128" s="10">
        <v>7575.0969999999998</v>
      </c>
      <c r="F128" s="10">
        <f t="shared" si="18"/>
        <v>488.70299999999042</v>
      </c>
      <c r="G128" s="11">
        <f t="shared" si="21"/>
        <v>6.4514421399487085E-2</v>
      </c>
      <c r="H128" s="12">
        <v>9907</v>
      </c>
      <c r="I128" s="12">
        <f t="shared" si="19"/>
        <v>-1843.2000000000098</v>
      </c>
      <c r="J128" s="13">
        <f t="shared" si="20"/>
        <v>-0.18605026748763601</v>
      </c>
      <c r="K128" s="49" t="s">
        <v>2575</v>
      </c>
      <c r="L128" s="49"/>
    </row>
    <row r="129" spans="1:14" ht="15.6">
      <c r="A129" s="26" t="str">
        <v>K213</v>
      </c>
      <c r="B129" s="27" t="str">
        <v>NY</v>
      </c>
      <c r="C129" s="26" t="str">
        <f>Sites[[#This Row],[SOL'#]]</f>
        <v>SOL-11191</v>
      </c>
      <c r="D129" s="9">
        <v>8922.3000000000193</v>
      </c>
      <c r="E129" s="14">
        <v>10729.72</v>
      </c>
      <c r="F129" s="14">
        <f t="shared" si="18"/>
        <v>-1807.4199999999801</v>
      </c>
      <c r="G129" s="15">
        <f t="shared" si="21"/>
        <v>-0.1684498756724295</v>
      </c>
      <c r="H129" s="16">
        <v>10161</v>
      </c>
      <c r="I129" s="16">
        <f t="shared" si="19"/>
        <v>-1238.6999999999807</v>
      </c>
      <c r="J129" s="15">
        <f t="shared" si="20"/>
        <v>-0.12190729258931018</v>
      </c>
      <c r="K129" s="179" t="s">
        <v>2299</v>
      </c>
      <c r="L129" s="93"/>
    </row>
    <row r="130" spans="1:14" ht="28.9">
      <c r="A130" s="24" t="str">
        <v>K217</v>
      </c>
      <c r="B130" s="25" t="str">
        <v>NY</v>
      </c>
      <c r="C130" s="25" t="str">
        <f>Sites[[#This Row],[SOL'#]]</f>
        <v>SOL-10933</v>
      </c>
      <c r="D130" s="20">
        <v>4463.46875</v>
      </c>
      <c r="E130" s="10">
        <v>5474.2120000000004</v>
      </c>
      <c r="F130" s="10">
        <f t="shared" si="18"/>
        <v>-1010.7432500000004</v>
      </c>
      <c r="G130" s="11">
        <f t="shared" si="21"/>
        <v>-0.18463721353867923</v>
      </c>
      <c r="H130" s="12">
        <v>4712</v>
      </c>
      <c r="I130" s="12">
        <f t="shared" si="19"/>
        <v>-248.53125</v>
      </c>
      <c r="J130" s="13">
        <f t="shared" si="20"/>
        <v>-5.274432300509338E-2</v>
      </c>
      <c r="K130" s="109" t="s">
        <v>2576</v>
      </c>
      <c r="L130" s="49"/>
    </row>
    <row r="131" spans="1:14" ht="15.6">
      <c r="A131" s="26" t="str">
        <v>K307</v>
      </c>
      <c r="B131" s="27" t="str">
        <v>NY</v>
      </c>
      <c r="C131" s="26" t="str">
        <f>Sites[[#This Row],[SOL'#]]</f>
        <v>SOL-10876</v>
      </c>
      <c r="D131" s="9">
        <v>10209.71875</v>
      </c>
      <c r="E131" s="14">
        <v>16185.57</v>
      </c>
      <c r="F131" s="14">
        <f t="shared" si="18"/>
        <v>-5975.8512499999997</v>
      </c>
      <c r="G131" s="15">
        <f t="shared" si="21"/>
        <v>-0.36920857591051781</v>
      </c>
      <c r="H131" s="16">
        <v>9094</v>
      </c>
      <c r="I131" s="16">
        <f t="shared" si="19"/>
        <v>1115.71875</v>
      </c>
      <c r="J131" s="15">
        <f t="shared" si="20"/>
        <v>0.12268734880140753</v>
      </c>
      <c r="K131" s="179" t="s">
        <v>2066</v>
      </c>
      <c r="L131" s="93"/>
    </row>
    <row r="132" spans="1:14" ht="15.6">
      <c r="A132" s="24" t="str">
        <v>K610</v>
      </c>
      <c r="B132" s="25" t="str">
        <v>NY</v>
      </c>
      <c r="C132" s="25" t="str">
        <f>Sites[[#This Row],[SOL'#]]</f>
        <v>SOL-11158</v>
      </c>
      <c r="D132" s="20">
        <v>12291.8</v>
      </c>
      <c r="E132" s="10">
        <v>12840.36</v>
      </c>
      <c r="F132" s="10">
        <f t="shared" si="18"/>
        <v>-548.56000000000131</v>
      </c>
      <c r="G132" s="11">
        <f t="shared" si="21"/>
        <v>-4.2721543632733137E-2</v>
      </c>
      <c r="H132" s="12">
        <v>13142</v>
      </c>
      <c r="I132" s="12">
        <f t="shared" si="19"/>
        <v>-850.20000000000073</v>
      </c>
      <c r="J132" s="13">
        <f t="shared" si="20"/>
        <v>-6.469334956627612E-2</v>
      </c>
      <c r="K132" s="49"/>
      <c r="L132" s="49"/>
    </row>
    <row r="133" spans="1:14" ht="28.9">
      <c r="A133" s="26" t="str">
        <v>M025</v>
      </c>
      <c r="B133" s="27" t="str">
        <v>NY</v>
      </c>
      <c r="C133" s="26" t="str">
        <f>Sites[[#This Row],[SOL'#]]</f>
        <v>SOL-10392</v>
      </c>
      <c r="D133" s="9">
        <v>8862.375</v>
      </c>
      <c r="E133" s="14">
        <v>13193.74</v>
      </c>
      <c r="F133" s="14">
        <f t="shared" si="18"/>
        <v>-4331.3649999999998</v>
      </c>
      <c r="G133" s="15">
        <f t="shared" si="21"/>
        <v>-0.32828940088253972</v>
      </c>
      <c r="H133" s="16">
        <v>12051</v>
      </c>
      <c r="I133" s="16">
        <f t="shared" si="19"/>
        <v>-3188.625</v>
      </c>
      <c r="J133" s="15">
        <f t="shared" si="20"/>
        <v>-0.26459422454568088</v>
      </c>
      <c r="K133" s="179" t="s">
        <v>2577</v>
      </c>
      <c r="L133" s="111" t="s">
        <v>2578</v>
      </c>
      <c r="M133" s="65" t="s">
        <v>2254</v>
      </c>
      <c r="N133" s="112" t="s">
        <v>2302</v>
      </c>
    </row>
    <row r="134" spans="1:14" ht="15.6">
      <c r="A134" s="24" t="str">
        <v>M028</v>
      </c>
      <c r="B134" s="25" t="str">
        <v>NY</v>
      </c>
      <c r="C134" s="25" t="str">
        <f>Sites[[#This Row],[SOL'#]]</f>
        <v>SOL-10381</v>
      </c>
      <c r="D134" s="20">
        <v>8206.265625</v>
      </c>
      <c r="E134" s="10">
        <v>8228.2340000000004</v>
      </c>
      <c r="F134" s="10">
        <f t="shared" si="18"/>
        <v>-21.968375000000378</v>
      </c>
      <c r="G134" s="11">
        <f t="shared" si="21"/>
        <v>-2.6698772786481737E-3</v>
      </c>
      <c r="H134" s="12">
        <v>8255</v>
      </c>
      <c r="I134" s="12">
        <f t="shared" si="19"/>
        <v>-48.734375</v>
      </c>
      <c r="J134" s="13">
        <f t="shared" si="20"/>
        <v>-5.9036190187764992E-3</v>
      </c>
      <c r="K134" s="49"/>
      <c r="L134" s="49"/>
    </row>
    <row r="135" spans="1:14" ht="15.6">
      <c r="A135" s="26" t="str">
        <v>Q030</v>
      </c>
      <c r="B135" s="27" t="str">
        <v>NY</v>
      </c>
      <c r="C135" s="26" t="str">
        <f>Sites[[#This Row],[SOL'#]]</f>
        <v>SOL-10878</v>
      </c>
      <c r="D135" s="9">
        <v>9886.484375</v>
      </c>
      <c r="E135" s="14">
        <v>10362.530000000001</v>
      </c>
      <c r="F135" s="14">
        <f t="shared" si="18"/>
        <v>-476.04562500000065</v>
      </c>
      <c r="G135" s="15">
        <f t="shared" si="21"/>
        <v>-4.5939131177424881E-2</v>
      </c>
      <c r="H135" s="16">
        <v>10502</v>
      </c>
      <c r="I135" s="16">
        <f t="shared" si="19"/>
        <v>-615.515625</v>
      </c>
      <c r="J135" s="15">
        <f t="shared" si="20"/>
        <v>-5.8609372024376306E-2</v>
      </c>
      <c r="K135" s="179"/>
      <c r="L135" s="93"/>
    </row>
    <row r="136" spans="1:14" ht="15.6">
      <c r="A136" s="24" t="str">
        <v>Q130</v>
      </c>
      <c r="B136" s="25" t="str">
        <v>NY</v>
      </c>
      <c r="C136" s="25" t="str">
        <f>Sites[[#This Row],[SOL'#]]</f>
        <v>SOL-10877</v>
      </c>
      <c r="D136" s="20">
        <v>5253.20343594528</v>
      </c>
      <c r="E136" s="10">
        <v>6524.2309999999998</v>
      </c>
      <c r="F136" s="10">
        <f t="shared" si="18"/>
        <v>-1271.0275640547197</v>
      </c>
      <c r="G136" s="11">
        <f t="shared" si="21"/>
        <v>-0.19481645638462522</v>
      </c>
      <c r="H136" s="12">
        <v>5411.8490000000002</v>
      </c>
      <c r="I136" s="12">
        <f t="shared" si="19"/>
        <v>-158.64556405472013</v>
      </c>
      <c r="J136" s="13">
        <f t="shared" si="20"/>
        <v>-2.9314484579063479E-2</v>
      </c>
      <c r="K136" s="49" t="s">
        <v>2303</v>
      </c>
      <c r="L136" s="49"/>
    </row>
    <row r="137" spans="1:14" ht="15.6">
      <c r="A137" s="26" t="str">
        <v>Q196</v>
      </c>
      <c r="B137" s="27" t="str">
        <v>NY</v>
      </c>
      <c r="C137" s="26" t="str">
        <f>Sites[[#This Row],[SOL'#]]</f>
        <v>SOL-10879</v>
      </c>
      <c r="D137" s="9">
        <v>6858.390625</v>
      </c>
      <c r="E137" s="14">
        <v>8106.3869999999997</v>
      </c>
      <c r="F137" s="14">
        <f t="shared" si="18"/>
        <v>-1247.9963749999997</v>
      </c>
      <c r="G137" s="15">
        <f t="shared" si="21"/>
        <v>-0.15395223235702907</v>
      </c>
      <c r="H137" s="16">
        <v>7155</v>
      </c>
      <c r="I137" s="16">
        <f t="shared" si="19"/>
        <v>-296.609375</v>
      </c>
      <c r="J137" s="15">
        <f t="shared" si="20"/>
        <v>-4.1454839273235497E-2</v>
      </c>
      <c r="K137" s="179" t="s">
        <v>2304</v>
      </c>
      <c r="L137" s="93"/>
    </row>
    <row r="138" spans="1:14" ht="15.6">
      <c r="A138" s="24" t="str">
        <v>Q220</v>
      </c>
      <c r="B138" s="25" t="str">
        <v>NY</v>
      </c>
      <c r="C138" s="25" t="str">
        <f>Sites[[#This Row],[SOL'#]]</f>
        <v>SOL-10873</v>
      </c>
      <c r="D138" s="20">
        <v>7129.859375</v>
      </c>
      <c r="E138" s="10">
        <v>10711.88</v>
      </c>
      <c r="F138" s="10">
        <f t="shared" si="18"/>
        <v>-3582.0206249999992</v>
      </c>
      <c r="G138" s="11">
        <f t="shared" si="21"/>
        <v>-0.33439700827492463</v>
      </c>
      <c r="H138" s="12">
        <v>7400</v>
      </c>
      <c r="I138" s="12">
        <f t="shared" si="19"/>
        <v>-270.140625</v>
      </c>
      <c r="J138" s="13">
        <f t="shared" si="20"/>
        <v>-3.6505489864864862E-2</v>
      </c>
      <c r="K138" s="49" t="s">
        <v>1364</v>
      </c>
      <c r="L138" s="49"/>
    </row>
    <row r="139" spans="1:14" ht="15.6">
      <c r="A139" s="26" t="str">
        <v>Q205</v>
      </c>
      <c r="B139" s="27" t="str">
        <v>NY</v>
      </c>
      <c r="C139" s="26" t="str">
        <f>Sites[[#This Row],[SOL'#]]</f>
        <v>SOL-10922</v>
      </c>
      <c r="D139" s="9">
        <v>10737.921875</v>
      </c>
      <c r="E139" s="14">
        <v>13507.12</v>
      </c>
      <c r="F139" s="14">
        <f t="shared" si="18"/>
        <v>-2769.1981250000008</v>
      </c>
      <c r="G139" s="15">
        <f t="shared" si="21"/>
        <v>-0.20501765920492307</v>
      </c>
      <c r="H139" s="16">
        <v>10532</v>
      </c>
      <c r="I139" s="16">
        <f t="shared" si="19"/>
        <v>205.921875</v>
      </c>
      <c r="J139" s="15">
        <f t="shared" si="20"/>
        <v>1.9552020034181543E-2</v>
      </c>
      <c r="K139" s="179" t="s">
        <v>2305</v>
      </c>
      <c r="L139" s="93"/>
    </row>
    <row r="140" spans="1:14" ht="15.6">
      <c r="A140" s="28" t="str">
        <v>Q400</v>
      </c>
      <c r="B140" s="25" t="str">
        <v>NY</v>
      </c>
      <c r="C140" s="25" t="str">
        <f>Sites[[#This Row],[SOL'#]]</f>
        <v>SOL-10871</v>
      </c>
      <c r="D140" s="54">
        <v>9888.3125</v>
      </c>
      <c r="E140" s="10" t="s">
        <v>661</v>
      </c>
      <c r="F140" s="10" t="str">
        <f t="shared" si="18"/>
        <v/>
      </c>
      <c r="G140" s="55" t="str">
        <f t="shared" si="21"/>
        <v/>
      </c>
      <c r="H140" s="67">
        <v>15542</v>
      </c>
      <c r="I140" s="67">
        <f t="shared" si="19"/>
        <v>-5653.6875</v>
      </c>
      <c r="J140" s="64">
        <f t="shared" si="20"/>
        <v>-0.36376833740831294</v>
      </c>
      <c r="K140" s="109" t="s">
        <v>2579</v>
      </c>
      <c r="L140" s="110" t="s">
        <v>2580</v>
      </c>
      <c r="M140" s="104" t="s">
        <v>2120</v>
      </c>
    </row>
    <row r="141" spans="1:14" ht="15.6">
      <c r="A141" s="26" t="str">
        <v>R003</v>
      </c>
      <c r="B141" s="27" t="str">
        <v>NY</v>
      </c>
      <c r="C141" s="26" t="str">
        <f>Sites[[#This Row],[SOL'#]]</f>
        <v>SOL-10416</v>
      </c>
      <c r="D141" s="66">
        <v>16239.90625</v>
      </c>
      <c r="E141" s="14">
        <v>15609.61</v>
      </c>
      <c r="F141" s="14">
        <f t="shared" si="18"/>
        <v>630.29624999999942</v>
      </c>
      <c r="G141" s="68">
        <f t="shared" si="21"/>
        <v>4.0378731435314487E-2</v>
      </c>
      <c r="H141" s="69">
        <v>15818</v>
      </c>
      <c r="I141" s="69">
        <f t="shared" si="19"/>
        <v>421.90625</v>
      </c>
      <c r="J141" s="68">
        <f t="shared" si="20"/>
        <v>2.6672540776330762E-2</v>
      </c>
      <c r="K141" s="179"/>
      <c r="L141" s="95"/>
    </row>
    <row r="142" spans="1:14" ht="28.9">
      <c r="A142" s="24" t="str">
        <v>R007</v>
      </c>
      <c r="B142" s="25" t="str">
        <v>NY</v>
      </c>
      <c r="C142" s="25" t="str">
        <f>Sites[[#This Row],[SOL'#]]</f>
        <v>SOL-10417</v>
      </c>
      <c r="D142" s="54">
        <v>17423.4375</v>
      </c>
      <c r="E142" s="10">
        <v>18500.07</v>
      </c>
      <c r="F142" s="10">
        <f t="shared" si="18"/>
        <v>-1076.6324999999997</v>
      </c>
      <c r="G142" s="55">
        <f t="shared" si="21"/>
        <v>-5.8196131149774011E-2</v>
      </c>
      <c r="H142" s="67">
        <v>22988.13</v>
      </c>
      <c r="I142" s="67">
        <f t="shared" si="19"/>
        <v>-5564.692500000001</v>
      </c>
      <c r="J142" s="64">
        <f t="shared" si="20"/>
        <v>-0.24206808035277341</v>
      </c>
      <c r="K142" s="109" t="s">
        <v>2581</v>
      </c>
      <c r="L142" s="49"/>
    </row>
    <row r="143" spans="1:14" ht="15.6">
      <c r="A143" s="26" t="str">
        <v>BK16</v>
      </c>
      <c r="B143" s="27" t="str">
        <v>NY</v>
      </c>
      <c r="C143" s="26" t="str">
        <f>Sites[[#This Row],[SOL'#]]</f>
        <v>SOL-11093</v>
      </c>
      <c r="D143" s="66">
        <v>16280.375</v>
      </c>
      <c r="E143" s="14">
        <v>17315.66</v>
      </c>
      <c r="F143" s="14">
        <f t="shared" si="18"/>
        <v>-1035.2849999999999</v>
      </c>
      <c r="G143" s="68">
        <f t="shared" si="21"/>
        <v>-5.978894249482837E-2</v>
      </c>
      <c r="H143" s="69">
        <v>16902</v>
      </c>
      <c r="I143" s="69">
        <f t="shared" si="19"/>
        <v>-621.625</v>
      </c>
      <c r="J143" s="68">
        <f t="shared" si="20"/>
        <v>-3.6778191929949119E-2</v>
      </c>
      <c r="K143" s="179"/>
      <c r="L143" s="95"/>
    </row>
    <row r="144" spans="1:14" ht="15.6">
      <c r="A144" s="24" t="str">
        <v>Trenton - Trenton East</v>
      </c>
      <c r="B144" s="25" t="str">
        <v>IL</v>
      </c>
      <c r="C144" s="25" t="str">
        <f>Sites[[#This Row],[SOL'#]]</f>
        <v>SOL-11060</v>
      </c>
      <c r="D144" s="54">
        <v>253712</v>
      </c>
      <c r="E144" s="10">
        <v>255632.3</v>
      </c>
      <c r="F144" s="10">
        <f t="shared" si="18"/>
        <v>-1920.2999999999884</v>
      </c>
      <c r="G144" s="55">
        <f t="shared" si="21"/>
        <v>-7.5119615166001656E-3</v>
      </c>
      <c r="H144" s="67">
        <v>220448</v>
      </c>
      <c r="I144" s="67">
        <f t="shared" si="19"/>
        <v>33264</v>
      </c>
      <c r="J144" s="64">
        <f t="shared" si="20"/>
        <v>0.15089272753665264</v>
      </c>
      <c r="K144" s="109" t="s">
        <v>2582</v>
      </c>
      <c r="L144" s="110" t="s">
        <v>2583</v>
      </c>
      <c r="M144" s="104" t="s">
        <v>2120</v>
      </c>
    </row>
    <row r="145" spans="1:15" ht="48" customHeight="1">
      <c r="A145" s="26" t="str">
        <v>Trenton - Trenton West</v>
      </c>
      <c r="B145" s="27" t="str">
        <v>IL</v>
      </c>
      <c r="C145" s="26" t="str">
        <f>Sites[[#This Row],[SOL'#]]</f>
        <v>SOL-11061</v>
      </c>
      <c r="D145" s="66">
        <v>253189</v>
      </c>
      <c r="E145" s="14">
        <v>224052</v>
      </c>
      <c r="F145" s="14">
        <f t="shared" si="18"/>
        <v>29137</v>
      </c>
      <c r="G145" s="68">
        <f t="shared" si="21"/>
        <v>0.13004570367593238</v>
      </c>
      <c r="H145" s="69">
        <v>229321</v>
      </c>
      <c r="I145" s="69">
        <f t="shared" si="19"/>
        <v>23868</v>
      </c>
      <c r="J145" s="68">
        <f t="shared" si="20"/>
        <v>0.10408117878432416</v>
      </c>
      <c r="K145" s="179" t="s">
        <v>2584</v>
      </c>
      <c r="L145" s="123" t="s">
        <v>2585</v>
      </c>
      <c r="M145" s="65" t="s">
        <v>2586</v>
      </c>
      <c r="N145" s="112" t="s">
        <v>2587</v>
      </c>
    </row>
    <row r="146" spans="1:15" ht="15.6">
      <c r="A146" s="24" t="str">
        <v>Dakota - Dakota Solar 1</v>
      </c>
      <c r="B146" s="25" t="str">
        <v>IL</v>
      </c>
      <c r="C146" s="25" t="str">
        <f>Sites[[#This Row],[SOL'#]]</f>
        <v>SOL-11113</v>
      </c>
      <c r="D146" s="54">
        <v>206864</v>
      </c>
      <c r="E146" s="10">
        <v>211766.3</v>
      </c>
      <c r="F146" s="10">
        <f t="shared" ref="F146:F154" si="22">IF(AND(ISNUMBER(D146),ISNUMBER(E146)), D146-E146, "")</f>
        <v>-4902.2999999999884</v>
      </c>
      <c r="G146" s="55">
        <f t="shared" si="21"/>
        <v>-2.3149575735138161E-2</v>
      </c>
      <c r="H146" s="67">
        <v>210384</v>
      </c>
      <c r="I146" s="67">
        <f t="shared" ref="I146:I158" si="23">IF(AND(ISNUMBER(D146),ISNUMBER(H146)), D146-H146, "")</f>
        <v>-3520</v>
      </c>
      <c r="J146" s="64">
        <f t="shared" ref="J146:J158" si="24">IFERROR(I146/H146, "")</f>
        <v>-1.6731310365807286E-2</v>
      </c>
      <c r="K146" s="109"/>
      <c r="L146" s="49"/>
    </row>
    <row r="147" spans="1:15" ht="43.15">
      <c r="A147" s="26" t="str">
        <v>X018</v>
      </c>
      <c r="B147" s="27" t="str">
        <v>NY</v>
      </c>
      <c r="C147" s="26" t="str">
        <f>Sites[[#This Row],[SOL'#]]</f>
        <v>SOL-10418</v>
      </c>
      <c r="D147" s="66">
        <v>7739.28125</v>
      </c>
      <c r="E147" s="14">
        <v>7884.0860000000002</v>
      </c>
      <c r="F147" s="14">
        <f t="shared" si="22"/>
        <v>-144.80475000000024</v>
      </c>
      <c r="G147" s="68">
        <f t="shared" si="21"/>
        <v>-1.8366713655837877E-2</v>
      </c>
      <c r="H147" s="69">
        <v>9450</v>
      </c>
      <c r="I147" s="69">
        <f t="shared" si="23"/>
        <v>-1710.71875</v>
      </c>
      <c r="J147" s="68">
        <f t="shared" si="24"/>
        <v>-0.18102843915343916</v>
      </c>
      <c r="K147" s="179" t="s">
        <v>2588</v>
      </c>
      <c r="L147" s="95"/>
    </row>
    <row r="148" spans="1:15" ht="28.9">
      <c r="A148" s="24" t="str">
        <v>Janiak Solar</v>
      </c>
      <c r="B148" s="25" t="str">
        <v>NY</v>
      </c>
      <c r="C148" s="25" t="str">
        <f>Sites[[#This Row],[SOL'#]]</f>
        <v>SOL-10898</v>
      </c>
      <c r="D148" s="54">
        <v>128714.643887677</v>
      </c>
      <c r="E148" s="10">
        <v>133336.79999999999</v>
      </c>
      <c r="F148" s="10">
        <f t="shared" si="22"/>
        <v>-4622.1561123229912</v>
      </c>
      <c r="G148" s="55">
        <f t="shared" si="21"/>
        <v>-3.4665269545414254E-2</v>
      </c>
      <c r="H148" s="67">
        <v>206814</v>
      </c>
      <c r="I148" s="67">
        <f t="shared" si="23"/>
        <v>-78099.356112323003</v>
      </c>
      <c r="J148" s="64">
        <f t="shared" si="24"/>
        <v>-0.37763089593704008</v>
      </c>
      <c r="K148" s="109" t="s">
        <v>2589</v>
      </c>
      <c r="L148" s="110" t="s">
        <v>2590</v>
      </c>
      <c r="M148" s="65" t="s">
        <v>2254</v>
      </c>
      <c r="N148" s="112" t="s">
        <v>2591</v>
      </c>
    </row>
    <row r="149" spans="1:15" ht="15.6">
      <c r="A149" s="26" t="str">
        <v>County Route 11B</v>
      </c>
      <c r="B149" s="27" t="str">
        <v>NY</v>
      </c>
      <c r="C149" s="26" t="str">
        <f>Sites[[#This Row],[SOL'#]]</f>
        <v>SOL-10983</v>
      </c>
      <c r="D149" s="66">
        <v>279722</v>
      </c>
      <c r="E149" s="14">
        <v>273566.3</v>
      </c>
      <c r="F149" s="14">
        <f t="shared" si="22"/>
        <v>6155.7000000000116</v>
      </c>
      <c r="G149" s="68">
        <f t="shared" si="21"/>
        <v>2.250167509667679E-2</v>
      </c>
      <c r="H149" s="127" t="s">
        <v>661</v>
      </c>
      <c r="I149" s="69" t="str">
        <f t="shared" si="23"/>
        <v/>
      </c>
      <c r="J149" s="68" t="str">
        <f t="shared" si="24"/>
        <v/>
      </c>
      <c r="K149" s="179"/>
      <c r="L149" s="96"/>
    </row>
    <row r="150" spans="1:15" ht="43.15">
      <c r="A150" s="24" t="str">
        <v>Barone</v>
      </c>
      <c r="B150" s="25" t="str">
        <v>NY</v>
      </c>
      <c r="C150" s="25" t="str">
        <f>Sites[[#This Row],[SOL'#]]</f>
        <v>SOL-11034</v>
      </c>
      <c r="D150" s="54">
        <v>225837</v>
      </c>
      <c r="E150" s="10">
        <v>221879</v>
      </c>
      <c r="F150" s="10">
        <f t="shared" si="22"/>
        <v>3958</v>
      </c>
      <c r="G150" s="55">
        <f t="shared" si="21"/>
        <v>1.7838551643012634E-2</v>
      </c>
      <c r="H150" s="67">
        <v>297505</v>
      </c>
      <c r="I150" s="67">
        <f t="shared" si="23"/>
        <v>-71668</v>
      </c>
      <c r="J150" s="64">
        <f t="shared" si="24"/>
        <v>-0.24089679165056049</v>
      </c>
      <c r="K150" s="109" t="s">
        <v>2592</v>
      </c>
      <c r="L150" s="110" t="s">
        <v>2593</v>
      </c>
      <c r="M150" s="65" t="s">
        <v>2594</v>
      </c>
      <c r="N150" s="112" t="s">
        <v>2595</v>
      </c>
      <c r="O150" s="112" t="s">
        <v>2596</v>
      </c>
    </row>
    <row r="151" spans="1:15" ht="15.6">
      <c r="A151" s="26" t="str">
        <v>Cedarville</v>
      </c>
      <c r="B151" s="27" t="str">
        <v>IL</v>
      </c>
      <c r="C151" s="26" t="str">
        <f>Sites[[#This Row],[SOL'#]]</f>
        <v>SOL-11069</v>
      </c>
      <c r="D151" s="66">
        <v>143395</v>
      </c>
      <c r="E151" s="14">
        <v>172391.8</v>
      </c>
      <c r="F151" s="14">
        <f t="shared" si="22"/>
        <v>-28996.799999999988</v>
      </c>
      <c r="G151" s="68">
        <f t="shared" si="21"/>
        <v>-0.16820289596140878</v>
      </c>
      <c r="H151" s="69">
        <v>189071.5</v>
      </c>
      <c r="I151" s="69">
        <f t="shared" si="23"/>
        <v>-45676.5</v>
      </c>
      <c r="J151" s="68">
        <f t="shared" si="24"/>
        <v>-0.24158321058435567</v>
      </c>
      <c r="K151" s="179" t="s">
        <v>2597</v>
      </c>
      <c r="L151" s="115" t="s">
        <v>2598</v>
      </c>
      <c r="M151" s="104" t="s">
        <v>2120</v>
      </c>
    </row>
    <row r="152" spans="1:15" ht="28.9">
      <c r="A152" s="24" t="str">
        <v xml:space="preserve"> O'Brien Hill #1</v>
      </c>
      <c r="B152" s="25" t="str">
        <v>NY</v>
      </c>
      <c r="C152" s="25" t="str">
        <f>Sites[[#This Row],[SOL'#]]</f>
        <v>SOL-11098</v>
      </c>
      <c r="D152" s="54">
        <v>0</v>
      </c>
      <c r="E152" s="10">
        <v>0</v>
      </c>
      <c r="F152" s="10">
        <f t="shared" si="22"/>
        <v>0</v>
      </c>
      <c r="G152" s="55" t="str">
        <f t="shared" si="21"/>
        <v/>
      </c>
      <c r="H152" s="148" t="s">
        <v>661</v>
      </c>
      <c r="I152" s="67" t="str">
        <f t="shared" si="23"/>
        <v/>
      </c>
      <c r="J152" s="64" t="str">
        <f t="shared" si="24"/>
        <v/>
      </c>
      <c r="K152" s="109" t="s">
        <v>1390</v>
      </c>
      <c r="L152" s="110" t="s">
        <v>1391</v>
      </c>
      <c r="M152" s="104" t="s">
        <v>2138</v>
      </c>
      <c r="N152" s="112" t="s">
        <v>877</v>
      </c>
    </row>
    <row r="153" spans="1:15" ht="57.6">
      <c r="A153" s="26" t="str">
        <v xml:space="preserve"> O'Brien Hill #2</v>
      </c>
      <c r="B153" s="27" t="str">
        <v>NY</v>
      </c>
      <c r="C153" s="26" t="str">
        <f>Sites[[#This Row],[SOL'#]]</f>
        <v>SOL-11099</v>
      </c>
      <c r="D153" s="66">
        <v>225729</v>
      </c>
      <c r="E153" s="14">
        <v>225636</v>
      </c>
      <c r="F153" s="14">
        <f t="shared" si="22"/>
        <v>93</v>
      </c>
      <c r="G153" s="68">
        <f t="shared" si="21"/>
        <v>4.1216827102058182E-4</v>
      </c>
      <c r="H153" s="127" t="s">
        <v>661</v>
      </c>
      <c r="I153" s="69" t="str">
        <f t="shared" si="23"/>
        <v/>
      </c>
      <c r="J153" s="68" t="str">
        <f t="shared" si="24"/>
        <v/>
      </c>
      <c r="K153" s="179" t="s">
        <v>2599</v>
      </c>
      <c r="L153" s="123" t="s">
        <v>2600</v>
      </c>
      <c r="M153" s="65" t="s">
        <v>2594</v>
      </c>
      <c r="N153" s="112" t="s">
        <v>2601</v>
      </c>
      <c r="O153" s="112" t="s">
        <v>2602</v>
      </c>
    </row>
    <row r="154" spans="1:15" ht="15.6">
      <c r="A154" s="24" t="str">
        <v>Trinity - Freeport</v>
      </c>
      <c r="B154" s="25" t="str">
        <v>IL</v>
      </c>
      <c r="C154" s="25" t="str">
        <f>Sites[[#This Row],[SOL'#]]</f>
        <v>SOL-11057</v>
      </c>
      <c r="D154" s="54">
        <v>188687</v>
      </c>
      <c r="E154" s="10">
        <v>213822.2</v>
      </c>
      <c r="F154" s="10">
        <f t="shared" si="22"/>
        <v>-25135.200000000012</v>
      </c>
      <c r="G154" s="55">
        <f t="shared" si="21"/>
        <v>-0.11755187253708928</v>
      </c>
      <c r="H154" s="67">
        <v>199856</v>
      </c>
      <c r="I154" s="67">
        <f t="shared" si="23"/>
        <v>-11169</v>
      </c>
      <c r="J154" s="64">
        <f t="shared" si="24"/>
        <v>-5.5885237370907052E-2</v>
      </c>
      <c r="K154" s="109" t="s">
        <v>2603</v>
      </c>
      <c r="L154" s="110" t="s">
        <v>2604</v>
      </c>
      <c r="M154" s="104" t="s">
        <v>2120</v>
      </c>
    </row>
    <row r="155" spans="1:15" ht="28.9">
      <c r="A155" s="26" t="str">
        <v>Ransom</v>
      </c>
      <c r="B155" s="27" t="str">
        <v>NY</v>
      </c>
      <c r="C155" s="26" t="str">
        <f>Sites[[#This Row],[SOL'#]]</f>
        <v>SOL-11157</v>
      </c>
      <c r="D155" s="66">
        <v>315223</v>
      </c>
      <c r="E155" s="14">
        <v>310457</v>
      </c>
      <c r="F155" s="14">
        <v>0</v>
      </c>
      <c r="G155" s="68">
        <f t="shared" ref="G155:G158" si="25">IFERROR(F155/E155, "")</f>
        <v>0</v>
      </c>
      <c r="H155" s="127" t="s">
        <v>661</v>
      </c>
      <c r="I155" s="69" t="str">
        <f t="shared" si="23"/>
        <v/>
      </c>
      <c r="J155" s="68" t="str">
        <f t="shared" si="24"/>
        <v/>
      </c>
      <c r="K155" s="179" t="s">
        <v>2605</v>
      </c>
      <c r="L155" s="115" t="s">
        <v>2606</v>
      </c>
      <c r="M155" s="104" t="s">
        <v>2120</v>
      </c>
    </row>
    <row r="156" spans="1:15" ht="15.6">
      <c r="A156" s="24" t="str">
        <v>Horseheads - Wedge</v>
      </c>
      <c r="B156" s="25" t="str">
        <v>NY</v>
      </c>
      <c r="C156" s="25" t="str">
        <f>Sites[[#This Row],[SOL'#]]</f>
        <v>SOL-11160</v>
      </c>
      <c r="D156" s="54">
        <v>179848</v>
      </c>
      <c r="E156" s="10">
        <v>177557</v>
      </c>
      <c r="F156" s="10">
        <f t="shared" ref="F156:F158" si="26">IF(AND(ISNUMBER(D156),ISNUMBER(E156)), D156-E156, "")</f>
        <v>2291</v>
      </c>
      <c r="G156" s="55">
        <f t="shared" si="25"/>
        <v>1.2902898787431642E-2</v>
      </c>
      <c r="H156" s="148" t="s">
        <v>661</v>
      </c>
      <c r="I156" s="67" t="str">
        <f t="shared" si="23"/>
        <v/>
      </c>
      <c r="J156" s="64" t="str">
        <f t="shared" si="24"/>
        <v/>
      </c>
      <c r="K156" s="109" t="s">
        <v>2607</v>
      </c>
      <c r="L156" s="110" t="s">
        <v>2608</v>
      </c>
      <c r="M156" s="104" t="s">
        <v>2239</v>
      </c>
    </row>
    <row r="157" spans="1:15" ht="28.9">
      <c r="A157" s="26" t="str">
        <v>Otisville - Shoddy Hollow</v>
      </c>
      <c r="B157" s="27" t="str">
        <v>NY</v>
      </c>
      <c r="C157" s="26" t="str">
        <f>Sites[[#This Row],[SOL'#]]</f>
        <v>SOL-11185</v>
      </c>
      <c r="D157" s="66">
        <v>395324</v>
      </c>
      <c r="E157" s="14">
        <v>390173</v>
      </c>
      <c r="F157" s="14">
        <f t="shared" si="26"/>
        <v>5151</v>
      </c>
      <c r="G157" s="68">
        <f t="shared" si="25"/>
        <v>1.3201836108597981E-2</v>
      </c>
      <c r="H157" s="127" t="s">
        <v>661</v>
      </c>
      <c r="I157" s="69" t="str">
        <f t="shared" si="23"/>
        <v/>
      </c>
      <c r="J157" s="68" t="str">
        <f t="shared" si="24"/>
        <v/>
      </c>
      <c r="K157" s="179" t="s">
        <v>2609</v>
      </c>
      <c r="L157" s="123" t="s">
        <v>2610</v>
      </c>
      <c r="M157" s="65" t="s">
        <v>2611</v>
      </c>
      <c r="N157" s="112" t="s">
        <v>2612</v>
      </c>
    </row>
    <row r="158" spans="1:15" ht="43.15">
      <c r="A158" s="24" t="str">
        <v>Wellsville - Chenunda Creek</v>
      </c>
      <c r="B158" s="25" t="str">
        <v>NY</v>
      </c>
      <c r="C158" s="25" t="str">
        <f>Sites[[#This Row],[SOL'#]]</f>
        <v>SOL-11187</v>
      </c>
      <c r="D158" s="54">
        <v>136191</v>
      </c>
      <c r="E158" s="10">
        <v>133652</v>
      </c>
      <c r="F158" s="10">
        <f t="shared" si="26"/>
        <v>2539</v>
      </c>
      <c r="G158" s="55">
        <f t="shared" si="25"/>
        <v>1.8997096938317422E-2</v>
      </c>
      <c r="H158" s="148" t="s">
        <v>661</v>
      </c>
      <c r="I158" s="67" t="str">
        <f t="shared" si="23"/>
        <v/>
      </c>
      <c r="J158" s="64" t="str">
        <f t="shared" si="24"/>
        <v/>
      </c>
      <c r="K158" s="109" t="s">
        <v>2613</v>
      </c>
      <c r="L158" s="110" t="s">
        <v>2614</v>
      </c>
      <c r="M158" s="65" t="s">
        <v>2254</v>
      </c>
      <c r="N158" s="112" t="s">
        <v>2615</v>
      </c>
    </row>
    <row r="159" spans="1:15" ht="28.9">
      <c r="A159" s="26" t="str">
        <v>DC: Washington - Essex Condominium</v>
      </c>
      <c r="B159" s="27" t="str">
        <v>DC</v>
      </c>
      <c r="C159" s="26" t="str">
        <f>Sites[[#This Row],[SOL'#]]</f>
        <v>SOL-10036</v>
      </c>
      <c r="D159" s="66">
        <v>1794</v>
      </c>
      <c r="E159" s="14">
        <v>2351.4560000000001</v>
      </c>
      <c r="F159" s="14">
        <f t="shared" ref="F159:F171" si="27">IF(AND(ISNUMBER(D159),ISNUMBER(E159)), D159-E159, "")</f>
        <v>-557.45600000000013</v>
      </c>
      <c r="G159" s="68">
        <f t="shared" ref="G159:G171" si="28">IFERROR(F159/E159, "")</f>
        <v>-0.23706843759781179</v>
      </c>
      <c r="H159" s="69">
        <v>2170.9470000000001</v>
      </c>
      <c r="I159" s="69">
        <f t="shared" ref="I159:I172" si="29">IF(AND(ISNUMBER(D159),ISNUMBER(H159)), D159-H159, "")</f>
        <v>-376.94700000000012</v>
      </c>
      <c r="J159" s="68">
        <f t="shared" ref="J159:J172" si="30">IFERROR(I159/H159, "")</f>
        <v>-0.17363252073864544</v>
      </c>
      <c r="K159" s="179" t="s">
        <v>2103</v>
      </c>
      <c r="L159" s="95"/>
    </row>
    <row r="160" spans="1:15" ht="39.6">
      <c r="A160" s="24" t="str">
        <v>HI: Waipahu - 94-246 Leoku St - E.F.G.</v>
      </c>
      <c r="B160" s="25" t="str">
        <v>HI</v>
      </c>
      <c r="C160" s="25" t="str">
        <f>Sites[[#This Row],[SOL'#]]</f>
        <v>SOL-10071</v>
      </c>
      <c r="D160" s="54">
        <v>5843</v>
      </c>
      <c r="E160" s="10">
        <v>8892.0149999999994</v>
      </c>
      <c r="F160" s="10">
        <f t="shared" si="27"/>
        <v>-3049.0149999999994</v>
      </c>
      <c r="G160" s="55">
        <f t="shared" si="28"/>
        <v>-0.34289359610841857</v>
      </c>
      <c r="H160" s="67">
        <v>9803.4709999999995</v>
      </c>
      <c r="I160" s="67">
        <f t="shared" si="29"/>
        <v>-3960.4709999999995</v>
      </c>
      <c r="J160" s="64">
        <f t="shared" si="30"/>
        <v>-0.4039866084165496</v>
      </c>
      <c r="K160" s="109" t="s">
        <v>2616</v>
      </c>
      <c r="L160" s="117" t="s">
        <v>2356</v>
      </c>
      <c r="M160" s="65" t="s">
        <v>2617</v>
      </c>
      <c r="N160" s="112" t="s">
        <v>2106</v>
      </c>
    </row>
    <row r="161" spans="1:16" ht="15.6">
      <c r="A161" s="26" t="str">
        <v>HI: Waipahu - 94-099 Waipahu St - PV</v>
      </c>
      <c r="B161" s="27" t="str">
        <v>HI</v>
      </c>
      <c r="C161" s="26" t="str">
        <f>Sites[[#This Row],[SOL'#]]</f>
        <v>SOL-10068</v>
      </c>
      <c r="D161" s="66">
        <v>10100</v>
      </c>
      <c r="E161" s="14">
        <v>8112.2190000000001</v>
      </c>
      <c r="F161" s="14">
        <f t="shared" si="27"/>
        <v>1987.7809999999999</v>
      </c>
      <c r="G161" s="68">
        <f t="shared" si="28"/>
        <v>0.24503542125773478</v>
      </c>
      <c r="H161" s="69">
        <v>9798.2250000000004</v>
      </c>
      <c r="I161" s="69">
        <f t="shared" si="29"/>
        <v>301.77499999999964</v>
      </c>
      <c r="J161" s="68">
        <f t="shared" si="30"/>
        <v>3.0798945727414876E-2</v>
      </c>
      <c r="K161" s="179"/>
      <c r="L161" s="95"/>
    </row>
    <row r="162" spans="1:16" ht="57.6">
      <c r="A162" s="24" t="str">
        <v>IL: Prophetstown - 5170 Yager Road (PW)</v>
      </c>
      <c r="B162" s="25" t="str">
        <v>IL</v>
      </c>
      <c r="C162" s="25" t="str">
        <f>Sites[[#This Row],[SOL'#]]</f>
        <v>SOL-11149</v>
      </c>
      <c r="D162" s="54">
        <v>87025</v>
      </c>
      <c r="E162" s="10">
        <v>159248.4</v>
      </c>
      <c r="F162" s="10">
        <f t="shared" si="27"/>
        <v>-72223.399999999994</v>
      </c>
      <c r="G162" s="55">
        <f t="shared" si="28"/>
        <v>-0.45352669163395049</v>
      </c>
      <c r="H162" s="67">
        <v>219374.1</v>
      </c>
      <c r="I162" s="67">
        <f t="shared" si="29"/>
        <v>-132349.1</v>
      </c>
      <c r="J162" s="64">
        <f t="shared" si="30"/>
        <v>-0.603303215830857</v>
      </c>
      <c r="K162" s="109" t="s">
        <v>2618</v>
      </c>
      <c r="L162" s="117" t="s">
        <v>2619</v>
      </c>
      <c r="M162" s="65" t="s">
        <v>2620</v>
      </c>
      <c r="N162" s="112" t="s">
        <v>2621</v>
      </c>
      <c r="O162" s="112" t="s">
        <v>2622</v>
      </c>
    </row>
    <row r="163" spans="1:16" ht="15.6">
      <c r="A163" s="26" t="str">
        <v>IL: Viola - Goldenrod - (PW)</v>
      </c>
      <c r="B163" s="27" t="str">
        <v>IL</v>
      </c>
      <c r="C163" s="26" t="str">
        <f>Sites[[#This Row],[SOL'#]]</f>
        <v>SOL-11132</v>
      </c>
      <c r="D163" s="66">
        <v>578038</v>
      </c>
      <c r="E163" s="14">
        <v>580567.1</v>
      </c>
      <c r="F163" s="14">
        <f t="shared" si="27"/>
        <v>-2529.0999999999767</v>
      </c>
      <c r="G163" s="68">
        <f t="shared" si="28"/>
        <v>-4.3562578726902999E-3</v>
      </c>
      <c r="H163" s="69">
        <v>537280</v>
      </c>
      <c r="I163" s="69">
        <f t="shared" si="29"/>
        <v>40758</v>
      </c>
      <c r="J163" s="68">
        <f t="shared" si="30"/>
        <v>7.5859886837403218E-2</v>
      </c>
      <c r="K163" s="179"/>
      <c r="L163" s="95"/>
    </row>
    <row r="164" spans="1:16" ht="87.4" customHeight="1">
      <c r="A164" s="24" t="str">
        <v>IL: Marengo - Grant - (PW)</v>
      </c>
      <c r="B164" s="25" t="str">
        <v>IL</v>
      </c>
      <c r="C164" s="25" t="str">
        <f>Sites[[#This Row],[SOL'#]]</f>
        <v>SOL-11147</v>
      </c>
      <c r="D164" s="54">
        <v>198037</v>
      </c>
      <c r="E164" s="10">
        <v>0</v>
      </c>
      <c r="F164" s="10">
        <f t="shared" si="27"/>
        <v>198037</v>
      </c>
      <c r="G164" s="55" t="str">
        <f t="shared" si="28"/>
        <v/>
      </c>
      <c r="H164" s="67">
        <v>218711.5</v>
      </c>
      <c r="I164" s="67">
        <f t="shared" si="29"/>
        <v>-20674.5</v>
      </c>
      <c r="J164" s="64">
        <f t="shared" si="30"/>
        <v>-9.452863704011906E-2</v>
      </c>
      <c r="K164" s="109" t="s">
        <v>2623</v>
      </c>
      <c r="L164" s="117" t="s">
        <v>2624</v>
      </c>
      <c r="M164" s="65" t="s">
        <v>2625</v>
      </c>
      <c r="N164" s="112" t="s">
        <v>2626</v>
      </c>
      <c r="O164" s="112" t="s">
        <v>2627</v>
      </c>
      <c r="P164" s="112" t="s">
        <v>2111</v>
      </c>
    </row>
    <row r="165" spans="1:16" ht="43.15">
      <c r="A165" s="26" t="str">
        <v>NY: Cambridge - Cambridge (PW)</v>
      </c>
      <c r="B165" s="27" t="str">
        <v>NY</v>
      </c>
      <c r="C165" s="26" t="str">
        <f>Sites[[#This Row],[SOL'#]]</f>
        <v>SOL-11126</v>
      </c>
      <c r="D165" s="66">
        <v>266440.5</v>
      </c>
      <c r="E165" s="14">
        <v>386852.3</v>
      </c>
      <c r="F165" s="14">
        <f t="shared" si="27"/>
        <v>-120411.79999999999</v>
      </c>
      <c r="G165" s="68">
        <f t="shared" si="28"/>
        <v>-0.31126039576344766</v>
      </c>
      <c r="H165" s="69">
        <v>472711</v>
      </c>
      <c r="I165" s="69">
        <f t="shared" si="29"/>
        <v>-206270.5</v>
      </c>
      <c r="J165" s="68">
        <f t="shared" si="30"/>
        <v>-0.43635646303978542</v>
      </c>
      <c r="K165" s="179" t="s">
        <v>2628</v>
      </c>
      <c r="L165" s="123" t="s">
        <v>2629</v>
      </c>
      <c r="M165" s="178" t="s">
        <v>2630</v>
      </c>
      <c r="N165" s="112" t="s">
        <v>2631</v>
      </c>
      <c r="O165" s="112" t="s">
        <v>2632</v>
      </c>
    </row>
    <row r="166" spans="1:16" ht="28.9">
      <c r="A166" s="24" t="str">
        <v>NY: Whitesville - Independence North</v>
      </c>
      <c r="B166" s="25" t="str">
        <v>NY</v>
      </c>
      <c r="C166" s="25" t="str">
        <f>Sites[[#This Row],[SOL'#]]</f>
        <v>SOL-11186</v>
      </c>
      <c r="D166" s="54">
        <v>262579</v>
      </c>
      <c r="E166" s="10" t="s">
        <v>661</v>
      </c>
      <c r="F166" s="10" t="str">
        <f t="shared" si="27"/>
        <v/>
      </c>
      <c r="G166" s="55" t="str">
        <f t="shared" si="28"/>
        <v/>
      </c>
      <c r="H166" s="148" t="s">
        <v>661</v>
      </c>
      <c r="I166" s="67" t="str">
        <f t="shared" si="29"/>
        <v/>
      </c>
      <c r="J166" s="64" t="str">
        <f t="shared" si="30"/>
        <v/>
      </c>
      <c r="K166" s="109" t="s">
        <v>2633</v>
      </c>
      <c r="L166" s="117" t="s">
        <v>2634</v>
      </c>
      <c r="M166" s="104" t="s">
        <v>2120</v>
      </c>
    </row>
    <row r="167" spans="1:16" ht="15.6">
      <c r="A167" s="26" t="str">
        <v>IL: Beecher - Cottage Grove North (PW)</v>
      </c>
      <c r="B167" s="27" t="str">
        <v>IL</v>
      </c>
      <c r="C167" s="26" t="str">
        <f>Sites[[#This Row],[SOL'#]]</f>
        <v>SOL-11114</v>
      </c>
      <c r="D167" s="66">
        <v>221021</v>
      </c>
      <c r="E167" s="14">
        <v>231487.1</v>
      </c>
      <c r="F167" s="14">
        <f t="shared" si="27"/>
        <v>-10466.100000000006</v>
      </c>
      <c r="G167" s="68">
        <f t="shared" si="28"/>
        <v>-4.5212454603301894E-2</v>
      </c>
      <c r="H167" s="69">
        <v>235088</v>
      </c>
      <c r="I167" s="69">
        <f t="shared" si="29"/>
        <v>-14067</v>
      </c>
      <c r="J167" s="68">
        <f t="shared" si="30"/>
        <v>-5.9837167358606141E-2</v>
      </c>
      <c r="K167" s="179" t="s">
        <v>2635</v>
      </c>
      <c r="L167" s="115" t="s">
        <v>2636</v>
      </c>
      <c r="M167" s="104" t="s">
        <v>2637</v>
      </c>
    </row>
    <row r="168" spans="1:16" ht="25.5" customHeight="1">
      <c r="A168" s="24" t="str">
        <v>IL: Beecher - Cottage Grove South (PW)</v>
      </c>
      <c r="B168" s="25" t="str">
        <v>IL</v>
      </c>
      <c r="C168" s="25" t="str">
        <f>Sites[[#This Row],[SOL'#]]</f>
        <v>SOL-11115</v>
      </c>
      <c r="D168" s="54">
        <v>220208</v>
      </c>
      <c r="E168" s="10">
        <v>284770.2</v>
      </c>
      <c r="F168" s="10">
        <f t="shared" si="27"/>
        <v>-64562.200000000012</v>
      </c>
      <c r="G168" s="55">
        <f t="shared" si="28"/>
        <v>-0.22671684045591853</v>
      </c>
      <c r="H168" s="67">
        <v>220105</v>
      </c>
      <c r="I168" s="67">
        <f t="shared" si="29"/>
        <v>103</v>
      </c>
      <c r="J168" s="64">
        <f t="shared" si="30"/>
        <v>4.6795847436450783E-4</v>
      </c>
      <c r="K168" s="73" t="s">
        <v>2638</v>
      </c>
      <c r="L168" s="117" t="s">
        <v>2639</v>
      </c>
      <c r="M168" s="104" t="s">
        <v>2637</v>
      </c>
    </row>
    <row r="169" spans="1:16" ht="48.75" customHeight="1">
      <c r="A169" s="26" t="str">
        <v>IL: Harvard - 9618 US HWY 14 (PW)</v>
      </c>
      <c r="B169" s="27" t="str">
        <v>IL</v>
      </c>
      <c r="C169" s="26" t="str">
        <f>Sites[[#This Row],[SOL'#]]</f>
        <v>SOL-11110</v>
      </c>
      <c r="D169" s="66">
        <v>179121</v>
      </c>
      <c r="E169" s="14">
        <v>360992.1</v>
      </c>
      <c r="F169" s="14">
        <f t="shared" si="27"/>
        <v>-181871.09999999998</v>
      </c>
      <c r="G169" s="68">
        <f t="shared" si="28"/>
        <v>-0.50380908612681552</v>
      </c>
      <c r="H169" s="69">
        <v>186732</v>
      </c>
      <c r="I169" s="69">
        <f t="shared" si="29"/>
        <v>-7611</v>
      </c>
      <c r="J169" s="68">
        <f t="shared" si="30"/>
        <v>-4.0758948653685498E-2</v>
      </c>
      <c r="K169" s="179" t="s">
        <v>2640</v>
      </c>
      <c r="L169" s="115" t="s">
        <v>2641</v>
      </c>
      <c r="M169" s="104" t="s">
        <v>2637</v>
      </c>
    </row>
    <row r="170" spans="1:16" ht="15.6">
      <c r="A170" s="24" t="str">
        <v>IL: Beecher - 701 E Goodenow Rd (PW)</v>
      </c>
      <c r="B170" s="25" t="str">
        <v>IL</v>
      </c>
      <c r="C170" s="25" t="str">
        <f>Sites[[#This Row],[SOL'#]]</f>
        <v>SOL-11112</v>
      </c>
      <c r="D170" s="54">
        <v>223333</v>
      </c>
      <c r="E170" s="10">
        <v>254205.4</v>
      </c>
      <c r="F170" s="10">
        <f t="shared" si="27"/>
        <v>-30872.399999999994</v>
      </c>
      <c r="G170" s="55">
        <f t="shared" si="28"/>
        <v>-0.1214466726513284</v>
      </c>
      <c r="H170" s="67">
        <v>193014.5</v>
      </c>
      <c r="I170" s="67">
        <f t="shared" si="29"/>
        <v>30318.5</v>
      </c>
      <c r="J170" s="64">
        <f t="shared" si="30"/>
        <v>0.1570788723127019</v>
      </c>
      <c r="K170" s="109"/>
      <c r="L170" s="109"/>
    </row>
    <row r="171" spans="1:16" ht="15.6">
      <c r="A171" s="26" t="str">
        <v>NY: Stormville - Green Haven - (IRA)</v>
      </c>
      <c r="B171" s="27" t="str">
        <v>NY</v>
      </c>
      <c r="C171" s="26" t="str">
        <f>Sites[[#This Row],[SOL'#]]</f>
        <v>SOL-11151</v>
      </c>
      <c r="D171" s="66">
        <v>966585.6</v>
      </c>
      <c r="E171" s="14" t="s">
        <v>661</v>
      </c>
      <c r="F171" s="14" t="str">
        <f t="shared" si="27"/>
        <v/>
      </c>
      <c r="G171" s="68" t="str">
        <f t="shared" si="28"/>
        <v/>
      </c>
      <c r="H171" s="127" t="s">
        <v>661</v>
      </c>
      <c r="I171" s="69" t="str">
        <f t="shared" si="29"/>
        <v/>
      </c>
      <c r="J171" s="68" t="str">
        <f t="shared" si="30"/>
        <v/>
      </c>
      <c r="K171" s="179"/>
      <c r="L171" s="95"/>
    </row>
    <row r="172" spans="1:16" ht="30.75">
      <c r="A172" s="24" t="str">
        <v>IL: Hillsboro - Anacott (PW)</v>
      </c>
      <c r="B172" s="25" t="str">
        <v>IL</v>
      </c>
      <c r="C172" s="25" t="str">
        <f>Sites[[#This Row],[SOL'#]]</f>
        <v>SOL-11134</v>
      </c>
      <c r="D172" s="54">
        <v>595868</v>
      </c>
      <c r="E172" s="10" t="s">
        <v>661</v>
      </c>
      <c r="F172" s="10"/>
      <c r="G172" s="55"/>
      <c r="H172" s="67">
        <v>609016.5</v>
      </c>
      <c r="I172" s="67">
        <f t="shared" si="29"/>
        <v>-13148.5</v>
      </c>
      <c r="J172" s="64">
        <f t="shared" si="30"/>
        <v>-2.1589727043520166E-2</v>
      </c>
      <c r="K172" s="109" t="s">
        <v>2642</v>
      </c>
      <c r="L172" s="117" t="s">
        <v>2643</v>
      </c>
      <c r="M172" s="104" t="s">
        <v>2116</v>
      </c>
    </row>
  </sheetData>
  <mergeCells count="4">
    <mergeCell ref="H1:J1"/>
    <mergeCell ref="A1:D1"/>
    <mergeCell ref="E1:G1"/>
    <mergeCell ref="A2:B2"/>
  </mergeCells>
  <phoneticPr fontId="40" type="noConversion"/>
  <conditionalFormatting sqref="G2 J2">
    <cfRule type="cellIs" dxfId="10" priority="11" stopIfTrue="1" operator="lessThanOrEqual">
      <formula>-0.1</formula>
    </cfRule>
    <cfRule type="expression" dxfId="9" priority="12">
      <formula>AND(ISNUMBER(G2), G2&gt;=0.1)</formula>
    </cfRule>
  </conditionalFormatting>
  <conditionalFormatting sqref="G4:G172 J4:J172">
    <cfRule type="cellIs" dxfId="8" priority="1" stopIfTrue="1" operator="lessThanOrEqual">
      <formula>-0.1</formula>
    </cfRule>
    <cfRule type="expression" dxfId="7" priority="2">
      <formula>AND(ISNUMBER(G4), G4&gt;=0.1)</formula>
    </cfRule>
  </conditionalFormatting>
  <hyperlinks>
    <hyperlink ref="L4" r:id="rId1" display="https://us3.assetplanner.com/service_request?ID=107464" xr:uid="{D2D9CF38-1BF8-4159-9626-7706B5E3823A}"/>
    <hyperlink ref="L8" r:id="rId2" display="https://us3.assetplanner.com/service_request?ID=111795" xr:uid="{13523DFA-27CB-4BF6-8D8B-C4302CA11345}"/>
    <hyperlink ref="L10" r:id="rId3" display="https://us3.assetplanner.com/service_request?ID=095666" xr:uid="{5CFC0414-EFAA-40F7-8E8B-E6058D7CC6AD}"/>
    <hyperlink ref="L12" r:id="rId4" display="https://us3.assetplanner.com/service_request?ID=093633" xr:uid="{DE075444-B18D-4F58-A36D-FA13A6B36B5F}"/>
    <hyperlink ref="L14" r:id="rId5" display="https://us3.assetplanner.com/service_request?ID=093924" xr:uid="{D1BC7E3D-ECF9-4600-A143-C29DF3CDE31B}"/>
    <hyperlink ref="N14" r:id="rId6" display="https://us3.assetplanner.com/service_request?ID=086842" xr:uid="{A8867BF9-1D39-4EFB-B6DC-FA1E51DD64CC}"/>
    <hyperlink ref="L18" r:id="rId7" display="https://us3.assetplanner.com/service_request?ID=103259" xr:uid="{4D85FE6E-C890-4B08-841B-4C29A4944009}"/>
    <hyperlink ref="L19" r:id="rId8" display="https://us3.assetplanner.com/service_request?ID=109623" xr:uid="{C2E2CAD9-0A07-4B7C-BCA5-033700EC7209}"/>
    <hyperlink ref="L20" r:id="rId9" display="https://us3.assetplanner.com/service_request?ID=110132" xr:uid="{932CA19B-D857-487C-860E-F39CEF0F9AC7}"/>
    <hyperlink ref="L21" r:id="rId10" display="https://us3.assetplanner.com/service_request?ID=111002" xr:uid="{3FE8E40E-E00C-49B2-B5F9-0C6929ADC3F7}"/>
    <hyperlink ref="L27" r:id="rId11" display="https://us3.assetplanner.com/service_request?ID=093236" xr:uid="{FD248362-A2CD-420C-B0FD-AEA6A789A583}"/>
    <hyperlink ref="L32" r:id="rId12" display="https://us3.assetplanner.com/service_request?ID=102529" xr:uid="{C54E9AE0-341E-4DDC-9E78-CC762376DB5E}"/>
    <hyperlink ref="L33" r:id="rId13" display="https://us3.assetplanner.com/service_request?ID=110250" xr:uid="{26A3A55E-52E2-4A31-9594-B39F0AF6538E}"/>
    <hyperlink ref="L34" r:id="rId14" display="https://us3.assetplanner.com/service_request?ID=088282" xr:uid="{2BE18655-7801-4DEC-8ECE-1B9BD3E00DEC}"/>
    <hyperlink ref="L36" r:id="rId15" display="https://us3.assetplanner.com/service_request?ID=108939" xr:uid="{A0533CCC-978A-4120-80B6-61226068B1F6}"/>
    <hyperlink ref="N36" r:id="rId16" display="https://us3.assetplanner.com/service_request?ID=110231" xr:uid="{121E1134-ABCF-44E5-BCA5-69CCEA15B678}"/>
    <hyperlink ref="O36" r:id="rId17" display="https://us3.assetplanner.com/service_request?ID=112049" xr:uid="{5D78723C-3E42-4C4E-982B-DEE1204AF018}"/>
    <hyperlink ref="L38" r:id="rId18" display="https://us3.assetplanner.com/service_request?ID=088813" xr:uid="{FEABAE98-DD58-41BA-A1E7-4497D9EA1819}"/>
    <hyperlink ref="L40" r:id="rId19" display="https://us3.assetplanner.com/service_request?ID=093324" xr:uid="{5824DB89-9C21-40A9-B779-DE7BFBCA7B8A}"/>
    <hyperlink ref="L42" r:id="rId20" display="https://us3.assetplanner.com/service_request?ID=111880" xr:uid="{6E307EDC-98EE-4BE6-ABC6-9BB023EA89AD}"/>
    <hyperlink ref="L43" r:id="rId21" display="https://us3.assetplanner.com/service_request?ID=093326" xr:uid="{99F23F39-4E7B-4EA9-8A67-E4EA472D6574}"/>
    <hyperlink ref="N43" r:id="rId22" display="https://us3.assetplanner.com/service_request?ID=110229" xr:uid="{5B9A9F46-C37B-43EB-B9BE-ACFE36468072}"/>
    <hyperlink ref="L44" r:id="rId23" display="https://us3.assetplanner.com/service_request?ID=093327" xr:uid="{181CEA43-E8FD-4682-856E-13D9DCCF1660}"/>
    <hyperlink ref="L47" r:id="rId24" display="https://us3.assetplanner.com/service_request?ID=109950" xr:uid="{9F7A381B-4DBA-447A-B04B-0CD5557DB351}"/>
    <hyperlink ref="L48" r:id="rId25" display="https://us3.assetplanner.com/service_request?ID=110586" xr:uid="{1E52C27D-DB97-45EB-9DCA-B254AE12D829}"/>
    <hyperlink ref="L51" r:id="rId26" display="https://us3.assetplanner.com/service_request?ID=105932" xr:uid="{5F661243-258D-40AB-B8DD-1AC6DDFAB000}"/>
    <hyperlink ref="N51" r:id="rId27" display="https://us3.assetplanner.com/service_request?ID=098241" xr:uid="{BF0BDF43-B215-47C0-A26B-25B4C286687C}"/>
    <hyperlink ref="O51" r:id="rId28" display="https://us3.assetplanner.com/service_request?ID=105932" xr:uid="{996AAD83-0A04-45DF-BDEF-F945261125D5}"/>
    <hyperlink ref="L56" r:id="rId29" display="https://us3.assetplanner.com/service_request?ID=104403" xr:uid="{8B795C07-C01B-4CB1-A028-B685264C6BFD}"/>
    <hyperlink ref="L57" r:id="rId30" display="https://us3.assetplanner.com/service_request?ID=109775" xr:uid="{A3962CF8-32D7-4B3B-ABED-1136BC4B960C}"/>
    <hyperlink ref="L58" r:id="rId31" display="https://us3.assetplanner.com/service_request?ID=098641" xr:uid="{D05A8E67-9AFE-4846-B33A-4EF3B05556F2}"/>
    <hyperlink ref="L59" r:id="rId32" display="https://us3.assetplanner.com/service_request?ID=106726" xr:uid="{084B7648-AB1E-41C9-AA17-3239A5FED91E}"/>
    <hyperlink ref="N59" r:id="rId33" display="https://us3.assetplanner.com/service_request?ID=110996" xr:uid="{E98CC37C-BB2E-4042-B6BD-755BC896C6CD}"/>
    <hyperlink ref="L61" r:id="rId34" display="https://us3.assetplanner.com/service_request?ID=107603" xr:uid="{081E7D99-1563-40BA-9775-5EA83F22161C}"/>
    <hyperlink ref="L66" r:id="rId35" display="https://us3.assetplanner.com/service_request?ID=105816" xr:uid="{AC293F57-2216-49E6-984F-4BD01AB8709D}"/>
    <hyperlink ref="N66" r:id="rId36" display="https://us3.assetplanner.com/service_request?ID=093024" xr:uid="{5F9CFE54-4621-4808-BA0D-E96F826F3D34}"/>
    <hyperlink ref="L67" r:id="rId37" display="https://us3.assetplanner.com/service_request?ID=110488" xr:uid="{222FD8DB-029A-4295-AE3F-E39C1F6281DD}"/>
    <hyperlink ref="N67" r:id="rId38" display="https://us3.assetplanner.com/service_request?ID=111045" xr:uid="{88C12F51-504A-4C0A-B1BD-D36625196572}"/>
    <hyperlink ref="O67" r:id="rId39" display="https://us3.assetplanner.com/service_request?ID=111045" xr:uid="{8029833D-7C6B-44C2-86BE-A27CE0288B35}"/>
    <hyperlink ref="L68" r:id="rId40" display="https://us3.assetplanner.com/service_request?ID=111167" xr:uid="{564E9883-E2C4-46D9-A7D3-D0F5A8154BD4}"/>
    <hyperlink ref="L69" r:id="rId41" display="https://us3.assetplanner.com/service_request?ID=111378" xr:uid="{4FC363F9-4DF5-49A1-80B3-BC963CA60B6C}"/>
    <hyperlink ref="L70" r:id="rId42" display="https://us3.assetplanner.com/service_request?ID=110681" xr:uid="{361F35FB-0FE3-43E6-B83A-34FFFE75F4B6}"/>
    <hyperlink ref="N70" r:id="rId43" display="https://us3.assetplanner.com/service_request?ID=105508" xr:uid="{A797333C-0C8A-4D5E-ADDD-A132D140D261}"/>
    <hyperlink ref="L71" r:id="rId44" display="https://us3.assetplanner.com/service_request?ID=109834" xr:uid="{091E4130-8A6F-4193-B432-8E237231F9B1}"/>
    <hyperlink ref="L72" r:id="rId45" display="https://us3.assetplanner.com/service_request?ID=106622" xr:uid="{F30FCFE0-F6E5-4E31-B73E-9C6F517343FE}"/>
    <hyperlink ref="N72" r:id="rId46" display="https://us3.assetplanner.com/service_request?ID=110008" xr:uid="{0FE78116-D477-430E-8E76-CE0417878F1C}"/>
    <hyperlink ref="L73" r:id="rId47" display="https://us3.assetplanner.com/service_request?ID=111199" xr:uid="{70D2910B-13F2-4595-80D0-999311DD5FC2}"/>
    <hyperlink ref="N73" r:id="rId48" display="https://us3.assetplanner.com/service_request?ID=111498" xr:uid="{C087203D-4AA4-4410-856D-9C8C765D4994}"/>
    <hyperlink ref="O73" r:id="rId49" display="https://us3.assetplanner.com/service_request?ID=111826" xr:uid="{0B5EFFC7-052F-4BA3-B3DC-0477FACC5794}"/>
    <hyperlink ref="L74" r:id="rId50" display="https://us3.assetplanner.com/service_request?ID=109568" xr:uid="{B1CFCCF2-7D6C-479B-82C1-F1AC8630ABA3}"/>
    <hyperlink ref="N74" r:id="rId51" display="https://us3.assetplanner.com/service_request?ID=108847" xr:uid="{962F6782-A69A-4050-BE1D-A096943FAD61}"/>
    <hyperlink ref="O74" r:id="rId52" display="https://us3.assetplanner.com/service_request?ID=110116" xr:uid="{E8E2B5A6-DBEC-4C6F-8D25-7F67059E60CD}"/>
    <hyperlink ref="L75" r:id="rId53" display="https://us3.assetplanner.com/service_request?ID=108338" xr:uid="{0504B1DA-D52E-4C27-AD9E-804C7B2346D4}"/>
    <hyperlink ref="N75" r:id="rId54" display="https://us3.assetplanner.com/service_request?ID=111393" xr:uid="{C27A8A8C-9C04-41B6-928D-48281C4A1287}"/>
    <hyperlink ref="L77" r:id="rId55" display="https://us3.assetplanner.com/service_request?ID=101820" xr:uid="{40247E6F-0775-42FE-92F2-8C51A76198D1}"/>
    <hyperlink ref="L80" r:id="rId56" display="https://us3.assetplanner.com/service_request?ID=111271" xr:uid="{785AA08A-8B79-4F07-8E06-90614783FC89}"/>
    <hyperlink ref="N80" r:id="rId57" display="https://us3.assetplanner.com/service_request?ID=111271" xr:uid="{F9F2B308-AC22-415B-A959-279347B329DF}"/>
    <hyperlink ref="L81" r:id="rId58" display="https://us3.assetplanner.com/service_request?ID=105649" xr:uid="{5AE0B507-D9DD-44B4-AF26-A54EE219DEF2}"/>
    <hyperlink ref="L82" r:id="rId59" display="https://us3.assetplanner.com/service_request?ID=110436" xr:uid="{A7640155-C01F-41F9-83B7-C7477AAF10A8}"/>
    <hyperlink ref="N82" r:id="rId60" display="https://us3.assetplanner.com/service_request?ID=110913" xr:uid="{170F4189-D990-4584-B945-947082313B44}"/>
    <hyperlink ref="L83" r:id="rId61" display="https://us3.assetplanner.com/service_request?ID=110914" xr:uid="{CD1CEA06-AB96-4632-A020-611B16CEBF1E}"/>
    <hyperlink ref="L84" r:id="rId62" display="https://us3.assetplanner.com/service_request?ID=109797" xr:uid="{13E13446-018E-44E5-9D35-3108C7101C29}"/>
    <hyperlink ref="L85" r:id="rId63" display="https://us3.assetplanner.com/service_request?ID=111019" xr:uid="{FD300891-D42D-49E1-8308-4DF2AF0584F2}"/>
    <hyperlink ref="L86" r:id="rId64" display="https://us3.assetplanner.com/service_request?ID=110434" xr:uid="{9017168F-147D-45FE-A7D0-BDEFF7814797}"/>
    <hyperlink ref="N86" r:id="rId65" display="https://us3.assetplanner.com/service_request?ID=110915" xr:uid="{842BE210-9E11-4EC3-8E17-D21879002AFF}"/>
    <hyperlink ref="L87" r:id="rId66" display="https://us3.assetplanner.com/service_request?ID=110435" xr:uid="{F84F3007-F21B-477C-BF91-CD16C9F22776}"/>
    <hyperlink ref="N87" r:id="rId67" display="https://us3.assetplanner.com/service_request?ID=110918" xr:uid="{A62AC4F8-1A61-47ED-ACF5-D2D072CBB629}"/>
    <hyperlink ref="L89" r:id="rId68" display="https://us3.assetplanner.com/service_request?ID=107667" xr:uid="{16C708D2-5B79-46EA-B8E5-4345DFE8BD36}"/>
    <hyperlink ref="L91" r:id="rId69" display="https://us3.assetplanner.com/service_request?ID=110474" xr:uid="{7AE5E41A-7B8E-49CD-B00C-38A70BF36906}"/>
    <hyperlink ref="N91" r:id="rId70" display="https://us3.assetplanner.com/service_request?ID=110575" xr:uid="{A004E603-A773-4764-A907-23CDCF0975CC}"/>
    <hyperlink ref="L92" r:id="rId71" display="https://us3.assetplanner.com/service_request?ID=109604" xr:uid="{46A53C43-964C-4621-B83A-8C4306D6BF4B}"/>
    <hyperlink ref="L96" r:id="rId72" display="https://us3.assetplanner.com/service_request?ID=111801" xr:uid="{FF7913A9-FB9F-42C1-8E12-0F5EB5FBE779}"/>
    <hyperlink ref="L97" r:id="rId73" display="https://us3.assetplanner.com/service_request?ID=111175" xr:uid="{BD8E273C-6D90-4757-9066-015A065CB3EA}"/>
    <hyperlink ref="N97" r:id="rId74" display="https://us3.assetplanner.com/service_request?ID=111776" xr:uid="{A02ED80E-1B2C-4487-94F4-214009C88195}"/>
    <hyperlink ref="O97" r:id="rId75" display="https://us3.assetplanner.com/service_request?ID=111964" xr:uid="{59F44D09-B81F-4C16-8970-4E7FFECC52F1}"/>
    <hyperlink ref="L98" r:id="rId76" display="https://us3.assetplanner.com/service_request?ID=110487" xr:uid="{695B43ED-F482-40BD-9602-7353109F35A7}"/>
    <hyperlink ref="L100" r:id="rId77" display="https://us3.assetplanner.com/service_request?ID=111157" xr:uid="{B8698D23-3E1B-4E4F-A948-85ABFB7B8EA8}"/>
    <hyperlink ref="N100" r:id="rId78" display="https://us3.assetplanner.com/service_request?ID=111837" xr:uid="{FAEF461C-63DC-400D-BEC7-0577E7A63F51}"/>
    <hyperlink ref="L101" r:id="rId79" display="https://us3.assetplanner.com/service_request?ID=110430" xr:uid="{A00D86F9-627F-49A7-9837-873ED87F56C6}"/>
    <hyperlink ref="N101" r:id="rId80" display="https://us3.assetplanner.com/service_request?ID=111779" xr:uid="{A1BF6E48-FE50-4A21-9F5C-9B4CB14D9738}"/>
    <hyperlink ref="O101" r:id="rId81" display="https://us3.assetplanner.com/service_request?ID=111825" xr:uid="{D723F363-53EE-4020-8167-237C0A682282}"/>
    <hyperlink ref="L103" r:id="rId82" display="https://us3.assetplanner.com/service_request?ID=110563" xr:uid="{E058E6DB-C680-4E18-A176-8F2FDBA88600}"/>
    <hyperlink ref="L104" r:id="rId83" display="https://us3.assetplanner.com/service_request?ID=108827" xr:uid="{221C2D25-F5B4-47AD-996C-1FD988BC3E6E}"/>
    <hyperlink ref="L107" r:id="rId84" display="https://us3.assetplanner.com/service_request?ID=110716" xr:uid="{F3F53FF7-8A18-4AB6-97A2-83A6FEA22819}"/>
    <hyperlink ref="N107" r:id="rId85" display="https://us3.assetplanner.com/service_request?ID=111256" xr:uid="{7BE57138-3816-44C1-A1E0-D9AC702BB099}"/>
    <hyperlink ref="L108" r:id="rId86" display="https://us3.assetplanner.com/service_request?ID=108248" xr:uid="{A0C904A0-2105-46A9-BF53-35C4CCAF8214}"/>
    <hyperlink ref="N108" r:id="rId87" display="https://us3.assetplanner.com/service_request?ID=108120" xr:uid="{01E705FA-003A-4263-8758-821E38B0164E}"/>
    <hyperlink ref="L109" r:id="rId88" display="https://us3.assetplanner.com/service_request?ID=110483" xr:uid="{CB68CAD3-A655-4C49-BE2B-9F5BC48B2747}"/>
    <hyperlink ref="L110" r:id="rId89" display="https://us3.assetplanner.com/service_request?ID=106921" xr:uid="{8F74BC8D-B923-48BB-8D01-73EF65822613}"/>
    <hyperlink ref="L111" r:id="rId90" display="https://us3.assetplanner.com/service_request?ID=110473" xr:uid="{F9B7948B-1632-4227-B21A-851E6A185BF3}"/>
    <hyperlink ref="L112" r:id="rId91" display="https://us3.assetplanner.com/service_request?ID=110135" xr:uid="{09B54F07-6EB3-4D4D-9DB0-D3D369631436}"/>
    <hyperlink ref="L113" r:id="rId92" display="https://us3.assetplanner.com/service_request?ID=098860" xr:uid="{336235B9-BD17-4912-A45E-43494E97D0D0}"/>
    <hyperlink ref="L114" r:id="rId93" display="https://us3.assetplanner.com/service_request?ID=109998" xr:uid="{92EF20D2-2DBC-4AF0-B7C7-77D40CD19141}"/>
    <hyperlink ref="N114" r:id="rId94" display="https://us3.assetplanner.com/service_request?ID=110355" xr:uid="{C8520760-47FD-4336-B247-0F6A712A0E80}"/>
    <hyperlink ref="O114" r:id="rId95" display="https://us3.assetplanner.com/service_request?ID=110838" xr:uid="{C8F5822B-B275-4661-B995-7FAD7CF7ABE5}"/>
    <hyperlink ref="P114" r:id="rId96" display="https://us3.assetplanner.com/service_request?ID=111220" xr:uid="{2727C4DF-664A-4C57-A3DF-E87A09A74060}"/>
    <hyperlink ref="L115" r:id="rId97" display="https://us3.assetplanner.com/service_request?ID=109079" xr:uid="{64C371DC-2E49-470D-A2DF-C14A16A05EBA}"/>
    <hyperlink ref="N115" r:id="rId98" display="https://us3.assetplanner.com/service_request?ID=109080" xr:uid="{AE0FF74D-7F58-4F19-BB39-55CE660AF5A3}"/>
    <hyperlink ref="L116" r:id="rId99" display="https://us3.assetplanner.com/service_request?ID=110477" xr:uid="{1AB4E29A-2B7C-4446-BB47-8F1248BA0D6A}"/>
    <hyperlink ref="N116" r:id="rId100" display="https://us3.assetplanner.com/service_request?ID=110660" xr:uid="{58689518-F6B3-4BE3-9FE7-C41459C5E4D1}"/>
    <hyperlink ref="O116" r:id="rId101" display="https://us3.assetplanner.com/service_request?ID=110852" xr:uid="{E25579AB-6732-4492-9458-33A885259294}"/>
    <hyperlink ref="P116" r:id="rId102" display="https://us3.assetplanner.com/service_request?ID=111161" xr:uid="{EF17867A-5430-411E-89ED-D688B9CF1BF0}"/>
    <hyperlink ref="Q116" r:id="rId103" display="https://us3.assetplanner.com/service_request?ID=111183" xr:uid="{647806B2-856C-46C8-95F1-89413F77EFF3}"/>
    <hyperlink ref="R116" r:id="rId104" display="https://us3.assetplanner.com/service_request?ID=111841" xr:uid="{401C6236-D66D-4651-AC60-1B4506548AEC}"/>
    <hyperlink ref="L119" r:id="rId105" display="https://us3.assetplanner.com/service_request?ID=110576" xr:uid="{1062E52A-6090-4873-8FD7-341B0FCB7638}"/>
    <hyperlink ref="N119" r:id="rId106" display="https://us3.assetplanner.com/service_request?ID=110935" xr:uid="{3C2A87BD-91E2-42D7-B048-42AFAE182C0C}"/>
    <hyperlink ref="L121" r:id="rId107" display="https://us3.assetplanner.com/service_request?ID=110655" xr:uid="{A658E489-7DB8-4B0C-A379-B2E5164CF79B}"/>
    <hyperlink ref="L133" r:id="rId108" display="https://us3.assetplanner.com/service_request?ID=110156" xr:uid="{628D1BD5-48D4-4305-8DAF-EFB1D8296A3D}"/>
    <hyperlink ref="N133" r:id="rId109" display="https://us3.assetplanner.com/service_request?ID=110155" xr:uid="{6AD529C4-EA4A-4453-81DE-8A8C8432B432}"/>
    <hyperlink ref="L140" r:id="rId110" display="https://us3.assetplanner.com/service_request?ID=111819" xr:uid="{BAD9CD2A-0173-4CDC-BDB9-1889A6C10EC7}"/>
    <hyperlink ref="L144" r:id="rId111" display="https://us3.assetplanner.com/service_request?ID=110598" xr:uid="{CE76C52E-054F-4BD0-AADD-387B65F345E6}"/>
    <hyperlink ref="L145" r:id="rId112" display="https://us3.assetplanner.com/service_request?ID=109332" xr:uid="{6CF0B91C-543B-4592-AAFA-6FB836283F8F}"/>
    <hyperlink ref="N145" r:id="rId113" display="https://us3.assetplanner.com/service_request?ID=110652" xr:uid="{853DF469-5CC7-43FE-BEC2-13D06E4A3EFB}"/>
    <hyperlink ref="L148" r:id="rId114" display="https://us3.assetplanner.com/service_request?ID=110484" xr:uid="{2AB9C03A-40C1-4D68-B119-10125E577154}"/>
    <hyperlink ref="N148" r:id="rId115" display="https://us3.assetplanner.com/service_request?ID=110884" xr:uid="{3F4AA345-259C-4CF6-9063-FC2379E50015}"/>
    <hyperlink ref="L150" r:id="rId116" display="https://us3.assetplanner.com/service_request?ID=110407" xr:uid="{7FAB7AA8-2574-4E51-BCAA-0138C29C4945}"/>
    <hyperlink ref="N150" r:id="rId117" display="https://us3.assetplanner.com/service_request?ID=110728" xr:uid="{A0321F14-2D96-4AD8-8862-F5AD1218C107}"/>
    <hyperlink ref="O150" r:id="rId118" display="https://us3.assetplanner.com/service_request?ID=111391" xr:uid="{63DCA8C0-8F32-4FFA-BBD5-D401E4341889}"/>
    <hyperlink ref="L151" r:id="rId119" display="https://us3.assetplanner.com/service_request?ID=110246" xr:uid="{F30E8B00-F3BD-4A40-8086-930C9C33F03E}"/>
    <hyperlink ref="L152" r:id="rId120" display="https://us3.assetplanner.com/service_request?ID=098278" xr:uid="{C3DA0F16-3D95-4BC9-94EC-63AE8FE69C6F}"/>
    <hyperlink ref="N152" r:id="rId121" display="https://us3.assetplanner.com/service_request?ID=098670" xr:uid="{D5D1E426-8B84-4383-B70D-81D6FAA29C60}"/>
    <hyperlink ref="L153" r:id="rId122" display="https://us3.assetplanner.com/service_request?ID=110476" xr:uid="{66D02721-9408-4D05-8A21-3792AE63816E}"/>
    <hyperlink ref="N153" r:id="rId123" display="https://us3.assetplanner.com/service_request?ID=110703" xr:uid="{F4A3F8D1-EE6B-4CB9-B57E-652083EA8CEC}"/>
    <hyperlink ref="O153" r:id="rId124" display="https://us3.assetplanner.com/service_request?ID=110938" xr:uid="{1F4D4A75-40CB-4550-B2EE-8923F846D4FA}"/>
    <hyperlink ref="L154" r:id="rId125" display="https://us3.assetplanner.com/service_request?ID=111476" xr:uid="{FC47A692-6831-442E-BC22-72B8FEF84C6A}"/>
    <hyperlink ref="L155" r:id="rId126" display="https://us3.assetplanner.com/service_request?ID=110669" xr:uid="{FF6F5205-B0B7-4126-B77E-5FFB1937E239}"/>
    <hyperlink ref="L156" r:id="rId127" display="https://us3.assetplanner.com/service_request?ID=111796" xr:uid="{37281AB8-5C1A-49BE-9892-5C9E96ADA103}"/>
    <hyperlink ref="L157" r:id="rId128" display="https://us3.assetplanner.com/service_request?ID=110776" xr:uid="{272C2840-0C4D-4EF3-BCFF-D138645D39AD}"/>
    <hyperlink ref="N157" r:id="rId129" display="https://us3.assetplanner.com/service_request?ID=111863" xr:uid="{A4C5F950-9A2E-4887-80DE-625136C1D696}"/>
    <hyperlink ref="L158" r:id="rId130" display="https://us3.assetplanner.com/service_request?ID=110704" xr:uid="{F7E256C8-6125-4985-99AA-CA3E8CBEEA68}"/>
    <hyperlink ref="N158" r:id="rId131" display="https://us3.assetplanner.com/service_request?ID=110882" xr:uid="{1D77EE01-0226-4A3F-A053-4A6C935DAE7A}"/>
    <hyperlink ref="L160" r:id="rId132" display="https://us3.assetplanner.com/service_request?ID=109524" xr:uid="{D5FADFF5-E516-4072-8E65-F019CE2DA7B6}"/>
    <hyperlink ref="N160" r:id="rId133" display="https://us3.assetplanner.com/service_request?ID=100771" xr:uid="{E1E8B56A-B1C5-475D-8756-6EFD88E08CDC}"/>
    <hyperlink ref="L162" r:id="rId134" display="https://us3.assetplanner.com/service_request?ID=110361" xr:uid="{594E94D4-C9B8-419B-B2B3-A59CD183AC30}"/>
    <hyperlink ref="N162" r:id="rId135" display="https://us3.assetplanner.com/service_request?ID=110787" xr:uid="{98F70868-A9B0-42F7-9691-C4553A0142D8}"/>
    <hyperlink ref="O162" r:id="rId136" display="https://us3.assetplanner.com/service_request?ID=110863" xr:uid="{2A7C0D3E-F8B7-4BE9-8097-671C8F4B3418}"/>
    <hyperlink ref="L164" r:id="rId137" display="https://us3.assetplanner.com/service_request?ID=110691" xr:uid="{2FA5B6DF-8EA4-4C6D-A426-4CB57CCED2C1}"/>
    <hyperlink ref="N164" r:id="rId138" display="https://us3.assetplanner.com/service_request?ID=110755" xr:uid="{2B79C5D3-0EAB-4357-BD63-56572F326FDB}"/>
    <hyperlink ref="O164" r:id="rId139" display="https://us3.assetplanner.com/service_request?ID=110867" xr:uid="{C6FA542A-52DF-48C4-86D1-8AB3FD86B2D0}"/>
    <hyperlink ref="P164" r:id="rId140" display="https://us3.assetplanner.com/service_request?ID=108392" xr:uid="{CA19D1CD-DAFC-4E17-905C-6D267D72C07D}"/>
    <hyperlink ref="L165" r:id="rId141" display="https://us3.assetplanner.com/service_request?ID=110574" xr:uid="{05952F45-E61E-4BBC-AF79-62F6FABADD52}"/>
    <hyperlink ref="N165" r:id="rId142" display="https://us3.assetplanner.com/service_request?ID=111001" xr:uid="{C5D432F6-4B91-4BD1-849F-3BF2378B13B3}"/>
    <hyperlink ref="O165" r:id="rId143" display="https://us3.assetplanner.com/service_request?ID=111163" xr:uid="{3A5F31BD-FDFE-47F0-A0AD-BC55AA2533EB}"/>
    <hyperlink ref="L166" r:id="rId144" display="https://us3.assetplanner.com/service_request?ID=110883" xr:uid="{7667ADC3-B7DA-437E-A3F9-3D06F1226FAC}"/>
    <hyperlink ref="L167" r:id="rId145" display="https://us3.assetplanner.com/service_request?ID=109160" xr:uid="{95E19DF9-BFFC-4D26-AF27-C7EA5D32546C}"/>
    <hyperlink ref="L168" r:id="rId146" display="https://us3.assetplanner.com/service_request?ID=109156" xr:uid="{8015B9FE-618F-44D6-8D2E-9630FB0D76D4}"/>
    <hyperlink ref="L169" r:id="rId147" display="https://us3.assetplanner.com/service_request?ID=109157" xr:uid="{F8B27660-062C-45D3-A63A-33D7F4EE461A}"/>
    <hyperlink ref="L99" r:id="rId148" display="https://us3.assetplanner.com/service_request?ID=112194" xr:uid="{435FAF73-3996-4F24-A806-9E69A797041D}"/>
    <hyperlink ref="N113" r:id="rId149" display="https://us3.assetplanner.com/service_request?ID=112216" xr:uid="{0B44CDB8-9DD4-49E0-B602-8948B329CBE3}"/>
    <hyperlink ref="L79" r:id="rId150" display="https://us3.assetplanner.com/service_request?ID=112202" xr:uid="{C5C0D894-5F4C-4DE3-B199-FE0A9AE9622F}"/>
  </hyperlinks>
  <pageMargins left="0.4" right="0.7" top="0.25" bottom="0.25" header="0.3" footer="0.3"/>
  <pageSetup fitToHeight="99" orientation="landscape" r:id="rId151"/>
  <legacyDrawing r:id="rId15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L172"/>
  <sheetViews>
    <sheetView zoomScale="70" zoomScaleNormal="70" workbookViewId="0">
      <pane xSplit="2" ySplit="3" topLeftCell="R189" activePane="bottomRight" state="frozen"/>
      <selection pane="bottomRight" activeCell="R189" sqref="R189:R190"/>
      <selection pane="bottomLeft" activeCell="K164" sqref="K164"/>
      <selection pane="topRight" activeCell="K164" sqref="K164"/>
    </sheetView>
  </sheetViews>
  <sheetFormatPr defaultRowHeight="13.9"/>
  <cols>
    <col min="1" max="1" width="35.85546875" bestFit="1" customWidth="1"/>
    <col min="2" max="2" width="8.42578125" style="30" customWidth="1"/>
    <col min="3" max="3" width="15.140625" style="30"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12" ht="19.5" customHeight="1">
      <c r="A1" s="187" t="str" cm="1">
        <f t="array" ref="A1">portfolio</f>
        <v>Generate Capital</v>
      </c>
      <c r="B1" s="187"/>
      <c r="C1" s="187"/>
      <c r="D1" s="187"/>
      <c r="E1" s="188" t="s">
        <v>2644</v>
      </c>
      <c r="F1" s="188"/>
      <c r="G1" s="188"/>
      <c r="H1" s="186" t="s">
        <v>2645</v>
      </c>
      <c r="I1" s="186"/>
      <c r="J1" s="186"/>
      <c r="K1" s="4"/>
      <c r="L1" s="4"/>
    </row>
    <row r="2" spans="1:12" ht="19.5" customHeight="1">
      <c r="A2" s="189" t="s">
        <v>2</v>
      </c>
      <c r="B2" s="189"/>
      <c r="C2" s="57"/>
      <c r="D2" s="5">
        <f>SUM(D4:D100)</f>
        <v>0</v>
      </c>
      <c r="E2" s="5">
        <f>SUM(E4:E100)</f>
        <v>0</v>
      </c>
      <c r="F2" s="5">
        <f>D2-E2</f>
        <v>0</v>
      </c>
      <c r="G2" s="6">
        <f>IFERROR(F2/E2, 0)</f>
        <v>0</v>
      </c>
      <c r="H2" s="5">
        <f>SUM(H4:H100)</f>
        <v>0</v>
      </c>
      <c r="I2" s="7">
        <f>D2-H2</f>
        <v>0</v>
      </c>
      <c r="J2" s="6">
        <f>IFERROR(I2/H2, 0)</f>
        <v>0</v>
      </c>
      <c r="K2" s="22" t="str">
        <f ca="1">IF(AND(TODAY()&gt;DATE(2024, 12,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4"/>
    </row>
    <row r="3" spans="1:12" ht="14.25" customHeight="1">
      <c r="A3" s="8" t="s">
        <v>3</v>
      </c>
      <c r="B3" s="8" t="s">
        <v>4</v>
      </c>
      <c r="C3" s="8" t="s">
        <v>5</v>
      </c>
      <c r="D3" s="19" t="s">
        <v>6</v>
      </c>
      <c r="E3" s="31" t="s">
        <v>7</v>
      </c>
      <c r="F3" s="31" t="s">
        <v>8</v>
      </c>
      <c r="G3" s="32" t="s">
        <v>9</v>
      </c>
      <c r="H3" s="33" t="s">
        <v>10</v>
      </c>
      <c r="I3" s="34" t="s">
        <v>8</v>
      </c>
      <c r="J3" s="35" t="s">
        <v>9</v>
      </c>
      <c r="K3" s="21" t="s">
        <v>21</v>
      </c>
      <c r="L3" s="21" t="s">
        <v>22</v>
      </c>
    </row>
    <row r="4" spans="1:12" ht="15.6">
      <c r="A4" s="28" t="str" cm="1">
        <f t="array" ref="A4:A172">Sites[Site]</f>
        <v>K026</v>
      </c>
      <c r="B4" s="25" t="str" cm="1">
        <f t="array" ref="B4:B172">Sites[State]</f>
        <v>NY</v>
      </c>
      <c r="C4" s="25" t="str">
        <f>Sites[[#This Row],[SOL'#]]</f>
        <v>SOL-10356</v>
      </c>
      <c r="D4" s="20"/>
      <c r="E4" s="10"/>
      <c r="F4" s="10" t="str">
        <f>IF(AND(ISNUMBER(D4),ISNUMBER(E4)), D4-E4, "")</f>
        <v/>
      </c>
      <c r="G4" s="11" t="str">
        <f>IFERROR(F4/E4, "")</f>
        <v/>
      </c>
      <c r="H4" s="12"/>
      <c r="I4" s="12" t="str">
        <f>IF(AND(ISNUMBER(D4),ISNUMBER(H4)), D4-H4, "")</f>
        <v/>
      </c>
      <c r="J4" s="13" t="str">
        <f>IFERROR(I4/H4, "")</f>
        <v/>
      </c>
      <c r="K4" s="37"/>
      <c r="L4" s="37"/>
    </row>
    <row r="5" spans="1:12" ht="15.6">
      <c r="A5" s="26" t="str">
        <v>K041</v>
      </c>
      <c r="B5" s="27" t="str">
        <v>NY</v>
      </c>
      <c r="C5" s="25" t="str">
        <f>Sites[[#This Row],[SOL'#]]</f>
        <v>SOL-10357</v>
      </c>
      <c r="D5" s="9"/>
      <c r="E5" s="14"/>
      <c r="F5" s="14" t="str">
        <f t="shared" ref="F5:F68" si="0">IF(AND(ISNUMBER(D5),ISNUMBER(E5)), D5-E5, "")</f>
        <v/>
      </c>
      <c r="G5" s="15" t="str">
        <f>IFERROR(F5/E5, "")</f>
        <v/>
      </c>
      <c r="H5" s="16"/>
      <c r="I5" s="16" t="str">
        <f t="shared" ref="I5:I68" si="1">IF(AND(ISNUMBER(D5),ISNUMBER(H5)), D5-H5, "")</f>
        <v/>
      </c>
      <c r="J5" s="15" t="str">
        <f t="shared" ref="J5:J68" si="2">IFERROR(I5/H5, "")</f>
        <v/>
      </c>
      <c r="K5" s="38"/>
      <c r="L5" s="38"/>
    </row>
    <row r="6" spans="1:12" ht="15.6">
      <c r="A6" s="24" t="str">
        <v>K043</v>
      </c>
      <c r="B6" s="25" t="str">
        <v>NY</v>
      </c>
      <c r="C6" s="25" t="str">
        <f>Sites[[#This Row],[SOL'#]]</f>
        <v>SOL-10358</v>
      </c>
      <c r="D6" s="20"/>
      <c r="E6" s="10"/>
      <c r="F6" s="10" t="str">
        <f t="shared" si="0"/>
        <v/>
      </c>
      <c r="G6" s="11" t="str">
        <f t="shared" ref="G6:G69" si="3">IFERROR(F6/E6, "")</f>
        <v/>
      </c>
      <c r="H6" s="12"/>
      <c r="I6" s="12" t="str">
        <f t="shared" si="1"/>
        <v/>
      </c>
      <c r="J6" s="13" t="str">
        <f t="shared" si="2"/>
        <v/>
      </c>
      <c r="K6" s="37"/>
      <c r="L6" s="37"/>
    </row>
    <row r="7" spans="1:12" ht="15.6">
      <c r="A7" s="26" t="str">
        <v>K058</v>
      </c>
      <c r="B7" s="27" t="str">
        <v>NY</v>
      </c>
      <c r="C7" s="25" t="str">
        <f>Sites[[#This Row],[SOL'#]]</f>
        <v>SOL-10360</v>
      </c>
      <c r="D7" s="9"/>
      <c r="E7" s="14"/>
      <c r="F7" s="14" t="str">
        <f t="shared" si="0"/>
        <v/>
      </c>
      <c r="G7" s="15" t="str">
        <f t="shared" si="3"/>
        <v/>
      </c>
      <c r="H7" s="16"/>
      <c r="I7" s="16" t="str">
        <f t="shared" si="1"/>
        <v/>
      </c>
      <c r="J7" s="15" t="str">
        <f t="shared" si="2"/>
        <v/>
      </c>
      <c r="K7" s="38"/>
      <c r="L7" s="38"/>
    </row>
    <row r="8" spans="1:12" ht="15.6">
      <c r="A8" s="24" t="str">
        <v>K115</v>
      </c>
      <c r="B8" s="25" t="str">
        <v>NY</v>
      </c>
      <c r="C8" s="25" t="str">
        <f>Sites[[#This Row],[SOL'#]]</f>
        <v>SOL-10361</v>
      </c>
      <c r="D8" s="20"/>
      <c r="E8" s="10"/>
      <c r="F8" s="10" t="str">
        <f t="shared" si="0"/>
        <v/>
      </c>
      <c r="G8" s="11" t="str">
        <f t="shared" si="3"/>
        <v/>
      </c>
      <c r="H8" s="12"/>
      <c r="I8" s="12" t="str">
        <f t="shared" si="1"/>
        <v/>
      </c>
      <c r="J8" s="13" t="str">
        <f t="shared" si="2"/>
        <v/>
      </c>
      <c r="K8" s="37"/>
      <c r="L8" s="37"/>
    </row>
    <row r="9" spans="1:12" ht="15.6">
      <c r="A9" s="26" t="str">
        <v>K152</v>
      </c>
      <c r="B9" s="27" t="str">
        <v>NY</v>
      </c>
      <c r="C9" s="25" t="str">
        <f>Sites[[#This Row],[SOL'#]]</f>
        <v>SOL-10362</v>
      </c>
      <c r="D9" s="9"/>
      <c r="E9" s="14"/>
      <c r="F9" s="14" t="str">
        <f t="shared" si="0"/>
        <v/>
      </c>
      <c r="G9" s="15" t="str">
        <f t="shared" si="3"/>
        <v/>
      </c>
      <c r="H9" s="16"/>
      <c r="I9" s="16" t="str">
        <f t="shared" si="1"/>
        <v/>
      </c>
      <c r="J9" s="15" t="str">
        <f t="shared" si="2"/>
        <v/>
      </c>
      <c r="K9" s="38"/>
      <c r="L9" s="38"/>
    </row>
    <row r="10" spans="1:12" ht="15.6">
      <c r="A10" s="24" t="str">
        <v>K166</v>
      </c>
      <c r="B10" s="25" t="str">
        <v>NY</v>
      </c>
      <c r="C10" s="25" t="str">
        <f>Sites[[#This Row],[SOL'#]]</f>
        <v>SOL-10363</v>
      </c>
      <c r="D10" s="20"/>
      <c r="E10" s="10"/>
      <c r="F10" s="10" t="str">
        <f t="shared" si="0"/>
        <v/>
      </c>
      <c r="G10" s="11" t="str">
        <f t="shared" si="3"/>
        <v/>
      </c>
      <c r="H10" s="12"/>
      <c r="I10" s="12" t="str">
        <f t="shared" si="1"/>
        <v/>
      </c>
      <c r="J10" s="13" t="str">
        <f t="shared" si="2"/>
        <v/>
      </c>
      <c r="K10" s="37"/>
      <c r="L10" s="37"/>
    </row>
    <row r="11" spans="1:12" ht="15.6">
      <c r="A11" s="26" t="str">
        <v>K206</v>
      </c>
      <c r="B11" s="27" t="str">
        <v>NY</v>
      </c>
      <c r="C11" s="25" t="str">
        <f>Sites[[#This Row],[SOL'#]]</f>
        <v>SOL-10927</v>
      </c>
      <c r="D11" s="9"/>
      <c r="E11" s="14"/>
      <c r="F11" s="14" t="str">
        <f t="shared" si="0"/>
        <v/>
      </c>
      <c r="G11" s="15" t="str">
        <f t="shared" si="3"/>
        <v/>
      </c>
      <c r="H11" s="16"/>
      <c r="I11" s="16" t="str">
        <f t="shared" si="1"/>
        <v/>
      </c>
      <c r="J11" s="15" t="str">
        <f t="shared" si="2"/>
        <v/>
      </c>
      <c r="K11" s="38"/>
      <c r="L11" s="84"/>
    </row>
    <row r="12" spans="1:12" ht="15.6">
      <c r="A12" s="24" t="str">
        <v>K251</v>
      </c>
      <c r="B12" s="25" t="str">
        <v>NY</v>
      </c>
      <c r="C12" s="25" t="str">
        <f>Sites[[#This Row],[SOL'#]]</f>
        <v>SOL-10365</v>
      </c>
      <c r="D12" s="20"/>
      <c r="E12" s="10"/>
      <c r="F12" s="10" t="str">
        <f t="shared" si="0"/>
        <v/>
      </c>
      <c r="G12" s="11" t="str">
        <f t="shared" si="3"/>
        <v/>
      </c>
      <c r="H12" s="12"/>
      <c r="I12" s="12" t="str">
        <f t="shared" si="1"/>
        <v/>
      </c>
      <c r="J12" s="13" t="str">
        <f t="shared" si="2"/>
        <v/>
      </c>
      <c r="K12" s="37"/>
      <c r="L12" s="37"/>
    </row>
    <row r="13" spans="1:12" ht="15.6">
      <c r="A13" s="26" t="str">
        <v>K269</v>
      </c>
      <c r="B13" s="27" t="str">
        <v>NY</v>
      </c>
      <c r="C13" s="25" t="str">
        <f>Sites[[#This Row],[SOL'#]]</f>
        <v>SOL-10366</v>
      </c>
      <c r="D13" s="9"/>
      <c r="E13" s="14"/>
      <c r="F13" s="14" t="str">
        <f t="shared" si="0"/>
        <v/>
      </c>
      <c r="G13" s="15" t="str">
        <f t="shared" si="3"/>
        <v/>
      </c>
      <c r="H13" s="16"/>
      <c r="I13" s="16" t="str">
        <f t="shared" si="1"/>
        <v/>
      </c>
      <c r="J13" s="15" t="str">
        <f t="shared" si="2"/>
        <v/>
      </c>
      <c r="K13" s="38"/>
      <c r="L13" s="84"/>
    </row>
    <row r="14" spans="1:12" ht="22.5" customHeight="1">
      <c r="A14" s="24" t="str">
        <v>K273</v>
      </c>
      <c r="B14" s="25" t="str">
        <v>NY</v>
      </c>
      <c r="C14" s="25" t="str">
        <f>Sites[[#This Row],[SOL'#]]</f>
        <v>SOL-10367</v>
      </c>
      <c r="D14" s="20"/>
      <c r="E14" s="10"/>
      <c r="F14" s="10" t="str">
        <f t="shared" si="0"/>
        <v/>
      </c>
      <c r="G14" s="11" t="str">
        <f t="shared" si="3"/>
        <v/>
      </c>
      <c r="H14" s="12"/>
      <c r="I14" s="12" t="str">
        <f t="shared" si="1"/>
        <v/>
      </c>
      <c r="J14" s="13" t="str">
        <f t="shared" si="2"/>
        <v/>
      </c>
      <c r="K14" s="37"/>
      <c r="L14" s="37"/>
    </row>
    <row r="15" spans="1:12" ht="15.6">
      <c r="A15" s="26" t="str">
        <v>K287</v>
      </c>
      <c r="B15" s="27" t="str">
        <v>NY</v>
      </c>
      <c r="C15" s="25" t="str">
        <f>Sites[[#This Row],[SOL'#]]</f>
        <v>SOL-10919</v>
      </c>
      <c r="D15" s="9"/>
      <c r="E15" s="14"/>
      <c r="F15" s="14" t="str">
        <f t="shared" si="0"/>
        <v/>
      </c>
      <c r="G15" s="15" t="str">
        <f t="shared" si="3"/>
        <v/>
      </c>
      <c r="H15" s="16"/>
      <c r="I15" s="16" t="str">
        <f t="shared" si="1"/>
        <v/>
      </c>
      <c r="J15" s="15" t="str">
        <f t="shared" si="2"/>
        <v/>
      </c>
      <c r="K15" s="38"/>
      <c r="L15" s="38"/>
    </row>
    <row r="16" spans="1:12" ht="15.6">
      <c r="A16" s="24" t="str">
        <v>K298</v>
      </c>
      <c r="B16" s="25" t="str">
        <v>NY</v>
      </c>
      <c r="C16" s="25" t="str">
        <f>Sites[[#This Row],[SOL'#]]</f>
        <v>SOL-10368</v>
      </c>
      <c r="D16" s="20"/>
      <c r="E16" s="10"/>
      <c r="F16" s="10" t="str">
        <f t="shared" si="0"/>
        <v/>
      </c>
      <c r="G16" s="11" t="str">
        <f t="shared" si="3"/>
        <v/>
      </c>
      <c r="H16" s="12"/>
      <c r="I16" s="12" t="str">
        <f>IF(AND(ISNUMBER(D16),ISNUMBER(H16)), D16-H16, "")</f>
        <v/>
      </c>
      <c r="J16" s="13" t="str">
        <f t="shared" si="2"/>
        <v/>
      </c>
      <c r="K16" s="37"/>
      <c r="L16" s="37"/>
    </row>
    <row r="17" spans="1:12" ht="15.6">
      <c r="A17" s="26" t="str">
        <v>K335</v>
      </c>
      <c r="B17" s="27" t="str">
        <v>NY</v>
      </c>
      <c r="C17" s="25" t="str">
        <f>Sites[[#This Row],[SOL'#]]</f>
        <v>SOL-10370</v>
      </c>
      <c r="D17" s="9"/>
      <c r="E17" s="14"/>
      <c r="F17" s="14" t="str">
        <f t="shared" si="0"/>
        <v/>
      </c>
      <c r="G17" s="15" t="str">
        <f t="shared" si="3"/>
        <v/>
      </c>
      <c r="H17" s="16"/>
      <c r="I17" s="16" t="str">
        <f t="shared" si="1"/>
        <v/>
      </c>
      <c r="J17" s="15" t="str">
        <f t="shared" si="2"/>
        <v/>
      </c>
      <c r="K17" s="38"/>
      <c r="L17" s="38"/>
    </row>
    <row r="18" spans="1:12" ht="46.5" customHeight="1">
      <c r="A18" s="24" t="str">
        <v>K345</v>
      </c>
      <c r="B18" s="25" t="str">
        <v>NY</v>
      </c>
      <c r="C18" s="25" t="str">
        <f>Sites[[#This Row],[SOL'#]]</f>
        <v>SOL-10920</v>
      </c>
      <c r="D18" s="20"/>
      <c r="E18" s="10"/>
      <c r="F18" s="10" t="str">
        <f t="shared" si="0"/>
        <v/>
      </c>
      <c r="G18" s="11" t="str">
        <f t="shared" si="3"/>
        <v/>
      </c>
      <c r="H18" s="12"/>
      <c r="I18" s="12" t="str">
        <f t="shared" si="1"/>
        <v/>
      </c>
      <c r="J18" s="13" t="str">
        <f t="shared" si="2"/>
        <v/>
      </c>
      <c r="K18" s="37"/>
      <c r="L18" s="37"/>
    </row>
    <row r="19" spans="1:12" ht="15.6">
      <c r="A19" s="26" t="str">
        <v>K445</v>
      </c>
      <c r="B19" s="27" t="str">
        <v>NY</v>
      </c>
      <c r="C19" s="25" t="str">
        <f>Sites[[#This Row],[SOL'#]]</f>
        <v>SOL-10373</v>
      </c>
      <c r="D19" s="9"/>
      <c r="E19" s="14"/>
      <c r="F19" s="14" t="str">
        <f t="shared" si="0"/>
        <v/>
      </c>
      <c r="G19" s="15" t="str">
        <f t="shared" si="3"/>
        <v/>
      </c>
      <c r="H19" s="16"/>
      <c r="I19" s="16" t="str">
        <f t="shared" si="1"/>
        <v/>
      </c>
      <c r="J19" s="15" t="str">
        <f t="shared" si="2"/>
        <v/>
      </c>
      <c r="K19" s="38"/>
      <c r="L19" s="85"/>
    </row>
    <row r="20" spans="1:12" ht="20.25" customHeight="1">
      <c r="A20" s="24" t="str">
        <v>K495</v>
      </c>
      <c r="B20" s="25" t="str">
        <v>NY</v>
      </c>
      <c r="C20" s="25" t="str">
        <f>Sites[[#This Row],[SOL'#]]</f>
        <v>SOL-10374</v>
      </c>
      <c r="D20" s="20"/>
      <c r="E20" s="10"/>
      <c r="F20" s="10" t="str">
        <f t="shared" si="0"/>
        <v/>
      </c>
      <c r="G20" s="11" t="str">
        <f t="shared" si="3"/>
        <v/>
      </c>
      <c r="H20" s="12"/>
      <c r="I20" s="12" t="str">
        <f t="shared" si="1"/>
        <v/>
      </c>
      <c r="J20" s="13" t="str">
        <f t="shared" si="2"/>
        <v/>
      </c>
      <c r="K20" s="37"/>
      <c r="L20" s="37"/>
    </row>
    <row r="21" spans="1:12" ht="15.6">
      <c r="A21" s="26" t="str">
        <v>M020</v>
      </c>
      <c r="B21" s="27" t="str">
        <v>NY</v>
      </c>
      <c r="C21" s="25" t="str">
        <f>Sites[[#This Row],[SOL'#]]</f>
        <v>SOL-10380</v>
      </c>
      <c r="D21" s="9"/>
      <c r="E21" s="14"/>
      <c r="F21" s="14" t="str">
        <f t="shared" si="0"/>
        <v/>
      </c>
      <c r="G21" s="15" t="str">
        <f t="shared" si="3"/>
        <v/>
      </c>
      <c r="H21" s="16"/>
      <c r="I21" s="16" t="str">
        <f t="shared" si="1"/>
        <v/>
      </c>
      <c r="J21" s="15" t="str">
        <f t="shared" si="2"/>
        <v/>
      </c>
      <c r="K21" s="38"/>
      <c r="L21" s="38"/>
    </row>
    <row r="22" spans="1:12" ht="15.6">
      <c r="A22" s="24" t="str">
        <v>M092</v>
      </c>
      <c r="B22" s="25" t="str">
        <v>NY</v>
      </c>
      <c r="C22" s="25" t="str">
        <f>Sites[[#This Row],[SOL'#]]</f>
        <v>SOL-10383</v>
      </c>
      <c r="D22" s="20"/>
      <c r="E22" s="10"/>
      <c r="F22" s="10" t="str">
        <f t="shared" si="0"/>
        <v/>
      </c>
      <c r="G22" s="11" t="str">
        <f t="shared" si="3"/>
        <v/>
      </c>
      <c r="H22" s="12"/>
      <c r="I22" s="12" t="str">
        <f t="shared" si="1"/>
        <v/>
      </c>
      <c r="J22" s="13" t="str">
        <f t="shared" si="2"/>
        <v/>
      </c>
      <c r="K22" s="37"/>
      <c r="L22" s="37"/>
    </row>
    <row r="23" spans="1:12" ht="25.5" customHeight="1">
      <c r="A23" s="26" t="str">
        <v>M143</v>
      </c>
      <c r="B23" s="27" t="str">
        <v>NY</v>
      </c>
      <c r="C23" s="25" t="str">
        <f>Sites[[#This Row],[SOL'#]]</f>
        <v>SOL-10384</v>
      </c>
      <c r="D23" s="9"/>
      <c r="E23" s="14"/>
      <c r="F23" s="14" t="str">
        <f t="shared" si="0"/>
        <v/>
      </c>
      <c r="G23" s="15" t="str">
        <f t="shared" si="3"/>
        <v/>
      </c>
      <c r="H23" s="16"/>
      <c r="I23" s="16" t="str">
        <f t="shared" si="1"/>
        <v/>
      </c>
      <c r="J23" s="15" t="str">
        <f t="shared" si="2"/>
        <v/>
      </c>
      <c r="K23" s="50"/>
      <c r="L23" s="38"/>
    </row>
    <row r="24" spans="1:12" ht="15.6">
      <c r="A24" s="24" t="str">
        <v>M144</v>
      </c>
      <c r="B24" s="25" t="str">
        <v>NY</v>
      </c>
      <c r="C24" s="25" t="str">
        <f>Sites[[#This Row],[SOL'#]]</f>
        <v>SOL-10385</v>
      </c>
      <c r="D24" s="20"/>
      <c r="E24" s="10"/>
      <c r="F24" s="10" t="str">
        <f t="shared" si="0"/>
        <v/>
      </c>
      <c r="G24" s="11" t="str">
        <f t="shared" si="3"/>
        <v/>
      </c>
      <c r="H24" s="12"/>
      <c r="I24" s="12" t="str">
        <f t="shared" si="1"/>
        <v/>
      </c>
      <c r="J24" s="13" t="str">
        <f t="shared" si="2"/>
        <v/>
      </c>
      <c r="K24" s="37"/>
      <c r="L24" s="37"/>
    </row>
    <row r="25" spans="1:12" ht="15.6">
      <c r="A25" s="26" t="str">
        <v>M167</v>
      </c>
      <c r="B25" s="27" t="str">
        <v>NY</v>
      </c>
      <c r="C25" s="25" t="str">
        <f>Sites[[#This Row],[SOL'#]]</f>
        <v>SOL-10386</v>
      </c>
      <c r="D25" s="9"/>
      <c r="E25" s="14"/>
      <c r="F25" s="14" t="str">
        <f t="shared" si="0"/>
        <v/>
      </c>
      <c r="G25" s="15" t="str">
        <f t="shared" si="3"/>
        <v/>
      </c>
      <c r="H25" s="16"/>
      <c r="I25" s="16" t="str">
        <f t="shared" si="1"/>
        <v/>
      </c>
      <c r="J25" s="15" t="str">
        <f t="shared" si="2"/>
        <v/>
      </c>
      <c r="K25" s="38"/>
      <c r="L25" s="38"/>
    </row>
    <row r="26" spans="1:12" ht="15.6">
      <c r="A26" s="24" t="str">
        <v>M188</v>
      </c>
      <c r="B26" s="25" t="str">
        <v>NY</v>
      </c>
      <c r="C26" s="25" t="str">
        <f>Sites[[#This Row],[SOL'#]]</f>
        <v>SOL-10387</v>
      </c>
      <c r="D26" s="20"/>
      <c r="E26" s="10"/>
      <c r="F26" s="10" t="str">
        <f t="shared" si="0"/>
        <v/>
      </c>
      <c r="G26" s="11" t="str">
        <f t="shared" si="3"/>
        <v/>
      </c>
      <c r="H26" s="12"/>
      <c r="I26" s="12" t="str">
        <f t="shared" si="1"/>
        <v/>
      </c>
      <c r="J26" s="13" t="str">
        <f t="shared" si="2"/>
        <v/>
      </c>
      <c r="K26" s="37"/>
      <c r="L26" s="37"/>
    </row>
    <row r="27" spans="1:12" ht="15.6">
      <c r="A27" s="26" t="str">
        <v>EMHC</v>
      </c>
      <c r="B27" s="27" t="str">
        <v>NY</v>
      </c>
      <c r="C27" s="25" t="str">
        <f>Sites[[#This Row],[SOL'#]]</f>
        <v>SOL-10351</v>
      </c>
      <c r="D27" s="9"/>
      <c r="E27" s="14"/>
      <c r="F27" s="14" t="str">
        <f t="shared" si="0"/>
        <v/>
      </c>
      <c r="G27" s="15" t="str">
        <f t="shared" si="3"/>
        <v/>
      </c>
      <c r="H27" s="16"/>
      <c r="I27" s="16" t="str">
        <f t="shared" si="1"/>
        <v/>
      </c>
      <c r="J27" s="15" t="str">
        <f t="shared" si="2"/>
        <v/>
      </c>
      <c r="K27" s="38"/>
      <c r="L27" s="38"/>
    </row>
    <row r="28" spans="1:12" ht="15.6">
      <c r="A28" s="24" t="str">
        <v>Q008</v>
      </c>
      <c r="B28" s="25" t="str">
        <v>NY</v>
      </c>
      <c r="C28" s="25" t="str">
        <f>Sites[[#This Row],[SOL'#]]</f>
        <v>SOL-10397</v>
      </c>
      <c r="D28" s="20"/>
      <c r="E28" s="10"/>
      <c r="F28" s="10" t="str">
        <f t="shared" si="0"/>
        <v/>
      </c>
      <c r="G28" s="11" t="str">
        <f t="shared" si="3"/>
        <v/>
      </c>
      <c r="H28" s="12"/>
      <c r="I28" s="12" t="str">
        <f t="shared" si="1"/>
        <v/>
      </c>
      <c r="J28" s="13" t="str">
        <f t="shared" si="2"/>
        <v/>
      </c>
      <c r="K28" s="37"/>
      <c r="L28" s="37"/>
    </row>
    <row r="29" spans="1:12" ht="27" customHeight="1">
      <c r="A29" s="26" t="str">
        <v>Q018</v>
      </c>
      <c r="B29" s="27" t="str">
        <v>NY</v>
      </c>
      <c r="C29" s="25" t="str">
        <f>Sites[[#This Row],[SOL'#]]</f>
        <v>SOL-10398</v>
      </c>
      <c r="D29" s="9"/>
      <c r="E29" s="14"/>
      <c r="F29" s="14" t="str">
        <f t="shared" si="0"/>
        <v/>
      </c>
      <c r="G29" s="15" t="str">
        <f t="shared" si="3"/>
        <v/>
      </c>
      <c r="H29" s="16"/>
      <c r="I29" s="16" t="str">
        <f t="shared" si="1"/>
        <v/>
      </c>
      <c r="J29" s="15" t="str">
        <f t="shared" si="2"/>
        <v/>
      </c>
      <c r="K29" s="38"/>
      <c r="L29" s="51"/>
    </row>
    <row r="30" spans="1:12" ht="15.6">
      <c r="A30" s="24" t="str">
        <v>Q021</v>
      </c>
      <c r="B30" s="25" t="str">
        <v>NY</v>
      </c>
      <c r="C30" s="25" t="str">
        <f>Sites[[#This Row],[SOL'#]]</f>
        <v>SOL-10399</v>
      </c>
      <c r="D30" s="20"/>
      <c r="E30" s="10"/>
      <c r="F30" s="10" t="str">
        <f t="shared" si="0"/>
        <v/>
      </c>
      <c r="G30" s="11" t="str">
        <f t="shared" si="3"/>
        <v/>
      </c>
      <c r="H30" s="12"/>
      <c r="I30" s="12" t="str">
        <f t="shared" si="1"/>
        <v/>
      </c>
      <c r="J30" s="13" t="str">
        <f t="shared" si="2"/>
        <v/>
      </c>
      <c r="K30" s="37"/>
      <c r="L30" s="37"/>
    </row>
    <row r="31" spans="1:12" ht="15.6">
      <c r="A31" s="26" t="str">
        <v>Q025</v>
      </c>
      <c r="B31" s="27" t="str">
        <v>NY</v>
      </c>
      <c r="C31" s="25" t="str">
        <f>Sites[[#This Row],[SOL'#]]</f>
        <v>SOL-10400</v>
      </c>
      <c r="D31" s="9"/>
      <c r="E31" s="14"/>
      <c r="F31" s="14" t="str">
        <f t="shared" si="0"/>
        <v/>
      </c>
      <c r="G31" s="15" t="str">
        <f t="shared" si="3"/>
        <v/>
      </c>
      <c r="H31" s="16"/>
      <c r="I31" s="16" t="str">
        <f t="shared" si="1"/>
        <v/>
      </c>
      <c r="J31" s="15" t="str">
        <f t="shared" si="2"/>
        <v/>
      </c>
      <c r="K31" s="179"/>
      <c r="L31" s="179"/>
    </row>
    <row r="32" spans="1:12" ht="15.6">
      <c r="A32" s="24" t="str">
        <v>Q074</v>
      </c>
      <c r="B32" s="25" t="str">
        <v>NY</v>
      </c>
      <c r="C32" s="25" t="str">
        <f>Sites[[#This Row],[SOL'#]]</f>
        <v>SOL-10402</v>
      </c>
      <c r="D32" s="20"/>
      <c r="E32" s="10"/>
      <c r="F32" s="10" t="str">
        <f t="shared" si="0"/>
        <v/>
      </c>
      <c r="G32" s="11" t="str">
        <f t="shared" si="3"/>
        <v/>
      </c>
      <c r="H32" s="12"/>
      <c r="I32" s="12" t="str">
        <f t="shared" si="1"/>
        <v/>
      </c>
      <c r="J32" s="13" t="str">
        <f t="shared" si="2"/>
        <v/>
      </c>
      <c r="K32" s="37"/>
      <c r="L32" s="37"/>
    </row>
    <row r="33" spans="1:12" ht="15.6">
      <c r="A33" s="26" t="str">
        <v>Q115</v>
      </c>
      <c r="B33" s="27" t="str">
        <v>NY</v>
      </c>
      <c r="C33" s="25" t="str">
        <f>Sites[[#This Row],[SOL'#]]</f>
        <v>SOL-10872</v>
      </c>
      <c r="D33" s="9"/>
      <c r="E33" s="14"/>
      <c r="F33" s="14" t="str">
        <f t="shared" si="0"/>
        <v/>
      </c>
      <c r="G33" s="15" t="str">
        <f t="shared" si="3"/>
        <v/>
      </c>
      <c r="H33" s="16"/>
      <c r="I33" s="16" t="str">
        <f t="shared" si="1"/>
        <v/>
      </c>
      <c r="J33" s="15" t="str">
        <f t="shared" si="2"/>
        <v/>
      </c>
      <c r="K33" s="38"/>
      <c r="L33" s="38"/>
    </row>
    <row r="34" spans="1:12" ht="15.6">
      <c r="A34" s="24" t="str">
        <v>Q139</v>
      </c>
      <c r="B34" s="25" t="str">
        <v>NY</v>
      </c>
      <c r="C34" s="25" t="str">
        <f>Sites[[#This Row],[SOL'#]]</f>
        <v>SOL-10403</v>
      </c>
      <c r="D34" s="20"/>
      <c r="E34" s="10"/>
      <c r="F34" s="10" t="str">
        <f t="shared" si="0"/>
        <v/>
      </c>
      <c r="G34" s="11" t="str">
        <f t="shared" si="3"/>
        <v/>
      </c>
      <c r="H34" s="12"/>
      <c r="I34" s="12" t="str">
        <f t="shared" si="1"/>
        <v/>
      </c>
      <c r="J34" s="13" t="str">
        <f t="shared" si="2"/>
        <v/>
      </c>
      <c r="K34" s="37"/>
      <c r="L34" s="37"/>
    </row>
    <row r="35" spans="1:12" ht="15.6">
      <c r="A35" s="26" t="str">
        <v>Q157</v>
      </c>
      <c r="B35" s="27" t="str">
        <v>NY</v>
      </c>
      <c r="C35" s="25" t="str">
        <f>Sites[[#This Row],[SOL'#]]</f>
        <v>SOL-10404</v>
      </c>
      <c r="D35" s="9"/>
      <c r="E35" s="14"/>
      <c r="F35" s="14" t="str">
        <f t="shared" si="0"/>
        <v/>
      </c>
      <c r="G35" s="15" t="str">
        <f t="shared" si="3"/>
        <v/>
      </c>
      <c r="H35" s="16"/>
      <c r="I35" s="16" t="str">
        <f t="shared" si="1"/>
        <v/>
      </c>
      <c r="J35" s="15" t="str">
        <f t="shared" si="2"/>
        <v/>
      </c>
      <c r="K35" s="38"/>
      <c r="L35" s="38"/>
    </row>
    <row r="36" spans="1:12" ht="15.6">
      <c r="A36" s="24" t="str">
        <v>Q192</v>
      </c>
      <c r="B36" s="25" t="str">
        <v>NY</v>
      </c>
      <c r="C36" s="25" t="str">
        <f>Sites[[#This Row],[SOL'#]]</f>
        <v>SOL-10406</v>
      </c>
      <c r="D36" s="20"/>
      <c r="E36" s="10"/>
      <c r="F36" s="10" t="str">
        <f t="shared" si="0"/>
        <v/>
      </c>
      <c r="G36" s="11" t="str">
        <f t="shared" si="3"/>
        <v/>
      </c>
      <c r="H36" s="12"/>
      <c r="I36" s="12" t="str">
        <f t="shared" si="1"/>
        <v/>
      </c>
      <c r="J36" s="13" t="str">
        <f t="shared" si="2"/>
        <v/>
      </c>
      <c r="K36" s="37"/>
      <c r="L36" s="37"/>
    </row>
    <row r="37" spans="1:12" ht="15.6">
      <c r="A37" s="26" t="str">
        <v>Q210</v>
      </c>
      <c r="B37" s="27" t="str">
        <v>NY</v>
      </c>
      <c r="C37" s="25" t="str">
        <f>Sites[[#This Row],[SOL'#]]</f>
        <v>SOL-10407</v>
      </c>
      <c r="D37" s="9"/>
      <c r="E37" s="14"/>
      <c r="F37" s="14" t="str">
        <f t="shared" si="0"/>
        <v/>
      </c>
      <c r="G37" s="15" t="str">
        <f t="shared" si="3"/>
        <v/>
      </c>
      <c r="H37" s="16"/>
      <c r="I37" s="16" t="str">
        <f t="shared" si="1"/>
        <v/>
      </c>
      <c r="J37" s="15" t="str">
        <f t="shared" si="2"/>
        <v/>
      </c>
      <c r="K37" s="38"/>
      <c r="L37" s="38"/>
    </row>
    <row r="38" spans="1:12" ht="15.6">
      <c r="A38" s="24" t="str">
        <v>Q229</v>
      </c>
      <c r="B38" s="25" t="str">
        <v>NY</v>
      </c>
      <c r="C38" s="25" t="str">
        <f>Sites[[#This Row],[SOL'#]]</f>
        <v>SOL-10408</v>
      </c>
      <c r="D38" s="20"/>
      <c r="E38" s="10"/>
      <c r="F38" s="10" t="str">
        <f t="shared" si="0"/>
        <v/>
      </c>
      <c r="G38" s="11" t="str">
        <f t="shared" si="3"/>
        <v/>
      </c>
      <c r="H38" s="12"/>
      <c r="I38" s="12" t="str">
        <f t="shared" si="1"/>
        <v/>
      </c>
      <c r="J38" s="13" t="str">
        <f t="shared" si="2"/>
        <v/>
      </c>
      <c r="K38" s="37"/>
      <c r="L38" s="37"/>
    </row>
    <row r="39" spans="1:12" ht="15.6">
      <c r="A39" s="26" t="str">
        <v>Q231</v>
      </c>
      <c r="B39" s="27" t="str">
        <v>NY</v>
      </c>
      <c r="C39" s="25" t="str">
        <f>Sites[[#This Row],[SOL'#]]</f>
        <v>SOL-10870</v>
      </c>
      <c r="D39" s="9"/>
      <c r="E39" s="14"/>
      <c r="F39" s="14" t="str">
        <f t="shared" si="0"/>
        <v/>
      </c>
      <c r="G39" s="15" t="str">
        <f t="shared" si="3"/>
        <v/>
      </c>
      <c r="H39" s="16"/>
      <c r="I39" s="16" t="str">
        <f t="shared" si="1"/>
        <v/>
      </c>
      <c r="J39" s="15" t="str">
        <f t="shared" si="2"/>
        <v/>
      </c>
      <c r="K39" s="38"/>
      <c r="L39" s="38"/>
    </row>
    <row r="40" spans="1:12" ht="15.6">
      <c r="A40" s="24" t="str">
        <v>Q405</v>
      </c>
      <c r="B40" s="25" t="str">
        <v>NY</v>
      </c>
      <c r="C40" s="25" t="str">
        <f>Sites[[#This Row],[SOL'#]]</f>
        <v>SOL-10409</v>
      </c>
      <c r="D40" s="20"/>
      <c r="E40" s="10"/>
      <c r="F40" s="10" t="str">
        <f t="shared" si="0"/>
        <v/>
      </c>
      <c r="G40" s="11" t="str">
        <f t="shared" si="3"/>
        <v/>
      </c>
      <c r="H40" s="12"/>
      <c r="I40" s="12" t="str">
        <f t="shared" si="1"/>
        <v/>
      </c>
      <c r="J40" s="13" t="str">
        <f t="shared" si="2"/>
        <v/>
      </c>
      <c r="K40" s="37"/>
      <c r="L40" s="37"/>
    </row>
    <row r="41" spans="1:12" ht="15.6">
      <c r="A41" s="26" t="str">
        <v>Q435</v>
      </c>
      <c r="B41" s="27" t="str">
        <v>NY</v>
      </c>
      <c r="C41" s="25" t="str">
        <f>Sites[[#This Row],[SOL'#]]</f>
        <v>SOL-10923</v>
      </c>
      <c r="D41" s="9"/>
      <c r="E41" s="14"/>
      <c r="F41" s="14" t="str">
        <f t="shared" si="0"/>
        <v/>
      </c>
      <c r="G41" s="15" t="str">
        <f t="shared" si="3"/>
        <v/>
      </c>
      <c r="H41" s="16"/>
      <c r="I41" s="16" t="str">
        <f t="shared" si="1"/>
        <v/>
      </c>
      <c r="J41" s="15" t="str">
        <f t="shared" si="2"/>
        <v/>
      </c>
      <c r="K41" s="38"/>
      <c r="L41" s="38"/>
    </row>
    <row r="42" spans="1:12" ht="15.6">
      <c r="A42" s="24" t="str">
        <v>Q485</v>
      </c>
      <c r="B42" s="25" t="str">
        <v>NY</v>
      </c>
      <c r="C42" s="25" t="str">
        <f>Sites[[#This Row],[SOL'#]]</f>
        <v>SOL-10869</v>
      </c>
      <c r="D42" s="20"/>
      <c r="E42" s="10"/>
      <c r="F42" s="10" t="str">
        <f t="shared" si="0"/>
        <v/>
      </c>
      <c r="G42" s="11" t="str">
        <f t="shared" si="3"/>
        <v/>
      </c>
      <c r="H42" s="12"/>
      <c r="I42" s="12" t="str">
        <f t="shared" si="1"/>
        <v/>
      </c>
      <c r="J42" s="13" t="str">
        <f t="shared" si="2"/>
        <v/>
      </c>
      <c r="K42" s="37"/>
      <c r="L42" s="37"/>
    </row>
    <row r="43" spans="1:12" ht="15.6">
      <c r="A43" s="26" t="str">
        <v>Q490</v>
      </c>
      <c r="B43" s="27" t="str">
        <v>NY</v>
      </c>
      <c r="C43" s="25" t="str">
        <f>Sites[[#This Row],[SOL'#]]</f>
        <v>SOL-10411</v>
      </c>
      <c r="D43" s="9"/>
      <c r="E43" s="14"/>
      <c r="F43" s="14" t="str">
        <f t="shared" si="0"/>
        <v/>
      </c>
      <c r="G43" s="15" t="str">
        <f t="shared" si="3"/>
        <v/>
      </c>
      <c r="H43" s="16"/>
      <c r="I43" s="16" t="str">
        <f t="shared" si="1"/>
        <v/>
      </c>
      <c r="J43" s="15" t="str">
        <f t="shared" si="2"/>
        <v/>
      </c>
      <c r="K43" s="38"/>
      <c r="L43" s="50"/>
    </row>
    <row r="44" spans="1:12" ht="15.6">
      <c r="A44" s="24" t="str">
        <v>Q620</v>
      </c>
      <c r="B44" s="25" t="str">
        <v>NY</v>
      </c>
      <c r="C44" s="25" t="str">
        <f>Sites[[#This Row],[SOL'#]]</f>
        <v>SOL-10867</v>
      </c>
      <c r="D44" s="20"/>
      <c r="E44" s="10"/>
      <c r="F44" s="10" t="str">
        <f t="shared" si="0"/>
        <v/>
      </c>
      <c r="G44" s="11" t="str">
        <f t="shared" si="3"/>
        <v/>
      </c>
      <c r="H44" s="12"/>
      <c r="I44" s="12" t="str">
        <f t="shared" si="1"/>
        <v/>
      </c>
      <c r="J44" s="13" t="str">
        <f t="shared" si="2"/>
        <v/>
      </c>
      <c r="K44" s="37"/>
      <c r="L44" s="37"/>
    </row>
    <row r="45" spans="1:12" ht="15.6">
      <c r="A45" s="26" t="str">
        <v>QMOA</v>
      </c>
      <c r="B45" s="27" t="str">
        <v>NY</v>
      </c>
      <c r="C45" s="25" t="str">
        <f>Sites[[#This Row],[SOL'#]]</f>
        <v>SOL-10415</v>
      </c>
      <c r="D45" s="9"/>
      <c r="E45" s="14"/>
      <c r="F45" s="14" t="str">
        <f t="shared" si="0"/>
        <v/>
      </c>
      <c r="G45" s="15" t="str">
        <f t="shared" si="3"/>
        <v/>
      </c>
      <c r="H45" s="16"/>
      <c r="I45" s="16" t="str">
        <f t="shared" si="1"/>
        <v/>
      </c>
      <c r="J45" s="15" t="str">
        <f t="shared" si="2"/>
        <v/>
      </c>
      <c r="K45" s="38"/>
      <c r="L45" s="38"/>
    </row>
    <row r="46" spans="1:12" ht="15.6">
      <c r="A46" s="24" t="str">
        <v>X024</v>
      </c>
      <c r="B46" s="25" t="str">
        <v>NY</v>
      </c>
      <c r="C46" s="25" t="str">
        <f>Sites[[#This Row],[SOL'#]]</f>
        <v>SOL-10419</v>
      </c>
      <c r="D46" s="20"/>
      <c r="E46" s="10"/>
      <c r="F46" s="10" t="str">
        <f t="shared" si="0"/>
        <v/>
      </c>
      <c r="G46" s="11" t="str">
        <f t="shared" si="3"/>
        <v/>
      </c>
      <c r="H46" s="12"/>
      <c r="I46" s="12" t="str">
        <f t="shared" si="1"/>
        <v/>
      </c>
      <c r="J46" s="13" t="str">
        <f t="shared" si="2"/>
        <v/>
      </c>
      <c r="K46" s="37"/>
      <c r="L46" s="37"/>
    </row>
    <row r="47" spans="1:12" ht="15.6">
      <c r="A47" s="26" t="str">
        <v>X026</v>
      </c>
      <c r="B47" s="27" t="str">
        <v>NY</v>
      </c>
      <c r="C47" s="25" t="str">
        <f>Sites[[#This Row],[SOL'#]]</f>
        <v>SOL-10420</v>
      </c>
      <c r="D47" s="9"/>
      <c r="E47" s="14"/>
      <c r="F47" s="14" t="str">
        <f t="shared" si="0"/>
        <v/>
      </c>
      <c r="G47" s="15" t="str">
        <f t="shared" si="3"/>
        <v/>
      </c>
      <c r="H47" s="16"/>
      <c r="I47" s="16" t="str">
        <f t="shared" si="1"/>
        <v/>
      </c>
      <c r="J47" s="15" t="str">
        <f t="shared" si="2"/>
        <v/>
      </c>
      <c r="K47" s="38"/>
      <c r="L47" s="38"/>
    </row>
    <row r="48" spans="1:12" ht="21" customHeight="1">
      <c r="A48" s="24" t="str">
        <v>X090</v>
      </c>
      <c r="B48" s="25" t="str">
        <v>NY</v>
      </c>
      <c r="C48" s="25" t="str">
        <f>Sites[[#This Row],[SOL'#]]</f>
        <v>SOL-10925</v>
      </c>
      <c r="D48" s="20"/>
      <c r="E48" s="10"/>
      <c r="F48" s="10" t="str">
        <f t="shared" si="0"/>
        <v/>
      </c>
      <c r="G48" s="11" t="str">
        <f t="shared" si="3"/>
        <v/>
      </c>
      <c r="H48" s="12"/>
      <c r="I48" s="12" t="str">
        <f t="shared" si="1"/>
        <v/>
      </c>
      <c r="J48" s="13" t="str">
        <f t="shared" si="2"/>
        <v/>
      </c>
      <c r="K48" s="37"/>
      <c r="L48" s="37"/>
    </row>
    <row r="49" spans="1:12" ht="15.6">
      <c r="A49" s="26" t="str">
        <v>X117</v>
      </c>
      <c r="B49" s="27" t="str">
        <v>NY</v>
      </c>
      <c r="C49" s="25" t="str">
        <f>Sites[[#This Row],[SOL'#]]</f>
        <v>SOL-10422</v>
      </c>
      <c r="D49" s="9"/>
      <c r="E49" s="14"/>
      <c r="F49" s="14" t="str">
        <f t="shared" si="0"/>
        <v/>
      </c>
      <c r="G49" s="15" t="str">
        <f t="shared" si="3"/>
        <v/>
      </c>
      <c r="H49" s="16"/>
      <c r="I49" s="16" t="str">
        <f t="shared" si="1"/>
        <v/>
      </c>
      <c r="J49" s="15" t="str">
        <f t="shared" si="2"/>
        <v/>
      </c>
      <c r="K49" s="38"/>
      <c r="L49" s="50"/>
    </row>
    <row r="50" spans="1:12" ht="15.6">
      <c r="A50" s="24" t="str">
        <v>X125</v>
      </c>
      <c r="B50" s="25" t="str">
        <v>NY</v>
      </c>
      <c r="C50" s="25" t="str">
        <f>Sites[[#This Row],[SOL'#]]</f>
        <v>SOL-10423</v>
      </c>
      <c r="D50" s="20"/>
      <c r="E50" s="10"/>
      <c r="F50" s="10" t="str">
        <f t="shared" si="0"/>
        <v/>
      </c>
      <c r="G50" s="11" t="str">
        <f t="shared" si="3"/>
        <v/>
      </c>
      <c r="H50" s="12"/>
      <c r="I50" s="12" t="str">
        <f t="shared" si="1"/>
        <v/>
      </c>
      <c r="J50" s="13" t="str">
        <f t="shared" si="2"/>
        <v/>
      </c>
      <c r="K50" s="37"/>
      <c r="L50" s="37"/>
    </row>
    <row r="51" spans="1:12" ht="15.6">
      <c r="A51" s="26" t="str">
        <v>X134</v>
      </c>
      <c r="B51" s="27" t="str">
        <v>NY</v>
      </c>
      <c r="C51" s="25" t="str">
        <f>Sites[[#This Row],[SOL'#]]</f>
        <v>SOL-10424</v>
      </c>
      <c r="D51" s="9"/>
      <c r="E51" s="14"/>
      <c r="F51" s="14" t="str">
        <f t="shared" si="0"/>
        <v/>
      </c>
      <c r="G51" s="15" t="str">
        <f t="shared" si="3"/>
        <v/>
      </c>
      <c r="H51" s="16"/>
      <c r="I51" s="16" t="str">
        <f t="shared" si="1"/>
        <v/>
      </c>
      <c r="J51" s="15" t="str">
        <f t="shared" si="2"/>
        <v/>
      </c>
      <c r="K51" s="38"/>
      <c r="L51" s="38"/>
    </row>
    <row r="52" spans="1:12" ht="15.6">
      <c r="A52" s="24" t="str">
        <v>X135</v>
      </c>
      <c r="B52" s="25" t="str">
        <v>NY</v>
      </c>
      <c r="C52" s="25" t="str">
        <f>Sites[[#This Row],[SOL'#]]</f>
        <v>SOL-10425</v>
      </c>
      <c r="D52" s="20"/>
      <c r="E52" s="10"/>
      <c r="F52" s="10" t="str">
        <f t="shared" si="0"/>
        <v/>
      </c>
      <c r="G52" s="11" t="str">
        <f t="shared" si="3"/>
        <v/>
      </c>
      <c r="H52" s="12"/>
      <c r="I52" s="12" t="str">
        <f t="shared" si="1"/>
        <v/>
      </c>
      <c r="J52" s="13" t="str">
        <f t="shared" si="2"/>
        <v/>
      </c>
      <c r="K52" s="37"/>
      <c r="L52" s="37"/>
    </row>
    <row r="53" spans="1:12" ht="15.6">
      <c r="A53" s="26" t="str">
        <v>X139 JHS 222</v>
      </c>
      <c r="B53" s="27" t="str">
        <v>NY</v>
      </c>
      <c r="C53" s="25" t="str">
        <f>Sites[[#This Row],[SOL'#]]</f>
        <v>SOL-10426</v>
      </c>
      <c r="D53" s="9"/>
      <c r="E53" s="14"/>
      <c r="F53" s="14" t="str">
        <f t="shared" si="0"/>
        <v/>
      </c>
      <c r="G53" s="15" t="str">
        <f t="shared" si="3"/>
        <v/>
      </c>
      <c r="H53" s="16"/>
      <c r="I53" s="16" t="str">
        <f t="shared" si="1"/>
        <v/>
      </c>
      <c r="J53" s="15" t="str">
        <f t="shared" si="2"/>
        <v/>
      </c>
      <c r="K53" s="38"/>
      <c r="L53" s="38"/>
    </row>
    <row r="54" spans="1:12" ht="15.6">
      <c r="A54" s="24" t="str">
        <v>X140</v>
      </c>
      <c r="B54" s="25" t="str">
        <v>NY</v>
      </c>
      <c r="C54" s="25" t="str">
        <f>Sites[[#This Row],[SOL'#]]</f>
        <v>SOL-10926</v>
      </c>
      <c r="D54" s="20"/>
      <c r="E54" s="10"/>
      <c r="F54" s="10" t="str">
        <f t="shared" si="0"/>
        <v/>
      </c>
      <c r="G54" s="11" t="str">
        <f t="shared" si="3"/>
        <v/>
      </c>
      <c r="H54" s="12"/>
      <c r="I54" s="12" t="str">
        <f t="shared" si="1"/>
        <v/>
      </c>
      <c r="J54" s="13" t="str">
        <f t="shared" si="2"/>
        <v/>
      </c>
      <c r="K54" s="37"/>
      <c r="L54" s="37"/>
    </row>
    <row r="55" spans="1:12" ht="15.6">
      <c r="A55" s="26" t="str">
        <v>X166</v>
      </c>
      <c r="B55" s="27" t="str">
        <v>NY</v>
      </c>
      <c r="C55" s="25" t="str">
        <f>Sites[[#This Row],[SOL'#]]</f>
        <v>SOL-10427</v>
      </c>
      <c r="D55" s="9"/>
      <c r="E55" s="14"/>
      <c r="F55" s="14" t="str">
        <f t="shared" si="0"/>
        <v/>
      </c>
      <c r="G55" s="15" t="str">
        <f t="shared" si="3"/>
        <v/>
      </c>
      <c r="H55" s="16"/>
      <c r="I55" s="16" t="str">
        <f t="shared" si="1"/>
        <v/>
      </c>
      <c r="J55" s="15" t="str">
        <f t="shared" si="2"/>
        <v/>
      </c>
      <c r="K55" s="38"/>
      <c r="L55" s="38"/>
    </row>
    <row r="56" spans="1:12" ht="15.6">
      <c r="A56" s="24" t="str">
        <v>Murphy</v>
      </c>
      <c r="B56" s="25" t="str">
        <v>MN</v>
      </c>
      <c r="C56" s="25" t="str">
        <f>Sites[[#This Row],[SOL'#]]</f>
        <v>SOL-10094</v>
      </c>
      <c r="D56" s="20"/>
      <c r="E56" s="10"/>
      <c r="F56" s="10" t="str">
        <f t="shared" si="0"/>
        <v/>
      </c>
      <c r="G56" s="11" t="str">
        <f t="shared" si="3"/>
        <v/>
      </c>
      <c r="H56" s="12"/>
      <c r="I56" s="12" t="str">
        <f t="shared" si="1"/>
        <v/>
      </c>
      <c r="J56" s="13" t="str">
        <f t="shared" si="2"/>
        <v/>
      </c>
      <c r="K56" s="37"/>
      <c r="L56" s="37"/>
    </row>
    <row r="57" spans="1:12" ht="15.6">
      <c r="A57" s="26" t="str">
        <v>Terning</v>
      </c>
      <c r="B57" s="27" t="str">
        <v>MN</v>
      </c>
      <c r="C57" s="25" t="str">
        <f>Sites[[#This Row],[SOL'#]]</f>
        <v>SOL-10093</v>
      </c>
      <c r="D57" s="9"/>
      <c r="E57" s="14"/>
      <c r="F57" s="14" t="str">
        <f t="shared" si="0"/>
        <v/>
      </c>
      <c r="G57" s="15" t="str">
        <f t="shared" si="3"/>
        <v/>
      </c>
      <c r="H57" s="16"/>
      <c r="I57" s="16" t="str">
        <f t="shared" si="1"/>
        <v/>
      </c>
      <c r="J57" s="15" t="str">
        <f t="shared" si="2"/>
        <v/>
      </c>
      <c r="K57" s="38"/>
      <c r="L57" s="38"/>
    </row>
    <row r="58" spans="1:12" ht="15.6">
      <c r="A58" s="24" t="str">
        <v>Boas Road 04</v>
      </c>
      <c r="B58" s="25" t="str">
        <v>NY</v>
      </c>
      <c r="C58" s="25" t="str">
        <f>Sites[[#This Row],[SOL'#]]</f>
        <v>SOL-10908</v>
      </c>
      <c r="D58" s="20"/>
      <c r="E58" s="10"/>
      <c r="F58" s="10" t="str">
        <f t="shared" si="0"/>
        <v/>
      </c>
      <c r="G58" s="11" t="str">
        <f t="shared" si="3"/>
        <v/>
      </c>
      <c r="H58" s="12"/>
      <c r="I58" s="12" t="str">
        <f t="shared" si="1"/>
        <v/>
      </c>
      <c r="J58" s="13" t="str">
        <f t="shared" si="2"/>
        <v/>
      </c>
      <c r="K58" s="37"/>
      <c r="L58" s="37"/>
    </row>
    <row r="59" spans="1:12" ht="25.5" customHeight="1">
      <c r="A59" s="26" t="str">
        <v>Kelly Bridge Farm</v>
      </c>
      <c r="B59" s="27" t="str">
        <v>NY</v>
      </c>
      <c r="C59" s="25" t="str">
        <f>Sites[[#This Row],[SOL'#]]</f>
        <v>SOL-10911</v>
      </c>
      <c r="D59" s="9"/>
      <c r="E59" s="14"/>
      <c r="F59" s="14" t="str">
        <f t="shared" si="0"/>
        <v/>
      </c>
      <c r="G59" s="15" t="str">
        <f t="shared" si="3"/>
        <v/>
      </c>
      <c r="H59" s="16"/>
      <c r="I59" s="16" t="str">
        <f t="shared" si="1"/>
        <v/>
      </c>
      <c r="J59" s="15" t="str">
        <f t="shared" si="2"/>
        <v/>
      </c>
      <c r="K59" s="51"/>
      <c r="L59" s="50"/>
    </row>
    <row r="60" spans="1:12" ht="15.6">
      <c r="A60" s="24" t="str">
        <v>Pool Brook Road</v>
      </c>
      <c r="B60" s="25" t="str">
        <v>NY</v>
      </c>
      <c r="C60" s="25" t="str">
        <f>Sites[[#This Row],[SOL'#]]</f>
        <v>SOL-10909</v>
      </c>
      <c r="D60" s="20"/>
      <c r="E60" s="10"/>
      <c r="F60" s="10" t="str">
        <f t="shared" si="0"/>
        <v/>
      </c>
      <c r="G60" s="11" t="str">
        <f t="shared" si="3"/>
        <v/>
      </c>
      <c r="H60" s="12"/>
      <c r="I60" s="12" t="str">
        <f t="shared" si="1"/>
        <v/>
      </c>
      <c r="J60" s="13" t="str">
        <f t="shared" si="2"/>
        <v/>
      </c>
      <c r="K60" s="37"/>
      <c r="L60" s="37"/>
    </row>
    <row r="61" spans="1:12" ht="15.6">
      <c r="A61" s="26" t="str">
        <v>Sackett Lake</v>
      </c>
      <c r="B61" s="27" t="str">
        <v>NY</v>
      </c>
      <c r="C61" s="25" t="str">
        <f>Sites[[#This Row],[SOL'#]]</f>
        <v>SOL-10910</v>
      </c>
      <c r="D61" s="9"/>
      <c r="E61" s="14"/>
      <c r="F61" s="14" t="str">
        <f t="shared" si="0"/>
        <v/>
      </c>
      <c r="G61" s="15" t="str">
        <f t="shared" si="3"/>
        <v/>
      </c>
      <c r="H61" s="16"/>
      <c r="I61" s="16" t="str">
        <f t="shared" si="1"/>
        <v/>
      </c>
      <c r="J61" s="15" t="str">
        <f t="shared" si="2"/>
        <v/>
      </c>
      <c r="K61" s="38"/>
      <c r="L61" s="38"/>
    </row>
    <row r="62" spans="1:12" ht="15.6">
      <c r="A62" s="24" t="str">
        <v>Burritt Road</v>
      </c>
      <c r="B62" s="25" t="str">
        <v>NY</v>
      </c>
      <c r="C62" s="25" t="str">
        <f>Sites[[#This Row],[SOL'#]]</f>
        <v>SOL-10913</v>
      </c>
      <c r="D62" s="20"/>
      <c r="E62" s="10"/>
      <c r="F62" s="10" t="str">
        <f t="shared" si="0"/>
        <v/>
      </c>
      <c r="G62" s="11" t="str">
        <f t="shared" si="3"/>
        <v/>
      </c>
      <c r="H62" s="12"/>
      <c r="I62" s="12" t="str">
        <f t="shared" si="1"/>
        <v/>
      </c>
      <c r="J62" s="13" t="str">
        <f t="shared" si="2"/>
        <v/>
      </c>
      <c r="K62" s="37"/>
      <c r="L62" s="37"/>
    </row>
    <row r="63" spans="1:12" ht="15.6">
      <c r="A63" s="26" t="str">
        <v>Villa Roma 1</v>
      </c>
      <c r="B63" s="27" t="str">
        <v>NY</v>
      </c>
      <c r="C63" s="25" t="str">
        <f>Sites[[#This Row],[SOL'#]]</f>
        <v>SOL-10914</v>
      </c>
      <c r="D63" s="9"/>
      <c r="E63" s="14"/>
      <c r="F63" s="14" t="str">
        <f t="shared" si="0"/>
        <v/>
      </c>
      <c r="G63" s="15" t="str">
        <f t="shared" si="3"/>
        <v/>
      </c>
      <c r="H63" s="16"/>
      <c r="I63" s="16" t="str">
        <f t="shared" si="1"/>
        <v/>
      </c>
      <c r="J63" s="15" t="str">
        <f t="shared" si="2"/>
        <v/>
      </c>
      <c r="K63" s="38"/>
      <c r="L63" s="50"/>
    </row>
    <row r="64" spans="1:12" ht="15.6">
      <c r="A64" s="24" t="str">
        <v>Villa Roma 2</v>
      </c>
      <c r="B64" s="25" t="str">
        <v>NY</v>
      </c>
      <c r="C64" s="25" t="str">
        <f>Sites[[#This Row],[SOL'#]]</f>
        <v>SOL-10915</v>
      </c>
      <c r="D64" s="20"/>
      <c r="E64" s="10"/>
      <c r="F64" s="10" t="str">
        <f t="shared" si="0"/>
        <v/>
      </c>
      <c r="G64" s="11" t="str">
        <f t="shared" si="3"/>
        <v/>
      </c>
      <c r="H64" s="12"/>
      <c r="I64" s="12" t="str">
        <f t="shared" si="1"/>
        <v/>
      </c>
      <c r="J64" s="13" t="str">
        <f t="shared" si="2"/>
        <v/>
      </c>
      <c r="K64" s="37"/>
      <c r="L64" s="37"/>
    </row>
    <row r="65" spans="1:12" ht="15.6">
      <c r="A65" s="26" t="str">
        <v>Washington 1</v>
      </c>
      <c r="B65" s="27" t="str">
        <v>NY</v>
      </c>
      <c r="C65" s="25" t="str">
        <f>Sites[[#This Row],[SOL'#]]</f>
        <v>SOL-10912</v>
      </c>
      <c r="D65" s="9"/>
      <c r="E65" s="14"/>
      <c r="F65" s="14" t="str">
        <f t="shared" si="0"/>
        <v/>
      </c>
      <c r="G65" s="15" t="str">
        <f t="shared" si="3"/>
        <v/>
      </c>
      <c r="H65" s="16"/>
      <c r="I65" s="16" t="str">
        <f t="shared" si="1"/>
        <v/>
      </c>
      <c r="J65" s="15" t="str">
        <f t="shared" si="2"/>
        <v/>
      </c>
      <c r="K65" s="38"/>
      <c r="L65" s="38"/>
    </row>
    <row r="66" spans="1:12" ht="15.6">
      <c r="A66" s="24" t="str">
        <v>Washington 3</v>
      </c>
      <c r="B66" s="25" t="str">
        <v>NY</v>
      </c>
      <c r="C66" s="25" t="str">
        <f>Sites[[#This Row],[SOL'#]]</f>
        <v>SOL-10828</v>
      </c>
      <c r="D66" s="20"/>
      <c r="E66" s="10"/>
      <c r="F66" s="10" t="str">
        <f t="shared" si="0"/>
        <v/>
      </c>
      <c r="G66" s="11" t="str">
        <f t="shared" si="3"/>
        <v/>
      </c>
      <c r="H66" s="12"/>
      <c r="I66" s="12" t="str">
        <f t="shared" si="1"/>
        <v/>
      </c>
      <c r="J66" s="13" t="str">
        <f t="shared" si="2"/>
        <v/>
      </c>
      <c r="K66" s="37"/>
      <c r="L66" s="37"/>
    </row>
    <row r="67" spans="1:12" ht="15.6">
      <c r="A67" s="26" t="str">
        <v>Washington 4</v>
      </c>
      <c r="B67" s="27" t="str">
        <v>NY</v>
      </c>
      <c r="C67" s="25" t="str">
        <f>Sites[[#This Row],[SOL'#]]</f>
        <v>SOL-10829</v>
      </c>
      <c r="D67" s="9"/>
      <c r="E67" s="14"/>
      <c r="F67" s="14" t="str">
        <f t="shared" si="0"/>
        <v/>
      </c>
      <c r="G67" s="15" t="str">
        <f t="shared" si="3"/>
        <v/>
      </c>
      <c r="H67" s="16"/>
      <c r="I67" s="16" t="str">
        <f t="shared" si="1"/>
        <v/>
      </c>
      <c r="J67" s="15" t="str">
        <f t="shared" si="2"/>
        <v/>
      </c>
      <c r="K67" s="50"/>
      <c r="L67" s="38"/>
    </row>
    <row r="68" spans="1:12" ht="15.6">
      <c r="A68" s="24" t="str">
        <v>Big Tree</v>
      </c>
      <c r="B68" s="25" t="str">
        <v>NY</v>
      </c>
      <c r="C68" s="25" t="str">
        <f>Sites[[#This Row],[SOL'#]]</f>
        <v>SOL-10966</v>
      </c>
      <c r="D68" s="20"/>
      <c r="E68" s="10"/>
      <c r="F68" s="10" t="str">
        <f t="shared" si="0"/>
        <v/>
      </c>
      <c r="G68" s="11" t="str">
        <f t="shared" si="3"/>
        <v/>
      </c>
      <c r="H68" s="12"/>
      <c r="I68" s="12" t="str">
        <f t="shared" si="1"/>
        <v/>
      </c>
      <c r="J68" s="13" t="str">
        <f t="shared" si="2"/>
        <v/>
      </c>
      <c r="K68" s="37"/>
      <c r="L68" s="37"/>
    </row>
    <row r="69" spans="1:12" ht="15.6">
      <c r="A69" s="26" t="str">
        <v>Canoga</v>
      </c>
      <c r="B69" s="27" t="str">
        <v>NY</v>
      </c>
      <c r="C69" s="25" t="str">
        <f>Sites[[#This Row],[SOL'#]]</f>
        <v>SOL-10965</v>
      </c>
      <c r="D69" s="9"/>
      <c r="E69" s="14"/>
      <c r="F69" s="14" t="str">
        <f t="shared" ref="F69:F133" si="4">IF(AND(ISNUMBER(D69),ISNUMBER(E69)), D69-E69, "")</f>
        <v/>
      </c>
      <c r="G69" s="15" t="str">
        <f t="shared" si="3"/>
        <v/>
      </c>
      <c r="H69" s="16"/>
      <c r="I69" s="16" t="str">
        <f t="shared" ref="I69:I132" si="5">IF(AND(ISNUMBER(D69),ISNUMBER(H69)), D69-H69, "")</f>
        <v/>
      </c>
      <c r="J69" s="15" t="str">
        <f t="shared" ref="J69:J132" si="6">IFERROR(I69/H69, "")</f>
        <v/>
      </c>
      <c r="K69" s="38"/>
      <c r="L69" s="38"/>
    </row>
    <row r="70" spans="1:12" ht="15.6">
      <c r="A70" s="24" t="str">
        <v>County Route 84</v>
      </c>
      <c r="B70" s="25" t="str">
        <v>NY</v>
      </c>
      <c r="C70" s="25" t="str">
        <f>Sites[[#This Row],[SOL'#]]</f>
        <v>SOL-10967</v>
      </c>
      <c r="D70" s="20"/>
      <c r="E70" s="10"/>
      <c r="F70" s="10" t="str">
        <f t="shared" si="4"/>
        <v/>
      </c>
      <c r="G70" s="11" t="str">
        <f t="shared" ref="G70:G133" si="7">IFERROR(F70/E70, "")</f>
        <v/>
      </c>
      <c r="H70" s="12"/>
      <c r="I70" s="12" t="str">
        <f t="shared" si="5"/>
        <v/>
      </c>
      <c r="J70" s="13" t="str">
        <f t="shared" si="6"/>
        <v/>
      </c>
      <c r="K70" s="37"/>
      <c r="L70" s="37"/>
    </row>
    <row r="71" spans="1:12" ht="15.6">
      <c r="A71" s="26" t="str">
        <v>Donati</v>
      </c>
      <c r="B71" s="27" t="str">
        <v>NY</v>
      </c>
      <c r="C71" s="25" t="str">
        <f>Sites[[#This Row],[SOL'#]]</f>
        <v>SOL-10968</v>
      </c>
      <c r="D71" s="9"/>
      <c r="E71" s="14"/>
      <c r="F71" s="14" t="str">
        <f t="shared" si="4"/>
        <v/>
      </c>
      <c r="G71" s="15" t="str">
        <f t="shared" si="7"/>
        <v/>
      </c>
      <c r="H71" s="16"/>
      <c r="I71" s="16" t="str">
        <f t="shared" si="5"/>
        <v/>
      </c>
      <c r="J71" s="15" t="str">
        <f t="shared" si="6"/>
        <v/>
      </c>
      <c r="K71" s="38"/>
      <c r="L71" s="38"/>
    </row>
    <row r="72" spans="1:12" ht="15.6">
      <c r="A72" s="24" t="str">
        <v>Henrietta</v>
      </c>
      <c r="B72" s="25" t="str">
        <v>NY</v>
      </c>
      <c r="C72" s="25" t="str">
        <f>Sites[[#This Row],[SOL'#]]</f>
        <v>SOL-10972</v>
      </c>
      <c r="D72" s="20"/>
      <c r="E72" s="10"/>
      <c r="F72" s="10" t="str">
        <f t="shared" si="4"/>
        <v/>
      </c>
      <c r="G72" s="11" t="str">
        <f t="shared" si="7"/>
        <v/>
      </c>
      <c r="H72" s="12"/>
      <c r="I72" s="12" t="str">
        <f t="shared" si="5"/>
        <v/>
      </c>
      <c r="J72" s="13" t="str">
        <f t="shared" si="6"/>
        <v/>
      </c>
      <c r="K72" s="37"/>
      <c r="L72" s="37"/>
    </row>
    <row r="73" spans="1:12" ht="15.6">
      <c r="A73" s="26" t="str">
        <v>NY 70</v>
      </c>
      <c r="B73" s="27" t="str">
        <v>NY</v>
      </c>
      <c r="C73" s="25" t="str">
        <f>Sites[[#This Row],[SOL'#]]</f>
        <v>SOL-10970</v>
      </c>
      <c r="D73" s="9"/>
      <c r="E73" s="14"/>
      <c r="F73" s="14" t="str">
        <f t="shared" si="4"/>
        <v/>
      </c>
      <c r="G73" s="15" t="str">
        <f t="shared" si="7"/>
        <v/>
      </c>
      <c r="H73" s="16"/>
      <c r="I73" s="16" t="str">
        <f t="shared" si="5"/>
        <v/>
      </c>
      <c r="J73" s="15" t="str">
        <f t="shared" si="6"/>
        <v/>
      </c>
      <c r="K73" s="38"/>
      <c r="L73" s="38"/>
    </row>
    <row r="74" spans="1:12" ht="15.6">
      <c r="A74" s="24" t="str">
        <v>Reid</v>
      </c>
      <c r="B74" s="25" t="str">
        <v>NY</v>
      </c>
      <c r="C74" s="25" t="str">
        <f>Sites[[#This Row],[SOL'#]]</f>
        <v>SOL-10991</v>
      </c>
      <c r="D74" s="20"/>
      <c r="E74" s="10"/>
      <c r="F74" s="10" t="str">
        <f t="shared" si="4"/>
        <v/>
      </c>
      <c r="G74" s="11" t="str">
        <f t="shared" si="7"/>
        <v/>
      </c>
      <c r="H74" s="12"/>
      <c r="I74" s="12" t="str">
        <f t="shared" si="5"/>
        <v/>
      </c>
      <c r="J74" s="13" t="str">
        <f t="shared" si="6"/>
        <v/>
      </c>
      <c r="K74" s="37"/>
      <c r="L74" s="37"/>
    </row>
    <row r="75" spans="1:12" ht="45" customHeight="1">
      <c r="A75" s="26" t="str">
        <v>Sangolqui</v>
      </c>
      <c r="B75" s="27" t="str">
        <v>NY</v>
      </c>
      <c r="C75" s="25" t="str">
        <f>Sites[[#This Row],[SOL'#]]</f>
        <v>SOL-10975</v>
      </c>
      <c r="D75" s="9"/>
      <c r="E75" s="14"/>
      <c r="F75" s="14" t="str">
        <f t="shared" si="4"/>
        <v/>
      </c>
      <c r="G75" s="15" t="str">
        <f t="shared" si="7"/>
        <v/>
      </c>
      <c r="H75" s="16"/>
      <c r="I75" s="16" t="str">
        <f t="shared" si="5"/>
        <v/>
      </c>
      <c r="J75" s="15" t="str">
        <f t="shared" si="6"/>
        <v/>
      </c>
      <c r="K75" s="50"/>
      <c r="L75" s="50"/>
    </row>
    <row r="76" spans="1:12" ht="15.6">
      <c r="A76" s="24" t="str">
        <v>State Highway 17B</v>
      </c>
      <c r="B76" s="25" t="str">
        <v>NY</v>
      </c>
      <c r="C76" s="25" t="str">
        <f>Sites[[#This Row],[SOL'#]]</f>
        <v>SOL-10988</v>
      </c>
      <c r="D76" s="54"/>
      <c r="E76" s="10"/>
      <c r="F76" s="10" t="str">
        <f t="shared" si="4"/>
        <v/>
      </c>
      <c r="G76" s="11" t="str">
        <f t="shared" si="7"/>
        <v/>
      </c>
      <c r="H76" s="12"/>
      <c r="I76" s="12" t="str">
        <f t="shared" si="5"/>
        <v/>
      </c>
      <c r="J76" s="13" t="str">
        <f t="shared" si="6"/>
        <v/>
      </c>
      <c r="K76" s="37"/>
      <c r="L76" s="37"/>
    </row>
    <row r="77" spans="1:12" ht="21.75" customHeight="1">
      <c r="A77" s="26" t="str">
        <v>State Route 14A</v>
      </c>
      <c r="B77" s="27" t="str">
        <v>NY</v>
      </c>
      <c r="C77" s="25" t="str">
        <f>Sites[[#This Row],[SOL'#]]</f>
        <v>SOL-10997</v>
      </c>
      <c r="D77" s="9"/>
      <c r="E77" s="14"/>
      <c r="F77" s="14" t="str">
        <f t="shared" si="4"/>
        <v/>
      </c>
      <c r="G77" s="15" t="str">
        <f t="shared" si="7"/>
        <v/>
      </c>
      <c r="H77" s="16"/>
      <c r="I77" s="16" t="str">
        <f t="shared" si="5"/>
        <v/>
      </c>
      <c r="J77" s="15" t="str">
        <f t="shared" si="6"/>
        <v/>
      </c>
      <c r="K77" s="38"/>
      <c r="L77" s="38"/>
    </row>
    <row r="78" spans="1:12" ht="15.6">
      <c r="A78" s="24" t="str">
        <v>West Creek</v>
      </c>
      <c r="B78" s="25" t="str">
        <v>NY</v>
      </c>
      <c r="C78" s="25" t="str">
        <f>Sites[[#This Row],[SOL'#]]</f>
        <v>SOL-10995</v>
      </c>
      <c r="D78" s="20"/>
      <c r="E78" s="10"/>
      <c r="F78" s="10" t="str">
        <f t="shared" si="4"/>
        <v/>
      </c>
      <c r="G78" s="11" t="str">
        <f t="shared" si="7"/>
        <v/>
      </c>
      <c r="H78" s="12"/>
      <c r="I78" s="12" t="str">
        <f t="shared" si="5"/>
        <v/>
      </c>
      <c r="J78" s="13" t="str">
        <f t="shared" si="6"/>
        <v/>
      </c>
      <c r="K78" s="37"/>
      <c r="L78" s="37"/>
    </row>
    <row r="79" spans="1:12" ht="15.6">
      <c r="A79" s="26" t="str">
        <v>Wildflower</v>
      </c>
      <c r="B79" s="27" t="str">
        <v>NY</v>
      </c>
      <c r="C79" s="25" t="str">
        <f>Sites[[#This Row],[SOL'#]]</f>
        <v>SOL-10982</v>
      </c>
      <c r="D79" s="9"/>
      <c r="E79" s="14"/>
      <c r="F79" s="14" t="str">
        <f t="shared" si="4"/>
        <v/>
      </c>
      <c r="G79" s="15" t="str">
        <f t="shared" si="7"/>
        <v/>
      </c>
      <c r="H79" s="16"/>
      <c r="I79" s="16" t="str">
        <f t="shared" si="5"/>
        <v/>
      </c>
      <c r="J79" s="15" t="str">
        <f t="shared" si="6"/>
        <v/>
      </c>
      <c r="K79" s="38"/>
      <c r="L79" s="85"/>
    </row>
    <row r="80" spans="1:12" ht="15.6">
      <c r="A80" s="24" t="str">
        <v>Glen Mary 1</v>
      </c>
      <c r="B80" s="25" t="str">
        <v>NY</v>
      </c>
      <c r="C80" s="25" t="str">
        <f>Sites[[#This Row],[SOL'#]]</f>
        <v>SOL-10993</v>
      </c>
      <c r="D80" s="20"/>
      <c r="E80" s="10"/>
      <c r="F80" s="10" t="str">
        <f t="shared" si="4"/>
        <v/>
      </c>
      <c r="G80" s="11" t="str">
        <f t="shared" si="7"/>
        <v/>
      </c>
      <c r="H80" s="12"/>
      <c r="I80" s="12" t="str">
        <f t="shared" si="5"/>
        <v/>
      </c>
      <c r="J80" s="13" t="str">
        <f t="shared" si="6"/>
        <v/>
      </c>
      <c r="K80" s="37"/>
      <c r="L80" s="37"/>
    </row>
    <row r="81" spans="1:12" ht="15.6">
      <c r="A81" s="26" t="str">
        <v>Glen Mary 2</v>
      </c>
      <c r="B81" s="27" t="str">
        <v>NY</v>
      </c>
      <c r="C81" s="25" t="str">
        <f>Sites[[#This Row],[SOL'#]]</f>
        <v>SOL-10994</v>
      </c>
      <c r="D81" s="9"/>
      <c r="E81" s="14"/>
      <c r="F81" s="14" t="str">
        <f t="shared" si="4"/>
        <v/>
      </c>
      <c r="G81" s="15" t="str">
        <f t="shared" si="7"/>
        <v/>
      </c>
      <c r="H81" s="16"/>
      <c r="I81" s="16" t="str">
        <f t="shared" si="5"/>
        <v/>
      </c>
      <c r="J81" s="15" t="str">
        <f t="shared" si="6"/>
        <v/>
      </c>
      <c r="K81" s="38"/>
      <c r="L81" s="84"/>
    </row>
    <row r="82" spans="1:12" ht="19.5" customHeight="1">
      <c r="A82" s="24" t="str">
        <v>Telegraph 1</v>
      </c>
      <c r="B82" s="25" t="str">
        <v>NY</v>
      </c>
      <c r="C82" s="25" t="str">
        <f>Sites[[#This Row],[SOL'#]]</f>
        <v>SOL-11003</v>
      </c>
      <c r="D82" s="20"/>
      <c r="E82" s="10"/>
      <c r="F82" s="10" t="str">
        <f t="shared" si="4"/>
        <v/>
      </c>
      <c r="G82" s="11" t="str">
        <f t="shared" si="7"/>
        <v/>
      </c>
      <c r="H82" s="12"/>
      <c r="I82" s="12" t="str">
        <f t="shared" si="5"/>
        <v/>
      </c>
      <c r="J82" s="13" t="str">
        <f t="shared" si="6"/>
        <v/>
      </c>
      <c r="K82" s="37"/>
      <c r="L82" s="37"/>
    </row>
    <row r="83" spans="1:12" ht="15.6">
      <c r="A83" s="26" t="str">
        <v>Telegraph 2</v>
      </c>
      <c r="B83" s="27" t="str">
        <v>NY</v>
      </c>
      <c r="C83" s="25" t="str">
        <f>Sites[[#This Row],[SOL'#]]</f>
        <v>SOL-11004</v>
      </c>
      <c r="D83" s="9"/>
      <c r="E83" s="14"/>
      <c r="F83" s="14" t="str">
        <f t="shared" si="4"/>
        <v/>
      </c>
      <c r="G83" s="15" t="str">
        <f t="shared" si="7"/>
        <v/>
      </c>
      <c r="H83" s="16"/>
      <c r="I83" s="16" t="str">
        <f t="shared" si="5"/>
        <v/>
      </c>
      <c r="J83" s="15" t="str">
        <f t="shared" si="6"/>
        <v/>
      </c>
      <c r="K83" s="38"/>
      <c r="L83" s="97"/>
    </row>
    <row r="84" spans="1:12" ht="15.6">
      <c r="A84" s="24" t="str">
        <v>Cafferty Hill</v>
      </c>
      <c r="B84" s="25" t="str">
        <v>NY</v>
      </c>
      <c r="C84" s="25" t="str">
        <f>Sites[[#This Row],[SOL'#]]</f>
        <v>SOL-10996</v>
      </c>
      <c r="D84" s="20"/>
      <c r="E84" s="10"/>
      <c r="F84" s="10" t="str">
        <f t="shared" si="4"/>
        <v/>
      </c>
      <c r="G84" s="11" t="str">
        <f t="shared" si="7"/>
        <v/>
      </c>
      <c r="H84" s="12"/>
      <c r="I84" s="12" t="str">
        <f t="shared" si="5"/>
        <v/>
      </c>
      <c r="J84" s="13" t="str">
        <f t="shared" si="6"/>
        <v/>
      </c>
      <c r="K84" s="37"/>
      <c r="L84" s="37"/>
    </row>
    <row r="85" spans="1:12" ht="15.6">
      <c r="A85" s="26" t="str">
        <v>Dunkleman</v>
      </c>
      <c r="B85" s="27" t="str">
        <v>NY</v>
      </c>
      <c r="C85" s="25" t="str">
        <f>Sites[[#This Row],[SOL'#]]</f>
        <v>SOL-11008</v>
      </c>
      <c r="D85" s="9"/>
      <c r="E85" s="14"/>
      <c r="F85" s="14" t="str">
        <f t="shared" si="4"/>
        <v/>
      </c>
      <c r="G85" s="15" t="str">
        <f t="shared" si="7"/>
        <v/>
      </c>
      <c r="H85" s="16"/>
      <c r="I85" s="16" t="str">
        <f t="shared" si="5"/>
        <v/>
      </c>
      <c r="J85" s="15" t="str">
        <f t="shared" si="6"/>
        <v/>
      </c>
      <c r="K85" s="38"/>
      <c r="L85" s="84"/>
    </row>
    <row r="86" spans="1:12" ht="47.25" customHeight="1">
      <c r="A86" s="24" t="str">
        <v>Route 19 1</v>
      </c>
      <c r="B86" s="25" t="str">
        <v>NY</v>
      </c>
      <c r="C86" s="25" t="str">
        <f>Sites[[#This Row],[SOL'#]]</f>
        <v>SOL-11001</v>
      </c>
      <c r="D86" s="20"/>
      <c r="E86" s="10"/>
      <c r="F86" s="10" t="str">
        <f t="shared" si="4"/>
        <v/>
      </c>
      <c r="G86" s="11" t="str">
        <f t="shared" si="7"/>
        <v/>
      </c>
      <c r="H86" s="12"/>
      <c r="I86" s="12" t="str">
        <f t="shared" si="5"/>
        <v/>
      </c>
      <c r="J86" s="13" t="str">
        <f t="shared" si="6"/>
        <v/>
      </c>
      <c r="K86" s="37"/>
      <c r="L86" s="37"/>
    </row>
    <row r="87" spans="1:12" ht="15.6">
      <c r="A87" s="26" t="str">
        <v>Route 19 2</v>
      </c>
      <c r="B87" s="27" t="str">
        <v>NY</v>
      </c>
      <c r="C87" s="25" t="str">
        <f>Sites[[#This Row],[SOL'#]]</f>
        <v>SOL-11002</v>
      </c>
      <c r="D87" s="9"/>
      <c r="E87" s="14"/>
      <c r="F87" s="14" t="str">
        <f t="shared" si="4"/>
        <v/>
      </c>
      <c r="G87" s="15" t="str">
        <f t="shared" si="7"/>
        <v/>
      </c>
      <c r="H87" s="16"/>
      <c r="I87" s="16" t="str">
        <f t="shared" si="5"/>
        <v/>
      </c>
      <c r="J87" s="15" t="str">
        <f t="shared" si="6"/>
        <v/>
      </c>
      <c r="K87" s="38"/>
      <c r="L87" s="97"/>
    </row>
    <row r="88" spans="1:12" ht="15.6">
      <c r="A88" s="24" t="str">
        <v>Yellow Mills 1</v>
      </c>
      <c r="B88" s="25" t="str">
        <v>NY</v>
      </c>
      <c r="C88" s="25" t="str">
        <f>Sites[[#This Row],[SOL'#]]</f>
        <v>SOL-11006</v>
      </c>
      <c r="D88" s="20"/>
      <c r="E88" s="10"/>
      <c r="F88" s="10" t="str">
        <f t="shared" si="4"/>
        <v/>
      </c>
      <c r="G88" s="11" t="str">
        <f t="shared" si="7"/>
        <v/>
      </c>
      <c r="H88" s="12"/>
      <c r="I88" s="12" t="str">
        <f t="shared" si="5"/>
        <v/>
      </c>
      <c r="J88" s="13" t="str">
        <f t="shared" si="6"/>
        <v/>
      </c>
      <c r="K88" s="37"/>
      <c r="L88" s="37"/>
    </row>
    <row r="89" spans="1:12" ht="15.6">
      <c r="A89" s="26" t="str">
        <v>Yellow Mills 2</v>
      </c>
      <c r="B89" s="27" t="str">
        <v>NY</v>
      </c>
      <c r="C89" s="25" t="str">
        <f>Sites[[#This Row],[SOL'#]]</f>
        <v>SOL-11005</v>
      </c>
      <c r="D89" s="9"/>
      <c r="E89" s="14"/>
      <c r="F89" s="14" t="str">
        <f t="shared" si="4"/>
        <v/>
      </c>
      <c r="G89" s="15" t="str">
        <f t="shared" si="7"/>
        <v/>
      </c>
      <c r="H89" s="16"/>
      <c r="I89" s="16" t="str">
        <f t="shared" si="5"/>
        <v/>
      </c>
      <c r="J89" s="15" t="str">
        <f t="shared" si="6"/>
        <v/>
      </c>
      <c r="K89" s="38"/>
      <c r="L89" s="38"/>
    </row>
    <row r="90" spans="1:12" ht="15.6">
      <c r="A90" s="24" t="str">
        <v>Yellow Mills 3</v>
      </c>
      <c r="B90" s="25" t="str">
        <v>NY</v>
      </c>
      <c r="C90" s="25" t="str">
        <f>Sites[[#This Row],[SOL'#]]</f>
        <v>SOL-11007</v>
      </c>
      <c r="D90" s="20"/>
      <c r="E90" s="10"/>
      <c r="F90" s="10" t="str">
        <f t="shared" si="4"/>
        <v/>
      </c>
      <c r="G90" s="11" t="str">
        <f t="shared" si="7"/>
        <v/>
      </c>
      <c r="H90" s="12"/>
      <c r="I90" s="12" t="str">
        <f t="shared" si="5"/>
        <v/>
      </c>
      <c r="J90" s="13" t="str">
        <f t="shared" si="6"/>
        <v/>
      </c>
      <c r="K90" s="37"/>
      <c r="L90" s="37"/>
    </row>
    <row r="91" spans="1:12" ht="15.6">
      <c r="A91" s="26" t="str">
        <v>Catskill</v>
      </c>
      <c r="B91" s="27" t="str">
        <v>NY</v>
      </c>
      <c r="C91" s="25" t="str">
        <f>Sites[[#This Row],[SOL'#]]</f>
        <v>SOL-11021</v>
      </c>
      <c r="D91" s="9"/>
      <c r="E91" s="14"/>
      <c r="F91" s="14" t="str">
        <f t="shared" si="4"/>
        <v/>
      </c>
      <c r="G91" s="15" t="str">
        <f t="shared" si="7"/>
        <v/>
      </c>
      <c r="H91" s="16"/>
      <c r="I91" s="16" t="str">
        <f t="shared" si="5"/>
        <v/>
      </c>
      <c r="J91" s="15" t="str">
        <f t="shared" si="6"/>
        <v/>
      </c>
      <c r="K91" s="38"/>
      <c r="L91" s="38"/>
    </row>
    <row r="92" spans="1:12" ht="15.6">
      <c r="A92" s="24" t="str">
        <v>Eddy Ridge</v>
      </c>
      <c r="B92" s="25" t="str">
        <v>NY</v>
      </c>
      <c r="C92" s="25" t="str">
        <f>Sites[[#This Row],[SOL'#]]</f>
        <v>SOL-11054</v>
      </c>
      <c r="D92" s="20"/>
      <c r="E92" s="10"/>
      <c r="F92" s="10" t="str">
        <f t="shared" si="4"/>
        <v/>
      </c>
      <c r="G92" s="11" t="str">
        <f t="shared" si="7"/>
        <v/>
      </c>
      <c r="H92" s="12"/>
      <c r="I92" s="12" t="str">
        <f t="shared" si="5"/>
        <v/>
      </c>
      <c r="J92" s="13" t="str">
        <f t="shared" si="6"/>
        <v/>
      </c>
      <c r="K92" s="37"/>
      <c r="L92" s="37"/>
    </row>
    <row r="93" spans="1:12" ht="15.6">
      <c r="A93" s="26" t="str">
        <v>Ridgeway #1</v>
      </c>
      <c r="B93" s="27" t="str">
        <v>NY</v>
      </c>
      <c r="C93" s="25" t="str">
        <f>Sites[[#This Row],[SOL'#]]</f>
        <v>SOL-11018</v>
      </c>
      <c r="D93" s="9"/>
      <c r="E93" s="14"/>
      <c r="F93" s="14" t="str">
        <f t="shared" si="4"/>
        <v/>
      </c>
      <c r="G93" s="15" t="str">
        <f t="shared" si="7"/>
        <v/>
      </c>
      <c r="H93" s="16"/>
      <c r="I93" s="16" t="str">
        <f t="shared" si="5"/>
        <v/>
      </c>
      <c r="J93" s="15" t="str">
        <f t="shared" si="6"/>
        <v/>
      </c>
      <c r="K93" s="38"/>
      <c r="L93" s="51"/>
    </row>
    <row r="94" spans="1:12" ht="15.6">
      <c r="A94" s="24" t="str">
        <v>Rivard 1</v>
      </c>
      <c r="B94" s="25" t="str">
        <v>NY</v>
      </c>
      <c r="C94" s="25" t="str">
        <f>Sites[[#This Row],[SOL'#]]</f>
        <v>SOL-11011</v>
      </c>
      <c r="D94" s="20"/>
      <c r="E94" s="10"/>
      <c r="F94" s="10" t="str">
        <f t="shared" si="4"/>
        <v/>
      </c>
      <c r="G94" s="11" t="str">
        <f t="shared" si="7"/>
        <v/>
      </c>
      <c r="H94" s="12"/>
      <c r="I94" s="12" t="str">
        <f t="shared" si="5"/>
        <v/>
      </c>
      <c r="J94" s="13" t="str">
        <f t="shared" si="6"/>
        <v/>
      </c>
      <c r="K94" s="37"/>
      <c r="L94" s="37"/>
    </row>
    <row r="95" spans="1:12" ht="15.6">
      <c r="A95" s="26" t="str">
        <v>Rivard 2</v>
      </c>
      <c r="B95" s="27" t="str">
        <v>NY</v>
      </c>
      <c r="C95" s="25" t="str">
        <f>Sites[[#This Row],[SOL'#]]</f>
        <v>SOL-11012</v>
      </c>
      <c r="D95" s="9"/>
      <c r="E95" s="14"/>
      <c r="F95" s="14" t="str">
        <f t="shared" si="4"/>
        <v/>
      </c>
      <c r="G95" s="15" t="str">
        <f t="shared" si="7"/>
        <v/>
      </c>
      <c r="H95" s="16"/>
      <c r="I95" s="16" t="str">
        <f t="shared" si="5"/>
        <v/>
      </c>
      <c r="J95" s="15" t="str">
        <f t="shared" si="6"/>
        <v/>
      </c>
      <c r="K95" s="38"/>
      <c r="L95" s="38"/>
    </row>
    <row r="96" spans="1:12" ht="15.6">
      <c r="A96" s="24" t="str">
        <v>Ridgeway #2</v>
      </c>
      <c r="B96" s="25" t="str">
        <v>NY</v>
      </c>
      <c r="C96" s="25" t="str">
        <f>Sites[[#This Row],[SOL'#]]</f>
        <v>SOL-11027</v>
      </c>
      <c r="D96" s="20"/>
      <c r="E96" s="10"/>
      <c r="F96" s="10" t="str">
        <f t="shared" si="4"/>
        <v/>
      </c>
      <c r="G96" s="11" t="str">
        <f t="shared" si="7"/>
        <v/>
      </c>
      <c r="H96" s="12"/>
      <c r="I96" s="12" t="str">
        <f t="shared" si="5"/>
        <v/>
      </c>
      <c r="J96" s="13" t="str">
        <f t="shared" si="6"/>
        <v/>
      </c>
      <c r="K96" s="37"/>
      <c r="L96" s="37"/>
    </row>
    <row r="97" spans="1:12" ht="15.6">
      <c r="A97" s="26" t="str">
        <v>Spencer</v>
      </c>
      <c r="B97" s="27" t="str">
        <v>NY</v>
      </c>
      <c r="C97" s="25" t="str">
        <f>Sites[[#This Row],[SOL'#]]</f>
        <v>SOL-11017</v>
      </c>
      <c r="D97" s="9"/>
      <c r="E97" s="14"/>
      <c r="F97" s="14" t="str">
        <f t="shared" si="4"/>
        <v/>
      </c>
      <c r="G97" s="15" t="str">
        <f t="shared" si="7"/>
        <v/>
      </c>
      <c r="H97" s="16"/>
      <c r="I97" s="16" t="str">
        <f t="shared" si="5"/>
        <v/>
      </c>
      <c r="J97" s="15" t="str">
        <f t="shared" si="6"/>
        <v/>
      </c>
      <c r="K97" s="38"/>
      <c r="L97" s="38"/>
    </row>
    <row r="98" spans="1:12" ht="15.6">
      <c r="A98" s="24" t="str">
        <v>Reisender</v>
      </c>
      <c r="B98" s="25" t="str">
        <v>NY</v>
      </c>
      <c r="C98" s="25" t="str">
        <f>Sites[[#This Row],[SOL'#]]</f>
        <v>SOL-10886</v>
      </c>
      <c r="D98" s="20"/>
      <c r="E98" s="10"/>
      <c r="F98" s="10" t="str">
        <f t="shared" si="4"/>
        <v/>
      </c>
      <c r="G98" s="11" t="str">
        <f t="shared" si="7"/>
        <v/>
      </c>
      <c r="H98" s="12"/>
      <c r="I98" s="12" t="str">
        <f t="shared" si="5"/>
        <v/>
      </c>
      <c r="J98" s="13" t="str">
        <f t="shared" si="6"/>
        <v/>
      </c>
      <c r="K98" s="37"/>
      <c r="L98" s="37"/>
    </row>
    <row r="99" spans="1:12" ht="15.6">
      <c r="A99" s="26" t="str">
        <v>Finney</v>
      </c>
      <c r="B99" s="27" t="str">
        <v>NY</v>
      </c>
      <c r="C99" s="25" t="str">
        <f>Sites[[#This Row],[SOL'#]]</f>
        <v>SOL-10999</v>
      </c>
      <c r="D99" s="9"/>
      <c r="E99" s="14"/>
      <c r="F99" s="14" t="str">
        <f t="shared" si="4"/>
        <v/>
      </c>
      <c r="G99" s="15" t="str">
        <f t="shared" si="7"/>
        <v/>
      </c>
      <c r="H99" s="16"/>
      <c r="I99" s="16" t="str">
        <f t="shared" si="5"/>
        <v/>
      </c>
      <c r="J99" s="15" t="str">
        <f t="shared" si="6"/>
        <v/>
      </c>
      <c r="K99" s="51"/>
      <c r="L99" s="51"/>
    </row>
    <row r="100" spans="1:12" ht="15.6">
      <c r="A100" s="24" t="str">
        <v>Davis Solar</v>
      </c>
      <c r="B100" s="25" t="str">
        <v>NY</v>
      </c>
      <c r="C100" s="25" t="str">
        <f>Sites[[#This Row],[SOL'#]]</f>
        <v>SOL-10958</v>
      </c>
      <c r="D100" s="20"/>
      <c r="E100" s="10"/>
      <c r="F100" s="10" t="str">
        <f t="shared" si="4"/>
        <v/>
      </c>
      <c r="G100" s="11" t="str">
        <f t="shared" si="7"/>
        <v/>
      </c>
      <c r="H100" s="12"/>
      <c r="I100" s="12" t="str">
        <f t="shared" si="5"/>
        <v/>
      </c>
      <c r="J100" s="13" t="str">
        <f t="shared" si="6"/>
        <v/>
      </c>
      <c r="K100" s="37"/>
      <c r="L100" s="37"/>
    </row>
    <row r="101" spans="1:12" ht="15.6">
      <c r="A101" s="26" t="str">
        <v>Genesee</v>
      </c>
      <c r="B101" s="27" t="str">
        <v>NY</v>
      </c>
      <c r="C101" s="25" t="str">
        <f>Sites[[#This Row],[SOL'#]]</f>
        <v>SOL-10951</v>
      </c>
      <c r="D101" s="9"/>
      <c r="E101" s="14"/>
      <c r="F101" s="14" t="str">
        <f t="shared" si="4"/>
        <v/>
      </c>
      <c r="G101" s="15" t="str">
        <f t="shared" si="7"/>
        <v/>
      </c>
      <c r="H101" s="16"/>
      <c r="I101" s="16" t="str">
        <f t="shared" si="5"/>
        <v/>
      </c>
      <c r="J101" s="15" t="str">
        <f t="shared" si="6"/>
        <v/>
      </c>
      <c r="K101" s="38"/>
      <c r="L101" s="51"/>
    </row>
    <row r="102" spans="1:12" ht="15.6">
      <c r="A102" s="24" t="str">
        <v>Landau I</v>
      </c>
      <c r="B102" s="25" t="str">
        <v>NY</v>
      </c>
      <c r="C102" s="25" t="str">
        <f>Sites[[#This Row],[SOL'#]]</f>
        <v>SOL-10891</v>
      </c>
      <c r="D102" s="20"/>
      <c r="E102" s="10"/>
      <c r="F102" s="10" t="str">
        <f t="shared" si="4"/>
        <v/>
      </c>
      <c r="G102" s="11" t="str">
        <f t="shared" si="7"/>
        <v/>
      </c>
      <c r="H102" s="12"/>
      <c r="I102" s="12" t="str">
        <f t="shared" si="5"/>
        <v/>
      </c>
      <c r="J102" s="13" t="str">
        <f t="shared" si="6"/>
        <v/>
      </c>
      <c r="K102" s="37"/>
      <c r="L102" s="37"/>
    </row>
    <row r="103" spans="1:12" ht="15.6">
      <c r="A103" s="26" t="str">
        <v>Landau II</v>
      </c>
      <c r="B103" s="27" t="str">
        <v>NY</v>
      </c>
      <c r="C103" s="25" t="str">
        <f>Sites[[#This Row],[SOL'#]]</f>
        <v>SOL-10895</v>
      </c>
      <c r="D103" s="9"/>
      <c r="E103" s="14"/>
      <c r="F103" s="14" t="str">
        <f t="shared" si="4"/>
        <v/>
      </c>
      <c r="G103" s="15" t="str">
        <f t="shared" si="7"/>
        <v/>
      </c>
      <c r="H103" s="16"/>
      <c r="I103" s="16" t="str">
        <f t="shared" si="5"/>
        <v/>
      </c>
      <c r="J103" s="15" t="str">
        <f t="shared" si="6"/>
        <v/>
      </c>
      <c r="K103" s="38"/>
      <c r="L103" s="51"/>
    </row>
    <row r="104" spans="1:12" ht="15.6">
      <c r="A104" s="24" t="str">
        <v>New Beginnings</v>
      </c>
      <c r="B104" s="25" t="str">
        <v>NY</v>
      </c>
      <c r="C104" s="25" t="str">
        <f>Sites[[#This Row],[SOL'#]]</f>
        <v>SOL-10890</v>
      </c>
      <c r="D104" s="20"/>
      <c r="E104" s="10"/>
      <c r="F104" s="10" t="str">
        <f t="shared" si="4"/>
        <v/>
      </c>
      <c r="G104" s="11" t="str">
        <f t="shared" si="7"/>
        <v/>
      </c>
      <c r="H104" s="12"/>
      <c r="I104" s="12" t="str">
        <f t="shared" si="5"/>
        <v/>
      </c>
      <c r="J104" s="13" t="str">
        <f t="shared" si="6"/>
        <v/>
      </c>
      <c r="K104" s="37"/>
      <c r="L104" s="37"/>
    </row>
    <row r="105" spans="1:12" ht="15.6">
      <c r="A105" s="26" t="str">
        <v>Bullitt Farm Solar, LLC</v>
      </c>
      <c r="B105" s="27" t="str">
        <v>NY</v>
      </c>
      <c r="C105" s="25" t="str">
        <f>Sites[[#This Row],[SOL'#]]</f>
        <v>SOL-10998</v>
      </c>
      <c r="D105" s="9"/>
      <c r="E105" s="14"/>
      <c r="F105" s="14" t="str">
        <f t="shared" si="4"/>
        <v/>
      </c>
      <c r="G105" s="15" t="str">
        <f t="shared" si="7"/>
        <v/>
      </c>
      <c r="H105" s="16"/>
      <c r="I105" s="16" t="str">
        <f t="shared" si="5"/>
        <v/>
      </c>
      <c r="J105" s="15" t="str">
        <f t="shared" si="6"/>
        <v/>
      </c>
      <c r="K105" s="38"/>
      <c r="L105" s="38"/>
    </row>
    <row r="106" spans="1:12" ht="15.6">
      <c r="A106" s="24" t="str">
        <v>Brodhead Solar, LLC</v>
      </c>
      <c r="B106" s="25" t="str">
        <v>NY</v>
      </c>
      <c r="C106" s="25" t="str">
        <f>Sites[[#This Row],[SOL'#]]</f>
        <v>SOL-10899</v>
      </c>
      <c r="D106" s="20"/>
      <c r="E106" s="10"/>
      <c r="F106" s="10" t="str">
        <f t="shared" si="4"/>
        <v/>
      </c>
      <c r="G106" s="11" t="str">
        <f t="shared" si="7"/>
        <v/>
      </c>
      <c r="H106" s="12"/>
      <c r="I106" s="12" t="str">
        <f t="shared" si="5"/>
        <v/>
      </c>
      <c r="J106" s="13" t="str">
        <f t="shared" si="6"/>
        <v/>
      </c>
      <c r="K106" s="37"/>
      <c r="L106" s="37"/>
    </row>
    <row r="107" spans="1:12" ht="15.6">
      <c r="A107" s="26" t="str">
        <v>Svenski</v>
      </c>
      <c r="B107" s="27" t="str">
        <v>NY</v>
      </c>
      <c r="C107" s="25" t="str">
        <f>Sites[[#This Row],[SOL'#]]</f>
        <v>SOL-10894</v>
      </c>
      <c r="D107" s="9"/>
      <c r="E107" s="14"/>
      <c r="F107" s="14" t="str">
        <f t="shared" si="4"/>
        <v/>
      </c>
      <c r="G107" s="15" t="str">
        <f t="shared" si="7"/>
        <v/>
      </c>
      <c r="H107" s="16"/>
      <c r="I107" s="16" t="str">
        <f t="shared" si="5"/>
        <v/>
      </c>
      <c r="J107" s="15" t="str">
        <f t="shared" si="6"/>
        <v/>
      </c>
      <c r="K107" s="38"/>
      <c r="L107" s="51"/>
    </row>
    <row r="108" spans="1:12" ht="15.6">
      <c r="A108" s="24" t="str">
        <v>Bantam</v>
      </c>
      <c r="B108" s="25" t="str">
        <v>NY</v>
      </c>
      <c r="C108" s="25" t="str">
        <f>Sites[[#This Row],[SOL'#]]</f>
        <v>SOL-10986</v>
      </c>
      <c r="D108" s="20"/>
      <c r="E108" s="10"/>
      <c r="F108" s="10" t="str">
        <f t="shared" si="4"/>
        <v/>
      </c>
      <c r="G108" s="11" t="str">
        <f t="shared" si="7"/>
        <v/>
      </c>
      <c r="H108" s="12"/>
      <c r="I108" s="12" t="str">
        <f t="shared" si="5"/>
        <v/>
      </c>
      <c r="J108" s="13" t="str">
        <f t="shared" si="6"/>
        <v/>
      </c>
      <c r="K108" s="37"/>
      <c r="L108" s="37"/>
    </row>
    <row r="109" spans="1:12" ht="15.6">
      <c r="A109" s="26" t="str">
        <v>Bogart</v>
      </c>
      <c r="B109" s="27" t="str">
        <v>NY</v>
      </c>
      <c r="C109" s="25" t="str">
        <f>Sites[[#This Row],[SOL'#]]</f>
        <v>SOL-10887</v>
      </c>
      <c r="D109" s="9"/>
      <c r="E109" s="14"/>
      <c r="F109" s="14" t="str">
        <f t="shared" si="4"/>
        <v/>
      </c>
      <c r="G109" s="15" t="str">
        <f t="shared" si="7"/>
        <v/>
      </c>
      <c r="H109" s="16"/>
      <c r="I109" s="16" t="str">
        <f t="shared" si="5"/>
        <v/>
      </c>
      <c r="J109" s="15" t="str">
        <f t="shared" si="6"/>
        <v/>
      </c>
      <c r="K109" s="38"/>
      <c r="L109" s="51"/>
    </row>
    <row r="110" spans="1:12" ht="15.6">
      <c r="A110" s="24" t="str">
        <v>Dubois</v>
      </c>
      <c r="B110" s="25" t="str">
        <v>NY</v>
      </c>
      <c r="C110" s="25" t="str">
        <f>Sites[[#This Row],[SOL'#]]</f>
        <v>SOL-10892</v>
      </c>
      <c r="D110" s="20"/>
      <c r="E110" s="10"/>
      <c r="F110" s="10" t="str">
        <f t="shared" si="4"/>
        <v/>
      </c>
      <c r="G110" s="11" t="str">
        <f t="shared" si="7"/>
        <v/>
      </c>
      <c r="H110" s="12"/>
      <c r="I110" s="12" t="str">
        <f t="shared" si="5"/>
        <v/>
      </c>
      <c r="J110" s="13" t="str">
        <f t="shared" si="6"/>
        <v/>
      </c>
      <c r="K110" s="37"/>
      <c r="L110" s="37"/>
    </row>
    <row r="111" spans="1:12" ht="15.6">
      <c r="A111" s="26" t="str">
        <v>Salt Point</v>
      </c>
      <c r="B111" s="27" t="str">
        <v>NY</v>
      </c>
      <c r="C111" s="25" t="str">
        <f>Sites[[#This Row],[SOL'#]]</f>
        <v>SOL-10888</v>
      </c>
      <c r="D111" s="9"/>
      <c r="E111" s="14"/>
      <c r="F111" s="14" t="str">
        <f t="shared" si="4"/>
        <v/>
      </c>
      <c r="G111" s="15" t="str">
        <f t="shared" si="7"/>
        <v/>
      </c>
      <c r="H111" s="16"/>
      <c r="I111" s="16" t="str">
        <f t="shared" si="5"/>
        <v/>
      </c>
      <c r="J111" s="15" t="str">
        <f t="shared" si="6"/>
        <v/>
      </c>
      <c r="K111" s="38"/>
      <c r="L111" s="38"/>
    </row>
    <row r="112" spans="1:12" ht="15.6">
      <c r="A112" s="24" t="str">
        <v>Wheatland 2A</v>
      </c>
      <c r="B112" s="25" t="str">
        <v>NY</v>
      </c>
      <c r="C112" s="25" t="str">
        <f>Sites[[#This Row],[SOL'#]]</f>
        <v>SOL-10971</v>
      </c>
      <c r="D112" s="20"/>
      <c r="E112" s="10"/>
      <c r="F112" s="10" t="str">
        <f t="shared" si="4"/>
        <v/>
      </c>
      <c r="G112" s="11" t="str">
        <f t="shared" si="7"/>
        <v/>
      </c>
      <c r="H112" s="12"/>
      <c r="I112" s="12" t="str">
        <f t="shared" si="5"/>
        <v/>
      </c>
      <c r="J112" s="13" t="str">
        <f t="shared" si="6"/>
        <v/>
      </c>
      <c r="K112" s="37"/>
      <c r="L112" s="37"/>
    </row>
    <row r="113" spans="1:12" ht="15.6">
      <c r="A113" s="26" t="str">
        <v>Wheatland 2B</v>
      </c>
      <c r="B113" s="27" t="str">
        <v>NY</v>
      </c>
      <c r="C113" s="25" t="str">
        <f>Sites[[#This Row],[SOL'#]]</f>
        <v>SOL-10961</v>
      </c>
      <c r="D113" s="9"/>
      <c r="E113" s="14"/>
      <c r="F113" s="14" t="str">
        <f t="shared" si="4"/>
        <v/>
      </c>
      <c r="G113" s="15" t="str">
        <f t="shared" si="7"/>
        <v/>
      </c>
      <c r="H113" s="16"/>
      <c r="I113" s="16" t="str">
        <f t="shared" si="5"/>
        <v/>
      </c>
      <c r="J113" s="15" t="str">
        <f t="shared" si="6"/>
        <v/>
      </c>
      <c r="K113" s="38"/>
      <c r="L113" s="38"/>
    </row>
    <row r="114" spans="1:12" ht="15.6">
      <c r="A114" s="24" t="str">
        <v>Brickchurch</v>
      </c>
      <c r="B114" s="25" t="str">
        <v>NY</v>
      </c>
      <c r="C114" s="25" t="str">
        <f>Sites[[#This Row],[SOL'#]]</f>
        <v>SOL-10889</v>
      </c>
      <c r="D114" s="20"/>
      <c r="E114" s="10"/>
      <c r="F114" s="10" t="str">
        <f t="shared" si="4"/>
        <v/>
      </c>
      <c r="G114" s="11" t="str">
        <f t="shared" si="7"/>
        <v/>
      </c>
      <c r="H114" s="12"/>
      <c r="I114" s="12" t="str">
        <f t="shared" si="5"/>
        <v/>
      </c>
      <c r="J114" s="13" t="str">
        <f t="shared" si="6"/>
        <v/>
      </c>
      <c r="K114" s="37"/>
      <c r="L114" s="37"/>
    </row>
    <row r="115" spans="1:12" ht="15.6">
      <c r="A115" s="26" t="str">
        <v>McCarthy Solar</v>
      </c>
      <c r="B115" s="27" t="str">
        <v>NY</v>
      </c>
      <c r="C115" s="25" t="str">
        <f>Sites[[#This Row],[SOL'#]]</f>
        <v>SOL-10992</v>
      </c>
      <c r="D115" s="9"/>
      <c r="E115" s="14"/>
      <c r="F115" s="14" t="str">
        <f t="shared" si="4"/>
        <v/>
      </c>
      <c r="G115" s="15" t="str">
        <f t="shared" si="7"/>
        <v/>
      </c>
      <c r="H115" s="16"/>
      <c r="I115" s="16" t="str">
        <f t="shared" si="5"/>
        <v/>
      </c>
      <c r="J115" s="15" t="str">
        <f t="shared" si="6"/>
        <v/>
      </c>
      <c r="K115" s="38"/>
      <c r="L115" s="38"/>
    </row>
    <row r="116" spans="1:12" ht="15.6">
      <c r="A116" s="24" t="str">
        <v>Costanza</v>
      </c>
      <c r="B116" s="25" t="str">
        <v>NY</v>
      </c>
      <c r="C116" s="25" t="str">
        <f>Sites[[#This Row],[SOL'#]]</f>
        <v>SOL-10907</v>
      </c>
      <c r="D116" s="20"/>
      <c r="E116" s="10"/>
      <c r="F116" s="10" t="str">
        <f t="shared" si="4"/>
        <v/>
      </c>
      <c r="G116" s="11" t="str">
        <f t="shared" si="7"/>
        <v/>
      </c>
      <c r="H116" s="12"/>
      <c r="I116" s="12" t="str">
        <f t="shared" si="5"/>
        <v/>
      </c>
      <c r="J116" s="13" t="str">
        <f t="shared" si="6"/>
        <v/>
      </c>
      <c r="K116" s="37"/>
      <c r="L116" s="37"/>
    </row>
    <row r="117" spans="1:12" ht="15.6">
      <c r="A117" s="26" t="str">
        <v>Lockenhurst Pond</v>
      </c>
      <c r="B117" s="27" t="str">
        <v>NY</v>
      </c>
      <c r="C117" s="25" t="str">
        <f>Sites[[#This Row],[SOL'#]]</f>
        <v>SOL-11000</v>
      </c>
      <c r="D117" s="9"/>
      <c r="E117" s="14"/>
      <c r="F117" s="14" t="str">
        <f t="shared" si="4"/>
        <v/>
      </c>
      <c r="G117" s="15" t="str">
        <f t="shared" si="7"/>
        <v/>
      </c>
      <c r="H117" s="16"/>
      <c r="I117" s="16" t="str">
        <f t="shared" si="5"/>
        <v/>
      </c>
      <c r="J117" s="15" t="str">
        <f t="shared" si="6"/>
        <v/>
      </c>
      <c r="K117" s="38"/>
      <c r="L117" s="38"/>
    </row>
    <row r="118" spans="1:12" ht="15.6">
      <c r="A118" s="24" t="str">
        <v>Drinkwater</v>
      </c>
      <c r="B118" s="25" t="str">
        <v>NY</v>
      </c>
      <c r="C118" s="25" t="str">
        <f>Sites[[#This Row],[SOL'#]]</f>
        <v>SOL-10896</v>
      </c>
      <c r="D118" s="20"/>
      <c r="E118" s="10"/>
      <c r="F118" s="10" t="str">
        <f t="shared" si="4"/>
        <v/>
      </c>
      <c r="G118" s="11" t="str">
        <f t="shared" si="7"/>
        <v/>
      </c>
      <c r="H118" s="12"/>
      <c r="I118" s="12" t="str">
        <f t="shared" si="5"/>
        <v/>
      </c>
      <c r="J118" s="13" t="str">
        <f t="shared" si="6"/>
        <v/>
      </c>
      <c r="K118" s="37"/>
      <c r="L118" s="37"/>
    </row>
    <row r="119" spans="1:12" ht="15.6">
      <c r="A119" s="26" t="str">
        <v>Altamont</v>
      </c>
      <c r="B119" s="27" t="str">
        <v>NY</v>
      </c>
      <c r="C119" s="25" t="str">
        <f>Sites[[#This Row],[SOL'#]]</f>
        <v>SOL-11085</v>
      </c>
      <c r="D119" s="9"/>
      <c r="E119" s="14"/>
      <c r="F119" s="14" t="str">
        <f t="shared" si="4"/>
        <v/>
      </c>
      <c r="G119" s="15" t="str">
        <f t="shared" si="7"/>
        <v/>
      </c>
      <c r="H119" s="16"/>
      <c r="I119" s="16" t="str">
        <f t="shared" si="5"/>
        <v/>
      </c>
      <c r="J119" s="15" t="str">
        <f t="shared" si="6"/>
        <v/>
      </c>
      <c r="K119" s="38"/>
      <c r="L119" s="84"/>
    </row>
    <row r="120" spans="1:12" ht="15.6">
      <c r="A120" s="24" t="str">
        <v>Krumkill North</v>
      </c>
      <c r="B120" s="25" t="str">
        <v>NY</v>
      </c>
      <c r="C120" s="25" t="str">
        <f>Sites[[#This Row],[SOL'#]]</f>
        <v>SOL-11086</v>
      </c>
      <c r="D120" s="20"/>
      <c r="E120" s="10"/>
      <c r="F120" s="10" t="str">
        <f t="shared" si="4"/>
        <v/>
      </c>
      <c r="G120" s="11" t="str">
        <f t="shared" si="7"/>
        <v/>
      </c>
      <c r="H120" s="12"/>
      <c r="I120" s="12" t="str">
        <f t="shared" si="5"/>
        <v/>
      </c>
      <c r="J120" s="13" t="str">
        <f t="shared" si="6"/>
        <v/>
      </c>
      <c r="K120" s="37"/>
      <c r="L120" s="37"/>
    </row>
    <row r="121" spans="1:12" ht="15.6">
      <c r="A121" s="26" t="str">
        <v>Krumkill South</v>
      </c>
      <c r="B121" s="27" t="str">
        <v>NY</v>
      </c>
      <c r="C121" s="25" t="str">
        <f>Sites[[#This Row],[SOL'#]]</f>
        <v>SOL-11087</v>
      </c>
      <c r="D121" s="9"/>
      <c r="E121" s="14"/>
      <c r="F121" s="14" t="str">
        <f t="shared" si="4"/>
        <v/>
      </c>
      <c r="G121" s="15" t="str">
        <f t="shared" si="7"/>
        <v/>
      </c>
      <c r="H121" s="16"/>
      <c r="I121" s="16" t="str">
        <f t="shared" si="5"/>
        <v/>
      </c>
      <c r="J121" s="15" t="str">
        <f t="shared" si="6"/>
        <v/>
      </c>
      <c r="K121" s="50"/>
      <c r="L121" s="38"/>
    </row>
    <row r="122" spans="1:12" ht="15.6">
      <c r="A122" s="24" t="str">
        <v>X092</v>
      </c>
      <c r="B122" s="25" t="str">
        <v>NY</v>
      </c>
      <c r="C122" s="25" t="str">
        <f>Sites[[#This Row],[SOL'#]]</f>
        <v>SOL-11189</v>
      </c>
      <c r="D122" s="20"/>
      <c r="E122" s="10"/>
      <c r="F122" s="10" t="str">
        <f t="shared" si="4"/>
        <v/>
      </c>
      <c r="G122" s="11" t="str">
        <f t="shared" si="7"/>
        <v/>
      </c>
      <c r="H122" s="12"/>
      <c r="I122" s="12" t="str">
        <f t="shared" si="5"/>
        <v/>
      </c>
      <c r="J122" s="13" t="str">
        <f t="shared" si="6"/>
        <v/>
      </c>
      <c r="K122" s="37"/>
      <c r="L122" s="37"/>
    </row>
    <row r="123" spans="1:12" ht="15.6">
      <c r="A123" s="26" t="str">
        <v>X093</v>
      </c>
      <c r="B123" s="27" t="str">
        <v>NY</v>
      </c>
      <c r="C123" s="25" t="str">
        <f>Sites[[#This Row],[SOL'#]]</f>
        <v>SOL-10932</v>
      </c>
      <c r="D123" s="9"/>
      <c r="E123" s="14"/>
      <c r="F123" s="14" t="str">
        <f t="shared" si="4"/>
        <v/>
      </c>
      <c r="G123" s="15" t="str">
        <f t="shared" si="7"/>
        <v/>
      </c>
      <c r="H123" s="16"/>
      <c r="I123" s="16" t="str">
        <f t="shared" si="5"/>
        <v/>
      </c>
      <c r="J123" s="15" t="str">
        <f t="shared" si="6"/>
        <v/>
      </c>
      <c r="K123" s="38"/>
      <c r="L123" s="38"/>
    </row>
    <row r="124" spans="1:12" ht="15.6">
      <c r="A124" s="24" t="str">
        <v>X095</v>
      </c>
      <c r="B124" s="25" t="str">
        <v>NY</v>
      </c>
      <c r="C124" s="25" t="str">
        <f>Sites[[#This Row],[SOL'#]]</f>
        <v>SOL-10929</v>
      </c>
      <c r="D124" s="20"/>
      <c r="E124" s="10"/>
      <c r="F124" s="10" t="str">
        <f t="shared" si="4"/>
        <v/>
      </c>
      <c r="G124" s="11" t="str">
        <f t="shared" si="7"/>
        <v/>
      </c>
      <c r="H124" s="12"/>
      <c r="I124" s="12" t="str">
        <f t="shared" si="5"/>
        <v/>
      </c>
      <c r="J124" s="13" t="str">
        <f t="shared" si="6"/>
        <v/>
      </c>
      <c r="K124" s="37"/>
      <c r="L124" s="37"/>
    </row>
    <row r="125" spans="1:12" ht="15.6">
      <c r="A125" s="26" t="str">
        <v>X181</v>
      </c>
      <c r="B125" s="27" t="str">
        <v>NY</v>
      </c>
      <c r="C125" s="25" t="str">
        <f>Sites[[#This Row],[SOL'#]]</f>
        <v>SOL-10428</v>
      </c>
      <c r="D125" s="9"/>
      <c r="E125" s="14"/>
      <c r="F125" s="14" t="str">
        <f t="shared" si="4"/>
        <v/>
      </c>
      <c r="G125" s="15" t="str">
        <f t="shared" si="7"/>
        <v/>
      </c>
      <c r="H125" s="16"/>
      <c r="I125" s="16" t="str">
        <f t="shared" si="5"/>
        <v/>
      </c>
      <c r="J125" s="15" t="str">
        <f t="shared" si="6"/>
        <v/>
      </c>
      <c r="K125" s="38"/>
      <c r="L125" s="50"/>
    </row>
    <row r="126" spans="1:12" ht="15.6">
      <c r="A126" s="24" t="str">
        <v>X415</v>
      </c>
      <c r="B126" s="25" t="str">
        <v>NY</v>
      </c>
      <c r="C126" s="25" t="str">
        <f>Sites[[#This Row],[SOL'#]]</f>
        <v>SOL-10429</v>
      </c>
      <c r="D126" s="20"/>
      <c r="E126" s="10"/>
      <c r="F126" s="10" t="str">
        <f t="shared" si="4"/>
        <v/>
      </c>
      <c r="G126" s="11" t="str">
        <f t="shared" si="7"/>
        <v/>
      </c>
      <c r="H126" s="12"/>
      <c r="I126" s="12" t="str">
        <f t="shared" si="5"/>
        <v/>
      </c>
      <c r="J126" s="13" t="str">
        <f t="shared" si="6"/>
        <v/>
      </c>
      <c r="K126" s="37"/>
      <c r="L126" s="37"/>
    </row>
    <row r="127" spans="1:12" ht="15.6">
      <c r="A127" s="26" t="str">
        <v>K198</v>
      </c>
      <c r="B127" s="27" t="str">
        <v>NY</v>
      </c>
      <c r="C127" s="25" t="str">
        <f>Sites[[#This Row],[SOL'#]]</f>
        <v>SOL-10930</v>
      </c>
      <c r="D127" s="9"/>
      <c r="E127" s="14"/>
      <c r="F127" s="14" t="str">
        <f t="shared" si="4"/>
        <v/>
      </c>
      <c r="G127" s="15" t="str">
        <f t="shared" si="7"/>
        <v/>
      </c>
      <c r="H127" s="16"/>
      <c r="I127" s="16" t="str">
        <f t="shared" si="5"/>
        <v/>
      </c>
      <c r="J127" s="15" t="str">
        <f t="shared" si="6"/>
        <v/>
      </c>
      <c r="K127" s="38"/>
      <c r="L127" s="85"/>
    </row>
    <row r="128" spans="1:12" ht="15.6">
      <c r="A128" s="24" t="str">
        <v>K203</v>
      </c>
      <c r="B128" s="25" t="str">
        <v>NY</v>
      </c>
      <c r="C128" s="25" t="str">
        <f>Sites[[#This Row],[SOL'#]]</f>
        <v>SOL-11190</v>
      </c>
      <c r="D128" s="20"/>
      <c r="E128" s="10"/>
      <c r="F128" s="10" t="str">
        <f t="shared" si="4"/>
        <v/>
      </c>
      <c r="G128" s="11" t="str">
        <f t="shared" si="7"/>
        <v/>
      </c>
      <c r="H128" s="12"/>
      <c r="I128" s="12" t="str">
        <f t="shared" si="5"/>
        <v/>
      </c>
      <c r="J128" s="13" t="str">
        <f t="shared" si="6"/>
        <v/>
      </c>
      <c r="K128" s="37"/>
      <c r="L128" s="37"/>
    </row>
    <row r="129" spans="1:12" ht="15.6">
      <c r="A129" s="26" t="str">
        <v>K213</v>
      </c>
      <c r="B129" s="27" t="str">
        <v>NY</v>
      </c>
      <c r="C129" s="25" t="str">
        <f>Sites[[#This Row],[SOL'#]]</f>
        <v>SOL-11191</v>
      </c>
      <c r="D129" s="9"/>
      <c r="E129" s="14"/>
      <c r="F129" s="14" t="str">
        <f t="shared" si="4"/>
        <v/>
      </c>
      <c r="G129" s="15" t="str">
        <f t="shared" si="7"/>
        <v/>
      </c>
      <c r="H129" s="16"/>
      <c r="I129" s="16" t="str">
        <f t="shared" si="5"/>
        <v/>
      </c>
      <c r="J129" s="15" t="str">
        <f t="shared" si="6"/>
        <v/>
      </c>
      <c r="K129" s="38"/>
      <c r="L129" s="38"/>
    </row>
    <row r="130" spans="1:12" ht="15.6">
      <c r="A130" s="24" t="str">
        <v>K217</v>
      </c>
      <c r="B130" s="25" t="str">
        <v>NY</v>
      </c>
      <c r="C130" s="25" t="str">
        <f>Sites[[#This Row],[SOL'#]]</f>
        <v>SOL-10933</v>
      </c>
      <c r="D130" s="20"/>
      <c r="E130" s="10"/>
      <c r="F130" s="10" t="str">
        <f t="shared" si="4"/>
        <v/>
      </c>
      <c r="G130" s="11" t="str">
        <f t="shared" si="7"/>
        <v/>
      </c>
      <c r="H130" s="12"/>
      <c r="I130" s="12" t="str">
        <f t="shared" si="5"/>
        <v/>
      </c>
      <c r="J130" s="13" t="str">
        <f t="shared" si="6"/>
        <v/>
      </c>
      <c r="K130" s="37"/>
      <c r="L130" s="37"/>
    </row>
    <row r="131" spans="1:12" ht="15.6">
      <c r="A131" s="26" t="str">
        <v>K307</v>
      </c>
      <c r="B131" s="27" t="str">
        <v>NY</v>
      </c>
      <c r="C131" s="25" t="str">
        <f>Sites[[#This Row],[SOL'#]]</f>
        <v>SOL-10876</v>
      </c>
      <c r="D131" s="9"/>
      <c r="E131" s="14"/>
      <c r="F131" s="14" t="str">
        <f t="shared" si="4"/>
        <v/>
      </c>
      <c r="G131" s="15" t="str">
        <f t="shared" si="7"/>
        <v/>
      </c>
      <c r="H131" s="16"/>
      <c r="I131" s="16" t="str">
        <f t="shared" si="5"/>
        <v/>
      </c>
      <c r="J131" s="15" t="str">
        <f t="shared" si="6"/>
        <v/>
      </c>
      <c r="K131" s="38"/>
      <c r="L131" s="38"/>
    </row>
    <row r="132" spans="1:12" ht="15.6">
      <c r="A132" s="24" t="str">
        <v>K610</v>
      </c>
      <c r="B132" s="25" t="str">
        <v>NY</v>
      </c>
      <c r="C132" s="25" t="str">
        <f>Sites[[#This Row],[SOL'#]]</f>
        <v>SOL-11158</v>
      </c>
      <c r="D132" s="20"/>
      <c r="E132" s="10"/>
      <c r="F132" s="10" t="str">
        <f t="shared" si="4"/>
        <v/>
      </c>
      <c r="G132" s="11" t="str">
        <f t="shared" si="7"/>
        <v/>
      </c>
      <c r="H132" s="12"/>
      <c r="I132" s="12" t="str">
        <f t="shared" si="5"/>
        <v/>
      </c>
      <c r="J132" s="13" t="str">
        <f t="shared" si="6"/>
        <v/>
      </c>
      <c r="K132" s="37"/>
      <c r="L132" s="37"/>
    </row>
    <row r="133" spans="1:12" ht="15.6">
      <c r="A133" s="26" t="str">
        <v>M025</v>
      </c>
      <c r="B133" s="27" t="str">
        <v>NY</v>
      </c>
      <c r="C133" s="25" t="str">
        <f>Sites[[#This Row],[SOL'#]]</f>
        <v>SOL-10392</v>
      </c>
      <c r="D133" s="9"/>
      <c r="E133" s="14"/>
      <c r="F133" s="14" t="str">
        <f t="shared" si="4"/>
        <v/>
      </c>
      <c r="G133" s="15" t="str">
        <f t="shared" si="7"/>
        <v/>
      </c>
      <c r="H133" s="16"/>
      <c r="I133" s="16" t="str">
        <f t="shared" ref="I133:I158" si="8">IF(AND(ISNUMBER(D133),ISNUMBER(H133)), D133-H133, "")</f>
        <v/>
      </c>
      <c r="J133" s="15" t="str">
        <f t="shared" ref="J133:J158" si="9">IFERROR(I133/H133, "")</f>
        <v/>
      </c>
      <c r="K133" s="38"/>
      <c r="L133" s="38"/>
    </row>
    <row r="134" spans="1:12" ht="15.6">
      <c r="A134" s="24" t="str">
        <v>M028</v>
      </c>
      <c r="B134" s="25" t="str">
        <v>NY</v>
      </c>
      <c r="C134" s="25" t="str">
        <f>Sites[[#This Row],[SOL'#]]</f>
        <v>SOL-10381</v>
      </c>
      <c r="D134" s="20"/>
      <c r="E134" s="10"/>
      <c r="F134" s="10" t="str">
        <f t="shared" ref="F134:F158" si="10">IF(AND(ISNUMBER(D134),ISNUMBER(E134)), D134-E134, "")</f>
        <v/>
      </c>
      <c r="G134" s="11" t="str">
        <f t="shared" ref="G134:G158" si="11">IFERROR(F134/E134, "")</f>
        <v/>
      </c>
      <c r="H134" s="12"/>
      <c r="I134" s="12" t="str">
        <f t="shared" si="8"/>
        <v/>
      </c>
      <c r="J134" s="13" t="str">
        <f t="shared" si="9"/>
        <v/>
      </c>
      <c r="K134" s="37"/>
      <c r="L134" s="37"/>
    </row>
    <row r="135" spans="1:12" ht="15.6">
      <c r="A135" s="26" t="str">
        <v>Q030</v>
      </c>
      <c r="B135" s="27" t="str">
        <v>NY</v>
      </c>
      <c r="C135" s="25" t="str">
        <f>Sites[[#This Row],[SOL'#]]</f>
        <v>SOL-10878</v>
      </c>
      <c r="D135" s="9"/>
      <c r="E135" s="14"/>
      <c r="F135" s="14" t="str">
        <f t="shared" si="10"/>
        <v/>
      </c>
      <c r="G135" s="15" t="str">
        <f t="shared" si="11"/>
        <v/>
      </c>
      <c r="H135" s="16"/>
      <c r="I135" s="16" t="str">
        <f t="shared" si="8"/>
        <v/>
      </c>
      <c r="J135" s="15" t="str">
        <f t="shared" si="9"/>
        <v/>
      </c>
      <c r="K135" s="38"/>
      <c r="L135" s="38"/>
    </row>
    <row r="136" spans="1:12" ht="15.6">
      <c r="A136" s="24" t="str">
        <v>Q130</v>
      </c>
      <c r="B136" s="25" t="str">
        <v>NY</v>
      </c>
      <c r="C136" s="25" t="str">
        <f>Sites[[#This Row],[SOL'#]]</f>
        <v>SOL-10877</v>
      </c>
      <c r="D136" s="20"/>
      <c r="E136" s="10"/>
      <c r="F136" s="10" t="str">
        <f t="shared" si="10"/>
        <v/>
      </c>
      <c r="G136" s="11" t="str">
        <f t="shared" si="11"/>
        <v/>
      </c>
      <c r="H136" s="12"/>
      <c r="I136" s="12" t="str">
        <f t="shared" si="8"/>
        <v/>
      </c>
      <c r="J136" s="13" t="str">
        <f t="shared" si="9"/>
        <v/>
      </c>
      <c r="K136" s="37"/>
      <c r="L136" s="37"/>
    </row>
    <row r="137" spans="1:12" ht="15.6">
      <c r="A137" s="26" t="str">
        <v>Q196</v>
      </c>
      <c r="B137" s="27" t="str">
        <v>NY</v>
      </c>
      <c r="C137" s="25" t="str">
        <f>Sites[[#This Row],[SOL'#]]</f>
        <v>SOL-10879</v>
      </c>
      <c r="D137" s="9"/>
      <c r="E137" s="14"/>
      <c r="F137" s="14" t="str">
        <f t="shared" si="10"/>
        <v/>
      </c>
      <c r="G137" s="15" t="str">
        <f t="shared" si="11"/>
        <v/>
      </c>
      <c r="H137" s="16"/>
      <c r="I137" s="16" t="str">
        <f t="shared" si="8"/>
        <v/>
      </c>
      <c r="J137" s="15" t="str">
        <f t="shared" si="9"/>
        <v/>
      </c>
      <c r="K137" s="38"/>
      <c r="L137" s="38"/>
    </row>
    <row r="138" spans="1:12" ht="15.6">
      <c r="A138" s="24" t="str">
        <v>Q220</v>
      </c>
      <c r="B138" s="25" t="str">
        <v>NY</v>
      </c>
      <c r="C138" s="25" t="str">
        <f>Sites[[#This Row],[SOL'#]]</f>
        <v>SOL-10873</v>
      </c>
      <c r="D138" s="20"/>
      <c r="E138" s="10"/>
      <c r="F138" s="10" t="str">
        <f t="shared" si="10"/>
        <v/>
      </c>
      <c r="G138" s="11" t="str">
        <f t="shared" si="11"/>
        <v/>
      </c>
      <c r="H138" s="12"/>
      <c r="I138" s="12" t="str">
        <f t="shared" si="8"/>
        <v/>
      </c>
      <c r="J138" s="13" t="str">
        <f t="shared" si="9"/>
        <v/>
      </c>
      <c r="K138" s="37"/>
      <c r="L138" s="37"/>
    </row>
    <row r="139" spans="1:12" ht="15.6">
      <c r="A139" s="26" t="str">
        <v>Q205</v>
      </c>
      <c r="B139" s="27" t="str">
        <v>NY</v>
      </c>
      <c r="C139" s="25" t="str">
        <f>Sites[[#This Row],[SOL'#]]</f>
        <v>SOL-10922</v>
      </c>
      <c r="D139" s="9"/>
      <c r="E139" s="14"/>
      <c r="F139" s="14" t="str">
        <f t="shared" si="10"/>
        <v/>
      </c>
      <c r="G139" s="15" t="str">
        <f t="shared" si="11"/>
        <v/>
      </c>
      <c r="H139" s="16"/>
      <c r="I139" s="16" t="str">
        <f t="shared" si="8"/>
        <v/>
      </c>
      <c r="J139" s="15" t="str">
        <f t="shared" si="9"/>
        <v/>
      </c>
      <c r="K139" s="38"/>
      <c r="L139" s="97"/>
    </row>
    <row r="140" spans="1:12" ht="15.6">
      <c r="A140" s="28" t="str">
        <v>Q400</v>
      </c>
      <c r="B140" s="25" t="str">
        <v>NY</v>
      </c>
      <c r="C140" s="25" t="str">
        <f>Sites[[#This Row],[SOL'#]]</f>
        <v>SOL-10871</v>
      </c>
      <c r="D140" s="54"/>
      <c r="E140" s="10"/>
      <c r="F140" s="10" t="str">
        <f t="shared" si="10"/>
        <v/>
      </c>
      <c r="G140" s="11" t="str">
        <f t="shared" si="11"/>
        <v/>
      </c>
      <c r="H140" s="67"/>
      <c r="I140" s="12" t="str">
        <f t="shared" si="8"/>
        <v/>
      </c>
      <c r="J140" s="13" t="str">
        <f t="shared" si="9"/>
        <v/>
      </c>
      <c r="K140" s="56"/>
      <c r="L140" s="37"/>
    </row>
    <row r="141" spans="1:12" ht="15.6">
      <c r="A141" s="26" t="str">
        <v>R003</v>
      </c>
      <c r="B141" s="27" t="str">
        <v>NY</v>
      </c>
      <c r="C141" s="25" t="str">
        <f>Sites[[#This Row],[SOL'#]]</f>
        <v>SOL-10416</v>
      </c>
      <c r="D141" s="66"/>
      <c r="E141" s="14"/>
      <c r="F141" s="14" t="str">
        <f t="shared" si="10"/>
        <v/>
      </c>
      <c r="G141" s="15" t="str">
        <f t="shared" si="11"/>
        <v/>
      </c>
      <c r="H141" s="69"/>
      <c r="I141" s="16" t="str">
        <f t="shared" si="8"/>
        <v/>
      </c>
      <c r="J141" s="15" t="str">
        <f t="shared" si="9"/>
        <v/>
      </c>
      <c r="K141" s="38"/>
      <c r="L141" s="29"/>
    </row>
    <row r="142" spans="1:12" ht="15.6">
      <c r="A142" s="24" t="str">
        <v>R007</v>
      </c>
      <c r="B142" s="25" t="str">
        <v>NY</v>
      </c>
      <c r="C142" s="25" t="str">
        <f>Sites[[#This Row],[SOL'#]]</f>
        <v>SOL-10417</v>
      </c>
      <c r="D142" s="54"/>
      <c r="E142" s="10"/>
      <c r="F142" s="10" t="str">
        <f t="shared" si="10"/>
        <v/>
      </c>
      <c r="G142" s="11" t="str">
        <f t="shared" si="11"/>
        <v/>
      </c>
      <c r="H142" s="67"/>
      <c r="I142" s="12" t="str">
        <f t="shared" si="8"/>
        <v/>
      </c>
      <c r="J142" s="13" t="str">
        <f t="shared" si="9"/>
        <v/>
      </c>
      <c r="K142" s="56"/>
      <c r="L142" s="37"/>
    </row>
    <row r="143" spans="1:12" ht="15.6">
      <c r="A143" s="26" t="str">
        <v>BK16</v>
      </c>
      <c r="B143" s="27" t="str">
        <v>NY</v>
      </c>
      <c r="C143" s="25" t="str">
        <f>Sites[[#This Row],[SOL'#]]</f>
        <v>SOL-11093</v>
      </c>
      <c r="D143" s="66"/>
      <c r="E143" s="14"/>
      <c r="F143" s="14" t="str">
        <f t="shared" si="10"/>
        <v/>
      </c>
      <c r="G143" s="15" t="str">
        <f t="shared" si="11"/>
        <v/>
      </c>
      <c r="H143" s="69"/>
      <c r="I143" s="16" t="str">
        <f t="shared" si="8"/>
        <v/>
      </c>
      <c r="J143" s="15" t="str">
        <f t="shared" si="9"/>
        <v/>
      </c>
      <c r="K143" s="38"/>
      <c r="L143" s="29"/>
    </row>
    <row r="144" spans="1:12" ht="15.6">
      <c r="A144" s="24" t="str">
        <v>Trenton - Trenton East</v>
      </c>
      <c r="B144" s="25" t="str">
        <v>IL</v>
      </c>
      <c r="C144" s="25" t="str">
        <f>Sites[[#This Row],[SOL'#]]</f>
        <v>SOL-11060</v>
      </c>
      <c r="D144" s="54"/>
      <c r="E144" s="10"/>
      <c r="F144" s="10" t="str">
        <f t="shared" si="10"/>
        <v/>
      </c>
      <c r="G144" s="11" t="str">
        <f t="shared" si="11"/>
        <v/>
      </c>
      <c r="H144" s="67"/>
      <c r="I144" s="12" t="str">
        <f t="shared" si="8"/>
        <v/>
      </c>
      <c r="J144" s="13" t="str">
        <f t="shared" si="9"/>
        <v/>
      </c>
      <c r="K144" s="56"/>
      <c r="L144" s="37"/>
    </row>
    <row r="145" spans="1:12" ht="15.6">
      <c r="A145" s="26" t="str">
        <v>Trenton - Trenton West</v>
      </c>
      <c r="B145" s="27" t="str">
        <v>IL</v>
      </c>
      <c r="C145" s="25" t="str">
        <f>Sites[[#This Row],[SOL'#]]</f>
        <v>SOL-11061</v>
      </c>
      <c r="D145" s="66"/>
      <c r="E145" s="14"/>
      <c r="F145" s="14" t="str">
        <f t="shared" si="10"/>
        <v/>
      </c>
      <c r="G145" s="15" t="str">
        <f t="shared" si="11"/>
        <v/>
      </c>
      <c r="H145" s="69"/>
      <c r="I145" s="16" t="str">
        <f t="shared" si="8"/>
        <v/>
      </c>
      <c r="J145" s="15" t="str">
        <f t="shared" si="9"/>
        <v/>
      </c>
      <c r="K145" s="51"/>
      <c r="L145" s="82"/>
    </row>
    <row r="146" spans="1:12" ht="15.6">
      <c r="A146" s="24" t="str">
        <v>Dakota - Dakota Solar 1</v>
      </c>
      <c r="B146" s="25" t="str">
        <v>IL</v>
      </c>
      <c r="C146" s="25" t="str">
        <f>Sites[[#This Row],[SOL'#]]</f>
        <v>SOL-11113</v>
      </c>
      <c r="D146" s="54"/>
      <c r="E146" s="10"/>
      <c r="F146" s="10" t="str">
        <f t="shared" si="10"/>
        <v/>
      </c>
      <c r="G146" s="11" t="str">
        <f t="shared" si="11"/>
        <v/>
      </c>
      <c r="H146" s="67"/>
      <c r="I146" s="12" t="str">
        <f t="shared" si="8"/>
        <v/>
      </c>
      <c r="J146" s="13" t="str">
        <f t="shared" si="9"/>
        <v/>
      </c>
      <c r="K146" s="56"/>
      <c r="L146" s="37"/>
    </row>
    <row r="147" spans="1:12" ht="15.6">
      <c r="A147" s="26" t="str">
        <v>X018</v>
      </c>
      <c r="B147" s="27" t="str">
        <v>NY</v>
      </c>
      <c r="C147" s="25" t="str">
        <f>Sites[[#This Row],[SOL'#]]</f>
        <v>SOL-10418</v>
      </c>
      <c r="D147" s="66"/>
      <c r="E147" s="14"/>
      <c r="F147" s="14" t="str">
        <f t="shared" si="10"/>
        <v/>
      </c>
      <c r="G147" s="15" t="str">
        <f t="shared" si="11"/>
        <v/>
      </c>
      <c r="H147" s="69"/>
      <c r="I147" s="16" t="str">
        <f t="shared" si="8"/>
        <v/>
      </c>
      <c r="J147" s="15" t="str">
        <f t="shared" si="9"/>
        <v/>
      </c>
      <c r="K147" s="38"/>
      <c r="L147" s="29"/>
    </row>
    <row r="148" spans="1:12" ht="15.6">
      <c r="A148" s="24" t="str">
        <v>Janiak Solar</v>
      </c>
      <c r="B148" s="25" t="str">
        <v>NY</v>
      </c>
      <c r="C148" s="25" t="str">
        <f>Sites[[#This Row],[SOL'#]]</f>
        <v>SOL-10898</v>
      </c>
      <c r="D148" s="54"/>
      <c r="E148" s="10"/>
      <c r="F148" s="10" t="str">
        <f t="shared" si="10"/>
        <v/>
      </c>
      <c r="G148" s="11" t="str">
        <f t="shared" si="11"/>
        <v/>
      </c>
      <c r="H148" s="67"/>
      <c r="I148" s="12" t="str">
        <f t="shared" si="8"/>
        <v/>
      </c>
      <c r="J148" s="13" t="str">
        <f t="shared" si="9"/>
        <v/>
      </c>
      <c r="K148" s="56"/>
      <c r="L148" s="37"/>
    </row>
    <row r="149" spans="1:12" ht="15.6">
      <c r="A149" s="26" t="str">
        <v>County Route 11B</v>
      </c>
      <c r="B149" s="27" t="str">
        <v>NY</v>
      </c>
      <c r="C149" s="25" t="str">
        <f>Sites[[#This Row],[SOL'#]]</f>
        <v>SOL-10983</v>
      </c>
      <c r="D149" s="66"/>
      <c r="E149" s="14"/>
      <c r="F149" s="14" t="str">
        <f t="shared" si="10"/>
        <v/>
      </c>
      <c r="G149" s="15" t="str">
        <f t="shared" si="11"/>
        <v/>
      </c>
      <c r="H149" s="69"/>
      <c r="I149" s="16" t="str">
        <f t="shared" si="8"/>
        <v/>
      </c>
      <c r="J149" s="15" t="str">
        <f t="shared" si="9"/>
        <v/>
      </c>
      <c r="K149" s="38"/>
      <c r="L149" s="75"/>
    </row>
    <row r="150" spans="1:12" ht="15.6">
      <c r="A150" s="24" t="str">
        <v>Barone</v>
      </c>
      <c r="B150" s="25" t="str">
        <v>NY</v>
      </c>
      <c r="C150" s="25" t="str">
        <f>Sites[[#This Row],[SOL'#]]</f>
        <v>SOL-11034</v>
      </c>
      <c r="D150" s="54"/>
      <c r="E150" s="10"/>
      <c r="F150" s="10" t="str">
        <f t="shared" si="10"/>
        <v/>
      </c>
      <c r="G150" s="11" t="str">
        <f t="shared" si="11"/>
        <v/>
      </c>
      <c r="H150" s="67"/>
      <c r="I150" s="12" t="str">
        <f t="shared" si="8"/>
        <v/>
      </c>
      <c r="J150" s="13" t="str">
        <f t="shared" si="9"/>
        <v/>
      </c>
      <c r="K150" s="56"/>
      <c r="L150" s="37"/>
    </row>
    <row r="151" spans="1:12" ht="15.6">
      <c r="A151" s="26" t="str">
        <v>Cedarville</v>
      </c>
      <c r="B151" s="27" t="str">
        <v>IL</v>
      </c>
      <c r="C151" s="25" t="str">
        <f>Sites[[#This Row],[SOL'#]]</f>
        <v>SOL-11069</v>
      </c>
      <c r="D151" s="66"/>
      <c r="E151" s="14"/>
      <c r="F151" s="14" t="str">
        <f t="shared" si="10"/>
        <v/>
      </c>
      <c r="G151" s="15" t="str">
        <f t="shared" si="11"/>
        <v/>
      </c>
      <c r="H151" s="69"/>
      <c r="I151" s="16" t="str">
        <f t="shared" si="8"/>
        <v/>
      </c>
      <c r="J151" s="15" t="str">
        <f t="shared" si="9"/>
        <v/>
      </c>
      <c r="K151" s="38"/>
      <c r="L151" s="29"/>
    </row>
    <row r="152" spans="1:12" ht="78" customHeight="1">
      <c r="A152" s="24" t="str">
        <v xml:space="preserve"> O'Brien Hill #1</v>
      </c>
      <c r="B152" s="25" t="str">
        <v>NY</v>
      </c>
      <c r="C152" s="25" t="str">
        <f>Sites[[#This Row],[SOL'#]]</f>
        <v>SOL-11098</v>
      </c>
      <c r="D152" s="54"/>
      <c r="E152" s="10"/>
      <c r="F152" s="10" t="str">
        <f t="shared" si="10"/>
        <v/>
      </c>
      <c r="G152" s="11" t="str">
        <f t="shared" si="11"/>
        <v/>
      </c>
      <c r="H152" s="67"/>
      <c r="I152" s="12" t="str">
        <f t="shared" si="8"/>
        <v/>
      </c>
      <c r="J152" s="13" t="str">
        <f t="shared" si="9"/>
        <v/>
      </c>
      <c r="K152" s="56"/>
      <c r="L152" s="37"/>
    </row>
    <row r="153" spans="1:12" ht="15.6">
      <c r="A153" s="26" t="str">
        <v xml:space="preserve"> O'Brien Hill #2</v>
      </c>
      <c r="B153" s="27" t="str">
        <v>NY</v>
      </c>
      <c r="C153" s="25" t="str">
        <f>Sites[[#This Row],[SOL'#]]</f>
        <v>SOL-11099</v>
      </c>
      <c r="D153" s="66"/>
      <c r="E153" s="14"/>
      <c r="F153" s="14" t="str">
        <f t="shared" si="10"/>
        <v/>
      </c>
      <c r="G153" s="15" t="str">
        <f t="shared" si="11"/>
        <v/>
      </c>
      <c r="H153" s="69"/>
      <c r="I153" s="16" t="str">
        <f t="shared" si="8"/>
        <v/>
      </c>
      <c r="J153" s="15" t="str">
        <f t="shared" si="9"/>
        <v/>
      </c>
      <c r="K153" s="182"/>
      <c r="L153" s="29"/>
    </row>
    <row r="154" spans="1:12" ht="15.6">
      <c r="A154" s="24" t="str">
        <v>Trinity - Freeport</v>
      </c>
      <c r="B154" s="25" t="str">
        <v>IL</v>
      </c>
      <c r="C154" s="25" t="str">
        <f>Sites[[#This Row],[SOL'#]]</f>
        <v>SOL-11057</v>
      </c>
      <c r="D154" s="54"/>
      <c r="E154" s="10"/>
      <c r="F154" s="10" t="str">
        <f t="shared" si="10"/>
        <v/>
      </c>
      <c r="G154" s="11" t="str">
        <f t="shared" si="11"/>
        <v/>
      </c>
      <c r="H154" s="67"/>
      <c r="I154" s="12" t="str">
        <f t="shared" si="8"/>
        <v/>
      </c>
      <c r="J154" s="13" t="str">
        <f t="shared" si="9"/>
        <v/>
      </c>
      <c r="K154" s="56"/>
      <c r="L154" s="37"/>
    </row>
    <row r="155" spans="1:12" ht="15.6">
      <c r="A155" s="26" t="str">
        <v>Ransom</v>
      </c>
      <c r="B155" s="27" t="str">
        <v>NY</v>
      </c>
      <c r="C155" s="25" t="str">
        <f>Sites[[#This Row],[SOL'#]]</f>
        <v>SOL-11157</v>
      </c>
      <c r="D155" s="66"/>
      <c r="E155" s="14"/>
      <c r="F155" s="14" t="str">
        <f t="shared" si="10"/>
        <v/>
      </c>
      <c r="G155" s="15" t="str">
        <f t="shared" si="11"/>
        <v/>
      </c>
      <c r="H155" s="69"/>
      <c r="I155" s="16" t="str">
        <f t="shared" si="8"/>
        <v/>
      </c>
      <c r="J155" s="15" t="str">
        <f t="shared" si="9"/>
        <v/>
      </c>
      <c r="K155" s="38"/>
      <c r="L155" s="38"/>
    </row>
    <row r="156" spans="1:12" ht="15.6">
      <c r="A156" s="24" t="str">
        <v>Horseheads - Wedge</v>
      </c>
      <c r="B156" s="25" t="str">
        <v>NY</v>
      </c>
      <c r="C156" s="25" t="str">
        <f>Sites[[#This Row],[SOL'#]]</f>
        <v>SOL-11160</v>
      </c>
      <c r="D156" s="54"/>
      <c r="E156" s="10"/>
      <c r="F156" s="10" t="str">
        <f t="shared" si="10"/>
        <v/>
      </c>
      <c r="G156" s="11" t="str">
        <f t="shared" si="11"/>
        <v/>
      </c>
      <c r="H156" s="67"/>
      <c r="I156" s="12" t="str">
        <f t="shared" si="8"/>
        <v/>
      </c>
      <c r="J156" s="13" t="str">
        <f t="shared" si="9"/>
        <v/>
      </c>
      <c r="K156" s="56"/>
      <c r="L156" s="37"/>
    </row>
    <row r="157" spans="1:12" ht="15.6">
      <c r="A157" s="26" t="str">
        <v>Otisville - Shoddy Hollow</v>
      </c>
      <c r="B157" s="27" t="str">
        <v>NY</v>
      </c>
      <c r="C157" s="25" t="str">
        <f>Sites[[#This Row],[SOL'#]]</f>
        <v>SOL-11185</v>
      </c>
      <c r="D157" s="66"/>
      <c r="E157" s="14"/>
      <c r="F157" s="14" t="str">
        <f t="shared" si="10"/>
        <v/>
      </c>
      <c r="G157" s="15" t="str">
        <f t="shared" si="11"/>
        <v/>
      </c>
      <c r="H157" s="69"/>
      <c r="I157" s="16" t="str">
        <f t="shared" si="8"/>
        <v/>
      </c>
      <c r="J157" s="15" t="str">
        <f t="shared" si="9"/>
        <v/>
      </c>
      <c r="K157" s="38"/>
      <c r="L157" s="29"/>
    </row>
    <row r="158" spans="1:12" ht="15.6">
      <c r="A158" s="24" t="str">
        <v>Wellsville - Chenunda Creek</v>
      </c>
      <c r="B158" s="25" t="str">
        <v>NY</v>
      </c>
      <c r="C158" s="25" t="str">
        <f>Sites[[#This Row],[SOL'#]]</f>
        <v>SOL-11187</v>
      </c>
      <c r="D158" s="54"/>
      <c r="E158" s="10"/>
      <c r="F158" s="10" t="str">
        <f t="shared" si="10"/>
        <v/>
      </c>
      <c r="G158" s="11" t="str">
        <f t="shared" si="11"/>
        <v/>
      </c>
      <c r="H158" s="67"/>
      <c r="I158" s="12" t="str">
        <f t="shared" si="8"/>
        <v/>
      </c>
      <c r="J158" s="13" t="str">
        <f t="shared" si="9"/>
        <v/>
      </c>
      <c r="K158" s="56"/>
      <c r="L158" s="37"/>
    </row>
    <row r="159" spans="1:12" ht="14.45">
      <c r="A159" s="17" t="str">
        <v>DC: Washington - Essex Condominium</v>
      </c>
      <c r="B159" s="120" t="str">
        <v>DC</v>
      </c>
      <c r="C159" s="29"/>
      <c r="D159" s="17"/>
      <c r="E159" s="17"/>
      <c r="F159" s="17"/>
      <c r="G159" s="18"/>
      <c r="H159" s="17"/>
      <c r="I159" s="17"/>
      <c r="J159" s="18"/>
      <c r="K159" s="17"/>
      <c r="L159" s="17"/>
    </row>
    <row r="160" spans="1:12" ht="14.45">
      <c r="A160" s="17" t="str">
        <v>HI: Waipahu - 94-246 Leoku St - E.F.G.</v>
      </c>
      <c r="B160" s="120" t="str">
        <v>HI</v>
      </c>
      <c r="C160" s="29"/>
      <c r="D160" s="17"/>
      <c r="E160" s="17"/>
      <c r="F160" s="17"/>
      <c r="G160" s="18"/>
      <c r="H160" s="17"/>
      <c r="I160" s="17"/>
      <c r="J160" s="18"/>
      <c r="K160" s="17"/>
      <c r="L160" s="17"/>
    </row>
    <row r="161" spans="1:12" ht="14.45">
      <c r="A161" s="17" t="str">
        <v>HI: Waipahu - 94-099 Waipahu St - PV</v>
      </c>
      <c r="B161" s="120" t="str">
        <v>HI</v>
      </c>
      <c r="C161" s="29"/>
      <c r="D161" s="17"/>
      <c r="E161" s="17"/>
      <c r="F161" s="17"/>
      <c r="G161" s="18"/>
      <c r="H161" s="17"/>
      <c r="I161" s="17"/>
      <c r="J161" s="18"/>
      <c r="K161" s="17"/>
      <c r="L161" s="17"/>
    </row>
    <row r="162" spans="1:12" ht="14.45">
      <c r="A162" s="17" t="str">
        <v>IL: Prophetstown - 5170 Yager Road (PW)</v>
      </c>
      <c r="B162" s="120" t="str">
        <v>IL</v>
      </c>
      <c r="C162" s="29"/>
      <c r="D162" s="17"/>
      <c r="E162" s="17"/>
      <c r="F162" s="17"/>
      <c r="G162" s="18"/>
      <c r="H162" s="17"/>
      <c r="I162" s="17"/>
      <c r="J162" s="18"/>
      <c r="K162" s="17"/>
      <c r="L162" s="17"/>
    </row>
    <row r="163" spans="1:12" ht="14.45">
      <c r="A163" s="17" t="str">
        <v>IL: Viola - Goldenrod - (PW)</v>
      </c>
      <c r="B163" s="120" t="str">
        <v>IL</v>
      </c>
      <c r="C163" s="29"/>
      <c r="D163" s="17"/>
      <c r="E163" s="17"/>
      <c r="F163" s="17"/>
      <c r="G163" s="18"/>
      <c r="H163" s="17"/>
      <c r="I163" s="17"/>
      <c r="J163" s="18"/>
      <c r="K163" s="17"/>
      <c r="L163" s="17"/>
    </row>
    <row r="164" spans="1:12" ht="14.45">
      <c r="A164" s="17" t="str">
        <v>IL: Marengo - Grant - (PW)</v>
      </c>
      <c r="B164" s="29" t="str">
        <v>IL</v>
      </c>
      <c r="C164" s="29"/>
      <c r="D164" s="17"/>
      <c r="E164" s="17"/>
      <c r="F164" s="17"/>
      <c r="G164" s="18"/>
      <c r="H164" s="17"/>
      <c r="I164" s="17"/>
      <c r="J164" s="18"/>
      <c r="K164" s="17"/>
      <c r="L164" s="17"/>
    </row>
    <row r="165" spans="1:12" ht="14.45">
      <c r="A165" s="17" t="str">
        <v>NY: Cambridge - Cambridge (PW)</v>
      </c>
      <c r="B165" s="29" t="str">
        <v>NY</v>
      </c>
      <c r="C165" s="29"/>
      <c r="D165" s="17"/>
      <c r="E165" s="17"/>
      <c r="F165" s="17"/>
      <c r="G165" s="18"/>
      <c r="H165" s="17"/>
      <c r="I165" s="17"/>
      <c r="J165" s="18"/>
      <c r="K165" s="17"/>
      <c r="L165" s="17"/>
    </row>
    <row r="166" spans="1:12" ht="14.45">
      <c r="A166" s="17" t="str">
        <v>NY: Whitesville - Independence North</v>
      </c>
      <c r="B166" s="29" t="str">
        <v>NY</v>
      </c>
      <c r="C166" s="29"/>
      <c r="D166" s="17"/>
      <c r="E166" s="17"/>
      <c r="F166" s="17"/>
      <c r="G166" s="18"/>
      <c r="H166" s="17"/>
      <c r="I166" s="17"/>
      <c r="J166" s="18"/>
      <c r="K166" s="17"/>
      <c r="L166" s="17"/>
    </row>
    <row r="167" spans="1:12" ht="14.45">
      <c r="A167" s="17" t="str">
        <v>IL: Beecher - Cottage Grove North (PW)</v>
      </c>
      <c r="B167" s="29" t="str">
        <v>IL</v>
      </c>
      <c r="C167" s="29"/>
      <c r="D167" s="17"/>
      <c r="E167" s="17"/>
      <c r="F167" s="17"/>
      <c r="G167" s="18"/>
      <c r="H167" s="17"/>
      <c r="I167" s="17"/>
      <c r="J167" s="18"/>
      <c r="K167" s="17"/>
      <c r="L167" s="17"/>
    </row>
    <row r="168" spans="1:12" ht="14.45">
      <c r="A168" s="17" t="str">
        <v>IL: Beecher - Cottage Grove South (PW)</v>
      </c>
      <c r="B168" s="29" t="str">
        <v>IL</v>
      </c>
      <c r="C168" s="29"/>
      <c r="D168" s="17"/>
      <c r="E168" s="17"/>
      <c r="F168" s="17"/>
      <c r="G168" s="18"/>
      <c r="H168" s="17"/>
      <c r="I168" s="17"/>
      <c r="J168" s="18"/>
      <c r="K168" s="17"/>
      <c r="L168" s="17"/>
    </row>
    <row r="169" spans="1:12">
      <c r="A169" t="str">
        <v>IL: Harvard - 9618 US HWY 14 (PW)</v>
      </c>
      <c r="B169" s="30" t="str">
        <v>IL</v>
      </c>
    </row>
    <row r="170" spans="1:12">
      <c r="A170" t="str">
        <v>IL: Beecher - 701 E Goodenow Rd (PW)</v>
      </c>
      <c r="B170" s="30" t="str">
        <v>IL</v>
      </c>
    </row>
    <row r="171" spans="1:12">
      <c r="A171" t="str">
        <v>NY: Stormville - Green Haven - (IRA)</v>
      </c>
      <c r="B171" s="30" t="str">
        <v>NY</v>
      </c>
    </row>
    <row r="172" spans="1:12">
      <c r="A172" t="str">
        <v>IL: Hillsboro - Anacott (PW)</v>
      </c>
      <c r="B172" s="30" t="str">
        <v>IL</v>
      </c>
    </row>
  </sheetData>
  <mergeCells count="4">
    <mergeCell ref="H1:J1"/>
    <mergeCell ref="A1:D1"/>
    <mergeCell ref="E1:G1"/>
    <mergeCell ref="A2:B2"/>
  </mergeCells>
  <phoneticPr fontId="40"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158 J4:J158">
    <cfRule type="cellIs" dxfId="4" priority="3" stopIfTrue="1" operator="lessThanOrEqual">
      <formula>-0.1</formula>
    </cfRule>
    <cfRule type="expression" dxfId="3" priority="4">
      <formula>AND(ISNUMBER(G4), G4&gt;=0.1)</formula>
    </cfRule>
  </conditionalFormatting>
  <pageMargins left="0.4" right="0.7" top="0.25" bottom="0.25" header="0.3" footer="0.3"/>
  <pageSetup fitToHeight="99"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172"/>
  <sheetViews>
    <sheetView zoomScale="90" zoomScaleNormal="90" workbookViewId="0">
      <pane ySplit="3" topLeftCell="A157" activePane="bottomLeft" state="frozen"/>
      <selection pane="bottomLeft" activeCell="A172" sqref="A172:F172"/>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6" ht="12.75" customHeight="1">
      <c r="A1" t="s">
        <v>2646</v>
      </c>
      <c r="B1" t="s">
        <v>2647</v>
      </c>
    </row>
    <row r="3" spans="1:6" ht="13.15">
      <c r="A3" t="s">
        <v>2648</v>
      </c>
      <c r="B3" t="s">
        <v>3</v>
      </c>
      <c r="C3" t="s">
        <v>4</v>
      </c>
      <c r="D3" t="s">
        <v>2649</v>
      </c>
      <c r="E3" s="2" t="s">
        <v>2650</v>
      </c>
      <c r="F3" t="s">
        <v>5</v>
      </c>
    </row>
    <row r="4" spans="1:6" ht="12.75" customHeight="1">
      <c r="A4" s="40" t="s">
        <v>2651</v>
      </c>
      <c r="B4" s="3" t="s">
        <v>2651</v>
      </c>
      <c r="C4" s="3" t="s">
        <v>2652</v>
      </c>
      <c r="E4" t="s">
        <v>2653</v>
      </c>
      <c r="F4" t="s">
        <v>2654</v>
      </c>
    </row>
    <row r="5" spans="1:6" ht="12.75" customHeight="1">
      <c r="A5" s="40" t="s">
        <v>2655</v>
      </c>
      <c r="B5" s="3" t="s">
        <v>2655</v>
      </c>
      <c r="C5" s="3" t="s">
        <v>2652</v>
      </c>
      <c r="E5" t="s">
        <v>2653</v>
      </c>
      <c r="F5" t="s">
        <v>2656</v>
      </c>
    </row>
    <row r="6" spans="1:6" ht="12.75" customHeight="1">
      <c r="A6" s="41" t="s">
        <v>2657</v>
      </c>
      <c r="B6" t="s">
        <v>2658</v>
      </c>
      <c r="C6" s="3" t="s">
        <v>2652</v>
      </c>
      <c r="E6" t="s">
        <v>2653</v>
      </c>
      <c r="F6" t="s">
        <v>2659</v>
      </c>
    </row>
    <row r="7" spans="1:6" ht="12.75" customHeight="1">
      <c r="A7" s="40" t="s">
        <v>2660</v>
      </c>
      <c r="B7" s="3" t="s">
        <v>2660</v>
      </c>
      <c r="C7" s="3" t="s">
        <v>2652</v>
      </c>
      <c r="E7" t="s">
        <v>2653</v>
      </c>
      <c r="F7" t="s">
        <v>2661</v>
      </c>
    </row>
    <row r="8" spans="1:6" ht="12.75" customHeight="1">
      <c r="A8" s="41" t="s">
        <v>2662</v>
      </c>
      <c r="B8" t="s">
        <v>2662</v>
      </c>
      <c r="C8" s="3" t="s">
        <v>2652</v>
      </c>
      <c r="E8" t="s">
        <v>2653</v>
      </c>
      <c r="F8" t="s">
        <v>2663</v>
      </c>
    </row>
    <row r="9" spans="1:6" ht="12.75" customHeight="1">
      <c r="A9" s="40" t="s">
        <v>2664</v>
      </c>
      <c r="B9" s="3" t="s">
        <v>2664</v>
      </c>
      <c r="C9" s="3" t="s">
        <v>2652</v>
      </c>
      <c r="E9" t="s">
        <v>2653</v>
      </c>
      <c r="F9" t="s">
        <v>2665</v>
      </c>
    </row>
    <row r="10" spans="1:6" ht="12.75" customHeight="1">
      <c r="A10" s="40" t="s">
        <v>2666</v>
      </c>
      <c r="B10" s="3" t="s">
        <v>2666</v>
      </c>
      <c r="C10" s="3" t="s">
        <v>2652</v>
      </c>
      <c r="E10" t="s">
        <v>2653</v>
      </c>
      <c r="F10" t="s">
        <v>2667</v>
      </c>
    </row>
    <row r="11" spans="1:6" ht="12.75" customHeight="1">
      <c r="A11" s="40" t="s">
        <v>2668</v>
      </c>
      <c r="B11" s="3" t="s">
        <v>2668</v>
      </c>
      <c r="C11" s="3" t="s">
        <v>2652</v>
      </c>
      <c r="E11" t="s">
        <v>2653</v>
      </c>
      <c r="F11" t="s">
        <v>2669</v>
      </c>
    </row>
    <row r="12" spans="1:6" ht="12.75" customHeight="1">
      <c r="A12" s="40" t="s">
        <v>2670</v>
      </c>
      <c r="B12" s="3" t="s">
        <v>2670</v>
      </c>
      <c r="C12" s="3" t="s">
        <v>2652</v>
      </c>
      <c r="E12" t="s">
        <v>2653</v>
      </c>
      <c r="F12" t="s">
        <v>2671</v>
      </c>
    </row>
    <row r="13" spans="1:6" ht="12.75" customHeight="1">
      <c r="A13" s="40" t="s">
        <v>2672</v>
      </c>
      <c r="B13" s="3" t="s">
        <v>2672</v>
      </c>
      <c r="C13" s="3" t="s">
        <v>2652</v>
      </c>
      <c r="E13" t="s">
        <v>2653</v>
      </c>
      <c r="F13" t="s">
        <v>2673</v>
      </c>
    </row>
    <row r="14" spans="1:6" ht="12.75" customHeight="1">
      <c r="A14" s="40" t="s">
        <v>2674</v>
      </c>
      <c r="B14" s="3" t="s">
        <v>2674</v>
      </c>
      <c r="C14" s="3" t="s">
        <v>2652</v>
      </c>
      <c r="E14" t="s">
        <v>2653</v>
      </c>
      <c r="F14" t="s">
        <v>2675</v>
      </c>
    </row>
    <row r="15" spans="1:6" ht="12.75" customHeight="1">
      <c r="A15" s="41" t="s">
        <v>2676</v>
      </c>
      <c r="B15" t="s">
        <v>2676</v>
      </c>
      <c r="C15" s="3" t="s">
        <v>2652</v>
      </c>
      <c r="E15" t="s">
        <v>2653</v>
      </c>
      <c r="F15" t="s">
        <v>2677</v>
      </c>
    </row>
    <row r="16" spans="1:6" ht="12.75" customHeight="1">
      <c r="A16" s="41" t="s">
        <v>2678</v>
      </c>
      <c r="B16" t="s">
        <v>2678</v>
      </c>
      <c r="C16" s="3" t="s">
        <v>2652</v>
      </c>
      <c r="E16" t="s">
        <v>2653</v>
      </c>
      <c r="F16" t="s">
        <v>2679</v>
      </c>
    </row>
    <row r="17" spans="1:6" ht="12.75" customHeight="1">
      <c r="A17" s="40" t="s">
        <v>2680</v>
      </c>
      <c r="B17" s="3" t="s">
        <v>2680</v>
      </c>
      <c r="C17" s="3" t="s">
        <v>2652</v>
      </c>
      <c r="E17" t="s">
        <v>2653</v>
      </c>
      <c r="F17" t="s">
        <v>2681</v>
      </c>
    </row>
    <row r="18" spans="1:6" ht="12.75" customHeight="1">
      <c r="A18" s="40" t="s">
        <v>2682</v>
      </c>
      <c r="B18" s="3" t="s">
        <v>2682</v>
      </c>
      <c r="C18" s="3" t="s">
        <v>2652</v>
      </c>
      <c r="E18" t="s">
        <v>2653</v>
      </c>
      <c r="F18" t="s">
        <v>2683</v>
      </c>
    </row>
    <row r="19" spans="1:6" ht="12.75" customHeight="1">
      <c r="A19" s="40" t="s">
        <v>2684</v>
      </c>
      <c r="B19" s="3" t="s">
        <v>2684</v>
      </c>
      <c r="C19" s="3" t="s">
        <v>2652</v>
      </c>
      <c r="E19" t="s">
        <v>2653</v>
      </c>
      <c r="F19" t="s">
        <v>2685</v>
      </c>
    </row>
    <row r="20" spans="1:6" ht="12.75" customHeight="1">
      <c r="A20" s="41" t="s">
        <v>2686</v>
      </c>
      <c r="B20" t="s">
        <v>2686</v>
      </c>
      <c r="C20" s="3" t="s">
        <v>2652</v>
      </c>
      <c r="E20" t="s">
        <v>2653</v>
      </c>
      <c r="F20" t="s">
        <v>2687</v>
      </c>
    </row>
    <row r="21" spans="1:6" ht="12.75" customHeight="1">
      <c r="A21" s="40" t="s">
        <v>2688</v>
      </c>
      <c r="B21" s="3" t="s">
        <v>2688</v>
      </c>
      <c r="C21" s="3" t="s">
        <v>2652</v>
      </c>
      <c r="E21" t="s">
        <v>2653</v>
      </c>
      <c r="F21" t="s">
        <v>2689</v>
      </c>
    </row>
    <row r="22" spans="1:6" ht="12.75" customHeight="1">
      <c r="A22" s="40" t="s">
        <v>2690</v>
      </c>
      <c r="B22" s="3" t="s">
        <v>2690</v>
      </c>
      <c r="C22" s="3" t="s">
        <v>2652</v>
      </c>
      <c r="E22" t="s">
        <v>2653</v>
      </c>
      <c r="F22" t="s">
        <v>2691</v>
      </c>
    </row>
    <row r="23" spans="1:6" ht="12.75" customHeight="1">
      <c r="A23" s="40" t="s">
        <v>2692</v>
      </c>
      <c r="B23" s="3" t="s">
        <v>2692</v>
      </c>
      <c r="C23" s="3" t="s">
        <v>2652</v>
      </c>
      <c r="E23" t="s">
        <v>2653</v>
      </c>
      <c r="F23" t="s">
        <v>2693</v>
      </c>
    </row>
    <row r="24" spans="1:6" ht="12.75" customHeight="1">
      <c r="A24" s="41" t="s">
        <v>2694</v>
      </c>
      <c r="B24" t="s">
        <v>2694</v>
      </c>
      <c r="C24" s="3" t="s">
        <v>2652</v>
      </c>
      <c r="E24" t="s">
        <v>2653</v>
      </c>
      <c r="F24" t="s">
        <v>2695</v>
      </c>
    </row>
    <row r="25" spans="1:6" ht="12.75" customHeight="1">
      <c r="A25" s="41" t="s">
        <v>2696</v>
      </c>
      <c r="B25" t="s">
        <v>2696</v>
      </c>
      <c r="C25" s="3" t="s">
        <v>2652</v>
      </c>
      <c r="E25" t="s">
        <v>2653</v>
      </c>
      <c r="F25" t="s">
        <v>2697</v>
      </c>
    </row>
    <row r="26" spans="1:6" ht="12.75" customHeight="1">
      <c r="A26" s="40" t="s">
        <v>2698</v>
      </c>
      <c r="B26" s="3" t="s">
        <v>2698</v>
      </c>
      <c r="C26" s="3" t="s">
        <v>2652</v>
      </c>
      <c r="E26" t="s">
        <v>2653</v>
      </c>
      <c r="F26" t="s">
        <v>2699</v>
      </c>
    </row>
    <row r="27" spans="1:6" ht="12.75" customHeight="1">
      <c r="A27" s="40" t="s">
        <v>2700</v>
      </c>
      <c r="B27" s="3" t="s">
        <v>2701</v>
      </c>
      <c r="C27" s="3" t="s">
        <v>2652</v>
      </c>
      <c r="E27" t="s">
        <v>2653</v>
      </c>
      <c r="F27" t="s">
        <v>2702</v>
      </c>
    </row>
    <row r="28" spans="1:6" ht="12.75" customHeight="1">
      <c r="A28" s="41" t="s">
        <v>2703</v>
      </c>
      <c r="B28" t="s">
        <v>2703</v>
      </c>
      <c r="C28" s="3" t="s">
        <v>2652</v>
      </c>
      <c r="E28" t="s">
        <v>2653</v>
      </c>
      <c r="F28" t="s">
        <v>2704</v>
      </c>
    </row>
    <row r="29" spans="1:6" ht="12.75" customHeight="1">
      <c r="A29" s="40" t="s">
        <v>2705</v>
      </c>
      <c r="B29" s="3" t="s">
        <v>2705</v>
      </c>
      <c r="C29" s="3" t="s">
        <v>2652</v>
      </c>
      <c r="E29" t="s">
        <v>2653</v>
      </c>
      <c r="F29" t="s">
        <v>2706</v>
      </c>
    </row>
    <row r="30" spans="1:6" ht="12.75" customHeight="1">
      <c r="A30" s="40" t="s">
        <v>2707</v>
      </c>
      <c r="B30" s="3" t="s">
        <v>2707</v>
      </c>
      <c r="C30" s="3" t="s">
        <v>2652</v>
      </c>
      <c r="E30" t="s">
        <v>2653</v>
      </c>
      <c r="F30" t="s">
        <v>2708</v>
      </c>
    </row>
    <row r="31" spans="1:6" ht="12.75" customHeight="1">
      <c r="A31" s="40" t="s">
        <v>2709</v>
      </c>
      <c r="B31" s="3" t="s">
        <v>2709</v>
      </c>
      <c r="C31" s="3" t="s">
        <v>2652</v>
      </c>
      <c r="E31" t="s">
        <v>2653</v>
      </c>
      <c r="F31" t="s">
        <v>2710</v>
      </c>
    </row>
    <row r="32" spans="1:6" ht="12.75" customHeight="1">
      <c r="A32" s="40" t="s">
        <v>2711</v>
      </c>
      <c r="B32" s="3" t="s">
        <v>2711</v>
      </c>
      <c r="C32" s="3" t="s">
        <v>2652</v>
      </c>
      <c r="E32" t="s">
        <v>2653</v>
      </c>
      <c r="F32" t="s">
        <v>2712</v>
      </c>
    </row>
    <row r="33" spans="1:6" ht="12.75" customHeight="1">
      <c r="A33" s="40" t="s">
        <v>2713</v>
      </c>
      <c r="B33" s="3" t="s">
        <v>2713</v>
      </c>
      <c r="C33" s="3" t="s">
        <v>2652</v>
      </c>
      <c r="E33" t="s">
        <v>2653</v>
      </c>
      <c r="F33" t="s">
        <v>2714</v>
      </c>
    </row>
    <row r="34" spans="1:6" ht="12.75" customHeight="1">
      <c r="A34" s="40" t="s">
        <v>2715</v>
      </c>
      <c r="B34" s="3" t="s">
        <v>2715</v>
      </c>
      <c r="C34" s="3" t="s">
        <v>2652</v>
      </c>
      <c r="E34" t="s">
        <v>2653</v>
      </c>
      <c r="F34" t="s">
        <v>2716</v>
      </c>
    </row>
    <row r="35" spans="1:6" ht="12.75" customHeight="1">
      <c r="A35" s="40" t="s">
        <v>2717</v>
      </c>
      <c r="B35" s="3" t="s">
        <v>2717</v>
      </c>
      <c r="C35" s="3" t="s">
        <v>2652</v>
      </c>
      <c r="E35" t="s">
        <v>2653</v>
      </c>
      <c r="F35" t="s">
        <v>2718</v>
      </c>
    </row>
    <row r="36" spans="1:6" ht="12.75" customHeight="1">
      <c r="A36" s="40" t="s">
        <v>2719</v>
      </c>
      <c r="B36" s="3" t="s">
        <v>2719</v>
      </c>
      <c r="C36" s="3" t="s">
        <v>2652</v>
      </c>
      <c r="E36" t="s">
        <v>2653</v>
      </c>
      <c r="F36" t="s">
        <v>2720</v>
      </c>
    </row>
    <row r="37" spans="1:6" ht="12.75" customHeight="1">
      <c r="A37" s="40" t="s">
        <v>2721</v>
      </c>
      <c r="B37" s="3" t="s">
        <v>2721</v>
      </c>
      <c r="C37" s="3" t="s">
        <v>2652</v>
      </c>
      <c r="E37" t="s">
        <v>2653</v>
      </c>
      <c r="F37" t="s">
        <v>2722</v>
      </c>
    </row>
    <row r="38" spans="1:6" ht="12.75" customHeight="1">
      <c r="A38" s="40" t="s">
        <v>2723</v>
      </c>
      <c r="B38" s="3" t="s">
        <v>2723</v>
      </c>
      <c r="C38" s="3" t="s">
        <v>2652</v>
      </c>
      <c r="E38" t="s">
        <v>2653</v>
      </c>
      <c r="F38" t="s">
        <v>2724</v>
      </c>
    </row>
    <row r="39" spans="1:6" ht="12.75" customHeight="1">
      <c r="A39" s="40" t="s">
        <v>2725</v>
      </c>
      <c r="B39" s="3" t="s">
        <v>2725</v>
      </c>
      <c r="C39" s="3" t="s">
        <v>2652</v>
      </c>
      <c r="E39" t="s">
        <v>2653</v>
      </c>
      <c r="F39" t="s">
        <v>2726</v>
      </c>
    </row>
    <row r="40" spans="1:6" ht="12.75" customHeight="1">
      <c r="A40" s="40" t="s">
        <v>2727</v>
      </c>
      <c r="B40" s="3" t="s">
        <v>2727</v>
      </c>
      <c r="C40" s="3" t="s">
        <v>2652</v>
      </c>
      <c r="E40" t="s">
        <v>2653</v>
      </c>
      <c r="F40" t="s">
        <v>2728</v>
      </c>
    </row>
    <row r="41" spans="1:6" ht="12.75" customHeight="1">
      <c r="A41" s="41" t="s">
        <v>2729</v>
      </c>
      <c r="B41" t="s">
        <v>2729</v>
      </c>
      <c r="C41" s="3" t="s">
        <v>2652</v>
      </c>
      <c r="E41" t="s">
        <v>2653</v>
      </c>
      <c r="F41" t="s">
        <v>2730</v>
      </c>
    </row>
    <row r="42" spans="1:6" ht="12.75" customHeight="1">
      <c r="A42" s="41" t="s">
        <v>2731</v>
      </c>
      <c r="B42" t="s">
        <v>2731</v>
      </c>
      <c r="C42" s="3" t="s">
        <v>2652</v>
      </c>
      <c r="E42" t="s">
        <v>2653</v>
      </c>
      <c r="F42" t="s">
        <v>2732</v>
      </c>
    </row>
    <row r="43" spans="1:6" ht="12.75" customHeight="1">
      <c r="A43" s="40" t="s">
        <v>2733</v>
      </c>
      <c r="B43" s="3" t="s">
        <v>2733</v>
      </c>
      <c r="C43" s="3" t="s">
        <v>2652</v>
      </c>
      <c r="E43" t="s">
        <v>2653</v>
      </c>
      <c r="F43" t="s">
        <v>2734</v>
      </c>
    </row>
    <row r="44" spans="1:6" ht="12.75" customHeight="1">
      <c r="A44" s="40" t="s">
        <v>2735</v>
      </c>
      <c r="B44" s="3" t="s">
        <v>2735</v>
      </c>
      <c r="C44" s="3" t="s">
        <v>2652</v>
      </c>
      <c r="E44" t="s">
        <v>2653</v>
      </c>
      <c r="F44" t="s">
        <v>2736</v>
      </c>
    </row>
    <row r="45" spans="1:6" ht="12.75" customHeight="1">
      <c r="A45" s="41" t="s">
        <v>2737</v>
      </c>
      <c r="B45" t="s">
        <v>2738</v>
      </c>
      <c r="C45" s="3" t="s">
        <v>2652</v>
      </c>
      <c r="E45" t="s">
        <v>2653</v>
      </c>
      <c r="F45" t="s">
        <v>2739</v>
      </c>
    </row>
    <row r="46" spans="1:6" ht="12.75" customHeight="1">
      <c r="A46" s="41" t="s">
        <v>2740</v>
      </c>
      <c r="B46" t="s">
        <v>2740</v>
      </c>
      <c r="C46" s="3" t="s">
        <v>2652</v>
      </c>
      <c r="E46" t="s">
        <v>2653</v>
      </c>
      <c r="F46" t="s">
        <v>2741</v>
      </c>
    </row>
    <row r="47" spans="1:6" ht="12.75" customHeight="1">
      <c r="A47" s="40">
        <v>38</v>
      </c>
      <c r="B47" s="3" t="s">
        <v>2742</v>
      </c>
      <c r="C47" s="3" t="s">
        <v>2652</v>
      </c>
      <c r="E47" t="s">
        <v>2653</v>
      </c>
      <c r="F47" t="s">
        <v>2743</v>
      </c>
    </row>
    <row r="48" spans="1:6" ht="12.75" customHeight="1">
      <c r="A48" s="41">
        <v>144</v>
      </c>
      <c r="B48" t="s">
        <v>2744</v>
      </c>
      <c r="C48" s="3" t="s">
        <v>2652</v>
      </c>
      <c r="E48" t="s">
        <v>2653</v>
      </c>
      <c r="F48" t="s">
        <v>2745</v>
      </c>
    </row>
    <row r="49" spans="1:6" ht="12.75" customHeight="1">
      <c r="A49" s="40">
        <v>279</v>
      </c>
      <c r="B49" s="3" t="s">
        <v>2746</v>
      </c>
      <c r="C49" s="3" t="s">
        <v>2652</v>
      </c>
      <c r="E49" t="s">
        <v>2653</v>
      </c>
      <c r="F49" t="s">
        <v>2747</v>
      </c>
    </row>
    <row r="50" spans="1:6" ht="12.75" customHeight="1">
      <c r="A50" s="40">
        <v>293</v>
      </c>
      <c r="B50" s="3" t="s">
        <v>2748</v>
      </c>
      <c r="C50" s="3" t="s">
        <v>2652</v>
      </c>
      <c r="E50" t="s">
        <v>2653</v>
      </c>
      <c r="F50" t="s">
        <v>2749</v>
      </c>
    </row>
    <row r="51" spans="1:6" ht="12.75" customHeight="1">
      <c r="A51" s="41">
        <v>308</v>
      </c>
      <c r="B51" t="s">
        <v>2750</v>
      </c>
      <c r="C51" s="3" t="s">
        <v>2652</v>
      </c>
      <c r="E51" t="s">
        <v>2653</v>
      </c>
      <c r="F51" t="s">
        <v>2751</v>
      </c>
    </row>
    <row r="52" spans="1:6" ht="12.75" customHeight="1">
      <c r="A52" s="41">
        <v>309</v>
      </c>
      <c r="B52" t="s">
        <v>2752</v>
      </c>
      <c r="C52" s="3" t="s">
        <v>2652</v>
      </c>
      <c r="E52" t="s">
        <v>2653</v>
      </c>
      <c r="F52" t="s">
        <v>2753</v>
      </c>
    </row>
    <row r="53" spans="1:6" ht="12.75" customHeight="1">
      <c r="A53" s="41" t="s">
        <v>2754</v>
      </c>
      <c r="B53" t="s">
        <v>2755</v>
      </c>
      <c r="C53" s="3" t="s">
        <v>2652</v>
      </c>
      <c r="E53" t="s">
        <v>2653</v>
      </c>
      <c r="F53" t="s">
        <v>2756</v>
      </c>
    </row>
    <row r="54" spans="1:6" ht="12.75" customHeight="1">
      <c r="A54" s="40" t="s">
        <v>2757</v>
      </c>
      <c r="B54" s="3" t="s">
        <v>2757</v>
      </c>
      <c r="C54" s="3" t="s">
        <v>2652</v>
      </c>
      <c r="E54" t="s">
        <v>2653</v>
      </c>
      <c r="F54" t="s">
        <v>2758</v>
      </c>
    </row>
    <row r="55" spans="1:6" ht="12.75" customHeight="1">
      <c r="A55" s="40">
        <v>358</v>
      </c>
      <c r="B55" s="3" t="s">
        <v>2759</v>
      </c>
      <c r="C55" s="3" t="s">
        <v>2652</v>
      </c>
      <c r="E55" t="s">
        <v>2653</v>
      </c>
      <c r="F55" t="s">
        <v>2760</v>
      </c>
    </row>
    <row r="56" spans="1:6" ht="12.75" customHeight="1">
      <c r="A56" s="40" t="s">
        <v>2761</v>
      </c>
      <c r="B56" s="3" t="s">
        <v>2762</v>
      </c>
      <c r="C56" s="3" t="s">
        <v>2763</v>
      </c>
      <c r="E56" t="s">
        <v>2653</v>
      </c>
      <c r="F56" t="s">
        <v>2764</v>
      </c>
    </row>
    <row r="57" spans="1:6" ht="12.75" customHeight="1">
      <c r="A57" s="40" t="s">
        <v>2765</v>
      </c>
      <c r="B57" s="3" t="s">
        <v>2766</v>
      </c>
      <c r="C57" s="3" t="s">
        <v>2763</v>
      </c>
      <c r="E57" t="s">
        <v>2653</v>
      </c>
      <c r="F57" t="s">
        <v>2767</v>
      </c>
    </row>
    <row r="58" spans="1:6" ht="12.75" customHeight="1">
      <c r="A58" s="40" t="s">
        <v>2768</v>
      </c>
      <c r="B58" s="40" t="s">
        <v>2768</v>
      </c>
      <c r="C58" s="3" t="s">
        <v>2652</v>
      </c>
      <c r="D58" t="s">
        <v>2769</v>
      </c>
      <c r="E58" t="s">
        <v>2770</v>
      </c>
      <c r="F58" t="s">
        <v>2771</v>
      </c>
    </row>
    <row r="59" spans="1:6" ht="12.75" customHeight="1">
      <c r="A59" s="40" t="s">
        <v>2772</v>
      </c>
      <c r="B59" s="3" t="s">
        <v>2772</v>
      </c>
      <c r="C59" s="3" t="s">
        <v>2652</v>
      </c>
      <c r="D59" t="s">
        <v>2769</v>
      </c>
      <c r="E59" s="42" t="s">
        <v>2770</v>
      </c>
      <c r="F59" t="s">
        <v>2773</v>
      </c>
    </row>
    <row r="60" spans="1:6" ht="12.75" customHeight="1">
      <c r="A60" s="40" t="s">
        <v>2774</v>
      </c>
      <c r="B60" s="3" t="s">
        <v>2775</v>
      </c>
      <c r="C60" s="3" t="s">
        <v>2652</v>
      </c>
      <c r="D60" t="s">
        <v>2769</v>
      </c>
      <c r="E60" s="42" t="s">
        <v>2770</v>
      </c>
      <c r="F60" t="s">
        <v>2776</v>
      </c>
    </row>
    <row r="61" spans="1:6" ht="12.75" customHeight="1">
      <c r="A61" s="40" t="s">
        <v>2777</v>
      </c>
      <c r="B61" s="3" t="s">
        <v>2778</v>
      </c>
      <c r="C61" s="3" t="s">
        <v>2652</v>
      </c>
      <c r="D61" t="s">
        <v>2769</v>
      </c>
      <c r="E61" s="42" t="s">
        <v>2770</v>
      </c>
      <c r="F61" t="s">
        <v>2779</v>
      </c>
    </row>
    <row r="62" spans="1:6" ht="12.75" customHeight="1">
      <c r="A62" s="40" t="s">
        <v>2780</v>
      </c>
      <c r="B62" s="3" t="s">
        <v>2780</v>
      </c>
      <c r="C62" s="3" t="s">
        <v>2652</v>
      </c>
      <c r="D62" t="s">
        <v>2769</v>
      </c>
      <c r="E62" t="s">
        <v>2770</v>
      </c>
      <c r="F62" t="s">
        <v>2781</v>
      </c>
    </row>
    <row r="63" spans="1:6" ht="12.75" customHeight="1">
      <c r="A63" s="40" t="s">
        <v>2782</v>
      </c>
      <c r="B63" s="40" t="s">
        <v>2782</v>
      </c>
      <c r="C63" s="3" t="s">
        <v>2652</v>
      </c>
      <c r="D63" t="s">
        <v>2769</v>
      </c>
      <c r="E63" t="s">
        <v>2770</v>
      </c>
      <c r="F63" t="s">
        <v>2783</v>
      </c>
    </row>
    <row r="64" spans="1:6" ht="12.75" customHeight="1">
      <c r="A64" s="40" t="s">
        <v>2784</v>
      </c>
      <c r="B64" s="40" t="s">
        <v>2784</v>
      </c>
      <c r="C64" s="3" t="s">
        <v>2652</v>
      </c>
      <c r="D64" t="s">
        <v>2769</v>
      </c>
      <c r="E64" t="s">
        <v>2770</v>
      </c>
      <c r="F64" t="s">
        <v>2785</v>
      </c>
    </row>
    <row r="65" spans="1:6" ht="12.75" customHeight="1">
      <c r="A65" s="40" t="s">
        <v>2786</v>
      </c>
      <c r="B65" s="40" t="s">
        <v>2786</v>
      </c>
      <c r="C65" s="3" t="s">
        <v>2652</v>
      </c>
      <c r="D65" t="s">
        <v>2769</v>
      </c>
      <c r="E65" t="s">
        <v>2770</v>
      </c>
      <c r="F65" t="s">
        <v>2787</v>
      </c>
    </row>
    <row r="66" spans="1:6" ht="12.75" customHeight="1">
      <c r="A66" s="40" t="s">
        <v>2788</v>
      </c>
      <c r="B66" s="40" t="s">
        <v>2788</v>
      </c>
      <c r="C66" s="3" t="s">
        <v>2652</v>
      </c>
      <c r="D66" t="s">
        <v>2769</v>
      </c>
      <c r="E66" t="s">
        <v>2770</v>
      </c>
      <c r="F66" t="s">
        <v>2789</v>
      </c>
    </row>
    <row r="67" spans="1:6" ht="12.75" customHeight="1">
      <c r="A67" s="40" t="s">
        <v>2790</v>
      </c>
      <c r="B67" s="40" t="s">
        <v>2790</v>
      </c>
      <c r="C67" s="3" t="s">
        <v>2652</v>
      </c>
      <c r="D67" t="s">
        <v>2769</v>
      </c>
      <c r="E67" t="s">
        <v>2770</v>
      </c>
      <c r="F67" t="s">
        <v>2791</v>
      </c>
    </row>
    <row r="68" spans="1:6" ht="12.75" customHeight="1">
      <c r="A68" s="40" t="s">
        <v>2792</v>
      </c>
      <c r="B68" s="40" t="s">
        <v>2792</v>
      </c>
      <c r="C68" s="3" t="s">
        <v>2652</v>
      </c>
      <c r="D68" t="s">
        <v>2769</v>
      </c>
      <c r="E68" t="s">
        <v>2770</v>
      </c>
      <c r="F68" t="s">
        <v>2793</v>
      </c>
    </row>
    <row r="69" spans="1:6" ht="12.75" customHeight="1">
      <c r="A69" s="40" t="s">
        <v>2794</v>
      </c>
      <c r="B69" s="3" t="s">
        <v>2794</v>
      </c>
      <c r="C69" s="3" t="s">
        <v>2652</v>
      </c>
      <c r="D69" t="s">
        <v>2795</v>
      </c>
      <c r="E69" t="s">
        <v>2770</v>
      </c>
      <c r="F69" t="s">
        <v>2796</v>
      </c>
    </row>
    <row r="70" spans="1:6" ht="12.75" customHeight="1">
      <c r="A70" s="40" t="s">
        <v>2797</v>
      </c>
      <c r="B70" s="3" t="s">
        <v>2797</v>
      </c>
      <c r="C70" s="3" t="s">
        <v>2652</v>
      </c>
      <c r="D70" t="s">
        <v>2769</v>
      </c>
      <c r="E70" t="s">
        <v>2770</v>
      </c>
      <c r="F70" t="s">
        <v>2798</v>
      </c>
    </row>
    <row r="71" spans="1:6" ht="12.75" customHeight="1">
      <c r="A71" s="40" t="s">
        <v>2799</v>
      </c>
      <c r="B71" s="3" t="s">
        <v>2799</v>
      </c>
      <c r="C71" s="3" t="s">
        <v>2652</v>
      </c>
      <c r="D71" t="s">
        <v>2769</v>
      </c>
      <c r="E71" t="s">
        <v>2770</v>
      </c>
      <c r="F71" t="s">
        <v>2800</v>
      </c>
    </row>
    <row r="72" spans="1:6" ht="12.75" customHeight="1">
      <c r="A72" s="40" t="s">
        <v>2801</v>
      </c>
      <c r="B72" s="3" t="s">
        <v>2801</v>
      </c>
      <c r="C72" s="3" t="s">
        <v>2652</v>
      </c>
      <c r="D72" t="s">
        <v>2769</v>
      </c>
      <c r="E72" t="s">
        <v>2770</v>
      </c>
      <c r="F72" t="s">
        <v>2802</v>
      </c>
    </row>
    <row r="73" spans="1:6" ht="12.75" customHeight="1">
      <c r="A73" s="40" t="s">
        <v>2803</v>
      </c>
      <c r="B73" s="3" t="s">
        <v>2803</v>
      </c>
      <c r="C73" s="3" t="s">
        <v>2652</v>
      </c>
      <c r="D73" t="s">
        <v>2769</v>
      </c>
      <c r="E73" t="s">
        <v>2770</v>
      </c>
      <c r="F73" t="s">
        <v>2804</v>
      </c>
    </row>
    <row r="74" spans="1:6" ht="12.75" customHeight="1">
      <c r="A74" s="40" t="s">
        <v>2805</v>
      </c>
      <c r="B74" s="3" t="s">
        <v>2806</v>
      </c>
      <c r="C74" s="3" t="s">
        <v>2652</v>
      </c>
      <c r="E74" t="s">
        <v>2653</v>
      </c>
      <c r="F74" t="s">
        <v>2807</v>
      </c>
    </row>
    <row r="75" spans="1:6" ht="12.75" customHeight="1">
      <c r="A75" s="40" t="s">
        <v>2808</v>
      </c>
      <c r="B75" s="3" t="s">
        <v>2808</v>
      </c>
      <c r="C75" s="3" t="s">
        <v>2652</v>
      </c>
      <c r="D75" t="s">
        <v>2769</v>
      </c>
      <c r="E75" t="s">
        <v>2770</v>
      </c>
      <c r="F75" t="s">
        <v>2809</v>
      </c>
    </row>
    <row r="76" spans="1:6" ht="12.75" customHeight="1">
      <c r="A76" s="40" t="s">
        <v>2810</v>
      </c>
      <c r="B76" s="3" t="s">
        <v>2810</v>
      </c>
      <c r="C76" s="3" t="s">
        <v>2652</v>
      </c>
      <c r="D76" t="s">
        <v>2795</v>
      </c>
      <c r="E76" t="s">
        <v>2770</v>
      </c>
      <c r="F76" t="s">
        <v>2811</v>
      </c>
    </row>
    <row r="77" spans="1:6" ht="12.75" customHeight="1">
      <c r="A77" s="40" t="s">
        <v>2812</v>
      </c>
      <c r="B77" s="3" t="s">
        <v>2812</v>
      </c>
      <c r="C77" s="3" t="s">
        <v>2652</v>
      </c>
      <c r="D77" t="s">
        <v>2769</v>
      </c>
      <c r="E77" t="s">
        <v>2770</v>
      </c>
      <c r="F77" t="s">
        <v>2813</v>
      </c>
    </row>
    <row r="78" spans="1:6" ht="12.75" customHeight="1">
      <c r="A78" s="40" t="s">
        <v>2814</v>
      </c>
      <c r="B78" s="3" t="s">
        <v>2814</v>
      </c>
      <c r="C78" s="3" t="s">
        <v>2652</v>
      </c>
      <c r="D78" t="s">
        <v>2769</v>
      </c>
      <c r="E78" t="s">
        <v>2770</v>
      </c>
      <c r="F78" t="s">
        <v>2815</v>
      </c>
    </row>
    <row r="79" spans="1:6" ht="12.75" customHeight="1">
      <c r="A79" s="3" t="s">
        <v>2816</v>
      </c>
      <c r="B79" s="3" t="s">
        <v>2816</v>
      </c>
      <c r="C79" s="3" t="s">
        <v>2652</v>
      </c>
      <c r="E79" t="s">
        <v>2770</v>
      </c>
      <c r="F79" t="s">
        <v>2817</v>
      </c>
    </row>
    <row r="80" spans="1:6" ht="12.75" customHeight="1">
      <c r="A80" s="3" t="s">
        <v>2818</v>
      </c>
      <c r="B80" s="3" t="s">
        <v>2818</v>
      </c>
      <c r="C80" s="3" t="s">
        <v>2652</v>
      </c>
      <c r="D80" t="s">
        <v>2769</v>
      </c>
      <c r="E80" t="s">
        <v>2770</v>
      </c>
      <c r="F80" t="s">
        <v>2819</v>
      </c>
    </row>
    <row r="81" spans="1:6" ht="12.75" customHeight="1">
      <c r="A81" s="3" t="s">
        <v>2820</v>
      </c>
      <c r="B81" s="3" t="s">
        <v>2820</v>
      </c>
      <c r="C81" s="3" t="s">
        <v>2652</v>
      </c>
      <c r="D81" t="s">
        <v>2769</v>
      </c>
      <c r="E81" t="s">
        <v>2770</v>
      </c>
      <c r="F81" t="s">
        <v>2821</v>
      </c>
    </row>
    <row r="82" spans="1:6" ht="12.75" customHeight="1">
      <c r="A82" s="3" t="s">
        <v>2822</v>
      </c>
      <c r="B82" s="3" t="s">
        <v>2822</v>
      </c>
      <c r="C82" s="3" t="s">
        <v>2652</v>
      </c>
      <c r="D82" t="s">
        <v>2769</v>
      </c>
      <c r="E82" t="s">
        <v>2770</v>
      </c>
      <c r="F82" t="s">
        <v>2823</v>
      </c>
    </row>
    <row r="83" spans="1:6" ht="12.75" customHeight="1">
      <c r="A83" s="3" t="s">
        <v>2824</v>
      </c>
      <c r="B83" s="3" t="s">
        <v>2824</v>
      </c>
      <c r="C83" s="3" t="s">
        <v>2652</v>
      </c>
      <c r="D83" t="s">
        <v>2769</v>
      </c>
      <c r="E83" t="s">
        <v>2770</v>
      </c>
      <c r="F83" t="s">
        <v>2825</v>
      </c>
    </row>
    <row r="84" spans="1:6" ht="12.75" customHeight="1">
      <c r="A84" s="3" t="s">
        <v>2826</v>
      </c>
      <c r="B84" s="3" t="s">
        <v>2826</v>
      </c>
      <c r="C84" s="3" t="s">
        <v>2652</v>
      </c>
      <c r="D84" t="s">
        <v>2769</v>
      </c>
      <c r="E84" t="s">
        <v>2770</v>
      </c>
      <c r="F84" t="s">
        <v>2827</v>
      </c>
    </row>
    <row r="85" spans="1:6" ht="12.75" customHeight="1">
      <c r="A85" s="3" t="s">
        <v>2828</v>
      </c>
      <c r="B85" s="3" t="s">
        <v>2828</v>
      </c>
      <c r="C85" s="3" t="s">
        <v>2652</v>
      </c>
      <c r="D85" t="s">
        <v>2769</v>
      </c>
      <c r="E85" t="s">
        <v>2770</v>
      </c>
      <c r="F85" t="s">
        <v>2829</v>
      </c>
    </row>
    <row r="86" spans="1:6" ht="12.75" customHeight="1">
      <c r="A86" s="3" t="s">
        <v>2830</v>
      </c>
      <c r="B86" s="3" t="s">
        <v>2831</v>
      </c>
      <c r="C86" s="3" t="s">
        <v>2652</v>
      </c>
      <c r="D86" t="s">
        <v>2769</v>
      </c>
      <c r="E86" t="s">
        <v>2770</v>
      </c>
      <c r="F86" t="s">
        <v>2832</v>
      </c>
    </row>
    <row r="87" spans="1:6" ht="12.75" customHeight="1">
      <c r="A87" s="3" t="s">
        <v>2833</v>
      </c>
      <c r="B87" s="3" t="s">
        <v>2834</v>
      </c>
      <c r="C87" s="3" t="s">
        <v>2652</v>
      </c>
      <c r="D87" t="s">
        <v>2769</v>
      </c>
      <c r="E87" t="s">
        <v>2770</v>
      </c>
      <c r="F87" t="s">
        <v>2835</v>
      </c>
    </row>
    <row r="88" spans="1:6" ht="12.75" customHeight="1">
      <c r="A88" s="3" t="s">
        <v>2836</v>
      </c>
      <c r="B88" s="3" t="s">
        <v>2836</v>
      </c>
      <c r="C88" s="3" t="s">
        <v>2652</v>
      </c>
      <c r="D88" t="s">
        <v>2769</v>
      </c>
      <c r="E88" t="s">
        <v>2770</v>
      </c>
      <c r="F88" t="s">
        <v>2837</v>
      </c>
    </row>
    <row r="89" spans="1:6" ht="12.75" customHeight="1">
      <c r="A89" s="3" t="s">
        <v>2838</v>
      </c>
      <c r="B89" s="3" t="s">
        <v>2838</v>
      </c>
      <c r="C89" s="3" t="s">
        <v>2652</v>
      </c>
      <c r="D89" t="s">
        <v>2769</v>
      </c>
      <c r="E89" t="s">
        <v>2770</v>
      </c>
      <c r="F89" t="s">
        <v>2839</v>
      </c>
    </row>
    <row r="90" spans="1:6" ht="12.75" customHeight="1">
      <c r="A90" s="3" t="s">
        <v>2840</v>
      </c>
      <c r="B90" s="3" t="s">
        <v>2840</v>
      </c>
      <c r="C90" s="3" t="s">
        <v>2652</v>
      </c>
      <c r="D90" t="s">
        <v>2769</v>
      </c>
      <c r="E90" t="s">
        <v>2770</v>
      </c>
      <c r="F90" t="s">
        <v>2841</v>
      </c>
    </row>
    <row r="91" spans="1:6" ht="12.75" customHeight="1">
      <c r="A91" s="40" t="s">
        <v>2842</v>
      </c>
      <c r="B91" s="3" t="s">
        <v>2842</v>
      </c>
      <c r="C91" s="3" t="s">
        <v>2652</v>
      </c>
      <c r="D91" t="s">
        <v>2769</v>
      </c>
      <c r="E91" t="s">
        <v>2770</v>
      </c>
      <c r="F91" t="s">
        <v>2843</v>
      </c>
    </row>
    <row r="92" spans="1:6" ht="12.75" customHeight="1">
      <c r="A92" s="40" t="s">
        <v>2844</v>
      </c>
      <c r="B92" s="3" t="s">
        <v>2844</v>
      </c>
      <c r="C92" s="3" t="s">
        <v>2652</v>
      </c>
      <c r="D92" t="s">
        <v>2769</v>
      </c>
      <c r="E92" t="s">
        <v>2770</v>
      </c>
      <c r="F92" t="s">
        <v>2845</v>
      </c>
    </row>
    <row r="93" spans="1:6" ht="12.75" customHeight="1">
      <c r="A93" s="40" t="s">
        <v>2846</v>
      </c>
      <c r="B93" s="3" t="s">
        <v>2846</v>
      </c>
      <c r="C93" s="3" t="s">
        <v>2652</v>
      </c>
      <c r="E93" t="s">
        <v>2770</v>
      </c>
      <c r="F93" t="s">
        <v>2847</v>
      </c>
    </row>
    <row r="94" spans="1:6" ht="12.75" customHeight="1">
      <c r="A94" s="40" t="s">
        <v>2848</v>
      </c>
      <c r="B94" s="3" t="s">
        <v>2848</v>
      </c>
      <c r="C94" s="3" t="s">
        <v>2652</v>
      </c>
      <c r="E94" t="s">
        <v>2653</v>
      </c>
      <c r="F94" t="s">
        <v>2849</v>
      </c>
    </row>
    <row r="95" spans="1:6" ht="12.75" customHeight="1">
      <c r="A95" s="40" t="s">
        <v>2850</v>
      </c>
      <c r="B95" s="3" t="s">
        <v>2850</v>
      </c>
      <c r="C95" s="3" t="s">
        <v>2652</v>
      </c>
      <c r="E95" t="s">
        <v>2653</v>
      </c>
      <c r="F95" t="s">
        <v>2851</v>
      </c>
    </row>
    <row r="96" spans="1:6" ht="12.75" customHeight="1">
      <c r="A96" s="3" t="s">
        <v>2846</v>
      </c>
      <c r="B96" s="3" t="s">
        <v>2852</v>
      </c>
      <c r="C96" s="3" t="s">
        <v>2652</v>
      </c>
      <c r="E96" t="s">
        <v>2770</v>
      </c>
      <c r="F96" t="s">
        <v>2853</v>
      </c>
    </row>
    <row r="97" spans="1:6" ht="12.75" customHeight="1">
      <c r="A97" s="3" t="s">
        <v>2854</v>
      </c>
      <c r="B97" s="3" t="s">
        <v>2854</v>
      </c>
      <c r="C97" s="3" t="s">
        <v>2652</v>
      </c>
      <c r="D97" t="s">
        <v>2769</v>
      </c>
      <c r="E97" t="s">
        <v>2770</v>
      </c>
      <c r="F97" t="s">
        <v>2855</v>
      </c>
    </row>
    <row r="98" spans="1:6" ht="12.75" customHeight="1">
      <c r="A98" s="40" t="s">
        <v>2856</v>
      </c>
      <c r="B98" s="40" t="s">
        <v>2856</v>
      </c>
      <c r="C98" s="3" t="s">
        <v>2652</v>
      </c>
      <c r="D98" t="s">
        <v>2769</v>
      </c>
      <c r="E98" s="65" t="s">
        <v>2857</v>
      </c>
      <c r="F98" s="65" t="s">
        <v>2858</v>
      </c>
    </row>
    <row r="99" spans="1:6" ht="12.75" customHeight="1">
      <c r="A99" s="40" t="s">
        <v>2859</v>
      </c>
      <c r="B99" s="40" t="s">
        <v>2859</v>
      </c>
      <c r="C99" s="3" t="s">
        <v>2652</v>
      </c>
      <c r="D99" t="s">
        <v>2769</v>
      </c>
      <c r="E99" s="65" t="s">
        <v>2860</v>
      </c>
      <c r="F99" s="65" t="s">
        <v>2861</v>
      </c>
    </row>
    <row r="100" spans="1:6" ht="12.75" customHeight="1">
      <c r="A100" s="40" t="s">
        <v>2862</v>
      </c>
      <c r="B100" s="40" t="s">
        <v>2862</v>
      </c>
      <c r="C100" s="3" t="s">
        <v>2652</v>
      </c>
      <c r="E100" s="65" t="s">
        <v>2863</v>
      </c>
      <c r="F100" s="65" t="s">
        <v>2864</v>
      </c>
    </row>
    <row r="101" spans="1:6" ht="12.75" customHeight="1">
      <c r="A101" s="40" t="s">
        <v>2865</v>
      </c>
      <c r="B101" s="40" t="s">
        <v>2865</v>
      </c>
      <c r="C101" s="3" t="s">
        <v>2652</v>
      </c>
      <c r="D101" t="s">
        <v>2769</v>
      </c>
      <c r="E101" s="65" t="s">
        <v>2860</v>
      </c>
      <c r="F101" s="65" t="s">
        <v>2866</v>
      </c>
    </row>
    <row r="102" spans="1:6" ht="12.75" customHeight="1">
      <c r="A102" s="40" t="s">
        <v>2867</v>
      </c>
      <c r="B102" s="40" t="s">
        <v>2867</v>
      </c>
      <c r="C102" s="3" t="s">
        <v>2652</v>
      </c>
      <c r="D102" t="s">
        <v>2769</v>
      </c>
      <c r="E102" s="65" t="s">
        <v>2770</v>
      </c>
      <c r="F102" s="65" t="s">
        <v>2868</v>
      </c>
    </row>
    <row r="103" spans="1:6" ht="12.75" customHeight="1">
      <c r="A103" s="40" t="s">
        <v>2869</v>
      </c>
      <c r="B103" s="40" t="s">
        <v>2869</v>
      </c>
      <c r="C103" s="3" t="s">
        <v>2652</v>
      </c>
      <c r="E103" s="65" t="s">
        <v>2860</v>
      </c>
      <c r="F103" s="65" t="s">
        <v>2870</v>
      </c>
    </row>
    <row r="104" spans="1:6" ht="12.75" customHeight="1">
      <c r="A104" s="40" t="s">
        <v>2871</v>
      </c>
      <c r="B104" s="40" t="s">
        <v>2871</v>
      </c>
      <c r="C104" s="3" t="s">
        <v>2652</v>
      </c>
      <c r="D104" t="s">
        <v>2769</v>
      </c>
      <c r="E104" s="65" t="s">
        <v>2860</v>
      </c>
      <c r="F104" s="65" t="s">
        <v>2872</v>
      </c>
    </row>
    <row r="105" spans="1:6" ht="12.75" customHeight="1">
      <c r="A105" s="40" t="s">
        <v>2873</v>
      </c>
      <c r="B105" s="40" t="s">
        <v>2874</v>
      </c>
      <c r="C105" s="3" t="s">
        <v>2652</v>
      </c>
      <c r="E105" s="65" t="s">
        <v>2653</v>
      </c>
      <c r="F105" s="65" t="s">
        <v>2875</v>
      </c>
    </row>
    <row r="106" spans="1:6" ht="12.75" customHeight="1">
      <c r="A106" s="40" t="s">
        <v>2876</v>
      </c>
      <c r="B106" s="40" t="s">
        <v>2877</v>
      </c>
      <c r="C106" s="3" t="s">
        <v>2652</v>
      </c>
      <c r="E106" s="65" t="s">
        <v>2653</v>
      </c>
      <c r="F106" s="65" t="s">
        <v>2878</v>
      </c>
    </row>
    <row r="107" spans="1:6" ht="12.75" customHeight="1">
      <c r="A107" s="40" t="s">
        <v>2879</v>
      </c>
      <c r="B107" s="40" t="s">
        <v>2879</v>
      </c>
      <c r="C107" s="3" t="s">
        <v>2652</v>
      </c>
      <c r="D107" t="s">
        <v>2769</v>
      </c>
      <c r="E107" s="65" t="s">
        <v>2860</v>
      </c>
      <c r="F107" s="65" t="s">
        <v>2880</v>
      </c>
    </row>
    <row r="108" spans="1:6" ht="12.75" customHeight="1">
      <c r="A108" s="40" t="s">
        <v>2881</v>
      </c>
      <c r="B108" s="40" t="s">
        <v>2881</v>
      </c>
      <c r="C108" s="3" t="s">
        <v>2652</v>
      </c>
      <c r="D108" t="s">
        <v>2769</v>
      </c>
      <c r="E108" s="65" t="s">
        <v>2770</v>
      </c>
      <c r="F108" s="65" t="s">
        <v>2882</v>
      </c>
    </row>
    <row r="109" spans="1:6" ht="12.75" customHeight="1">
      <c r="A109" s="40" t="s">
        <v>2883</v>
      </c>
      <c r="B109" s="40" t="s">
        <v>2883</v>
      </c>
      <c r="C109" s="3" t="s">
        <v>2652</v>
      </c>
      <c r="D109" t="s">
        <v>2769</v>
      </c>
      <c r="E109" s="65" t="s">
        <v>2770</v>
      </c>
      <c r="F109" s="65" t="s">
        <v>2884</v>
      </c>
    </row>
    <row r="110" spans="1:6" ht="12.75" customHeight="1">
      <c r="A110" s="40" t="s">
        <v>2885</v>
      </c>
      <c r="B110" s="40" t="s">
        <v>2885</v>
      </c>
      <c r="C110" s="3" t="s">
        <v>2652</v>
      </c>
      <c r="D110" t="s">
        <v>2886</v>
      </c>
      <c r="E110" s="65" t="s">
        <v>2770</v>
      </c>
      <c r="F110" s="65" t="s">
        <v>2887</v>
      </c>
    </row>
    <row r="111" spans="1:6" ht="12.75" customHeight="1">
      <c r="A111" s="40" t="s">
        <v>2888</v>
      </c>
      <c r="B111" s="40" t="s">
        <v>2888</v>
      </c>
      <c r="C111" s="3" t="s">
        <v>2652</v>
      </c>
      <c r="D111" t="s">
        <v>2769</v>
      </c>
      <c r="E111" s="65" t="s">
        <v>2770</v>
      </c>
      <c r="F111" s="65" t="s">
        <v>2889</v>
      </c>
    </row>
    <row r="112" spans="1:6" ht="12.75" customHeight="1">
      <c r="A112" s="40" t="s">
        <v>2890</v>
      </c>
      <c r="B112" s="40" t="s">
        <v>2890</v>
      </c>
      <c r="C112" s="3" t="s">
        <v>2652</v>
      </c>
      <c r="D112" t="s">
        <v>2769</v>
      </c>
      <c r="E112" s="65" t="s">
        <v>2860</v>
      </c>
      <c r="F112" s="65" t="s">
        <v>2891</v>
      </c>
    </row>
    <row r="113" spans="1:6" ht="12.75" customHeight="1">
      <c r="A113" s="40" t="s">
        <v>2892</v>
      </c>
      <c r="B113" s="40" t="s">
        <v>2892</v>
      </c>
      <c r="C113" s="3" t="s">
        <v>2652</v>
      </c>
      <c r="D113" t="s">
        <v>2769</v>
      </c>
      <c r="E113" s="65" t="s">
        <v>2860</v>
      </c>
      <c r="F113" s="65" t="s">
        <v>2893</v>
      </c>
    </row>
    <row r="114" spans="1:6" ht="12.75" customHeight="1">
      <c r="A114" s="40" t="s">
        <v>2894</v>
      </c>
      <c r="B114" s="40" t="s">
        <v>2894</v>
      </c>
      <c r="C114" s="3" t="s">
        <v>2652</v>
      </c>
      <c r="D114" t="s">
        <v>2769</v>
      </c>
      <c r="E114" s="65" t="s">
        <v>2860</v>
      </c>
      <c r="F114" s="65" t="s">
        <v>2895</v>
      </c>
    </row>
    <row r="115" spans="1:6" ht="12.75" customHeight="1">
      <c r="A115" s="40" t="s">
        <v>2896</v>
      </c>
      <c r="B115" s="40" t="s">
        <v>2896</v>
      </c>
      <c r="C115" s="3" t="s">
        <v>2652</v>
      </c>
      <c r="E115" s="65" t="s">
        <v>2860</v>
      </c>
      <c r="F115" s="65" t="s">
        <v>2897</v>
      </c>
    </row>
    <row r="116" spans="1:6" ht="12.75" customHeight="1">
      <c r="A116" s="40" t="s">
        <v>2898</v>
      </c>
      <c r="B116" s="40" t="s">
        <v>2898</v>
      </c>
      <c r="C116" s="3" t="s">
        <v>2652</v>
      </c>
      <c r="D116" t="s">
        <v>2769</v>
      </c>
      <c r="E116" s="65" t="s">
        <v>2860</v>
      </c>
      <c r="F116" s="65" t="s">
        <v>2899</v>
      </c>
    </row>
    <row r="117" spans="1:6" ht="12.75" customHeight="1">
      <c r="A117" s="40" t="s">
        <v>2900</v>
      </c>
      <c r="B117" s="40" t="s">
        <v>2900</v>
      </c>
      <c r="C117" s="3" t="s">
        <v>2652</v>
      </c>
      <c r="E117" s="65" t="s">
        <v>2653</v>
      </c>
      <c r="F117" s="65" t="s">
        <v>2901</v>
      </c>
    </row>
    <row r="118" spans="1:6" ht="12.75" customHeight="1">
      <c r="A118" s="40" t="s">
        <v>2902</v>
      </c>
      <c r="B118" s="40" t="s">
        <v>2902</v>
      </c>
      <c r="C118" s="3" t="s">
        <v>2652</v>
      </c>
      <c r="D118" t="s">
        <v>2769</v>
      </c>
      <c r="E118" s="65" t="s">
        <v>2770</v>
      </c>
      <c r="F118" s="65" t="s">
        <v>2903</v>
      </c>
    </row>
    <row r="119" spans="1:6" ht="12.75" customHeight="1">
      <c r="A119" s="40" t="s">
        <v>2904</v>
      </c>
      <c r="B119" s="3" t="s">
        <v>2904</v>
      </c>
      <c r="C119" s="3" t="s">
        <v>2652</v>
      </c>
      <c r="E119" s="65" t="s">
        <v>2653</v>
      </c>
      <c r="F119" t="s">
        <v>176</v>
      </c>
    </row>
    <row r="120" spans="1:6" ht="12.75" customHeight="1">
      <c r="A120" s="40" t="s">
        <v>2905</v>
      </c>
      <c r="B120" s="40" t="s">
        <v>2905</v>
      </c>
      <c r="C120" s="3" t="s">
        <v>2652</v>
      </c>
      <c r="E120" s="65" t="s">
        <v>2653</v>
      </c>
      <c r="F120" t="s">
        <v>2906</v>
      </c>
    </row>
    <row r="121" spans="1:6" ht="12.75" customHeight="1">
      <c r="A121" s="40" t="s">
        <v>2907</v>
      </c>
      <c r="B121" s="40" t="s">
        <v>2907</v>
      </c>
      <c r="C121" s="3" t="s">
        <v>2652</v>
      </c>
      <c r="E121" s="65" t="s">
        <v>2653</v>
      </c>
      <c r="F121" t="s">
        <v>2908</v>
      </c>
    </row>
    <row r="122" spans="1:6" ht="12.75" customHeight="1">
      <c r="A122" s="40" t="s">
        <v>2909</v>
      </c>
      <c r="B122" s="3" t="s">
        <v>2909</v>
      </c>
      <c r="C122" s="3" t="s">
        <v>2652</v>
      </c>
      <c r="E122" t="s">
        <v>2653</v>
      </c>
      <c r="F122" t="s">
        <v>2910</v>
      </c>
    </row>
    <row r="123" spans="1:6" ht="12.75" customHeight="1">
      <c r="A123" s="40" t="s">
        <v>2911</v>
      </c>
      <c r="B123" s="3" t="s">
        <v>2911</v>
      </c>
      <c r="C123" s="3" t="s">
        <v>2652</v>
      </c>
      <c r="E123" t="s">
        <v>2653</v>
      </c>
      <c r="F123" t="s">
        <v>2912</v>
      </c>
    </row>
    <row r="124" spans="1:6" ht="12.75" customHeight="1">
      <c r="A124" s="40" t="s">
        <v>2913</v>
      </c>
      <c r="B124" s="3" t="s">
        <v>2913</v>
      </c>
      <c r="C124" s="3" t="s">
        <v>2652</v>
      </c>
      <c r="E124" t="s">
        <v>2653</v>
      </c>
      <c r="F124" t="s">
        <v>2914</v>
      </c>
    </row>
    <row r="125" spans="1:6" ht="12.75" customHeight="1">
      <c r="A125" s="40" t="s">
        <v>2915</v>
      </c>
      <c r="B125" s="3" t="s">
        <v>2915</v>
      </c>
      <c r="C125" s="3" t="s">
        <v>2652</v>
      </c>
      <c r="E125" t="s">
        <v>2653</v>
      </c>
      <c r="F125" t="s">
        <v>2916</v>
      </c>
    </row>
    <row r="126" spans="1:6" ht="12.75" customHeight="1">
      <c r="A126" s="40" t="s">
        <v>2917</v>
      </c>
      <c r="B126" s="3" t="s">
        <v>2917</v>
      </c>
      <c r="C126" s="3" t="s">
        <v>2652</v>
      </c>
      <c r="E126" t="s">
        <v>2653</v>
      </c>
      <c r="F126" t="s">
        <v>2918</v>
      </c>
    </row>
    <row r="127" spans="1:6" ht="12.75" customHeight="1">
      <c r="A127" s="40" t="s">
        <v>2919</v>
      </c>
      <c r="B127" s="3" t="s">
        <v>2919</v>
      </c>
      <c r="C127" s="3" t="s">
        <v>2652</v>
      </c>
      <c r="E127" t="s">
        <v>2653</v>
      </c>
      <c r="F127" t="s">
        <v>2920</v>
      </c>
    </row>
    <row r="128" spans="1:6" ht="12.75" customHeight="1">
      <c r="A128" s="40" t="s">
        <v>2921</v>
      </c>
      <c r="B128" s="3" t="s">
        <v>2921</v>
      </c>
      <c r="C128" s="3" t="s">
        <v>2652</v>
      </c>
      <c r="E128" t="s">
        <v>2653</v>
      </c>
      <c r="F128" t="s">
        <v>2922</v>
      </c>
    </row>
    <row r="129" spans="1:6" ht="12.75" customHeight="1">
      <c r="A129" s="40" t="s">
        <v>2923</v>
      </c>
      <c r="B129" s="3" t="s">
        <v>2923</v>
      </c>
      <c r="C129" s="3" t="s">
        <v>2652</v>
      </c>
      <c r="E129" t="s">
        <v>2653</v>
      </c>
      <c r="F129" t="s">
        <v>2924</v>
      </c>
    </row>
    <row r="130" spans="1:6" ht="12.75" customHeight="1">
      <c r="A130" s="40" t="s">
        <v>2925</v>
      </c>
      <c r="B130" s="3" t="s">
        <v>2925</v>
      </c>
      <c r="C130" s="3" t="s">
        <v>2652</v>
      </c>
      <c r="E130" t="s">
        <v>2653</v>
      </c>
      <c r="F130" t="s">
        <v>2926</v>
      </c>
    </row>
    <row r="131" spans="1:6" ht="12.75" customHeight="1">
      <c r="A131" s="40" t="s">
        <v>2927</v>
      </c>
      <c r="B131" s="3" t="s">
        <v>2927</v>
      </c>
      <c r="C131" s="3" t="s">
        <v>2652</v>
      </c>
      <c r="E131" t="s">
        <v>2653</v>
      </c>
      <c r="F131" t="s">
        <v>2928</v>
      </c>
    </row>
    <row r="132" spans="1:6" ht="12.75" customHeight="1">
      <c r="A132" s="40" t="s">
        <v>2929</v>
      </c>
      <c r="B132" s="3" t="s">
        <v>2929</v>
      </c>
      <c r="C132" s="3" t="s">
        <v>2652</v>
      </c>
      <c r="E132" t="s">
        <v>2653</v>
      </c>
      <c r="F132" t="s">
        <v>2930</v>
      </c>
    </row>
    <row r="133" spans="1:6" ht="12.75" customHeight="1">
      <c r="A133" s="40" t="s">
        <v>2931</v>
      </c>
      <c r="B133" s="3" t="s">
        <v>2931</v>
      </c>
      <c r="C133" s="3" t="s">
        <v>2652</v>
      </c>
      <c r="E133" t="s">
        <v>2653</v>
      </c>
      <c r="F133" t="s">
        <v>2932</v>
      </c>
    </row>
    <row r="134" spans="1:6" ht="12.75" customHeight="1">
      <c r="A134" s="40" t="s">
        <v>2933</v>
      </c>
      <c r="B134" s="3" t="s">
        <v>2933</v>
      </c>
      <c r="C134" s="3" t="s">
        <v>2652</v>
      </c>
      <c r="E134" t="s">
        <v>2653</v>
      </c>
      <c r="F134" t="s">
        <v>2934</v>
      </c>
    </row>
    <row r="135" spans="1:6" ht="12.75" customHeight="1">
      <c r="A135" s="40" t="s">
        <v>2935</v>
      </c>
      <c r="B135" s="3" t="s">
        <v>2935</v>
      </c>
      <c r="C135" s="3" t="s">
        <v>2652</v>
      </c>
      <c r="E135" t="s">
        <v>2653</v>
      </c>
      <c r="F135" t="s">
        <v>2936</v>
      </c>
    </row>
    <row r="136" spans="1:6" ht="12.75" customHeight="1">
      <c r="A136" s="40" t="s">
        <v>2937</v>
      </c>
      <c r="B136" s="3" t="s">
        <v>2937</v>
      </c>
      <c r="C136" s="3" t="s">
        <v>2652</v>
      </c>
      <c r="E136" t="s">
        <v>2653</v>
      </c>
      <c r="F136" t="s">
        <v>2938</v>
      </c>
    </row>
    <row r="137" spans="1:6" ht="12.75" customHeight="1">
      <c r="A137" s="40" t="s">
        <v>2939</v>
      </c>
      <c r="B137" s="3" t="s">
        <v>2939</v>
      </c>
      <c r="C137" s="3" t="s">
        <v>2652</v>
      </c>
      <c r="E137" t="s">
        <v>2653</v>
      </c>
      <c r="F137" t="s">
        <v>2940</v>
      </c>
    </row>
    <row r="138" spans="1:6" ht="12.75" customHeight="1">
      <c r="A138" s="40" t="s">
        <v>2941</v>
      </c>
      <c r="B138" s="3" t="s">
        <v>2941</v>
      </c>
      <c r="C138" s="3" t="s">
        <v>2652</v>
      </c>
      <c r="E138" t="s">
        <v>2653</v>
      </c>
      <c r="F138" t="s">
        <v>2942</v>
      </c>
    </row>
    <row r="139" spans="1:6" ht="12.75" customHeight="1">
      <c r="A139" s="40" t="s">
        <v>2943</v>
      </c>
      <c r="B139" s="3" t="s">
        <v>2943</v>
      </c>
      <c r="C139" s="3" t="s">
        <v>2652</v>
      </c>
      <c r="E139" t="s">
        <v>2653</v>
      </c>
      <c r="F139" t="s">
        <v>2944</v>
      </c>
    </row>
    <row r="140" spans="1:6" ht="12.75" customHeight="1">
      <c r="A140" s="40" t="s">
        <v>2945</v>
      </c>
      <c r="B140" s="3" t="s">
        <v>2945</v>
      </c>
      <c r="C140" s="3" t="s">
        <v>2652</v>
      </c>
      <c r="E140" t="s">
        <v>2653</v>
      </c>
      <c r="F140" t="s">
        <v>2946</v>
      </c>
    </row>
    <row r="141" spans="1:6" ht="12.75" customHeight="1">
      <c r="A141" s="40" t="s">
        <v>2947</v>
      </c>
      <c r="B141" s="3" t="s">
        <v>2947</v>
      </c>
      <c r="C141" s="3" t="s">
        <v>2652</v>
      </c>
      <c r="E141" t="s">
        <v>2653</v>
      </c>
      <c r="F141" t="s">
        <v>2948</v>
      </c>
    </row>
    <row r="142" spans="1:6" ht="12.75" customHeight="1">
      <c r="A142" s="40" t="s">
        <v>2949</v>
      </c>
      <c r="B142" s="3" t="s">
        <v>2949</v>
      </c>
      <c r="C142" s="3" t="s">
        <v>2652</v>
      </c>
      <c r="E142" t="s">
        <v>2653</v>
      </c>
      <c r="F142" t="s">
        <v>2950</v>
      </c>
    </row>
    <row r="143" spans="1:6" ht="12.75" customHeight="1">
      <c r="A143" s="40" t="s">
        <v>2951</v>
      </c>
      <c r="B143" s="3" t="s">
        <v>2951</v>
      </c>
      <c r="C143" s="3" t="s">
        <v>2652</v>
      </c>
      <c r="E143" t="s">
        <v>2653</v>
      </c>
      <c r="F143" t="s">
        <v>2952</v>
      </c>
    </row>
    <row r="144" spans="1:6" ht="12.75" customHeight="1">
      <c r="A144" s="40" t="s">
        <v>2953</v>
      </c>
      <c r="B144" s="3" t="s">
        <v>2954</v>
      </c>
      <c r="C144" s="3" t="s">
        <v>2955</v>
      </c>
      <c r="E144" t="s">
        <v>2653</v>
      </c>
      <c r="F144" t="s">
        <v>2956</v>
      </c>
    </row>
    <row r="145" spans="1:6" ht="12.75" customHeight="1">
      <c r="A145" s="40" t="s">
        <v>2957</v>
      </c>
      <c r="B145" s="3" t="s">
        <v>2958</v>
      </c>
      <c r="C145" s="3" t="s">
        <v>2955</v>
      </c>
      <c r="E145" t="s">
        <v>2653</v>
      </c>
      <c r="F145" t="s">
        <v>2959</v>
      </c>
    </row>
    <row r="146" spans="1:6" ht="12.75" customHeight="1">
      <c r="A146" s="40" t="s">
        <v>2960</v>
      </c>
      <c r="B146" s="3" t="s">
        <v>2961</v>
      </c>
      <c r="C146" s="3" t="s">
        <v>2955</v>
      </c>
      <c r="E146" t="s">
        <v>2653</v>
      </c>
      <c r="F146" t="s">
        <v>2962</v>
      </c>
    </row>
    <row r="147" spans="1:6" ht="12.75" customHeight="1">
      <c r="A147" s="40" t="s">
        <v>2963</v>
      </c>
      <c r="B147" s="3" t="s">
        <v>2963</v>
      </c>
      <c r="C147" s="3" t="s">
        <v>2652</v>
      </c>
      <c r="E147" t="s">
        <v>2653</v>
      </c>
      <c r="F147" t="s">
        <v>2964</v>
      </c>
    </row>
    <row r="148" spans="1:6" ht="12.75" customHeight="1">
      <c r="A148" s="40" t="s">
        <v>2965</v>
      </c>
      <c r="B148" s="3" t="s">
        <v>2965</v>
      </c>
      <c r="C148" s="3" t="s">
        <v>2652</v>
      </c>
      <c r="E148" t="s">
        <v>2653</v>
      </c>
      <c r="F148" t="s">
        <v>2966</v>
      </c>
    </row>
    <row r="149" spans="1:6" ht="12.75" customHeight="1">
      <c r="A149" s="40" t="s">
        <v>2967</v>
      </c>
      <c r="B149" s="3" t="s">
        <v>2967</v>
      </c>
      <c r="C149" s="3" t="s">
        <v>2652</v>
      </c>
      <c r="D149" t="s">
        <v>2769</v>
      </c>
      <c r="E149" t="s">
        <v>2770</v>
      </c>
      <c r="F149" t="s">
        <v>2968</v>
      </c>
    </row>
    <row r="150" spans="1:6" ht="12.75" customHeight="1">
      <c r="A150" s="40" t="s">
        <v>2969</v>
      </c>
      <c r="B150" s="3" t="s">
        <v>2969</v>
      </c>
      <c r="C150" s="3" t="s">
        <v>2652</v>
      </c>
      <c r="D150" t="s">
        <v>2769</v>
      </c>
      <c r="E150" t="s">
        <v>2770</v>
      </c>
      <c r="F150" t="s">
        <v>2970</v>
      </c>
    </row>
    <row r="151" spans="1:6" ht="12.75" customHeight="1">
      <c r="A151" s="40" t="s">
        <v>2971</v>
      </c>
      <c r="B151" s="3" t="s">
        <v>2971</v>
      </c>
      <c r="C151" s="3" t="s">
        <v>2955</v>
      </c>
      <c r="E151" t="s">
        <v>2653</v>
      </c>
      <c r="F151" t="s">
        <v>2972</v>
      </c>
    </row>
    <row r="152" spans="1:6" ht="12.75" customHeight="1">
      <c r="A152" s="40" t="s">
        <v>2973</v>
      </c>
      <c r="B152" s="3" t="s">
        <v>2973</v>
      </c>
      <c r="C152" s="3" t="s">
        <v>2652</v>
      </c>
      <c r="E152" t="s">
        <v>2770</v>
      </c>
      <c r="F152" t="s">
        <v>2974</v>
      </c>
    </row>
    <row r="153" spans="1:6" ht="12.75" customHeight="1">
      <c r="A153" s="40" t="s">
        <v>2975</v>
      </c>
      <c r="B153" s="3" t="s">
        <v>2975</v>
      </c>
      <c r="C153" s="3" t="s">
        <v>2652</v>
      </c>
      <c r="E153" t="s">
        <v>2860</v>
      </c>
      <c r="F153" t="s">
        <v>2976</v>
      </c>
    </row>
    <row r="154" spans="1:6" ht="12.75" customHeight="1">
      <c r="A154" s="40" t="s">
        <v>2977</v>
      </c>
      <c r="B154" s="3" t="s">
        <v>2978</v>
      </c>
      <c r="C154" s="3" t="s">
        <v>2955</v>
      </c>
      <c r="E154" t="s">
        <v>2653</v>
      </c>
      <c r="F154" t="s">
        <v>2979</v>
      </c>
    </row>
    <row r="155" spans="1:6" ht="12.75" customHeight="1">
      <c r="A155" s="40" t="s">
        <v>2980</v>
      </c>
      <c r="B155" s="3" t="s">
        <v>2981</v>
      </c>
      <c r="C155" s="3" t="s">
        <v>2652</v>
      </c>
      <c r="E155" t="s">
        <v>2860</v>
      </c>
      <c r="F155" t="s">
        <v>2982</v>
      </c>
    </row>
    <row r="156" spans="1:6" ht="12.75" customHeight="1">
      <c r="A156" s="40" t="s">
        <v>2983</v>
      </c>
      <c r="B156" s="3" t="s">
        <v>2984</v>
      </c>
      <c r="C156" s="3" t="s">
        <v>2652</v>
      </c>
      <c r="D156" t="s">
        <v>2769</v>
      </c>
      <c r="E156" t="s">
        <v>2860</v>
      </c>
      <c r="F156" t="s">
        <v>2985</v>
      </c>
    </row>
    <row r="157" spans="1:6" ht="12.75" customHeight="1">
      <c r="A157" s="40" t="s">
        <v>2986</v>
      </c>
      <c r="B157" s="3" t="s">
        <v>2987</v>
      </c>
      <c r="C157" s="3" t="s">
        <v>2652</v>
      </c>
      <c r="E157" t="s">
        <v>2860</v>
      </c>
      <c r="F157" t="s">
        <v>2988</v>
      </c>
    </row>
    <row r="158" spans="1:6" ht="12.75" customHeight="1">
      <c r="A158" s="40" t="s">
        <v>2989</v>
      </c>
      <c r="B158" s="3" t="s">
        <v>2990</v>
      </c>
      <c r="C158" s="3" t="s">
        <v>2652</v>
      </c>
      <c r="D158" t="s">
        <v>2769</v>
      </c>
      <c r="E158" t="s">
        <v>2860</v>
      </c>
      <c r="F158" t="s">
        <v>2991</v>
      </c>
    </row>
    <row r="159" spans="1:6" ht="12.75" customHeight="1">
      <c r="A159" s="40" t="s">
        <v>2992</v>
      </c>
      <c r="B159" s="3" t="s">
        <v>2993</v>
      </c>
      <c r="C159" s="3" t="s">
        <v>2994</v>
      </c>
      <c r="E159" t="s">
        <v>2653</v>
      </c>
      <c r="F159" s="141" t="s">
        <v>2995</v>
      </c>
    </row>
    <row r="160" spans="1:6" ht="12.75" customHeight="1">
      <c r="A160" s="40" t="s">
        <v>2996</v>
      </c>
      <c r="B160" s="3" t="s">
        <v>2997</v>
      </c>
      <c r="C160" s="3" t="s">
        <v>2998</v>
      </c>
      <c r="E160" t="s">
        <v>2653</v>
      </c>
      <c r="F160" t="s">
        <v>2999</v>
      </c>
    </row>
    <row r="161" spans="1:6" ht="12.75" customHeight="1">
      <c r="A161" s="40" t="s">
        <v>3000</v>
      </c>
      <c r="B161" s="3" t="s">
        <v>3001</v>
      </c>
      <c r="C161" s="3" t="s">
        <v>2998</v>
      </c>
      <c r="E161" t="s">
        <v>2653</v>
      </c>
      <c r="F161" t="s">
        <v>3002</v>
      </c>
    </row>
    <row r="162" spans="1:6" ht="12.75" customHeight="1">
      <c r="A162" s="40" t="s">
        <v>3003</v>
      </c>
      <c r="B162" s="3" t="s">
        <v>3004</v>
      </c>
      <c r="C162" s="3" t="s">
        <v>2955</v>
      </c>
      <c r="E162" t="s">
        <v>2653</v>
      </c>
      <c r="F162" t="s">
        <v>3005</v>
      </c>
    </row>
    <row r="163" spans="1:6" ht="12.75" customHeight="1">
      <c r="A163" s="40" t="s">
        <v>3006</v>
      </c>
      <c r="B163" s="3" t="s">
        <v>3007</v>
      </c>
      <c r="C163" s="3" t="s">
        <v>2955</v>
      </c>
      <c r="E163" t="s">
        <v>2653</v>
      </c>
      <c r="F163" t="s">
        <v>3008</v>
      </c>
    </row>
    <row r="164" spans="1:6" ht="12.75" customHeight="1">
      <c r="A164" s="40" t="s">
        <v>3009</v>
      </c>
      <c r="B164" s="3" t="s">
        <v>3010</v>
      </c>
      <c r="C164" s="3" t="s">
        <v>2955</v>
      </c>
      <c r="E164" t="s">
        <v>2653</v>
      </c>
      <c r="F164" t="s">
        <v>3011</v>
      </c>
    </row>
    <row r="165" spans="1:6" ht="12.75" customHeight="1">
      <c r="A165" s="40" t="s">
        <v>3012</v>
      </c>
      <c r="B165" s="3" t="s">
        <v>3013</v>
      </c>
      <c r="C165" s="3" t="s">
        <v>2652</v>
      </c>
      <c r="E165" t="s">
        <v>2653</v>
      </c>
      <c r="F165" t="s">
        <v>3014</v>
      </c>
    </row>
    <row r="166" spans="1:6" ht="12.75" customHeight="1">
      <c r="A166" s="40" t="s">
        <v>3015</v>
      </c>
      <c r="B166" s="3" t="s">
        <v>3016</v>
      </c>
      <c r="C166" s="3" t="s">
        <v>2652</v>
      </c>
      <c r="E166" t="s">
        <v>2860</v>
      </c>
      <c r="F166" t="s">
        <v>3017</v>
      </c>
    </row>
    <row r="167" spans="1:6" ht="12.75" customHeight="1">
      <c r="A167" s="40" t="s">
        <v>3018</v>
      </c>
      <c r="B167" s="3" t="s">
        <v>3019</v>
      </c>
      <c r="C167" s="3" t="s">
        <v>2955</v>
      </c>
      <c r="E167" t="s">
        <v>2653</v>
      </c>
      <c r="F167" t="s">
        <v>3020</v>
      </c>
    </row>
    <row r="168" spans="1:6" ht="12.75" customHeight="1">
      <c r="A168" s="40" t="s">
        <v>3021</v>
      </c>
      <c r="B168" s="3" t="s">
        <v>3022</v>
      </c>
      <c r="C168" s="3" t="s">
        <v>2955</v>
      </c>
      <c r="E168" t="s">
        <v>2653</v>
      </c>
      <c r="F168" t="s">
        <v>3023</v>
      </c>
    </row>
    <row r="169" spans="1:6" ht="12.75" customHeight="1">
      <c r="A169" s="40" t="s">
        <v>3024</v>
      </c>
      <c r="B169" s="3" t="s">
        <v>3025</v>
      </c>
      <c r="C169" s="3" t="s">
        <v>2955</v>
      </c>
      <c r="E169" t="s">
        <v>2653</v>
      </c>
      <c r="F169" t="s">
        <v>3026</v>
      </c>
    </row>
    <row r="170" spans="1:6" ht="12.75" customHeight="1">
      <c r="A170" s="40" t="s">
        <v>3027</v>
      </c>
      <c r="B170" s="3" t="s">
        <v>3028</v>
      </c>
      <c r="C170" s="3" t="s">
        <v>2955</v>
      </c>
      <c r="E170" t="s">
        <v>2653</v>
      </c>
      <c r="F170" t="s">
        <v>3029</v>
      </c>
    </row>
    <row r="171" spans="1:6" ht="12.75" customHeight="1">
      <c r="A171" s="40" t="s">
        <v>3030</v>
      </c>
      <c r="B171" s="3" t="s">
        <v>3030</v>
      </c>
      <c r="C171" s="3" t="s">
        <v>2652</v>
      </c>
      <c r="F171" t="s">
        <v>3031</v>
      </c>
    </row>
    <row r="172" spans="1:6" ht="12.75" customHeight="1">
      <c r="A172" s="40" t="s">
        <v>3032</v>
      </c>
      <c r="B172" s="3" t="s">
        <v>3033</v>
      </c>
      <c r="C172" s="3" t="s">
        <v>2955</v>
      </c>
      <c r="D172" s="184"/>
      <c r="E172" s="184" t="s">
        <v>2653</v>
      </c>
      <c r="F172" s="185" t="s">
        <v>3034</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7.xml>��
</file>

<file path=customXml/item8.xml>��
</file>

<file path=customXml/item9.xml>��
</file>

<file path=customXml/item10.xml>��
</file>

<file path=customXml/item1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b1f1756a870b76efc27a8eaee629888b">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644d54029bc3338cc5927c7c7a534b5a"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389C43E-394D-44C0-87DC-4780FCFCFB40}"/>
</file>

<file path=customXml/itemProps2.xml><?xml version="1.0" encoding="utf-8"?>
<ds:datastoreItem xmlns:ds="http://schemas.openxmlformats.org/officeDocument/2006/customXml" ds:itemID="{F12EFA50-0068-4A8C-85A0-F1B26389EBC3}"/>
</file>

<file path=customXml/itemProps3.xml><?xml version="1.0" encoding="utf-8"?>
<ds:datastoreItem xmlns:ds="http://schemas.openxmlformats.org/officeDocument/2006/customXml" ds:itemID="{E20E8303-6A67-485C-B6F4-303542CC295C}"/>
</file>

<file path=customXml/itemProps4.xml><?xml version="1.0" encoding="utf-8"?>
<ds:datastoreItem xmlns:ds="http://schemas.openxmlformats.org/officeDocument/2006/customXml" ds:itemID="{CB52044A-5C0B-44A2-99D0-C1C315EC302D}"/>
</file>

<file path=customXml/itemProps5.xml><?xml version="1.0" encoding="utf-8"?>
<ds:datastoreItem xmlns:ds="http://schemas.openxmlformats.org/officeDocument/2006/customXml" ds:itemID="{7946C510-7D04-49D8-9B25-EEC04582A1CA}"/>
</file>

<file path=customXml/itemProps6.xml><?xml version="1.0" encoding="utf-8"?>
<ds:datastoreItem xmlns:ds="http://schemas.openxmlformats.org/officeDocument/2006/customXml" ds:itemID="{8D732231-4216-4543-A665-18A2886B0EB7}"/>
</file>

<file path=customXml/itemProps7.xml><?xml version="1.0" encoding="utf-8"?>
<ds:datastoreItem xmlns:ds="http://schemas.openxmlformats.org/officeDocument/2006/customXml" ds:itemID="{3AEAA9D8-2182-46BA-A58E-96C72DDA1C54}"/>
</file>

<file path=customXml/itemProps8.xml><?xml version="1.0" encoding="utf-8"?>
<ds:datastoreItem xmlns:ds="http://schemas.openxmlformats.org/officeDocument/2006/customXml" ds:itemID="{078388C9-06F9-42F4-B857-EF76B5CAF1FD}"/>
</file>

<file path=customXml/itemProps9.xml><?xml version="1.0" encoding="utf-8"?>
<ds:datastoreItem xmlns:ds="http://schemas.openxmlformats.org/officeDocument/2006/customXml" ds:itemID="{E3716282-BFD2-4ED2-BA47-BFA1123827F0}"/>
</file>

<file path=customXml/itemProps10.xml><?xml version="1.0" encoding="utf-8"?>
<ds:datastoreItem xmlns:ds="http://schemas.openxmlformats.org/officeDocument/2006/customXml" ds:itemID="{F6B2B1A1-1C4B-4AC9-9A7D-7A102DD1C942}"/>
</file>

<file path=customXml/itemProps11.xml><?xml version="1.0" encoding="utf-8"?>
<ds:datastoreItem xmlns:ds="http://schemas.openxmlformats.org/officeDocument/2006/customXml" ds:itemID="{4B35933B-3B13-43CF-9C53-72DFD03E16F2}"/>
</file>

<file path=customXml/itemProps12.xml><?xml version="1.0" encoding="utf-8"?>
<ds:datastoreItem xmlns:ds="http://schemas.openxmlformats.org/officeDocument/2006/customXml" ds:itemID="{14966E4F-347B-477B-B74C-9DAC05405806}"/>
</file>

<file path=customXml/itemProps13.xml><?xml version="1.0" encoding="utf-8"?>
<ds:datastoreItem xmlns:ds="http://schemas.openxmlformats.org/officeDocument/2006/customXml" ds:itemID="{89CF5C07-45EB-4100-9AFB-2C6AF77FA787}"/>
</file>

<file path=customXml/itemProps14.xml><?xml version="1.0" encoding="utf-8"?>
<ds:datastoreItem xmlns:ds="http://schemas.openxmlformats.org/officeDocument/2006/customXml" ds:itemID="{BF5C6359-7763-4C37-8EAF-2BC4698CB285}"/>
</file>

<file path=customXml/itemProps15.xml><?xml version="1.0" encoding="utf-8"?>
<ds:datastoreItem xmlns:ds="http://schemas.openxmlformats.org/officeDocument/2006/customXml" ds:itemID="{66B09F59-6532-46F8-924A-9A02417E070D}"/>
</file>

<file path=customXml/itemProps16.xml><?xml version="1.0" encoding="utf-8"?>
<ds:datastoreItem xmlns:ds="http://schemas.openxmlformats.org/officeDocument/2006/customXml" ds:itemID="{2BC74AAC-D69B-4AF1-9649-B21EF3C1C463}"/>
</file>

<file path=customXml/itemProps17.xml><?xml version="1.0" encoding="utf-8"?>
<ds:datastoreItem xmlns:ds="http://schemas.openxmlformats.org/officeDocument/2006/customXml" ds:itemID="{1954BBA4-0359-438C-B0EC-A756015F7C02}"/>
</file>

<file path=customXml/itemProps18.xml><?xml version="1.0" encoding="utf-8"?>
<ds:datastoreItem xmlns:ds="http://schemas.openxmlformats.org/officeDocument/2006/customXml" ds:itemID="{BE26B669-A686-459C-A5E9-FEC3409C4C81}"/>
</file>

<file path=customXml/itemProps19.xml><?xml version="1.0" encoding="utf-8"?>
<ds:datastoreItem xmlns:ds="http://schemas.openxmlformats.org/officeDocument/2006/customXml" ds:itemID="{D3A7101F-9A85-4235-8B03-415370C100B2}"/>
</file>

<file path=customXml/itemProps20.xml><?xml version="1.0" encoding="utf-8"?>
<ds:datastoreItem xmlns:ds="http://schemas.openxmlformats.org/officeDocument/2006/customXml" ds:itemID="{98A113BB-8B7A-453C-8BD4-8EFC67FC2D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Srinivasa Krishnan [Libsys]</cp:lastModifiedBy>
  <cp:revision/>
  <dcterms:created xsi:type="dcterms:W3CDTF">2021-01-01T16:39:53Z</dcterms:created>
  <dcterms:modified xsi:type="dcterms:W3CDTF">2026-01-02T22:28:05Z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