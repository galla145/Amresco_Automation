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0338A8F7-38C5-48F1-B562-13C66D8D16D0}" xr6:coauthVersionLast="47" xr6:coauthVersionMax="47" xr10:uidLastSave="{19411BC5-08EC-4ECC-8E84-30D53F7727B3}"/>
  <bookViews>
    <workbookView xWindow="28680" yWindow="-120" windowWidth="29040" windowHeight="15720" tabRatio="713" firstSheet="3" activeTab="1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6" l="1"/>
  <c r="J10" i="36"/>
  <c r="O107" i="33"/>
  <c r="N107" i="33"/>
  <c r="M107" i="33"/>
  <c r="L107" i="33"/>
  <c r="J7" i="36"/>
  <c r="J13" i="12"/>
  <c r="J10" i="12"/>
  <c r="J7" i="12"/>
  <c r="F107" i="33"/>
  <c r="J13" i="18"/>
  <c r="I107" i="33"/>
  <c r="J10" i="18"/>
  <c r="J7" i="18"/>
  <c r="L106" i="33"/>
  <c r="N106" i="33"/>
  <c r="O106" i="33"/>
  <c r="L105" i="33"/>
  <c r="N105" i="33"/>
  <c r="O105" i="33"/>
  <c r="M106" i="33"/>
  <c r="M105" i="33"/>
  <c r="F106" i="33"/>
  <c r="F105" i="33"/>
  <c r="I106" i="33"/>
  <c r="I105" i="33"/>
  <c r="O104" i="33"/>
  <c r="N104" i="33"/>
  <c r="M104" i="33"/>
  <c r="L104" i="33"/>
  <c r="F104" i="33"/>
  <c r="I104" i="33"/>
  <c r="I50" i="32"/>
  <c r="O103" i="33"/>
  <c r="N102" i="33"/>
  <c r="N103" i="33"/>
  <c r="M102" i="33"/>
  <c r="M103" i="33"/>
  <c r="L103" i="33" l="1"/>
  <c r="F103" i="33"/>
  <c r="I103" i="33"/>
  <c r="O102" i="33"/>
  <c r="L102" i="33"/>
  <c r="I102" i="33"/>
  <c r="F102" i="33"/>
  <c r="O101" i="33"/>
  <c r="N101" i="33"/>
  <c r="M101" i="33"/>
  <c r="L101" i="33"/>
  <c r="F101" i="33"/>
  <c r="I101" i="33"/>
  <c r="M100" i="33"/>
  <c r="N100" i="33"/>
  <c r="L100" i="33"/>
  <c r="I100" i="33"/>
  <c r="F100" i="33"/>
  <c r="O100" i="33" l="1"/>
  <c r="I99" i="33" l="1"/>
  <c r="I98" i="33"/>
  <c r="N98" i="33"/>
  <c r="N99" i="33"/>
  <c r="M98" i="33"/>
  <c r="O98" i="33" s="1"/>
  <c r="M99" i="33"/>
  <c r="L98" i="33"/>
  <c r="L99" i="33"/>
  <c r="K109" i="33"/>
  <c r="F98" i="33"/>
  <c r="F99" i="33"/>
  <c r="O99" i="33" l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J109" i="33"/>
  <c r="L109" i="33" s="1"/>
  <c r="H109" i="33"/>
  <c r="G109" i="33"/>
  <c r="E109" i="33"/>
  <c r="D109" i="33"/>
  <c r="N97" i="33"/>
  <c r="M97" i="33"/>
  <c r="L97" i="33"/>
  <c r="I97" i="33"/>
  <c r="F97" i="33"/>
  <c r="K50" i="32"/>
  <c r="J14" i="36" s="1"/>
  <c r="J50" i="32"/>
  <c r="J14" i="18" s="1"/>
  <c r="J14" i="12"/>
  <c r="I89" i="33"/>
  <c r="L89" i="33"/>
  <c r="F89" i="33"/>
  <c r="I88" i="33"/>
  <c r="J8" i="18"/>
  <c r="J6" i="18"/>
  <c r="G90" i="33" s="1"/>
  <c r="I90" i="33" s="1"/>
  <c r="L88" i="33"/>
  <c r="J8" i="36"/>
  <c r="J6" i="36"/>
  <c r="J90" i="33" s="1"/>
  <c r="L90" i="33" s="1"/>
  <c r="F88" i="33"/>
  <c r="J8" i="12"/>
  <c r="J6" i="12"/>
  <c r="D90" i="33" s="1"/>
  <c r="F90" i="33" s="1"/>
  <c r="I87" i="33"/>
  <c r="N109" i="33" l="1"/>
  <c r="M109" i="33"/>
  <c r="O97" i="33"/>
  <c r="I109" i="33"/>
  <c r="F109" i="33"/>
  <c r="L87" i="33"/>
  <c r="F87" i="33"/>
  <c r="L86" i="33"/>
  <c r="F86" i="33"/>
  <c r="I86" i="33"/>
  <c r="L84" i="33"/>
  <c r="L85" i="33"/>
  <c r="F84" i="33"/>
  <c r="F85" i="33"/>
  <c r="I84" i="33"/>
  <c r="I85" i="33"/>
  <c r="O109" i="33" l="1"/>
  <c r="F50" i="32"/>
  <c r="E50" i="32"/>
  <c r="D50" i="32"/>
  <c r="K91" i="33"/>
  <c r="J91" i="33"/>
  <c r="H91" i="33"/>
  <c r="E91" i="33"/>
  <c r="D91" i="33"/>
  <c r="N90" i="33"/>
  <c r="M90" i="33"/>
  <c r="O90" i="33" s="1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tc={052E2174-D4F3-480A-8F08-455B238B8AFD}</author>
  </authors>
  <commentList>
    <comment ref="H51" authorId="0" shapeId="0" xr:uid="{052E2174-D4F3-480A-8F08-455B238B8AFD}">
      <text>
        <t>[Threaded comment]
Your version of Excel allows you to read this threaded comment; however, any edits to it will get removed if the file is opened in a newer version of Excel. Learn more: https://go.microsoft.com/fwlink/?linkid=870924
Comment:
    We have excluded the negative values during nighttime and considered only the positive values during the production hours.</t>
      </text>
    </comment>
  </commentList>
</comments>
</file>

<file path=xl/sharedStrings.xml><?xml version="1.0" encoding="utf-8"?>
<sst xmlns="http://schemas.openxmlformats.org/spreadsheetml/2006/main" count="553" uniqueCount="94">
  <si>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</si>
  <si>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</si>
  <si>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</si>
  <si>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</si>
  <si>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</si>
  <si>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</si>
  <si>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</si>
  <si>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</si>
  <si>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</si>
  <si>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</si>
  <si>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</si>
  <si>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</si>
  <si>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</si>
  <si>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</si>
  <si>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</si>
  <si>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</si>
  <si>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</si>
  <si>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</si>
  <si>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</si>
  <si>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</si>
  <si>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</si>
  <si>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</si>
  <si>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</si>
  <si>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</si>
  <si>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November 2025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</si>
  <si>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</si>
  <si>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</si>
  <si>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</si>
  <si>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</si>
  <si>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</si>
  <si>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</si>
  <si>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</si>
  <si>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</si>
  <si>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</si>
  <si>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</si>
  <si>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 xml:space="preserve">1.On 08/20, the Moxa logger for this site was replaced. Since then, Production Meter 1 has not been communicating, which led to a production meter availability of 66.6% and an overall monthly site availability of 88%. Please note that site availability in Also Energy is calculated based on all three production meters; however, actual production can still be confirmed via the inverters. This issue was previously communicated to the client through the closed Service Request SR106258
</t>
  </si>
  <si>
    <t>Smithfield</t>
  </si>
  <si>
    <t>November' 2025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</si>
  <si>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</si>
  <si>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</si>
  <si>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</si>
  <si>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</si>
  <si>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</si>
  <si>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</si>
  <si>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</si>
  <si>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</si>
  <si>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</si>
  <si>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</si>
  <si>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</si>
  <si>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</si>
  <si>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</si>
  <si>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</si>
  <si>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</si>
  <si>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</si>
  <si>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</si>
  <si>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</si>
  <si>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</si>
  <si>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</si>
  <si>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>2025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</si>
  <si>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</si>
  <si>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</si>
  <si>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</si>
  <si>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</si>
  <si>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</si>
  <si>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</si>
  <si>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</si>
  <si>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</si>
  <si>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</si>
  <si>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</si>
  <si>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2025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</si>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</sst>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  <numFmt numFmtId="167" formatCode="0;[Red]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4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4" fontId="0" fillId="0" borderId="3" xfId="0" applyNumberFormat="1" applyBorder="1" applyAlignment="1">
      <alignment wrapText="1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1" fillId="0" borderId="5" xfId="6" applyFont="1" applyBorder="1" applyAlignment="1">
      <alignment horizontal="right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Merrimack!$F$32:$F$61</c:f>
              <c:numCache>
                <c:formatCode>mm/dd/yy;@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Merrimack!$G$32:$G$61</c:f>
              <c:numCache>
                <c:formatCode>0;[Red]0</c:formatCode>
                <c:ptCount val="30"/>
                <c:pt idx="0">
                  <c:v>9983</c:v>
                </c:pt>
                <c:pt idx="1">
                  <c:v>9854.625</c:v>
                </c:pt>
                <c:pt idx="2">
                  <c:v>2640.375</c:v>
                </c:pt>
                <c:pt idx="3" formatCode="General">
                  <c:v>8575</c:v>
                </c:pt>
                <c:pt idx="4" formatCode="General">
                  <c:v>2573</c:v>
                </c:pt>
                <c:pt idx="5" formatCode="General">
                  <c:v>4683</c:v>
                </c:pt>
                <c:pt idx="6" formatCode="General">
                  <c:v>5917</c:v>
                </c:pt>
                <c:pt idx="7" formatCode="General">
                  <c:v>4417</c:v>
                </c:pt>
                <c:pt idx="8" formatCode="General">
                  <c:v>1245</c:v>
                </c:pt>
                <c:pt idx="9">
                  <c:v>882.10344827547669</c:v>
                </c:pt>
                <c:pt idx="10">
                  <c:v>2511.8965517245233</c:v>
                </c:pt>
                <c:pt idx="11" formatCode="General">
                  <c:v>2917</c:v>
                </c:pt>
                <c:pt idx="12" formatCode="General">
                  <c:v>2624</c:v>
                </c:pt>
                <c:pt idx="13">
                  <c:v>6571.3000000007451</c:v>
                </c:pt>
                <c:pt idx="14">
                  <c:v>8517.6999999992549</c:v>
                </c:pt>
                <c:pt idx="15" formatCode="General">
                  <c:v>3455</c:v>
                </c:pt>
                <c:pt idx="16">
                  <c:v>6279.9859154913574</c:v>
                </c:pt>
                <c:pt idx="17">
                  <c:v>8557.8086050562561</c:v>
                </c:pt>
                <c:pt idx="18">
                  <c:v>8525.2054794523865</c:v>
                </c:pt>
                <c:pt idx="19" formatCode="General">
                  <c:v>4972</c:v>
                </c:pt>
                <c:pt idx="20">
                  <c:v>1910.6896551735699</c:v>
                </c:pt>
                <c:pt idx="21">
                  <c:v>2676.3103448264301</c:v>
                </c:pt>
                <c:pt idx="22" formatCode="General">
                  <c:v>2626</c:v>
                </c:pt>
                <c:pt idx="23" formatCode="General">
                  <c:v>5470</c:v>
                </c:pt>
                <c:pt idx="24" formatCode="General">
                  <c:v>1363.0000000018626</c:v>
                </c:pt>
                <c:pt idx="25">
                  <c:v>2733.7666666638106</c:v>
                </c:pt>
                <c:pt idx="26">
                  <c:v>6047.6619047634304</c:v>
                </c:pt>
                <c:pt idx="27">
                  <c:v>4505.5714285708964</c:v>
                </c:pt>
                <c:pt idx="28" formatCode="General">
                  <c:v>7831</c:v>
                </c:pt>
                <c:pt idx="29" formatCode="General">
                  <c:v>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Merrimack!$F$32:$F$61</c:f>
              <c:numCache>
                <c:formatCode>mm/dd/yy;@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Merrimack!$H$32:$H$61</c:f>
              <c:numCache>
                <c:formatCode>0</c:formatCode>
                <c:ptCount val="30"/>
                <c:pt idx="0">
                  <c:v>5534.0370000000003</c:v>
                </c:pt>
                <c:pt idx="1">
                  <c:v>5494.652</c:v>
                </c:pt>
                <c:pt idx="2">
                  <c:v>1320.9359999999999</c:v>
                </c:pt>
                <c:pt idx="3">
                  <c:v>4859.3230000000003</c:v>
                </c:pt>
                <c:pt idx="4">
                  <c:v>1299.24</c:v>
                </c:pt>
                <c:pt idx="5">
                  <c:v>2667.33</c:v>
                </c:pt>
                <c:pt idx="6">
                  <c:v>3198.5169999999998</c:v>
                </c:pt>
                <c:pt idx="7">
                  <c:v>2575.8009999999999</c:v>
                </c:pt>
                <c:pt idx="8">
                  <c:v>626.43050000000005</c:v>
                </c:pt>
                <c:pt idx="9">
                  <c:v>444.10730000000001</c:v>
                </c:pt>
                <c:pt idx="10">
                  <c:v>1265.527</c:v>
                </c:pt>
                <c:pt idx="11">
                  <c:v>1535.2550000000001</c:v>
                </c:pt>
                <c:pt idx="12">
                  <c:v>1299.1189999999999</c:v>
                </c:pt>
                <c:pt idx="13">
                  <c:v>3665.7739999999999</c:v>
                </c:pt>
                <c:pt idx="14">
                  <c:v>4836.5820000000003</c:v>
                </c:pt>
                <c:pt idx="15">
                  <c:v>1825.741</c:v>
                </c:pt>
                <c:pt idx="16">
                  <c:v>3445.7350000000001</c:v>
                </c:pt>
                <c:pt idx="17">
                  <c:v>4900.0919999999996</c:v>
                </c:pt>
                <c:pt idx="18">
                  <c:v>4959.9920000000002</c:v>
                </c:pt>
                <c:pt idx="19">
                  <c:v>2782.806</c:v>
                </c:pt>
                <c:pt idx="20">
                  <c:v>1094.7159999999999</c:v>
                </c:pt>
                <c:pt idx="21">
                  <c:v>1642.567</c:v>
                </c:pt>
                <c:pt idx="22">
                  <c:v>1507.2260000000001</c:v>
                </c:pt>
                <c:pt idx="23">
                  <c:v>3118.0909999999999</c:v>
                </c:pt>
                <c:pt idx="24">
                  <c:v>688.76509999999996</c:v>
                </c:pt>
                <c:pt idx="25">
                  <c:v>1441.3230000000001</c:v>
                </c:pt>
                <c:pt idx="26">
                  <c:v>3343.5859999999998</c:v>
                </c:pt>
                <c:pt idx="27">
                  <c:v>2738.3119999999999</c:v>
                </c:pt>
                <c:pt idx="28">
                  <c:v>4674.7330000000002</c:v>
                </c:pt>
                <c:pt idx="29">
                  <c:v>349.27280000000002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Smithfield!$F$32:$F$61</c:f>
              <c:numCache>
                <c:formatCode>mm/dd/yy;@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Smithfield!$G$32:$G$61</c:f>
              <c:numCache>
                <c:formatCode>0</c:formatCode>
                <c:ptCount val="30"/>
                <c:pt idx="0">
                  <c:v>14110.5</c:v>
                </c:pt>
                <c:pt idx="1">
                  <c:v>14237.5</c:v>
                </c:pt>
                <c:pt idx="2">
                  <c:v>3509.5</c:v>
                </c:pt>
                <c:pt idx="3">
                  <c:v>14388.5</c:v>
                </c:pt>
                <c:pt idx="4">
                  <c:v>5783.5</c:v>
                </c:pt>
                <c:pt idx="5">
                  <c:v>9419</c:v>
                </c:pt>
                <c:pt idx="6">
                  <c:v>10307</c:v>
                </c:pt>
                <c:pt idx="7">
                  <c:v>7162.5</c:v>
                </c:pt>
                <c:pt idx="8">
                  <c:v>4264</c:v>
                </c:pt>
                <c:pt idx="9">
                  <c:v>1167</c:v>
                </c:pt>
                <c:pt idx="10">
                  <c:v>5354.5</c:v>
                </c:pt>
                <c:pt idx="11">
                  <c:v>5049.5</c:v>
                </c:pt>
                <c:pt idx="12">
                  <c:v>3821.5</c:v>
                </c:pt>
                <c:pt idx="13">
                  <c:v>8037</c:v>
                </c:pt>
                <c:pt idx="14">
                  <c:v>12699</c:v>
                </c:pt>
                <c:pt idx="15">
                  <c:v>9754</c:v>
                </c:pt>
                <c:pt idx="16">
                  <c:v>10826</c:v>
                </c:pt>
                <c:pt idx="17">
                  <c:v>6235.5</c:v>
                </c:pt>
                <c:pt idx="18">
                  <c:v>10970.5</c:v>
                </c:pt>
                <c:pt idx="19">
                  <c:v>8245.5</c:v>
                </c:pt>
                <c:pt idx="20">
                  <c:v>2908.5</c:v>
                </c:pt>
                <c:pt idx="21">
                  <c:v>2324.5</c:v>
                </c:pt>
                <c:pt idx="22">
                  <c:v>4479</c:v>
                </c:pt>
                <c:pt idx="23">
                  <c:v>10943.5</c:v>
                </c:pt>
                <c:pt idx="24">
                  <c:v>3018</c:v>
                </c:pt>
                <c:pt idx="25">
                  <c:v>2084.5</c:v>
                </c:pt>
                <c:pt idx="26">
                  <c:v>9843.5</c:v>
                </c:pt>
                <c:pt idx="27">
                  <c:v>9257.5</c:v>
                </c:pt>
                <c:pt idx="28">
                  <c:v>11152</c:v>
                </c:pt>
                <c:pt idx="29">
                  <c:v>1836.5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Smithfield!$F$32:$F$61</c:f>
              <c:numCache>
                <c:formatCode>mm/dd/yy;@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Smithfield!$H$32:$H$61</c:f>
              <c:numCache>
                <c:formatCode>0</c:formatCode>
                <c:ptCount val="30"/>
                <c:pt idx="0">
                  <c:v>4701.8019999999997</c:v>
                </c:pt>
                <c:pt idx="1">
                  <c:v>4720.2079999999996</c:v>
                </c:pt>
                <c:pt idx="2">
                  <c:v>1087.2149999999999</c:v>
                </c:pt>
                <c:pt idx="3">
                  <c:v>4783.5140000000001</c:v>
                </c:pt>
                <c:pt idx="4">
                  <c:v>1835.7080000000001</c:v>
                </c:pt>
                <c:pt idx="5">
                  <c:v>3194.248</c:v>
                </c:pt>
                <c:pt idx="6">
                  <c:v>3327.8629999999998</c:v>
                </c:pt>
                <c:pt idx="7">
                  <c:v>2481.9369999999999</c:v>
                </c:pt>
                <c:pt idx="8">
                  <c:v>1385.9670000000001</c:v>
                </c:pt>
                <c:pt idx="9">
                  <c:v>368.93979999999999</c:v>
                </c:pt>
                <c:pt idx="10">
                  <c:v>1695.2670000000001</c:v>
                </c:pt>
                <c:pt idx="11">
                  <c:v>1637.4010000000001</c:v>
                </c:pt>
                <c:pt idx="12">
                  <c:v>1264.27</c:v>
                </c:pt>
                <c:pt idx="13">
                  <c:v>2630.2710000000002</c:v>
                </c:pt>
                <c:pt idx="14">
                  <c:v>4254.3429999999998</c:v>
                </c:pt>
                <c:pt idx="15">
                  <c:v>3257.605</c:v>
                </c:pt>
                <c:pt idx="16">
                  <c:v>3579.7</c:v>
                </c:pt>
                <c:pt idx="17">
                  <c:v>2271.4189999999999</c:v>
                </c:pt>
                <c:pt idx="18">
                  <c:v>3638.261</c:v>
                </c:pt>
                <c:pt idx="19">
                  <c:v>2681.357</c:v>
                </c:pt>
                <c:pt idx="20">
                  <c:v>840.92930000000001</c:v>
                </c:pt>
                <c:pt idx="21">
                  <c:v>730.18290000000002</c:v>
                </c:pt>
                <c:pt idx="22">
                  <c:v>1384.789</c:v>
                </c:pt>
                <c:pt idx="23">
                  <c:v>3628.922</c:v>
                </c:pt>
                <c:pt idx="24">
                  <c:v>896.17660000000001</c:v>
                </c:pt>
                <c:pt idx="25">
                  <c:v>643.07069999999999</c:v>
                </c:pt>
                <c:pt idx="26">
                  <c:v>3318.2820000000002</c:v>
                </c:pt>
                <c:pt idx="27">
                  <c:v>2991.7249999999999</c:v>
                </c:pt>
                <c:pt idx="28">
                  <c:v>3672.201</c:v>
                </c:pt>
                <c:pt idx="29">
                  <c:v>535.45740000000001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Westlake!$F$32:$F$61</c:f>
              <c:numCache>
                <c:formatCode>mm/dd/yy;@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Westlake!$G$32:$G$61</c:f>
              <c:numCache>
                <c:formatCode>0</c:formatCode>
                <c:ptCount val="30"/>
                <c:pt idx="0">
                  <c:v>10379</c:v>
                </c:pt>
                <c:pt idx="1">
                  <c:v>16865</c:v>
                </c:pt>
                <c:pt idx="2">
                  <c:v>15497</c:v>
                </c:pt>
                <c:pt idx="3">
                  <c:v>15503</c:v>
                </c:pt>
                <c:pt idx="4">
                  <c:v>14627</c:v>
                </c:pt>
                <c:pt idx="5">
                  <c:v>14218</c:v>
                </c:pt>
                <c:pt idx="6">
                  <c:v>14015</c:v>
                </c:pt>
                <c:pt idx="7">
                  <c:v>13999</c:v>
                </c:pt>
                <c:pt idx="8">
                  <c:v>15400</c:v>
                </c:pt>
                <c:pt idx="9">
                  <c:v>15038</c:v>
                </c:pt>
                <c:pt idx="10">
                  <c:v>14847</c:v>
                </c:pt>
                <c:pt idx="11">
                  <c:v>13565</c:v>
                </c:pt>
                <c:pt idx="12">
                  <c:v>13258</c:v>
                </c:pt>
                <c:pt idx="13">
                  <c:v>12061</c:v>
                </c:pt>
                <c:pt idx="14">
                  <c:v>13052</c:v>
                </c:pt>
                <c:pt idx="15">
                  <c:v>11899</c:v>
                </c:pt>
                <c:pt idx="16">
                  <c:v>12223</c:v>
                </c:pt>
                <c:pt idx="17">
                  <c:v>10137</c:v>
                </c:pt>
                <c:pt idx="18">
                  <c:v>7670</c:v>
                </c:pt>
                <c:pt idx="19">
                  <c:v>557</c:v>
                </c:pt>
                <c:pt idx="20">
                  <c:v>11081</c:v>
                </c:pt>
                <c:pt idx="21">
                  <c:v>11424</c:v>
                </c:pt>
                <c:pt idx="22">
                  <c:v>11598</c:v>
                </c:pt>
                <c:pt idx="23">
                  <c:v>2137</c:v>
                </c:pt>
                <c:pt idx="24">
                  <c:v>12621</c:v>
                </c:pt>
                <c:pt idx="25">
                  <c:v>13650</c:v>
                </c:pt>
                <c:pt idx="26">
                  <c:v>12908</c:v>
                </c:pt>
                <c:pt idx="27">
                  <c:v>5705</c:v>
                </c:pt>
                <c:pt idx="28">
                  <c:v>3315</c:v>
                </c:pt>
                <c:pt idx="29">
                  <c:v>7018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Westlake!$F$32:$F$61</c:f>
              <c:numCache>
                <c:formatCode>mm/dd/yy;@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Westlake!$H$32:$H$61</c:f>
              <c:numCache>
                <c:formatCode>0</c:formatCode>
                <c:ptCount val="30"/>
                <c:pt idx="0">
                  <c:v>3428.806</c:v>
                </c:pt>
                <c:pt idx="1">
                  <c:v>5861.2950000000001</c:v>
                </c:pt>
                <c:pt idx="2">
                  <c:v>5860.7129999999997</c:v>
                </c:pt>
                <c:pt idx="3">
                  <c:v>5773.1509999999998</c:v>
                </c:pt>
                <c:pt idx="4">
                  <c:v>5505.5029999999997</c:v>
                </c:pt>
                <c:pt idx="5">
                  <c:v>5381.0190000000002</c:v>
                </c:pt>
                <c:pt idx="6">
                  <c:v>5330.9579999999996</c:v>
                </c:pt>
                <c:pt idx="7">
                  <c:v>5307.2969999999996</c:v>
                </c:pt>
                <c:pt idx="8">
                  <c:v>5845.2560000000003</c:v>
                </c:pt>
                <c:pt idx="9">
                  <c:v>5490.0240000000003</c:v>
                </c:pt>
                <c:pt idx="10">
                  <c:v>5586.7460000000001</c:v>
                </c:pt>
                <c:pt idx="11">
                  <c:v>5067.4759999999997</c:v>
                </c:pt>
                <c:pt idx="12">
                  <c:v>4860.0110000000004</c:v>
                </c:pt>
                <c:pt idx="13">
                  <c:v>4712.1000000000004</c:v>
                </c:pt>
                <c:pt idx="14">
                  <c:v>4900.6270000000004</c:v>
                </c:pt>
                <c:pt idx="15">
                  <c:v>4407.0839999999998</c:v>
                </c:pt>
                <c:pt idx="16">
                  <c:v>4610.9120000000003</c:v>
                </c:pt>
                <c:pt idx="17">
                  <c:v>3633.02</c:v>
                </c:pt>
                <c:pt idx="18">
                  <c:v>2702.5740000000001</c:v>
                </c:pt>
                <c:pt idx="19">
                  <c:v>89.4</c:v>
                </c:pt>
                <c:pt idx="20">
                  <c:v>4149.5460000000003</c:v>
                </c:pt>
                <c:pt idx="21">
                  <c:v>4151.1670000000004</c:v>
                </c:pt>
                <c:pt idx="22">
                  <c:v>4038.239</c:v>
                </c:pt>
                <c:pt idx="23">
                  <c:v>335.28960000000001</c:v>
                </c:pt>
                <c:pt idx="24">
                  <c:v>4657.875</c:v>
                </c:pt>
                <c:pt idx="25">
                  <c:v>5048.1279999999997</c:v>
                </c:pt>
                <c:pt idx="26">
                  <c:v>4710.1409999999996</c:v>
                </c:pt>
                <c:pt idx="27">
                  <c:v>1651.085</c:v>
                </c:pt>
                <c:pt idx="28">
                  <c:v>920.56610000000001</c:v>
                </c:pt>
                <c:pt idx="29">
                  <c:v>2260.4090000000001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136313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19144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135466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17784</xdr:colOff>
      <xdr:row>2</xdr:row>
      <xdr:rowOff>131542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F1C92B20-0139-4404-BA3C-E142F8FAD6DF}" userId="S::kusumapotlada@amgsol.com::a4794fd0-fb2a-418d-b379-bb3c7e6c0e3d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1" dT="2025-12-09T10:51:34.29" personId="{F1C92B20-0139-4404-BA3C-E142F8FAD6DF}" id="{052E2174-D4F3-480A-8F08-455B238B8AFD}">
    <text>We have excluded the negative values during nighttime and considered only the positive values during the production hours.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workbookViewId="0">
      <selection activeCell="E17" sqref="E17"/>
    </sheetView>
  </sheetViews>
  <sheetFormatPr defaultRowHeight="14.45"/>
  <cols>
    <col min="23" max="23" width="12.5703125" customWidth="1"/>
  </cols>
  <sheetData>
    <row r="1" spans="1:31">
      <c r="A1" s="172" t="s">
        <v>0</v>
      </c>
      <c r="B1" s="173"/>
      <c r="C1" s="173"/>
      <c r="D1" s="173"/>
      <c r="E1" s="174"/>
      <c r="F1" s="166" t="s">
        <v>1</v>
      </c>
      <c r="G1" s="167"/>
      <c r="H1" s="167"/>
      <c r="I1" s="167"/>
      <c r="J1" s="167"/>
      <c r="K1" s="167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75" t="s">
        <v>2</v>
      </c>
      <c r="B2" s="176"/>
      <c r="C2" s="176"/>
      <c r="D2" s="176"/>
      <c r="E2" s="176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68" t="s">
        <v>4</v>
      </c>
      <c r="B3" s="169"/>
      <c r="C3" s="169"/>
      <c r="D3" s="169"/>
      <c r="E3" s="169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6.149999999999999">
      <c r="A4" s="168" t="s">
        <v>6</v>
      </c>
      <c r="B4" s="169"/>
      <c r="C4" s="169"/>
      <c r="D4" s="169"/>
      <c r="E4" s="169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6.149999999999999">
      <c r="A5" s="168" t="s">
        <v>8</v>
      </c>
      <c r="B5" s="169"/>
      <c r="C5" s="169"/>
      <c r="D5" s="169"/>
      <c r="E5" s="169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68" t="s">
        <v>10</v>
      </c>
      <c r="B6" s="169"/>
      <c r="C6" s="169"/>
      <c r="D6" s="169"/>
      <c r="E6" s="169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68" t="s">
        <v>12</v>
      </c>
      <c r="B7" s="169"/>
      <c r="C7" s="169"/>
      <c r="D7" s="169"/>
      <c r="E7" s="169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68" t="s">
        <v>14</v>
      </c>
      <c r="B8" s="169"/>
      <c r="C8" s="169"/>
      <c r="D8" s="169"/>
      <c r="E8" s="169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68" t="s">
        <v>16</v>
      </c>
      <c r="B9" s="169"/>
      <c r="C9" s="169"/>
      <c r="D9" s="169"/>
      <c r="E9" s="169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68" t="s">
        <v>18</v>
      </c>
      <c r="B10" s="169"/>
      <c r="C10" s="169"/>
      <c r="D10" s="169"/>
      <c r="E10" s="169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70" t="s">
        <v>20</v>
      </c>
      <c r="B11" s="171"/>
      <c r="C11" s="171"/>
      <c r="D11" s="171"/>
      <c r="E11" s="171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2"/>
  <sheetViews>
    <sheetView tabSelected="1" view="pageLayout" zoomScale="80" zoomScaleNormal="80" zoomScalePageLayoutView="80" workbookViewId="0">
      <selection activeCell="N23" sqref="N23"/>
    </sheetView>
  </sheetViews>
  <sheetFormatPr defaultRowHeight="14.4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  <col min="11" max="11" width="73.42578125" customWidth="1"/>
  </cols>
  <sheetData>
    <row r="1" spans="3:13" ht="18">
      <c r="E1" s="178" t="s">
        <v>22</v>
      </c>
      <c r="F1" s="178"/>
      <c r="G1" s="178"/>
      <c r="H1" s="178"/>
      <c r="I1" s="178"/>
      <c r="J1" s="178"/>
    </row>
    <row r="2" spans="3:13">
      <c r="E2" s="179" t="s">
        <v>23</v>
      </c>
      <c r="F2" s="179"/>
      <c r="G2" s="179"/>
      <c r="H2" s="179"/>
      <c r="I2" s="179"/>
      <c r="J2" s="179"/>
    </row>
    <row r="3" spans="3:13">
      <c r="E3" s="180" t="s">
        <v>24</v>
      </c>
      <c r="F3" s="181"/>
      <c r="G3" s="181"/>
      <c r="H3" s="181"/>
      <c r="I3" s="181"/>
      <c r="J3" s="181"/>
    </row>
    <row r="5" spans="3:13">
      <c r="C5" s="182" t="s">
        <v>25</v>
      </c>
      <c r="D5" s="183"/>
      <c r="E5" s="183"/>
      <c r="F5" s="183"/>
      <c r="G5" s="183"/>
      <c r="H5" s="183"/>
      <c r="I5" s="183"/>
      <c r="J5" s="183"/>
      <c r="K5" s="183"/>
      <c r="L5" s="184"/>
    </row>
    <row r="6" spans="3:13">
      <c r="C6" s="20"/>
      <c r="D6" s="21"/>
      <c r="E6" s="173" t="s">
        <v>2</v>
      </c>
      <c r="F6" s="173"/>
      <c r="G6" s="173"/>
      <c r="H6" s="173"/>
      <c r="I6" s="173"/>
      <c r="J6" s="22">
        <f>SUM(G32:G61)</f>
        <v>141536</v>
      </c>
      <c r="K6" s="21" t="s">
        <v>26</v>
      </c>
      <c r="L6" s="23"/>
    </row>
    <row r="7" spans="3:13">
      <c r="C7" s="3"/>
      <c r="D7" s="2"/>
      <c r="E7" s="177" t="s">
        <v>4</v>
      </c>
      <c r="F7" s="177"/>
      <c r="G7" s="177"/>
      <c r="H7" s="177"/>
      <c r="I7" s="177"/>
      <c r="J7" s="8">
        <f>'Predicted Data'!D27</f>
        <v>186483.9</v>
      </c>
      <c r="K7" s="69"/>
      <c r="L7" s="4"/>
    </row>
    <row r="8" spans="3:13" ht="16.149999999999999">
      <c r="C8" s="3"/>
      <c r="D8" s="2"/>
      <c r="E8" s="177" t="s">
        <v>6</v>
      </c>
      <c r="F8" s="177"/>
      <c r="G8" s="177"/>
      <c r="H8" s="177"/>
      <c r="I8" s="177"/>
      <c r="J8" s="8">
        <f>SUM(H32:H61)</f>
        <v>79135.588700000022</v>
      </c>
      <c r="K8" s="2" t="s">
        <v>26</v>
      </c>
      <c r="L8" s="4"/>
    </row>
    <row r="9" spans="3:13" ht="16.149999999999999">
      <c r="C9" s="3"/>
      <c r="D9" s="2"/>
      <c r="E9" s="177" t="s">
        <v>8</v>
      </c>
      <c r="F9" s="177"/>
      <c r="G9" s="177"/>
      <c r="H9" s="177"/>
      <c r="I9" s="177"/>
      <c r="J9" s="79"/>
      <c r="K9" s="69"/>
      <c r="L9" s="4"/>
    </row>
    <row r="10" spans="3:13">
      <c r="C10" s="3"/>
      <c r="D10" s="2"/>
      <c r="E10" s="177" t="s">
        <v>10</v>
      </c>
      <c r="F10" s="177"/>
      <c r="G10" s="177"/>
      <c r="H10" s="177"/>
      <c r="I10" s="177"/>
      <c r="J10" s="85">
        <f>'Plant Health'!H106</f>
        <v>276238</v>
      </c>
      <c r="K10" s="2" t="s">
        <v>26</v>
      </c>
      <c r="L10" s="4"/>
    </row>
    <row r="11" spans="3:13">
      <c r="C11" s="3"/>
      <c r="D11" s="2"/>
      <c r="E11" s="177" t="s">
        <v>12</v>
      </c>
      <c r="F11" s="177"/>
      <c r="G11" s="177"/>
      <c r="H11" s="177"/>
      <c r="I11" s="177"/>
      <c r="J11" s="31">
        <f>J6/J10</f>
        <v>0.51236976809852375</v>
      </c>
      <c r="K11" s="2"/>
      <c r="L11" s="4"/>
      <c r="M11" s="61"/>
    </row>
    <row r="12" spans="3:13">
      <c r="C12" s="3"/>
      <c r="D12" s="2"/>
      <c r="E12" s="177" t="s">
        <v>16</v>
      </c>
      <c r="F12" s="177"/>
      <c r="G12" s="177"/>
      <c r="H12" s="177"/>
      <c r="I12" s="177"/>
      <c r="J12" s="31">
        <f>J6/J7</f>
        <v>0.75897168602758736</v>
      </c>
      <c r="K12" s="2"/>
      <c r="L12" s="4"/>
    </row>
    <row r="13" spans="3:13">
      <c r="C13" s="3"/>
      <c r="D13" s="2"/>
      <c r="E13" s="177" t="s">
        <v>18</v>
      </c>
      <c r="F13" s="177"/>
      <c r="G13" s="177"/>
      <c r="H13" s="177"/>
      <c r="I13" s="177"/>
      <c r="J13" s="31">
        <f>Availability!J48</f>
        <v>0.66659999999999997</v>
      </c>
      <c r="K13" s="2"/>
      <c r="L13" s="4"/>
    </row>
    <row r="14" spans="3:13">
      <c r="C14" s="5"/>
      <c r="D14" s="6"/>
      <c r="E14" s="186" t="s">
        <v>20</v>
      </c>
      <c r="F14" s="186"/>
      <c r="G14" s="186"/>
      <c r="H14" s="186"/>
      <c r="I14" s="186"/>
      <c r="J14" s="9">
        <f>Availability!J50</f>
        <v>0.89485541125541157</v>
      </c>
      <c r="K14" s="6"/>
      <c r="L14" s="7"/>
    </row>
    <row r="16" spans="3:13">
      <c r="C16" s="185" t="s">
        <v>27</v>
      </c>
      <c r="D16" s="185"/>
      <c r="E16" s="185"/>
      <c r="F16" s="185"/>
      <c r="G16" s="185"/>
      <c r="H16" s="185"/>
      <c r="I16" s="185"/>
      <c r="J16" s="185"/>
      <c r="K16" s="185"/>
      <c r="L16" s="185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85" t="s">
        <v>28</v>
      </c>
      <c r="G30" s="185"/>
      <c r="H30" s="185"/>
      <c r="I30" s="185"/>
      <c r="J30" s="11"/>
      <c r="K30" s="11"/>
      <c r="L30" s="11"/>
    </row>
    <row r="31" spans="3:12" s="10" customFormat="1" ht="44.1" customHeight="1">
      <c r="E31" s="13"/>
      <c r="F31" s="158" t="s">
        <v>29</v>
      </c>
      <c r="G31" s="159" t="s">
        <v>30</v>
      </c>
      <c r="H31" s="159" t="s">
        <v>31</v>
      </c>
      <c r="I31" s="159" t="s">
        <v>32</v>
      </c>
      <c r="J31" s="12"/>
      <c r="K31" s="13"/>
    </row>
    <row r="32" spans="3:12" ht="23.45" customHeight="1">
      <c r="E32" s="2"/>
      <c r="F32" s="160">
        <v>45962</v>
      </c>
      <c r="G32" s="165">
        <v>9983</v>
      </c>
      <c r="H32" s="161">
        <v>5534.0370000000003</v>
      </c>
      <c r="I32" s="161">
        <v>48.44594</v>
      </c>
      <c r="J32" s="2"/>
      <c r="K32" s="151"/>
    </row>
    <row r="33" spans="5:15">
      <c r="E33" s="2"/>
      <c r="F33" s="160">
        <v>45963</v>
      </c>
      <c r="G33" s="165">
        <v>9854.625</v>
      </c>
      <c r="H33" s="161">
        <v>5494.652</v>
      </c>
      <c r="I33" s="161">
        <v>39.046799999999998</v>
      </c>
      <c r="J33" s="2"/>
      <c r="K33" s="14"/>
    </row>
    <row r="34" spans="5:15">
      <c r="E34" s="2"/>
      <c r="F34" s="160">
        <v>45964</v>
      </c>
      <c r="G34" s="165">
        <v>2640.375</v>
      </c>
      <c r="H34" s="161">
        <v>1320.9359999999999</v>
      </c>
      <c r="I34" s="161">
        <v>42.585039999999999</v>
      </c>
      <c r="J34" s="2"/>
      <c r="K34" s="14"/>
    </row>
    <row r="35" spans="5:15">
      <c r="E35" s="2"/>
      <c r="F35" s="160">
        <v>45965</v>
      </c>
      <c r="G35" s="164">
        <v>8575</v>
      </c>
      <c r="H35" s="161">
        <v>4859.3230000000003</v>
      </c>
      <c r="I35" s="161">
        <v>44.956400000000002</v>
      </c>
      <c r="J35" s="2"/>
      <c r="K35" s="14"/>
    </row>
    <row r="36" spans="5:15">
      <c r="E36" s="2"/>
      <c r="F36" s="160">
        <v>45966</v>
      </c>
      <c r="G36" s="164">
        <v>2573</v>
      </c>
      <c r="H36" s="161">
        <v>1299.24</v>
      </c>
      <c r="I36" s="161">
        <v>42.988210000000002</v>
      </c>
      <c r="J36" s="2"/>
      <c r="K36" s="14"/>
    </row>
    <row r="37" spans="5:15">
      <c r="E37" s="2"/>
      <c r="F37" s="160">
        <v>45967</v>
      </c>
      <c r="G37" s="164">
        <v>4683</v>
      </c>
      <c r="H37" s="161">
        <v>2667.33</v>
      </c>
      <c r="I37" s="161">
        <v>42.600900000000003</v>
      </c>
      <c r="J37" s="2"/>
      <c r="K37" s="14"/>
    </row>
    <row r="38" spans="5:15">
      <c r="E38" s="2"/>
      <c r="F38" s="160">
        <v>45968</v>
      </c>
      <c r="G38" s="164">
        <v>5917</v>
      </c>
      <c r="H38" s="161">
        <v>3198.5169999999998</v>
      </c>
      <c r="I38" s="161">
        <v>41.73133</v>
      </c>
      <c r="J38" s="2"/>
      <c r="K38" s="14"/>
    </row>
    <row r="39" spans="5:15">
      <c r="E39" s="2"/>
      <c r="F39" s="160">
        <v>45969</v>
      </c>
      <c r="G39" s="164">
        <v>4417</v>
      </c>
      <c r="H39" s="161">
        <v>2575.8009999999999</v>
      </c>
      <c r="I39" s="161">
        <v>50.995379999999997</v>
      </c>
      <c r="J39" s="2"/>
      <c r="K39" s="14"/>
    </row>
    <row r="40" spans="5:15">
      <c r="E40" s="2"/>
      <c r="F40" s="160">
        <v>45970</v>
      </c>
      <c r="G40" s="164">
        <v>1245</v>
      </c>
      <c r="H40" s="161">
        <v>626.43050000000005</v>
      </c>
      <c r="I40" s="161">
        <v>46.084209999999999</v>
      </c>
      <c r="J40" s="2"/>
      <c r="K40" s="14"/>
    </row>
    <row r="41" spans="5:15">
      <c r="E41" s="2"/>
      <c r="F41" s="160">
        <v>45971</v>
      </c>
      <c r="G41" s="165">
        <v>882.10344827547669</v>
      </c>
      <c r="H41" s="161">
        <v>444.10730000000001</v>
      </c>
      <c r="I41" s="161">
        <v>47.44679</v>
      </c>
      <c r="J41" s="2"/>
      <c r="K41" s="14"/>
    </row>
    <row r="42" spans="5:15">
      <c r="E42" s="2"/>
      <c r="F42" s="160">
        <v>45972</v>
      </c>
      <c r="G42" s="165">
        <v>2511.8965517245233</v>
      </c>
      <c r="H42" s="161">
        <v>1265.527</v>
      </c>
      <c r="I42" s="161">
        <v>34.255920000000003</v>
      </c>
      <c r="J42" s="2"/>
      <c r="K42" s="14"/>
    </row>
    <row r="43" spans="5:15">
      <c r="E43" s="2"/>
      <c r="F43" s="160">
        <v>45973</v>
      </c>
      <c r="G43" s="164">
        <v>2917</v>
      </c>
      <c r="H43" s="161">
        <v>1535.2550000000001</v>
      </c>
      <c r="I43" s="161">
        <v>37.680480000000003</v>
      </c>
      <c r="J43" s="2"/>
      <c r="K43" s="14"/>
    </row>
    <row r="44" spans="5:15">
      <c r="E44" s="2"/>
      <c r="F44" s="160">
        <v>45974</v>
      </c>
      <c r="G44" s="164">
        <v>2624</v>
      </c>
      <c r="H44" s="161">
        <v>1299.1189999999999</v>
      </c>
      <c r="I44" s="161">
        <v>41.567740000000001</v>
      </c>
      <c r="J44" s="2"/>
      <c r="K44" s="14"/>
    </row>
    <row r="45" spans="5:15">
      <c r="E45" s="2"/>
      <c r="F45" s="160">
        <v>45975</v>
      </c>
      <c r="G45" s="165">
        <v>6571.3000000007451</v>
      </c>
      <c r="H45" s="161">
        <v>3665.7739999999999</v>
      </c>
      <c r="I45" s="161">
        <v>36.548259999999999</v>
      </c>
      <c r="J45" s="2"/>
      <c r="K45" s="14"/>
    </row>
    <row r="46" spans="5:15">
      <c r="E46" s="2"/>
      <c r="F46" s="160">
        <v>45976</v>
      </c>
      <c r="G46" s="165">
        <v>8517.6999999992549</v>
      </c>
      <c r="H46" s="161">
        <v>4836.5820000000003</v>
      </c>
      <c r="I46" s="161">
        <v>34.802199999999999</v>
      </c>
      <c r="J46" s="2"/>
      <c r="K46" s="14"/>
    </row>
    <row r="47" spans="5:15">
      <c r="E47" s="2"/>
      <c r="F47" s="160">
        <v>45977</v>
      </c>
      <c r="G47" s="164">
        <v>3455</v>
      </c>
      <c r="H47" s="161">
        <v>1825.741</v>
      </c>
      <c r="I47" s="161">
        <v>40.689050000000002</v>
      </c>
      <c r="J47" s="2"/>
      <c r="K47" s="14"/>
    </row>
    <row r="48" spans="5:15">
      <c r="E48" s="2"/>
      <c r="F48" s="160">
        <v>45978</v>
      </c>
      <c r="G48" s="165">
        <v>6279.9859154913574</v>
      </c>
      <c r="H48" s="161">
        <v>3445.7350000000001</v>
      </c>
      <c r="I48" s="161">
        <v>35.66722</v>
      </c>
      <c r="J48" s="2"/>
      <c r="K48" s="14"/>
      <c r="M48" s="2"/>
      <c r="N48" s="2"/>
      <c r="O48" s="2"/>
    </row>
    <row r="49" spans="3:15">
      <c r="E49" s="2"/>
      <c r="F49" s="160">
        <v>45979</v>
      </c>
      <c r="G49" s="165">
        <v>8557.8086050562561</v>
      </c>
      <c r="H49" s="161">
        <v>4900.0919999999996</v>
      </c>
      <c r="I49" s="161">
        <v>34.652279999999998</v>
      </c>
      <c r="J49" s="2"/>
      <c r="K49" s="14"/>
      <c r="M49" s="2"/>
      <c r="N49" s="2"/>
      <c r="O49" s="2"/>
    </row>
    <row r="50" spans="3:15">
      <c r="E50" s="2"/>
      <c r="F50" s="160">
        <v>45980</v>
      </c>
      <c r="G50" s="165">
        <v>8525.2054794523865</v>
      </c>
      <c r="H50" s="161">
        <v>4959.9920000000002</v>
      </c>
      <c r="I50" s="161">
        <v>29.450900000000001</v>
      </c>
      <c r="J50" s="2"/>
      <c r="K50" s="14"/>
    </row>
    <row r="51" spans="3:15">
      <c r="E51" s="2"/>
      <c r="F51" s="160">
        <v>45981</v>
      </c>
      <c r="G51" s="164">
        <v>4972</v>
      </c>
      <c r="H51" s="161">
        <v>2782.806</v>
      </c>
      <c r="I51" s="161">
        <v>28.938610000000001</v>
      </c>
      <c r="J51" s="2"/>
      <c r="K51" s="14"/>
    </row>
    <row r="52" spans="3:15">
      <c r="E52" s="2"/>
      <c r="F52" s="160">
        <v>45982</v>
      </c>
      <c r="G52" s="165">
        <v>1910.6896551735699</v>
      </c>
      <c r="H52" s="161">
        <v>1094.7159999999999</v>
      </c>
      <c r="I52" s="161">
        <v>31.887339999999998</v>
      </c>
      <c r="J52" s="2"/>
      <c r="K52" s="14"/>
    </row>
    <row r="53" spans="3:15">
      <c r="E53" s="2"/>
      <c r="F53" s="160">
        <v>45983</v>
      </c>
      <c r="G53" s="165">
        <v>2676.3103448264301</v>
      </c>
      <c r="H53" s="161">
        <v>1642.567</v>
      </c>
      <c r="I53" s="161">
        <v>38.104799999999997</v>
      </c>
      <c r="J53" s="2"/>
      <c r="K53" s="14"/>
    </row>
    <row r="54" spans="3:15">
      <c r="E54" s="2"/>
      <c r="F54" s="160">
        <v>45984</v>
      </c>
      <c r="G54" s="164">
        <v>2626</v>
      </c>
      <c r="H54" s="161">
        <v>1507.2260000000001</v>
      </c>
      <c r="I54" s="161">
        <v>30.915849999999999</v>
      </c>
      <c r="J54" s="2"/>
      <c r="K54" s="14"/>
    </row>
    <row r="55" spans="3:15">
      <c r="E55" s="2"/>
      <c r="F55" s="160">
        <v>45985</v>
      </c>
      <c r="G55" s="164">
        <v>5470</v>
      </c>
      <c r="H55" s="161">
        <v>3118.0909999999999</v>
      </c>
      <c r="I55" s="161">
        <v>34.640500000000003</v>
      </c>
      <c r="J55" s="2"/>
      <c r="K55" s="14"/>
    </row>
    <row r="56" spans="3:15">
      <c r="E56" s="2"/>
      <c r="F56" s="160">
        <v>45986</v>
      </c>
      <c r="G56" s="164">
        <v>1363.0000000018626</v>
      </c>
      <c r="H56" s="161">
        <v>688.76509999999996</v>
      </c>
      <c r="I56" s="161">
        <v>40.198270000000001</v>
      </c>
      <c r="J56" s="2"/>
      <c r="K56" s="14"/>
    </row>
    <row r="57" spans="3:15">
      <c r="E57" s="2"/>
      <c r="F57" s="160">
        <v>45987</v>
      </c>
      <c r="G57" s="165">
        <v>2733.7666666638106</v>
      </c>
      <c r="H57" s="161">
        <v>1441.3230000000001</v>
      </c>
      <c r="I57" s="161">
        <v>52.839060000000003</v>
      </c>
      <c r="J57" s="2"/>
      <c r="K57" s="14"/>
    </row>
    <row r="58" spans="3:15">
      <c r="E58" s="2"/>
      <c r="F58" s="160">
        <v>45988</v>
      </c>
      <c r="G58" s="165">
        <v>6047.6619047634304</v>
      </c>
      <c r="H58" s="161">
        <v>3343.5859999999998</v>
      </c>
      <c r="I58" s="161">
        <v>41.369129999999998</v>
      </c>
      <c r="J58" s="2"/>
      <c r="K58" s="14"/>
    </row>
    <row r="59" spans="3:15">
      <c r="E59" s="2"/>
      <c r="F59" s="160">
        <v>45989</v>
      </c>
      <c r="G59" s="165">
        <v>4505.5714285708964</v>
      </c>
      <c r="H59" s="161">
        <v>2738.3119999999999</v>
      </c>
      <c r="I59" s="161">
        <v>34.311360000000001</v>
      </c>
      <c r="J59" s="2"/>
      <c r="K59" s="14"/>
    </row>
    <row r="60" spans="3:15">
      <c r="E60" s="2"/>
      <c r="F60" s="160">
        <v>45990</v>
      </c>
      <c r="G60" s="164">
        <v>7831</v>
      </c>
      <c r="H60" s="161">
        <v>4674.7330000000002</v>
      </c>
      <c r="I60" s="161">
        <v>31.366330000000001</v>
      </c>
      <c r="J60" s="2"/>
      <c r="K60" s="14"/>
    </row>
    <row r="61" spans="3:15">
      <c r="E61" s="2"/>
      <c r="F61" s="160">
        <v>45991</v>
      </c>
      <c r="G61" s="164">
        <v>670</v>
      </c>
      <c r="H61" s="161">
        <v>349.27280000000002</v>
      </c>
      <c r="I61" s="161">
        <v>32.494390000000003</v>
      </c>
      <c r="J61" s="2"/>
      <c r="K61" s="14"/>
    </row>
    <row r="62" spans="3:15" s="2" customFormat="1">
      <c r="F62" s="157"/>
      <c r="G62" s="155"/>
      <c r="H62" s="155"/>
      <c r="I62" s="156"/>
      <c r="K62" s="14"/>
    </row>
    <row r="63" spans="3:15">
      <c r="F63" s="143"/>
      <c r="G63" s="137"/>
      <c r="H63" s="2"/>
      <c r="I63" s="2"/>
    </row>
    <row r="64" spans="3:15">
      <c r="C64" s="182" t="s">
        <v>33</v>
      </c>
      <c r="D64" s="183"/>
      <c r="E64" s="183"/>
      <c r="F64" s="183"/>
      <c r="G64" s="183"/>
      <c r="H64" s="183"/>
      <c r="I64" s="183"/>
      <c r="J64" s="183"/>
      <c r="K64" s="183"/>
      <c r="L64" s="184"/>
    </row>
    <row r="65" spans="3:12" ht="15" customHeight="1">
      <c r="C65" s="199"/>
      <c r="D65" s="200"/>
      <c r="E65" s="200"/>
      <c r="F65" s="200"/>
      <c r="G65" s="200"/>
      <c r="H65" s="200"/>
      <c r="I65" s="200"/>
      <c r="J65" s="200"/>
      <c r="K65" s="200"/>
      <c r="L65" s="201"/>
    </row>
    <row r="66" spans="3:12">
      <c r="C66" s="202"/>
      <c r="D66" s="203"/>
      <c r="E66" s="203"/>
      <c r="F66" s="203"/>
      <c r="G66" s="203"/>
      <c r="H66" s="203"/>
      <c r="I66" s="203"/>
      <c r="J66" s="203"/>
      <c r="K66" s="203"/>
      <c r="L66" s="204"/>
    </row>
    <row r="67" spans="3:12">
      <c r="C67" s="205"/>
      <c r="D67" s="206"/>
      <c r="E67" s="206"/>
      <c r="F67" s="206"/>
      <c r="G67" s="206"/>
      <c r="H67" s="206"/>
      <c r="I67" s="206"/>
      <c r="J67" s="206"/>
      <c r="K67" s="206"/>
      <c r="L67" s="207"/>
    </row>
    <row r="69" spans="3:12">
      <c r="C69" s="187" t="s">
        <v>34</v>
      </c>
      <c r="D69" s="188"/>
      <c r="E69" s="188"/>
      <c r="F69" s="188"/>
      <c r="G69" s="188"/>
      <c r="H69" s="188"/>
      <c r="I69" s="188"/>
      <c r="J69" s="188"/>
      <c r="K69" s="188"/>
      <c r="L69" s="189"/>
    </row>
    <row r="70" spans="3:12" ht="14.85" customHeight="1">
      <c r="C70" s="190" t="s">
        <v>35</v>
      </c>
      <c r="D70" s="191"/>
      <c r="E70" s="191"/>
      <c r="F70" s="191"/>
      <c r="G70" s="191"/>
      <c r="H70" s="191"/>
      <c r="I70" s="191"/>
      <c r="J70" s="191"/>
      <c r="K70" s="191"/>
      <c r="L70" s="192"/>
    </row>
    <row r="71" spans="3:12" ht="31.15" customHeight="1">
      <c r="C71" s="193"/>
      <c r="D71" s="194"/>
      <c r="E71" s="194"/>
      <c r="F71" s="194"/>
      <c r="G71" s="194"/>
      <c r="H71" s="194"/>
      <c r="I71" s="194"/>
      <c r="J71" s="194"/>
      <c r="K71" s="194"/>
      <c r="L71" s="195"/>
    </row>
    <row r="72" spans="3:12" ht="27" customHeight="1">
      <c r="C72" s="196"/>
      <c r="D72" s="197"/>
      <c r="E72" s="197"/>
      <c r="F72" s="197"/>
      <c r="G72" s="197"/>
      <c r="H72" s="197"/>
      <c r="I72" s="197"/>
      <c r="J72" s="197"/>
      <c r="K72" s="197"/>
      <c r="L72" s="198"/>
    </row>
  </sheetData>
  <mergeCells count="19">
    <mergeCell ref="C69:L69"/>
    <mergeCell ref="C64:L64"/>
    <mergeCell ref="E13:I13"/>
    <mergeCell ref="F30:I30"/>
    <mergeCell ref="C70:L72"/>
    <mergeCell ref="C65:L67"/>
    <mergeCell ref="E8:I8"/>
    <mergeCell ref="E9:I9"/>
    <mergeCell ref="E10:I10"/>
    <mergeCell ref="E11:I11"/>
    <mergeCell ref="C16:L16"/>
    <mergeCell ref="E14:I14"/>
    <mergeCell ref="E12:I12"/>
    <mergeCell ref="E7:I7"/>
    <mergeCell ref="E1:J1"/>
    <mergeCell ref="E2:J2"/>
    <mergeCell ref="E3:J3"/>
    <mergeCell ref="C5:L5"/>
    <mergeCell ref="E6:I6"/>
  </mergeCells>
  <pageMargins left="0.7" right="0.7" top="0.75" bottom="0.75" header="0.3" footer="0.3"/>
  <pageSetup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3"/>
  <sheetViews>
    <sheetView zoomScale="85" zoomScaleNormal="85" workbookViewId="0">
      <selection activeCell="C65" sqref="C65"/>
    </sheetView>
  </sheetViews>
  <sheetFormatPr defaultRowHeight="14.4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">
      <c r="E1" s="178" t="s">
        <v>36</v>
      </c>
      <c r="F1" s="178"/>
      <c r="G1" s="178"/>
      <c r="H1" s="178"/>
      <c r="I1" s="178"/>
      <c r="J1" s="178"/>
    </row>
    <row r="2" spans="3:18">
      <c r="E2" s="179" t="s">
        <v>23</v>
      </c>
      <c r="F2" s="179"/>
      <c r="G2" s="179"/>
      <c r="H2" s="179"/>
      <c r="I2" s="179"/>
      <c r="J2" s="179"/>
    </row>
    <row r="3" spans="3:18" ht="14.25" customHeight="1">
      <c r="E3" s="180" t="s">
        <v>37</v>
      </c>
      <c r="F3" s="181"/>
      <c r="G3" s="181"/>
      <c r="H3" s="181"/>
      <c r="I3" s="181"/>
      <c r="J3" s="181"/>
    </row>
    <row r="5" spans="3:18">
      <c r="C5" s="182" t="s">
        <v>25</v>
      </c>
      <c r="D5" s="183"/>
      <c r="E5" s="183"/>
      <c r="F5" s="183"/>
      <c r="G5" s="183"/>
      <c r="H5" s="183"/>
      <c r="I5" s="183"/>
      <c r="J5" s="183"/>
      <c r="K5" s="183"/>
      <c r="L5" s="184"/>
      <c r="R5" s="26"/>
    </row>
    <row r="6" spans="3:18">
      <c r="C6" s="20"/>
      <c r="D6" s="21"/>
      <c r="E6" s="173" t="s">
        <v>2</v>
      </c>
      <c r="F6" s="173"/>
      <c r="G6" s="173"/>
      <c r="H6" s="173"/>
      <c r="I6" s="173"/>
      <c r="J6" s="22">
        <f>SUM(G32:G61)</f>
        <v>223189.5</v>
      </c>
      <c r="K6" s="2"/>
      <c r="L6" s="23"/>
      <c r="R6" s="26"/>
    </row>
    <row r="7" spans="3:18">
      <c r="C7" s="3"/>
      <c r="D7" s="2"/>
      <c r="E7" s="177" t="s">
        <v>4</v>
      </c>
      <c r="F7" s="177"/>
      <c r="G7" s="177"/>
      <c r="H7" s="177"/>
      <c r="I7" s="177"/>
      <c r="J7" s="8">
        <f>'Predicted Data'!D15</f>
        <v>204482.1</v>
      </c>
      <c r="K7" s="69"/>
      <c r="L7" s="4"/>
      <c r="R7" s="26"/>
    </row>
    <row r="8" spans="3:18" ht="16.149999999999999">
      <c r="C8" s="3"/>
      <c r="D8" s="2"/>
      <c r="E8" s="177" t="s">
        <v>6</v>
      </c>
      <c r="F8" s="177"/>
      <c r="G8" s="177"/>
      <c r="H8" s="177"/>
      <c r="I8" s="177"/>
      <c r="J8" s="8">
        <f>SUM(H32:H61)</f>
        <v>73439.031699999992</v>
      </c>
      <c r="K8" s="2"/>
      <c r="L8" s="4"/>
      <c r="R8" s="26"/>
    </row>
    <row r="9" spans="3:18" ht="16.149999999999999">
      <c r="C9" s="3"/>
      <c r="D9" s="2"/>
      <c r="E9" s="177" t="s">
        <v>8</v>
      </c>
      <c r="F9" s="177"/>
      <c r="G9" s="177"/>
      <c r="H9" s="177"/>
      <c r="I9" s="177"/>
      <c r="J9" s="79"/>
      <c r="K9" s="69"/>
      <c r="L9" s="4"/>
      <c r="R9" s="44"/>
    </row>
    <row r="10" spans="3:18">
      <c r="C10" s="3"/>
      <c r="D10" s="2"/>
      <c r="E10" s="177" t="s">
        <v>10</v>
      </c>
      <c r="F10" s="177"/>
      <c r="G10" s="177"/>
      <c r="H10" s="177"/>
      <c r="I10" s="177"/>
      <c r="J10" s="84">
        <f>'Plant Health'!E107</f>
        <v>219149.50599999999</v>
      </c>
      <c r="K10" s="2"/>
      <c r="L10" s="4"/>
      <c r="R10" s="26"/>
    </row>
    <row r="11" spans="3:18">
      <c r="C11" s="3"/>
      <c r="D11" s="2"/>
      <c r="E11" s="177" t="s">
        <v>12</v>
      </c>
      <c r="F11" s="177"/>
      <c r="G11" s="177"/>
      <c r="H11" s="177"/>
      <c r="I11" s="177"/>
      <c r="J11" s="31">
        <f>J6/J10</f>
        <v>1.0184348761434123</v>
      </c>
      <c r="K11" s="2"/>
      <c r="L11" s="4"/>
      <c r="R11" s="26"/>
    </row>
    <row r="12" spans="3:18">
      <c r="C12" s="3"/>
      <c r="D12" s="2"/>
      <c r="E12" s="177" t="s">
        <v>16</v>
      </c>
      <c r="F12" s="177"/>
      <c r="G12" s="177"/>
      <c r="H12" s="177"/>
      <c r="I12" s="177"/>
      <c r="J12" s="31">
        <f>J6/J7</f>
        <v>1.0914867364918495</v>
      </c>
      <c r="K12" s="2"/>
      <c r="L12" s="4"/>
      <c r="R12" s="26"/>
    </row>
    <row r="13" spans="3:18">
      <c r="C13" s="3"/>
      <c r="D13" s="2"/>
      <c r="E13" s="177" t="s">
        <v>18</v>
      </c>
      <c r="F13" s="177"/>
      <c r="G13" s="177"/>
      <c r="H13" s="177"/>
      <c r="I13" s="177"/>
      <c r="J13" s="31">
        <f>Availability!I48</f>
        <v>1</v>
      </c>
      <c r="K13" s="2"/>
      <c r="L13" s="4"/>
      <c r="R13" s="26"/>
    </row>
    <row r="14" spans="3:18">
      <c r="C14" s="5"/>
      <c r="D14" s="6"/>
      <c r="E14" s="186" t="s">
        <v>20</v>
      </c>
      <c r="F14" s="186"/>
      <c r="G14" s="186"/>
      <c r="H14" s="186"/>
      <c r="I14" s="186"/>
      <c r="J14" s="9">
        <f>Availability!I50</f>
        <v>0.99851439393939401</v>
      </c>
      <c r="K14" s="6"/>
      <c r="L14" s="7"/>
      <c r="R14" s="26"/>
    </row>
    <row r="15" spans="3:18">
      <c r="R15" s="26"/>
    </row>
    <row r="16" spans="3:18">
      <c r="C16" s="182" t="s">
        <v>27</v>
      </c>
      <c r="D16" s="183"/>
      <c r="E16" s="183"/>
      <c r="F16" s="183"/>
      <c r="G16" s="183"/>
      <c r="H16" s="183"/>
      <c r="I16" s="183"/>
      <c r="J16" s="183"/>
      <c r="K16" s="183"/>
      <c r="L16" s="184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208" t="s">
        <v>28</v>
      </c>
      <c r="G30" s="208"/>
      <c r="H30" s="208"/>
      <c r="I30" s="209"/>
      <c r="J30" s="11"/>
      <c r="K30" s="11"/>
      <c r="L30" s="11"/>
      <c r="R30" s="26"/>
    </row>
    <row r="31" spans="5:24" s="10" customFormat="1" ht="44.1" customHeight="1">
      <c r="E31" s="13"/>
      <c r="F31" s="138" t="s">
        <v>29</v>
      </c>
      <c r="G31" s="162" t="s">
        <v>30</v>
      </c>
      <c r="H31" s="163" t="s">
        <v>31</v>
      </c>
      <c r="I31" s="162" t="s">
        <v>32</v>
      </c>
      <c r="J31" s="12"/>
      <c r="K31" s="13"/>
      <c r="R31" s="45"/>
      <c r="X31"/>
    </row>
    <row r="32" spans="5:24">
      <c r="E32" s="2"/>
      <c r="F32" s="154">
        <v>45962</v>
      </c>
      <c r="G32" s="161">
        <v>14110.5</v>
      </c>
      <c r="H32" s="161">
        <v>4701.8019999999997</v>
      </c>
      <c r="I32" s="161">
        <v>47.466589999999997</v>
      </c>
      <c r="J32" s="14"/>
      <c r="K32" s="14"/>
      <c r="R32" s="26"/>
    </row>
    <row r="33" spans="5:18">
      <c r="E33" s="2"/>
      <c r="F33" s="154">
        <v>45963</v>
      </c>
      <c r="G33" s="161">
        <v>14237.5</v>
      </c>
      <c r="H33" s="161">
        <v>4720.2079999999996</v>
      </c>
      <c r="I33" s="161">
        <v>39.307749999999999</v>
      </c>
      <c r="J33" s="14"/>
      <c r="K33" s="14"/>
      <c r="R33" s="26"/>
    </row>
    <row r="34" spans="5:18">
      <c r="E34" s="2"/>
      <c r="F34" s="154">
        <v>45964</v>
      </c>
      <c r="G34" s="161">
        <v>3509.5</v>
      </c>
      <c r="H34" s="161">
        <v>1087.2149999999999</v>
      </c>
      <c r="I34" s="161">
        <v>45.18573</v>
      </c>
      <c r="J34" s="14"/>
      <c r="K34" s="14"/>
      <c r="R34" s="26"/>
    </row>
    <row r="35" spans="5:18">
      <c r="E35" s="2"/>
      <c r="F35" s="154">
        <v>45965</v>
      </c>
      <c r="G35" s="161">
        <v>14388.5</v>
      </c>
      <c r="H35" s="161">
        <v>4783.5140000000001</v>
      </c>
      <c r="I35" s="161">
        <v>45.408650000000002</v>
      </c>
      <c r="J35" s="14"/>
      <c r="K35" s="14"/>
      <c r="R35" s="26"/>
    </row>
    <row r="36" spans="5:18">
      <c r="E36" s="2"/>
      <c r="F36" s="154">
        <v>45966</v>
      </c>
      <c r="G36" s="161">
        <v>5783.5</v>
      </c>
      <c r="H36" s="161">
        <v>1835.7080000000001</v>
      </c>
      <c r="I36" s="161">
        <v>49.155470000000001</v>
      </c>
      <c r="J36" s="14"/>
      <c r="K36" s="14"/>
      <c r="R36" s="26"/>
    </row>
    <row r="37" spans="5:18">
      <c r="E37" s="2"/>
      <c r="F37" s="154">
        <v>45967</v>
      </c>
      <c r="G37" s="161">
        <v>9419</v>
      </c>
      <c r="H37" s="161">
        <v>3194.248</v>
      </c>
      <c r="I37" s="161">
        <v>43.363010000000003</v>
      </c>
      <c r="J37" s="14"/>
      <c r="K37" s="14"/>
      <c r="R37" s="26"/>
    </row>
    <row r="38" spans="5:18">
      <c r="E38" s="2"/>
      <c r="F38" s="154">
        <v>45968</v>
      </c>
      <c r="G38" s="161">
        <v>10307</v>
      </c>
      <c r="H38" s="161">
        <v>3327.8629999999998</v>
      </c>
      <c r="I38" s="161">
        <v>42.90775</v>
      </c>
      <c r="J38" s="14"/>
      <c r="K38" s="14"/>
    </row>
    <row r="39" spans="5:18">
      <c r="E39" s="2"/>
      <c r="F39" s="154">
        <v>45969</v>
      </c>
      <c r="G39" s="161">
        <v>7162.5</v>
      </c>
      <c r="H39" s="161">
        <v>2481.9369999999999</v>
      </c>
      <c r="I39" s="161">
        <v>52.945970000000003</v>
      </c>
      <c r="J39" s="14"/>
      <c r="K39" s="14"/>
    </row>
    <row r="40" spans="5:18">
      <c r="E40" s="2"/>
      <c r="F40" s="154">
        <v>45970</v>
      </c>
      <c r="G40" s="161">
        <v>4264</v>
      </c>
      <c r="H40" s="161">
        <v>1385.9670000000001</v>
      </c>
      <c r="I40" s="161">
        <v>51.119</v>
      </c>
      <c r="J40" s="14"/>
      <c r="K40" s="14"/>
    </row>
    <row r="41" spans="5:18">
      <c r="E41" s="2"/>
      <c r="F41" s="154">
        <v>45971</v>
      </c>
      <c r="G41" s="161">
        <v>1167</v>
      </c>
      <c r="H41" s="161">
        <v>368.93979999999999</v>
      </c>
      <c r="I41" s="161">
        <v>50.583489999999998</v>
      </c>
      <c r="J41" s="14"/>
      <c r="K41" s="14"/>
    </row>
    <row r="42" spans="5:18">
      <c r="E42" s="2"/>
      <c r="F42" s="154">
        <v>45972</v>
      </c>
      <c r="G42" s="161">
        <v>5354.5</v>
      </c>
      <c r="H42" s="161">
        <v>1695.2670000000001</v>
      </c>
      <c r="I42" s="161">
        <v>33.684849999999997</v>
      </c>
      <c r="J42" s="14"/>
      <c r="K42" s="14"/>
    </row>
    <row r="43" spans="5:18">
      <c r="E43" s="2"/>
      <c r="F43" s="154">
        <v>45973</v>
      </c>
      <c r="G43" s="161">
        <v>5049.5</v>
      </c>
      <c r="H43" s="161">
        <v>1637.4010000000001</v>
      </c>
      <c r="I43" s="161">
        <v>38.979370000000003</v>
      </c>
      <c r="J43" s="14"/>
      <c r="K43" s="14"/>
    </row>
    <row r="44" spans="5:18">
      <c r="E44" s="2"/>
      <c r="F44" s="154">
        <v>45974</v>
      </c>
      <c r="G44" s="161">
        <v>3821.5</v>
      </c>
      <c r="H44" s="161">
        <v>1264.27</v>
      </c>
      <c r="I44" s="161">
        <v>41.33426</v>
      </c>
      <c r="J44" s="14"/>
      <c r="K44" s="14"/>
    </row>
    <row r="45" spans="5:18">
      <c r="E45" s="2"/>
      <c r="F45" s="154">
        <v>45975</v>
      </c>
      <c r="G45" s="161">
        <v>8037</v>
      </c>
      <c r="H45" s="161">
        <v>2630.2710000000002</v>
      </c>
      <c r="I45" s="161">
        <v>37.383299999999998</v>
      </c>
      <c r="J45" s="14"/>
      <c r="K45" s="14"/>
    </row>
    <row r="46" spans="5:18">
      <c r="E46" s="2"/>
      <c r="F46" s="154">
        <v>45976</v>
      </c>
      <c r="G46" s="161">
        <v>12699</v>
      </c>
      <c r="H46" s="161">
        <v>4254.3429999999998</v>
      </c>
      <c r="I46" s="161">
        <v>37.010770000000001</v>
      </c>
      <c r="J46" s="14"/>
      <c r="K46" s="14"/>
    </row>
    <row r="47" spans="5:18">
      <c r="E47" s="2"/>
      <c r="F47" s="154">
        <v>45977</v>
      </c>
      <c r="G47" s="161">
        <v>9754</v>
      </c>
      <c r="H47" s="161">
        <v>3257.605</v>
      </c>
      <c r="I47" s="161">
        <v>44.440219999999997</v>
      </c>
      <c r="J47" s="14"/>
      <c r="K47" s="14"/>
    </row>
    <row r="48" spans="5:18">
      <c r="E48" s="2"/>
      <c r="F48" s="154">
        <v>45978</v>
      </c>
      <c r="G48" s="161">
        <v>10826</v>
      </c>
      <c r="H48" s="161">
        <v>3579.7</v>
      </c>
      <c r="I48" s="161">
        <v>35.082329999999999</v>
      </c>
      <c r="J48" s="14"/>
      <c r="K48" s="14"/>
    </row>
    <row r="49" spans="3:12">
      <c r="E49" s="2"/>
      <c r="F49" s="154">
        <v>45979</v>
      </c>
      <c r="G49" s="161">
        <v>6235.5</v>
      </c>
      <c r="H49" s="161">
        <v>2271.4189999999999</v>
      </c>
      <c r="I49" s="161">
        <v>34.521740000000001</v>
      </c>
      <c r="J49" s="14"/>
      <c r="K49" s="14"/>
    </row>
    <row r="50" spans="3:12">
      <c r="E50" s="2"/>
      <c r="F50" s="154">
        <v>45980</v>
      </c>
      <c r="G50" s="161">
        <v>10970.5</v>
      </c>
      <c r="H50" s="161">
        <v>3638.261</v>
      </c>
      <c r="I50" s="161">
        <v>31.759219999999999</v>
      </c>
      <c r="J50" s="14"/>
      <c r="K50" s="14"/>
    </row>
    <row r="51" spans="3:12">
      <c r="E51" s="2"/>
      <c r="F51" s="154">
        <v>45981</v>
      </c>
      <c r="G51" s="161">
        <v>8245.5</v>
      </c>
      <c r="H51" s="161">
        <v>2681.357</v>
      </c>
      <c r="I51" s="161">
        <v>32.290109999999999</v>
      </c>
      <c r="J51" s="14"/>
      <c r="K51" s="14"/>
    </row>
    <row r="52" spans="3:12">
      <c r="E52" s="2"/>
      <c r="F52" s="154">
        <v>45982</v>
      </c>
      <c r="G52" s="161">
        <v>2908.5</v>
      </c>
      <c r="H52" s="161">
        <v>840.92930000000001</v>
      </c>
      <c r="I52" s="161">
        <v>35.517139999999998</v>
      </c>
      <c r="J52" s="14"/>
      <c r="K52" s="14"/>
    </row>
    <row r="53" spans="3:12">
      <c r="E53" s="2"/>
      <c r="F53" s="154">
        <v>45983</v>
      </c>
      <c r="G53" s="161">
        <v>2324.5</v>
      </c>
      <c r="H53" s="161">
        <v>730.18290000000002</v>
      </c>
      <c r="I53" s="161">
        <v>39.430340000000001</v>
      </c>
      <c r="J53" s="14"/>
      <c r="K53" s="14"/>
    </row>
    <row r="54" spans="3:12">
      <c r="E54" s="2"/>
      <c r="F54" s="154">
        <v>45984</v>
      </c>
      <c r="G54" s="161">
        <v>4479</v>
      </c>
      <c r="H54" s="161">
        <v>1384.789</v>
      </c>
      <c r="I54" s="161">
        <v>31.546600000000002</v>
      </c>
      <c r="J54" s="14"/>
      <c r="K54" s="14"/>
    </row>
    <row r="55" spans="3:12">
      <c r="E55" s="2"/>
      <c r="F55" s="154">
        <v>45985</v>
      </c>
      <c r="G55" s="161">
        <v>10943.5</v>
      </c>
      <c r="H55" s="161">
        <v>3628.922</v>
      </c>
      <c r="I55" s="161">
        <v>37.049219999999998</v>
      </c>
      <c r="J55" s="14"/>
      <c r="K55" s="14"/>
    </row>
    <row r="56" spans="3:12">
      <c r="E56" s="2"/>
      <c r="F56" s="154">
        <v>45986</v>
      </c>
      <c r="G56" s="161">
        <v>3018</v>
      </c>
      <c r="H56" s="161">
        <v>896.17660000000001</v>
      </c>
      <c r="I56" s="161">
        <v>42.261009999999999</v>
      </c>
      <c r="J56" s="14"/>
      <c r="K56" s="14"/>
    </row>
    <row r="57" spans="3:12">
      <c r="E57" s="2"/>
      <c r="F57" s="154">
        <v>45987</v>
      </c>
      <c r="G57" s="161">
        <v>2084.5</v>
      </c>
      <c r="H57" s="161">
        <v>643.07069999999999</v>
      </c>
      <c r="I57" s="161">
        <v>55.900759999999998</v>
      </c>
      <c r="J57" s="14"/>
      <c r="K57" s="14"/>
    </row>
    <row r="58" spans="3:12">
      <c r="E58" s="2"/>
      <c r="F58" s="154">
        <v>45988</v>
      </c>
      <c r="G58" s="161">
        <v>9843.5</v>
      </c>
      <c r="H58" s="161">
        <v>3318.2820000000002</v>
      </c>
      <c r="I58" s="161">
        <v>40.775709999999997</v>
      </c>
      <c r="J58" s="14"/>
      <c r="K58" s="14"/>
    </row>
    <row r="59" spans="3:12">
      <c r="E59" s="2"/>
      <c r="F59" s="154">
        <v>45989</v>
      </c>
      <c r="G59" s="161">
        <v>9257.5</v>
      </c>
      <c r="H59" s="161">
        <v>2991.7249999999999</v>
      </c>
      <c r="I59" s="161">
        <v>34.969149999999999</v>
      </c>
      <c r="J59" s="14"/>
      <c r="K59" s="14"/>
    </row>
    <row r="60" spans="3:12">
      <c r="E60" s="2"/>
      <c r="F60" s="154">
        <v>45990</v>
      </c>
      <c r="G60" s="161">
        <v>11152</v>
      </c>
      <c r="H60" s="161">
        <v>3672.201</v>
      </c>
      <c r="I60" s="161">
        <v>31.316269999999999</v>
      </c>
      <c r="J60" s="14"/>
      <c r="K60" s="14"/>
    </row>
    <row r="61" spans="3:12">
      <c r="E61" s="2"/>
      <c r="F61" s="154">
        <v>45991</v>
      </c>
      <c r="G61" s="161">
        <v>1836.5</v>
      </c>
      <c r="H61" s="161">
        <v>535.45740000000001</v>
      </c>
      <c r="I61" s="161">
        <v>37.557969999999997</v>
      </c>
      <c r="J61" s="14"/>
      <c r="K61" s="14"/>
    </row>
    <row r="62" spans="3:12">
      <c r="F62" s="152"/>
      <c r="G62" s="2"/>
      <c r="H62" s="2"/>
      <c r="I62" s="2"/>
    </row>
    <row r="63" spans="3:12">
      <c r="F63" s="139"/>
      <c r="G63" s="2"/>
      <c r="H63" s="2"/>
      <c r="I63" s="2"/>
    </row>
    <row r="64" spans="3:12">
      <c r="C64" s="187" t="s">
        <v>33</v>
      </c>
      <c r="D64" s="188"/>
      <c r="E64" s="188"/>
      <c r="F64" s="188"/>
      <c r="G64" s="188"/>
      <c r="H64" s="188"/>
      <c r="I64" s="188"/>
      <c r="J64" s="188"/>
      <c r="K64" s="188"/>
      <c r="L64" s="189"/>
    </row>
    <row r="65" spans="3:12" ht="15" customHeight="1">
      <c r="C65" s="199"/>
      <c r="D65" s="200"/>
      <c r="E65" s="200"/>
      <c r="F65" s="200"/>
      <c r="G65" s="200"/>
      <c r="H65" s="200"/>
      <c r="I65" s="200"/>
      <c r="J65" s="200"/>
      <c r="K65" s="200"/>
      <c r="L65" s="201"/>
    </row>
    <row r="66" spans="3:12">
      <c r="C66" s="202"/>
      <c r="D66" s="203"/>
      <c r="E66" s="203"/>
      <c r="F66" s="203"/>
      <c r="G66" s="203"/>
      <c r="H66" s="203"/>
      <c r="I66" s="203"/>
      <c r="J66" s="203"/>
      <c r="K66" s="203"/>
      <c r="L66" s="204"/>
    </row>
    <row r="67" spans="3:12">
      <c r="C67" s="205"/>
      <c r="D67" s="206"/>
      <c r="E67" s="206"/>
      <c r="F67" s="206"/>
      <c r="G67" s="206"/>
      <c r="H67" s="206"/>
      <c r="I67" s="206"/>
      <c r="J67" s="206"/>
      <c r="K67" s="206"/>
      <c r="L67" s="207"/>
    </row>
    <row r="68" spans="3:12"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3:12">
      <c r="C69" s="187" t="s">
        <v>34</v>
      </c>
      <c r="D69" s="188"/>
      <c r="E69" s="188"/>
      <c r="F69" s="188"/>
      <c r="G69" s="188"/>
      <c r="H69" s="188"/>
      <c r="I69" s="188"/>
      <c r="J69" s="188"/>
      <c r="K69" s="188"/>
      <c r="L69" s="189"/>
    </row>
    <row r="70" spans="3:12" ht="14.85" customHeight="1">
      <c r="C70" s="199"/>
      <c r="D70" s="200"/>
      <c r="E70" s="200"/>
      <c r="F70" s="200"/>
      <c r="G70" s="200"/>
      <c r="H70" s="200"/>
      <c r="I70" s="200"/>
      <c r="J70" s="200"/>
      <c r="K70" s="200"/>
      <c r="L70" s="201"/>
    </row>
    <row r="71" spans="3:12">
      <c r="C71" s="202"/>
      <c r="D71" s="203"/>
      <c r="E71" s="203"/>
      <c r="F71" s="203"/>
      <c r="G71" s="203"/>
      <c r="H71" s="203"/>
      <c r="I71" s="203"/>
      <c r="J71" s="203"/>
      <c r="K71" s="203"/>
      <c r="L71" s="204"/>
    </row>
    <row r="72" spans="3:12">
      <c r="C72" s="205"/>
      <c r="D72" s="206"/>
      <c r="E72" s="206"/>
      <c r="F72" s="206"/>
      <c r="G72" s="206"/>
      <c r="H72" s="206"/>
      <c r="I72" s="206"/>
      <c r="J72" s="206"/>
      <c r="K72" s="206"/>
      <c r="L72" s="207"/>
    </row>
    <row r="73" spans="3:12">
      <c r="C73" s="57"/>
      <c r="D73" s="57"/>
      <c r="E73" s="57"/>
      <c r="F73" s="57"/>
      <c r="G73" s="57"/>
      <c r="H73" s="57"/>
      <c r="I73" s="57"/>
      <c r="J73" s="57"/>
      <c r="K73" s="57"/>
      <c r="L73" s="57"/>
    </row>
  </sheetData>
  <mergeCells count="19">
    <mergeCell ref="C70:L72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4:L64"/>
    <mergeCell ref="C69:L69"/>
    <mergeCell ref="C65:L67"/>
    <mergeCell ref="E1:J1"/>
    <mergeCell ref="E2:J2"/>
    <mergeCell ref="E3:J3"/>
    <mergeCell ref="E8:I8"/>
    <mergeCell ref="E9:I9"/>
    <mergeCell ref="E6:I6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2"/>
  <sheetViews>
    <sheetView topLeftCell="B1" zoomScale="80" zoomScaleNormal="80" workbookViewId="0">
      <selection activeCell="Q53" sqref="Q53"/>
    </sheetView>
  </sheetViews>
  <sheetFormatPr defaultColWidth="9" defaultRowHeight="14.4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">
      <c r="E1" s="211" t="s">
        <v>38</v>
      </c>
      <c r="F1" s="211"/>
      <c r="G1" s="211"/>
      <c r="H1" s="211"/>
      <c r="I1" s="211"/>
      <c r="J1" s="211"/>
    </row>
    <row r="2" spans="3:13">
      <c r="E2" s="212" t="s">
        <v>23</v>
      </c>
      <c r="F2" s="212"/>
      <c r="G2" s="212"/>
      <c r="H2" s="212"/>
      <c r="I2" s="212"/>
      <c r="J2" s="212"/>
    </row>
    <row r="3" spans="3:13" ht="14.25" customHeight="1">
      <c r="E3" s="180" t="s">
        <v>37</v>
      </c>
      <c r="F3" s="181"/>
      <c r="G3" s="181"/>
      <c r="H3" s="181"/>
      <c r="I3" s="181"/>
      <c r="J3" s="181"/>
    </row>
    <row r="5" spans="3:13">
      <c r="C5" s="213" t="s">
        <v>25</v>
      </c>
      <c r="D5" s="214"/>
      <c r="E5" s="214"/>
      <c r="F5" s="214"/>
      <c r="G5" s="214"/>
      <c r="H5" s="214"/>
      <c r="I5" s="214"/>
      <c r="J5" s="214"/>
      <c r="K5" s="214"/>
      <c r="L5" s="215"/>
    </row>
    <row r="6" spans="3:13">
      <c r="C6" s="107"/>
      <c r="D6" s="108"/>
      <c r="E6" s="216" t="s">
        <v>2</v>
      </c>
      <c r="F6" s="216"/>
      <c r="G6" s="216"/>
      <c r="H6" s="216"/>
      <c r="I6" s="216"/>
      <c r="J6" s="109">
        <f>SUM(G32:G61)</f>
        <v>346267</v>
      </c>
      <c r="K6" s="108"/>
      <c r="L6" s="110"/>
    </row>
    <row r="7" spans="3:13">
      <c r="C7" s="111"/>
      <c r="E7" s="210" t="s">
        <v>4</v>
      </c>
      <c r="F7" s="210"/>
      <c r="G7" s="210"/>
      <c r="H7" s="210"/>
      <c r="I7" s="210"/>
      <c r="J7" s="112">
        <f>'Predicted Data'!D39</f>
        <v>378158</v>
      </c>
      <c r="K7" s="113"/>
      <c r="L7" s="114"/>
    </row>
    <row r="8" spans="3:13" ht="16.149999999999999">
      <c r="C8" s="111"/>
      <c r="E8" s="210" t="s">
        <v>6</v>
      </c>
      <c r="F8" s="210"/>
      <c r="G8" s="210"/>
      <c r="H8" s="210"/>
      <c r="I8" s="210"/>
      <c r="J8" s="112">
        <f>SUM(H32:H61)</f>
        <v>126276.41770000002</v>
      </c>
      <c r="L8" s="114"/>
    </row>
    <row r="9" spans="3:13" ht="16.149999999999999">
      <c r="C9" s="111"/>
      <c r="E9" s="210" t="s">
        <v>8</v>
      </c>
      <c r="F9" s="210"/>
      <c r="G9" s="210"/>
      <c r="H9" s="210"/>
      <c r="I9" s="210"/>
      <c r="J9" s="115"/>
      <c r="K9" s="113"/>
      <c r="L9" s="114"/>
    </row>
    <row r="10" spans="3:13">
      <c r="C10" s="111"/>
      <c r="E10" s="210" t="s">
        <v>10</v>
      </c>
      <c r="F10" s="210"/>
      <c r="G10" s="210"/>
      <c r="H10" s="210"/>
      <c r="I10" s="210"/>
      <c r="J10" s="116">
        <f>'Plant Health'!K107</f>
        <v>334635.44469999999</v>
      </c>
      <c r="L10" s="114"/>
    </row>
    <row r="11" spans="3:13">
      <c r="C11" s="111"/>
      <c r="E11" s="210" t="s">
        <v>12</v>
      </c>
      <c r="F11" s="210"/>
      <c r="G11" s="210"/>
      <c r="H11" s="210"/>
      <c r="I11" s="210"/>
      <c r="J11" s="117">
        <f>J6/J10</f>
        <v>1.0347588860780355</v>
      </c>
      <c r="L11" s="114"/>
      <c r="M11" s="118"/>
    </row>
    <row r="12" spans="3:13">
      <c r="C12" s="111"/>
      <c r="E12" s="210" t="s">
        <v>16</v>
      </c>
      <c r="F12" s="210"/>
      <c r="G12" s="210"/>
      <c r="H12" s="210"/>
      <c r="I12" s="210"/>
      <c r="J12" s="117">
        <f>J6/J7</f>
        <v>0.91566752521432837</v>
      </c>
      <c r="L12" s="114"/>
    </row>
    <row r="13" spans="3:13">
      <c r="C13" s="111"/>
      <c r="E13" s="210" t="s">
        <v>18</v>
      </c>
      <c r="F13" s="210"/>
      <c r="G13" s="210"/>
      <c r="H13" s="210"/>
      <c r="I13" s="210"/>
      <c r="J13" s="117">
        <f>Availability!K48</f>
        <v>0.99880000000000002</v>
      </c>
      <c r="L13" s="114"/>
    </row>
    <row r="14" spans="3:13">
      <c r="C14" s="119"/>
      <c r="D14" s="120"/>
      <c r="E14" s="226" t="s">
        <v>20</v>
      </c>
      <c r="F14" s="226"/>
      <c r="G14" s="226"/>
      <c r="H14" s="226"/>
      <c r="I14" s="226"/>
      <c r="J14" s="121">
        <f>Availability!K50</f>
        <v>0.99691075757575753</v>
      </c>
      <c r="K14" s="120"/>
      <c r="L14" s="122"/>
    </row>
    <row r="16" spans="3:13">
      <c r="C16" s="213" t="s">
        <v>27</v>
      </c>
      <c r="D16" s="214"/>
      <c r="E16" s="214"/>
      <c r="F16" s="214"/>
      <c r="G16" s="214"/>
      <c r="H16" s="214"/>
      <c r="I16" s="214"/>
      <c r="J16" s="214"/>
      <c r="K16" s="214"/>
      <c r="L16" s="215"/>
    </row>
    <row r="30" spans="5:12">
      <c r="E30" s="123"/>
      <c r="F30" s="227" t="s">
        <v>28</v>
      </c>
      <c r="G30" s="227"/>
      <c r="H30" s="227"/>
      <c r="I30" s="227"/>
      <c r="J30" s="123"/>
      <c r="K30" s="123"/>
      <c r="L30" s="123"/>
    </row>
    <row r="31" spans="5:12" s="126" customFormat="1" ht="44.1" customHeight="1">
      <c r="E31" s="124"/>
      <c r="F31" s="125" t="s">
        <v>29</v>
      </c>
      <c r="G31" s="141" t="s">
        <v>30</v>
      </c>
      <c r="H31" s="141" t="s">
        <v>31</v>
      </c>
      <c r="I31" s="141" t="s">
        <v>32</v>
      </c>
      <c r="K31" s="124"/>
    </row>
    <row r="32" spans="5:12">
      <c r="F32" s="140">
        <v>45962</v>
      </c>
      <c r="G32" s="161">
        <v>10379</v>
      </c>
      <c r="H32" s="161">
        <v>3428.806</v>
      </c>
      <c r="I32" s="161">
        <v>59.413260000000001</v>
      </c>
      <c r="K32" s="127"/>
    </row>
    <row r="33" spans="6:11">
      <c r="F33" s="140">
        <v>45963</v>
      </c>
      <c r="G33" s="161">
        <v>16865</v>
      </c>
      <c r="H33" s="161">
        <v>5861.2950000000001</v>
      </c>
      <c r="I33" s="161">
        <v>55.767290000000003</v>
      </c>
      <c r="K33" s="127"/>
    </row>
    <row r="34" spans="6:11">
      <c r="F34" s="140">
        <v>45964</v>
      </c>
      <c r="G34" s="161">
        <v>15497</v>
      </c>
      <c r="H34" s="161">
        <v>5860.7129999999997</v>
      </c>
      <c r="I34" s="161">
        <v>63.671349999999997</v>
      </c>
      <c r="K34" s="127"/>
    </row>
    <row r="35" spans="6:11">
      <c r="F35" s="140">
        <v>45965</v>
      </c>
      <c r="G35" s="161">
        <v>15503</v>
      </c>
      <c r="H35" s="161">
        <v>5773.1509999999998</v>
      </c>
      <c r="I35" s="161">
        <v>65.654169999999993</v>
      </c>
      <c r="K35" s="127"/>
    </row>
    <row r="36" spans="6:11">
      <c r="F36" s="140">
        <v>45966</v>
      </c>
      <c r="G36" s="161">
        <v>14627</v>
      </c>
      <c r="H36" s="161">
        <v>5505.5029999999997</v>
      </c>
      <c r="I36" s="161">
        <v>67.024190000000004</v>
      </c>
      <c r="K36" s="127"/>
    </row>
    <row r="37" spans="6:11">
      <c r="F37" s="140">
        <v>45967</v>
      </c>
      <c r="G37" s="161">
        <v>14218</v>
      </c>
      <c r="H37" s="161">
        <v>5381.0190000000002</v>
      </c>
      <c r="I37" s="161">
        <v>70.431899999999999</v>
      </c>
      <c r="K37" s="127"/>
    </row>
    <row r="38" spans="6:11">
      <c r="F38" s="140">
        <v>45968</v>
      </c>
      <c r="G38" s="161">
        <v>14015</v>
      </c>
      <c r="H38" s="161">
        <v>5330.9579999999996</v>
      </c>
      <c r="I38" s="161">
        <v>67.371859999999998</v>
      </c>
      <c r="K38" s="127"/>
    </row>
    <row r="39" spans="6:11">
      <c r="F39" s="140">
        <v>45969</v>
      </c>
      <c r="G39" s="161">
        <v>13999</v>
      </c>
      <c r="H39" s="161">
        <v>5307.2969999999996</v>
      </c>
      <c r="I39" s="161">
        <v>63.475560000000002</v>
      </c>
      <c r="K39" s="127"/>
    </row>
    <row r="40" spans="6:11">
      <c r="F40" s="140">
        <v>45970</v>
      </c>
      <c r="G40" s="161">
        <v>15400</v>
      </c>
      <c r="H40" s="161">
        <v>5845.2560000000003</v>
      </c>
      <c r="I40" s="161">
        <v>51.632399999999997</v>
      </c>
      <c r="K40" s="127"/>
    </row>
    <row r="41" spans="6:11">
      <c r="F41" s="140">
        <v>45971</v>
      </c>
      <c r="G41" s="161">
        <v>15038</v>
      </c>
      <c r="H41" s="161">
        <v>5490.0240000000003</v>
      </c>
      <c r="I41" s="161">
        <v>42.144750000000002</v>
      </c>
      <c r="K41" s="127"/>
    </row>
    <row r="42" spans="6:11">
      <c r="F42" s="140">
        <v>45972</v>
      </c>
      <c r="G42" s="161">
        <v>14847</v>
      </c>
      <c r="H42" s="161">
        <v>5586.7460000000001</v>
      </c>
      <c r="I42" s="161">
        <v>56.099679999999999</v>
      </c>
      <c r="K42" s="127"/>
    </row>
    <row r="43" spans="6:11">
      <c r="F43" s="140">
        <v>45973</v>
      </c>
      <c r="G43" s="161">
        <v>13565</v>
      </c>
      <c r="H43" s="161">
        <v>5067.4759999999997</v>
      </c>
      <c r="I43" s="161">
        <v>60.911349999999999</v>
      </c>
      <c r="K43" s="127"/>
    </row>
    <row r="44" spans="6:11">
      <c r="F44" s="140">
        <v>45974</v>
      </c>
      <c r="G44" s="161">
        <v>13258</v>
      </c>
      <c r="H44" s="161">
        <v>4860.0110000000004</v>
      </c>
      <c r="I44" s="161">
        <v>68.825599999999994</v>
      </c>
      <c r="K44" s="127"/>
    </row>
    <row r="45" spans="6:11">
      <c r="F45" s="140">
        <v>45975</v>
      </c>
      <c r="G45" s="161">
        <v>12061</v>
      </c>
      <c r="H45" s="161">
        <v>4712.1000000000004</v>
      </c>
      <c r="I45" s="161">
        <v>72.037300000000002</v>
      </c>
      <c r="K45" s="127"/>
    </row>
    <row r="46" spans="6:11">
      <c r="F46" s="140">
        <v>45976</v>
      </c>
      <c r="G46" s="161">
        <v>13052</v>
      </c>
      <c r="H46" s="161">
        <v>4900.6270000000004</v>
      </c>
      <c r="I46" s="161">
        <v>73.660420000000002</v>
      </c>
      <c r="K46" s="127"/>
    </row>
    <row r="47" spans="6:11">
      <c r="F47" s="140">
        <v>45977</v>
      </c>
      <c r="G47" s="161">
        <v>11899</v>
      </c>
      <c r="H47" s="161">
        <v>4407.0839999999998</v>
      </c>
      <c r="I47" s="161">
        <v>67.348510000000005</v>
      </c>
      <c r="K47" s="127"/>
    </row>
    <row r="48" spans="6:11">
      <c r="F48" s="140">
        <v>45978</v>
      </c>
      <c r="G48" s="161">
        <v>12223</v>
      </c>
      <c r="H48" s="161">
        <v>4610.9120000000003</v>
      </c>
      <c r="I48" s="161">
        <v>75.258769999999998</v>
      </c>
      <c r="K48" s="127"/>
    </row>
    <row r="49" spans="3:20">
      <c r="F49" s="140">
        <v>45979</v>
      </c>
      <c r="G49" s="161">
        <v>10137</v>
      </c>
      <c r="H49" s="161">
        <v>3633.02</v>
      </c>
      <c r="I49" s="161">
        <v>77.658659999999998</v>
      </c>
      <c r="K49" s="127"/>
    </row>
    <row r="50" spans="3:20">
      <c r="F50" s="140">
        <v>45980</v>
      </c>
      <c r="G50" s="161">
        <v>7670</v>
      </c>
      <c r="H50" s="161">
        <v>2702.5740000000001</v>
      </c>
      <c r="I50" s="161">
        <v>74.884609999999995</v>
      </c>
      <c r="K50" s="127"/>
    </row>
    <row r="51" spans="3:20">
      <c r="F51" s="140">
        <v>45981</v>
      </c>
      <c r="G51" s="161">
        <v>557</v>
      </c>
      <c r="H51" s="161">
        <v>89.4</v>
      </c>
      <c r="I51" s="161">
        <v>65.735560000000007</v>
      </c>
      <c r="K51" s="127"/>
    </row>
    <row r="52" spans="3:20">
      <c r="F52" s="140">
        <v>45982</v>
      </c>
      <c r="G52" s="161">
        <v>11081</v>
      </c>
      <c r="H52" s="161">
        <v>4149.5460000000003</v>
      </c>
      <c r="I52" s="161">
        <v>65.862380000000002</v>
      </c>
      <c r="K52" s="127"/>
    </row>
    <row r="53" spans="3:20">
      <c r="F53" s="140">
        <v>45983</v>
      </c>
      <c r="G53" s="161">
        <v>11424</v>
      </c>
      <c r="H53" s="161">
        <v>4151.1670000000004</v>
      </c>
      <c r="I53" s="161">
        <v>55.564459999999997</v>
      </c>
      <c r="K53" s="127"/>
    </row>
    <row r="54" spans="3:20">
      <c r="F54" s="140">
        <v>45984</v>
      </c>
      <c r="G54" s="161">
        <v>11598</v>
      </c>
      <c r="H54" s="161">
        <v>4038.239</v>
      </c>
      <c r="I54" s="161">
        <v>58.1691</v>
      </c>
      <c r="K54" s="127"/>
    </row>
    <row r="55" spans="3:20">
      <c r="F55" s="140">
        <v>45985</v>
      </c>
      <c r="G55" s="161">
        <v>2137</v>
      </c>
      <c r="H55" s="161">
        <v>335.28960000000001</v>
      </c>
      <c r="I55" s="161">
        <v>61.770760000000003</v>
      </c>
      <c r="K55" s="127"/>
    </row>
    <row r="56" spans="3:20">
      <c r="F56" s="140">
        <v>45986</v>
      </c>
      <c r="G56" s="161">
        <v>12621</v>
      </c>
      <c r="H56" s="161">
        <v>4657.875</v>
      </c>
      <c r="I56" s="161">
        <v>58.649639999999998</v>
      </c>
      <c r="K56" s="127"/>
    </row>
    <row r="57" spans="3:20">
      <c r="F57" s="140">
        <v>45987</v>
      </c>
      <c r="G57" s="161">
        <v>13650</v>
      </c>
      <c r="H57" s="161">
        <v>5048.1279999999997</v>
      </c>
      <c r="I57" s="161">
        <v>48.161020000000001</v>
      </c>
      <c r="K57" s="127"/>
    </row>
    <row r="58" spans="3:20">
      <c r="F58" s="140">
        <v>45988</v>
      </c>
      <c r="G58" s="161">
        <v>12908</v>
      </c>
      <c r="H58" s="161">
        <v>4710.1409999999996</v>
      </c>
      <c r="I58" s="161">
        <v>49.547499999999999</v>
      </c>
      <c r="K58" s="127"/>
      <c r="R58" s="112"/>
      <c r="S58" s="112"/>
      <c r="T58" s="112"/>
    </row>
    <row r="59" spans="3:20">
      <c r="F59" s="140">
        <v>45989</v>
      </c>
      <c r="G59" s="161">
        <v>5705</v>
      </c>
      <c r="H59" s="161">
        <v>1651.085</v>
      </c>
      <c r="I59" s="161">
        <v>51.519910000000003</v>
      </c>
      <c r="K59" s="127"/>
    </row>
    <row r="60" spans="3:20">
      <c r="F60" s="140">
        <v>45990</v>
      </c>
      <c r="G60" s="161">
        <v>3315</v>
      </c>
      <c r="H60" s="161">
        <v>920.56610000000001</v>
      </c>
      <c r="I60" s="161">
        <v>56.237119999999997</v>
      </c>
      <c r="K60" s="127"/>
      <c r="R60" s="112"/>
      <c r="S60" s="112"/>
      <c r="T60" s="112"/>
    </row>
    <row r="61" spans="3:20">
      <c r="F61" s="140">
        <v>45991</v>
      </c>
      <c r="G61" s="161">
        <v>7018</v>
      </c>
      <c r="H61" s="161">
        <v>2260.4090000000001</v>
      </c>
      <c r="I61" s="161">
        <v>38.207099999999997</v>
      </c>
      <c r="K61" s="127"/>
    </row>
    <row r="62" spans="3:20">
      <c r="F62" s="152"/>
      <c r="G62" s="150"/>
      <c r="H62" s="150"/>
      <c r="I62" s="150"/>
    </row>
    <row r="63" spans="3:20">
      <c r="F63" s="153"/>
      <c r="G63" s="128"/>
    </row>
    <row r="64" spans="3:20">
      <c r="C64" s="213" t="s">
        <v>33</v>
      </c>
      <c r="D64" s="214"/>
      <c r="E64" s="214"/>
      <c r="F64" s="214"/>
      <c r="G64" s="214"/>
      <c r="H64" s="214"/>
      <c r="I64" s="214"/>
      <c r="J64" s="214"/>
      <c r="K64" s="214"/>
      <c r="L64" s="215"/>
    </row>
    <row r="65" spans="3:12" ht="15" customHeight="1">
      <c r="C65" s="217"/>
      <c r="D65" s="218"/>
      <c r="E65" s="218"/>
      <c r="F65" s="218"/>
      <c r="G65" s="218"/>
      <c r="H65" s="218"/>
      <c r="I65" s="218"/>
      <c r="J65" s="218"/>
      <c r="K65" s="218"/>
      <c r="L65" s="219"/>
    </row>
    <row r="66" spans="3:12">
      <c r="C66" s="220"/>
      <c r="D66" s="221"/>
      <c r="E66" s="221"/>
      <c r="F66" s="221"/>
      <c r="G66" s="221"/>
      <c r="H66" s="221"/>
      <c r="I66" s="221"/>
      <c r="J66" s="221"/>
      <c r="K66" s="221"/>
      <c r="L66" s="222"/>
    </row>
    <row r="67" spans="3:12">
      <c r="C67" s="223"/>
      <c r="D67" s="224"/>
      <c r="E67" s="224"/>
      <c r="F67" s="224"/>
      <c r="G67" s="224"/>
      <c r="H67" s="224"/>
      <c r="I67" s="224"/>
      <c r="J67" s="224"/>
      <c r="K67" s="224"/>
      <c r="L67" s="225"/>
    </row>
    <row r="69" spans="3:12">
      <c r="C69" s="228" t="s">
        <v>34</v>
      </c>
      <c r="D69" s="229"/>
      <c r="E69" s="229"/>
      <c r="F69" s="229"/>
      <c r="G69" s="229"/>
      <c r="H69" s="229"/>
      <c r="I69" s="229"/>
      <c r="J69" s="229"/>
      <c r="K69" s="229"/>
      <c r="L69" s="230"/>
    </row>
    <row r="70" spans="3:12" ht="14.85" customHeight="1">
      <c r="C70" s="217"/>
      <c r="D70" s="218"/>
      <c r="E70" s="218"/>
      <c r="F70" s="218"/>
      <c r="G70" s="218"/>
      <c r="H70" s="218"/>
      <c r="I70" s="218"/>
      <c r="J70" s="218"/>
      <c r="K70" s="218"/>
      <c r="L70" s="219"/>
    </row>
    <row r="71" spans="3:12">
      <c r="C71" s="220"/>
      <c r="D71" s="221"/>
      <c r="E71" s="221"/>
      <c r="F71" s="221"/>
      <c r="G71" s="221"/>
      <c r="H71" s="221"/>
      <c r="I71" s="221"/>
      <c r="J71" s="221"/>
      <c r="K71" s="221"/>
      <c r="L71" s="222"/>
    </row>
    <row r="72" spans="3:12">
      <c r="C72" s="223"/>
      <c r="D72" s="224"/>
      <c r="E72" s="224"/>
      <c r="F72" s="224"/>
      <c r="G72" s="224"/>
      <c r="H72" s="224"/>
      <c r="I72" s="224"/>
      <c r="J72" s="224"/>
      <c r="K72" s="224"/>
      <c r="L72" s="225"/>
    </row>
  </sheetData>
  <mergeCells count="19">
    <mergeCell ref="C70:L72"/>
    <mergeCell ref="E14:I14"/>
    <mergeCell ref="C16:L16"/>
    <mergeCell ref="F30:I30"/>
    <mergeCell ref="C64:L64"/>
    <mergeCell ref="C65:L67"/>
    <mergeCell ref="C69:L69"/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</mergeCells>
  <pageMargins left="0.7" right="0.7" top="0.75" bottom="0.75" header="0.3" footer="0.3"/>
  <pageSetup scale="61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50"/>
  <sheetViews>
    <sheetView topLeftCell="A26" zoomScaleNormal="100" workbookViewId="0">
      <selection activeCell="K48" sqref="K48"/>
    </sheetView>
  </sheetViews>
  <sheetFormatPr defaultRowHeight="14.4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34" t="s">
        <v>39</v>
      </c>
      <c r="D4" s="235"/>
      <c r="E4" s="236"/>
      <c r="G4" s="234" t="s">
        <v>40</v>
      </c>
      <c r="H4" s="235"/>
      <c r="I4" s="236"/>
    </row>
    <row r="5" spans="3:9">
      <c r="C5" s="1"/>
      <c r="D5" s="42" t="s">
        <v>36</v>
      </c>
      <c r="E5" s="42" t="s">
        <v>22</v>
      </c>
      <c r="G5" s="1"/>
      <c r="H5" s="42" t="s">
        <v>36</v>
      </c>
      <c r="I5" s="42" t="s">
        <v>22</v>
      </c>
    </row>
    <row r="6" spans="3:9">
      <c r="C6" s="43" t="s">
        <v>41</v>
      </c>
      <c r="D6" s="46"/>
      <c r="E6" s="46"/>
      <c r="G6" s="43" t="s">
        <v>41</v>
      </c>
      <c r="H6" s="62">
        <v>0.99899000000000004</v>
      </c>
      <c r="I6" s="62">
        <v>0.99677000000000004</v>
      </c>
    </row>
    <row r="7" spans="3:9">
      <c r="C7" s="43" t="s">
        <v>42</v>
      </c>
      <c r="D7" s="46"/>
      <c r="E7" s="46"/>
      <c r="G7" s="43" t="s">
        <v>42</v>
      </c>
      <c r="H7" s="62">
        <v>0.99977000000000005</v>
      </c>
      <c r="I7" s="62">
        <v>0.96015000000000006</v>
      </c>
    </row>
    <row r="8" spans="3:9">
      <c r="C8" s="43" t="s">
        <v>43</v>
      </c>
      <c r="D8" s="46"/>
      <c r="E8" s="46"/>
      <c r="G8" s="43" t="s">
        <v>43</v>
      </c>
      <c r="H8" s="62">
        <v>0.99834999999999996</v>
      </c>
      <c r="I8" s="62">
        <v>0.99973000000000001</v>
      </c>
    </row>
    <row r="9" spans="3:9">
      <c r="C9" s="43" t="s">
        <v>44</v>
      </c>
      <c r="D9" s="46"/>
      <c r="E9" s="46"/>
      <c r="G9" s="43" t="s">
        <v>44</v>
      </c>
      <c r="H9" s="62">
        <v>1</v>
      </c>
      <c r="I9" s="62">
        <v>1</v>
      </c>
    </row>
    <row r="10" spans="3:9">
      <c r="C10" s="43" t="s">
        <v>45</v>
      </c>
      <c r="D10" s="46"/>
      <c r="E10" s="46"/>
      <c r="G10" s="43" t="s">
        <v>45</v>
      </c>
      <c r="H10" s="62">
        <v>1</v>
      </c>
      <c r="I10" s="62">
        <v>1</v>
      </c>
    </row>
    <row r="11" spans="3:9">
      <c r="C11" s="43" t="s">
        <v>46</v>
      </c>
      <c r="D11" s="46"/>
      <c r="E11" s="46"/>
      <c r="G11" s="43" t="s">
        <v>46</v>
      </c>
      <c r="H11" s="62">
        <v>1</v>
      </c>
      <c r="I11" s="62">
        <v>0.99909999999999999</v>
      </c>
    </row>
    <row r="12" spans="3:9">
      <c r="C12" s="43" t="s">
        <v>47</v>
      </c>
      <c r="D12" s="46">
        <v>0.98024</v>
      </c>
      <c r="E12" s="46">
        <v>1</v>
      </c>
      <c r="G12" s="43" t="s">
        <v>47</v>
      </c>
      <c r="H12" s="62">
        <v>1</v>
      </c>
      <c r="I12" s="62">
        <v>1</v>
      </c>
    </row>
    <row r="13" spans="3:9">
      <c r="C13" s="43" t="s">
        <v>48</v>
      </c>
      <c r="D13" s="46">
        <v>0.98093999999999992</v>
      </c>
      <c r="E13" s="46">
        <v>1</v>
      </c>
      <c r="G13" s="43" t="s">
        <v>48</v>
      </c>
      <c r="H13" s="90">
        <v>0.998</v>
      </c>
      <c r="I13" s="91">
        <v>1</v>
      </c>
    </row>
    <row r="14" spans="3:9">
      <c r="C14" s="43" t="s">
        <v>49</v>
      </c>
      <c r="D14" s="46">
        <v>0.97177999999999998</v>
      </c>
      <c r="E14" s="46">
        <v>1</v>
      </c>
      <c r="G14" s="43" t="s">
        <v>49</v>
      </c>
      <c r="H14" s="90">
        <v>1</v>
      </c>
      <c r="I14" s="91">
        <v>0.97929999999999995</v>
      </c>
    </row>
    <row r="15" spans="3:9">
      <c r="C15" s="43" t="s">
        <v>50</v>
      </c>
      <c r="D15" s="46">
        <v>0.99820999999999993</v>
      </c>
      <c r="E15" s="46">
        <v>0.99462000000000006</v>
      </c>
      <c r="G15" s="43" t="s">
        <v>50</v>
      </c>
      <c r="H15" s="62">
        <v>1</v>
      </c>
      <c r="I15" s="62">
        <v>1</v>
      </c>
    </row>
    <row r="16" spans="3:9">
      <c r="C16" s="43" t="s">
        <v>51</v>
      </c>
      <c r="D16" s="46">
        <v>1</v>
      </c>
      <c r="E16" s="46">
        <v>1</v>
      </c>
      <c r="G16" s="43" t="s">
        <v>51</v>
      </c>
      <c r="H16" s="62">
        <v>1</v>
      </c>
      <c r="I16" s="46">
        <v>0.98499999999999999</v>
      </c>
    </row>
    <row r="17" spans="3:12">
      <c r="C17" s="43" t="s">
        <v>52</v>
      </c>
      <c r="D17" s="46">
        <v>1</v>
      </c>
      <c r="E17" s="46">
        <v>0.99820999999999993</v>
      </c>
      <c r="G17" s="43" t="s">
        <v>52</v>
      </c>
      <c r="H17" s="46">
        <v>0.98167000000000004</v>
      </c>
      <c r="I17" s="46">
        <v>1</v>
      </c>
    </row>
    <row r="18" spans="3:12">
      <c r="C18" s="56" t="s">
        <v>53</v>
      </c>
      <c r="D18" s="52">
        <f>AVERAGE(D6:D17)</f>
        <v>0.98852833333333334</v>
      </c>
      <c r="E18" s="52">
        <f>AVERAGE(E6:E17)</f>
        <v>0.99880500000000005</v>
      </c>
      <c r="G18" s="56" t="s">
        <v>53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34" t="s">
        <v>54</v>
      </c>
      <c r="D20" s="235"/>
      <c r="E20" s="236"/>
      <c r="G20" s="231" t="s">
        <v>55</v>
      </c>
      <c r="H20" s="237"/>
      <c r="I20" s="232"/>
      <c r="K20" s="231" t="s">
        <v>55</v>
      </c>
      <c r="L20" s="232"/>
    </row>
    <row r="21" spans="3:12">
      <c r="C21" s="1"/>
      <c r="D21" s="42" t="s">
        <v>36</v>
      </c>
      <c r="E21" s="42" t="s">
        <v>22</v>
      </c>
      <c r="G21" s="1"/>
      <c r="H21" s="42" t="s">
        <v>36</v>
      </c>
      <c r="I21" s="42" t="s">
        <v>22</v>
      </c>
      <c r="K21" s="1"/>
      <c r="L21" s="42" t="s">
        <v>38</v>
      </c>
    </row>
    <row r="22" spans="3:12">
      <c r="C22" s="43" t="s">
        <v>41</v>
      </c>
      <c r="D22" s="62">
        <v>1</v>
      </c>
      <c r="E22" s="62">
        <v>1</v>
      </c>
      <c r="G22" s="43" t="s">
        <v>41</v>
      </c>
      <c r="H22" s="62">
        <v>1</v>
      </c>
      <c r="I22" s="62">
        <v>0.99860000000000004</v>
      </c>
      <c r="K22" s="43" t="s">
        <v>41</v>
      </c>
      <c r="L22" s="62">
        <v>0.9647</v>
      </c>
    </row>
    <row r="23" spans="3:12">
      <c r="C23" s="43" t="s">
        <v>42</v>
      </c>
      <c r="D23" s="62">
        <v>1</v>
      </c>
      <c r="E23" s="62">
        <v>0.99867000000000006</v>
      </c>
      <c r="G23" s="43" t="s">
        <v>42</v>
      </c>
      <c r="H23" s="62">
        <v>1</v>
      </c>
      <c r="I23" s="62">
        <v>0.99960000000000004</v>
      </c>
      <c r="K23" s="43" t="s">
        <v>42</v>
      </c>
      <c r="L23" s="62">
        <v>0.82140000000000002</v>
      </c>
    </row>
    <row r="24" spans="3:12">
      <c r="C24" s="43" t="s">
        <v>43</v>
      </c>
      <c r="D24" s="62">
        <v>1</v>
      </c>
      <c r="E24" s="62">
        <v>1</v>
      </c>
      <c r="G24" s="43" t="s">
        <v>43</v>
      </c>
      <c r="H24" s="62">
        <v>1</v>
      </c>
      <c r="I24" s="62">
        <v>1</v>
      </c>
      <c r="K24" s="43" t="s">
        <v>43</v>
      </c>
      <c r="L24" s="62">
        <v>1</v>
      </c>
    </row>
    <row r="25" spans="3:12">
      <c r="C25" s="43" t="s">
        <v>44</v>
      </c>
      <c r="D25" s="62">
        <v>1</v>
      </c>
      <c r="E25" s="62">
        <v>1</v>
      </c>
      <c r="G25" s="43" t="s">
        <v>44</v>
      </c>
      <c r="H25" s="62">
        <v>1</v>
      </c>
      <c r="I25" s="62">
        <v>1</v>
      </c>
      <c r="K25" s="43" t="s">
        <v>44</v>
      </c>
      <c r="L25" s="62">
        <v>1</v>
      </c>
    </row>
    <row r="26" spans="3:12">
      <c r="C26" s="43" t="s">
        <v>45</v>
      </c>
      <c r="D26" s="62">
        <v>0.99953999999999998</v>
      </c>
      <c r="E26" s="62">
        <v>0.99919000000000002</v>
      </c>
      <c r="G26" s="43" t="s">
        <v>45</v>
      </c>
      <c r="H26" s="62">
        <v>1</v>
      </c>
      <c r="I26" s="62">
        <v>1</v>
      </c>
      <c r="K26" s="43" t="s">
        <v>45</v>
      </c>
      <c r="L26" s="62">
        <v>1</v>
      </c>
    </row>
    <row r="27" spans="3:12">
      <c r="C27" s="43" t="s">
        <v>46</v>
      </c>
      <c r="D27" s="62">
        <v>1</v>
      </c>
      <c r="E27" s="62">
        <v>1</v>
      </c>
      <c r="G27" s="43" t="s">
        <v>46</v>
      </c>
      <c r="H27" s="62">
        <v>1</v>
      </c>
      <c r="I27" s="62">
        <v>0.88139999999999996</v>
      </c>
      <c r="K27" s="43" t="s">
        <v>46</v>
      </c>
      <c r="L27" s="136">
        <v>1</v>
      </c>
    </row>
    <row r="28" spans="3:12">
      <c r="C28" s="43" t="s">
        <v>47</v>
      </c>
      <c r="D28" s="62">
        <v>1</v>
      </c>
      <c r="E28" s="62">
        <v>1</v>
      </c>
      <c r="G28" s="43" t="s">
        <v>47</v>
      </c>
      <c r="H28" s="62">
        <v>0.99544999999999995</v>
      </c>
      <c r="I28" s="62">
        <v>1</v>
      </c>
      <c r="K28" s="43" t="s">
        <v>47</v>
      </c>
      <c r="L28" s="136">
        <v>1</v>
      </c>
    </row>
    <row r="29" spans="3:12">
      <c r="C29" s="43" t="s">
        <v>48</v>
      </c>
      <c r="D29" s="62">
        <v>1</v>
      </c>
      <c r="E29" s="62">
        <v>0.99942999999999993</v>
      </c>
      <c r="G29" s="43" t="s">
        <v>48</v>
      </c>
      <c r="H29" s="62">
        <v>1</v>
      </c>
      <c r="I29" s="62">
        <v>1</v>
      </c>
      <c r="K29" s="43" t="s">
        <v>48</v>
      </c>
      <c r="L29" s="62">
        <v>0.98</v>
      </c>
    </row>
    <row r="30" spans="3:12">
      <c r="C30" s="43" t="s">
        <v>49</v>
      </c>
      <c r="D30" s="62">
        <v>1</v>
      </c>
      <c r="E30" s="62">
        <v>1</v>
      </c>
      <c r="G30" s="43" t="s">
        <v>49</v>
      </c>
      <c r="H30" s="62">
        <v>1</v>
      </c>
      <c r="I30" s="62">
        <v>1</v>
      </c>
      <c r="K30" s="43" t="s">
        <v>49</v>
      </c>
      <c r="L30" s="62">
        <v>1</v>
      </c>
    </row>
    <row r="31" spans="3:12">
      <c r="C31" s="43" t="s">
        <v>50</v>
      </c>
      <c r="D31" s="46">
        <v>1</v>
      </c>
      <c r="E31" s="46">
        <v>0.99968000000000001</v>
      </c>
      <c r="G31" s="43" t="s">
        <v>50</v>
      </c>
      <c r="H31" s="62">
        <v>0.99950000000000006</v>
      </c>
      <c r="I31" s="62">
        <v>1</v>
      </c>
      <c r="K31" s="43" t="s">
        <v>50</v>
      </c>
      <c r="L31" s="62">
        <v>1</v>
      </c>
    </row>
    <row r="32" spans="3:12">
      <c r="C32" s="43" t="s">
        <v>51</v>
      </c>
      <c r="D32" s="46">
        <v>1</v>
      </c>
      <c r="E32" s="46">
        <v>0.99951999999999996</v>
      </c>
      <c r="G32" s="43" t="s">
        <v>51</v>
      </c>
      <c r="H32" s="62">
        <v>1</v>
      </c>
      <c r="I32" s="46" t="s">
        <v>56</v>
      </c>
      <c r="K32" s="43" t="s">
        <v>51</v>
      </c>
      <c r="L32" s="142">
        <v>0.96</v>
      </c>
    </row>
    <row r="33" spans="3:12">
      <c r="C33" s="43" t="s">
        <v>52</v>
      </c>
      <c r="D33" s="46">
        <v>1</v>
      </c>
      <c r="E33" s="46">
        <v>1</v>
      </c>
      <c r="G33" s="43" t="s">
        <v>52</v>
      </c>
      <c r="H33" s="46">
        <v>1</v>
      </c>
      <c r="I33" s="46">
        <v>1</v>
      </c>
      <c r="K33" s="43" t="s">
        <v>52</v>
      </c>
      <c r="L33" s="46">
        <v>1</v>
      </c>
    </row>
    <row r="34" spans="3:12">
      <c r="C34" s="56" t="s">
        <v>53</v>
      </c>
      <c r="D34" s="52">
        <f>AVERAGE(D22:D33)</f>
        <v>0.99996166666666664</v>
      </c>
      <c r="E34" s="52">
        <f>AVERAGE(E22:E33)</f>
        <v>0.99970749999999997</v>
      </c>
      <c r="G34" s="56" t="s">
        <v>53</v>
      </c>
      <c r="H34" s="52">
        <f>AVERAGE(H22:H33)</f>
        <v>0.99957916666666657</v>
      </c>
      <c r="I34" s="52">
        <f>AVERAGE(I22:I33)</f>
        <v>0.98905454545454541</v>
      </c>
      <c r="K34" s="56" t="s">
        <v>53</v>
      </c>
      <c r="L34" s="52">
        <f>AVERAGE(L22:L33)</f>
        <v>0.9771749999999999</v>
      </c>
    </row>
    <row r="36" spans="3:12">
      <c r="C36" s="233" t="s">
        <v>57</v>
      </c>
      <c r="D36" s="233"/>
      <c r="E36" s="233"/>
      <c r="F36" s="233"/>
      <c r="H36" s="233" t="s">
        <v>58</v>
      </c>
      <c r="I36" s="233"/>
      <c r="J36" s="233"/>
      <c r="K36" s="233"/>
    </row>
    <row r="37" spans="3:12">
      <c r="C37" s="1"/>
      <c r="D37" s="42" t="s">
        <v>36</v>
      </c>
      <c r="E37" s="42" t="s">
        <v>22</v>
      </c>
      <c r="F37" s="42" t="s">
        <v>38</v>
      </c>
      <c r="H37" s="1"/>
      <c r="I37" s="42" t="s">
        <v>36</v>
      </c>
      <c r="J37" s="42" t="s">
        <v>22</v>
      </c>
      <c r="K37" s="42" t="s">
        <v>38</v>
      </c>
    </row>
    <row r="38" spans="3:12">
      <c r="C38" s="43" t="s">
        <v>41</v>
      </c>
      <c r="D38" s="62">
        <v>1</v>
      </c>
      <c r="E38" s="62">
        <v>0.98660000000000003</v>
      </c>
      <c r="F38" s="62">
        <v>1</v>
      </c>
      <c r="H38" s="43" t="s">
        <v>41</v>
      </c>
      <c r="I38" s="62">
        <v>0.99419999999999997</v>
      </c>
      <c r="J38" s="62">
        <v>0.99180000000000001</v>
      </c>
      <c r="K38" s="62">
        <v>0.99429999999999996</v>
      </c>
    </row>
    <row r="39" spans="3:12">
      <c r="C39" s="43" t="s">
        <v>42</v>
      </c>
      <c r="D39" s="62">
        <v>0.99970000000000003</v>
      </c>
      <c r="E39" s="62">
        <v>1</v>
      </c>
      <c r="F39" s="62">
        <v>0.99809999999999999</v>
      </c>
      <c r="H39" s="43" t="s">
        <v>42</v>
      </c>
      <c r="I39" s="62">
        <v>0.99970000000000003</v>
      </c>
      <c r="J39" s="62">
        <v>0.98819999999999997</v>
      </c>
      <c r="K39" s="62">
        <v>1</v>
      </c>
    </row>
    <row r="40" spans="3:12">
      <c r="C40" s="43" t="s">
        <v>43</v>
      </c>
      <c r="D40" s="62">
        <v>1</v>
      </c>
      <c r="E40" s="62">
        <v>1</v>
      </c>
      <c r="F40" s="62">
        <v>0.99750000000000005</v>
      </c>
      <c r="H40" s="43" t="s">
        <v>43</v>
      </c>
      <c r="I40" s="62">
        <v>0.99796666666666667</v>
      </c>
      <c r="J40" s="62">
        <v>0.99333333333333329</v>
      </c>
      <c r="K40" s="62">
        <v>0.99809999999999999</v>
      </c>
    </row>
    <row r="41" spans="3:12">
      <c r="C41" s="43" t="s">
        <v>44</v>
      </c>
      <c r="D41" s="62">
        <v>1</v>
      </c>
      <c r="E41" s="62">
        <v>1</v>
      </c>
      <c r="F41" s="62">
        <v>1</v>
      </c>
      <c r="H41" s="43" t="s">
        <v>44</v>
      </c>
      <c r="I41" s="62">
        <v>0.998475</v>
      </c>
      <c r="J41" s="62">
        <v>0.995</v>
      </c>
      <c r="K41" s="62">
        <v>0.99857499999999999</v>
      </c>
    </row>
    <row r="42" spans="3:12">
      <c r="C42" s="43" t="s">
        <v>45</v>
      </c>
      <c r="D42" s="62">
        <v>1</v>
      </c>
      <c r="E42" s="62">
        <v>1</v>
      </c>
      <c r="F42" s="62">
        <v>1</v>
      </c>
      <c r="H42" s="43" t="s">
        <v>45</v>
      </c>
      <c r="I42" s="62">
        <v>1</v>
      </c>
      <c r="J42" s="62">
        <v>0.99600000000000011</v>
      </c>
      <c r="K42" s="62">
        <v>0.99885999999999997</v>
      </c>
    </row>
    <row r="43" spans="3:12">
      <c r="C43" s="43" t="s">
        <v>46</v>
      </c>
      <c r="D43" s="62">
        <v>1</v>
      </c>
      <c r="E43" s="62">
        <v>1</v>
      </c>
      <c r="F43" s="62">
        <v>1</v>
      </c>
      <c r="H43" s="43" t="s">
        <v>46</v>
      </c>
      <c r="I43" s="62">
        <v>0.9966666666666667</v>
      </c>
      <c r="J43" s="62">
        <v>0.99898333333333333</v>
      </c>
      <c r="K43" s="62">
        <v>0.99904999999999999</v>
      </c>
    </row>
    <row r="44" spans="3:12">
      <c r="C44" s="43" t="s">
        <v>47</v>
      </c>
      <c r="D44" s="62">
        <v>1</v>
      </c>
      <c r="E44" s="149">
        <v>1</v>
      </c>
      <c r="F44" s="62">
        <v>1</v>
      </c>
      <c r="H44" s="43" t="s">
        <v>47</v>
      </c>
      <c r="I44" s="62">
        <v>0.99665000000000004</v>
      </c>
      <c r="J44" s="149">
        <v>0.99859285714285717</v>
      </c>
      <c r="K44" s="62">
        <v>0.99833333333333341</v>
      </c>
    </row>
    <row r="45" spans="3:12">
      <c r="C45" s="43" t="s">
        <v>48</v>
      </c>
      <c r="D45" s="62">
        <v>0.98780000000000001</v>
      </c>
      <c r="E45" s="149">
        <v>1</v>
      </c>
      <c r="F45" s="62">
        <v>1</v>
      </c>
      <c r="H45" s="43" t="s">
        <v>48</v>
      </c>
      <c r="I45" s="62">
        <v>1</v>
      </c>
      <c r="J45" s="149">
        <v>0.88170000000000004</v>
      </c>
      <c r="K45" s="62">
        <v>0.98850000000000005</v>
      </c>
    </row>
    <row r="46" spans="3:12">
      <c r="C46" s="43" t="s">
        <v>49</v>
      </c>
      <c r="D46" s="62">
        <v>1</v>
      </c>
      <c r="E46" s="149">
        <v>1</v>
      </c>
      <c r="F46" s="62">
        <v>1</v>
      </c>
      <c r="H46" s="43" t="s">
        <v>49</v>
      </c>
      <c r="I46" s="62">
        <v>1</v>
      </c>
      <c r="J46" s="149">
        <v>0.66659999999999997</v>
      </c>
      <c r="K46" s="62">
        <v>1</v>
      </c>
    </row>
    <row r="47" spans="3:12">
      <c r="C47" s="43" t="s">
        <v>50</v>
      </c>
      <c r="D47" s="62">
        <v>1</v>
      </c>
      <c r="E47" s="62">
        <v>1</v>
      </c>
      <c r="F47" s="62">
        <v>0.97189999999999999</v>
      </c>
      <c r="H47" s="43" t="s">
        <v>50</v>
      </c>
      <c r="I47" s="62">
        <v>1</v>
      </c>
      <c r="J47" s="149">
        <v>0.66659999999999997</v>
      </c>
      <c r="K47" s="62">
        <v>0.99150000000000005</v>
      </c>
    </row>
    <row r="48" spans="3:12">
      <c r="C48" s="43" t="s">
        <v>51</v>
      </c>
      <c r="D48" s="62">
        <v>1</v>
      </c>
      <c r="E48" s="46">
        <v>1</v>
      </c>
      <c r="F48" s="62">
        <v>0.99109999999999998</v>
      </c>
      <c r="H48" s="43" t="s">
        <v>51</v>
      </c>
      <c r="I48" s="62">
        <v>1</v>
      </c>
      <c r="J48" s="149">
        <v>0.66659999999999997</v>
      </c>
      <c r="K48" s="62">
        <v>0.99880000000000002</v>
      </c>
    </row>
    <row r="49" spans="3:11">
      <c r="C49" s="43" t="s">
        <v>52</v>
      </c>
      <c r="D49" s="46">
        <v>0.99750000000000005</v>
      </c>
      <c r="E49" s="46">
        <v>1</v>
      </c>
      <c r="F49" s="46">
        <v>1</v>
      </c>
      <c r="H49" s="43" t="s">
        <v>52</v>
      </c>
      <c r="I49" s="46"/>
      <c r="J49" s="46"/>
      <c r="K49" s="46"/>
    </row>
    <row r="50" spans="3:11">
      <c r="C50" s="56" t="s">
        <v>53</v>
      </c>
      <c r="D50" s="52">
        <f>AVERAGE(D38:D49)</f>
        <v>0.99875000000000014</v>
      </c>
      <c r="E50" s="52">
        <f>AVERAGE(E38:E49)</f>
        <v>0.99888333333333323</v>
      </c>
      <c r="F50" s="52">
        <f>AVERAGE(F38:F49)</f>
        <v>0.99654999999999994</v>
      </c>
      <c r="H50" s="56" t="s">
        <v>53</v>
      </c>
      <c r="I50" s="52">
        <f>AVERAGE(I38:I49)</f>
        <v>0.99851439393939401</v>
      </c>
      <c r="J50" s="52">
        <f>AVERAGE(J38:J49)</f>
        <v>0.89485541125541157</v>
      </c>
      <c r="K50" s="52">
        <f>AVERAGE(K38:K49)</f>
        <v>0.99691075757575753</v>
      </c>
    </row>
  </sheetData>
  <mergeCells count="7">
    <mergeCell ref="K20:L20"/>
    <mergeCell ref="C36:F36"/>
    <mergeCell ref="G4:I4"/>
    <mergeCell ref="C4:E4"/>
    <mergeCell ref="C20:E20"/>
    <mergeCell ref="G20:I20"/>
    <mergeCell ref="H36:K3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109"/>
  <sheetViews>
    <sheetView topLeftCell="A76" zoomScaleNormal="100" workbookViewId="0">
      <selection activeCell="J107" sqref="J107"/>
    </sheetView>
  </sheetViews>
  <sheetFormatPr defaultColWidth="9.140625" defaultRowHeight="14.4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38" t="s">
        <v>59</v>
      </c>
      <c r="D4" s="239"/>
      <c r="E4" s="239"/>
      <c r="F4" s="239"/>
      <c r="G4" s="239"/>
      <c r="H4" s="239"/>
      <c r="I4" s="239"/>
      <c r="J4" s="77"/>
      <c r="K4" s="77"/>
      <c r="L4" s="78"/>
    </row>
    <row r="5" spans="3:12" ht="15.6">
      <c r="C5" s="42"/>
      <c r="D5" s="244" t="s">
        <v>36</v>
      </c>
      <c r="E5" s="245"/>
      <c r="F5" s="246"/>
      <c r="G5" s="244" t="s">
        <v>22</v>
      </c>
      <c r="H5" s="245"/>
      <c r="I5" s="246"/>
      <c r="J5" s="241" t="s">
        <v>60</v>
      </c>
      <c r="K5" s="242"/>
      <c r="L5" s="243"/>
    </row>
    <row r="6" spans="3:12">
      <c r="C6" s="42"/>
      <c r="D6" s="42" t="s">
        <v>61</v>
      </c>
      <c r="E6" s="42" t="s">
        <v>62</v>
      </c>
      <c r="F6" s="42" t="s">
        <v>63</v>
      </c>
      <c r="G6" s="42" t="s">
        <v>61</v>
      </c>
      <c r="H6" s="42" t="s">
        <v>62</v>
      </c>
      <c r="I6" s="42" t="s">
        <v>63</v>
      </c>
      <c r="J6" s="49" t="s">
        <v>61</v>
      </c>
      <c r="K6" s="49" t="s">
        <v>62</v>
      </c>
      <c r="L6" s="49" t="s">
        <v>63</v>
      </c>
    </row>
    <row r="7" spans="3:12">
      <c r="C7" s="47" t="s">
        <v>41</v>
      </c>
      <c r="D7" s="86" t="s">
        <v>64</v>
      </c>
      <c r="E7" s="86" t="s">
        <v>64</v>
      </c>
      <c r="F7" s="86" t="s">
        <v>64</v>
      </c>
      <c r="G7" s="86" t="s">
        <v>64</v>
      </c>
      <c r="H7" s="86" t="s">
        <v>64</v>
      </c>
      <c r="I7" s="86" t="s">
        <v>64</v>
      </c>
      <c r="J7" s="86" t="s">
        <v>64</v>
      </c>
      <c r="K7" s="86" t="s">
        <v>64</v>
      </c>
      <c r="L7" s="86" t="s">
        <v>64</v>
      </c>
    </row>
    <row r="8" spans="3:12">
      <c r="C8" s="47" t="s">
        <v>42</v>
      </c>
      <c r="D8" s="86" t="s">
        <v>64</v>
      </c>
      <c r="E8" s="86" t="s">
        <v>64</v>
      </c>
      <c r="F8" s="86" t="s">
        <v>64</v>
      </c>
      <c r="G8" s="86" t="s">
        <v>64</v>
      </c>
      <c r="H8" s="86" t="s">
        <v>64</v>
      </c>
      <c r="I8" s="86" t="s">
        <v>64</v>
      </c>
      <c r="J8" s="86" t="s">
        <v>64</v>
      </c>
      <c r="K8" s="86" t="s">
        <v>64</v>
      </c>
      <c r="L8" s="86" t="s">
        <v>64</v>
      </c>
    </row>
    <row r="9" spans="3:12">
      <c r="C9" s="47" t="s">
        <v>43</v>
      </c>
      <c r="D9" s="86" t="s">
        <v>64</v>
      </c>
      <c r="E9" s="86" t="s">
        <v>64</v>
      </c>
      <c r="F9" s="86" t="s">
        <v>64</v>
      </c>
      <c r="G9" s="86" t="s">
        <v>64</v>
      </c>
      <c r="H9" s="86" t="s">
        <v>64</v>
      </c>
      <c r="I9" s="86" t="s">
        <v>64</v>
      </c>
      <c r="J9" s="86" t="s">
        <v>64</v>
      </c>
      <c r="K9" s="86" t="s">
        <v>64</v>
      </c>
      <c r="L9" s="86" t="s">
        <v>64</v>
      </c>
    </row>
    <row r="10" spans="3:12">
      <c r="C10" s="47" t="s">
        <v>44</v>
      </c>
      <c r="D10" s="86" t="s">
        <v>64</v>
      </c>
      <c r="E10" s="86" t="s">
        <v>64</v>
      </c>
      <c r="F10" s="86" t="s">
        <v>64</v>
      </c>
      <c r="G10" s="86" t="s">
        <v>64</v>
      </c>
      <c r="H10" s="86" t="s">
        <v>64</v>
      </c>
      <c r="I10" s="86" t="s">
        <v>64</v>
      </c>
      <c r="J10" s="86" t="s">
        <v>64</v>
      </c>
      <c r="K10" s="86" t="s">
        <v>64</v>
      </c>
      <c r="L10" s="86" t="s">
        <v>64</v>
      </c>
    </row>
    <row r="11" spans="3:12">
      <c r="C11" s="47" t="s">
        <v>45</v>
      </c>
      <c r="D11" s="86" t="s">
        <v>64</v>
      </c>
      <c r="E11" s="86" t="s">
        <v>64</v>
      </c>
      <c r="F11" s="86" t="s">
        <v>64</v>
      </c>
      <c r="G11" s="86" t="s">
        <v>64</v>
      </c>
      <c r="H11" s="86" t="s">
        <v>64</v>
      </c>
      <c r="I11" s="86" t="s">
        <v>64</v>
      </c>
      <c r="J11" s="86" t="s">
        <v>64</v>
      </c>
      <c r="K11" s="86" t="s">
        <v>64</v>
      </c>
      <c r="L11" s="86" t="s">
        <v>64</v>
      </c>
    </row>
    <row r="12" spans="3:12">
      <c r="C12" s="47" t="s">
        <v>46</v>
      </c>
      <c r="D12" s="86" t="s">
        <v>64</v>
      </c>
      <c r="E12" s="86" t="s">
        <v>64</v>
      </c>
      <c r="F12" s="86" t="s">
        <v>64</v>
      </c>
      <c r="G12" s="86" t="s">
        <v>64</v>
      </c>
      <c r="H12" s="86" t="s">
        <v>64</v>
      </c>
      <c r="I12" s="86" t="s">
        <v>64</v>
      </c>
      <c r="J12" s="86" t="s">
        <v>64</v>
      </c>
      <c r="K12" s="86" t="s">
        <v>64</v>
      </c>
      <c r="L12" s="86" t="s">
        <v>64</v>
      </c>
    </row>
    <row r="13" spans="3:12">
      <c r="C13" s="47" t="s">
        <v>47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48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64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49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64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50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51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52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65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38" t="s">
        <v>66</v>
      </c>
      <c r="D22" s="239"/>
      <c r="E22" s="239"/>
      <c r="F22" s="239"/>
      <c r="G22" s="239"/>
      <c r="H22" s="239"/>
      <c r="I22" s="239"/>
      <c r="J22" s="77"/>
      <c r="K22" s="77"/>
      <c r="L22" s="78"/>
    </row>
    <row r="23" spans="3:12" ht="15.6">
      <c r="C23" s="42"/>
      <c r="D23" s="244" t="s">
        <v>36</v>
      </c>
      <c r="E23" s="245"/>
      <c r="F23" s="246"/>
      <c r="G23" s="244" t="s">
        <v>22</v>
      </c>
      <c r="H23" s="245"/>
      <c r="I23" s="246"/>
      <c r="J23" s="241" t="s">
        <v>60</v>
      </c>
      <c r="K23" s="242"/>
      <c r="L23" s="243"/>
    </row>
    <row r="24" spans="3:12">
      <c r="C24" s="42"/>
      <c r="D24" s="42" t="s">
        <v>61</v>
      </c>
      <c r="E24" s="42" t="s">
        <v>62</v>
      </c>
      <c r="F24" s="42" t="s">
        <v>63</v>
      </c>
      <c r="G24" s="42" t="s">
        <v>61</v>
      </c>
      <c r="H24" s="42" t="s">
        <v>62</v>
      </c>
      <c r="I24" s="42" t="s">
        <v>63</v>
      </c>
      <c r="J24" s="49" t="s">
        <v>61</v>
      </c>
      <c r="K24" s="49" t="s">
        <v>62</v>
      </c>
      <c r="L24" s="49" t="s">
        <v>63</v>
      </c>
    </row>
    <row r="25" spans="3:12">
      <c r="C25" s="47" t="s">
        <v>41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42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43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44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45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46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47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48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49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50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51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52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65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38" t="s">
        <v>67</v>
      </c>
      <c r="D40" s="239"/>
      <c r="E40" s="239"/>
      <c r="F40" s="239"/>
      <c r="G40" s="239"/>
      <c r="H40" s="239"/>
      <c r="I40" s="239"/>
      <c r="J40" s="77"/>
      <c r="K40" s="77"/>
      <c r="L40" s="78"/>
    </row>
    <row r="41" spans="3:43" ht="15.6">
      <c r="C41" s="42"/>
      <c r="D41" s="244" t="s">
        <v>36</v>
      </c>
      <c r="E41" s="245"/>
      <c r="F41" s="246"/>
      <c r="G41" s="244" t="s">
        <v>22</v>
      </c>
      <c r="H41" s="245"/>
      <c r="I41" s="246"/>
      <c r="J41" s="241" t="s">
        <v>60</v>
      </c>
      <c r="K41" s="242"/>
      <c r="L41" s="243"/>
    </row>
    <row r="42" spans="3:43">
      <c r="C42" s="42"/>
      <c r="D42" s="42" t="s">
        <v>61</v>
      </c>
      <c r="E42" s="42" t="s">
        <v>62</v>
      </c>
      <c r="F42" s="42" t="s">
        <v>63</v>
      </c>
      <c r="G42" s="42" t="s">
        <v>61</v>
      </c>
      <c r="H42" s="42" t="s">
        <v>62</v>
      </c>
      <c r="I42" s="42" t="s">
        <v>63</v>
      </c>
      <c r="J42" s="49" t="s">
        <v>61</v>
      </c>
      <c r="K42" s="49" t="s">
        <v>62</v>
      </c>
      <c r="L42" s="49" t="s">
        <v>63</v>
      </c>
    </row>
    <row r="43" spans="3:43">
      <c r="C43" s="47" t="s">
        <v>41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42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43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44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45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46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47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47"/>
      <c r="AO49" s="247"/>
      <c r="AP49" s="247"/>
      <c r="AQ49" s="247"/>
    </row>
    <row r="50" spans="3:43" ht="15.6">
      <c r="C50" s="47" t="s">
        <v>48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0"/>
      <c r="AO50" s="248"/>
      <c r="AP50" s="248"/>
      <c r="AQ50" s="248"/>
    </row>
    <row r="51" spans="3:43">
      <c r="C51" s="47" t="s">
        <v>49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0"/>
      <c r="AO51" s="130"/>
      <c r="AP51" s="130"/>
      <c r="AQ51" s="130"/>
    </row>
    <row r="52" spans="3:43">
      <c r="C52" s="47" t="s">
        <v>50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0"/>
      <c r="AO52" s="92"/>
      <c r="AP52" s="92"/>
      <c r="AQ52" s="131"/>
    </row>
    <row r="53" spans="3:43">
      <c r="C53" s="47" t="s">
        <v>51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0"/>
      <c r="AO53" s="92"/>
      <c r="AP53" s="92"/>
      <c r="AQ53" s="131"/>
    </row>
    <row r="54" spans="3:43">
      <c r="C54" s="47" t="s">
        <v>52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0"/>
      <c r="AO54" s="92"/>
      <c r="AP54" s="92"/>
      <c r="AQ54" s="131"/>
    </row>
    <row r="55" spans="3:43">
      <c r="C55" s="49" t="s">
        <v>65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0"/>
      <c r="AO55" s="132"/>
      <c r="AP55" s="92"/>
      <c r="AQ55" s="131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0"/>
      <c r="AO56" s="92"/>
      <c r="AP56" s="92"/>
      <c r="AQ56" s="131"/>
    </row>
    <row r="57" spans="3:43">
      <c r="AB57" s="2"/>
      <c r="AC57" s="130"/>
      <c r="AD57" s="92"/>
      <c r="AE57" s="92"/>
      <c r="AF57" s="13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38" t="s">
        <v>68</v>
      </c>
      <c r="D58" s="239"/>
      <c r="E58" s="239"/>
      <c r="F58" s="239"/>
      <c r="G58" s="239"/>
      <c r="H58" s="239"/>
      <c r="I58" s="239"/>
      <c r="J58" s="239"/>
      <c r="K58" s="239"/>
      <c r="L58" s="239"/>
      <c r="M58" s="239"/>
      <c r="N58" s="239"/>
      <c r="O58" s="240"/>
      <c r="AB58" s="2"/>
      <c r="AC58" s="130"/>
      <c r="AD58" s="92"/>
      <c r="AE58" s="92"/>
      <c r="AF58" s="13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6">
      <c r="C59" s="42"/>
      <c r="D59" s="241" t="s">
        <v>36</v>
      </c>
      <c r="E59" s="242"/>
      <c r="F59" s="243"/>
      <c r="G59" s="241" t="s">
        <v>22</v>
      </c>
      <c r="H59" s="242"/>
      <c r="I59" s="243"/>
      <c r="J59" s="241" t="s">
        <v>38</v>
      </c>
      <c r="K59" s="242"/>
      <c r="L59" s="243"/>
      <c r="M59" s="241" t="s">
        <v>60</v>
      </c>
      <c r="N59" s="242"/>
      <c r="O59" s="243"/>
      <c r="AB59" s="2"/>
      <c r="AC59" s="130"/>
      <c r="AD59" s="132"/>
      <c r="AE59" s="132"/>
      <c r="AF59" s="13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61</v>
      </c>
      <c r="E60" s="42" t="s">
        <v>62</v>
      </c>
      <c r="F60" s="42" t="s">
        <v>63</v>
      </c>
      <c r="G60" s="42" t="s">
        <v>61</v>
      </c>
      <c r="H60" s="42" t="s">
        <v>62</v>
      </c>
      <c r="I60" s="42" t="s">
        <v>63</v>
      </c>
      <c r="J60" s="42" t="s">
        <v>61</v>
      </c>
      <c r="K60" s="42" t="s">
        <v>62</v>
      </c>
      <c r="L60" s="42" t="s">
        <v>63</v>
      </c>
      <c r="M60" s="49" t="s">
        <v>61</v>
      </c>
      <c r="N60" s="49" t="s">
        <v>62</v>
      </c>
      <c r="O60" s="49" t="s">
        <v>63</v>
      </c>
      <c r="AB60" s="2"/>
      <c r="AC60" s="130"/>
      <c r="AD60" s="132"/>
      <c r="AE60" s="132"/>
      <c r="AF60" s="13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41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0"/>
      <c r="AD61" s="132"/>
      <c r="AE61" s="133"/>
      <c r="AF61" s="13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42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0"/>
      <c r="AD62" s="132"/>
      <c r="AE62" s="132"/>
      <c r="AF62" s="13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43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0"/>
      <c r="AD63" s="132"/>
      <c r="AE63" s="132"/>
      <c r="AF63" s="13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44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29"/>
      <c r="AD64" s="92"/>
      <c r="AE64" s="92"/>
      <c r="AF64" s="13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45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46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47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48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49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50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51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52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65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38" t="s">
        <v>69</v>
      </c>
      <c r="D76" s="239"/>
      <c r="E76" s="239"/>
      <c r="F76" s="239"/>
      <c r="G76" s="239"/>
      <c r="H76" s="239"/>
      <c r="I76" s="239"/>
      <c r="J76" s="239"/>
      <c r="K76" s="239"/>
      <c r="L76" s="239"/>
      <c r="M76" s="239"/>
      <c r="N76" s="239"/>
      <c r="O76" s="240"/>
    </row>
    <row r="77" spans="3:43" ht="15.6">
      <c r="C77" s="42"/>
      <c r="D77" s="241" t="s">
        <v>36</v>
      </c>
      <c r="E77" s="242"/>
      <c r="F77" s="243"/>
      <c r="G77" s="241" t="s">
        <v>22</v>
      </c>
      <c r="H77" s="242"/>
      <c r="I77" s="243"/>
      <c r="J77" s="241" t="s">
        <v>38</v>
      </c>
      <c r="K77" s="242"/>
      <c r="L77" s="243"/>
      <c r="M77" s="241" t="s">
        <v>60</v>
      </c>
      <c r="N77" s="242"/>
      <c r="O77" s="243"/>
    </row>
    <row r="78" spans="3:43">
      <c r="C78" s="42"/>
      <c r="D78" s="42" t="s">
        <v>61</v>
      </c>
      <c r="E78" s="42" t="s">
        <v>62</v>
      </c>
      <c r="F78" s="42" t="s">
        <v>63</v>
      </c>
      <c r="G78" s="42" t="s">
        <v>61</v>
      </c>
      <c r="H78" s="42" t="s">
        <v>62</v>
      </c>
      <c r="I78" s="42" t="s">
        <v>63</v>
      </c>
      <c r="J78" s="42" t="s">
        <v>61</v>
      </c>
      <c r="K78" s="42" t="s">
        <v>62</v>
      </c>
      <c r="L78" s="42" t="s">
        <v>63</v>
      </c>
      <c r="M78" s="49" t="s">
        <v>61</v>
      </c>
      <c r="N78" s="49" t="s">
        <v>62</v>
      </c>
      <c r="O78" s="49" t="s">
        <v>63</v>
      </c>
    </row>
    <row r="79" spans="3:43">
      <c r="C79" s="47" t="s">
        <v>41</v>
      </c>
      <c r="D79" s="48">
        <v>108163</v>
      </c>
      <c r="E79" s="48">
        <v>172809.64279999997</v>
      </c>
      <c r="F79" s="46">
        <f t="shared" ref="F79:F90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90" si="32">M79/N79</f>
        <v>0.79311235683040071</v>
      </c>
    </row>
    <row r="80" spans="3:43">
      <c r="C80" s="47" t="s">
        <v>42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>
      <c r="C81" s="93" t="s">
        <v>43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70</v>
      </c>
    </row>
    <row r="82" spans="3:16">
      <c r="C82" s="47" t="s">
        <v>44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>
      <c r="C83" s="47" t="s">
        <v>45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>
      <c r="C84" s="47" t="s">
        <v>46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>
      <c r="C85" s="47" t="s">
        <v>47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>
      <c r="C86" s="47" t="s">
        <v>48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>
      <c r="C87" s="47" t="s">
        <v>49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>
      <c r="C88" s="47" t="s">
        <v>50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>
      <c r="C89" s="47" t="s">
        <v>51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>
      <c r="C90" s="47" t="s">
        <v>52</v>
      </c>
      <c r="D90" s="86">
        <f>Smithfield!J6</f>
        <v>223189.5</v>
      </c>
      <c r="E90" s="86">
        <v>200509</v>
      </c>
      <c r="F90" s="46">
        <f t="shared" si="29"/>
        <v>1.1131146232837428</v>
      </c>
      <c r="G90" s="86">
        <f>Merrimack!J6</f>
        <v>141536</v>
      </c>
      <c r="H90" s="86">
        <v>186514</v>
      </c>
      <c r="I90" s="46">
        <f>G90/H90</f>
        <v>0.75884920166850744</v>
      </c>
      <c r="J90" s="86">
        <f>Westlake!J6</f>
        <v>346267</v>
      </c>
      <c r="K90" s="86">
        <v>250803</v>
      </c>
      <c r="L90" s="46">
        <f t="shared" si="31"/>
        <v>1.380633405501529</v>
      </c>
      <c r="M90" s="50">
        <f t="shared" si="35"/>
        <v>710992.5</v>
      </c>
      <c r="N90" s="50">
        <f t="shared" si="34"/>
        <v>637826</v>
      </c>
      <c r="O90" s="51">
        <f t="shared" si="32"/>
        <v>1.1147123196608479</v>
      </c>
    </row>
    <row r="91" spans="3:16">
      <c r="C91" s="49" t="s">
        <v>65</v>
      </c>
      <c r="D91" s="53">
        <f>SUM(D79:D90)</f>
        <v>4487365.2</v>
      </c>
      <c r="E91" s="53">
        <f>SUM(E79:E90)</f>
        <v>4199996.8692999994</v>
      </c>
      <c r="F91" s="55">
        <f>D91/E91</f>
        <v>1.0684210821204483</v>
      </c>
      <c r="G91" s="53">
        <f>SUM(G79:G90)</f>
        <v>3501068.3449999997</v>
      </c>
      <c r="H91" s="53">
        <f>SUM(H79:H90)</f>
        <v>3528167.0586000006</v>
      </c>
      <c r="I91" s="55">
        <f t="shared" ref="I91" si="36">G91/H91</f>
        <v>0.99231932242722265</v>
      </c>
      <c r="J91" s="53">
        <f>SUM(J79:J90)</f>
        <v>5485405.0000000009</v>
      </c>
      <c r="K91" s="53">
        <f>SUM(K79:K90)</f>
        <v>5141104.1964999996</v>
      </c>
      <c r="L91" s="55">
        <f>J91/K91</f>
        <v>1.0669702052983865</v>
      </c>
      <c r="M91" s="54">
        <f t="shared" si="35"/>
        <v>13473838.545000002</v>
      </c>
      <c r="N91" s="54">
        <f t="shared" si="34"/>
        <v>12869268.124399999</v>
      </c>
      <c r="O91" s="55">
        <f t="shared" ref="O91" si="37">M91/N91</f>
        <v>1.0469778401348049</v>
      </c>
    </row>
    <row r="94" spans="3:16">
      <c r="C94" s="238" t="s">
        <v>69</v>
      </c>
      <c r="D94" s="239"/>
      <c r="E94" s="239"/>
      <c r="F94" s="239"/>
      <c r="G94" s="239"/>
      <c r="H94" s="239"/>
      <c r="I94" s="239"/>
      <c r="J94" s="239"/>
      <c r="K94" s="239"/>
      <c r="L94" s="239"/>
      <c r="M94" s="239"/>
      <c r="N94" s="239"/>
      <c r="O94" s="240"/>
    </row>
    <row r="95" spans="3:16" ht="15.6">
      <c r="C95" s="42"/>
      <c r="D95" s="241" t="s">
        <v>36</v>
      </c>
      <c r="E95" s="242"/>
      <c r="F95" s="243"/>
      <c r="G95" s="241" t="s">
        <v>22</v>
      </c>
      <c r="H95" s="242"/>
      <c r="I95" s="243"/>
      <c r="J95" s="241" t="s">
        <v>38</v>
      </c>
      <c r="K95" s="242"/>
      <c r="L95" s="243"/>
      <c r="M95" s="241" t="s">
        <v>60</v>
      </c>
      <c r="N95" s="242"/>
      <c r="O95" s="243"/>
    </row>
    <row r="96" spans="3:16">
      <c r="C96" s="42"/>
      <c r="D96" s="42" t="s">
        <v>61</v>
      </c>
      <c r="E96" s="42" t="s">
        <v>62</v>
      </c>
      <c r="F96" s="42" t="s">
        <v>63</v>
      </c>
      <c r="G96" s="42" t="s">
        <v>61</v>
      </c>
      <c r="H96" s="42" t="s">
        <v>62</v>
      </c>
      <c r="I96" s="42" t="s">
        <v>63</v>
      </c>
      <c r="J96" s="42" t="s">
        <v>61</v>
      </c>
      <c r="K96" s="42" t="s">
        <v>62</v>
      </c>
      <c r="L96" s="42" t="s">
        <v>63</v>
      </c>
      <c r="M96" s="49" t="s">
        <v>61</v>
      </c>
      <c r="N96" s="49" t="s">
        <v>62</v>
      </c>
      <c r="O96" s="49" t="s">
        <v>63</v>
      </c>
    </row>
    <row r="97" spans="3:15" hidden="1">
      <c r="C97" s="47" t="s">
        <v>41</v>
      </c>
      <c r="D97" s="48">
        <v>194299.75</v>
      </c>
      <c r="E97" s="48">
        <v>261206.57600000006</v>
      </c>
      <c r="F97" s="46">
        <f t="shared" ref="F97:F107" si="38">D97/E97</f>
        <v>0.74385474123744866</v>
      </c>
      <c r="G97" s="48">
        <v>152720.45000000001</v>
      </c>
      <c r="H97" s="48">
        <v>225291.31930000006</v>
      </c>
      <c r="I97" s="46">
        <f t="shared" ref="I97:I107" si="39">G97/H97</f>
        <v>0.67787986893820795</v>
      </c>
      <c r="J97" s="48">
        <v>359558</v>
      </c>
      <c r="K97" s="48">
        <v>330650.56599999988</v>
      </c>
      <c r="L97" s="46">
        <f t="shared" ref="L97:L107" si="40">J97/K97</f>
        <v>1.0874259323058293</v>
      </c>
      <c r="M97" s="50">
        <f>SUM(D97,G97,J97)</f>
        <v>706578.2</v>
      </c>
      <c r="N97" s="50">
        <f>SUM(E97,H97,K97)</f>
        <v>817148.46129999997</v>
      </c>
      <c r="O97" s="51">
        <f t="shared" ref="O97:O109" si="41">M97/N97</f>
        <v>0.86468767116798584</v>
      </c>
    </row>
    <row r="98" spans="3:15" hidden="1">
      <c r="C98" s="47" t="s">
        <v>42</v>
      </c>
      <c r="D98" s="48">
        <v>232765.75</v>
      </c>
      <c r="E98" s="48">
        <v>275819.69799999992</v>
      </c>
      <c r="F98" s="46">
        <f t="shared" si="38"/>
        <v>0.8439054631986439</v>
      </c>
      <c r="G98" s="48">
        <v>125322.75</v>
      </c>
      <c r="H98" s="48">
        <v>234467.2997</v>
      </c>
      <c r="I98" s="46">
        <f t="shared" si="39"/>
        <v>0.53449990749392329</v>
      </c>
      <c r="J98" s="48">
        <v>346482</v>
      </c>
      <c r="K98" s="48">
        <v>304224.79679999995</v>
      </c>
      <c r="L98" s="46">
        <f t="shared" si="40"/>
        <v>1.1389012455410736</v>
      </c>
      <c r="M98" s="50">
        <f t="shared" ref="M98:M107" si="42">SUM(D98,G98,J98)</f>
        <v>704570.5</v>
      </c>
      <c r="N98" s="50">
        <f t="shared" ref="N98:N107" si="43">SUM(E98,H98,K98)</f>
        <v>814511.79449999984</v>
      </c>
      <c r="O98" s="51">
        <f t="shared" si="41"/>
        <v>0.86502185082845984</v>
      </c>
    </row>
    <row r="99" spans="3:15" hidden="1">
      <c r="C99" s="93" t="s">
        <v>43</v>
      </c>
      <c r="D99" s="92">
        <v>404018.25</v>
      </c>
      <c r="E99" s="94">
        <v>365174.32600000006</v>
      </c>
      <c r="F99" s="46">
        <f t="shared" si="38"/>
        <v>1.1063709062613563</v>
      </c>
      <c r="G99" s="48">
        <v>304936.25099999999</v>
      </c>
      <c r="H99" s="48">
        <v>299552.9276</v>
      </c>
      <c r="I99" s="46">
        <f t="shared" si="39"/>
        <v>1.017971192747575</v>
      </c>
      <c r="J99" s="48">
        <v>537723</v>
      </c>
      <c r="K99" s="48">
        <v>487139.34199999989</v>
      </c>
      <c r="L99" s="46">
        <f t="shared" si="40"/>
        <v>1.1038381703935547</v>
      </c>
      <c r="M99" s="50">
        <f t="shared" si="42"/>
        <v>1246677.5009999999</v>
      </c>
      <c r="N99" s="50">
        <f t="shared" si="43"/>
        <v>1151866.5955999999</v>
      </c>
      <c r="O99" s="51">
        <f t="shared" si="41"/>
        <v>1.0823106649347825</v>
      </c>
    </row>
    <row r="100" spans="3:15" hidden="1">
      <c r="C100" s="47" t="s">
        <v>44</v>
      </c>
      <c r="D100" s="92">
        <v>439579.5</v>
      </c>
      <c r="E100" s="48">
        <v>404058.087</v>
      </c>
      <c r="F100" s="46">
        <f t="shared" si="38"/>
        <v>1.0879116496930799</v>
      </c>
      <c r="G100" s="103">
        <v>341440.81690140814</v>
      </c>
      <c r="H100" s="48">
        <v>330691.26899999997</v>
      </c>
      <c r="I100" s="46">
        <f t="shared" si="39"/>
        <v>1.0325062948710877</v>
      </c>
      <c r="J100" s="86">
        <v>466366</v>
      </c>
      <c r="K100" s="48">
        <v>420008.97500000003</v>
      </c>
      <c r="L100" s="46">
        <f t="shared" si="40"/>
        <v>1.110371510513555</v>
      </c>
      <c r="M100" s="50">
        <f t="shared" si="42"/>
        <v>1247386.3169014081</v>
      </c>
      <c r="N100" s="50">
        <f t="shared" si="43"/>
        <v>1154758.331</v>
      </c>
      <c r="O100" s="51">
        <f t="shared" si="41"/>
        <v>1.0802141741823972</v>
      </c>
    </row>
    <row r="101" spans="3:15" hidden="1">
      <c r="C101" s="47" t="s">
        <v>45</v>
      </c>
      <c r="D101" s="105">
        <v>426205.5</v>
      </c>
      <c r="E101" s="48">
        <v>392392.74499999988</v>
      </c>
      <c r="F101" s="46">
        <f t="shared" si="38"/>
        <v>1.0861706935993429</v>
      </c>
      <c r="G101" s="105">
        <v>294851.58735391125</v>
      </c>
      <c r="H101" s="48">
        <v>282521.75280000007</v>
      </c>
      <c r="I101" s="46">
        <f t="shared" si="39"/>
        <v>1.0436420715633872</v>
      </c>
      <c r="J101" s="48">
        <v>526758</v>
      </c>
      <c r="K101" s="48">
        <v>496290.51</v>
      </c>
      <c r="L101" s="46">
        <f t="shared" si="40"/>
        <v>1.0613904344050422</v>
      </c>
      <c r="M101" s="50">
        <f t="shared" si="42"/>
        <v>1247815.0873539113</v>
      </c>
      <c r="N101" s="50">
        <f t="shared" si="43"/>
        <v>1171205.0078</v>
      </c>
      <c r="O101" s="51">
        <f t="shared" si="41"/>
        <v>1.0654113319561502</v>
      </c>
    </row>
    <row r="102" spans="3:15" hidden="1">
      <c r="C102" s="47" t="s">
        <v>46</v>
      </c>
      <c r="D102" s="48">
        <v>493050</v>
      </c>
      <c r="E102" s="48">
        <v>452685.08499999985</v>
      </c>
      <c r="F102" s="46">
        <f t="shared" si="38"/>
        <v>1.089167759967175</v>
      </c>
      <c r="G102" s="48">
        <v>363249.59574468061</v>
      </c>
      <c r="H102" s="48">
        <v>356731.43699999992</v>
      </c>
      <c r="I102" s="46">
        <f t="shared" si="39"/>
        <v>1.0182718932749419</v>
      </c>
      <c r="J102" s="48">
        <v>575204</v>
      </c>
      <c r="K102" s="48">
        <v>541222.24100000004</v>
      </c>
      <c r="L102" s="46">
        <f t="shared" si="40"/>
        <v>1.0627870704966094</v>
      </c>
      <c r="M102" s="50">
        <f t="shared" si="42"/>
        <v>1431503.5957446806</v>
      </c>
      <c r="N102" s="50">
        <f t="shared" si="43"/>
        <v>1350638.7629999998</v>
      </c>
      <c r="O102" s="51">
        <f t="shared" si="41"/>
        <v>1.0598715474188423</v>
      </c>
    </row>
    <row r="103" spans="3:15" hidden="1">
      <c r="C103" s="47" t="s">
        <v>47</v>
      </c>
      <c r="D103" s="48">
        <v>522988</v>
      </c>
      <c r="E103" s="48">
        <v>480180.57900000003</v>
      </c>
      <c r="F103" s="46">
        <f t="shared" si="38"/>
        <v>1.0891485888270378</v>
      </c>
      <c r="G103" s="48">
        <v>400549</v>
      </c>
      <c r="H103" s="48">
        <v>389230.01399999997</v>
      </c>
      <c r="I103" s="46">
        <f t="shared" si="39"/>
        <v>1.0290804552395079</v>
      </c>
      <c r="J103" s="48">
        <v>584796</v>
      </c>
      <c r="K103" s="48">
        <v>546596.85399999993</v>
      </c>
      <c r="L103" s="46">
        <f t="shared" si="40"/>
        <v>1.0698854113785297</v>
      </c>
      <c r="M103" s="50">
        <f t="shared" si="42"/>
        <v>1508333</v>
      </c>
      <c r="N103" s="50">
        <f t="shared" si="43"/>
        <v>1416007.4469999999</v>
      </c>
      <c r="O103" s="51">
        <f t="shared" si="41"/>
        <v>1.0652013188176404</v>
      </c>
    </row>
    <row r="104" spans="3:15">
      <c r="C104" s="47" t="s">
        <v>48</v>
      </c>
      <c r="D104" s="86">
        <v>537219.5</v>
      </c>
      <c r="E104" s="86">
        <v>498537.88899999991</v>
      </c>
      <c r="F104" s="46">
        <f t="shared" si="38"/>
        <v>1.0775901127145826</v>
      </c>
      <c r="G104" s="86">
        <v>404137.47058823518</v>
      </c>
      <c r="H104" s="86">
        <v>406788.51279999997</v>
      </c>
      <c r="I104" s="46">
        <f t="shared" si="39"/>
        <v>0.99348299637687121</v>
      </c>
      <c r="J104" s="86">
        <v>552466</v>
      </c>
      <c r="K104" s="86">
        <v>501635.62900000007</v>
      </c>
      <c r="L104" s="46">
        <f t="shared" si="40"/>
        <v>1.101329267822003</v>
      </c>
      <c r="M104" s="50">
        <f t="shared" si="42"/>
        <v>1493822.9705882352</v>
      </c>
      <c r="N104" s="50">
        <f t="shared" si="43"/>
        <v>1406962.0307999998</v>
      </c>
      <c r="O104" s="51">
        <f t="shared" si="41"/>
        <v>1.0617365201666786</v>
      </c>
    </row>
    <row r="105" spans="3:15">
      <c r="C105" s="47" t="s">
        <v>49</v>
      </c>
      <c r="D105" s="86">
        <v>424355</v>
      </c>
      <c r="E105" s="86">
        <v>393985</v>
      </c>
      <c r="F105" s="46">
        <f t="shared" si="38"/>
        <v>1.0770841529499855</v>
      </c>
      <c r="G105" s="48">
        <v>287715</v>
      </c>
      <c r="H105" s="86">
        <v>334796</v>
      </c>
      <c r="I105" s="46">
        <f t="shared" si="39"/>
        <v>0.85937406659577775</v>
      </c>
      <c r="J105" s="86">
        <v>537548</v>
      </c>
      <c r="K105" s="86">
        <v>474608</v>
      </c>
      <c r="L105" s="46">
        <f t="shared" si="40"/>
        <v>1.1326147051882818</v>
      </c>
      <c r="M105" s="50">
        <f t="shared" si="42"/>
        <v>1249618</v>
      </c>
      <c r="N105" s="50">
        <f t="shared" si="43"/>
        <v>1203389</v>
      </c>
      <c r="O105" s="51">
        <f t="shared" si="41"/>
        <v>1.0384156743995498</v>
      </c>
    </row>
    <row r="106" spans="3:15">
      <c r="C106" s="47" t="s">
        <v>50</v>
      </c>
      <c r="D106" s="86">
        <v>351940</v>
      </c>
      <c r="E106" s="19">
        <v>331548</v>
      </c>
      <c r="F106" s="46">
        <f t="shared" si="38"/>
        <v>1.0615054230458334</v>
      </c>
      <c r="G106" s="48">
        <v>231241</v>
      </c>
      <c r="H106" s="86">
        <v>276238</v>
      </c>
      <c r="I106" s="46">
        <f t="shared" si="39"/>
        <v>0.83710785626886963</v>
      </c>
      <c r="J106" s="86">
        <v>487146</v>
      </c>
      <c r="K106" s="19">
        <v>439993</v>
      </c>
      <c r="L106" s="46">
        <f t="shared" si="40"/>
        <v>1.1071676140302231</v>
      </c>
      <c r="M106" s="50">
        <f t="shared" si="42"/>
        <v>1070327</v>
      </c>
      <c r="N106" s="50">
        <f t="shared" si="43"/>
        <v>1047779</v>
      </c>
      <c r="O106" s="51">
        <f t="shared" si="41"/>
        <v>1.0215198052261021</v>
      </c>
    </row>
    <row r="107" spans="3:15">
      <c r="C107" s="47" t="s">
        <v>51</v>
      </c>
      <c r="D107" s="86">
        <v>223189.5</v>
      </c>
      <c r="E107" s="48">
        <v>219149.50599999999</v>
      </c>
      <c r="F107" s="46">
        <f t="shared" si="38"/>
        <v>1.0184348761434123</v>
      </c>
      <c r="G107" s="48">
        <v>141536</v>
      </c>
      <c r="H107" s="48">
        <v>177826.24000000002</v>
      </c>
      <c r="I107" s="46">
        <f t="shared" si="39"/>
        <v>0.79592303138164533</v>
      </c>
      <c r="J107" s="86">
        <v>346267</v>
      </c>
      <c r="K107" s="105">
        <v>334635.44469999999</v>
      </c>
      <c r="L107" s="46">
        <f t="shared" si="40"/>
        <v>1.0347588860780355</v>
      </c>
      <c r="M107" s="50">
        <f t="shared" si="42"/>
        <v>710992.5</v>
      </c>
      <c r="N107" s="50">
        <f t="shared" si="43"/>
        <v>731611.19070000004</v>
      </c>
      <c r="O107" s="51">
        <f t="shared" si="41"/>
        <v>0.97181742028812845</v>
      </c>
    </row>
    <row r="108" spans="3:15">
      <c r="C108" s="47" t="s">
        <v>52</v>
      </c>
      <c r="D108" s="86"/>
      <c r="E108" s="86"/>
      <c r="F108" s="46"/>
      <c r="G108" s="86"/>
      <c r="H108" s="86"/>
      <c r="I108" s="46"/>
      <c r="J108" s="86"/>
      <c r="K108" s="86"/>
      <c r="L108" s="46"/>
      <c r="M108" s="50"/>
      <c r="N108" s="50"/>
      <c r="O108" s="51"/>
    </row>
    <row r="109" spans="3:15">
      <c r="C109" s="49" t="s">
        <v>65</v>
      </c>
      <c r="D109" s="53">
        <f>SUM(D97:D108)</f>
        <v>4249610.75</v>
      </c>
      <c r="E109" s="53">
        <f>SUM(E97:E108)</f>
        <v>4074737.4909999999</v>
      </c>
      <c r="F109" s="55">
        <f>D109/E109</f>
        <v>1.042916447841425</v>
      </c>
      <c r="G109" s="53">
        <f>SUM(G97:G108)</f>
        <v>3047699.9215882351</v>
      </c>
      <c r="H109" s="53">
        <f>SUM(H97:H108)</f>
        <v>3314134.7722</v>
      </c>
      <c r="I109" s="55">
        <f t="shared" ref="I109" si="44">G109/H109</f>
        <v>0.91960651303420005</v>
      </c>
      <c r="J109" s="53">
        <f>SUM(J97:J108)</f>
        <v>5320314</v>
      </c>
      <c r="K109" s="53">
        <f>SUM(K97:K108)</f>
        <v>4877005.3584999992</v>
      </c>
      <c r="L109" s="55">
        <f>J109/K109</f>
        <v>1.0908977146656955</v>
      </c>
      <c r="M109" s="54">
        <f t="shared" ref="M109" si="45">SUM(D109,G109,J109)</f>
        <v>12617624.671588235</v>
      </c>
      <c r="N109" s="54">
        <f t="shared" ref="N109" si="46">SUM(E109,H109,K109)</f>
        <v>12265877.6217</v>
      </c>
      <c r="O109" s="55">
        <f t="shared" si="41"/>
        <v>1.0286768758613689</v>
      </c>
    </row>
  </sheetData>
  <mergeCells count="29">
    <mergeCell ref="C76:O76"/>
    <mergeCell ref="D77:F77"/>
    <mergeCell ref="G77:I77"/>
    <mergeCell ref="J77:L77"/>
    <mergeCell ref="M77:O77"/>
    <mergeCell ref="D59:F59"/>
    <mergeCell ref="AN49:AQ49"/>
    <mergeCell ref="AO50:AQ50"/>
    <mergeCell ref="G59:I59"/>
    <mergeCell ref="M59:O59"/>
    <mergeCell ref="J59:L59"/>
    <mergeCell ref="C58:O58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C94:O94"/>
    <mergeCell ref="D95:F95"/>
    <mergeCell ref="G95:I95"/>
    <mergeCell ref="J95:L95"/>
    <mergeCell ref="M95:O95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topLeftCell="A7" workbookViewId="0">
      <selection activeCell="A38" sqref="A38:XFD38"/>
    </sheetView>
  </sheetViews>
  <sheetFormatPr defaultRowHeight="14.4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43.15">
      <c r="A4" s="70" t="s">
        <v>71</v>
      </c>
      <c r="B4" s="71" t="s">
        <v>72</v>
      </c>
      <c r="C4" s="71" t="s">
        <v>73</v>
      </c>
      <c r="D4" s="72" t="s">
        <v>4</v>
      </c>
      <c r="E4" s="73" t="s">
        <v>74</v>
      </c>
      <c r="F4" s="60"/>
      <c r="G4" s="60"/>
      <c r="H4" s="60"/>
    </row>
    <row r="5" spans="1:8">
      <c r="A5" s="1" t="s">
        <v>36</v>
      </c>
      <c r="B5" s="1">
        <v>1</v>
      </c>
      <c r="C5" s="1">
        <f>2025</f>
        <v>2025</v>
      </c>
      <c r="D5" s="104">
        <v>173872.6</v>
      </c>
      <c r="E5" s="80"/>
    </row>
    <row r="6" spans="1:8">
      <c r="A6" s="1" t="s">
        <v>36</v>
      </c>
      <c r="B6" s="1">
        <v>2</v>
      </c>
      <c r="C6" s="1">
        <f>2025</f>
        <v>2025</v>
      </c>
      <c r="D6" s="104">
        <v>223465.4</v>
      </c>
      <c r="E6" s="81"/>
    </row>
    <row r="7" spans="1:8">
      <c r="A7" s="1" t="s">
        <v>36</v>
      </c>
      <c r="B7" s="1">
        <v>3</v>
      </c>
      <c r="C7" s="1">
        <f>2025</f>
        <v>2025</v>
      </c>
      <c r="D7" s="104">
        <v>344525.3</v>
      </c>
      <c r="E7" s="81"/>
    </row>
    <row r="8" spans="1:8">
      <c r="A8" s="1" t="s">
        <v>36</v>
      </c>
      <c r="B8" s="1">
        <v>4</v>
      </c>
      <c r="C8" s="1">
        <f>2025</f>
        <v>2025</v>
      </c>
      <c r="D8" s="104">
        <v>439674.5</v>
      </c>
      <c r="E8" s="81"/>
    </row>
    <row r="9" spans="1:8">
      <c r="A9" s="1" t="s">
        <v>36</v>
      </c>
      <c r="B9" s="1">
        <v>5</v>
      </c>
      <c r="C9" s="1">
        <f>2025</f>
        <v>2025</v>
      </c>
      <c r="D9" s="104">
        <v>455091.20000000001</v>
      </c>
      <c r="E9" s="81"/>
    </row>
    <row r="10" spans="1:8">
      <c r="A10" s="1" t="s">
        <v>36</v>
      </c>
      <c r="B10" s="1">
        <v>6</v>
      </c>
      <c r="C10" s="1">
        <f>2025</f>
        <v>2025</v>
      </c>
      <c r="D10" s="104">
        <v>491177.6</v>
      </c>
      <c r="E10" s="81"/>
    </row>
    <row r="11" spans="1:8">
      <c r="A11" s="1" t="s">
        <v>36</v>
      </c>
      <c r="B11" s="1">
        <v>7</v>
      </c>
      <c r="C11" s="1">
        <f>2025</f>
        <v>2025</v>
      </c>
      <c r="D11" s="104">
        <v>524395</v>
      </c>
      <c r="E11" s="81"/>
    </row>
    <row r="12" spans="1:8">
      <c r="A12" s="1" t="s">
        <v>36</v>
      </c>
      <c r="B12" s="1">
        <v>8</v>
      </c>
      <c r="C12" s="1">
        <f>2025</f>
        <v>2025</v>
      </c>
      <c r="D12" s="104">
        <v>488163.4</v>
      </c>
      <c r="E12" s="81"/>
    </row>
    <row r="13" spans="1:8">
      <c r="A13" s="1" t="s">
        <v>36</v>
      </c>
      <c r="B13" s="1">
        <v>9</v>
      </c>
      <c r="C13" s="1">
        <f>2025</f>
        <v>2025</v>
      </c>
      <c r="D13" s="104">
        <v>412507.2</v>
      </c>
      <c r="E13" s="81"/>
    </row>
    <row r="14" spans="1:8">
      <c r="A14" s="1" t="s">
        <v>36</v>
      </c>
      <c r="B14" s="1">
        <v>10</v>
      </c>
      <c r="C14" s="1">
        <f>2025</f>
        <v>2025</v>
      </c>
      <c r="D14" s="104">
        <v>292225.09999999998</v>
      </c>
      <c r="E14" s="81"/>
    </row>
    <row r="15" spans="1:8">
      <c r="A15" s="1" t="s">
        <v>36</v>
      </c>
      <c r="B15" s="1">
        <v>11</v>
      </c>
      <c r="C15" s="1">
        <f>2025</f>
        <v>2025</v>
      </c>
      <c r="D15" s="104">
        <v>204482.1</v>
      </c>
      <c r="E15" s="81"/>
    </row>
    <row r="16" spans="1:8">
      <c r="A16" s="1" t="s">
        <v>36</v>
      </c>
      <c r="B16" s="1">
        <v>12</v>
      </c>
      <c r="C16" s="1">
        <f>2025</f>
        <v>2025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2025</f>
        <v>2025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2025</f>
        <v>2025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2025</f>
        <v>2025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2025</f>
        <v>2025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2025</f>
        <v>2025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2025</f>
        <v>2025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2025</f>
        <v>2025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2025</f>
        <v>2025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2025</f>
        <v>2025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2025</f>
        <v>2025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2025</f>
        <v>2025</v>
      </c>
      <c r="D27" s="104">
        <v>186483.9</v>
      </c>
      <c r="E27" s="81"/>
      <c r="F27" s="89"/>
    </row>
    <row r="28" spans="1:6">
      <c r="A28" s="147" t="s">
        <v>22</v>
      </c>
      <c r="B28" s="147">
        <v>12</v>
      </c>
      <c r="C28" s="1">
        <f>2025</f>
        <v>2025</v>
      </c>
      <c r="D28" s="148">
        <v>140863.4</v>
      </c>
      <c r="E28" s="82"/>
      <c r="F28" s="89"/>
    </row>
    <row r="29" spans="1:6">
      <c r="A29" s="144" t="s">
        <v>38</v>
      </c>
      <c r="B29" s="144">
        <v>1</v>
      </c>
      <c r="C29" s="1">
        <f>2025</f>
        <v>2025</v>
      </c>
      <c r="D29" s="135">
        <v>359065</v>
      </c>
      <c r="E29" s="81"/>
    </row>
    <row r="30" spans="1:6">
      <c r="A30" s="144" t="s">
        <v>38</v>
      </c>
      <c r="B30" s="144">
        <v>2</v>
      </c>
      <c r="C30" s="1">
        <f>2025</f>
        <v>2025</v>
      </c>
      <c r="D30" s="135">
        <v>341764</v>
      </c>
      <c r="E30" s="81"/>
    </row>
    <row r="31" spans="1:6">
      <c r="A31" s="144" t="s">
        <v>38</v>
      </c>
      <c r="B31" s="144">
        <v>3</v>
      </c>
      <c r="C31" s="1">
        <f>2025</f>
        <v>2025</v>
      </c>
      <c r="D31" s="135">
        <v>409489</v>
      </c>
      <c r="E31" s="81"/>
    </row>
    <row r="32" spans="1:6">
      <c r="A32" s="144" t="s">
        <v>38</v>
      </c>
      <c r="B32" s="144">
        <v>4</v>
      </c>
      <c r="C32" s="1">
        <f>2025</f>
        <v>2025</v>
      </c>
      <c r="D32" s="135">
        <v>426854</v>
      </c>
      <c r="E32" s="81"/>
    </row>
    <row r="33" spans="1:5">
      <c r="A33" s="144" t="s">
        <v>38</v>
      </c>
      <c r="B33" s="144">
        <v>5</v>
      </c>
      <c r="C33" s="1">
        <f>2025</f>
        <v>2025</v>
      </c>
      <c r="D33" s="135">
        <v>491560</v>
      </c>
      <c r="E33" s="81"/>
    </row>
    <row r="34" spans="1:5">
      <c r="A34" s="144" t="s">
        <v>38</v>
      </c>
      <c r="B34" s="144">
        <v>6</v>
      </c>
      <c r="C34" s="1">
        <f>2025</f>
        <v>2025</v>
      </c>
      <c r="D34" s="135">
        <v>511081</v>
      </c>
      <c r="E34" s="81"/>
    </row>
    <row r="35" spans="1:5">
      <c r="A35" s="144" t="s">
        <v>38</v>
      </c>
      <c r="B35" s="144">
        <v>7</v>
      </c>
      <c r="C35" s="1">
        <f>2025</f>
        <v>2025</v>
      </c>
      <c r="D35" s="145">
        <v>528500</v>
      </c>
      <c r="E35" s="81"/>
    </row>
    <row r="36" spans="1:5">
      <c r="A36" s="144" t="s">
        <v>38</v>
      </c>
      <c r="B36" s="144">
        <v>8</v>
      </c>
      <c r="C36" s="1">
        <f>2025</f>
        <v>2025</v>
      </c>
      <c r="D36" s="135">
        <v>491649</v>
      </c>
      <c r="E36" s="81"/>
    </row>
    <row r="37" spans="1:5">
      <c r="A37" s="144" t="s">
        <v>38</v>
      </c>
      <c r="B37" s="144">
        <v>9</v>
      </c>
      <c r="C37" s="1">
        <f>2025</f>
        <v>2025</v>
      </c>
      <c r="D37" s="135">
        <v>422985</v>
      </c>
      <c r="E37" s="81"/>
    </row>
    <row r="38" spans="1:5">
      <c r="A38" s="144" t="s">
        <v>38</v>
      </c>
      <c r="B38" s="144">
        <v>10</v>
      </c>
      <c r="C38" s="1">
        <f>2025</f>
        <v>2025</v>
      </c>
      <c r="D38" s="135">
        <v>426835</v>
      </c>
      <c r="E38" s="81"/>
    </row>
    <row r="39" spans="1:5">
      <c r="A39" s="144" t="s">
        <v>38</v>
      </c>
      <c r="B39" s="144">
        <v>11</v>
      </c>
      <c r="C39" s="1">
        <f>2025</f>
        <v>2025</v>
      </c>
      <c r="D39" s="135">
        <v>378158</v>
      </c>
      <c r="E39" s="81"/>
    </row>
    <row r="40" spans="1:5">
      <c r="A40" s="144" t="s">
        <v>38</v>
      </c>
      <c r="B40" s="144">
        <v>12</v>
      </c>
      <c r="C40" s="1">
        <f>2025</f>
        <v>2025</v>
      </c>
      <c r="D40" s="146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4.4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75</v>
      </c>
      <c r="B1" s="17" t="s">
        <v>76</v>
      </c>
      <c r="C1" s="17" t="s">
        <v>77</v>
      </c>
      <c r="D1" s="32"/>
      <c r="H1" s="179" t="s">
        <v>78</v>
      </c>
      <c r="I1" s="179"/>
      <c r="J1" s="179"/>
      <c r="K1" s="179"/>
      <c r="L1" s="179"/>
      <c r="M1" s="179"/>
      <c r="N1" s="179"/>
      <c r="O1" s="179"/>
      <c r="Q1" s="32" t="s">
        <v>79</v>
      </c>
    </row>
    <row r="2" spans="1:17">
      <c r="A2" s="33" t="s">
        <v>80</v>
      </c>
      <c r="B2" s="34" t="s">
        <v>81</v>
      </c>
      <c r="C2" s="34" t="s">
        <v>82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41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42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83</v>
      </c>
      <c r="F5" s="19"/>
      <c r="G5" t="s">
        <v>84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44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45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46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47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48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49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50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51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52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75</v>
      </c>
      <c r="B1" s="17" t="s">
        <v>76</v>
      </c>
      <c r="C1" s="17" t="s">
        <v>77</v>
      </c>
      <c r="G1" t="s">
        <v>85</v>
      </c>
      <c r="P1" t="s">
        <v>86</v>
      </c>
    </row>
    <row r="2" spans="1:16">
      <c r="A2" s="16" t="s">
        <v>80</v>
      </c>
      <c r="B2" s="18" t="s">
        <v>81</v>
      </c>
      <c r="C2" s="18" t="s">
        <v>82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41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42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84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44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45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46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47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48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49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87</v>
      </c>
      <c r="F12" s="26" t="s">
        <v>50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51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52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75</v>
      </c>
      <c r="B1" s="17" t="s">
        <v>76</v>
      </c>
      <c r="C1" s="17" t="s">
        <v>77</v>
      </c>
      <c r="G1" s="179" t="s">
        <v>88</v>
      </c>
      <c r="H1" s="179"/>
      <c r="I1" s="179"/>
      <c r="J1" s="179"/>
      <c r="K1" s="179"/>
      <c r="L1" s="179"/>
      <c r="M1" s="179"/>
      <c r="N1" s="179"/>
      <c r="P1" s="32" t="s">
        <v>89</v>
      </c>
    </row>
    <row r="2" spans="1:16">
      <c r="A2" s="16" t="s">
        <v>80</v>
      </c>
      <c r="B2" s="18" t="s">
        <v>81</v>
      </c>
      <c r="C2" s="18" t="s">
        <v>82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41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42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84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44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45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46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47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48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90</v>
      </c>
      <c r="E11" s="26"/>
      <c r="F11" t="s">
        <v>49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50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51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52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75</v>
      </c>
      <c r="B1" s="17" t="s">
        <v>76</v>
      </c>
      <c r="C1" s="17" t="s">
        <v>77</v>
      </c>
      <c r="G1" s="179" t="s">
        <v>91</v>
      </c>
      <c r="H1" s="179"/>
      <c r="I1" s="179"/>
      <c r="J1" s="179"/>
      <c r="K1" s="179"/>
      <c r="L1" s="179"/>
      <c r="M1" s="179"/>
      <c r="N1" s="179"/>
      <c r="P1" s="32" t="s">
        <v>92</v>
      </c>
    </row>
    <row r="2" spans="1:16">
      <c r="A2" s="16" t="s">
        <v>80</v>
      </c>
      <c r="B2" s="18" t="s">
        <v>81</v>
      </c>
      <c r="C2" s="18" t="s">
        <v>82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41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42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84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44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45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46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47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48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93</v>
      </c>
      <c r="E11" s="26"/>
      <c r="F11" t="s">
        <v>49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50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51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52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4FB608-2C95-4CB3-B789-2A06D4831A94}"/>
</file>

<file path=customXml/itemProps2.xml><?xml version="1.0" encoding="utf-8"?>
<ds:datastoreItem xmlns:ds="http://schemas.openxmlformats.org/officeDocument/2006/customXml" ds:itemID="{8413275B-D1F6-422E-A75E-349BFCB620B4}"/>
</file>

<file path=customXml/itemProps3.xml><?xml version="1.0" encoding="utf-8"?>
<ds:datastoreItem xmlns:ds="http://schemas.openxmlformats.org/officeDocument/2006/customXml" ds:itemID="{C25757AC-F572-4FD6-8D98-A3A4BF832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Kusuma Potlada [AGS]</cp:lastModifiedBy>
  <cp:revision/>
  <dcterms:created xsi:type="dcterms:W3CDTF">2013-05-02T09:51:31Z</dcterms:created>
  <dcterms:modified xsi:type="dcterms:W3CDTF">2025-12-09T11:03:26Z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