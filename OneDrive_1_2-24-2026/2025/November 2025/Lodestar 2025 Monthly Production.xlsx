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A3514FFC-D2BB-41EC-939F-F702CB770226}" xr6:coauthVersionLast="47" xr6:coauthVersionMax="47" xr10:uidLastSave="{00000000-0000-0000-0000-000000000000}"/>
  <bookViews>
    <workbookView xWindow="-108" yWindow="-108" windowWidth="23256" windowHeight="1245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32" l="1"/>
  <c r="H30" i="32"/>
  <c r="H31" i="32"/>
  <c r="H32" i="32"/>
  <c r="H33" i="32"/>
  <c r="H34" i="32"/>
  <c r="H35" i="32"/>
  <c r="H35" i="30" s="1"/>
  <c r="I30" i="32"/>
  <c r="I31" i="32"/>
  <c r="I32" i="32"/>
  <c r="I33" i="32"/>
  <c r="I34" i="32"/>
  <c r="E29" i="32"/>
  <c r="F29" i="32" s="1"/>
  <c r="E30" i="32"/>
  <c r="F30" i="32" s="1"/>
  <c r="E31" i="32"/>
  <c r="F31" i="32" s="1"/>
  <c r="E32" i="32"/>
  <c r="F32" i="32" s="1"/>
  <c r="E33" i="32"/>
  <c r="F33" i="32" s="1"/>
  <c r="E34" i="32"/>
  <c r="F34" i="32" s="1"/>
  <c r="E35" i="32"/>
  <c r="F35" i="32" s="1"/>
  <c r="H29" i="31"/>
  <c r="I29" i="31" s="1"/>
  <c r="H30" i="31"/>
  <c r="I30" i="31" s="1"/>
  <c r="H31" i="31"/>
  <c r="I31" i="31" s="1"/>
  <c r="H32" i="31"/>
  <c r="I32" i="31" s="1"/>
  <c r="H33" i="31"/>
  <c r="I33" i="31" s="1"/>
  <c r="H34" i="31"/>
  <c r="I34" i="31" s="1"/>
  <c r="H35" i="31"/>
  <c r="I35" i="31" s="1"/>
  <c r="E29" i="31"/>
  <c r="F29" i="31" s="1"/>
  <c r="E30" i="31"/>
  <c r="F30" i="31" s="1"/>
  <c r="E31" i="31"/>
  <c r="F31" i="31" s="1"/>
  <c r="E32" i="31"/>
  <c r="F32" i="31" s="1"/>
  <c r="E33" i="31"/>
  <c r="F33" i="31" s="1"/>
  <c r="E34" i="31"/>
  <c r="F34" i="31" s="1"/>
  <c r="E35" i="31"/>
  <c r="F35" i="31" s="1"/>
  <c r="H30" i="30"/>
  <c r="H33" i="30"/>
  <c r="I33" i="30" s="1"/>
  <c r="H34" i="30"/>
  <c r="G29" i="30"/>
  <c r="G30" i="30"/>
  <c r="G31" i="30"/>
  <c r="G32" i="30"/>
  <c r="G33" i="30"/>
  <c r="G34" i="30"/>
  <c r="G35" i="30"/>
  <c r="D29" i="30"/>
  <c r="D30" i="30"/>
  <c r="D31" i="30"/>
  <c r="D32" i="30"/>
  <c r="D32" i="34" s="1"/>
  <c r="D33" i="30"/>
  <c r="D34" i="30"/>
  <c r="D35" i="30"/>
  <c r="C29" i="30"/>
  <c r="C30" i="30"/>
  <c r="E30" i="30" s="1"/>
  <c r="F30" i="30" s="1"/>
  <c r="C31" i="30"/>
  <c r="C32" i="30"/>
  <c r="C33" i="30"/>
  <c r="E33" i="30" s="1"/>
  <c r="F33" i="30" s="1"/>
  <c r="C34" i="30"/>
  <c r="C35" i="30"/>
  <c r="H35" i="18"/>
  <c r="G35" i="18"/>
  <c r="D35" i="18"/>
  <c r="C35" i="18"/>
  <c r="E35" i="18" s="1"/>
  <c r="F35" i="18" s="1"/>
  <c r="H35" i="1"/>
  <c r="G35" i="1"/>
  <c r="D35" i="1"/>
  <c r="E33" i="1"/>
  <c r="E34" i="1"/>
  <c r="C35" i="1"/>
  <c r="E35" i="1" s="1"/>
  <c r="F35" i="1" s="1"/>
  <c r="H35" i="29"/>
  <c r="G35" i="29"/>
  <c r="F29" i="29"/>
  <c r="F30" i="29"/>
  <c r="F31" i="29"/>
  <c r="F34" i="29"/>
  <c r="D35" i="29"/>
  <c r="C35" i="29"/>
  <c r="I35" i="28"/>
  <c r="H29" i="28"/>
  <c r="I29" i="28" s="1"/>
  <c r="H30" i="28"/>
  <c r="I30" i="28" s="1"/>
  <c r="H31" i="28"/>
  <c r="I31" i="28" s="1"/>
  <c r="H32" i="28"/>
  <c r="I32" i="28" s="1"/>
  <c r="H33" i="28"/>
  <c r="I33" i="28" s="1"/>
  <c r="H34" i="28"/>
  <c r="I34" i="28" s="1"/>
  <c r="H35" i="28"/>
  <c r="F35" i="28"/>
  <c r="E29" i="28"/>
  <c r="F29" i="28" s="1"/>
  <c r="E30" i="28"/>
  <c r="F30" i="28" s="1"/>
  <c r="E31" i="28"/>
  <c r="F31" i="28" s="1"/>
  <c r="E32" i="28"/>
  <c r="F32" i="28" s="1"/>
  <c r="E33" i="28"/>
  <c r="F33" i="28" s="1"/>
  <c r="E34" i="28"/>
  <c r="F34" i="28" s="1"/>
  <c r="E35" i="28"/>
  <c r="I29" i="27"/>
  <c r="I30" i="27"/>
  <c r="I31" i="27"/>
  <c r="I32" i="27"/>
  <c r="I33" i="27"/>
  <c r="I34" i="27"/>
  <c r="I35" i="27"/>
  <c r="H29" i="27"/>
  <c r="H30" i="27"/>
  <c r="H31" i="27"/>
  <c r="H32" i="27"/>
  <c r="H33" i="27"/>
  <c r="H34" i="27"/>
  <c r="H35" i="27"/>
  <c r="F29" i="27"/>
  <c r="F30" i="27"/>
  <c r="F31" i="27"/>
  <c r="F32" i="27"/>
  <c r="F33" i="27"/>
  <c r="F35" i="27"/>
  <c r="E29" i="27"/>
  <c r="E30" i="27"/>
  <c r="E31" i="27"/>
  <c r="E32" i="27"/>
  <c r="E33" i="27"/>
  <c r="E34" i="27"/>
  <c r="F34" i="27" s="1"/>
  <c r="E35" i="27"/>
  <c r="I29" i="26"/>
  <c r="I30" i="26"/>
  <c r="I31" i="26"/>
  <c r="I32" i="26"/>
  <c r="I33" i="26"/>
  <c r="I34" i="26"/>
  <c r="I35" i="26"/>
  <c r="H29" i="26"/>
  <c r="H30" i="26"/>
  <c r="H31" i="26"/>
  <c r="H32" i="26"/>
  <c r="H33" i="26"/>
  <c r="H34" i="26"/>
  <c r="H35" i="26"/>
  <c r="F29" i="26"/>
  <c r="F30" i="26"/>
  <c r="F31" i="26"/>
  <c r="F32" i="26"/>
  <c r="F33" i="26"/>
  <c r="F34" i="26"/>
  <c r="F35" i="26"/>
  <c r="E29" i="26"/>
  <c r="E30" i="26"/>
  <c r="E31" i="26"/>
  <c r="E32" i="26"/>
  <c r="E33" i="26"/>
  <c r="E34" i="26"/>
  <c r="E35" i="26"/>
  <c r="F29" i="19"/>
  <c r="F30" i="19"/>
  <c r="F31" i="19"/>
  <c r="F32" i="19"/>
  <c r="F33" i="19"/>
  <c r="F34" i="19"/>
  <c r="F35" i="19"/>
  <c r="E29" i="19"/>
  <c r="E30" i="19"/>
  <c r="E31" i="19"/>
  <c r="E32" i="19"/>
  <c r="E33" i="19"/>
  <c r="E34" i="19"/>
  <c r="E35" i="19"/>
  <c r="I29" i="19"/>
  <c r="I30" i="19"/>
  <c r="I31" i="19"/>
  <c r="I32" i="19"/>
  <c r="I33" i="19"/>
  <c r="I34" i="19"/>
  <c r="I35" i="19"/>
  <c r="H29" i="19"/>
  <c r="H30" i="19"/>
  <c r="H31" i="19"/>
  <c r="H32" i="19"/>
  <c r="H33" i="19"/>
  <c r="H34" i="19"/>
  <c r="H35" i="19"/>
  <c r="C29" i="29"/>
  <c r="D29" i="29"/>
  <c r="G29" i="29"/>
  <c r="H29" i="29"/>
  <c r="C30" i="29"/>
  <c r="D30" i="29"/>
  <c r="D30" i="34" s="1"/>
  <c r="G30" i="29"/>
  <c r="H30" i="29"/>
  <c r="C31" i="29"/>
  <c r="D31" i="29"/>
  <c r="D31" i="34" s="1"/>
  <c r="G31" i="29"/>
  <c r="H31" i="29"/>
  <c r="C32" i="29"/>
  <c r="C32" i="34" s="1"/>
  <c r="D32" i="29"/>
  <c r="G32" i="29"/>
  <c r="G32" i="34" s="1"/>
  <c r="H32" i="29"/>
  <c r="I32" i="29" s="1"/>
  <c r="C33" i="29"/>
  <c r="D33" i="29"/>
  <c r="D33" i="34" s="1"/>
  <c r="G33" i="29"/>
  <c r="G33" i="34" s="1"/>
  <c r="H33" i="29"/>
  <c r="C34" i="29"/>
  <c r="D34" i="29"/>
  <c r="E34" i="29" s="1"/>
  <c r="G34" i="29"/>
  <c r="H34" i="29"/>
  <c r="H29" i="18"/>
  <c r="H30" i="18"/>
  <c r="H31" i="18"/>
  <c r="H32" i="18"/>
  <c r="H33" i="18"/>
  <c r="H34" i="18"/>
  <c r="G29" i="18"/>
  <c r="I29" i="18" s="1"/>
  <c r="G30" i="18"/>
  <c r="I30" i="18" s="1"/>
  <c r="G31" i="18"/>
  <c r="I31" i="18" s="1"/>
  <c r="G32" i="18"/>
  <c r="I32" i="18" s="1"/>
  <c r="G33" i="18"/>
  <c r="I33" i="18" s="1"/>
  <c r="G34" i="18"/>
  <c r="I34" i="18" s="1"/>
  <c r="D29" i="18"/>
  <c r="D30" i="18"/>
  <c r="D31" i="18"/>
  <c r="D32" i="18"/>
  <c r="D33" i="18"/>
  <c r="D34" i="18"/>
  <c r="C29" i="18"/>
  <c r="C30" i="18"/>
  <c r="C31" i="18"/>
  <c r="C32" i="18"/>
  <c r="C33" i="18"/>
  <c r="C34" i="18"/>
  <c r="C34" i="34"/>
  <c r="I30" i="1"/>
  <c r="I31" i="1"/>
  <c r="I32" i="1"/>
  <c r="I33" i="1"/>
  <c r="I34" i="1"/>
  <c r="H30" i="1"/>
  <c r="H31" i="1"/>
  <c r="H32" i="1"/>
  <c r="H33" i="1"/>
  <c r="H34" i="1"/>
  <c r="G30" i="1"/>
  <c r="G31" i="1"/>
  <c r="G32" i="1"/>
  <c r="G33" i="1"/>
  <c r="G34" i="1"/>
  <c r="F30" i="1"/>
  <c r="F31" i="1"/>
  <c r="F32" i="1"/>
  <c r="F33" i="1"/>
  <c r="F34" i="1"/>
  <c r="E30" i="1"/>
  <c r="E31" i="1"/>
  <c r="E32"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9" i="1"/>
  <c r="C20" i="1"/>
  <c r="C21" i="1"/>
  <c r="C22" i="1"/>
  <c r="C23" i="1"/>
  <c r="C24" i="1"/>
  <c r="C25" i="1"/>
  <c r="C26" i="1"/>
  <c r="C27" i="1"/>
  <c r="C28" i="1"/>
  <c r="C29" i="1"/>
  <c r="E15" i="3"/>
  <c r="E16" i="3"/>
  <c r="E17" i="3"/>
  <c r="G29" i="1"/>
  <c r="D29" i="1"/>
  <c r="E29" i="1"/>
  <c r="F29" i="1" s="1"/>
  <c r="E29" i="73"/>
  <c r="F29" i="73" s="1"/>
  <c r="H29" i="3"/>
  <c r="E29" i="3"/>
  <c r="F29" i="3" s="1"/>
  <c r="H29" i="73"/>
  <c r="I29" i="73" s="1"/>
  <c r="D20" i="29"/>
  <c r="D21" i="29"/>
  <c r="D22" i="29"/>
  <c r="C20" i="29"/>
  <c r="E20" i="29" s="1"/>
  <c r="F20" i="29" s="1"/>
  <c r="C21" i="29"/>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F10" i="33"/>
  <c r="F24" i="33"/>
  <c r="E5" i="33"/>
  <c r="F5" i="33" s="1"/>
  <c r="E6" i="33"/>
  <c r="F6" i="33" s="1"/>
  <c r="E7" i="33"/>
  <c r="F7" i="33" s="1"/>
  <c r="E8" i="33"/>
  <c r="F8" i="33" s="1"/>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C21" i="30"/>
  <c r="C22" i="30"/>
  <c r="G6" i="30"/>
  <c r="G7" i="30"/>
  <c r="G8" i="30"/>
  <c r="G9" i="30"/>
  <c r="G10" i="30"/>
  <c r="G11" i="30"/>
  <c r="G12" i="30"/>
  <c r="G13" i="30"/>
  <c r="G14" i="30"/>
  <c r="G15" i="30"/>
  <c r="G16" i="30"/>
  <c r="G17" i="30"/>
  <c r="G18" i="30"/>
  <c r="G19" i="30"/>
  <c r="G20" i="30"/>
  <c r="G21" i="30"/>
  <c r="G22" i="30"/>
  <c r="G23" i="30"/>
  <c r="G24" i="30"/>
  <c r="G25" i="30"/>
  <c r="G26" i="30"/>
  <c r="G27" i="30"/>
  <c r="G28" i="30"/>
  <c r="G5" i="30"/>
  <c r="G4" i="30"/>
  <c r="H16" i="32"/>
  <c r="I16" i="32" s="1"/>
  <c r="H17" i="32"/>
  <c r="I17" i="32" s="1"/>
  <c r="H18" i="32"/>
  <c r="I18" i="32" s="1"/>
  <c r="H19" i="32"/>
  <c r="I19" i="32" s="1"/>
  <c r="H20" i="32"/>
  <c r="I20" i="32" s="1"/>
  <c r="H21" i="32"/>
  <c r="I21" i="32" s="1"/>
  <c r="H22" i="32"/>
  <c r="I22" i="32" s="1"/>
  <c r="H23" i="32"/>
  <c r="I23" i="32" s="1"/>
  <c r="H24" i="32"/>
  <c r="I24" i="32" s="1"/>
  <c r="H25" i="32"/>
  <c r="I25" i="32" s="1"/>
  <c r="H26" i="32"/>
  <c r="I26" i="32" s="1"/>
  <c r="H27" i="32"/>
  <c r="I27" i="32" s="1"/>
  <c r="E16" i="32"/>
  <c r="F16" i="32" s="1"/>
  <c r="E17" i="32"/>
  <c r="F17" i="32" s="1"/>
  <c r="E18" i="32"/>
  <c r="F18" i="32" s="1"/>
  <c r="E19" i="32"/>
  <c r="F19" i="32" s="1"/>
  <c r="E20" i="32"/>
  <c r="F20" i="32" s="1"/>
  <c r="E21" i="32"/>
  <c r="F21" i="32" s="1"/>
  <c r="E22" i="32"/>
  <c r="F22" i="32" s="1"/>
  <c r="E23" i="32"/>
  <c r="F23" i="32" s="1"/>
  <c r="E24" i="32"/>
  <c r="F24" i="32" s="1"/>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26" i="26"/>
  <c r="F28" i="26"/>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E27" i="26"/>
  <c r="F27" i="26" s="1"/>
  <c r="E28" i="26"/>
  <c r="I25" i="27"/>
  <c r="I27" i="27"/>
  <c r="I28" i="27"/>
  <c r="H15" i="27"/>
  <c r="I15" i="27" s="1"/>
  <c r="H16" i="27"/>
  <c r="I16" i="27" s="1"/>
  <c r="H17" i="27"/>
  <c r="I17" i="27" s="1"/>
  <c r="H18" i="27"/>
  <c r="I18" i="27" s="1"/>
  <c r="H19" i="27"/>
  <c r="I19" i="27" s="1"/>
  <c r="H20" i="27"/>
  <c r="I20" i="27" s="1"/>
  <c r="H21" i="27"/>
  <c r="I21" i="27" s="1"/>
  <c r="H22" i="27"/>
  <c r="I22" i="27" s="1"/>
  <c r="H23" i="27"/>
  <c r="I23" i="27" s="1"/>
  <c r="H24" i="27"/>
  <c r="I24" i="27" s="1"/>
  <c r="H25" i="27"/>
  <c r="H26" i="27"/>
  <c r="I26" i="27" s="1"/>
  <c r="H27" i="27"/>
  <c r="H28" i="27"/>
  <c r="F19" i="27"/>
  <c r="F25" i="27"/>
  <c r="F26" i="27"/>
  <c r="F27" i="27"/>
  <c r="F28" i="27"/>
  <c r="E15" i="27"/>
  <c r="F15" i="27" s="1"/>
  <c r="E16" i="27"/>
  <c r="F16" i="27" s="1"/>
  <c r="E17" i="27"/>
  <c r="F17" i="27" s="1"/>
  <c r="E18" i="27"/>
  <c r="F18" i="27" s="1"/>
  <c r="E19" i="27"/>
  <c r="E20" i="27"/>
  <c r="F20" i="27" s="1"/>
  <c r="E21" i="27"/>
  <c r="F21" i="27" s="1"/>
  <c r="E22" i="27"/>
  <c r="F22" i="27" s="1"/>
  <c r="E23" i="27"/>
  <c r="F23" i="27" s="1"/>
  <c r="E24" i="27"/>
  <c r="F24" i="27" s="1"/>
  <c r="E25" i="27"/>
  <c r="E26" i="27"/>
  <c r="E27" i="27"/>
  <c r="E28" i="27"/>
  <c r="H15" i="28"/>
  <c r="I15" i="28" s="1"/>
  <c r="H16" i="28"/>
  <c r="I16" i="28" s="1"/>
  <c r="H17" i="28"/>
  <c r="I17" i="28" s="1"/>
  <c r="H18" i="28"/>
  <c r="I18" i="28" s="1"/>
  <c r="H19" i="28"/>
  <c r="I19" i="28" s="1"/>
  <c r="H20" i="28"/>
  <c r="I20" i="28" s="1"/>
  <c r="H21" i="28"/>
  <c r="I21" i="28" s="1"/>
  <c r="H22" i="28"/>
  <c r="I22" i="28" s="1"/>
  <c r="H23" i="28"/>
  <c r="I23" i="28" s="1"/>
  <c r="H24" i="28"/>
  <c r="I24" i="28" s="1"/>
  <c r="H25" i="28"/>
  <c r="I25" i="28" s="1"/>
  <c r="H26" i="28"/>
  <c r="I26" i="28" s="1"/>
  <c r="H27" i="28"/>
  <c r="I27" i="28" s="1"/>
  <c r="H28" i="28"/>
  <c r="I28" i="28" s="1"/>
  <c r="F26" i="28"/>
  <c r="E15" i="28"/>
  <c r="F15" i="28" s="1"/>
  <c r="E16" i="28"/>
  <c r="F16" i="28" s="1"/>
  <c r="E17" i="28"/>
  <c r="F17" i="28" s="1"/>
  <c r="E18" i="28"/>
  <c r="F18" i="28" s="1"/>
  <c r="E19" i="28"/>
  <c r="F19" i="28" s="1"/>
  <c r="E20" i="28"/>
  <c r="F20" i="28" s="1"/>
  <c r="E21" i="28"/>
  <c r="F21" i="28" s="1"/>
  <c r="E22" i="28"/>
  <c r="F22" i="28" s="1"/>
  <c r="E23" i="28"/>
  <c r="F23" i="28" s="1"/>
  <c r="E24" i="28"/>
  <c r="F24" i="28" s="1"/>
  <c r="E25" i="28"/>
  <c r="F25" i="28" s="1"/>
  <c r="E26" i="28"/>
  <c r="E27" i="28"/>
  <c r="F27" i="28" s="1"/>
  <c r="E28" i="28"/>
  <c r="F28" i="28" s="1"/>
  <c r="H15" i="19"/>
  <c r="I15" i="19" s="1"/>
  <c r="H16" i="19"/>
  <c r="I16" i="19" s="1"/>
  <c r="H17" i="19"/>
  <c r="I17" i="19" s="1"/>
  <c r="H18" i="19"/>
  <c r="I18" i="19" s="1"/>
  <c r="H19" i="19"/>
  <c r="I19" i="19" s="1"/>
  <c r="H20" i="19"/>
  <c r="I20" i="19" s="1"/>
  <c r="H21" i="19"/>
  <c r="I21" i="19" s="1"/>
  <c r="H22" i="19"/>
  <c r="I22" i="19" s="1"/>
  <c r="H23" i="19"/>
  <c r="I23" i="19" s="1"/>
  <c r="H24" i="19"/>
  <c r="I24" i="19" s="1"/>
  <c r="H25" i="19"/>
  <c r="I25" i="19" s="1"/>
  <c r="H26" i="19"/>
  <c r="I26" i="19" s="1"/>
  <c r="H27" i="19"/>
  <c r="I27" i="19" s="1"/>
  <c r="H28" i="19"/>
  <c r="I28"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D20" i="18"/>
  <c r="D21" i="18"/>
  <c r="D22" i="18"/>
  <c r="D23" i="18"/>
  <c r="C20" i="18"/>
  <c r="C21" i="18"/>
  <c r="C22" i="18"/>
  <c r="E22" i="18" s="1"/>
  <c r="F22" i="18" s="1"/>
  <c r="C23" i="18"/>
  <c r="E23" i="18" s="1"/>
  <c r="F23" i="18" s="1"/>
  <c r="G5" i="18"/>
  <c r="G6" i="18"/>
  <c r="G7" i="18"/>
  <c r="G8" i="18"/>
  <c r="G9" i="18"/>
  <c r="G10" i="18"/>
  <c r="G11" i="18"/>
  <c r="G12" i="18"/>
  <c r="G13" i="18"/>
  <c r="G14" i="18"/>
  <c r="G15" i="18"/>
  <c r="G16" i="18"/>
  <c r="G17" i="18"/>
  <c r="G18" i="18"/>
  <c r="G19" i="18"/>
  <c r="G20" i="18"/>
  <c r="G21" i="18"/>
  <c r="G22" i="18"/>
  <c r="G23" i="18"/>
  <c r="G24" i="18"/>
  <c r="G25" i="18"/>
  <c r="G26" i="18"/>
  <c r="G27" i="18"/>
  <c r="G28" i="18"/>
  <c r="G4" i="18"/>
  <c r="H15" i="20"/>
  <c r="I15" i="20" s="1"/>
  <c r="H16" i="20"/>
  <c r="I16" i="20" s="1"/>
  <c r="H17" i="20"/>
  <c r="I17" i="20" s="1"/>
  <c r="H18" i="20"/>
  <c r="H19" i="20"/>
  <c r="I19" i="20" s="1"/>
  <c r="H20" i="20"/>
  <c r="I20" i="20" s="1"/>
  <c r="H21" i="20"/>
  <c r="I21" i="20" s="1"/>
  <c r="H22" i="20"/>
  <c r="I22" i="20" s="1"/>
  <c r="H23" i="20"/>
  <c r="I23" i="20" s="1"/>
  <c r="H24" i="20"/>
  <c r="I24" i="20" s="1"/>
  <c r="H25" i="20"/>
  <c r="I25" i="20" s="1"/>
  <c r="H26" i="20"/>
  <c r="I26" i="20" s="1"/>
  <c r="H27" i="20"/>
  <c r="H28" i="20"/>
  <c r="I28"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E15" i="21"/>
  <c r="F15" i="21" s="1"/>
  <c r="E16" i="21"/>
  <c r="F16" i="21" s="1"/>
  <c r="E17" i="21"/>
  <c r="F17" i="21" s="1"/>
  <c r="E18" i="21"/>
  <c r="F18" i="21" s="1"/>
  <c r="E19" i="21"/>
  <c r="F19" i="21" s="1"/>
  <c r="E20" i="21"/>
  <c r="F20" i="21" s="1"/>
  <c r="E21" i="2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C19" i="29"/>
  <c r="D19" i="29"/>
  <c r="C23" i="29"/>
  <c r="D23" i="29"/>
  <c r="H23" i="29"/>
  <c r="I23" i="29" s="1"/>
  <c r="C24" i="29"/>
  <c r="D24" i="29"/>
  <c r="C25" i="29"/>
  <c r="D25" i="29"/>
  <c r="C26" i="29"/>
  <c r="D26" i="29"/>
  <c r="C27" i="29"/>
  <c r="D27" i="29"/>
  <c r="H27" i="29"/>
  <c r="C28" i="29"/>
  <c r="D28" i="29"/>
  <c r="C17" i="18"/>
  <c r="D17" i="18"/>
  <c r="C18" i="18"/>
  <c r="D18" i="18"/>
  <c r="C19" i="18"/>
  <c r="D19" i="18"/>
  <c r="C24" i="18"/>
  <c r="D24" i="18"/>
  <c r="C25" i="18"/>
  <c r="D25" i="18"/>
  <c r="C26" i="18"/>
  <c r="D26" i="18"/>
  <c r="C27" i="18"/>
  <c r="D27" i="18"/>
  <c r="C28" i="18"/>
  <c r="D28" i="18"/>
  <c r="G31" i="34" l="1"/>
  <c r="C30" i="34"/>
  <c r="H32" i="30"/>
  <c r="I32" i="30" s="1"/>
  <c r="G23" i="34"/>
  <c r="H31" i="30"/>
  <c r="I31" i="30" s="1"/>
  <c r="E32" i="30"/>
  <c r="F32" i="30" s="1"/>
  <c r="H29" i="30"/>
  <c r="I29" i="30" s="1"/>
  <c r="I35" i="30"/>
  <c r="H35" i="34"/>
  <c r="E34" i="30"/>
  <c r="F34" i="30" s="1"/>
  <c r="I30" i="30"/>
  <c r="I35" i="32"/>
  <c r="E31" i="30"/>
  <c r="F31" i="30" s="1"/>
  <c r="D35" i="34"/>
  <c r="E29" i="30"/>
  <c r="F29" i="30" s="1"/>
  <c r="I34" i="30"/>
  <c r="I29" i="32"/>
  <c r="E22" i="30"/>
  <c r="F22" i="30" s="1"/>
  <c r="E21" i="30"/>
  <c r="F21" i="30" s="1"/>
  <c r="G35" i="34"/>
  <c r="I35" i="34" s="1"/>
  <c r="E35" i="30"/>
  <c r="F35" i="30" s="1"/>
  <c r="E20" i="30"/>
  <c r="F20" i="30" s="1"/>
  <c r="I35" i="18"/>
  <c r="I35" i="1"/>
  <c r="C35" i="34"/>
  <c r="E35" i="29"/>
  <c r="F35" i="29" s="1"/>
  <c r="I35" i="29"/>
  <c r="H25" i="29"/>
  <c r="E21" i="29"/>
  <c r="F21" i="29" s="1"/>
  <c r="H26" i="29"/>
  <c r="I26" i="29" s="1"/>
  <c r="H34" i="34"/>
  <c r="H33" i="34"/>
  <c r="I33" i="34" s="1"/>
  <c r="H30" i="34"/>
  <c r="I29" i="29"/>
  <c r="G29" i="34"/>
  <c r="D29" i="34"/>
  <c r="E30" i="34"/>
  <c r="F30" i="34" s="1"/>
  <c r="D34" i="34"/>
  <c r="E34" i="34" s="1"/>
  <c r="F34" i="34" s="1"/>
  <c r="E31" i="29"/>
  <c r="E32" i="29"/>
  <c r="F32" i="29" s="1"/>
  <c r="I30" i="29"/>
  <c r="C29" i="34"/>
  <c r="E29" i="29"/>
  <c r="E30" i="29"/>
  <c r="G30" i="34"/>
  <c r="I33" i="29"/>
  <c r="I31" i="29"/>
  <c r="H32" i="34"/>
  <c r="I32" i="34" s="1"/>
  <c r="E33" i="29"/>
  <c r="F33" i="29" s="1"/>
  <c r="I34" i="29"/>
  <c r="C33" i="34"/>
  <c r="E33" i="34" s="1"/>
  <c r="F33" i="34" s="1"/>
  <c r="E32" i="34"/>
  <c r="F32" i="34" s="1"/>
  <c r="G34" i="34"/>
  <c r="C31" i="34"/>
  <c r="E31" i="34" s="1"/>
  <c r="F31" i="34" s="1"/>
  <c r="I25" i="29"/>
  <c r="H24" i="29"/>
  <c r="I24" i="29" s="1"/>
  <c r="E22" i="29"/>
  <c r="F22" i="29" s="1"/>
  <c r="H18" i="29"/>
  <c r="I18" i="29" s="1"/>
  <c r="H27" i="18"/>
  <c r="I27" i="18" s="1"/>
  <c r="E34" i="18"/>
  <c r="F34" i="18" s="1"/>
  <c r="E33" i="18"/>
  <c r="F33" i="18" s="1"/>
  <c r="E32" i="18"/>
  <c r="F32" i="18" s="1"/>
  <c r="E31" i="18"/>
  <c r="F31" i="18" s="1"/>
  <c r="E30" i="18"/>
  <c r="F30" i="18" s="1"/>
  <c r="E29" i="18"/>
  <c r="F29" i="18" s="1"/>
  <c r="D22" i="34"/>
  <c r="C22" i="34"/>
  <c r="E21" i="18"/>
  <c r="F21" i="18" s="1"/>
  <c r="E20" i="18"/>
  <c r="F20" i="18" s="1"/>
  <c r="C21" i="34"/>
  <c r="D20" i="34"/>
  <c r="C20" i="34"/>
  <c r="H18" i="18"/>
  <c r="I18" i="18" s="1"/>
  <c r="I29" i="3"/>
  <c r="H29" i="1"/>
  <c r="I29" i="1"/>
  <c r="G22" i="34"/>
  <c r="E21" i="1"/>
  <c r="F21" i="1" s="1"/>
  <c r="H21" i="1"/>
  <c r="I21" i="1" s="1"/>
  <c r="H20" i="1"/>
  <c r="I20" i="1" s="1"/>
  <c r="H19" i="1"/>
  <c r="H28" i="29"/>
  <c r="I28" i="29" s="1"/>
  <c r="H19" i="29"/>
  <c r="I19" i="29" s="1"/>
  <c r="G20" i="34"/>
  <c r="I19" i="26"/>
  <c r="G21" i="34"/>
  <c r="H20" i="18"/>
  <c r="I20" i="18" s="1"/>
  <c r="I27"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H23" i="1"/>
  <c r="I23" i="1" s="1"/>
  <c r="H24" i="18"/>
  <c r="I24" i="18" s="1"/>
  <c r="I27" i="20"/>
  <c r="I18" i="20"/>
  <c r="I22" i="33"/>
  <c r="H20" i="29"/>
  <c r="I20" i="29" s="1"/>
  <c r="H18" i="1"/>
  <c r="H22" i="1"/>
  <c r="I22" i="1" s="1"/>
  <c r="H28" i="18"/>
  <c r="I28" i="18" s="1"/>
  <c r="H21" i="30"/>
  <c r="H20" i="30"/>
  <c r="I20" i="30" s="1"/>
  <c r="H23" i="18"/>
  <c r="I23" i="18" s="1"/>
  <c r="I23" i="21"/>
  <c r="E17" i="18"/>
  <c r="F17" i="18" s="1"/>
  <c r="I16" i="4"/>
  <c r="H16" i="1"/>
  <c r="I17" i="4"/>
  <c r="H17" i="1"/>
  <c r="E20" i="1"/>
  <c r="F20" i="1"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C28" i="34" s="1"/>
  <c r="D28" i="30"/>
  <c r="D28" i="34" s="1"/>
  <c r="H28" i="30"/>
  <c r="C18" i="30"/>
  <c r="C18" i="34" s="1"/>
  <c r="D18" i="30"/>
  <c r="D18" i="34" s="1"/>
  <c r="H18" i="30"/>
  <c r="C19" i="30"/>
  <c r="C19" i="34" s="1"/>
  <c r="D19" i="30"/>
  <c r="D19" i="34" s="1"/>
  <c r="H19" i="30"/>
  <c r="C23" i="30"/>
  <c r="C23" i="34" s="1"/>
  <c r="D23" i="34"/>
  <c r="H23" i="30"/>
  <c r="I23" i="30" s="1"/>
  <c r="C24" i="30"/>
  <c r="C24" i="34" s="1"/>
  <c r="D24" i="30"/>
  <c r="D24" i="34" s="1"/>
  <c r="H24" i="30"/>
  <c r="C25" i="30"/>
  <c r="C25" i="34" s="1"/>
  <c r="D25" i="30"/>
  <c r="D25" i="34" s="1"/>
  <c r="H25" i="30"/>
  <c r="C26" i="30"/>
  <c r="C26" i="34" s="1"/>
  <c r="D26" i="30"/>
  <c r="D26" i="34" s="1"/>
  <c r="H26" i="30"/>
  <c r="C27" i="30"/>
  <c r="C27" i="34" s="1"/>
  <c r="D27" i="30"/>
  <c r="D27" i="34" s="1"/>
  <c r="H27" i="30"/>
  <c r="C16" i="30"/>
  <c r="D16" i="30"/>
  <c r="C17" i="30"/>
  <c r="D17" i="30"/>
  <c r="C16" i="29"/>
  <c r="D16" i="29"/>
  <c r="C17" i="29"/>
  <c r="D17" i="29"/>
  <c r="D17" i="34" s="1"/>
  <c r="C16" i="18"/>
  <c r="C16" i="34" s="1"/>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29" i="34" l="1"/>
  <c r="H31" i="34"/>
  <c r="I31" i="34" s="1"/>
  <c r="E35" i="34"/>
  <c r="F35" i="34" s="1"/>
  <c r="I29" i="34"/>
  <c r="I34" i="34"/>
  <c r="C17" i="34"/>
  <c r="I30" i="34"/>
  <c r="E16" i="30"/>
  <c r="F16" i="30" s="1"/>
  <c r="E22" i="34"/>
  <c r="F22" i="34" s="1"/>
  <c r="C7" i="34"/>
  <c r="E29" i="34"/>
  <c r="F29" i="34" s="1"/>
  <c r="C6" i="34"/>
  <c r="C14" i="34"/>
  <c r="C13" i="34"/>
  <c r="C12" i="34"/>
  <c r="C11" i="34"/>
  <c r="C10" i="34"/>
  <c r="C9" i="34"/>
  <c r="C8" i="34"/>
  <c r="E21" i="34"/>
  <c r="F21" i="34" s="1"/>
  <c r="E20" i="34"/>
  <c r="F20" i="34" s="1"/>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12" i="34" l="1"/>
  <c r="F12" i="34" s="1"/>
  <c r="E11" i="34"/>
  <c r="F11" i="34" s="1"/>
  <c r="E7" i="34"/>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<sst xmlns="http://schemas.openxmlformats.org/spreadsheetml/2006/main" count="1520" uniqueCount="932">
  <si>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</si>
  <si>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</si>
  <si>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</si>
  <si>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</si>
  <si>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</si>
  <si>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</si>
  <si>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</si>
  <si>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</si>
  <si>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</si>
  <si>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</si>
  <si>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</si>
  <si>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</si>
  <si>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</si>
  <si>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</si>
  <si>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</si>
  <si>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</si>
  <si>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</si>
  <si>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</si>
  <si>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</si>
  <si>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</si>
  <si>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</si>
  <si>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</si>
  <si>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</si>
  <si>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</si>
  <si>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</si>
  <si>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</si>
  <si>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</si>
  <si>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</si>
  <si>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</si>
  <si>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</si>
  <si>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</si>
  <si>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</si>
  <si>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</si>
  <si>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</si>
  <si>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</si>
  <si>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</si>
  <si>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</si>
  <si>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</si>
  <si>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</si>
  <si>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</si>
  <si>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</si>
  <si>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</si>
  <si>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</si>
  <si>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</si>
  <si>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</si>
  <si>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</si>
  <si>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</si>
  <si>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</si>
  <si>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</si>
  <si>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</si>
  <si>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</si>
  <si>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</si>
  <si>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</si>
  <si>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</si>
  <si>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</si>
  <si>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</si>
  <si>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</si>
  <si>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</si>
  <si>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</si>
  <si>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</si>
  <si>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</si>
  <si>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</si>
  <si>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</si>
  <si>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</si>
  <si>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</si>
  <si>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</si>
  <si>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</si>
  <si>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</si>
  <si>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</si>
  <si>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</si>
  <si>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</si>
  <si>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</si>
  <si>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</si>
  <si>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</si>
  <si>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</si>
  <si>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</si>
  <si>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</si>
  <si>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</si>
  <si>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</si>
  <si>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</si>
  <si>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</si>
  <si>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</si>
  <si>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</si>
  <si>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</si>
  <si>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</si>
  <si>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</si>
  <si>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</si>
  <si>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</si>
  <si>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</si>
  <si>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</si>
  <si>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</si>
  <si>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</si>
  <si>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</si>
  <si>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</si>
  <si>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</si>
  <si>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</si>
  <si>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</si>
  <si>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</si>
  <si>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</si>
  <si>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</si>
  <si>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</si>
  <si>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</si>
  <si>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</si>
  <si>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</si>
  <si>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</si>
  <si>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</si>
  <si>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</si>
  <si>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</si>
  <si>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</si>
  <si>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</si>
  <si>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</si>
  <si>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</si>
  <si>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</si>
  <si>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</si>
  <si>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</si>
  <si>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</si>
  <si>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</si>
  <si>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</si>
  <si>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</si>
  <si>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</si>
  <si>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</si>
  <si>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</si>
  <si>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</si>
  <si>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</si>
  <si>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</si>
  <si>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</si>
  <si>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</si>
  <si>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</si>
  <si>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</si>
  <si>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</si>
  <si>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</si>
  <si>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</si>
  <si>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</si>
  <si>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</si>
  <si>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</si>
  <si>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</si>
  <si>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</si>
  <si>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</si>
  <si>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</si>
  <si>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</si>
  <si>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</si>
  <si>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</si>
  <si>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</si>
  <si>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</si>
  <si>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</si>
  <si>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</si>
  <si>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</si>
  <si>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</si>
  <si>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</si>
  <si>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</si>
  <si>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</si>
  <si>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</si>
  <si>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</si>
  <si>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</si>
  <si>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</si>
  <si>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</si>
  <si>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</si>
  <si>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</si>
  <si>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</si>
  <si>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</si>
  <si>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</si>
  <si>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</si>
  <si>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</si>
  <si>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</si>
  <si>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</si>
  <si>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</si>
  <si>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</si>
  <si>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</si>
  <si>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</si>
  <si>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</si>
  <si>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</si>
  <si>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</si>
  <si>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</si>
  <si>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</si>
  <si>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</si>
  <si>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</si>
  <si>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</si>
  <si>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</si>
  <si>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</si>
  <si>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</si>
  <si>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</si>
  <si>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</si>
  <si>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</si>
  <si>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</si>
  <si>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</si>
  <si>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</si>
  <si>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</si>
  <si>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</si>
  <si>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</si>
  <si>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</si>
  <si>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</si>
  <si>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</si>
  <si>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</si>
  <si>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</si>
  <si>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</si>
  <si>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</si>
  <si>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</si>
  <si>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</si>
  <si>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</si>
  <si>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</si>
  <si>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</si>
  <si>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</si>
  <si>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</si>
  <si>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</si>
  <si>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</si>
  <si>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</si>
  <si>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</si>
  <si>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</si>
  <si>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</si>
  <si>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</si>
  <si>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</si>
  <si>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</si>
  <si>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</si>
  <si>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</si>
  <si>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</si>
  <si>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</si>
  <si>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</si>
  <si>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</si>
  <si>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</si>
  <si>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</si>
  <si>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</si>
  <si>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</si>
  <si>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</si>
  <si>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</si>
  <si>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</si>
  <si>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</si>
  <si>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</si>
  <si>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</si>
  <si>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</si>
  <si>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</si>
  <si>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</si>
  <si>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</si>
  <si>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</si>
  <si>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</si>
  <si>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</si>
  <si>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</si>
  <si>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</si>
  <si>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</si>
  <si>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</si>
  <si>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</si>
  <si>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</si>
  <si>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</si>
  <si>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</si>
  <si>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</si>
  <si>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</si>
  <si>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</si>
  <si>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</si>
  <si>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</si>
  <si>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</si>
  <si>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</si>
  <si>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</si>
  <si>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</si>
  <si>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1.Site was offline from 03:26 on 04/16 to 09:15 on 04/17.Site was back online  after the technician has Reset the SEL and closed in the Recloser.</t>
  </si>
  <si>
    <t>1.SR099883</t>
  </si>
  <si>
    <t>1.Inverter 34 was offline from 04/01 to 13:15 on 04/02 and inverter was offline again on 04/03. On 04/04, a technician visited the site, noted that further troubleshooting is required, and confirmed the inverter is being RMAD.On 04/15 ,technicians swapped inverter 34 and it is back online at 11:30 on 04/15.
2.Inverter 13 was offline from 04/01. On 04/15, a technician visited the site and conducted troubleshooting in coordination with Solectria and advised that a firmware upgrade is necessary to proceed.Additional troubleshooting is required
3.Inverter 30 was offline from 04/09.On 04/14, a technician upon contacting Solectria, mentioned that inverter will remain offline and it was being RMA'D from 04/14.On 04/18,technician replaced rma'd inverter 30, new inverter is online and operating from 04/18.
4.Inverter 12 tripped offline at 14:45 on 04/18 due to an arc fault. The issue was cleared by a technician on 04/21, and the inverter was back online at 15:00 on 04/21
5.Inverter 1 is derating by 6kW from 14:00 on 04/19 due to an external fan error Additionally, inverter 7 is derated to 22 kW from 12:30 ,both issues got self resolved on 04/20</t>
  </si>
  <si>
    <t>1.SR099262,SR099397,SR100147
2.SR099306,SR100148
3.SR099586,SR099921
4.SR099998
5.SR100023</t>
  </si>
  <si>
    <t>SR099397</t>
  </si>
  <si>
    <t>SR100147</t>
  </si>
  <si>
    <t>SR099306</t>
  </si>
  <si>
    <t>SR100148</t>
  </si>
  <si>
    <t>SR099586</t>
  </si>
  <si>
    <t>SR099921</t>
  </si>
  <si>
    <t>SR099998</t>
  </si>
  <si>
    <t>SR100023</t>
  </si>
  <si>
    <t>1.Inverter 55 derated to 24 kW starting at 12:30 on 04/19. On 04/20, a technician visited the site and noted that a higher PV output day is required to perform effective troubleshooting</t>
  </si>
  <si>
    <t>1.SR100021</t>
  </si>
  <si>
    <t>1. Inverter 9 is underperforming approximately 12kW and Inverter 9 tripped offline at 09:45 on 04/29,technician contacted solectria team and confirmed that it will need 3 CTS to bring back the inverter online</t>
  </si>
  <si>
    <t>1.SR100605,SR100633</t>
  </si>
  <si>
    <t>SR100633</t>
  </si>
  <si>
    <t>1.Site  remained offline from 00:15 to 09:45 on 04/16.Site was back online after technician closed the breaker</t>
  </si>
  <si>
    <t>1.SR099859</t>
  </si>
  <si>
    <t>1. Inverter 2 was offline since 12/19 and will remains offline until the ground is unfrozen.
2. Inverter 24 started late for the production on 04/03 , 04/22  and 04/26  due to insulation fault.
3. Inverter 38 stopped communicating at 1:30AM from 03/11. Will investigate while next time onsite.
4. Inverters 43, 47, and 59 were derated by 4–5 kW each starting at 10:30 AM on 03/12,  due to high temperatures. On 03/19, a technician attempted to troubleshoot the issue but was unsuccessful, and SMA issued RMAs for the fans. The fans were replaced on 03/28, but the issue persisted. Further testing with SMA indicated likely power supply failures, and the powerheads were RMA’d. On 04/02, the technician replaced the RMA’d units for INV 59 and INV 47; production and communication were successfully verified through SMA and AlsoEnergy. INV 43 was also replaced, but the replacement unit had a faulty communications hard drive. It was swapped with the original unit’s drive, and production and communication were verified through SMA and AlsoEnergy
5. Inverter 39 is underperforming 3kW compared to its peers.</t>
  </si>
  <si>
    <t>1. SR097797
2. SR098200
3. SR098383
4. SR098407, SR100146
5. SR099765</t>
  </si>
  <si>
    <t>SR100146</t>
  </si>
  <si>
    <t>SR099765</t>
  </si>
  <si>
    <t>1.Inverter 49 was being RMA'D since 10/16/23.
2.Inverter 67 was being RMA'd.
3.Inverter 57 was being RMA'd.
4.Inverter 12 was being RMA'd.
5.Inverter 16 was offline since 11/13 due to Arc Protection and being RMA'd.
6. Inverter 65 started late for the production on 04/01 , 04/04  due to Insuation resistance low.
7. Inverter 56 modules are being undergoing replacment.
8. Inverter 46 had a delayed start on 04/08 . It tripped offline at 10:00 on 04/12  due to "Insulation Resistance Low," came back online at 11:00  on 04/14 , then tripped again at 13:45  on 04/26  with the same fault and returned online at 14:00 on 04/27 
9. Inverter 8 having multiple tripping events on 04/03  and  04/22 .</t>
  </si>
  <si>
    <t>1. SR088449
2. SR088450
3.SR091962
4.SR093117, SR097799
5. SR095816
6. SR098821
7. SR099331
8. SR099519
9. SR100159</t>
  </si>
  <si>
    <t>SR099331</t>
  </si>
  <si>
    <t>SR099519</t>
  </si>
  <si>
    <t>SR100159</t>
  </si>
  <si>
    <t>1. During the morning hours, the weather station has been reporting low irradiance values. We are currently working with AlsoEnergy, and they are investigating the issue.</t>
  </si>
  <si>
    <t>1. The site tripped offline at 08:15 on 04/26 due to the "No AC voltage". After the technician arrived and opened the control cabinet of the Vista switch, it was found that the SEL relay had opened and tripped. Later, the technician closed the relay, and power was restored. The site is back online at 11:45 on 04/26.
2. Inverter 61 was being RMA'd from 01/22.</t>
  </si>
  <si>
    <t xml:space="preserve">1. SR100436
2. SR097795
</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</si>
  <si>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</si>
  <si>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SR087370</t>
  </si>
  <si>
    <t xml:space="preserve">1.Inverter 16 tripped offline from 12:00 to 13:15 on 04/13 and later self-resolved.
2. The site was taken offline from 10:30 to 12:30 on 04/15 as the technician opened the recloser to isolate both transformers and later took DGA samples.
3. The site was offline at 14:00 on 04/22. When the technician arrived, he found that the recloser had tripped. After the technician reclosed the relay, the site came back online at 10:30 on 04/24.
4. Inverter 13 experienced late start issues intermittently throughout the month.
</t>
  </si>
  <si>
    <t>1. SR099745
2. SR097560
3. SR100184
4. SR097881</t>
  </si>
  <si>
    <t>SR097560</t>
  </si>
  <si>
    <t>SR100184</t>
  </si>
  <si>
    <t>SR097881</t>
  </si>
  <si>
    <t xml:space="preserve">1.Inverter 2 tripped offline at 09:45 on 04/18 and remained offline throughout the month. When the technician arrived on-site on 04/24, they stated that they would attempt to update the firmware remotely. Since that did not resolve the issue, they initiated an RMA for the inverter.
2. Inverter 9 tripped offline at 10:30 on 04/23 and came back online at 09:15 on 04/24. Additionally, inverters 33 and 37 tripped offline at 11:00 on 04/23. When the technician arrived on-site, he tested the AC and DC voltages, which appeared normal. Later, the inverters came back online at 05:45 on 04/24.
3. Inverters 81 and 83 were derating at 40 kW and reporting the alarm "External Fan Err - ExtFanerr." After the technician arrived on-site on 04  and completed the PM inspection for the day, they worked on inverters 81 and 83. The technician found blocked fans on both inverters, restored inverter 83 to full operation, and initiated an RMA for the fan on inverter 81.
</t>
  </si>
  <si>
    <t xml:space="preserve">1. SR099993, SR100279, SR100391
2. SR100230
3. SR100353
</t>
  </si>
  <si>
    <t>SR100279</t>
  </si>
  <si>
    <t>SR100391</t>
  </si>
  <si>
    <t>SR100230</t>
  </si>
  <si>
    <t>SR100353</t>
  </si>
  <si>
    <t>1.  PAD 4 tripped offline at 17:30 on 03/11 and remained offline throughout the month. Interface board and DSP board need to be replaced.
2. HEILA BESS controller 2 has tripped offline at 16:15 on 04/15 and later CES has reset the pad 2 on 04/16 at 07:00.
3. Pad 3 is in charging from clipped solar and running at a reduced capability state from 04/21
4.BESS Pad 3 has tripped offline on 04/08, on 04/29 technician noted that Module 5 battery needs to be discharged to at least 73V DC.</t>
  </si>
  <si>
    <t>1. SR098405
2.SR099855
3.SR100063
4.SR100358</t>
  </si>
  <si>
    <t>SR099855</t>
  </si>
  <si>
    <t>SR100063</t>
  </si>
  <si>
    <t>SR100358</t>
  </si>
  <si>
    <t>1. Site tripped offline at 08:15 on 04/26 due to no AC voltage and later technician reenergized the site. Site is back online at 12:15 on 04/26.</t>
  </si>
  <si>
    <t>1. SR100435</t>
  </si>
  <si>
    <t>1. Site tripped offline at 8:15 on 04/26 and later back online by auto reclose at 10:00 on 04/26.
2. Inverter 2 was offline on 04/27 and later back online on 04/28.
3. Inverter 1 was deenrgized at 10:45 and later reernergized at 15:15 due to technician on site.</t>
  </si>
  <si>
    <t>1.SR100437
2.SR100463
3. PM8093</t>
  </si>
  <si>
    <t>SR100463</t>
  </si>
  <si>
    <t xml:space="preserve">1. The site tripped offline at 08:50 on 04/20 due to a main breaker trip. A technician later closed the relay on site on 04/21, and the site came back online at 09:45 on 04/21.
2. Site tripped offline at 00:30 on 04/28 due to utility outage and later utility outage has been resolved and site is back online at 01:15 on 04/28.
</t>
  </si>
  <si>
    <t>1.SR100033
2.SR100475</t>
  </si>
  <si>
    <t>SR100475</t>
  </si>
  <si>
    <t>1.Inverter 18 was ofline since 12/08/24 due to floating capacitor high voltage. Will investigate next time onsite.</t>
  </si>
  <si>
    <t>1.	SR094254</t>
  </si>
  <si>
    <t>1. Pad 1 tripped offline at 08:00 on 04/04.On 04/09, a technician closed the relay and pad 1 was back online at 09:00 on 04/009
2. Inverters 24 and 114 are derating by 16kW each compared to its peers throughout the month</t>
  </si>
  <si>
    <t>1.SR099534
2.SR101357</t>
  </si>
  <si>
    <t>SR101357</t>
  </si>
  <si>
    <t>1. Inverter 4 has been offline since 04/19  due to an arc fault. On 04/21 , the technician checked AC/DC voltages and found no issues. In the field, a damaged panel on String 6 was identified as the likely cause. The technician bypassed the panel and cleared the fault brought back online at 09:00 the same day.
2. Site tripped offline at 08:10 on 04/26  due to "Grid line voltage out of range." Upon arrival, the technician found the SEL relay in the OPEN position. After confirming it was safe, the relay was closed at the SEL control board. Power was restored, and the site is back online at 13:00 the same day.</t>
  </si>
  <si>
    <t>1. SR100018
2. SR100440</t>
  </si>
  <si>
    <t>SR100440</t>
  </si>
  <si>
    <t>1. Site was offline at 08:10 on 04/26 due to the grid line voltage out of range. A technician closed the relay, and the site came back online at 13:00 on 04/26.
2. Inverter 4 was offline from 04/30 due to Problem with energy production.</t>
  </si>
  <si>
    <t>1.SR100441
2.SR100710</t>
  </si>
  <si>
    <t>SR100710</t>
  </si>
  <si>
    <t>1. Inverter 14 was underproducing by 5kW compared to its peers. Will investigate next time onsite.
2. Inverter 24 offline on 04/30 due to "Bus(sum) Over Voltage Fault (Fault0130)" and remained offline through the month. Powerhead replacement is required to bring it back online.
3. Site stopped communicating at 13:00 on 04/05. On 04/06, the technician found the site was producing power but not communicating with Powerdash. The DIGI modem had no cell signal. Power cycling did not restore signal. After contacting Powerdash support, the technician removed the unused external antenna, checked the connector, and repositioned the internal antenna away from the metal enclosure. The SIM card was reinserted and the modem power cycled again, restoring signal to 3/5 bars. Powerdash confirmed all equipment was back online and stated that if the issue reoccures, they will provide an external antenna replacement.
4.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5. Site has 4 meters; 2 record the bulk of production. RGM 1 is reporting 0 kW, and RGM 2 is showing low production.</t>
  </si>
  <si>
    <t>1. SR098468
2. SR098503, SR099298
3. SR099438
4. SR099815, SR099920
5. SR101029</t>
  </si>
  <si>
    <t>SR099298</t>
  </si>
  <si>
    <t>SR099438</t>
  </si>
  <si>
    <t>SR099815</t>
  </si>
  <si>
    <t>SR099920</t>
  </si>
  <si>
    <t>SR101029</t>
  </si>
  <si>
    <t>1. Site tripped offline on 04/22 at 11:00 AM due to equipment fault and critical alarm. Technician confirmed utility power was present and found the customer recloser open. No breakers were tripped, and it was safe to re-energize. The technician closed the recloser, and equipment came back online. Communications and production were confirmed by the Ameresco monitoring team. Site was restored at 16:00 the same day
2. Site stopped communicating at 06:00 on 04/12. On 04/15, the technician found the entire site offline with no visible damage. The site recloser was closed, and the site was back online by 12:00 PM, producing and communicating normally. It is recommended to replace the 5-year-old recloser batteries and perform a full site inspection.
3. Inverter 38 tripped offline at 8:05am on 04/03 due to an PF100 Production Down and resumed production at 5:30pm 04/04.</t>
  </si>
  <si>
    <t>1. SR100140
2. SR099806
3. SR099359</t>
  </si>
  <si>
    <t>SR099806</t>
  </si>
  <si>
    <t>SR099359</t>
  </si>
  <si>
    <t>May Actual v. Expected</t>
  </si>
  <si>
    <t>May Actual v. Forecasted</t>
  </si>
  <si>
    <t>1.Site tripped offline at 15:40 on 05/03 and later self resolved and  back online at 16:15 on the same  day
2.Combiner box DCP 1.16 is offline from 05/13 and back online at 11:15 on 05/14 after technician has reset the combiner box. Issue reocurred on 05/15.On 05/20,technician  found Combiner 16 was producing but continues to read erroneous values. This is indicating a faulty CT in the recombiner that would need further troubleshooting or replacement.
3. Site was offline from 09:00 to 11:00 on 05/20 as technicians were on site for preventive maintanance</t>
  </si>
  <si>
    <t>1.SR100967
2.SR101378,SR101504
3.SR101739,PM8010</t>
  </si>
  <si>
    <t>SR101378</t>
  </si>
  <si>
    <t>SR101504</t>
  </si>
  <si>
    <t>SR101739</t>
  </si>
  <si>
    <t>1.The weather station's module and ambient temperature readings have been stuck at 184.95°F and 120°F, respectively, since 05/02.Dispatch has been scheduled for the following month.
2. Inverter 15 tripped offline at 9:45 on 05/30  due to grid voltage imbalance and remained offline for rest of the  month.Dispatch has been scheduled for the following month.
3.Site was offline from 09:28 to 09:50 on 05/23</t>
  </si>
  <si>
    <t>1.SR101404
2.SR102179</t>
  </si>
  <si>
    <t>SR102179</t>
  </si>
  <si>
    <t>1.Inverter 1 was derating at 40 kW since 05/02 due to an external fan fault. During a site visit on 05/08, the technician confirmed the fan was non-operational and indicated that further troubleshooting is necessary
2. Inverter 12 tripped offline at 10:00 on 05/27 and back online at 13:15 on 05/29 inverter back online after technician coordinated with Solectria for troubleshooting, during which the arc fault was cleared.
3.Inverter 18 was derating by 20kW from 05/28 due to external fan fault.Dispatch has been scheduled for the following month.
4.Inverter 26 was derated constantly at 40kW and due to External fan fault on 05/07.Issue got resolved on 05/08  after technician cleared the fan faults</t>
  </si>
  <si>
    <t>1.SR100943
2.SR101960
3.SR102051
4.SR101111</t>
  </si>
  <si>
    <t>SR101960</t>
  </si>
  <si>
    <t>SR102051</t>
  </si>
  <si>
    <t>SR101111</t>
  </si>
  <si>
    <t>1.Site tripped offline at 15:40 on 05/03 and back online at 10:15 on 05/05.Site was back online after technician has reset and closed in the main AC breaker.</t>
  </si>
  <si>
    <t>1.SR100968</t>
  </si>
  <si>
    <t xml:space="preserve">1.Inverter 9 has been offline since 05/01. During a site visit on 04/30, the technician attempted a replacement, but the unit faulted again. The inverter will remain offline until the necessary parts are procured
2.Inverter 12 is underproducing by about 12kw since 5/13.Dispatch has been scheduled for the following month.
</t>
  </si>
  <si>
    <t>1.SR100633
2.SR102083</t>
  </si>
  <si>
    <t>SR102083</t>
  </si>
  <si>
    <t xml:space="preserve">1.Site was offline from 09:28 on 05/23 to 14:15 on 05/24 as technicians were on site for preventive maintanance
</t>
  </si>
  <si>
    <t xml:space="preserve">1.PM8112 </t>
  </si>
  <si>
    <t>1.low production/generation due to rain on 05/05,05/06 and 05/09</t>
  </si>
  <si>
    <t>1.Inverter 39 is underproducing by about 5 kW .Dispatch scheduled in the following month
2. Inverter 24 was offline for most of the days of the month and often starts late
3.Inveters  1, 2, 6, 8, 22, 35, 38, 44, 46, 48, 49, 50, 51, 52 tripped offline at 14:45  on 05/31 with arc faults.Dispatch has been scheduled for the following month.</t>
  </si>
  <si>
    <t>1.SR099765
2.SR101869
3.SR102226</t>
  </si>
  <si>
    <t>SR101869</t>
  </si>
  <si>
    <t>SR102226</t>
  </si>
  <si>
    <t>1.Inverter 49 was being RMA'D since 10/16/23.
2.Inverter 67 was being RMA'd.
3.Inverter 57 was being RMA'd.
4.Inverter 12 was being RMA'd.
5.Inverter 16 was offline since 11/13 due to Arc Protection and being RMA'd.
6.Technicians resumed delamination checks from Row 18, marking Rows 19–23 with 2,111 faulty modules logged. Additional visits are needed to complete the field.
7.Inverters  30, 46 and 64 started late for production at 10:50 on 05/04 ,later self resolved.
8. Inverter 9 and 46 were offline on 05/06 to 14:30 on 05/07 due to isolation fault.Issue got self resolved</t>
  </si>
  <si>
    <t xml:space="preserve">1.SR088449
2.SR088450,SR102089
3.SR091962
4.SR097799,SR093117
5.SR095816
6.SR099331,SR101423
7.SR100982
8.SR101104
</t>
  </si>
  <si>
    <t>SR102089</t>
  </si>
  <si>
    <t>SR101423</t>
  </si>
  <si>
    <t>SR100982</t>
  </si>
  <si>
    <t>SR101104</t>
  </si>
  <si>
    <t xml:space="preserve">1.The weather station has been reporting very low values from morning to midday from 02/28/25.On 05/14,technician found sensor had fallen down and reattached.Weather station issue was resolved since then.
2.Inverter 2 is derated and constantly producing 200kW from 05/08.On 05/14,issue got resolved after technician has troubleshoot the isssue.
</t>
  </si>
  <si>
    <t xml:space="preserve">1.SR099616
2.SR101178
</t>
  </si>
  <si>
    <t>SR101178</t>
  </si>
  <si>
    <t>1.Inverter 4 was offline from 05/06 to 10:50 on 05/07 .Inverter 4 was back online after technician has completed the troubleshooting.Additionally ,Inverter 4 has a history of late start ups throughout the month.</t>
  </si>
  <si>
    <t>1.SR101062</t>
  </si>
  <si>
    <t xml:space="preserve">1.Site production was low on 05/05 and 05/06 due to rain </t>
  </si>
  <si>
    <t>1.Inverter 69 was offline from 12:40 to 13:15 on 05/25 due to PV abnormal input.</t>
  </si>
  <si>
    <t>1.SR101921</t>
  </si>
  <si>
    <t>1.SR087370</t>
  </si>
  <si>
    <t xml:space="preserve">1.Inverter 13 was being offline for alternate days throughout the month.On 05/13,technician found Inverter was faulted with isolation fault and technician spoke with sungrow support and they stated the problem is in the array .On 05/21,technician tried to troubleshoot but failed and intiated  RMA'D from 05/21
2.Inverter 9 was started late for production at 15:15 on 05/06 .issue got self resolved.Inverter is  having history of late startups
3.Multiple inverters experienced brief production drops on 05/21 and 05/23 while technicians were onsite performing preventive maintenance </t>
  </si>
  <si>
    <t>1.SR101031,PM8011
2.SR101061
3.PM8011</t>
  </si>
  <si>
    <t>SR101061</t>
  </si>
  <si>
    <t>1. Inverters 81 and 83 were derating at 40 kW due to an external fan fault since 04/24. On 05/07, the technician replaced the fan for Inverter 81 and the power head for Inverter 2. All inverters resumed normal production from 11:00 the same day</t>
  </si>
  <si>
    <t>1.SR100353, 	SR101879</t>
  </si>
  <si>
    <t>SR101879</t>
  </si>
  <si>
    <t>1. BESS Pad 3 has tripped offline on 04/08, on 04/29 technician noted that Module 5 battery needs to be discharged to at least 73V DC.
2. HEILA BESS controller 4 tripped offline at 10:45am on 05/18. and later self resolved and back online at 07:00 on 05/19.</t>
  </si>
  <si>
    <t>1. SR100358
2. SR101648</t>
  </si>
  <si>
    <t>SR101648</t>
  </si>
  <si>
    <t>1. Inverter 17 tripped offline at 08:00 on 05/26, reporting "Insulation Resistance Low - IsolationErr." A technician later checked the site and replaced the damaged MC4 connector. The inverter was back online at 13:00 on 05/27.</t>
  </si>
  <si>
    <t>1. SR101935</t>
  </si>
  <si>
    <t>1. Inverter R 2-2 tripped offline at 07:00 on 05/25, reporting a Bus (sum) overvoltage fault. A technician inspected the site on 05/27, and the inverter was left offline. It will be RMA'd.</t>
  </si>
  <si>
    <t>1. SR101916</t>
  </si>
  <si>
    <t>1.  Inverters 13 and 25 trippped offline at 07:00 on 05/21 and Later self resolved and back online at 17:30 on 05/21.</t>
  </si>
  <si>
    <t>1. SR101787</t>
  </si>
  <si>
    <t>1.Inverter 18 was ofline since 12/08/24 due to floating capacitor high voltage. Will investigate next time onsite.
2.  Inverters 2, 5, 8, 14, 15, 19, 23, 27, 3, 17, 22 have tripped offline at 17:15 on 05/05 due to "Grid voltage imbalance". Later self resolved and back online at 19:15  on 05/05.
3. Inverters 4, 16, 31 and 32  tripped offline at 08:30 on 05/06  Later self resolved and back online at 09:00 on 05/06.
4. All inverters except Inverters 7, 20, 21 have tripped offline at 19:30 on 05/27 and reporting "Grid voltage unbalance"and Later self resolved and back online at 07:45 on 05/28.</t>
  </si>
  <si>
    <t>1. SR094254
2. SR101041
3. SR101051
4. SR102009</t>
  </si>
  <si>
    <t>SR101041</t>
  </si>
  <si>
    <t>SR101051</t>
  </si>
  <si>
    <t>SR102009</t>
  </si>
  <si>
    <t>1. Inverters 1 and 24 are tripped offline at 17:15 05/05 and reporting " Grid voltage Unbalance" and later self resolved are back online at 19:15 on 05/05.
2.  Inverters 1, 6, 8, 11, 13, 17, 20, 22, 23, 24, 28 have tripped offline at 19:30 on 05/27and reporting "Grid voltage unbalance" and later self resolved and  all inverters back online on 05/28.</t>
  </si>
  <si>
    <t>1. SR101042
2. SR102010</t>
  </si>
  <si>
    <t>SR102010</t>
  </si>
  <si>
    <t>1. Site was offline from 07:00 on 05/03 due to a "Grid line voltage out of range (GridV.OutLim)" fault and was restored at 14:00 on 05/06 after the technician re-energized the breaker.
2. Inverter 18 went offline at 13:00 on 05/06 due to "Low insulation resistance" and was back online at 16:10 the same day
3. Inverter 134 was offline from 05/09 due to a "Bus imbalance fault" and was back online at 17:00 on 05/15 after the technician troubleshot and re-energized it. Additionally, the communication card for Inverter 128 was replaced, but further troubleshooting is needed to restore communication.
4. Inverters 24 and 114 are derating by 16kW each compared to its peers.
5. Site tripped offline at 10:00 on 05/30 and was back online at 15:00 on 05/31 after the technician re-energized it by closing the SEL.</t>
  </si>
  <si>
    <t>1. SR100988
2. SR101074
3. SR101231
4. SR101357
5. SR102183</t>
  </si>
  <si>
    <t>SR101074</t>
  </si>
  <si>
    <t>SR101231</t>
  </si>
  <si>
    <t>SR102183</t>
  </si>
  <si>
    <t>1. Inverter 4 tripped offline at 16:00 on 05/24 due to an arc fault. A technician checked the site on 05/27 and re-energized the inverter after bypassing a module on string 4.8. The inverter was back online at 15:00 on 05/27.</t>
  </si>
  <si>
    <t>1. SR101920</t>
  </si>
  <si>
    <t>1. Inverter 4 back online at 06:00 on 05/01.
2. Site was offline from 06:00 on 05/15 and on 05/16, the  technician reset and re-close the site recloser and the site back online at 07:00 the same day.</t>
  </si>
  <si>
    <t>1. SR100710
2. SR101508</t>
  </si>
  <si>
    <t>SR101508</t>
  </si>
  <si>
    <t>1. Inverter 14 was underproducing by 5kW compared to its peers. Will investigate next time onsite.
2. Inverter 24 back online on 05/01 and inverter being RMA'd.
3.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4. Site has 4 meters; 2 record the bulk of production. RGM 1 is reporting 0 kW, and RGM 2 is showing low production.</t>
  </si>
  <si>
    <t>1. SR098468
2. SR099298
3. SR099815, SR099920
4. SR101029</t>
  </si>
  <si>
    <t>1.Inverter 36 stopped communicating at 10:00 on 05/26, possibly due to an onsite communication issue and a device fault. On 05/28, the technician inspected the unit and found a failed communication board. The board was replaced using a spare from stock, and the inverter was brought back online at 10:00 the same day.
2. Inverter 51 offline on 05/31 due to an "Insulation resistance is low".</t>
  </si>
  <si>
    <t>1. SR101985
2. SR102231</t>
  </si>
  <si>
    <t>SR102231</t>
  </si>
  <si>
    <t>June Actual v. Expected</t>
  </si>
  <si>
    <t>June Actual v. Forecasted</t>
  </si>
  <si>
    <t>1.Combiner box 1.15(DCP - 12) tripped offline at 14:15 on 06/09 and offline through out the month</t>
  </si>
  <si>
    <t>1.SR102739</t>
  </si>
  <si>
    <t>1.  Weather station module temperature and ambient temperature are stuck reading at 184.95 and 120 degrees Fahrenheit since 5/2. On 06/03 both sensors were RMA'd.
2. Inverter 15 tripped offline at 9:45AM on 05/30 and back online on 06/03.</t>
  </si>
  <si>
    <t>1. SR101404
2. SR102179</t>
  </si>
  <si>
    <t>1. Inverter 18 was derating by 20kW since 05/28, on 06/02 the fan was RMA'd.
2. Inverter 1 was derated to 40kW since 05/02 and on 06/02 the fan was RMA'd.</t>
  </si>
  <si>
    <t>1. SR102051
2. SR100943</t>
  </si>
  <si>
    <t>SR100943</t>
  </si>
  <si>
    <t xml:space="preserve">1. Inverter 12 was underproducing by 12kW  since 05/13 . Will need to investigate next time onsite.
2. Inverter 6 tripped offline at 11:51AM due to High frequency fault and back online at 13:15 on 06/09.
</t>
  </si>
  <si>
    <t>1. SR102083
2. SR102609</t>
  </si>
  <si>
    <t>SR102609</t>
  </si>
  <si>
    <t>1. Site stopped communication at 8:30 on 06/20. On 06/21 and site was re-energized.</t>
  </si>
  <si>
    <t>1. SR103213</t>
  </si>
  <si>
    <t>1. Inverter 53 didn't started for production on 06/15 and self-resolved  on 06/16. On 06/17 inverter started late for production at 17:45.</t>
  </si>
  <si>
    <t>1. SR102994</t>
  </si>
  <si>
    <t>1. Inverter 6 tripped offline at 14:20 due to "Grid Relay protection" fault and inverterwas RMA'd on 06/30.</t>
  </si>
  <si>
    <t>1. SR103728</t>
  </si>
  <si>
    <t>1. Inverter 1 tripped offline due to ARC fault at 16:00 on 06/24 and was RMA'd on 06/27.</t>
  </si>
  <si>
    <t>1. SR103462</t>
  </si>
  <si>
    <t>1. Site stopped communications at 15:45 on 06/10 and on 06/12 the site was re-energized.
2. Inverter 16 didn't started for production on 06/03 and on it was RMA'd on 06/12.</t>
  </si>
  <si>
    <t>1. SR102793
2. SR102374</t>
  </si>
  <si>
    <t>SR102374</t>
  </si>
  <si>
    <t>1. All 4 SKIDS tripped offline at 9:15 on 06/14 and back online on 06/18.
2. Helia Bess controller 1 tripped offline at 11:45 and self -resolved at 12:15 on 06/22.
3. Site tripped offline at 9:25 on 06/25 and back online on the same day after CES reset them.</t>
  </si>
  <si>
    <t>1. SR102978
2. SR103272
3. SR103522</t>
  </si>
  <si>
    <t>SR103272</t>
  </si>
  <si>
    <t>SR103522</t>
  </si>
  <si>
    <t xml:space="preserve"> </t>
  </si>
  <si>
    <t>1. Inverter 38 tripped offline at 14:30 due to Islanding fault on 06/04 and remained offline throughout the month.
2. Inverter 8 tripped offline at 15:15 on 06/23 due to Islanding fault and remained offline throughout the month.
3. Site tripped offline at 13:00 on 06/30 and back online at 13:30 on the sameday.
4. Inverter 37 tripped offline at 13:15 on 06/30.</t>
  </si>
  <si>
    <t>1. SR102471
2. SR103328
3. SR103767
4. SR103780</t>
  </si>
  <si>
    <t>SR103328</t>
  </si>
  <si>
    <t>SR103767</t>
  </si>
  <si>
    <t>SR103780</t>
  </si>
  <si>
    <t>1. Multiple inverters tripped offline at 8:47 due to "Grid voltage unbalance" fault and self -resolved at 10:30 on the same day.</t>
  </si>
  <si>
    <t>1. SR102985</t>
  </si>
  <si>
    <t>1. Site tripped offline at 11 on 06/02 and back online on 06/03.
2. Inverter 34 was derating by 16kW and inverters 34,42,83,85,113 are producing low 10kW each compared to its peer inverters. On 06/06 fuses were replaced for each inverter.
3. Site tripped offline at 13:00 on 06/14 and re-energized on 06/15.</t>
  </si>
  <si>
    <t>1. SR102294
2. SR102555
3. SR102977</t>
  </si>
  <si>
    <t>SR102555</t>
  </si>
  <si>
    <t>SR102977</t>
  </si>
  <si>
    <t>1. Inverter 4 was didn't started for production on multiple days throughout the month self-resolving on alterante days.</t>
  </si>
  <si>
    <t>1. SR102764</t>
  </si>
  <si>
    <t>1. Inverter 14 is underperforming by about 5kw. Will investigate next time onsite
2. Inverter 5 tripped offline at 9:25 on 06/25 and back online on 06/27, additionally screen was RMA'd.</t>
  </si>
  <si>
    <t>1. SR098468
2. SR103531</t>
  </si>
  <si>
    <t>SR103531</t>
  </si>
  <si>
    <t>1. Inverter 51 was offline on 05/31 and back online at 15:15 on 06/01.</t>
  </si>
  <si>
    <t>1. SR102231</t>
  </si>
  <si>
    <t>July Actual v. Expected</t>
  </si>
  <si>
    <t>July Actual v. Forecasted</t>
  </si>
  <si>
    <t>1. Weather station module temperature and ambient temperature are stuck reading at 184.95 and 120 degrees Fahrenheit since 5/2. On 06/03 both sensors were RMA'd.</t>
  </si>
  <si>
    <t>1. SR101404</t>
  </si>
  <si>
    <t>1. The site tripped offline at 14:30 on 07/17 due to a breaker is open. After closing the breaker, the site came back online at 14:30 on 07/18.
2. The Site tripped offline at 13:49 on 07/27 due to a main breaker trip. After resetting the breaker, the site was back online at 13:00 on 07/28.
3. Inverter 4 tripped offline at 15:30 on 07/29 due to a breaker is open. After closing the breaker inverter is back online at 13:50 on 07/30.</t>
  </si>
  <si>
    <t>1. SR104572
2. SR105130
3. SR105293</t>
  </si>
  <si>
    <t>SR105130</t>
  </si>
  <si>
    <t>SR105293</t>
  </si>
  <si>
    <t>1. Inverter H tripped offline at 12:45 on 07/11 and Reporting "Open Phase Detected". later self resolved and back online at 06:00 on 07/12.
2. inverter E dropped to under 5kw at 15:15 and late tripped offline at 17:00 on 07/15 in afternoon, reporting "critical hardware failure and open phase detected" and offline throughout the month.
3. Inverter K tripped offline at 15:15 on 07/29 and reporting "critical over temperature" and later back online at 06:00 on 07/30.
4. Inverter 12 was underproducing by 12kW  since 05/13 . Will need to investigate next time onsite.</t>
  </si>
  <si>
    <t>1. SR104334
2. SR104476
3. SR105295
4. SR102083</t>
  </si>
  <si>
    <t>SR104476</t>
  </si>
  <si>
    <t>SR105295</t>
  </si>
  <si>
    <t>1. Inverter 16 tripped offline from 09:45 to 12:00 on 07/17, and Inverter 13 tripped offline from 11:30 to 12:30 on 07/17. The issue occurred while a technician was onsite replacing modules and was later self-resolved.
2. Inverters 11 and 12 tripped offline at 08:45 on 07/22 and later self-resolved, and  back online at 12:15 on 07/22. The issue occurred while a technician was onsite for replacing modules.</t>
  </si>
  <si>
    <t>1. SR103650
2. SR103081</t>
  </si>
  <si>
    <t>SR103081</t>
  </si>
  <si>
    <t>1. The weather station readings have been dropping to their minimum values during high-irradiance afternoons.</t>
  </si>
  <si>
    <t xml:space="preserve">1. Inverter 6 tripped offline at 14:20 on 06/29 due to "Grid Relay protection" fault and inverter was RMA'd since 06/30.
2.  inverter 2 and 5 are dropped production by 10Kw down may be due to string down. </t>
  </si>
  <si>
    <t>1. SR103728
2. SR103770</t>
  </si>
  <si>
    <t>SR103770</t>
  </si>
  <si>
    <t>1.  Inverter 4 was offline at 05:30 to 15:10 on 07/28 and reporting isolation fault and later self resolved.
2. Inverter 2 was offline at 12:45 on 06/29 and later breaker reset then inverter is back online at 09:15 on 07/24.</t>
  </si>
  <si>
    <t>1. SR105176
2. SR104757</t>
  </si>
  <si>
    <t>SR104757</t>
  </si>
  <si>
    <t>1.  Inverter 1 tripped offline due to an arc fault at 16:00 on 06/24 and was RMA'd on 06/27. After replacing the inverter is back online at 12:45 on 07/11. additionally Inverter 1 again tripped offline at 18:00 on 07/15 and reporting "Grid line voltage out of range" later self resolve and back online at 06:00 07/16. and again  tripped offline at 13:45 on 07/28, 07/29 and 07/30 during afternoon and reporting "Grid line voltage out of range" and back online at 06:00 on 07/31.</t>
  </si>
  <si>
    <t>1. SR103462, SR104505, SR105297</t>
  </si>
  <si>
    <t>SR104505</t>
  </si>
  <si>
    <t>SR105297</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</si>
  <si>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 and later inverters communication back online at 22:00 on 07/31.</t>
  </si>
  <si>
    <t xml:space="preserve">1. Inverter 16 did not start production on 06/03 and was RMA'd on 06/12. After the inverter was replaced, it came back online at 12:30 on 07/23. 
2. Inverter 30 is underperforming by 10-15kw since 6/24. 
3.  Inverter 13 didn't start for production since 05/12 and was RMA'd on 05/21. After the inverter was reenergized it came back online at 12:30 on 07/23. </t>
  </si>
  <si>
    <t>1.  SR102374, SR102374
2. SR104275
3. SR101031</t>
  </si>
  <si>
    <t>SR104275</t>
  </si>
  <si>
    <t>SR101031</t>
  </si>
  <si>
    <t>1. HEILA BESS Controller 1 was tripped offline from 11:45 to 16:00 on 07/04, and again offline from 14:01 to 16:30 on 07/13.</t>
  </si>
  <si>
    <t>1. SR104017</t>
  </si>
  <si>
    <t>1. Inverter 34 is underproducing by about 10kw down Since 06/30.
2. Inverters 24, 34, and 114 were producing only 10 kW each, which was low compared to their peer inverters. On 07/15, a technician replaced the fans in all three inverters, after which they began producing as expected.
3. Inverter 104 tripped offline at 11:00 on 07/14 and reporting "Power module fault (Fault0010)" and later self resolved and back online at 06:00 on 07/15.
4. Inverter 1 tripped offline at 11:05 on 07/24 and reporting "Reading power module fault Protect0120 and increased DC voltages" and later self resolved and back online at 06:00 on 07/25..</t>
  </si>
  <si>
    <t>1. SR103781
2. SR104336
3. SR104425
4. SR104951</t>
  </si>
  <si>
    <t>SR104336</t>
  </si>
  <si>
    <t>SR104425</t>
  </si>
  <si>
    <t>SR104951</t>
  </si>
  <si>
    <t>1. Inverter 4 is tripped offline at 14:00 on 07/08 and reporting  "ARC failure detected" and later back online at 08:00 on 07/09.</t>
  </si>
  <si>
    <t>1. SR104163</t>
  </si>
  <si>
    <t>1. Inverter 4 was didn't started for production on multiple days throughout the month self-resolving on alterante days.
2. Inverter 3 was offline at 07:00 on 07/22 and later self resolved and back online at 06:00 on 07/23.
3. inverter 13 was offline since 2/5/25 and inverter is being under RMA'd.</t>
  </si>
  <si>
    <t>1. SR102764
2. SR104762
3. SR097803</t>
  </si>
  <si>
    <t>SR104762</t>
  </si>
  <si>
    <t>SR097803</t>
  </si>
  <si>
    <t>1. Inverter 13 was tripped offline at 13:00 on 07/17 and inverter is being under RMA'd.</t>
  </si>
  <si>
    <t>1. SR104528, SR104686</t>
  </si>
  <si>
    <t>SR104686</t>
  </si>
  <si>
    <t>1. Inverter 14 is underperforming by about 5kw. Will investigate next time onsite.
2. Inverter 18 is was offline since 04/09/25 and reporting "Protect0070" and inverter is being under RMA'd.
3. Inverter 5 has tripped offline at 12:00 on 06/29 and inverter is being under RMA'd.
4. Inverter 27 has tripped offline at 15:00 on 07/04 and reporting " Grid relay fault (Fault0100)" and inverter is being under RMA'd.</t>
  </si>
  <si>
    <t>1. SR098468
2. SR099815, SR099920
3. SR103531
4. SR104024</t>
  </si>
  <si>
    <t>SR104024</t>
  </si>
  <si>
    <t>1. Inverters 5, 16 and 51 have tripped offline at 16:00 on 07/01 and reporting "Insulation resistance low" all inverters self resolved and back online at 11:00 on 07/02.
2. Site tripped offline at 10:15 on 07/24 and later back online at 12:00 on 07/28. Additionally All inverters was offline at 06:00 on 07/29 and reporting "Grid line voltage out of range (GridV.OutLim) and later back online at 06:00 on 07/31.</t>
  </si>
  <si>
    <t>1. SR103870
2. SR104952</t>
  </si>
  <si>
    <t>SR104952</t>
  </si>
  <si>
    <t xml:space="preserve">1. Inverter 1 had heavy shading through out the day for whole month
2. All inverters tripped offline at 18:00 on 07/03 and reporting  "Arc fault detected" and all inverters are came back online on 07/04
3. Inverter 6 tripped offline at 11:45 on 07/08 and reporting "Ground fault detection failure". It came back online on 07/09 
4.Site was offline from 09:15 to 13:30 on 07/09  and again offline from 07:30 to 14:15 on 07/10due to  EPC to replace a CT
5. Inverters 5,8,9,10,11 &amp;15 tripped offline at 12:30 pon 07/14 and reporting "Arc fault detected" and "Internal communication 2 failure Inverter Faults Detected". Selfresolved on 07/15
6.  The meter is currently capturing excess data (~400-500 kW) irrespective of inverter production. </t>
  </si>
  <si>
    <t>2.SR103999
3.	SR104162
4.SR104187
5.SR104400
6. SR107288</t>
  </si>
  <si>
    <t>SR104162</t>
  </si>
  <si>
    <t>SR104187</t>
  </si>
  <si>
    <t>SR104400</t>
  </si>
  <si>
    <t>SR107288</t>
  </si>
  <si>
    <t>August Actual v. Expected</t>
  </si>
  <si>
    <t>August Actual v. Forecasted</t>
  </si>
  <si>
    <t>1. Inverter 1.5 was offline from 11:30 on 07/30 and came back online at 12:45 on 08/07.
2. The site tripped offline at 15:00 on 08/14 and came back online at 08:15 on 08/15.</t>
  </si>
  <si>
    <t>1. SR105374
2. SR106308</t>
  </si>
  <si>
    <t>SR106308</t>
  </si>
  <si>
    <t>1.  Weather station module temperature and ambient temperature are stuck reading at 184.95 and 120 degrees Fahrenheit since 5/2. On 06/03 both sensors were RMA'd.</t>
  </si>
  <si>
    <t>1. Inverter 1 has been derating by approximately 20 kW throughout the month.
2. Inverter 17 has been derating by approximately 20 kW throughout the month.
3. Inverter 23 was offline from 08/15 and came back online at 16:30 on 08/19. It went offline again on 08/20 and remained offline throughout the month.
4. The site tripped offline at 15:00 on 08/13 and came back online at 17:30 on the same day.</t>
  </si>
  <si>
    <t>1. SR104474
2. SR104730
3. SR106337, SR106597
4. SR106215</t>
  </si>
  <si>
    <t>SR104730</t>
  </si>
  <si>
    <t>SR106337</t>
  </si>
  <si>
    <t>SR106597</t>
  </si>
  <si>
    <t>SR106215</t>
  </si>
  <si>
    <t>1. Inverter 55 is derating by 24kW during mid of the day.</t>
  </si>
  <si>
    <t>1. Inverter 9 tripped offline at 15:00 on 08/09 and came back online at 09:30 on 08/12.
2. The site tripped offline at 08:30 on 08/15 and came back online at 08:30 on 08/16.</t>
  </si>
  <si>
    <t>1. SR105954
2. SR106327</t>
  </si>
  <si>
    <t>SR106327</t>
  </si>
  <si>
    <t>1. Inverter E was offline from 17:00 on 07/15 and came back online at 09:30 on 08/12.
2. Inverter H tripped offline at 12:00 and came back online at 15:15 on 08/17. It tripped offline again at 12:30 on 08/23 and came back online at 13:15 the same day.
3. Inverter H tripped offline at 15:45 and came back online at 17:15 on 08/29.
4. Inverter F started production late at 15:15 on 08/21.</t>
  </si>
  <si>
    <t>1. SR104476
2. SR106398
3. SR107215
4. SR106665</t>
  </si>
  <si>
    <t>SR106398</t>
  </si>
  <si>
    <t>SR107215</t>
  </si>
  <si>
    <t>SR106665</t>
  </si>
  <si>
    <t>1. Inverter 2.3 tripped offline at 15:00 on 08/10 and came back online at 14:15 on 08/11.
2. Inverter 2.2 tripped offline at 14:30 on 08/15 and came back online at 15:00 on 08/19.
3. Inverters 1.1 to 1.5 tripped offline at 10:00 on 07/31 and came back online at 13:15 on 08/01.</t>
  </si>
  <si>
    <t>1. SR105975
2. SR106358
3. SR105428</t>
  </si>
  <si>
    <t>SR106358</t>
  </si>
  <si>
    <t>SR105428</t>
  </si>
  <si>
    <t>1. Inverter 62 is underproducing approximately by 11kW from 10:45 on 06/12 and later producing as expected along with its peers from 11:30 on 08/11.
2. Inverter 39 was producing with strings 5 and 6 offline throughout the month. Approval is needed for further troubleshooting.
3. Inverter 53 tripped offline at 16:30 on 08/13 and came back online at 15:30 on 08/15.
4. Inverter 24 started producing late at 14:30 on 08/21.
5. Inverter 17 tripped offline at 08:15 on 08/25 and has remained offline since.
6. The site tripped offline at 11:45 on 08/26 and came back online at 12:30 on 08/26.</t>
  </si>
  <si>
    <t>1. SR103047
2. SR103282
3. SR106227
4. SR106661
5. SR106834, SR107298
6. SR106937</t>
  </si>
  <si>
    <t>SR103282</t>
  </si>
  <si>
    <t>SR106227</t>
  </si>
  <si>
    <t>SR106661</t>
  </si>
  <si>
    <t>SR106834</t>
  </si>
  <si>
    <t>SR107298</t>
  </si>
  <si>
    <t>SR106937</t>
  </si>
  <si>
    <t>1. Inverter 53 barely produced on 08/16 and 08/17 due to multiple trippings, and later produced as expected with its peers from 08/18.</t>
  </si>
  <si>
    <t>1. SR106388</t>
  </si>
  <si>
    <t>1. Inverter 6 has been offline since 15:20 on 06/29 and is under RMA.
2. Inverters 2 and 5 have been running with one string down each throughout the month.</t>
  </si>
  <si>
    <t>1. Inverter 1 tripped offline at 13:45 on 08/14 and came back online at 06:45 on 08/15.</t>
  </si>
  <si>
    <t>1. SR105297</t>
  </si>
  <si>
    <t>1. Inverter 61 remained offline throughout the month.
2. Inverter 69 remained offline throughout the month.
3. Inverter 65 was offline on 08/12 and came back online at 06:00 on 08/13.</t>
  </si>
  <si>
    <t>1. SR097795
2. SR101921
3. SR106070</t>
  </si>
  <si>
    <t>SR101921</t>
  </si>
  <si>
    <t>SR106070</t>
  </si>
  <si>
    <t>1. The site went offline at 22:15 on 08/24 and came back online at 14:15 on 08/25.
2. Pad 2 inverters (5 to 8) tripped offline at 17:00 on 08/26 and came back online at 08:45 on 08/27. They tripped offline again at 17:15 on 08/31.</t>
  </si>
  <si>
    <t>1. SR106814
2. SR106982</t>
  </si>
  <si>
    <t>SR106982</t>
  </si>
  <si>
    <t>1. Inverter 42 has been derating at 40 kW since 09:45 on 07/15 and later operated as expected with its peers from 15:00 on 08/05.
2. Inverter 33 tripped offline at 16:30 on 08/08 and came back online at 06:00 on 08/09.</t>
  </si>
  <si>
    <t>1. SR104475, SR104472
2. SR105929</t>
  </si>
  <si>
    <t>SR104472</t>
  </si>
  <si>
    <t>SR105929</t>
  </si>
  <si>
    <t>1. The site went offline at 20:15 on 08/13 and came back online at 11:00 on 08/14.</t>
  </si>
  <si>
    <t>1. SR106232</t>
  </si>
  <si>
    <t>1. The site tripped offline at 14:45 on 08/01 and came back online at 16:15 on 08/02.</t>
  </si>
  <si>
    <t>1. SR105514</t>
  </si>
  <si>
    <t>1. Inverter 13 tripped offline at 09:00 on 08/06 and came back online at 06:30 on 08/07.
2. Inverter 13 tripped offline at 11:30 on 08/11 and came back online at 06:30 on 08/12. It tripped offline again at 15:15 on 08/24 and came back online at 06:15 on 08/25.</t>
  </si>
  <si>
    <t>1. SR105746
2. SR106014</t>
  </si>
  <si>
    <t>SR106014</t>
  </si>
  <si>
    <t>1. Inverters 13, 25, and 37 were offline on 08/20 and came back online at 09:15 on 08/21.</t>
  </si>
  <si>
    <t>1. SR106596</t>
  </si>
  <si>
    <t>1. Inverter 18 remained offline throughout the month.
2. Inverters 4, 5, 15, 17, 23, 27, and 28 tripped offline at 16:30 on 08/09 and came back online at 07:30 on 09/10.
3. Inverters 2, 3, 4, 5, 6, 8, 10, 14, 15, 16, 17, 19, 22, 23, 24, 25, 27, 28, and 29 tripped offline at 11:15 on 08/15 and came back online at 16:15 on 08/15.
4. The site tripped offline at 15:45 on 08/13 and came back online at 17:45 on the same day.
5. Inverters 02, 03, 04, 05, 08, 10, 15, 16, 17, 19, 22, 23, 24, 25, and 28 tripped offline at 11:45 on 08/23 and came back online at 15:00 on 08/23.</t>
  </si>
  <si>
    <t>1. SR094254
2. SR105953
3. SR105953
4. SR106221
5. SR106777</t>
  </si>
  <si>
    <t>SR105953</t>
  </si>
  <si>
    <t>SR106221</t>
  </si>
  <si>
    <t>SR106777</t>
  </si>
  <si>
    <t>1. Inverter 13 tripped offline at 16:30 on 08/09 and came back online at 18:30 on the same day.
2. The site tripped offline at 15:30 and came back online at 16:50 on 08/13.
3. Inverter 1 tripped offline at 11:45 on 08/23 and came back online at 15:00 on the same day.
4. The site tripped offline at 09:15 on 08/30 and came back online at 09:45 on the same day.</t>
  </si>
  <si>
    <t>1. SR105947
2. SR106220
3. SR106776
4. SR107228</t>
  </si>
  <si>
    <t>SR106220</t>
  </si>
  <si>
    <t>SR106776</t>
  </si>
  <si>
    <t>SR107228</t>
  </si>
  <si>
    <t>1. Inverter 18 went offline on 08/14 and came back online at 07:00 on 08/15.
2. Inverter 34 is underproducing by about 10kw down Since 06/30.</t>
  </si>
  <si>
    <t>1. SR106321
2. SR103781</t>
  </si>
  <si>
    <t>SR103781</t>
  </si>
  <si>
    <t>1. The site tripped offline at 15:00 on 08/01 and came back online at 09:00 on 08/04.</t>
  </si>
  <si>
    <t>1. SR105519</t>
  </si>
  <si>
    <t>1. The site tripped offline at 15:00 on 08/01 and came back online at 12:00 on 08/02.
2. Inverter 13 was offline since 2/5/25 and inverter is being under RMA'd.</t>
  </si>
  <si>
    <t>1. SR105518
2. SR097803</t>
  </si>
  <si>
    <t>1. The site tripped offline at 15:00 on 08/01 and came back online at 14:00 on 08/02.
2. Inverter 1 has been offline since 13:00 on 07/17 and is currently under RMA.</t>
  </si>
  <si>
    <t>1. SR105520
2. SR104528, SR104686</t>
  </si>
  <si>
    <t>SR104528</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</si>
  <si>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t>
  </si>
  <si>
    <t>1. SR099815, SR099920
2. SR103531
3. SR098468
4. SR104024
5. SR105724, SR105808</t>
  </si>
  <si>
    <t>SR105724</t>
  </si>
  <si>
    <t>SR105808</t>
  </si>
  <si>
    <t>1. Inverter 40 was offline on 08/06 and came back online at 07:00 on 08/07. It started production late at 13:00 on 08/19. The inverter went offline at 12:00 on 08/27 and came back online at 07:00 on 08/28.
2. The site tripped offline at 11:00 on 08/11 and came back online at 14:00 on 08/12.
3. The site tripped offline at 15:00 on 08/21 and came back online at 09:00 on 08/22.
4. The site tripped offline at 16:00 on 08/29 and remained offline for the rest of the month.</t>
  </si>
  <si>
    <t>1. SR105747
2. SR106005
3. SR106677
4. SR107218</t>
  </si>
  <si>
    <t>SR106005</t>
  </si>
  <si>
    <t>SR106677</t>
  </si>
  <si>
    <t>SR107218</t>
  </si>
  <si>
    <t xml:space="preserve">1. All trackers were stuck at -51° and affected production during the evening for all inverters except Inverter 1.
2. The site tripped offline at 15:00 and came back online at 17:00 on 08/13.
3.  The meter is currently capturing excess data (~400-500 kW) irrespective of inverter production. </t>
  </si>
  <si>
    <t>1. SR105950
2. SR106216
3. SR107288</t>
  </si>
  <si>
    <t>SR106216</t>
  </si>
  <si>
    <t>September Actual v. Expected</t>
  </si>
  <si>
    <t>September Actual v. Forecasted</t>
  </si>
  <si>
    <t>1. The site went offline at 17:45 on 09/14 and came back online at 10:15 on 09/15.</t>
  </si>
  <si>
    <t>1. SR107947</t>
  </si>
  <si>
    <t>1. The site went offline at 13:45 on 09/06 and came back online at 12:00 on 09/08.
2.Weather station module temperature and ambient temperature are stuck reading at 184.95 and 120 degrees Fahrenheit since 5/2. On 06/03 both sensors were RMA'd.</t>
  </si>
  <si>
    <t>1. SR107560
2.SR101404</t>
  </si>
  <si>
    <t>SR101404</t>
  </si>
  <si>
    <t>1. Inverter 1 has been derating by approximately 20 kW throughout the month.
2. Inverter 17 has been derating by approximately 20 kW throughout the month.
3. Inverter 12 tripped offline at 15:30 on 09/30.
4. Inverter 12 tripped offline at 16:45 on 09/04 and came back online at 07:15 on 09/11.
5. Inverter 23 was offline throughout the month.</t>
  </si>
  <si>
    <t>1. SR104474
2. SR104730
3. SR108793
4. SR107482
5. SR106597</t>
  </si>
  <si>
    <t>SR108793</t>
  </si>
  <si>
    <t>SR107482</t>
  </si>
  <si>
    <t>1. The site tripped offline at 09:15 and came back online at 14:00 on 09/19.</t>
  </si>
  <si>
    <t>1. SR108267</t>
  </si>
  <si>
    <t>1. Inverter IH tripped offline at 14:00 on 09/01 and came back online at 06:30 on 09/02.
2. Inverter IF started production late at 15:30 on 09/05.
3. Inverter IF was offline on 09/07.
4. Inverter IB has been offline since 09/11.
5. Inverter IH was offline from 13:45 to 15:45 on 09/18.
6. Inverter IH tripped offline at 15:15 on 09/21 and came back online at 06:30 on 09/22. It again tripped offline at 13:45 on 09/22 and came back online at 17:30 on the same day.
7. Inverter IF remained offline on 09/25.
8. Inverter IK tripped offline at 12:30 on 09/28 and came back online at 07:00 on 09/29.</t>
  </si>
  <si>
    <t>1. SR107215
2. SR106665
3. SR106665
4. SR107886
5. SR108252
6. SR108326
7. SR106665
8. SR108702</t>
  </si>
  <si>
    <t>SR107886</t>
  </si>
  <si>
    <t>SR108252</t>
  </si>
  <si>
    <t>SR108326</t>
  </si>
  <si>
    <t>SR108702</t>
  </si>
  <si>
    <t>1. The site tripped offline at 14:00 on 09/06 and came back online at 12:45 on 09/07. 
2. The site went offline at 17:45 on 09/07 and came back online at 11:00 on 09/08.</t>
  </si>
  <si>
    <t>1. SR107559
2. SR107590</t>
  </si>
  <si>
    <t>SR107590</t>
  </si>
  <si>
    <t>1. Inverter 1, combiner box 1.5 tripped offline at 07:45 on 09/20 and came back online at 16:00 on 09/26.
2. Combiner box 1.13 was offline throughout the month.</t>
  </si>
  <si>
    <t>1. SR108313
2. SR103565</t>
  </si>
  <si>
    <t>SR103565</t>
  </si>
  <si>
    <t>1. Inverter 39 was producing with strings 5 and 6 offline throughout the month. Approval is needed for further troubleshooting.
2. Inverter 17 was offline from 08:15 on 08/25 and came back online at 13:15 on 09/04. It again tripped offline at 08:15 on 09/08 and came back online at 11:15 on 09/09.
3. Inverter 24 was offline on 09/24 and 09/25, and came back online at 08:30 on 09/26.</t>
  </si>
  <si>
    <t>1. SR103282
2. SR107298, SR106834
3. SR108489</t>
  </si>
  <si>
    <t>SR108489</t>
  </si>
  <si>
    <t>1. Inverter 5 was offline on 09/14 and came back online at 14:45 on 09/15.
2. Inverter 65 was offline on 09/24 and 09/25 and came back online at 09:30 on 09/26.</t>
  </si>
  <si>
    <t>1. SR107940
2. SR108490</t>
  </si>
  <si>
    <t>SR108490</t>
  </si>
  <si>
    <t>1. Inverter 1 was barely producing and later tripped offline at 07:00 on 09/11, reporting 'Grid line voltage out of range.' It remained offline throughout the month and is currently under RMA.</t>
  </si>
  <si>
    <t>1. Inverter 61 remained offline throughout the month.
2. Inverter 69  tripped offline at 13:45 since 06/24 and reporting grid line voltage out of range and inverter is back online at 16:15 on 09/22. 
3. Inverter 65 tripped offline at 14:30 on 09/09 and reporting "bus(sum) over voltage fault bus sum high fault - fault0130" and later back online at 07:00 on 09/10.
4. SIte tripped offline at 00:15 due to recloser open after technician closed the relay the site is back online at 09:15 on 09/26.</t>
  </si>
  <si>
    <t>1. SR097795
2. SR101921
3. SR107728
4. SR108585</t>
  </si>
  <si>
    <t>SR107728</t>
  </si>
  <si>
    <t>SR108585</t>
  </si>
  <si>
    <t>1. Pad 2 inverters (5 to 8) tripped offline at 17:15 on 08/31 and back online at 07:00 on 09/01.
2. Inverters 1 to 4 and 13 to 16 have tripped offline 11:15 on 09/01 after remote reset all inverters are back online at 12:45 on 09/01.
3. Site was offline at 01:00 on 09/05 due to relay open after technician closed the relay the site is back online at 11:00 on 09/05.
4. Site was offline at 13:45 on 09/06 due to relay open after technician closed the relay the site is back online at 09:00 on 09/08.
5.  Inverters 1-4 and 13-16 tripped offline at 14:15 on 09/14 and reporting "Emergency stop" and back online at 07:00 on 09/15.</t>
  </si>
  <si>
    <t>1. SR106982
2. SR106982
3. SR107488
4. SR107557
5. SR107942</t>
  </si>
  <si>
    <t>SR107488</t>
  </si>
  <si>
    <t>SR107557</t>
  </si>
  <si>
    <t>SR107942</t>
  </si>
  <si>
    <t>1. Inverter 13 was offline at 07:00 on 09/07 and came back online at 14:00 on 09/07. It went offline again at 07:00 on 09/24 and was back online at 12:15 on 09/25.
2.  Inverter 1 has been underproducing by 13 kW, possibly due to a string being down since 09/08.</t>
  </si>
  <si>
    <t>1. SR107577
2. SR107644</t>
  </si>
  <si>
    <t>SR107644</t>
  </si>
  <si>
    <t>1. Site tripped offline at 16:04 on 09/06 due to severe storms and back online at 13:45 on 09/07.
2. Inverter 78 has tripped offline at 14:30 on 09/07 and reporting "Grid Under Frequency - GridF.OutLim" and after replacing the powerhead, the inverter came back online at 12:30 on 09/16.</t>
  </si>
  <si>
    <t>1. SR107558
2. SR107589</t>
  </si>
  <si>
    <t>SR107589</t>
  </si>
  <si>
    <t>1. PAD 4 inverters went offline at 14:15 on 09/13, reporting 'AC disconnected and grid shutdown.' After replacing the fuses, the inverters came back online at 10:30 on 09/16.
2. PADs 1-3 inverters went offline at 07:00 on 09/24 and back online at 12:00 on 09/25.</t>
  </si>
  <si>
    <t>1. SR107927
2. SR108457</t>
  </si>
  <si>
    <t>SR108457</t>
  </si>
  <si>
    <t>1.  Inverter 28 tripped offline at 14:30 on 09/09 and reporting "PV abnormal input" and back online at 17:00 on 09/09.
2. Inverter 36 tripped offline at 14:30 on 09/09, reporting 'Bus Sum Over Voltage Fault / Bus Sum High Fault – Fault0130,' and came back online at 07:00 on 09/10. It went offline again at 07:00 on 09/12, reporting 'Bus Sum High Fault,' and was back online at 06:15 on 09/13.
3. Site tripped offline at 06:45 on 09/12 and back online at 13:45 on 09/12.
4. Site tripped offline at 00:30 on 09/26 and back online at 10:15 on 09/26.</t>
  </si>
  <si>
    <t xml:space="preserve">1. SR107720
2. SR107721
3. SR107898
4. SR108586
</t>
  </si>
  <si>
    <t>SR107721</t>
  </si>
  <si>
    <t>SR107898</t>
  </si>
  <si>
    <t>SR108586</t>
  </si>
  <si>
    <t>1. Inverter 13 was offline at 07:00 on 09/06 and came back online at 13:15 on 09/06.</t>
  </si>
  <si>
    <t>1. SR107550</t>
  </si>
  <si>
    <t>1. Inverter 18 remained offline throughout the month.
2. Inverters 23 and 27 tripped offline at 09:30 on 09/09 and reporting "Grid voltage unbalance" and back online at 17:15 on 09/09.
3. Inverters 2 to 6, 8, 10, 14 to 19, 22 to 30 and 32 tripped offline at 07:00 on 09/22 and reporting "Grid voltage unbalance" and back online at 11:47 on 09/22.</t>
  </si>
  <si>
    <t>1. SR094254
2. SR107692
3. SR108340</t>
  </si>
  <si>
    <t>SR107692</t>
  </si>
  <si>
    <t>SR108340</t>
  </si>
  <si>
    <t>1. Inverter 34 is underproducing by about 10kw down Since 06/30.
2. Inverter 21 was LOTO'd and is currently under RMA.</t>
  </si>
  <si>
    <t>1. SR103781
2. SR107959, SR108028</t>
  </si>
  <si>
    <t>SR107959</t>
  </si>
  <si>
    <t>SR108028</t>
  </si>
  <si>
    <t>1. All inverters were offline at 07:00 on 09/12 and reporting "Grid line voltage out of range" and back online at 06:00 on 09/13.</t>
  </si>
  <si>
    <t>1. SR107903</t>
  </si>
  <si>
    <t>1. Inverter 1 has tripped offline at 13:00 on 09/03 and reporting "Bus(sum) over voltage fault (Fault0130)" and back online at 07:00 on 09/04.
2. All inverters went offline at 07:00 on 09/12, reporting 'Grid line voltage out of range.' Except for Inverter 1, all inverters came back online at 13:00 on the same day. Inverter 1 came back online at 07:00 on 09/13.
3. All inverters went offline again at 07:00 on 09/26, reporting 'Grid line voltage out of range.' Except for Inverter 1, all inverters came back online at 08:00 on 09/27. Inverter 1 came back online at 07:00 on 09/28.</t>
  </si>
  <si>
    <t>1. SR107396
2. SR107905
3. SR108616</t>
  </si>
  <si>
    <t>SR107905</t>
  </si>
  <si>
    <t>SR108616</t>
  </si>
  <si>
    <t>1. Inverter 1 has been offline since 13:00 on 07/17 and is currently under RMA.
2. Inverter 3 tripped offline at 15:00 on 09/03 and reporting "Bus(sum) over voltage fault
 (Fault0130)" and back online at 07:00 on 09/04.</t>
  </si>
  <si>
    <t>1. SR104528, SR104686
2. SR107397</t>
  </si>
  <si>
    <t>SR107397</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</si>
  <si>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
6. Inverter 11 tripped offline at 09:00 on 09/01 and reporting Bus(sum) over voltage fault (Fault0130) and is currently under RMA.
7. Inverter 12 was offline at 07:00 on 09/10 and reporting "Grid over frequency" and "PV abnormal input (Protect0260)"and  back online at 15:00 on 09/10.
8.  Inverter 22 and 28 tripped offline at 15:00 on 09/26 and reporting "Grid line voltage out of range" and back online at 08:00 on 09/29.</t>
  </si>
  <si>
    <t>1. SR099815, SR099920
2. SR103531
3. SR098468
4. SR104024
5. SR105724, SR105808
6. SR107262
7. SR107778, SR107912
8. SR108646</t>
  </si>
  <si>
    <t>SR107262</t>
  </si>
  <si>
    <t>SR107778</t>
  </si>
  <si>
    <t>SR107912</t>
  </si>
  <si>
    <t>SR108646</t>
  </si>
  <si>
    <t>1. The site tripped offline at 16:00 on 08/29 and came back online at 11:00 on 09/03. It tripped offline again at 15:00 on 09/03 and came back online at 17:00 on 09/06.
2. Inverter 40 tripped offline at 12:00 on 08/29 and came back online at 15:00 on 09/04.
3. The site went offline at 19:00 on 09/07 and came back online at 12:00 on 09/09.
4. The site was offline on 09/18 and came back online at 12:00 on 09/19.
5. The site was offline on 09/26 and came back online at 12:00 on 09/28.
6. The site tripped offline at 11:00 on 09/29 and remained offline.
7. Inverters 51 and 53 were offline on 09/24 and later came back online at 12:00 on 09/28.</t>
  </si>
  <si>
    <t>1. SR107395, SR107218
2. SR105747
3. SR107616
4. SR108238
5. SR108618
6. SR108746
7. SR108493</t>
  </si>
  <si>
    <t>SR105747</t>
  </si>
  <si>
    <t>SR107616</t>
  </si>
  <si>
    <t>SR108238</t>
  </si>
  <si>
    <t>SR108618</t>
  </si>
  <si>
    <t>SR108746</t>
  </si>
  <si>
    <t>SR108493</t>
  </si>
  <si>
    <t xml:space="preserve">1. All trackers were stuck at -51° and affected production during the evening for all inverters
 except Inverter 1.
2. All inverters tripped offline at 13:30 on 09/06 and reporting "Arc fault detected" and  back online at 06:45 on 09/07.
3.  The meter is currently capturing excess data (~400-500 kW) irrespective of inverter production. </t>
  </si>
  <si>
    <t>October Actual v. Expected</t>
  </si>
  <si>
    <t>October Actual v. Forecasted</t>
  </si>
  <si>
    <t>Status</t>
  </si>
  <si>
    <t>1. Inverter module 1.5 tripped offline at 14:15 on 10/07 due to blown fuse and back online at 12:00 on 10/08.
2. Site tripped offline at 01:30 on 10/15 and back online at 11:15 on 10/15.</t>
  </si>
  <si>
    <t>1. SR109167
2. SR109484</t>
  </si>
  <si>
    <t>1. Closed
2. Closed</t>
  </si>
  <si>
    <t>SR109484</t>
  </si>
  <si>
    <t>1. Weather station module temperature and ambient temperature are stuck reading at 184.95 and 120 degrees Fahrenheit since 5/2. On 06/03 both sensors were RMA'd.
2.Site was taken offline at 13:30 and later back online at 14:15 on 10/10 as tech was onsite for combiner box troubleshooting</t>
  </si>
  <si>
    <t>1. SR101404
2.SR102498</t>
  </si>
  <si>
    <t>1. Pending
2. Pending</t>
  </si>
  <si>
    <t>SR102498</t>
  </si>
  <si>
    <t>1. Inverter 1 had been derating by approximately 20 kW on 10/22. The technician replaced the fan, and the inverter is now back to normal operation.
2. Inverter 17 had been derating by approximately 20 kW on 10/22. The technician replaced the RMA'd inverter, and the inverter is now back to normal operation.
3. Inverter 12 tripped offline at 15:30 on 09/30 and back online at 08:45 on 10/02.
4. Inverter 23 was tripping on and off on 10/22 technician replaced the inverter, and the inverter is now back to 22:00 on 10/22.</t>
  </si>
  <si>
    <t>1. SR104474
2. SR104730
3. SR108793
4. SR106597</t>
  </si>
  <si>
    <t xml:space="preserve">1. completed
2. pending
3. closed
4. closed
</t>
  </si>
  <si>
    <t>1. Inverter 55 had been derating by 24 kW but has been back online and producing as expected since 10/09.</t>
  </si>
  <si>
    <t>1. SR100021</t>
  </si>
  <si>
    <t>1.Closed</t>
  </si>
  <si>
    <t>1.  Site tripped offline at 07:15 on 10/13 and back online at 08:15 on 10/14.</t>
  </si>
  <si>
    <t>1. SR109401</t>
  </si>
  <si>
    <t>1. Inverter IB has been offline since 09/11 and offline throughout the month. Due to CT's are under replacement.
2. Inverter K tripped offline from 09:15 to 10:30 on 10/03, reporting a critical hardware failure. After a remote reset, the inverter came back online. It tripped offline again at 11:15 on 10/11, and after another remote reset, it was back online at 10:45 on 10/11.</t>
  </si>
  <si>
    <t>1. SR107886
2. SR108955</t>
  </si>
  <si>
    <t>1. Pending
2. New</t>
  </si>
  <si>
    <t>SR108955</t>
  </si>
  <si>
    <t>1. Site was offline  at 21:30 on 10/31 and rest of the month.</t>
  </si>
  <si>
    <t>1. SR110438</t>
  </si>
  <si>
    <t>1. Closed</t>
  </si>
  <si>
    <t xml:space="preserve">1. The site went offline at 04:00 on 10/31 due to the recloser tripping open.
2. Combiner box 1.13 was offline at 07:45 on 09/20 and came back online at 13:00 on 10/10.
</t>
  </si>
  <si>
    <t>1. SR110151
2. SR103565</t>
  </si>
  <si>
    <t>1. Completed
2. Closed</t>
  </si>
  <si>
    <t>1. Inverter 39 was producing with strings 5 and 6 offline throughout the month. Approval is needed for further troubleshooting.
2. Inverter 17 tripped offline at 13:30 on 10/08, reporting an "Arc Fault," and came back online at 09:30 on 10/10.</t>
  </si>
  <si>
    <t>1. SR103282
2. SR109217</t>
  </si>
  <si>
    <t>SR109217</t>
  </si>
  <si>
    <t>1. Inverter 12 was offline most of the days throughout the month.
2. Inverter 41 tripped offline at 07:00 on 10/10 and came back online at 07:00 on 10/11. It tripped offline again at 09:15 on 10/18 and was back online at 16:15 the same day. Once again, it tripped offline at 07:00 on 10/24 and came back online at 11:00 on 10/25.
3. Inverter 53 was offline on 10/11 and 10/13 and back online on next day.</t>
  </si>
  <si>
    <t>1. SR109218, SR110031
2. SR109352, SR109659
3. SR109393</t>
  </si>
  <si>
    <t>1. Closed
2. Closed
3. Closed</t>
  </si>
  <si>
    <t>SR110031</t>
  </si>
  <si>
    <t>SR109352</t>
  </si>
  <si>
    <t>SR109659</t>
  </si>
  <si>
    <t>SR109393</t>
  </si>
  <si>
    <t>1. SR103728, SR109200
2. SR103770</t>
  </si>
  <si>
    <t>SR109200</t>
  </si>
  <si>
    <t xml:space="preserve">1. Pending </t>
  </si>
  <si>
    <t>1. Inverter 61 remained offline throughout the month.
2. Inverter 69 tripped offline at 13:30 on 10/03 and reporting "Inverter open-loop self-test fault" and it's under RMA'd.
3.No communication to DAS from 17:30 on 10/09 onsite site is operational. New data logger required.</t>
  </si>
  <si>
    <t>1. SR097795
2. SR109010, SR109201
3.SR109391</t>
  </si>
  <si>
    <t>1. Denied
2. pending
3. Pending</t>
  </si>
  <si>
    <t>SR109010</t>
  </si>
  <si>
    <t>SR109201</t>
  </si>
  <si>
    <t>SR109391</t>
  </si>
  <si>
    <t>1.  Inverter 1 has been underproducing by 13 kW, possibly due to a string being down since 09/08.
2. PAD 2 production meter not capturing all respected inverters data from 07/16 due to B phase voltages dropped to 0.</t>
  </si>
  <si>
    <t>1. SR107644
2.SR111056</t>
  </si>
  <si>
    <t>1. pending
2.Pending</t>
  </si>
  <si>
    <t>SR111056</t>
  </si>
  <si>
    <t>1. Inverter 81 tripped offline at 10:00 on 10/13 and came back online at 12:00 on 10/23. Additionally, Inverter 12 went offline at 07:00 on 10/19 and back online at 07:00 on 10/20.</t>
  </si>
  <si>
    <t>1. SR109673</t>
  </si>
  <si>
    <t xml:space="preserve">1. Pad 2 inverters (2.1-2.3) are offline at 06:30 on 10/06 due to low isolation faults and back online at 08:00 on 10/06. and again tripped offline at 06:45on 10/07 and back online  at 11:00 on 10/07.
2. Site was offline at 06:00 on 10/14 and back online at 08:30 on 10/15.
3. Site was offline at 13:15 on 10/22 and back online at 13:15 on 10/23. </t>
  </si>
  <si>
    <t>1. SR109075
2. SR109468
3. SR109856</t>
  </si>
  <si>
    <t>SR109468</t>
  </si>
  <si>
    <t>SR109856</t>
  </si>
  <si>
    <t>1. Inverter 14 was offline at 07:00 on 10/22 and reporting "Relay fault - Fault0100 Grid Relay Error - Protect0020" and is under RMA.
2. Inverter R-2-2 is offline and is currently under RMA.</t>
  </si>
  <si>
    <t>1. SR109835, SR110016
2. SR101916, SR109206</t>
  </si>
  <si>
    <t>SR110016</t>
  </si>
  <si>
    <t>SR101916</t>
  </si>
  <si>
    <t>SR109206</t>
  </si>
  <si>
    <t>1. Site tripped offline at 12:00 on 10/25</t>
  </si>
  <si>
    <t>1. SR109980</t>
  </si>
  <si>
    <t>1. Inverter 18 remained offline throughout the month.
2.Site was taken offline from 14:00 to 14:45 on 10/27 due to PM work</t>
  </si>
  <si>
    <t>1. SR094254
2.SR110115</t>
  </si>
  <si>
    <t>1. Pending 
2.Closed</t>
  </si>
  <si>
    <t>SR110115</t>
  </si>
  <si>
    <t>1. Site was offline at 07:00 on 10/01 and back online at 09:00 on 10/01.
2. Inverters 1,2,3,4,42 &amp;104 tripped offline at 09:00 on 10/31 and reporting "Power module fault (Fault0010)".
3. Inverter 21 was LOTO'd and is currently under RMA.</t>
  </si>
  <si>
    <t>1. SR108804
2. SR110396
3. SR107959, SR108028</t>
  </si>
  <si>
    <t>1. Closed
2. Closed
3. Pending</t>
  </si>
  <si>
    <t>SR110396</t>
  </si>
  <si>
    <t>1. Inverter 4 was offline on 10/07 whole day.</t>
  </si>
  <si>
    <t xml:space="preserve">1. Inverter 1 has been offline since 13:00 on 07/17 and is currently under RMA.
</t>
  </si>
  <si>
    <t>1. Pending</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</si>
  <si>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Inverter 7 went offline at 07:00 on 10/16 and later self-resolved, coming back online at 07:00 on 10/17.
8. Inverter 23 is currently under RMA.
9.Meter 1 started communicating from 10/23 but reporting 0 production.</t>
  </si>
  <si>
    <t>1. SR099815, SR099920
2. SR103531, SR109204
3. SR104024
4. SR105724, SR105808
5. SR107262, SR109205
6. SR099298
7. SR109610
8. SR108680
9.SR109284</t>
  </si>
  <si>
    <t>1. Pending
2. Pending
3. Closed
4. pending
5. pending
6. pending
7. Closed
8. pending
9.Closed</t>
  </si>
  <si>
    <t>SR109204</t>
  </si>
  <si>
    <t>SR109205</t>
  </si>
  <si>
    <t>SR109610</t>
  </si>
  <si>
    <t>SR108680</t>
  </si>
  <si>
    <t>SR109284</t>
  </si>
  <si>
    <t>1. The site tripped offline at 11:00 on 09/29 and back online at 09:00 on 10/01.
2. The site was offline at 02:00 on 10/06 and back online at 06:00 on 10/08.
3. The site went offline at 15:00 on 10/08 and came back online at 12:00 on 10/10 after the technician closed the SEL relay.
4. The site was offline at 12:25 on 10/20 and back online at 14:00 on 10/21.
5. The site went offline at 23:48 on 10/22 and came back online at 09:00 on 10/24. It went offline again at 16:00 on 10/24 and remained offline for the rest of the month.</t>
  </si>
  <si>
    <t>1. SR108746
2. SR109070
3. SR109231
4. SR109714
5. SR109859</t>
  </si>
  <si>
    <t>1. Closed
2. Closed
3. Closed
4. Closed
5. Closed</t>
  </si>
  <si>
    <t>SR109070</t>
  </si>
  <si>
    <t>SR109231</t>
  </si>
  <si>
    <t>SR109714</t>
  </si>
  <si>
    <t>SR109859</t>
  </si>
  <si>
    <t xml:space="preserve">1. All trackers were stuck at -51° and affected production during the evening for all inverters
 except Inverter 1.
</t>
  </si>
  <si>
    <t xml:space="preserve">1. SR105950
</t>
  </si>
  <si>
    <t xml:space="preserve">1. Closed
</t>
  </si>
  <si>
    <t>November Actual v. Expected</t>
  </si>
  <si>
    <t>November Actual v. Forecasted</t>
  </si>
  <si>
    <t>1. Site production was low on 11/10, 11/17, 11/23, 11/25, 11/30 due to low weather</t>
  </si>
  <si>
    <t>1. Inverters 26 to 29 were offline from 11:00 on 11/24 to end of the month.
2.  Inverter 17 was derating by about 20kw for whole month.
3. Inverter 1 was underproducing by 30kW and Inverter 2 was underproducing by 20kW and inverter 3 was underproducing by 13kW compared to peers for whole month due to seasonal shading</t>
  </si>
  <si>
    <t>1. SR111637
2. SR104730</t>
  </si>
  <si>
    <t>1. Closed
2. Pending</t>
  </si>
  <si>
    <t>1. Few Inverters have morning and evening shading.</t>
  </si>
  <si>
    <t>1.Site was offline from 10:15 on 11/06 and back online at 13:00 on 11/07.
2. Site was offline from 11:00 on 11/26 and back online at 14:00 on 11/27 and was again offline from 09:00 on 11/28 and back online at 14:30 on 11/29.</t>
  </si>
  <si>
    <t>1. SR110713
2. SR111771</t>
  </si>
  <si>
    <t>SR111771</t>
  </si>
  <si>
    <t>1. Inverter 2 was offline for whole month.
2. Inverter 11 was offline from 07:45 on 11/06 to end of the month.
3. Inverter 8 was offline from 09:30 to 17:00 on 11/19 and was remained offline from 11/24 to end f the month.
4. Inverter 4 was derated to 4kW on 11/08 from 13:00 to 17:00.
5.  inverter 6,10 underperforming by 30kW. inverter 3,9 underperforming by 17 kW. Inverter 7,12 underperforming by 10 kW. Inverter 4 underperforming by 6kW from 11/01 to 11/20.</t>
  </si>
  <si>
    <t>1. SR107886
2. SR108955
3. SR111324
4. SR110812
5. SR111372</t>
  </si>
  <si>
    <t>1. Pending
2. Pending
3. Closed
4. Closed
5. Closed</t>
  </si>
  <si>
    <t>SR111324</t>
  </si>
  <si>
    <t>SR110812</t>
  </si>
  <si>
    <t>SR111372</t>
  </si>
  <si>
    <t>1. Site was offline from 04:00 on 10/31 to 11:45 on 11/04.</t>
  </si>
  <si>
    <t>1. SR110151</t>
  </si>
  <si>
    <t>1. Inverters 8,9,11,12,13,14,15, and 16 have tripped offline at 11:00 on 11/18 and later back online on 11/19 at 13:30
2. String 39-5 and 6 were offline for whole month.
3. Inverters 8,9,11,12,13,14,15, and 16 have tripped offline at 12:45 on 11/01 and later back online on 11/03 at 08:30
4. All inverters have morning and evening shading issue.</t>
  </si>
  <si>
    <t>1. SR111269
2. SR099765
3. SR110475</t>
  </si>
  <si>
    <t>1. Closed
2. Pending
3. Closed</t>
  </si>
  <si>
    <t>SR110475</t>
  </si>
  <si>
    <t>1. Inverter 12 parts being RMA'd.
2. Inverter 16 being RMA'd
3.  Inverter 64 was offline from 08:15 to 16:30 on 11/01, from 12:15 to 14:15 on 11/09 and again it was offline from 08:30 on 11/13 to 16:00 on 11/14.
4. Inverter 53 was offline from 12:15 to end of the day on 11/12.
5. All inverters have seasonal shading.</t>
  </si>
  <si>
    <t>1. SR097799
2. SR095816, SR107405
3. SR110440</t>
  </si>
  <si>
    <t>1. Pending
2. Pending
3. Closed</t>
  </si>
  <si>
    <t>SR107405</t>
  </si>
  <si>
    <t>SR110440</t>
  </si>
  <si>
    <t>1. Inverter 6 parts being RMA'd
2. Inverter 2 and 5 were down a string  for whole month.</t>
  </si>
  <si>
    <t>1. SR109200
2. SR103770</t>
  </si>
  <si>
    <t>1. Inverters have seasonal shading.</t>
  </si>
  <si>
    <t>1. Inverter 1 being RMA'd.
2. Inverters have seasonal shading</t>
  </si>
  <si>
    <t>1. SR109203</t>
  </si>
  <si>
    <t>1. Inverters 1–4 tripped offline at 13:15 on 11/17 with an “Emergency Stop” fault and came back online at 08:00 on 11/18.
2. Pad 1 inverters tripped offline at 09:00 on 11/27 with a “Remote Emergency Stop” fault and came back online at 12:45 on 11/27.</t>
  </si>
  <si>
    <t>1. SR111212
2. SR111798</t>
  </si>
  <si>
    <t>SR111798</t>
  </si>
  <si>
    <t>1. Inverter 1 has been underperforming by 13 kW since 09/08/25, possibly due to a string being down.
2. Pad 2 production meter phase B  is stopped communicating since 07/16.</t>
  </si>
  <si>
    <t>1. SR107644
2. SR111056</t>
  </si>
  <si>
    <t>1. Pending
2. Closed</t>
  </si>
  <si>
    <t>1. Inverter 12 went offline at 07:00 on 11/09, reporting a 'Bus Differential Fault,' and came back online at 09:00 on 11/10. It tripped offline again at 07:00 on 11/13, reporting a 'Bus Differential High Fault – Fault 0110,' and returned online at 07:00 on 11/14. Once again, it tripped offline at 07:00 on 11/26, reporting a 'Bus Differential High Fault – Fault 0110,' and came back online at 07:00 on 11/27.</t>
  </si>
  <si>
    <t>1. SR110840, SR111026, SR111774</t>
  </si>
  <si>
    <t>SR111026</t>
  </si>
  <si>
    <t>SR111774</t>
  </si>
  <si>
    <t>1. Site was offline at 13:23 on 11/07 and back online at 10:00 on 11/08.
2. The site went offline at 17:30 on 11/12 due to a utility outage and remained offline throughout the month.</t>
  </si>
  <si>
    <t>1. SR110800
2. SR110992</t>
  </si>
  <si>
    <t>SR110992</t>
  </si>
  <si>
    <t>1. Inverter 9 went offline at 07:00 on 11/19, reporting 'Bus sum high fault - Fault 0130,' and it is currently under RMA.
2.  Inverter 14 went offline at 07:00 on 10/22, reporting 'Relay fault - Fault0100 Grid Relay Error - Protect0020,' and it is currently under RMA.
3.  Inverter 3 went offline at 07:00 on 05/25, reporting 'Bus(sum) over voltage fault,' and it is currently under RMA.</t>
  </si>
  <si>
    <t>1. SR111328
2. SR109835, SR110016
3. SR101916, SR109206</t>
  </si>
  <si>
    <t>1. Pending
2. Pending
3. Pending</t>
  </si>
  <si>
    <t>SR109835</t>
  </si>
  <si>
    <t>1. Inverter 18 tripped offline at 08:20 on 12/08/24, and after the technician replaced it, the inverter came back online at 10:00 on 11/13/25.
2. The site tripped offline at 12:13 on 11/07 due to the SEL relay opening. After the technician closed the relay, the site came back online at 11:00 on 11/08.</t>
  </si>
  <si>
    <t>1. SR094254
2. SR110778</t>
  </si>
  <si>
    <t>SR110778</t>
  </si>
  <si>
    <t>1. The site tripped offline at 12:13 on 11/07 due to the SEL relay opening. After the technician closed the relay, the site came back online at 11:00 on 11/08.</t>
  </si>
  <si>
    <t>1. SR110779</t>
  </si>
  <si>
    <t>1. Inverters 1, 2, 3, 4, 42, and 104 tripped offline at 09:00 on 10/31 with a “Power Module Fault (Fault0010)” and came back online at 07:00 on 11/01.
2. Inverter 21 was LOTO'd and is currently under RMA.</t>
  </si>
  <si>
    <t>1. SR110396
2. SR107959, SR108028</t>
  </si>
  <si>
    <t xml:space="preserve">1. Closed
2. Pending
</t>
  </si>
  <si>
    <t>1. Site has low production on 11/10, 11/13, 11/21 to 11/23, 11/30 due to bad weather</t>
  </si>
  <si>
    <t>1. Site has low production on 11/10, 11/13, 11/21 to 11/23, 11/30 due to low weather</t>
  </si>
  <si>
    <t>1. Inverter 5 was offline at 07:00 on 11/30  and reporting "Bus(sum) over voltage fault (Fault0130)".</t>
  </si>
  <si>
    <t>1. SR111845</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</si>
  <si>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Meter 1 started communicating from 10/23 but reporting 0 production.
8. Inverter 7 is offline on 11/11 and 11/14.
9. Inverter 4 has been tripping on and off for the whole month.</t>
  </si>
  <si>
    <t>1. SR099815, SR099920
2. SR103531, SR109204
3. SR104024,SR111353
4. SR105724, SR105808
5. SR107262, SR109205
6. SR099298
7. SR109284
8. SR109610
9. SR111511,  SR112408</t>
  </si>
  <si>
    <t>1. Pending
2. Pending
3. pending
4. pending
5. pending
6. pending
7. Closed
8. Closed
9. New</t>
  </si>
  <si>
    <t>SR111353</t>
  </si>
  <si>
    <t>SR111511</t>
  </si>
  <si>
    <t>SR112408</t>
  </si>
  <si>
    <t>1. The site went offline at 16:00 on 10/24 due to an open SEL relay. After the technician closed the relay, the site came back online at 13:00 on 11/05.
2. The site went offline at 07:00 on 11/28. Additionally, multiple inverters were reporting “Grid line voltage out of range (GridV.OutLim).” The meter also stopped communicating. After the technician reset the site, it came back online at 14:00 on 11/28.</t>
  </si>
  <si>
    <t>1. SR109859
2. SR111811</t>
  </si>
  <si>
    <t>SR111811</t>
  </si>
  <si>
    <t>1. Inverters 3, 8, 9, 10, 11, 12, and 13 tripped offline at 12:30 on 11/16, reporting "Arc Detected", and back online at 07:00 on 11/17.
2. The meter and weather station stopped communicating at 07:00 on 11/23, and the issue persisted throughout the month.</t>
  </si>
  <si>
    <t>1. SR111173
2. SR111499</t>
  </si>
  <si>
    <t xml:space="preserve">1. Pending
2. Pending
</t>
  </si>
  <si>
    <t>SR111499</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</si>
  <si>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</si>
  <si>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</si>
  <si>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</si>
  <si>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</si>
  <si>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</si>
  <si>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</si>
  <si>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</si>
  <si>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</si>
  <si>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</si>
  <si>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</si>
  <si>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</si>
  <si>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</si>
  <si>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</si>
  <si>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</si>
  <si>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</si>
  <si>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</si>
  <si>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</si>
  <si>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</si>
  <si>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</si>
  <si>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</si>
  <si>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</si>
  <si>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</si>
  <si>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</si>
  <si>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</si>
  <si>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</si>
  <si>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</si>
  <si>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</si>
  <si>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</si>
  <si>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</si>
  <si>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</si>
  <si>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</si>
  <si>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</si>
  <si>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</si>
  <si>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</si>
  <si>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</si>
  <si>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</si>
  <si>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</si>
  <si>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</si>
  <si>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</si>
  <si>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</si>
  <si>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</si>
  <si>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</si>
  <si>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</si>
  <si>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</si>
  <si>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</si>
  <si>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</si>
  <si>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</si>
  <si>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</si>
  <si>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</si>
  <si>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</si>
  <si>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</si>
  <si>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</si>
  <si>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</si>
  <si>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</si>
  <si>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</si>
  <si>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</si>
  <si>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</si>
  <si>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</si>
  <si>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</si>
  <si>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</si>
  <si>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</si>
  <si>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</si>
  <si>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</si>
  <si>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</si>
  <si>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</si>
  <si>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</si>
  <si>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</si>
  <si>
    <t>Moores Hill</t>
  </si>
  <si>
    <t>NY: New Windsor - Moores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</si>
</sst>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242424"/>
      <name val="Aptos Narrow"/>
      <family val="2"/>
    </font>
    <font>
      <u val="double"/>
      <sz val="10"/>
      <name val="Calibri"/>
      <family val="2"/>
    </font>
    <font>
      <u/>
      <sz val="10"/>
      <color theme="10"/>
      <name val="Arial"/>
      <family val="2"/>
    </font>
    <font>
      <b/>
      <sz val="11"/>
      <color rgb="FFFFFFFF"/>
      <name val="Calibri"/>
      <scheme val="minor"/>
    </font>
    <font>
      <sz val="11"/>
      <color rgb="FF000000"/>
      <name val="Calibri"/>
      <scheme val="minor"/>
    </font>
    <font>
      <sz val="11"/>
      <name val="Calibri"/>
      <scheme val="minor"/>
    </font>
    <font>
      <b/>
      <sz val="12"/>
      <name val="Calibri"/>
      <scheme val="minor"/>
    </font>
    <font>
      <b/>
      <sz val="12"/>
      <color rgb="FFFF0000"/>
      <name val="Calibri"/>
      <scheme val="minor"/>
    </font>
    <font>
      <sz val="10"/>
      <name val="Calibri"/>
      <scheme val="minor"/>
    </font>
    <font>
      <sz val="11"/>
      <color rgb="FF242424"/>
      <name val="Calibri"/>
      <scheme val="minor"/>
    </font>
    <font>
      <b/>
      <sz val="11"/>
      <name val="Calibri"/>
      <scheme val="minor"/>
    </font>
    <font>
      <u/>
      <sz val="11"/>
      <color theme="10"/>
      <name val="Calibri"/>
      <scheme val="minor"/>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40" fillId="0" borderId="0" applyNumberFormat="0" applyFill="0" applyBorder="0" applyAlignment="0" applyProtection="0"/>
  </cellStyleXfs>
  <cellXfs count="119">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49" fontId="30" fillId="40" borderId="0" xfId="0" applyNumberFormat="1" applyFont="1" applyFill="1" applyAlignment="1">
      <alignment horizontal="center" vertical="center"/>
    </xf>
    <xf numFmtId="49" fontId="30" fillId="0" borderId="0" xfId="0" applyNumberFormat="1" applyFont="1" applyAlignment="1">
      <alignment horizontal="center" vertical="center"/>
    </xf>
    <xf numFmtId="164" fontId="30" fillId="0" borderId="0" xfId="1" applyNumberFormat="1" applyFont="1" applyBorder="1" applyAlignment="1">
      <alignment horizontal="center" vertical="center"/>
    </xf>
    <xf numFmtId="49" fontId="29" fillId="40" borderId="0" xfId="0" applyNumberFormat="1" applyFont="1" applyFill="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49" fontId="29" fillId="0" borderId="0" xfId="0" applyNumberFormat="1" applyFont="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0" fontId="0" fillId="0" borderId="0" xfId="0" applyAlignment="1">
      <alignment horizontal="center" wrapText="1"/>
    </xf>
    <xf numFmtId="49" fontId="29" fillId="40" borderId="0" xfId="0" applyNumberFormat="1" applyFont="1" applyFill="1" applyAlignment="1">
      <alignment horizontal="left" vertical="center"/>
    </xf>
    <xf numFmtId="49" fontId="29" fillId="0" borderId="0" xfId="0" applyNumberFormat="1" applyFont="1" applyAlignment="1">
      <alignment horizontal="left" vertical="center"/>
    </xf>
    <xf numFmtId="0" fontId="36" fillId="40" borderId="0" xfId="0" applyFont="1" applyFill="1" applyAlignment="1">
      <alignment horizontal="left"/>
    </xf>
    <xf numFmtId="0" fontId="29" fillId="0" borderId="0" xfId="0" applyFont="1" applyAlignment="1">
      <alignment horizontal="left" vertical="center"/>
    </xf>
    <xf numFmtId="0" fontId="4" fillId="0" borderId="0" xfId="0" applyFont="1"/>
    <xf numFmtId="0" fontId="24" fillId="0" borderId="0" xfId="43" applyFont="1"/>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3" fontId="32" fillId="4" borderId="0" xfId="1" applyNumberFormat="1" applyFont="1" applyFill="1" applyAlignment="1">
      <alignment vertical="center"/>
    </xf>
    <xf numFmtId="3" fontId="32" fillId="0" borderId="0" xfId="1" applyNumberFormat="1" applyFont="1" applyAlignment="1">
      <alignment vertical="center"/>
    </xf>
    <xf numFmtId="164" fontId="30" fillId="44" borderId="0" xfId="1" applyNumberFormat="1" applyFont="1" applyFill="1" applyAlignment="1">
      <alignment horizontal="center" vertical="center"/>
    </xf>
    <xf numFmtId="9" fontId="32" fillId="0" borderId="0" xfId="2" applyFont="1" applyAlignment="1">
      <alignment horizontal="center" vertical="center"/>
    </xf>
    <xf numFmtId="9" fontId="32" fillId="3" borderId="0" xfId="2" applyFont="1" applyFill="1" applyAlignment="1">
      <alignment horizontal="center" vertical="center"/>
    </xf>
    <xf numFmtId="9" fontId="32" fillId="37" borderId="0" xfId="2" applyFont="1" applyFill="1" applyAlignment="1">
      <alignment horizontal="center" vertical="center"/>
    </xf>
    <xf numFmtId="0" fontId="36" fillId="40" borderId="0" xfId="0" applyFont="1" applyFill="1" applyAlignment="1">
      <alignment horizontal="center" vertical="center"/>
    </xf>
    <xf numFmtId="49" fontId="32" fillId="38" borderId="0" xfId="2" applyNumberFormat="1" applyFont="1" applyFill="1" applyBorder="1" applyAlignment="1">
      <alignment horizontal="left" vertical="top" wrapText="1"/>
    </xf>
    <xf numFmtId="0" fontId="36" fillId="40" borderId="0" xfId="0" applyFont="1" applyFill="1" applyAlignment="1">
      <alignment horizontal="center" vertical="top"/>
    </xf>
    <xf numFmtId="164" fontId="30" fillId="0" borderId="0" xfId="1" applyNumberFormat="1" applyFont="1" applyAlignment="1">
      <alignment horizontal="center" vertical="center"/>
    </xf>
    <xf numFmtId="49" fontId="37" fillId="38" borderId="0" xfId="2" applyNumberFormat="1" applyFont="1" applyFill="1" applyBorder="1" applyAlignment="1">
      <alignment vertical="top" wrapText="1"/>
    </xf>
    <xf numFmtId="0" fontId="38" fillId="0" borderId="0" xfId="0" applyFont="1"/>
    <xf numFmtId="0" fontId="36" fillId="40" borderId="0" xfId="0" applyFont="1" applyFill="1" applyAlignment="1">
      <alignment horizontal="left" vertical="center"/>
    </xf>
    <xf numFmtId="0" fontId="24" fillId="0" borderId="0" xfId="43" applyFont="1" applyAlignment="1">
      <alignment horizontal="left" wrapText="1"/>
    </xf>
    <xf numFmtId="0" fontId="24" fillId="0" borderId="0" xfId="43" applyFont="1" applyAlignment="1">
      <alignment horizontal="left" vertical="center"/>
    </xf>
    <xf numFmtId="9" fontId="32" fillId="0" borderId="0" xfId="2" applyFont="1" applyBorder="1" applyAlignment="1">
      <alignment horizontal="center" vertical="center"/>
    </xf>
    <xf numFmtId="0" fontId="39" fillId="0" borderId="0" xfId="0" applyFont="1"/>
    <xf numFmtId="3" fontId="32" fillId="0" borderId="0" xfId="1" applyNumberFormat="1" applyFont="1" applyFill="1" applyBorder="1" applyAlignment="1">
      <alignment horizontal="right" vertical="center"/>
    </xf>
    <xf numFmtId="3" fontId="32" fillId="4" borderId="0" xfId="1" applyNumberFormat="1" applyFont="1" applyFill="1" applyBorder="1" applyAlignment="1">
      <alignment horizontal="right" vertical="center"/>
    </xf>
    <xf numFmtId="49" fontId="37" fillId="38" borderId="0" xfId="2" applyNumberFormat="1" applyFont="1" applyFill="1" applyBorder="1" applyAlignment="1">
      <alignment horizontal="left" vertical="top" wrapText="1"/>
    </xf>
    <xf numFmtId="49" fontId="37" fillId="38" borderId="0" xfId="2" applyNumberFormat="1" applyFont="1" applyFill="1" applyBorder="1" applyAlignment="1">
      <alignment horizontal="left" vertical="top"/>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49" fontId="40" fillId="0" borderId="0" xfId="45" applyNumberFormat="1" applyAlignment="1">
      <alignment vertical="top" wrapText="1"/>
    </xf>
    <xf numFmtId="49" fontId="40" fillId="0" borderId="0" xfId="45" applyNumberFormat="1" applyAlignment="1">
      <alignment vertical="center" wrapText="1"/>
    </xf>
    <xf numFmtId="0" fontId="0" fillId="0" borderId="0" xfId="0" applyAlignment="1">
      <alignment horizontal="left" vertical="top"/>
    </xf>
    <xf numFmtId="0" fontId="40" fillId="0" borderId="0" xfId="45" applyAlignment="1">
      <alignment horizontal="left" vertical="top"/>
    </xf>
    <xf numFmtId="49" fontId="40" fillId="46" borderId="0" xfId="45" applyNumberFormat="1" applyFill="1" applyAlignment="1">
      <alignment vertical="center" wrapText="1"/>
    </xf>
    <xf numFmtId="49" fontId="40" fillId="46" borderId="0" xfId="45" applyNumberFormat="1" applyFill="1" applyAlignment="1">
      <alignment horizontal="left" vertical="top" wrapText="1"/>
    </xf>
    <xf numFmtId="49" fontId="32" fillId="38" borderId="0" xfId="2" applyNumberFormat="1" applyFont="1" applyFill="1" applyAlignment="1">
      <alignment vertical="top" wrapText="1"/>
    </xf>
    <xf numFmtId="3" fontId="32" fillId="0" borderId="0" xfId="1" applyNumberFormat="1" applyFont="1" applyFill="1" applyBorder="1" applyAlignment="1">
      <alignment horizontal="right"/>
    </xf>
    <xf numFmtId="3" fontId="32" fillId="4" borderId="0" xfId="1" applyNumberFormat="1" applyFont="1" applyFill="1" applyBorder="1" applyAlignment="1">
      <alignment horizontal="right"/>
    </xf>
    <xf numFmtId="49" fontId="40" fillId="38" borderId="0" xfId="45" applyNumberFormat="1" applyFill="1" applyAlignment="1">
      <alignment vertical="top" wrapText="1"/>
    </xf>
    <xf numFmtId="0" fontId="40" fillId="0" borderId="0" xfId="45"/>
    <xf numFmtId="0" fontId="40" fillId="46" borderId="0" xfId="45" applyFill="1" applyAlignment="1">
      <alignment horizontal="left" vertical="top"/>
    </xf>
    <xf numFmtId="0" fontId="24" fillId="0" borderId="0" xfId="43" applyFont="1" applyAlignment="1">
      <alignment horizontal="center" vertical="center"/>
    </xf>
    <xf numFmtId="49" fontId="2" fillId="0" borderId="0" xfId="0" applyNumberFormat="1" applyFont="1" applyAlignment="1">
      <alignment vertical="center" wrapText="1"/>
    </xf>
    <xf numFmtId="49" fontId="2" fillId="0" borderId="0" xfId="0" applyNumberFormat="1" applyFont="1" applyAlignment="1">
      <alignment horizontal="left" vertical="top" wrapText="1"/>
    </xf>
    <xf numFmtId="49" fontId="2" fillId="0" borderId="0" xfId="0" applyNumberFormat="1" applyFont="1" applyAlignment="1">
      <alignment vertical="top" wrapText="1"/>
    </xf>
    <xf numFmtId="0" fontId="25" fillId="0" borderId="0" xfId="0" applyFont="1" applyAlignment="1">
      <alignment horizontal="right"/>
    </xf>
    <xf numFmtId="0" fontId="24" fillId="0" borderId="11" xfId="0" applyFont="1" applyBorder="1"/>
    <xf numFmtId="0" fontId="41" fillId="2" borderId="1" xfId="0" applyFont="1" applyFill="1" applyBorder="1" applyAlignment="1">
      <alignment horizontal="center" vertical="center" wrapText="1"/>
    </xf>
    <xf numFmtId="0" fontId="42" fillId="40" borderId="0" xfId="0" applyFont="1" applyFill="1" applyAlignment="1">
      <alignment horizontal="center" vertical="center"/>
    </xf>
    <xf numFmtId="0" fontId="43" fillId="0" borderId="0" xfId="0" applyFont="1"/>
    <xf numFmtId="0" fontId="44" fillId="0" borderId="0" xfId="0" applyFont="1" applyAlignment="1">
      <alignment vertical="center"/>
    </xf>
    <xf numFmtId="0" fontId="45" fillId="0" borderId="0" xfId="0" applyFont="1" applyAlignment="1">
      <alignment vertical="center"/>
    </xf>
    <xf numFmtId="0" fontId="44" fillId="45" borderId="1" xfId="0" applyFont="1" applyFill="1" applyBorder="1" applyAlignment="1">
      <alignment horizontal="center" vertical="center"/>
    </xf>
    <xf numFmtId="49" fontId="43" fillId="38" borderId="0" xfId="2" applyNumberFormat="1" applyFont="1" applyFill="1" applyBorder="1" applyAlignment="1">
      <alignment vertical="top" wrapText="1"/>
    </xf>
    <xf numFmtId="0" fontId="46" fillId="0" borderId="0" xfId="0" applyFont="1"/>
    <xf numFmtId="0" fontId="47" fillId="0" borderId="0" xfId="0" applyFont="1"/>
    <xf numFmtId="0" fontId="47" fillId="47" borderId="0" xfId="0" applyFont="1" applyFill="1"/>
    <xf numFmtId="49" fontId="43" fillId="38" borderId="0" xfId="2" applyNumberFormat="1" applyFont="1" applyFill="1" applyBorder="1" applyAlignment="1">
      <alignment horizontal="left" vertical="top" wrapText="1"/>
    </xf>
    <xf numFmtId="0" fontId="48" fillId="0" borderId="0" xfId="0" applyFont="1" applyAlignment="1">
      <alignment vertical="top"/>
    </xf>
    <xf numFmtId="0" fontId="48" fillId="45" borderId="1" xfId="0" applyFont="1" applyFill="1" applyBorder="1" applyAlignment="1">
      <alignment horizontal="center" vertical="top"/>
    </xf>
    <xf numFmtId="0" fontId="43" fillId="0" borderId="0" xfId="0" applyFont="1" applyAlignment="1">
      <alignment vertical="top" wrapText="1"/>
    </xf>
    <xf numFmtId="49" fontId="49" fillId="38" borderId="0" xfId="45" applyNumberFormat="1" applyFont="1" applyFill="1" applyBorder="1" applyAlignment="1">
      <alignment vertical="top" wrapText="1"/>
    </xf>
    <xf numFmtId="0" fontId="43" fillId="0" borderId="0" xfId="0" applyFont="1" applyAlignment="1">
      <alignment vertical="top"/>
    </xf>
    <xf numFmtId="0" fontId="7" fillId="0" borderId="0" xfId="0" applyFont="1" applyAlignment="1">
      <alignment vertical="top"/>
    </xf>
    <xf numFmtId="0" fontId="7" fillId="45" borderId="1" xfId="0" applyFont="1" applyFill="1" applyBorder="1" applyAlignment="1">
      <alignment horizontal="center" vertical="top"/>
    </xf>
    <xf numFmtId="0" fontId="34" fillId="0" borderId="0" xfId="0" applyFont="1" applyAlignment="1">
      <alignment vertical="top"/>
    </xf>
    <xf numFmtId="0" fontId="0" fillId="0" borderId="0" xfId="0" applyAlignment="1">
      <alignment vertical="top"/>
    </xf>
    <xf numFmtId="0" fontId="35" fillId="0" borderId="0" xfId="0" applyFont="1" applyAlignment="1">
      <alignment vertical="top"/>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vertical="top" wrapText="1"/>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5" totalsRowShown="0">
  <autoFilter ref="A3:E35"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100230" TargetMode="External"/><Relationship Id="rId47" Type="http://schemas.openxmlformats.org/officeDocument/2006/relationships/hyperlink" Target="https://us3.assetplanner.com/service_request?ID=100358" TargetMode="External"/><Relationship Id="rId63" Type="http://schemas.openxmlformats.org/officeDocument/2006/relationships/hyperlink" Target="https://us3.assetplanner.com/service_request?ID=099438" TargetMode="External"/><Relationship Id="rId68" Type="http://schemas.openxmlformats.org/officeDocument/2006/relationships/hyperlink" Target="https://us3.assetplanner.com/service_request?ID=099806" TargetMode="External"/><Relationship Id="rId7" Type="http://schemas.openxmlformats.org/officeDocument/2006/relationships/hyperlink" Target="https://us3.assetplanner.com/service_request?ID=099586" TargetMode="External"/><Relationship Id="rId2" Type="http://schemas.openxmlformats.org/officeDocument/2006/relationships/hyperlink" Target="https://us3.assetplanner.com/service_request?ID=099262"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9519" TargetMode="External"/><Relationship Id="rId11" Type="http://schemas.openxmlformats.org/officeDocument/2006/relationships/hyperlink" Target="https://us3.assetplanner.com/service_request?ID=100021"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100436" TargetMode="External"/><Relationship Id="rId37" Type="http://schemas.openxmlformats.org/officeDocument/2006/relationships/hyperlink" Target="https://us3.assetplanner.com/service_request?ID=100184" TargetMode="External"/><Relationship Id="rId40" Type="http://schemas.openxmlformats.org/officeDocument/2006/relationships/hyperlink" Target="https://us3.assetplanner.com/service_request?ID=100279" TargetMode="External"/><Relationship Id="rId45" Type="http://schemas.openxmlformats.org/officeDocument/2006/relationships/hyperlink" Target="https://us3.assetplanner.com/service_request?ID=099855" TargetMode="External"/><Relationship Id="rId53" Type="http://schemas.openxmlformats.org/officeDocument/2006/relationships/hyperlink" Target="https://us3.assetplanner.com/service_request?ID=094254" TargetMode="External"/><Relationship Id="rId58" Type="http://schemas.openxmlformats.org/officeDocument/2006/relationships/hyperlink" Target="https://us3.assetplanner.com/service_request?ID=100441" TargetMode="External"/><Relationship Id="rId66" Type="http://schemas.openxmlformats.org/officeDocument/2006/relationships/hyperlink" Target="https://us3.assetplanner.com/service_request?ID=101029" TargetMode="External"/><Relationship Id="rId5" Type="http://schemas.openxmlformats.org/officeDocument/2006/relationships/hyperlink" Target="https://us3.assetplanner.com/service_request?ID=099306" TargetMode="External"/><Relationship Id="rId61" Type="http://schemas.openxmlformats.org/officeDocument/2006/relationships/hyperlink" Target="https://us3.assetplanner.com/service_request?ID=098503" TargetMode="External"/><Relationship Id="rId19" Type="http://schemas.openxmlformats.org/officeDocument/2006/relationships/hyperlink" Target="https://us3.assetplanner.com/service_request?ID=100146" TargetMode="External"/><Relationship Id="rId14" Type="http://schemas.openxmlformats.org/officeDocument/2006/relationships/hyperlink" Target="https://us3.assetplanner.com/service_request?ID=099859"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8821" TargetMode="External"/><Relationship Id="rId30" Type="http://schemas.openxmlformats.org/officeDocument/2006/relationships/hyperlink" Target="https://us3.assetplanner.com/service_request?ID=100159" TargetMode="External"/><Relationship Id="rId35" Type="http://schemas.openxmlformats.org/officeDocument/2006/relationships/hyperlink" Target="https://us3.assetplanner.com/service_request?ID=099745" TargetMode="External"/><Relationship Id="rId43" Type="http://schemas.openxmlformats.org/officeDocument/2006/relationships/hyperlink" Target="https://us3.assetplanner.com/service_request?ID=100353" TargetMode="External"/><Relationship Id="rId48" Type="http://schemas.openxmlformats.org/officeDocument/2006/relationships/hyperlink" Target="https://us3.assetplanner.com/service_request?ID=100435" TargetMode="External"/><Relationship Id="rId56" Type="http://schemas.openxmlformats.org/officeDocument/2006/relationships/hyperlink" Target="https://us3.assetplanner.com/service_request?ID=100018" TargetMode="External"/><Relationship Id="rId64" Type="http://schemas.openxmlformats.org/officeDocument/2006/relationships/hyperlink" Target="https://us3.assetplanner.com/service_request?ID=099815" TargetMode="External"/><Relationship Id="rId69" Type="http://schemas.openxmlformats.org/officeDocument/2006/relationships/hyperlink" Target="https://us3.assetplanner.com/service_request?ID=099359" TargetMode="External"/><Relationship Id="rId8" Type="http://schemas.openxmlformats.org/officeDocument/2006/relationships/hyperlink" Target="https://us3.assetplanner.com/service_request?ID=099921" TargetMode="External"/><Relationship Id="rId51" Type="http://schemas.openxmlformats.org/officeDocument/2006/relationships/hyperlink" Target="https://us3.assetplanner.com/service_request?ID=100033" TargetMode="External"/><Relationship Id="rId3" Type="http://schemas.openxmlformats.org/officeDocument/2006/relationships/hyperlink" Target="https://us3.assetplanner.com/service_request?ID=099397" TargetMode="External"/><Relationship Id="rId12" Type="http://schemas.openxmlformats.org/officeDocument/2006/relationships/hyperlink" Target="https://us3.assetplanner.com/service_request?ID=100605"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795"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100063" TargetMode="External"/><Relationship Id="rId59" Type="http://schemas.openxmlformats.org/officeDocument/2006/relationships/hyperlink" Target="https://us3.assetplanner.com/service_request?ID=100710" TargetMode="External"/><Relationship Id="rId67" Type="http://schemas.openxmlformats.org/officeDocument/2006/relationships/hyperlink" Target="https://us3.assetplanner.com/service_request?ID=100140" TargetMode="External"/><Relationship Id="rId20" Type="http://schemas.openxmlformats.org/officeDocument/2006/relationships/hyperlink" Target="https://us3.assetplanner.com/service_request?ID=099765" TargetMode="External"/><Relationship Id="rId41" Type="http://schemas.openxmlformats.org/officeDocument/2006/relationships/hyperlink" Target="https://us3.assetplanner.com/service_request?ID=100391" TargetMode="External"/><Relationship Id="rId54" Type="http://schemas.openxmlformats.org/officeDocument/2006/relationships/hyperlink" Target="https://us3.assetplanner.com/service_request?ID=099534" TargetMode="External"/><Relationship Id="rId62" Type="http://schemas.openxmlformats.org/officeDocument/2006/relationships/hyperlink" Target="https://us3.assetplanner.com/service_request?ID=099298" TargetMode="External"/><Relationship Id="rId1" Type="http://schemas.openxmlformats.org/officeDocument/2006/relationships/hyperlink" Target="https://us3.assetplanner.com/service_request?ID=099883" TargetMode="External"/><Relationship Id="rId6" Type="http://schemas.openxmlformats.org/officeDocument/2006/relationships/hyperlink" Target="https://us3.assetplanner.com/service_request?ID=100148"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9331" TargetMode="External"/><Relationship Id="rId36" Type="http://schemas.openxmlformats.org/officeDocument/2006/relationships/hyperlink" Target="https://us3.assetplanner.com/service_request?ID=097560" TargetMode="External"/><Relationship Id="rId49" Type="http://schemas.openxmlformats.org/officeDocument/2006/relationships/hyperlink" Target="https://us3.assetplanner.com/service_request?ID=100437" TargetMode="External"/><Relationship Id="rId57" Type="http://schemas.openxmlformats.org/officeDocument/2006/relationships/hyperlink" Target="https://us3.assetplanner.com/service_request?ID=100440" TargetMode="External"/><Relationship Id="rId10" Type="http://schemas.openxmlformats.org/officeDocument/2006/relationships/hyperlink" Target="https://us3.assetplanner.com/service_request?ID=100023" TargetMode="External"/><Relationship Id="rId31" Type="http://schemas.openxmlformats.org/officeDocument/2006/relationships/hyperlink" Target="https://us3.assetplanner.com/service_request?ID=099616" TargetMode="External"/><Relationship Id="rId44" Type="http://schemas.openxmlformats.org/officeDocument/2006/relationships/hyperlink" Target="https://us3.assetplanner.com/service_request?ID=098405" TargetMode="External"/><Relationship Id="rId52" Type="http://schemas.openxmlformats.org/officeDocument/2006/relationships/hyperlink" Target="https://us3.assetplanner.com/service_request?ID=100475" TargetMode="External"/><Relationship Id="rId60" Type="http://schemas.openxmlformats.org/officeDocument/2006/relationships/hyperlink" Target="https://us3.assetplanner.com/service_request?ID=098468" TargetMode="External"/><Relationship Id="rId65" Type="http://schemas.openxmlformats.org/officeDocument/2006/relationships/hyperlink" Target="https://us3.assetplanner.com/service_request?ID=099920" TargetMode="External"/><Relationship Id="rId4" Type="http://schemas.openxmlformats.org/officeDocument/2006/relationships/hyperlink" Target="https://us3.assetplanner.com/service_request?ID=100147" TargetMode="External"/><Relationship Id="rId9" Type="http://schemas.openxmlformats.org/officeDocument/2006/relationships/hyperlink" Target="https://us3.assetplanner.com/service_request?ID=099998" TargetMode="External"/><Relationship Id="rId13" Type="http://schemas.openxmlformats.org/officeDocument/2006/relationships/hyperlink" Target="https://us3.assetplanner.com/service_request?ID=10063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9993" TargetMode="External"/><Relationship Id="rId34" Type="http://schemas.openxmlformats.org/officeDocument/2006/relationships/hyperlink" Target="https://us3.assetplanner.com/service_request?ID=087370" TargetMode="External"/><Relationship Id="rId50" Type="http://schemas.openxmlformats.org/officeDocument/2006/relationships/hyperlink" Target="https://us3.assetplanner.com/service_request?ID=100463" TargetMode="External"/><Relationship Id="rId55" Type="http://schemas.openxmlformats.org/officeDocument/2006/relationships/hyperlink" Target="https://us3.assetplanner.com/service_request?ID=10135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2083" TargetMode="External"/><Relationship Id="rId18" Type="http://schemas.openxmlformats.org/officeDocument/2006/relationships/hyperlink" Target="https://us3.assetplanner.com/service_request?ID=088450" TargetMode="External"/><Relationship Id="rId26" Type="http://schemas.openxmlformats.org/officeDocument/2006/relationships/hyperlink" Target="https://us3.assetplanner.com/service_request?ID=100982" TargetMode="External"/><Relationship Id="rId39" Type="http://schemas.openxmlformats.org/officeDocument/2006/relationships/hyperlink" Target="https://us3.assetplanner.com/service_request?ID=101935" TargetMode="External"/><Relationship Id="rId21" Type="http://schemas.openxmlformats.org/officeDocument/2006/relationships/hyperlink" Target="https://us3.assetplanner.com/service_request?ID=097799" TargetMode="External"/><Relationship Id="rId34" Type="http://schemas.openxmlformats.org/officeDocument/2006/relationships/hyperlink" Target="https://us3.assetplanner.com/service_request?ID=101061"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2010" TargetMode="External"/><Relationship Id="rId50" Type="http://schemas.openxmlformats.org/officeDocument/2006/relationships/hyperlink" Target="https://us3.assetplanner.com/service_request?ID=101231" TargetMode="External"/><Relationship Id="rId55" Type="http://schemas.openxmlformats.org/officeDocument/2006/relationships/hyperlink" Target="https://us3.assetplanner.com/service_request?ID=101508" TargetMode="External"/><Relationship Id="rId7" Type="http://schemas.openxmlformats.org/officeDocument/2006/relationships/hyperlink" Target="https://us3.assetplanner.com/service_request?ID=100943" TargetMode="External"/><Relationship Id="rId2" Type="http://schemas.openxmlformats.org/officeDocument/2006/relationships/hyperlink" Target="https://us3.assetplanner.com/service_request?ID=101378" TargetMode="External"/><Relationship Id="rId16" Type="http://schemas.openxmlformats.org/officeDocument/2006/relationships/hyperlink" Target="https://us3.assetplanner.com/service_request?ID=102226" TargetMode="External"/><Relationship Id="rId29" Type="http://schemas.openxmlformats.org/officeDocument/2006/relationships/hyperlink" Target="https://us3.assetplanner.com/service_request?ID=101178" TargetMode="External"/><Relationship Id="rId11" Type="http://schemas.openxmlformats.org/officeDocument/2006/relationships/hyperlink" Target="https://us3.assetplanner.com/service_request?ID=100968" TargetMode="External"/><Relationship Id="rId24" Type="http://schemas.openxmlformats.org/officeDocument/2006/relationships/hyperlink" Target="https://us3.assetplanner.com/service_request?ID=099331" TargetMode="External"/><Relationship Id="rId32" Type="http://schemas.openxmlformats.org/officeDocument/2006/relationships/hyperlink" Target="https://us3.assetplanner.com/service_request?ID=087370" TargetMode="External"/><Relationship Id="rId37" Type="http://schemas.openxmlformats.org/officeDocument/2006/relationships/hyperlink" Target="https://us3.assetplanner.com/service_request?ID=100358" TargetMode="External"/><Relationship Id="rId40" Type="http://schemas.openxmlformats.org/officeDocument/2006/relationships/hyperlink" Target="https://us3.assetplanner.com/service_request?ID=101916" TargetMode="External"/><Relationship Id="rId45" Type="http://schemas.openxmlformats.org/officeDocument/2006/relationships/hyperlink" Target="https://us3.assetplanner.com/service_request?ID=102009" TargetMode="External"/><Relationship Id="rId53" Type="http://schemas.openxmlformats.org/officeDocument/2006/relationships/hyperlink" Target="https://us3.assetplanner.com/service_request?ID=101920" TargetMode="External"/><Relationship Id="rId58" Type="http://schemas.openxmlformats.org/officeDocument/2006/relationships/hyperlink" Target="https://us3.assetplanner.com/service_request?ID=099815" TargetMode="External"/><Relationship Id="rId5" Type="http://schemas.openxmlformats.org/officeDocument/2006/relationships/hyperlink" Target="https://us3.assetplanner.com/service_request?ID=101404" TargetMode="External"/><Relationship Id="rId61" Type="http://schemas.openxmlformats.org/officeDocument/2006/relationships/hyperlink" Target="https://us3.assetplanner.com/service_request?ID=101985" TargetMode="External"/><Relationship Id="rId19" Type="http://schemas.openxmlformats.org/officeDocument/2006/relationships/hyperlink" Target="https://us3.assetplanner.com/service_request?ID=102089" TargetMode="External"/><Relationship Id="rId14" Type="http://schemas.openxmlformats.org/officeDocument/2006/relationships/hyperlink" Target="https://us3.assetplanner.com/service_request?ID=099765"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101104" TargetMode="External"/><Relationship Id="rId30" Type="http://schemas.openxmlformats.org/officeDocument/2006/relationships/hyperlink" Target="https://us3.assetplanner.com/service_request?ID=101062" TargetMode="External"/><Relationship Id="rId35" Type="http://schemas.openxmlformats.org/officeDocument/2006/relationships/hyperlink" Target="https://us3.assetplanner.com/service_request?ID=100353" TargetMode="External"/><Relationship Id="rId43" Type="http://schemas.openxmlformats.org/officeDocument/2006/relationships/hyperlink" Target="https://us3.assetplanner.com/service_request?ID=101041" TargetMode="External"/><Relationship Id="rId48" Type="http://schemas.openxmlformats.org/officeDocument/2006/relationships/hyperlink" Target="https://us3.assetplanner.com/service_request?ID=100988" TargetMode="External"/><Relationship Id="rId56" Type="http://schemas.openxmlformats.org/officeDocument/2006/relationships/hyperlink" Target="https://us3.assetplanner.com/service_request?ID=098468" TargetMode="External"/><Relationship Id="rId8" Type="http://schemas.openxmlformats.org/officeDocument/2006/relationships/hyperlink" Target="https://us3.assetplanner.com/service_request?ID=101960" TargetMode="External"/><Relationship Id="rId51" Type="http://schemas.openxmlformats.org/officeDocument/2006/relationships/hyperlink" Target="https://us3.assetplanner.com/service_request?ID=101357" TargetMode="External"/><Relationship Id="rId3" Type="http://schemas.openxmlformats.org/officeDocument/2006/relationships/hyperlink" Target="https://us3.assetplanner.com/service_request?ID=101504" TargetMode="External"/><Relationship Id="rId12" Type="http://schemas.openxmlformats.org/officeDocument/2006/relationships/hyperlink" Target="https://us3.assetplanner.com/service_request?ID=100633" TargetMode="External"/><Relationship Id="rId17" Type="http://schemas.openxmlformats.org/officeDocument/2006/relationships/hyperlink" Target="https://us3.assetplanner.com/service_request?ID=088449" TargetMode="External"/><Relationship Id="rId25" Type="http://schemas.openxmlformats.org/officeDocument/2006/relationships/hyperlink" Target="https://us3.assetplanner.com/service_request?ID=101423" TargetMode="External"/><Relationship Id="rId33" Type="http://schemas.openxmlformats.org/officeDocument/2006/relationships/hyperlink" Target="https://us3.assetplanner.com/service_request?ID=101031" TargetMode="External"/><Relationship Id="rId38" Type="http://schemas.openxmlformats.org/officeDocument/2006/relationships/hyperlink" Target="https://us3.assetplanner.com/service_request?ID=101648" TargetMode="External"/><Relationship Id="rId46" Type="http://schemas.openxmlformats.org/officeDocument/2006/relationships/hyperlink" Target="https://us3.assetplanner.com/service_request?ID=101042" TargetMode="External"/><Relationship Id="rId59" Type="http://schemas.openxmlformats.org/officeDocument/2006/relationships/hyperlink" Target="https://us3.assetplanner.com/service_request?ID=099920" TargetMode="External"/><Relationship Id="rId20" Type="http://schemas.openxmlformats.org/officeDocument/2006/relationships/hyperlink" Target="https://us3.assetplanner.com/service_request?ID=091962" TargetMode="External"/><Relationship Id="rId41" Type="http://schemas.openxmlformats.org/officeDocument/2006/relationships/hyperlink" Target="https://us3.assetplanner.com/service_request?ID=101787" TargetMode="External"/><Relationship Id="rId54" Type="http://schemas.openxmlformats.org/officeDocument/2006/relationships/hyperlink" Target="https://us3.assetplanner.com/service_request?ID=100710" TargetMode="External"/><Relationship Id="rId62"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0967" TargetMode="External"/><Relationship Id="rId6" Type="http://schemas.openxmlformats.org/officeDocument/2006/relationships/hyperlink" Target="https://us3.assetplanner.com/service_request?ID=102179" TargetMode="External"/><Relationship Id="rId15" Type="http://schemas.openxmlformats.org/officeDocument/2006/relationships/hyperlink" Target="https://us3.assetplanner.com/service_request?ID=101869" TargetMode="External"/><Relationship Id="rId23" Type="http://schemas.openxmlformats.org/officeDocument/2006/relationships/hyperlink" Target="https://us3.assetplanner.com/service_request?ID=095816" TargetMode="External"/><Relationship Id="rId28" Type="http://schemas.openxmlformats.org/officeDocument/2006/relationships/hyperlink" Target="https://us3.assetplanner.com/service_request?ID=099616" TargetMode="External"/><Relationship Id="rId36" Type="http://schemas.openxmlformats.org/officeDocument/2006/relationships/hyperlink" Target="https://us3.assetplanner.com/service_request?ID=101879" TargetMode="External"/><Relationship Id="rId49" Type="http://schemas.openxmlformats.org/officeDocument/2006/relationships/hyperlink" Target="https://us3.assetplanner.com/service_request?ID=101074" TargetMode="External"/><Relationship Id="rId57" Type="http://schemas.openxmlformats.org/officeDocument/2006/relationships/hyperlink" Target="https://us3.assetplanner.com/service_request?ID=099298" TargetMode="External"/><Relationship Id="rId10" Type="http://schemas.openxmlformats.org/officeDocument/2006/relationships/hyperlink" Target="https://us3.assetplanner.com/service_request?ID=101111"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1051" TargetMode="External"/><Relationship Id="rId52" Type="http://schemas.openxmlformats.org/officeDocument/2006/relationships/hyperlink" Target="https://us3.assetplanner.com/service_request?ID=102183" TargetMode="External"/><Relationship Id="rId60" Type="http://schemas.openxmlformats.org/officeDocument/2006/relationships/hyperlink" Target="https://us3.assetplanner.com/service_request?ID=101029" TargetMode="External"/><Relationship Id="rId4" Type="http://schemas.openxmlformats.org/officeDocument/2006/relationships/hyperlink" Target="https://us3.assetplanner.com/service_request?ID=101739" TargetMode="External"/><Relationship Id="rId9" Type="http://schemas.openxmlformats.org/officeDocument/2006/relationships/hyperlink" Target="https://us3.assetplanner.com/service_request?ID=10205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13" TargetMode="External"/><Relationship Id="rId13" Type="http://schemas.openxmlformats.org/officeDocument/2006/relationships/hyperlink" Target="https://us3.assetplanner.com/service_request?ID=102793" TargetMode="External"/><Relationship Id="rId18" Type="http://schemas.openxmlformats.org/officeDocument/2006/relationships/hyperlink" Target="https://us3.assetplanner.com/service_request?ID=102471" TargetMode="External"/><Relationship Id="rId26" Type="http://schemas.openxmlformats.org/officeDocument/2006/relationships/hyperlink" Target="https://us3.assetplanner.com/service_request?ID=102764" TargetMode="External"/><Relationship Id="rId3" Type="http://schemas.openxmlformats.org/officeDocument/2006/relationships/hyperlink" Target="https://us3.assetplanner.com/service_request?ID=102179" TargetMode="External"/><Relationship Id="rId21" Type="http://schemas.openxmlformats.org/officeDocument/2006/relationships/hyperlink" Target="https://us3.assetplanner.com/service_request?ID=103780" TargetMode="External"/><Relationship Id="rId7" Type="http://schemas.openxmlformats.org/officeDocument/2006/relationships/hyperlink" Target="https://us3.assetplanner.com/service_request?ID=102609" TargetMode="External"/><Relationship Id="rId12" Type="http://schemas.openxmlformats.org/officeDocument/2006/relationships/hyperlink" Target="https://us3.assetplanner.com/service_request?ID=087370" TargetMode="External"/><Relationship Id="rId17" Type="http://schemas.openxmlformats.org/officeDocument/2006/relationships/hyperlink" Target="https://us3.assetplanner.com/service_request?ID=103522" TargetMode="External"/><Relationship Id="rId25" Type="http://schemas.openxmlformats.org/officeDocument/2006/relationships/hyperlink" Target="https://us3.assetplanner.com/service_request?ID=102977" TargetMode="External"/><Relationship Id="rId2" Type="http://schemas.openxmlformats.org/officeDocument/2006/relationships/hyperlink" Target="https://us3.assetplanner.com/service_request?ID=101404" TargetMode="External"/><Relationship Id="rId16" Type="http://schemas.openxmlformats.org/officeDocument/2006/relationships/hyperlink" Target="https://us3.assetplanner.com/service_request?ID=103272" TargetMode="External"/><Relationship Id="rId20" Type="http://schemas.openxmlformats.org/officeDocument/2006/relationships/hyperlink" Target="https://us3.assetplanner.com/service_request?ID=103767" TargetMode="External"/><Relationship Id="rId29"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2739" TargetMode="External"/><Relationship Id="rId6" Type="http://schemas.openxmlformats.org/officeDocument/2006/relationships/hyperlink" Target="https://us3.assetplanner.com/service_request?ID=102083" TargetMode="External"/><Relationship Id="rId11" Type="http://schemas.openxmlformats.org/officeDocument/2006/relationships/hyperlink" Target="https://us3.assetplanner.com/service_request?ID=103462" TargetMode="External"/><Relationship Id="rId24" Type="http://schemas.openxmlformats.org/officeDocument/2006/relationships/hyperlink" Target="https://us3.assetplanner.com/service_request?ID=102555" TargetMode="External"/><Relationship Id="rId5" Type="http://schemas.openxmlformats.org/officeDocument/2006/relationships/hyperlink" Target="https://us3.assetplanner.com/service_request?ID=100943" TargetMode="External"/><Relationship Id="rId15" Type="http://schemas.openxmlformats.org/officeDocument/2006/relationships/hyperlink" Target="https://us3.assetplanner.com/service_request?ID=102978" TargetMode="External"/><Relationship Id="rId23" Type="http://schemas.openxmlformats.org/officeDocument/2006/relationships/hyperlink" Target="https://us3.assetplanner.com/service_request?ID=102294" TargetMode="External"/><Relationship Id="rId28" Type="http://schemas.openxmlformats.org/officeDocument/2006/relationships/hyperlink" Target="https://us3.assetplanner.com/service_request?ID=103531" TargetMode="External"/><Relationship Id="rId10" Type="http://schemas.openxmlformats.org/officeDocument/2006/relationships/hyperlink" Target="https://us3.assetplanner.com/service_request?ID=103728" TargetMode="External"/><Relationship Id="rId19" Type="http://schemas.openxmlformats.org/officeDocument/2006/relationships/hyperlink" Target="https://us3.assetplanner.com/service_request?ID=103328" TargetMode="External"/><Relationship Id="rId4" Type="http://schemas.openxmlformats.org/officeDocument/2006/relationships/hyperlink" Target="https://us3.assetplanner.com/service_request?ID=102051" TargetMode="External"/><Relationship Id="rId9" Type="http://schemas.openxmlformats.org/officeDocument/2006/relationships/hyperlink" Target="https://us3.assetplanner.com/service_request?ID=102994" TargetMode="External"/><Relationship Id="rId14" Type="http://schemas.openxmlformats.org/officeDocument/2006/relationships/hyperlink" Target="https://us3.assetplanner.com/service_request?ID=102374" TargetMode="External"/><Relationship Id="rId22" Type="http://schemas.openxmlformats.org/officeDocument/2006/relationships/hyperlink" Target="https://us3.assetplanner.com/service_request?ID=102985" TargetMode="External"/><Relationship Id="rId27" Type="http://schemas.openxmlformats.org/officeDocument/2006/relationships/hyperlink" Target="https://us3.assetplanner.com/service_request?ID=098468"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105176" TargetMode="External"/><Relationship Id="rId18" Type="http://schemas.openxmlformats.org/officeDocument/2006/relationships/hyperlink" Target="https://us3.assetplanner.com/service_request?ID=087370" TargetMode="External"/><Relationship Id="rId26" Type="http://schemas.openxmlformats.org/officeDocument/2006/relationships/hyperlink" Target="https://us3.assetplanner.com/service_request?ID=104425" TargetMode="External"/><Relationship Id="rId39" Type="http://schemas.openxmlformats.org/officeDocument/2006/relationships/hyperlink" Target="https://us3.assetplanner.com/service_request?ID=103870" TargetMode="External"/><Relationship Id="rId21" Type="http://schemas.openxmlformats.org/officeDocument/2006/relationships/hyperlink" Target="https://us3.assetplanner.com/service_request?ID=104275" TargetMode="External"/><Relationship Id="rId34" Type="http://schemas.openxmlformats.org/officeDocument/2006/relationships/hyperlink" Target="https://us3.assetplanner.com/service_request?ID=098468" TargetMode="External"/><Relationship Id="rId42" Type="http://schemas.openxmlformats.org/officeDocument/2006/relationships/hyperlink" Target="https://us3.assetplanner.com/service_request?ID=104162" TargetMode="External"/><Relationship Id="rId7" Type="http://schemas.openxmlformats.org/officeDocument/2006/relationships/hyperlink" Target="https://us3.assetplanner.com/service_request?ID=105295" TargetMode="External"/><Relationship Id="rId2" Type="http://schemas.openxmlformats.org/officeDocument/2006/relationships/hyperlink" Target="https://us3.assetplanner.com/service_request?ID=104572" TargetMode="External"/><Relationship Id="rId16" Type="http://schemas.openxmlformats.org/officeDocument/2006/relationships/hyperlink" Target="https://us3.assetplanner.com/service_request?ID=104505" TargetMode="External"/><Relationship Id="rId29" Type="http://schemas.openxmlformats.org/officeDocument/2006/relationships/hyperlink" Target="https://us3.assetplanner.com/service_request?ID=102764" TargetMode="External"/><Relationship Id="rId1" Type="http://schemas.openxmlformats.org/officeDocument/2006/relationships/hyperlink" Target="https://us3.assetplanner.com/service_request?ID=101404" TargetMode="External"/><Relationship Id="rId6" Type="http://schemas.openxmlformats.org/officeDocument/2006/relationships/hyperlink" Target="https://us3.assetplanner.com/service_request?ID=104476" TargetMode="External"/><Relationship Id="rId11"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3781" TargetMode="External"/><Relationship Id="rId32" Type="http://schemas.openxmlformats.org/officeDocument/2006/relationships/hyperlink" Target="https://us3.assetplanner.com/service_request?ID=104528" TargetMode="External"/><Relationship Id="rId37" Type="http://schemas.openxmlformats.org/officeDocument/2006/relationships/hyperlink" Target="https://us3.assetplanner.com/service_request?ID=103531" TargetMode="External"/><Relationship Id="rId40" Type="http://schemas.openxmlformats.org/officeDocument/2006/relationships/hyperlink" Target="https://us3.assetplanner.com/service_request?ID=104952" TargetMode="External"/><Relationship Id="rId45" Type="http://schemas.openxmlformats.org/officeDocument/2006/relationships/hyperlink" Target="https://us3.assetplanner.com/service_request?ID=107288" TargetMode="External"/><Relationship Id="rId5" Type="http://schemas.openxmlformats.org/officeDocument/2006/relationships/hyperlink" Target="https://us3.assetplanner.com/service_request?ID=104334" TargetMode="External"/><Relationship Id="rId15" Type="http://schemas.openxmlformats.org/officeDocument/2006/relationships/hyperlink" Target="https://us3.assetplanner.com/service_request?ID=103462" TargetMode="External"/><Relationship Id="rId23" Type="http://schemas.openxmlformats.org/officeDocument/2006/relationships/hyperlink" Target="https://us3.assetplanner.com/service_request?ID=104017" TargetMode="External"/><Relationship Id="rId28" Type="http://schemas.openxmlformats.org/officeDocument/2006/relationships/hyperlink" Target="https://us3.assetplanner.com/service_request?ID=104163" TargetMode="External"/><Relationship Id="rId36" Type="http://schemas.openxmlformats.org/officeDocument/2006/relationships/hyperlink" Target="https://us3.assetplanner.com/service_request?ID=099920" TargetMode="External"/><Relationship Id="rId10" Type="http://schemas.openxmlformats.org/officeDocument/2006/relationships/hyperlink" Target="https://us3.assetplanner.com/service_request?ID=103081" TargetMode="External"/><Relationship Id="rId19" Type="http://schemas.openxmlformats.org/officeDocument/2006/relationships/hyperlink" Target="https://us3.assetplanner.com/service_request?ID=102374" TargetMode="External"/><Relationship Id="rId31" Type="http://schemas.openxmlformats.org/officeDocument/2006/relationships/hyperlink" Target="https://us3.assetplanner.com/service_request?ID=097803" TargetMode="External"/><Relationship Id="rId44" Type="http://schemas.openxmlformats.org/officeDocument/2006/relationships/hyperlink" Target="https://us3.assetplanner.com/service_request?ID=104400" TargetMode="External"/><Relationship Id="rId4" Type="http://schemas.openxmlformats.org/officeDocument/2006/relationships/hyperlink" Target="https://us3.assetplanner.com/service_request?ID=105293" TargetMode="External"/><Relationship Id="rId9" Type="http://schemas.openxmlformats.org/officeDocument/2006/relationships/hyperlink" Target="https://us3.assetplanner.com/service_request?ID=103650" TargetMode="External"/><Relationship Id="rId14" Type="http://schemas.openxmlformats.org/officeDocument/2006/relationships/hyperlink" Target="https://us3.assetplanner.com/service_request?ID=104757" TargetMode="External"/><Relationship Id="rId22" Type="http://schemas.openxmlformats.org/officeDocument/2006/relationships/hyperlink" Target="https://us3.assetplanner.com/service_request?ID=101031" TargetMode="External"/><Relationship Id="rId27" Type="http://schemas.openxmlformats.org/officeDocument/2006/relationships/hyperlink" Target="https://us3.assetplanner.com/service_request?ID=104951" TargetMode="External"/><Relationship Id="rId30" Type="http://schemas.openxmlformats.org/officeDocument/2006/relationships/hyperlink" Target="https://us3.assetplanner.com/service_request?ID=104762" TargetMode="External"/><Relationship Id="rId35" Type="http://schemas.openxmlformats.org/officeDocument/2006/relationships/hyperlink" Target="https://us3.assetplanner.com/service_request?ID=099815" TargetMode="External"/><Relationship Id="rId43" Type="http://schemas.openxmlformats.org/officeDocument/2006/relationships/hyperlink" Target="https://us3.assetplanner.com/service_request?ID=104187" TargetMode="External"/><Relationship Id="rId8" Type="http://schemas.openxmlformats.org/officeDocument/2006/relationships/hyperlink" Target="https://us3.assetplanner.com/service_request?ID=102083" TargetMode="External"/><Relationship Id="rId3" Type="http://schemas.openxmlformats.org/officeDocument/2006/relationships/hyperlink" Target="https://us3.assetplanner.com/service_request?ID=105130" TargetMode="External"/><Relationship Id="rId12" Type="http://schemas.openxmlformats.org/officeDocument/2006/relationships/hyperlink" Target="https://us3.assetplanner.com/service_request?ID=103770" TargetMode="External"/><Relationship Id="rId17" Type="http://schemas.openxmlformats.org/officeDocument/2006/relationships/hyperlink" Target="https://us3.assetplanner.com/service_request?ID=105297" TargetMode="External"/><Relationship Id="rId25" Type="http://schemas.openxmlformats.org/officeDocument/2006/relationships/hyperlink" Target="https://us3.assetplanner.com/service_request?ID=104336" TargetMode="External"/><Relationship Id="rId33" Type="http://schemas.openxmlformats.org/officeDocument/2006/relationships/hyperlink" Target="https://us3.assetplanner.com/service_request?ID=104686" TargetMode="External"/><Relationship Id="rId38" Type="http://schemas.openxmlformats.org/officeDocument/2006/relationships/hyperlink" Target="https://us3.assetplanner.com/service_request?ID=104024" TargetMode="External"/><Relationship Id="rId20" Type="http://schemas.openxmlformats.org/officeDocument/2006/relationships/hyperlink" Target="https://us3.assetplanner.com/service_request?ID=102374" TargetMode="External"/><Relationship Id="rId41" Type="http://schemas.openxmlformats.org/officeDocument/2006/relationships/hyperlink" Target="https://us3.assetplanner.com/service_request?ID=103999"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388" TargetMode="External"/><Relationship Id="rId21" Type="http://schemas.openxmlformats.org/officeDocument/2006/relationships/hyperlink" Target="https://us3.assetplanner.com/service_request?ID=106227" TargetMode="External"/><Relationship Id="rId42" Type="http://schemas.openxmlformats.org/officeDocument/2006/relationships/hyperlink" Target="https://us3.assetplanner.com/service_request?ID=106596" TargetMode="External"/><Relationship Id="rId47" Type="http://schemas.openxmlformats.org/officeDocument/2006/relationships/hyperlink" Target="https://us3.assetplanner.com/service_request?ID=106777" TargetMode="External"/><Relationship Id="rId63" Type="http://schemas.openxmlformats.org/officeDocument/2006/relationships/hyperlink" Target="https://us3.assetplanner.com/service_request?ID=098468" TargetMode="External"/><Relationship Id="rId68" Type="http://schemas.openxmlformats.org/officeDocument/2006/relationships/hyperlink" Target="https://us3.assetplanner.com/service_request?ID=106005" TargetMode="External"/><Relationship Id="rId2" Type="http://schemas.openxmlformats.org/officeDocument/2006/relationships/hyperlink" Target="https://us3.assetplanner.com/service_request?ID=106308" TargetMode="External"/><Relationship Id="rId16" Type="http://schemas.openxmlformats.org/officeDocument/2006/relationships/hyperlink" Target="https://us3.assetplanner.com/service_request?ID=105975" TargetMode="External"/><Relationship Id="rId29" Type="http://schemas.openxmlformats.org/officeDocument/2006/relationships/hyperlink" Target="https://us3.assetplanner.com/service_request?ID=105297" TargetMode="External"/><Relationship Id="rId11" Type="http://schemas.openxmlformats.org/officeDocument/2006/relationships/hyperlink" Target="https://us3.assetplanner.com/service_request?ID=106327" TargetMode="External"/><Relationship Id="rId24" Type="http://schemas.openxmlformats.org/officeDocument/2006/relationships/hyperlink" Target="https://us3.assetplanner.com/service_request?ID=107298" TargetMode="External"/><Relationship Id="rId32" Type="http://schemas.openxmlformats.org/officeDocument/2006/relationships/hyperlink" Target="https://us3.assetplanner.com/service_request?ID=106070" TargetMode="External"/><Relationship Id="rId37" Type="http://schemas.openxmlformats.org/officeDocument/2006/relationships/hyperlink" Target="https://us3.assetplanner.com/service_request?ID=105929" TargetMode="External"/><Relationship Id="rId40" Type="http://schemas.openxmlformats.org/officeDocument/2006/relationships/hyperlink" Target="https://us3.assetplanner.com/service_request?ID=105746" TargetMode="External"/><Relationship Id="rId45" Type="http://schemas.openxmlformats.org/officeDocument/2006/relationships/hyperlink" Target="https://us3.assetplanner.com/service_request?ID=105953" TargetMode="External"/><Relationship Id="rId53" Type="http://schemas.openxmlformats.org/officeDocument/2006/relationships/hyperlink" Target="https://us3.assetplanner.com/service_request?ID=103781" TargetMode="External"/><Relationship Id="rId58" Type="http://schemas.openxmlformats.org/officeDocument/2006/relationships/hyperlink" Target="https://us3.assetplanner.com/service_request?ID=104528" TargetMode="External"/><Relationship Id="rId66" Type="http://schemas.openxmlformats.org/officeDocument/2006/relationships/hyperlink" Target="https://us3.assetplanner.com/service_request?ID=105808" TargetMode="External"/><Relationship Id="rId5" Type="http://schemas.openxmlformats.org/officeDocument/2006/relationships/hyperlink" Target="https://us3.assetplanner.com/service_request?ID=104730" TargetMode="External"/><Relationship Id="rId61" Type="http://schemas.openxmlformats.org/officeDocument/2006/relationships/hyperlink" Target="https://us3.assetplanner.com/service_request?ID=099920" TargetMode="External"/><Relationship Id="rId19" Type="http://schemas.openxmlformats.org/officeDocument/2006/relationships/hyperlink" Target="https://us3.assetplanner.com/service_request?ID=103047" TargetMode="External"/><Relationship Id="rId14" Type="http://schemas.openxmlformats.org/officeDocument/2006/relationships/hyperlink" Target="https://us3.assetplanner.com/service_request?ID=107215" TargetMode="External"/><Relationship Id="rId22" Type="http://schemas.openxmlformats.org/officeDocument/2006/relationships/hyperlink" Target="https://us3.assetplanner.com/service_request?ID=106661" TargetMode="External"/><Relationship Id="rId27" Type="http://schemas.openxmlformats.org/officeDocument/2006/relationships/hyperlink" Target="https://us3.assetplanner.com/service_request?ID=103728" TargetMode="External"/><Relationship Id="rId30" Type="http://schemas.openxmlformats.org/officeDocument/2006/relationships/hyperlink" Target="https://us3.assetplanner.com/service_request?ID=097795" TargetMode="External"/><Relationship Id="rId35" Type="http://schemas.openxmlformats.org/officeDocument/2006/relationships/hyperlink" Target="https://us3.assetplanner.com/service_request?ID=104475" TargetMode="External"/><Relationship Id="rId43" Type="http://schemas.openxmlformats.org/officeDocument/2006/relationships/hyperlink" Target="https://us3.assetplanner.com/service_request?ID=094254" TargetMode="External"/><Relationship Id="rId48" Type="http://schemas.openxmlformats.org/officeDocument/2006/relationships/hyperlink" Target="https://us3.assetplanner.com/service_request?ID=105947" TargetMode="External"/><Relationship Id="rId56" Type="http://schemas.openxmlformats.org/officeDocument/2006/relationships/hyperlink" Target="https://us3.assetplanner.com/service_request?ID=097803" TargetMode="External"/><Relationship Id="rId64" Type="http://schemas.openxmlformats.org/officeDocument/2006/relationships/hyperlink" Target="https://us3.assetplanner.com/service_request?ID=104024" TargetMode="External"/><Relationship Id="rId69" Type="http://schemas.openxmlformats.org/officeDocument/2006/relationships/hyperlink" Target="https://us3.assetplanner.com/service_request?ID=106677" TargetMode="External"/><Relationship Id="rId8" Type="http://schemas.openxmlformats.org/officeDocument/2006/relationships/hyperlink" Target="https://us3.assetplanner.com/service_request?ID=106215" TargetMode="External"/><Relationship Id="rId51" Type="http://schemas.openxmlformats.org/officeDocument/2006/relationships/hyperlink" Target="https://us3.assetplanner.com/service_request?ID=107228" TargetMode="External"/><Relationship Id="rId72"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4476" TargetMode="External"/><Relationship Id="rId17" Type="http://schemas.openxmlformats.org/officeDocument/2006/relationships/hyperlink" Target="https://us3.assetplanner.com/service_request?ID=106358" TargetMode="External"/><Relationship Id="rId25" Type="http://schemas.openxmlformats.org/officeDocument/2006/relationships/hyperlink" Target="https://us3.assetplanner.com/service_request?ID=106937" TargetMode="External"/><Relationship Id="rId33" Type="http://schemas.openxmlformats.org/officeDocument/2006/relationships/hyperlink" Target="https://us3.assetplanner.com/service_request?ID=106814" TargetMode="External"/><Relationship Id="rId38" Type="http://schemas.openxmlformats.org/officeDocument/2006/relationships/hyperlink" Target="https://us3.assetplanner.com/service_request?ID=106232" TargetMode="External"/><Relationship Id="rId46" Type="http://schemas.openxmlformats.org/officeDocument/2006/relationships/hyperlink" Target="https://us3.assetplanner.com/service_request?ID=106221" TargetMode="External"/><Relationship Id="rId59" Type="http://schemas.openxmlformats.org/officeDocument/2006/relationships/hyperlink" Target="https://us3.assetplanner.com/service_request?ID=104686" TargetMode="External"/><Relationship Id="rId67" Type="http://schemas.openxmlformats.org/officeDocument/2006/relationships/hyperlink" Target="https://us3.assetplanner.com/service_request?ID=105747" TargetMode="External"/><Relationship Id="rId20" Type="http://schemas.openxmlformats.org/officeDocument/2006/relationships/hyperlink" Target="https://us3.assetplanner.com/service_request?ID=103282" TargetMode="External"/><Relationship Id="rId41" Type="http://schemas.openxmlformats.org/officeDocument/2006/relationships/hyperlink" Target="https://us3.assetplanner.com/service_request?ID=106014" TargetMode="External"/><Relationship Id="rId54" Type="http://schemas.openxmlformats.org/officeDocument/2006/relationships/hyperlink" Target="https://us3.assetplanner.com/service_request?ID=105519" TargetMode="External"/><Relationship Id="rId62" Type="http://schemas.openxmlformats.org/officeDocument/2006/relationships/hyperlink" Target="https://us3.assetplanner.com/service_request?ID=103531" TargetMode="External"/><Relationship Id="rId70" Type="http://schemas.openxmlformats.org/officeDocument/2006/relationships/hyperlink" Target="https://us3.assetplanner.com/service_request?ID=107218" TargetMode="External"/><Relationship Id="rId1" Type="http://schemas.openxmlformats.org/officeDocument/2006/relationships/hyperlink" Target="https://us3.assetplanner.com/service_request?ID=105374" TargetMode="External"/><Relationship Id="rId6" Type="http://schemas.openxmlformats.org/officeDocument/2006/relationships/hyperlink" Target="https://us3.assetplanner.com/service_request?ID=106337" TargetMode="External"/><Relationship Id="rId15" Type="http://schemas.openxmlformats.org/officeDocument/2006/relationships/hyperlink" Target="https://us3.assetplanner.com/service_request?ID=106665" TargetMode="External"/><Relationship Id="rId23" Type="http://schemas.openxmlformats.org/officeDocument/2006/relationships/hyperlink" Target="https://us3.assetplanner.com/service_request?ID=106834" TargetMode="External"/><Relationship Id="rId28" Type="http://schemas.openxmlformats.org/officeDocument/2006/relationships/hyperlink" Target="https://us3.assetplanner.com/service_request?ID=103770" TargetMode="External"/><Relationship Id="rId36" Type="http://schemas.openxmlformats.org/officeDocument/2006/relationships/hyperlink" Target="https://us3.assetplanner.com/service_request?ID=104472" TargetMode="External"/><Relationship Id="rId49" Type="http://schemas.openxmlformats.org/officeDocument/2006/relationships/hyperlink" Target="https://us3.assetplanner.com/service_request?ID=106220" TargetMode="External"/><Relationship Id="rId57" Type="http://schemas.openxmlformats.org/officeDocument/2006/relationships/hyperlink" Target="https://us3.assetplanner.com/service_request?ID=105520" TargetMode="External"/><Relationship Id="rId10" Type="http://schemas.openxmlformats.org/officeDocument/2006/relationships/hyperlink" Target="https://us3.assetplanner.com/service_request?ID=105954"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5953" TargetMode="External"/><Relationship Id="rId52" Type="http://schemas.openxmlformats.org/officeDocument/2006/relationships/hyperlink" Target="https://us3.assetplanner.com/service_request?ID=106321" TargetMode="External"/><Relationship Id="rId60" Type="http://schemas.openxmlformats.org/officeDocument/2006/relationships/hyperlink" Target="https://us3.assetplanner.com/service_request?ID=099815" TargetMode="External"/><Relationship Id="rId65" Type="http://schemas.openxmlformats.org/officeDocument/2006/relationships/hyperlink" Target="https://us3.assetplanner.com/service_request?ID=105724" TargetMode="External"/><Relationship Id="rId73"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398" TargetMode="External"/><Relationship Id="rId18" Type="http://schemas.openxmlformats.org/officeDocument/2006/relationships/hyperlink" Target="https://us3.assetplanner.com/service_request?ID=105428" TargetMode="External"/><Relationship Id="rId39" Type="http://schemas.openxmlformats.org/officeDocument/2006/relationships/hyperlink" Target="https://us3.assetplanner.com/service_request?ID=105514" TargetMode="External"/><Relationship Id="rId34" Type="http://schemas.openxmlformats.org/officeDocument/2006/relationships/hyperlink" Target="https://us3.assetplanner.com/service_request?ID=106982" TargetMode="External"/><Relationship Id="rId50" Type="http://schemas.openxmlformats.org/officeDocument/2006/relationships/hyperlink" Target="https://us3.assetplanner.com/service_request?ID=106776" TargetMode="External"/><Relationship Id="rId55" Type="http://schemas.openxmlformats.org/officeDocument/2006/relationships/hyperlink" Target="https://us3.assetplanner.com/service_request?ID=105518" TargetMode="External"/><Relationship Id="rId7" Type="http://schemas.openxmlformats.org/officeDocument/2006/relationships/hyperlink" Target="https://us3.assetplanner.com/service_request?ID=106597" TargetMode="External"/><Relationship Id="rId71" Type="http://schemas.openxmlformats.org/officeDocument/2006/relationships/hyperlink" Target="https://us3.assetplanner.com/service_request?ID=105950"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8489" TargetMode="External"/><Relationship Id="rId21" Type="http://schemas.openxmlformats.org/officeDocument/2006/relationships/hyperlink" Target="https://us3.assetplanner.com/service_request?ID=108313" TargetMode="External"/><Relationship Id="rId42" Type="http://schemas.openxmlformats.org/officeDocument/2006/relationships/hyperlink" Target="https://us3.assetplanner.com/service_request?ID=107644" TargetMode="External"/><Relationship Id="rId47" Type="http://schemas.openxmlformats.org/officeDocument/2006/relationships/hyperlink" Target="https://us3.assetplanner.com/service_request?ID=107720" TargetMode="External"/><Relationship Id="rId63" Type="http://schemas.openxmlformats.org/officeDocument/2006/relationships/hyperlink" Target="https://us3.assetplanner.com/service_request?ID=104686" TargetMode="External"/><Relationship Id="rId68" Type="http://schemas.openxmlformats.org/officeDocument/2006/relationships/hyperlink" Target="https://us3.assetplanner.com/service_request?ID=098468" TargetMode="External"/><Relationship Id="rId84" Type="http://schemas.openxmlformats.org/officeDocument/2006/relationships/hyperlink" Target="https://us3.assetplanner.com/service_request?ID=105950" TargetMode="External"/><Relationship Id="rId16" Type="http://schemas.openxmlformats.org/officeDocument/2006/relationships/hyperlink" Target="https://us3.assetplanner.com/service_request?ID=108326" TargetMode="External"/><Relationship Id="rId11" Type="http://schemas.openxmlformats.org/officeDocument/2006/relationships/hyperlink" Target="https://us3.assetplanner.com/service_request?ID=107215"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106982" TargetMode="External"/><Relationship Id="rId53" Type="http://schemas.openxmlformats.org/officeDocument/2006/relationships/hyperlink" Target="https://us3.assetplanner.com/service_request?ID=107692" TargetMode="External"/><Relationship Id="rId58" Type="http://schemas.openxmlformats.org/officeDocument/2006/relationships/hyperlink" Target="https://us3.assetplanner.com/service_request?ID=107903" TargetMode="External"/><Relationship Id="rId74" Type="http://schemas.openxmlformats.org/officeDocument/2006/relationships/hyperlink" Target="https://us3.assetplanner.com/service_request?ID=107912" TargetMode="External"/><Relationship Id="rId79" Type="http://schemas.openxmlformats.org/officeDocument/2006/relationships/hyperlink" Target="https://us3.assetplanner.com/service_request?ID=107616" TargetMode="External"/><Relationship Id="rId5" Type="http://schemas.openxmlformats.org/officeDocument/2006/relationships/hyperlink" Target="https://us3.assetplanner.com/service_request?ID=104730" TargetMode="External"/><Relationship Id="rId19" Type="http://schemas.openxmlformats.org/officeDocument/2006/relationships/hyperlink" Target="https://us3.assetplanner.com/service_request?ID=107559" TargetMode="External"/><Relationship Id="rId14" Type="http://schemas.openxmlformats.org/officeDocument/2006/relationships/hyperlink" Target="https://us3.assetplanner.com/service_request?ID=107886" TargetMode="External"/><Relationship Id="rId22" Type="http://schemas.openxmlformats.org/officeDocument/2006/relationships/hyperlink" Target="https://us3.assetplanner.com/service_request?ID=103565" TargetMode="External"/><Relationship Id="rId27" Type="http://schemas.openxmlformats.org/officeDocument/2006/relationships/hyperlink" Target="https://us3.assetplanner.com/service_request?ID=107940" TargetMode="External"/><Relationship Id="rId30" Type="http://schemas.openxmlformats.org/officeDocument/2006/relationships/hyperlink" Target="https://us3.assetplanner.com/service_request?ID=103770" TargetMode="External"/><Relationship Id="rId35" Type="http://schemas.openxmlformats.org/officeDocument/2006/relationships/hyperlink" Target="https://us3.assetplanner.com/service_request?ID=108585" TargetMode="External"/><Relationship Id="rId43" Type="http://schemas.openxmlformats.org/officeDocument/2006/relationships/hyperlink" Target="https://us3.assetplanner.com/service_request?ID=107558" TargetMode="External"/><Relationship Id="rId48" Type="http://schemas.openxmlformats.org/officeDocument/2006/relationships/hyperlink" Target="https://us3.assetplanner.com/service_request?ID=107721" TargetMode="External"/><Relationship Id="rId56" Type="http://schemas.openxmlformats.org/officeDocument/2006/relationships/hyperlink" Target="https://us3.assetplanner.com/service_request?ID=107959" TargetMode="External"/><Relationship Id="rId64" Type="http://schemas.openxmlformats.org/officeDocument/2006/relationships/hyperlink" Target="https://us3.assetplanner.com/service_request?ID=107397" TargetMode="External"/><Relationship Id="rId69" Type="http://schemas.openxmlformats.org/officeDocument/2006/relationships/hyperlink" Target="https://us3.assetplanner.com/service_request?ID=104024" TargetMode="External"/><Relationship Id="rId77" Type="http://schemas.openxmlformats.org/officeDocument/2006/relationships/hyperlink" Target="https://us3.assetplanner.com/service_request?ID=107218" TargetMode="External"/><Relationship Id="rId8" Type="http://schemas.openxmlformats.org/officeDocument/2006/relationships/hyperlink" Target="https://us3.assetplanner.com/service_request?ID=106597" TargetMode="External"/><Relationship Id="rId51" Type="http://schemas.openxmlformats.org/officeDocument/2006/relationships/hyperlink" Target="https://us3.assetplanner.com/service_request?ID=107550" TargetMode="External"/><Relationship Id="rId72" Type="http://schemas.openxmlformats.org/officeDocument/2006/relationships/hyperlink" Target="https://us3.assetplanner.com/service_request?ID=107262" TargetMode="External"/><Relationship Id="rId80" Type="http://schemas.openxmlformats.org/officeDocument/2006/relationships/hyperlink" Target="https://us3.assetplanner.com/service_request?ID=108238" TargetMode="External"/><Relationship Id="rId85"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6665" TargetMode="External"/><Relationship Id="rId17" Type="http://schemas.openxmlformats.org/officeDocument/2006/relationships/hyperlink" Target="https://us3.assetplanner.com/service_request?ID=106665" TargetMode="External"/><Relationship Id="rId25" Type="http://schemas.openxmlformats.org/officeDocument/2006/relationships/hyperlink" Target="https://us3.assetplanner.com/service_request?ID=106834" TargetMode="External"/><Relationship Id="rId33" Type="http://schemas.openxmlformats.org/officeDocument/2006/relationships/hyperlink" Target="https://us3.assetplanner.com/service_request?ID=101921" TargetMode="External"/><Relationship Id="rId38" Type="http://schemas.openxmlformats.org/officeDocument/2006/relationships/hyperlink" Target="https://us3.assetplanner.com/service_request?ID=107488" TargetMode="External"/><Relationship Id="rId46" Type="http://schemas.openxmlformats.org/officeDocument/2006/relationships/hyperlink" Target="https://us3.assetplanner.com/service_request?ID=108457" TargetMode="External"/><Relationship Id="rId59" Type="http://schemas.openxmlformats.org/officeDocument/2006/relationships/hyperlink" Target="https://us3.assetplanner.com/service_request?ID=107396" TargetMode="External"/><Relationship Id="rId67" Type="http://schemas.openxmlformats.org/officeDocument/2006/relationships/hyperlink" Target="https://us3.assetplanner.com/service_request?ID=103531" TargetMode="External"/><Relationship Id="rId20" Type="http://schemas.openxmlformats.org/officeDocument/2006/relationships/hyperlink" Target="https://us3.assetplanner.com/service_request?ID=107590" TargetMode="External"/><Relationship Id="rId41" Type="http://schemas.openxmlformats.org/officeDocument/2006/relationships/hyperlink" Target="https://us3.assetplanner.com/service_request?ID=107577" TargetMode="External"/><Relationship Id="rId54" Type="http://schemas.openxmlformats.org/officeDocument/2006/relationships/hyperlink" Target="https://us3.assetplanner.com/service_request?ID=108340" TargetMode="External"/><Relationship Id="rId62" Type="http://schemas.openxmlformats.org/officeDocument/2006/relationships/hyperlink" Target="https://us3.assetplanner.com/service_request?ID=104528" TargetMode="External"/><Relationship Id="rId70" Type="http://schemas.openxmlformats.org/officeDocument/2006/relationships/hyperlink" Target="https://us3.assetplanner.com/service_request?ID=105724" TargetMode="External"/><Relationship Id="rId75" Type="http://schemas.openxmlformats.org/officeDocument/2006/relationships/hyperlink" Target="https://us3.assetplanner.com/service_request?ID=108646" TargetMode="External"/><Relationship Id="rId83" Type="http://schemas.openxmlformats.org/officeDocument/2006/relationships/hyperlink" Target="https://us3.assetplanner.com/service_request?ID=108493" TargetMode="External"/><Relationship Id="rId1" Type="http://schemas.openxmlformats.org/officeDocument/2006/relationships/hyperlink" Target="https://us3.assetplanner.com/service_request?ID=107947" TargetMode="External"/><Relationship Id="rId6" Type="http://schemas.openxmlformats.org/officeDocument/2006/relationships/hyperlink" Target="https://us3.assetplanner.com/service_request?ID=108793" TargetMode="External"/><Relationship Id="rId15" Type="http://schemas.openxmlformats.org/officeDocument/2006/relationships/hyperlink" Target="https://us3.assetplanner.com/service_request?ID=108252" TargetMode="External"/><Relationship Id="rId23" Type="http://schemas.openxmlformats.org/officeDocument/2006/relationships/hyperlink" Target="https://us3.assetplanner.com/service_request?ID=103282" TargetMode="External"/><Relationship Id="rId28" Type="http://schemas.openxmlformats.org/officeDocument/2006/relationships/hyperlink" Target="https://us3.assetplanner.com/service_request?ID=108490" TargetMode="External"/><Relationship Id="rId36" Type="http://schemas.openxmlformats.org/officeDocument/2006/relationships/hyperlink" Target="https://us3.assetplanner.com/service_request?ID=106982" TargetMode="External"/><Relationship Id="rId49" Type="http://schemas.openxmlformats.org/officeDocument/2006/relationships/hyperlink" Target="https://us3.assetplanner.com/service_request?ID=107898" TargetMode="External"/><Relationship Id="rId57" Type="http://schemas.openxmlformats.org/officeDocument/2006/relationships/hyperlink" Target="https://us3.assetplanner.com/service_request?ID=108028" TargetMode="External"/><Relationship Id="rId10" Type="http://schemas.openxmlformats.org/officeDocument/2006/relationships/hyperlink" Target="https://us3.assetplanner.com/service_request?ID=108267" TargetMode="External"/><Relationship Id="rId31" Type="http://schemas.openxmlformats.org/officeDocument/2006/relationships/hyperlink" Target="https://us3.assetplanner.com/service_request?ID=105297" TargetMode="External"/><Relationship Id="rId44" Type="http://schemas.openxmlformats.org/officeDocument/2006/relationships/hyperlink" Target="https://us3.assetplanner.com/service_request?ID=107589" TargetMode="External"/><Relationship Id="rId52" Type="http://schemas.openxmlformats.org/officeDocument/2006/relationships/hyperlink" Target="https://us3.assetplanner.com/service_request?ID=094254" TargetMode="External"/><Relationship Id="rId60" Type="http://schemas.openxmlformats.org/officeDocument/2006/relationships/hyperlink" Target="https://us3.assetplanner.com/service_request?ID=107905" TargetMode="External"/><Relationship Id="rId65" Type="http://schemas.openxmlformats.org/officeDocument/2006/relationships/hyperlink" Target="https://us3.assetplanner.com/service_request?ID=099815" TargetMode="External"/><Relationship Id="rId73" Type="http://schemas.openxmlformats.org/officeDocument/2006/relationships/hyperlink" Target="https://us3.assetplanner.com/service_request?ID=107778" TargetMode="External"/><Relationship Id="rId78" Type="http://schemas.openxmlformats.org/officeDocument/2006/relationships/hyperlink" Target="https://us3.assetplanner.com/service_request?ID=105747" TargetMode="External"/><Relationship Id="rId81" Type="http://schemas.openxmlformats.org/officeDocument/2006/relationships/hyperlink" Target="https://us3.assetplanner.com/service_request?ID=108618" TargetMode="External"/><Relationship Id="rId86"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665" TargetMode="External"/><Relationship Id="rId18" Type="http://schemas.openxmlformats.org/officeDocument/2006/relationships/hyperlink" Target="https://us3.assetplanner.com/service_request?ID=108702" TargetMode="External"/><Relationship Id="rId39" Type="http://schemas.openxmlformats.org/officeDocument/2006/relationships/hyperlink" Target="https://us3.assetplanner.com/service_request?ID=107557" TargetMode="External"/><Relationship Id="rId34" Type="http://schemas.openxmlformats.org/officeDocument/2006/relationships/hyperlink" Target="https://us3.assetplanner.com/service_request?ID=107728" TargetMode="External"/><Relationship Id="rId50" Type="http://schemas.openxmlformats.org/officeDocument/2006/relationships/hyperlink" Target="https://us3.assetplanner.com/service_request?ID=108586" TargetMode="External"/><Relationship Id="rId55" Type="http://schemas.openxmlformats.org/officeDocument/2006/relationships/hyperlink" Target="https://us3.assetplanner.com/service_request?ID=103781" TargetMode="External"/><Relationship Id="rId76" Type="http://schemas.openxmlformats.org/officeDocument/2006/relationships/hyperlink" Target="https://us3.assetplanner.com/service_request?ID=107395" TargetMode="External"/><Relationship Id="rId7" Type="http://schemas.openxmlformats.org/officeDocument/2006/relationships/hyperlink" Target="https://us3.assetplanner.com/service_request?ID=107482" TargetMode="External"/><Relationship Id="rId71" Type="http://schemas.openxmlformats.org/officeDocument/2006/relationships/hyperlink" Target="https://us3.assetplanner.com/service_request?ID=105808" TargetMode="External"/><Relationship Id="rId2" Type="http://schemas.openxmlformats.org/officeDocument/2006/relationships/hyperlink" Target="https://us3.assetplanner.com/service_request?ID=107560" TargetMode="External"/><Relationship Id="rId29"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7298" TargetMode="External"/><Relationship Id="rId40" Type="http://schemas.openxmlformats.org/officeDocument/2006/relationships/hyperlink" Target="https://us3.assetplanner.com/service_request?ID=107942" TargetMode="External"/><Relationship Id="rId45" Type="http://schemas.openxmlformats.org/officeDocument/2006/relationships/hyperlink" Target="https://us3.assetplanner.com/service_request?ID=107927" TargetMode="External"/><Relationship Id="rId66" Type="http://schemas.openxmlformats.org/officeDocument/2006/relationships/hyperlink" Target="https://us3.assetplanner.com/service_request?ID=099920" TargetMode="External"/><Relationship Id="rId61" Type="http://schemas.openxmlformats.org/officeDocument/2006/relationships/hyperlink" Target="https://us3.assetplanner.com/service_request?ID=108616" TargetMode="External"/><Relationship Id="rId82" Type="http://schemas.openxmlformats.org/officeDocument/2006/relationships/hyperlink" Target="https://us3.assetplanner.com/service_request?ID=108746"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us3.assetplanner.com/service_request?ID=105297" TargetMode="External"/><Relationship Id="rId21" Type="http://schemas.openxmlformats.org/officeDocument/2006/relationships/hyperlink" Target="https://us3.assetplanner.com/service_request?ID=109659" TargetMode="External"/><Relationship Id="rId34" Type="http://schemas.openxmlformats.org/officeDocument/2006/relationships/hyperlink" Target="https://us3.assetplanner.com/service_request?ID=109075"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8028" TargetMode="External"/><Relationship Id="rId50" Type="http://schemas.openxmlformats.org/officeDocument/2006/relationships/hyperlink" Target="https://us3.assetplanner.com/service_request?ID=099815" TargetMode="External"/><Relationship Id="rId55" Type="http://schemas.openxmlformats.org/officeDocument/2006/relationships/hyperlink" Target="https://us3.assetplanner.com/service_request?ID=105724" TargetMode="External"/><Relationship Id="rId63" Type="http://schemas.openxmlformats.org/officeDocument/2006/relationships/hyperlink" Target="https://us3.assetplanner.com/service_request?ID=108746" TargetMode="External"/><Relationship Id="rId68" Type="http://schemas.openxmlformats.org/officeDocument/2006/relationships/hyperlink" Target="https://us3.assetplanner.com/service_request?ID=105950" TargetMode="External"/><Relationship Id="rId7" Type="http://schemas.openxmlformats.org/officeDocument/2006/relationships/hyperlink" Target="https://us3.assetplanner.com/service_request?ID=108793" TargetMode="External"/><Relationship Id="rId2" Type="http://schemas.openxmlformats.org/officeDocument/2006/relationships/hyperlink" Target="https://us3.assetplanner.com/service_request?ID=109484" TargetMode="External"/><Relationship Id="rId16" Type="http://schemas.openxmlformats.org/officeDocument/2006/relationships/hyperlink" Target="https://us3.assetplanner.com/service_request?ID=103282" TargetMode="External"/><Relationship Id="rId29" Type="http://schemas.openxmlformats.org/officeDocument/2006/relationships/hyperlink" Target="https://us3.assetplanner.com/service_request?ID=109201" TargetMode="External"/><Relationship Id="rId11" Type="http://schemas.openxmlformats.org/officeDocument/2006/relationships/hyperlink" Target="https://us3.assetplanner.com/service_request?ID=107886" TargetMode="External"/><Relationship Id="rId24" Type="http://schemas.openxmlformats.org/officeDocument/2006/relationships/hyperlink" Target="https://us3.assetplanner.com/service_request?ID=109200" TargetMode="External"/><Relationship Id="rId32" Type="http://schemas.openxmlformats.org/officeDocument/2006/relationships/hyperlink" Target="https://us3.assetplanner.com/service_request?ID=111056" TargetMode="External"/><Relationship Id="rId37" Type="http://schemas.openxmlformats.org/officeDocument/2006/relationships/hyperlink" Target="https://us3.assetplanner.com/service_request?ID=109835" TargetMode="External"/><Relationship Id="rId40" Type="http://schemas.openxmlformats.org/officeDocument/2006/relationships/hyperlink" Target="https://us3.assetplanner.com/service_request?ID=109206" TargetMode="External"/><Relationship Id="rId45" Type="http://schemas.openxmlformats.org/officeDocument/2006/relationships/hyperlink" Target="https://us3.assetplanner.com/service_request?ID=110396" TargetMode="External"/><Relationship Id="rId53" Type="http://schemas.openxmlformats.org/officeDocument/2006/relationships/hyperlink" Target="https://us3.assetplanner.com/service_request?ID=109204" TargetMode="External"/><Relationship Id="rId58" Type="http://schemas.openxmlformats.org/officeDocument/2006/relationships/hyperlink" Target="https://us3.assetplanner.com/service_request?ID=109205" TargetMode="External"/><Relationship Id="rId66" Type="http://schemas.openxmlformats.org/officeDocument/2006/relationships/hyperlink" Target="https://us3.assetplanner.com/service_request?ID=109714" TargetMode="External"/><Relationship Id="rId5" Type="http://schemas.openxmlformats.org/officeDocument/2006/relationships/hyperlink" Target="https://us3.assetplanner.com/service_request?ID=104474" TargetMode="External"/><Relationship Id="rId61" Type="http://schemas.openxmlformats.org/officeDocument/2006/relationships/hyperlink" Target="https://us3.assetplanner.com/service_request?ID=108680" TargetMode="External"/><Relationship Id="rId19" Type="http://schemas.openxmlformats.org/officeDocument/2006/relationships/hyperlink" Target="https://us3.assetplanner.com/service_request?ID=110031" TargetMode="External"/><Relationship Id="rId14" Type="http://schemas.openxmlformats.org/officeDocument/2006/relationships/hyperlink" Target="https://us3.assetplanner.com/service_request?ID=110151" TargetMode="External"/><Relationship Id="rId22" Type="http://schemas.openxmlformats.org/officeDocument/2006/relationships/hyperlink" Target="https://us3.assetplanner.com/service_request?ID=109393" TargetMode="External"/><Relationship Id="rId27" Type="http://schemas.openxmlformats.org/officeDocument/2006/relationships/hyperlink" Target="https://us3.assetplanner.com/service_request?ID=097795" TargetMode="External"/><Relationship Id="rId30" Type="http://schemas.openxmlformats.org/officeDocument/2006/relationships/hyperlink" Target="https://us3.assetplanner.com/service_request?ID=109391" TargetMode="External"/><Relationship Id="rId35" Type="http://schemas.openxmlformats.org/officeDocument/2006/relationships/hyperlink" Target="https://us3.assetplanner.com/service_request?ID=109468" TargetMode="External"/><Relationship Id="rId43" Type="http://schemas.openxmlformats.org/officeDocument/2006/relationships/hyperlink" Target="https://us3.assetplanner.com/service_request?ID=110115" TargetMode="External"/><Relationship Id="rId48" Type="http://schemas.openxmlformats.org/officeDocument/2006/relationships/hyperlink" Target="https://us3.assetplanner.com/service_request?ID=104528" TargetMode="External"/><Relationship Id="rId56" Type="http://schemas.openxmlformats.org/officeDocument/2006/relationships/hyperlink" Target="https://us3.assetplanner.com/service_request?ID=105808" TargetMode="External"/><Relationship Id="rId64" Type="http://schemas.openxmlformats.org/officeDocument/2006/relationships/hyperlink" Target="https://us3.assetplanner.com/service_request?ID=109070" TargetMode="External"/><Relationship Id="rId8" Type="http://schemas.openxmlformats.org/officeDocument/2006/relationships/hyperlink" Target="https://us3.assetplanner.com/service_request?ID=106597" TargetMode="External"/><Relationship Id="rId51" Type="http://schemas.openxmlformats.org/officeDocument/2006/relationships/hyperlink" Target="https://us3.assetplanner.com/service_request?ID=099920"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8955" TargetMode="External"/><Relationship Id="rId17" Type="http://schemas.openxmlformats.org/officeDocument/2006/relationships/hyperlink" Target="https://us3.assetplanner.com/service_request?ID=109217" TargetMode="External"/><Relationship Id="rId25" Type="http://schemas.openxmlformats.org/officeDocument/2006/relationships/hyperlink" Target="https://us3.assetplanner.com/service_request?ID=103770" TargetMode="External"/><Relationship Id="rId33" Type="http://schemas.openxmlformats.org/officeDocument/2006/relationships/hyperlink" Target="https://us3.assetplanner.com/service_request?ID=109673" TargetMode="External"/><Relationship Id="rId38" Type="http://schemas.openxmlformats.org/officeDocument/2006/relationships/hyperlink" Target="https://us3.assetplanner.com/service_request?ID=110016" TargetMode="External"/><Relationship Id="rId46" Type="http://schemas.openxmlformats.org/officeDocument/2006/relationships/hyperlink" Target="https://us3.assetplanner.com/service_request?ID=107959" TargetMode="External"/><Relationship Id="rId59" Type="http://schemas.openxmlformats.org/officeDocument/2006/relationships/hyperlink" Target="https://us3.assetplanner.com/service_request?ID=099298" TargetMode="External"/><Relationship Id="rId67" Type="http://schemas.openxmlformats.org/officeDocument/2006/relationships/hyperlink" Target="https://us3.assetplanner.com/service_request?ID=109859" TargetMode="External"/><Relationship Id="rId20" Type="http://schemas.openxmlformats.org/officeDocument/2006/relationships/hyperlink" Target="https://us3.assetplanner.com/service_request?ID=109352" TargetMode="External"/><Relationship Id="rId41" Type="http://schemas.openxmlformats.org/officeDocument/2006/relationships/hyperlink" Target="https://us3.assetplanner.com/service_request?ID=109980" TargetMode="External"/><Relationship Id="rId54" Type="http://schemas.openxmlformats.org/officeDocument/2006/relationships/hyperlink" Target="https://us3.assetplanner.com/service_request?ID=104024" TargetMode="External"/><Relationship Id="rId62" Type="http://schemas.openxmlformats.org/officeDocument/2006/relationships/hyperlink" Target="https://us3.assetplanner.com/service_request?ID=109284" TargetMode="External"/><Relationship Id="rId1" Type="http://schemas.openxmlformats.org/officeDocument/2006/relationships/hyperlink" Target="https://us3.assetplanner.com/service_request?ID=109167" TargetMode="External"/><Relationship Id="rId6" Type="http://schemas.openxmlformats.org/officeDocument/2006/relationships/hyperlink" Target="https://us3.assetplanner.com/service_request?ID=104730" TargetMode="External"/><Relationship Id="rId15" Type="http://schemas.openxmlformats.org/officeDocument/2006/relationships/hyperlink" Target="https://us3.assetplanner.com/service_request?ID=103565" TargetMode="External"/><Relationship Id="rId23" Type="http://schemas.openxmlformats.org/officeDocument/2006/relationships/hyperlink" Target="https://us3.assetplanner.com/service_request?ID=103728" TargetMode="External"/><Relationship Id="rId28" Type="http://schemas.openxmlformats.org/officeDocument/2006/relationships/hyperlink" Target="https://us3.assetplanner.com/service_request?ID=109010" TargetMode="External"/><Relationship Id="rId36" Type="http://schemas.openxmlformats.org/officeDocument/2006/relationships/hyperlink" Target="https://us3.assetplanner.com/service_request?ID=109856" TargetMode="External"/><Relationship Id="rId49" Type="http://schemas.openxmlformats.org/officeDocument/2006/relationships/hyperlink" Target="https://us3.assetplanner.com/service_request?ID=104686" TargetMode="External"/><Relationship Id="rId57" Type="http://schemas.openxmlformats.org/officeDocument/2006/relationships/hyperlink" Target="https://us3.assetplanner.com/service_request?ID=107262" TargetMode="External"/><Relationship Id="rId10" Type="http://schemas.openxmlformats.org/officeDocument/2006/relationships/hyperlink" Target="https://us3.assetplanner.com/service_request?ID=109401" TargetMode="External"/><Relationship Id="rId31" Type="http://schemas.openxmlformats.org/officeDocument/2006/relationships/hyperlink" Target="https://us3.assetplanner.com/service_request?ID=107644" TargetMode="External"/><Relationship Id="rId44" Type="http://schemas.openxmlformats.org/officeDocument/2006/relationships/hyperlink" Target="https://us3.assetplanner.com/service_request?ID=108804" TargetMode="External"/><Relationship Id="rId52" Type="http://schemas.openxmlformats.org/officeDocument/2006/relationships/hyperlink" Target="https://us3.assetplanner.com/service_request?ID=103531" TargetMode="External"/><Relationship Id="rId60" Type="http://schemas.openxmlformats.org/officeDocument/2006/relationships/hyperlink" Target="https://us3.assetplanner.com/service_request?ID=109610" TargetMode="External"/><Relationship Id="rId65" Type="http://schemas.openxmlformats.org/officeDocument/2006/relationships/hyperlink" Target="https://us3.assetplanner.com/service_request?ID=109231" TargetMode="External"/><Relationship Id="rId4" Type="http://schemas.openxmlformats.org/officeDocument/2006/relationships/hyperlink" Target="https://us3.assetplanner.com/service_request?ID=102498"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10438" TargetMode="External"/><Relationship Id="rId18" Type="http://schemas.openxmlformats.org/officeDocument/2006/relationships/hyperlink" Target="https://us3.assetplanner.com/service_request?ID=109218" TargetMode="External"/><Relationship Id="rId39" Type="http://schemas.openxmlformats.org/officeDocument/2006/relationships/hyperlink" Target="https://us3.assetplanner.com/service_request?ID=101916"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us3.assetplanner.com/service_request?ID=111798" TargetMode="External"/><Relationship Id="rId21" Type="http://schemas.openxmlformats.org/officeDocument/2006/relationships/hyperlink" Target="https://us3.assetplanner.com/service_request?ID=097795" TargetMode="External"/><Relationship Id="rId34" Type="http://schemas.openxmlformats.org/officeDocument/2006/relationships/hyperlink" Target="https://us3.assetplanner.com/service_request?ID=111328" TargetMode="External"/><Relationship Id="rId42" Type="http://schemas.openxmlformats.org/officeDocument/2006/relationships/hyperlink" Target="https://us3.assetplanner.com/service_request?ID=110396" TargetMode="External"/><Relationship Id="rId47" Type="http://schemas.openxmlformats.org/officeDocument/2006/relationships/hyperlink" Target="https://us3.assetplanner.com/service_request?ID=099920" TargetMode="External"/><Relationship Id="rId50" Type="http://schemas.openxmlformats.org/officeDocument/2006/relationships/hyperlink" Target="https://us3.assetplanner.com/service_request?ID=104024" TargetMode="External"/><Relationship Id="rId55" Type="http://schemas.openxmlformats.org/officeDocument/2006/relationships/hyperlink" Target="https://us3.assetplanner.com/service_request?ID=109205" TargetMode="External"/><Relationship Id="rId63" Type="http://schemas.openxmlformats.org/officeDocument/2006/relationships/hyperlink" Target="https://us3.assetplanner.com/service_request?ID=111173" TargetMode="External"/><Relationship Id="rId7" Type="http://schemas.openxmlformats.org/officeDocument/2006/relationships/hyperlink" Target="https://us3.assetplanner.com/service_request?ID=111324" TargetMode="External"/><Relationship Id="rId2" Type="http://schemas.openxmlformats.org/officeDocument/2006/relationships/hyperlink" Target="https://us3.assetplanner.com/service_request?ID=104730" TargetMode="External"/><Relationship Id="rId16" Type="http://schemas.openxmlformats.org/officeDocument/2006/relationships/hyperlink" Target="https://us3.assetplanner.com/service_request?ID=107405" TargetMode="External"/><Relationship Id="rId29" Type="http://schemas.openxmlformats.org/officeDocument/2006/relationships/hyperlink" Target="https://us3.assetplanner.com/service_request?ID=110840" TargetMode="External"/><Relationship Id="rId11" Type="http://schemas.openxmlformats.org/officeDocument/2006/relationships/hyperlink" Target="https://us3.assetplanner.com/service_request?ID=111269" TargetMode="External"/><Relationship Id="rId24" Type="http://schemas.openxmlformats.org/officeDocument/2006/relationships/hyperlink" Target="https://us3.assetplanner.com/service_request?ID=109391" TargetMode="External"/><Relationship Id="rId32" Type="http://schemas.openxmlformats.org/officeDocument/2006/relationships/hyperlink" Target="https://us3.assetplanner.com/service_request?ID=110800" TargetMode="External"/><Relationship Id="rId37" Type="http://schemas.openxmlformats.org/officeDocument/2006/relationships/hyperlink" Target="https://us3.assetplanner.com/service_request?ID=101916" TargetMode="External"/><Relationship Id="rId40" Type="http://schemas.openxmlformats.org/officeDocument/2006/relationships/hyperlink" Target="https://us3.assetplanner.com/service_request?ID=110778" TargetMode="External"/><Relationship Id="rId45" Type="http://schemas.openxmlformats.org/officeDocument/2006/relationships/hyperlink" Target="https://us3.assetplanner.com/service_request?ID=111845" TargetMode="External"/><Relationship Id="rId53" Type="http://schemas.openxmlformats.org/officeDocument/2006/relationships/hyperlink" Target="https://us3.assetplanner.com/service_request?ID=105808" TargetMode="External"/><Relationship Id="rId58" Type="http://schemas.openxmlformats.org/officeDocument/2006/relationships/hyperlink" Target="https://us3.assetplanner.com/service_request?ID=109610" TargetMode="External"/><Relationship Id="rId5" Type="http://schemas.openxmlformats.org/officeDocument/2006/relationships/hyperlink" Target="https://us3.assetplanner.com/service_request?ID=107886" TargetMode="External"/><Relationship Id="rId61" Type="http://schemas.openxmlformats.org/officeDocument/2006/relationships/hyperlink" Target="https://us3.assetplanner.com/service_request?ID=109859" TargetMode="External"/><Relationship Id="rId19" Type="http://schemas.openxmlformats.org/officeDocument/2006/relationships/hyperlink" Target="https://us3.assetplanner.com/service_request?ID=103770" TargetMode="External"/><Relationship Id="rId14" Type="http://schemas.openxmlformats.org/officeDocument/2006/relationships/hyperlink" Target="https://us3.assetplanner.com/service_request?ID=097799" TargetMode="External"/><Relationship Id="rId22" Type="http://schemas.openxmlformats.org/officeDocument/2006/relationships/hyperlink" Target="https://us3.assetplanner.com/service_request?ID=109010" TargetMode="External"/><Relationship Id="rId27" Type="http://schemas.openxmlformats.org/officeDocument/2006/relationships/hyperlink" Target="https://us3.assetplanner.com/service_request?ID=107644" TargetMode="External"/><Relationship Id="rId30" Type="http://schemas.openxmlformats.org/officeDocument/2006/relationships/hyperlink" Target="https://us3.assetplanner.com/service_request?ID=111026" TargetMode="External"/><Relationship Id="rId35" Type="http://schemas.openxmlformats.org/officeDocument/2006/relationships/hyperlink" Target="https://us3.assetplanner.com/service_request?ID=109835" TargetMode="External"/><Relationship Id="rId43" Type="http://schemas.openxmlformats.org/officeDocument/2006/relationships/hyperlink" Target="https://us3.assetplanner.com/service_request?ID=107959" TargetMode="External"/><Relationship Id="rId48" Type="http://schemas.openxmlformats.org/officeDocument/2006/relationships/hyperlink" Target="https://us3.assetplanner.com/service_request?ID=103531" TargetMode="External"/><Relationship Id="rId56" Type="http://schemas.openxmlformats.org/officeDocument/2006/relationships/hyperlink" Target="https://us3.assetplanner.com/service_request?ID=099298" TargetMode="External"/><Relationship Id="rId64" Type="http://schemas.openxmlformats.org/officeDocument/2006/relationships/hyperlink" Target="https://us3.assetplanner.com/service_request?ID=111499" TargetMode="External"/><Relationship Id="rId8" Type="http://schemas.openxmlformats.org/officeDocument/2006/relationships/hyperlink" Target="https://us3.assetplanner.com/service_request?ID=110812" TargetMode="External"/><Relationship Id="rId51" Type="http://schemas.openxmlformats.org/officeDocument/2006/relationships/hyperlink" Target="https://us3.assetplanner.com/service_request?ID=111353" TargetMode="External"/><Relationship Id="rId3" Type="http://schemas.openxmlformats.org/officeDocument/2006/relationships/hyperlink" Target="https://us3.assetplanner.com/service_request?ID=110713" TargetMode="External"/><Relationship Id="rId12" Type="http://schemas.openxmlformats.org/officeDocument/2006/relationships/hyperlink" Target="https://us3.assetplanner.com/service_request?ID=099765" TargetMode="External"/><Relationship Id="rId17" Type="http://schemas.openxmlformats.org/officeDocument/2006/relationships/hyperlink" Target="https://us3.assetplanner.com/service_request?ID=110440" TargetMode="External"/><Relationship Id="rId25" Type="http://schemas.openxmlformats.org/officeDocument/2006/relationships/hyperlink" Target="https://us3.assetplanner.com/service_request?ID=111212" TargetMode="External"/><Relationship Id="rId33" Type="http://schemas.openxmlformats.org/officeDocument/2006/relationships/hyperlink" Target="https://us3.assetplanner.com/service_request?ID=110992" TargetMode="External"/><Relationship Id="rId38" Type="http://schemas.openxmlformats.org/officeDocument/2006/relationships/hyperlink" Target="https://us3.assetplanner.com/service_request?ID=109206" TargetMode="External"/><Relationship Id="rId46" Type="http://schemas.openxmlformats.org/officeDocument/2006/relationships/hyperlink" Target="https://us3.assetplanner.com/service_request?ID=099815" TargetMode="External"/><Relationship Id="rId59" Type="http://schemas.openxmlformats.org/officeDocument/2006/relationships/hyperlink" Target="https://us3.assetplanner.com/service_request?ID=111511" TargetMode="External"/><Relationship Id="rId20" Type="http://schemas.openxmlformats.org/officeDocument/2006/relationships/hyperlink" Target="https://us3.assetplanner.com/service_request?ID=109203" TargetMode="External"/><Relationship Id="rId41" Type="http://schemas.openxmlformats.org/officeDocument/2006/relationships/hyperlink" Target="https://us3.assetplanner.com/service_request?ID=110779" TargetMode="External"/><Relationship Id="rId54" Type="http://schemas.openxmlformats.org/officeDocument/2006/relationships/hyperlink" Target="https://us3.assetplanner.com/service_request?ID=107262" TargetMode="External"/><Relationship Id="rId62" Type="http://schemas.openxmlformats.org/officeDocument/2006/relationships/hyperlink" Target="https://us3.assetplanner.com/service_request?ID=111811" TargetMode="External"/><Relationship Id="rId1" Type="http://schemas.openxmlformats.org/officeDocument/2006/relationships/hyperlink" Target="https://us3.assetplanner.com/service_request?ID=111637" TargetMode="External"/><Relationship Id="rId6" Type="http://schemas.openxmlformats.org/officeDocument/2006/relationships/hyperlink" Target="https://us3.assetplanner.com/service_request?ID=108955" TargetMode="External"/><Relationship Id="rId15" Type="http://schemas.openxmlformats.org/officeDocument/2006/relationships/hyperlink" Target="https://us3.assetplanner.com/service_request?ID=095816" TargetMode="External"/><Relationship Id="rId23" Type="http://schemas.openxmlformats.org/officeDocument/2006/relationships/hyperlink" Target="https://us3.assetplanner.com/service_request?ID=109201" TargetMode="External"/><Relationship Id="rId28" Type="http://schemas.openxmlformats.org/officeDocument/2006/relationships/hyperlink" Target="https://us3.assetplanner.com/service_request?ID=111056" TargetMode="External"/><Relationship Id="rId36" Type="http://schemas.openxmlformats.org/officeDocument/2006/relationships/hyperlink" Target="https://us3.assetplanner.com/service_request?ID=110016" TargetMode="External"/><Relationship Id="rId49" Type="http://schemas.openxmlformats.org/officeDocument/2006/relationships/hyperlink" Target="https://us3.assetplanner.com/service_request?ID=109204" TargetMode="External"/><Relationship Id="rId57" Type="http://schemas.openxmlformats.org/officeDocument/2006/relationships/hyperlink" Target="https://us3.assetplanner.com/service_request?ID=109284" TargetMode="External"/><Relationship Id="rId10" Type="http://schemas.openxmlformats.org/officeDocument/2006/relationships/hyperlink" Target="https://us3.assetplanner.com/service_request?ID=110151" TargetMode="External"/><Relationship Id="rId31" Type="http://schemas.openxmlformats.org/officeDocument/2006/relationships/hyperlink" Target="https://us3.assetplanner.com/service_request?ID=111774" TargetMode="External"/><Relationship Id="rId44" Type="http://schemas.openxmlformats.org/officeDocument/2006/relationships/hyperlink" Target="https://us3.assetplanner.com/service_request?ID=108028" TargetMode="External"/><Relationship Id="rId52" Type="http://schemas.openxmlformats.org/officeDocument/2006/relationships/hyperlink" Target="https://us3.assetplanner.com/service_request?ID=105724" TargetMode="External"/><Relationship Id="rId60" Type="http://schemas.openxmlformats.org/officeDocument/2006/relationships/hyperlink" Target="https://us3.assetplanner.com/service_request?ID=112408" TargetMode="External"/><Relationship Id="rId65" Type="http://schemas.openxmlformats.org/officeDocument/2006/relationships/printerSettings" Target="../printerSettings/printerSettings3.bin"/><Relationship Id="rId4" Type="http://schemas.openxmlformats.org/officeDocument/2006/relationships/hyperlink" Target="https://us3.assetplanner.com/service_request?ID=111771" TargetMode="External"/><Relationship Id="rId9" Type="http://schemas.openxmlformats.org/officeDocument/2006/relationships/hyperlink" Target="https://us3.assetplanner.com/service_request?ID=111372" TargetMode="External"/><Relationship Id="rId13" Type="http://schemas.openxmlformats.org/officeDocument/2006/relationships/hyperlink" Target="https://us3.assetplanner.com/service_request?ID=110475" TargetMode="External"/><Relationship Id="rId18" Type="http://schemas.openxmlformats.org/officeDocument/2006/relationships/hyperlink" Target="https://us3.assetplanner.com/service_request?ID=109200" TargetMode="External"/><Relationship Id="rId39" Type="http://schemas.openxmlformats.org/officeDocument/2006/relationships/hyperlink" Target="https://us3.assetplanner.com/service_request?ID=094254"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4" activePane="bottomRight" state="frozen"/>
      <selection pane="bottomRight" activeCell="H41" sqref="H4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2" t="str" cm="1">
        <f t="array" ref="A1">portfolio</f>
        <v>Lodestar</v>
      </c>
      <c r="B1" s="112"/>
      <c r="C1" s="112"/>
      <c r="D1" s="113" t="s">
        <v>0</v>
      </c>
      <c r="E1" s="113"/>
      <c r="F1" s="113"/>
      <c r="G1" s="111" t="s">
        <v>1</v>
      </c>
      <c r="H1" s="111"/>
      <c r="I1" s="111"/>
    </row>
    <row r="2" spans="1:9" ht="19.5" customHeight="1">
      <c r="A2" s="114" t="s">
        <v>2</v>
      </c>
      <c r="B2" s="114"/>
      <c r="C2" s="5">
        <f>SUM(C4:C103)</f>
        <v>88436818.708337739</v>
      </c>
      <c r="D2" s="5">
        <f>SUM(D4:D103)</f>
        <v>75072318.168459997</v>
      </c>
      <c r="E2" s="5">
        <f>C2-D2</f>
        <v>13364500.539877743</v>
      </c>
      <c r="F2" s="6">
        <f>IFERROR(E2/D2, 0)</f>
        <v>0.17802168450277783</v>
      </c>
      <c r="G2" s="5">
        <f>SUM(G4:G103)</f>
        <v>84500294.267999992</v>
      </c>
      <c r="H2" s="7">
        <f>C2-G2</f>
        <v>3936524.4403377473</v>
      </c>
      <c r="I2" s="6">
        <f>IFERROR(H2/G2, 0)</f>
        <v>4.6585925817639401E-2</v>
      </c>
    </row>
    <row r="3" spans="1:9" ht="14.25" customHeight="1">
      <c r="A3" s="8" t="s">
        <v>3</v>
      </c>
      <c r="B3" s="8" t="s">
        <v>4</v>
      </c>
      <c r="C3" s="23" t="s">
        <v>5</v>
      </c>
      <c r="D3" s="33" t="s">
        <v>6</v>
      </c>
      <c r="E3" s="33" t="s">
        <v>7</v>
      </c>
      <c r="F3" s="34" t="s">
        <v>8</v>
      </c>
      <c r="G3" s="35" t="s">
        <v>9</v>
      </c>
      <c r="H3" s="36" t="s">
        <v>7</v>
      </c>
      <c r="I3" s="37" t="s">
        <v>8</v>
      </c>
    </row>
    <row r="4" spans="1:9" ht="15.6">
      <c r="A4" s="12" t="str" cm="1">
        <f t="array" ref="A4:A35">Sites[Site]</f>
        <v>Barkhamsted</v>
      </c>
      <c r="B4" s="9" t="str" cm="1">
        <f t="array" ref="B4:B35">Sites[State]</f>
        <v>CT</v>
      </c>
      <c r="C4" s="24">
        <f>SUM('1st Qtr'!C4, '2nd Qtr'!C4, '3rd Qtr'!C4, '4th Qtr'!C4)</f>
        <v>1525121</v>
      </c>
      <c r="D4" s="13">
        <f>SUM('1st Qtr'!D4, '2nd Qtr'!D4, '3rd Qtr'!D4, '4th Qtr'!D4)</f>
        <v>1772176.2</v>
      </c>
      <c r="E4" s="13">
        <f>IF(AND(ISNUMBER(C4),ISNUMBER(D4)), C4-D4, "")</f>
        <v>-247055.19999999995</v>
      </c>
      <c r="F4" s="14">
        <f>IFERROR(E4/D4, "")</f>
        <v>-0.13940780832063987</v>
      </c>
      <c r="G4" s="15">
        <f>SUM('1st Qtr'!G4, '2nd Qtr'!G4, '3rd Qtr'!G4, '4th Qtr'!G4)</f>
        <v>1711008.36</v>
      </c>
      <c r="H4" s="15">
        <f>SUM('1st Qtr'!H4, '2nd Qtr'!H4, '3rd Qtr'!H4, '4th Qtr'!H4)</f>
        <v>-185887.36000000004</v>
      </c>
      <c r="I4" s="16">
        <f>IFERROR(H4/G4, "")</f>
        <v>-0.10864199401106377</v>
      </c>
    </row>
    <row r="5" spans="1:9" ht="15.6">
      <c r="A5" s="17" t="str">
        <v>Bunce</v>
      </c>
      <c r="B5" s="10" t="str">
        <v>CT</v>
      </c>
      <c r="C5" s="11">
        <f>SUM('1st Qtr'!C5, '2nd Qtr'!C5, '3rd Qtr'!C5, '4th Qtr'!C5)</f>
        <v>3056209.5</v>
      </c>
      <c r="D5" s="18">
        <f>SUM('1st Qtr'!D5, '2nd Qtr'!D5, '3rd Qtr'!D5, '4th Qtr'!D5)</f>
        <v>2302658.7000000002</v>
      </c>
      <c r="E5" s="18">
        <f t="shared" ref="E5:E15" si="0">IF(AND(ISNUMBER(C5),ISNUMBER(D5)), C5-D5, "")</f>
        <v>753550.79999999981</v>
      </c>
      <c r="F5" s="19">
        <f>IFERROR(E5/D5, "")</f>
        <v>0.32725249295520858</v>
      </c>
      <c r="G5" s="20">
        <f>SUM('1st Qtr'!G5, '2nd Qtr'!G5, '3rd Qtr'!G5, '4th Qtr'!G5)</f>
        <v>0</v>
      </c>
      <c r="H5" s="20">
        <f>SUM('1st Qtr'!H5, '2nd Qtr'!H5, '3rd Qtr'!H5, '4th Qtr'!H5)</f>
        <v>2157969.5</v>
      </c>
      <c r="I5" s="19" t="str">
        <f>IFERROR(H5/G5, "")</f>
        <v/>
      </c>
    </row>
    <row r="6" spans="1:9" ht="15.6">
      <c r="A6" s="12" t="str">
        <v>Norcap North</v>
      </c>
      <c r="B6" s="9" t="str">
        <v>CT</v>
      </c>
      <c r="C6" s="24">
        <f>SUM('1st Qtr'!C6, '2nd Qtr'!C6, '3rd Qtr'!C6, '4th Qtr'!C6)</f>
        <v>3190497.5</v>
      </c>
      <c r="D6" s="13">
        <f>SUM('1st Qtr'!D6, '2nd Qtr'!D6, '3rd Qtr'!D6, '4th Qtr'!D6)</f>
        <v>3469821.5</v>
      </c>
      <c r="E6" s="13">
        <f t="shared" si="0"/>
        <v>-279324</v>
      </c>
      <c r="F6" s="14">
        <f t="shared" ref="F6:F15" si="1">IFERROR(E6/D6, "")</f>
        <v>-8.0500971015367795E-2</v>
      </c>
      <c r="G6" s="15">
        <f>SUM('1st Qtr'!G6, '2nd Qtr'!G6, '3rd Qtr'!G6, '4th Qtr'!G6)</f>
        <v>3271571.1</v>
      </c>
      <c r="H6" s="15">
        <f>SUM('1st Qtr'!H6, '2nd Qtr'!H6, '3rd Qtr'!H6, '4th Qtr'!H6)</f>
        <v>-81073.599999999977</v>
      </c>
      <c r="I6" s="16">
        <f t="shared" ref="I6:I15" si="2">IFERROR(H6/G6, "")</f>
        <v>-2.4781243482680224E-2</v>
      </c>
    </row>
    <row r="7" spans="1:9" ht="15.6">
      <c r="A7" s="17" t="str">
        <v>Norcap South</v>
      </c>
      <c r="B7" s="10" t="str">
        <v>CT</v>
      </c>
      <c r="C7" s="11">
        <f>SUM('1st Qtr'!C7, '2nd Qtr'!C7, '3rd Qtr'!C7, '4th Qtr'!C7)</f>
        <v>3406742</v>
      </c>
      <c r="D7" s="18">
        <f>SUM('1st Qtr'!D7, '2nd Qtr'!D7, '3rd Qtr'!D7, '4th Qtr'!D7)</f>
        <v>3695126.0000000005</v>
      </c>
      <c r="E7" s="18">
        <f t="shared" si="0"/>
        <v>-288384.00000000047</v>
      </c>
      <c r="F7" s="19">
        <f t="shared" si="1"/>
        <v>-7.8044429337457075E-2</v>
      </c>
      <c r="G7" s="20">
        <f>SUM('1st Qtr'!G7, '2nd Qtr'!G7, '3rd Qtr'!G7, '4th Qtr'!G7)</f>
        <v>3160218.6000000006</v>
      </c>
      <c r="H7" s="20">
        <f>SUM('1st Qtr'!H7, '2nd Qtr'!H7, '3rd Qtr'!H7, '4th Qtr'!H7)</f>
        <v>246523.39999999997</v>
      </c>
      <c r="I7" s="19">
        <f t="shared" si="2"/>
        <v>7.8008337777646111E-2</v>
      </c>
    </row>
    <row r="8" spans="1:9" ht="15.6">
      <c r="A8" s="12" t="str">
        <v>Platt Hill</v>
      </c>
      <c r="B8" s="9" t="str">
        <v>CT</v>
      </c>
      <c r="C8" s="24">
        <f>SUM('1st Qtr'!C8, '2nd Qtr'!C8, '3rd Qtr'!C8, '4th Qtr'!C8)</f>
        <v>3326348</v>
      </c>
      <c r="D8" s="13">
        <f>SUM('1st Qtr'!D8, '2nd Qtr'!D8, '3rd Qtr'!D8, '4th Qtr'!D8)</f>
        <v>3712575.9</v>
      </c>
      <c r="E8" s="13">
        <f t="shared" si="0"/>
        <v>-386227.89999999991</v>
      </c>
      <c r="F8" s="14">
        <f t="shared" si="1"/>
        <v>-0.10403232429537668</v>
      </c>
      <c r="G8" s="15">
        <f>SUM('1st Qtr'!G8, '2nd Qtr'!G8, '3rd Qtr'!G8, '4th Qtr'!G8)</f>
        <v>3791468.8</v>
      </c>
      <c r="H8" s="15">
        <f>SUM('1st Qtr'!H8, '2nd Qtr'!H8, '3rd Qtr'!H8, '4th Qtr'!H8)</f>
        <v>-465120.80000000005</v>
      </c>
      <c r="I8" s="16">
        <f t="shared" si="2"/>
        <v>-0.12267562375826489</v>
      </c>
    </row>
    <row r="9" spans="1:9" ht="15.6">
      <c r="A9" s="17" t="str">
        <v>Powder Hill</v>
      </c>
      <c r="B9" s="10" t="str">
        <v>CT</v>
      </c>
      <c r="C9" s="11">
        <f>SUM('1st Qtr'!C9, '2nd Qtr'!C9, '3rd Qtr'!C9, '4th Qtr'!C9)</f>
        <v>3125662</v>
      </c>
      <c r="D9" s="18">
        <f>SUM('1st Qtr'!D9, '2nd Qtr'!D9, '3rd Qtr'!D9, '4th Qtr'!D9)</f>
        <v>3324767.9</v>
      </c>
      <c r="E9" s="18">
        <f t="shared" si="0"/>
        <v>-199105.89999999991</v>
      </c>
      <c r="F9" s="19">
        <f t="shared" si="1"/>
        <v>-5.9885653973018663E-2</v>
      </c>
      <c r="G9" s="20">
        <f>SUM('1st Qtr'!G9, '2nd Qtr'!G9, '3rd Qtr'!G9, '4th Qtr'!G9)</f>
        <v>2573160</v>
      </c>
      <c r="H9" s="20">
        <f>SUM('1st Qtr'!H9, '2nd Qtr'!H9, '3rd Qtr'!H9, '4th Qtr'!H9)</f>
        <v>552502</v>
      </c>
      <c r="I9" s="19">
        <f t="shared" si="2"/>
        <v>0.21471731256509505</v>
      </c>
    </row>
    <row r="10" spans="1:9" ht="15.6">
      <c r="A10" s="12" t="str">
        <v>Sand Road</v>
      </c>
      <c r="B10" s="9" t="str">
        <v>CT</v>
      </c>
      <c r="C10" s="24">
        <f>SUM('1st Qtr'!C10, '2nd Qtr'!C10, '3rd Qtr'!C10, '4th Qtr'!C10)</f>
        <v>3242732</v>
      </c>
      <c r="D10" s="13">
        <f>SUM('1st Qtr'!D10, '2nd Qtr'!D10, '3rd Qtr'!D10, '4th Qtr'!D10)</f>
        <v>3006089.3000000003</v>
      </c>
      <c r="E10" s="13">
        <f t="shared" si="0"/>
        <v>236642.69999999972</v>
      </c>
      <c r="F10" s="14">
        <f t="shared" si="1"/>
        <v>7.872111450581315E-2</v>
      </c>
      <c r="G10" s="15">
        <f>SUM('1st Qtr'!G10, '2nd Qtr'!G10, '3rd Qtr'!G10, '4th Qtr'!G10)</f>
        <v>2903868</v>
      </c>
      <c r="H10" s="15">
        <f>SUM('1st Qtr'!H10, '2nd Qtr'!H10, '3rd Qtr'!H10, '4th Qtr'!H10)</f>
        <v>338864</v>
      </c>
      <c r="I10" s="16">
        <f t="shared" si="2"/>
        <v>0.1166940095073192</v>
      </c>
    </row>
    <row r="11" spans="1:9" ht="15.6">
      <c r="A11" s="17" t="str">
        <v>Suffield</v>
      </c>
      <c r="B11" s="10" t="str">
        <v>CT</v>
      </c>
      <c r="C11" s="11">
        <f>SUM('1st Qtr'!C11, '2nd Qtr'!C11, '3rd Qtr'!C11, '4th Qtr'!C11)</f>
        <v>3230165.0000087842</v>
      </c>
      <c r="D11" s="18">
        <f>SUM('1st Qtr'!D11, '2nd Qtr'!D11, '3rd Qtr'!D11, '4th Qtr'!D11)</f>
        <v>3209760.6</v>
      </c>
      <c r="E11" s="18">
        <f t="shared" si="0"/>
        <v>20404.400008784141</v>
      </c>
      <c r="F11" s="19">
        <f t="shared" si="1"/>
        <v>6.356985006540407E-3</v>
      </c>
      <c r="G11" s="20">
        <f>SUM('1st Qtr'!G11, '2nd Qtr'!G11, '3rd Qtr'!G11, '4th Qtr'!G11)</f>
        <v>3322351.9</v>
      </c>
      <c r="H11" s="20">
        <f>SUM('1st Qtr'!H11, '2nd Qtr'!H11, '3rd Qtr'!H11, '4th Qtr'!H11)</f>
        <v>-92186.899991216051</v>
      </c>
      <c r="I11" s="19">
        <f t="shared" si="2"/>
        <v>-2.7747482134934609E-2</v>
      </c>
    </row>
    <row r="12" spans="1:9" ht="15.6">
      <c r="A12" s="12" t="str">
        <v>Ashby-Duffy</v>
      </c>
      <c r="B12" s="9" t="str">
        <v>MA</v>
      </c>
      <c r="C12" s="24">
        <f>SUM('1st Qtr'!C12, '2nd Qtr'!C12, '3rd Qtr'!C12, '4th Qtr'!C12)</f>
        <v>2955286</v>
      </c>
      <c r="D12" s="13">
        <f>SUM('1st Qtr'!D12, '2nd Qtr'!D12, '3rd Qtr'!D12, '4th Qtr'!D12)</f>
        <v>3800970.8999999994</v>
      </c>
      <c r="E12" s="13">
        <f t="shared" si="0"/>
        <v>-845684.89999999944</v>
      </c>
      <c r="F12" s="14">
        <f t="shared" si="1"/>
        <v>-0.22249181123696568</v>
      </c>
      <c r="G12" s="15">
        <f>SUM('1st Qtr'!G12, '2nd Qtr'!G12, '3rd Qtr'!G12, '4th Qtr'!G12)</f>
        <v>3100548.5</v>
      </c>
      <c r="H12" s="15">
        <f>SUM('1st Qtr'!H12, '2nd Qtr'!H12, '3rd Qtr'!H12, '4th Qtr'!H12)</f>
        <v>-145262.50000000009</v>
      </c>
      <c r="I12" s="16">
        <f t="shared" si="2"/>
        <v>-4.6850581437445693E-2</v>
      </c>
    </row>
    <row r="13" spans="1:9" ht="15.6">
      <c r="A13" s="17" t="str">
        <v>Ashland</v>
      </c>
      <c r="B13" s="10" t="str">
        <v>MA</v>
      </c>
      <c r="C13" s="11">
        <f>SUM('1st Qtr'!C13, '2nd Qtr'!C13, '3rd Qtr'!C13, '4th Qtr'!C13)</f>
        <v>2967148.5</v>
      </c>
      <c r="D13" s="18">
        <f>SUM('1st Qtr'!D13, '2nd Qtr'!D13, '3rd Qtr'!D13, '4th Qtr'!D13)</f>
        <v>3389125.7</v>
      </c>
      <c r="E13" s="18">
        <f t="shared" si="0"/>
        <v>-421977.20000000019</v>
      </c>
      <c r="F13" s="19">
        <f t="shared" si="1"/>
        <v>-0.12450916175814906</v>
      </c>
      <c r="G13" s="20">
        <f>SUM('1st Qtr'!G13, '2nd Qtr'!G13, '3rd Qtr'!G13, '4th Qtr'!G13)</f>
        <v>3354814.9</v>
      </c>
      <c r="H13" s="20">
        <f>SUM('1st Qtr'!H13, '2nd Qtr'!H13, '3rd Qtr'!H13, '4th Qtr'!H13)</f>
        <v>-387666.4</v>
      </c>
      <c r="I13" s="19">
        <f t="shared" si="2"/>
        <v>-0.1155552278010927</v>
      </c>
    </row>
    <row r="14" spans="1:9" ht="15.6">
      <c r="A14" s="12" t="str">
        <v>Barrington</v>
      </c>
      <c r="B14" s="9" t="str">
        <v>MA</v>
      </c>
      <c r="C14" s="24">
        <f>SUM('1st Qtr'!C14, '2nd Qtr'!C14, '3rd Qtr'!C14, '4th Qtr'!C14)</f>
        <v>654061</v>
      </c>
      <c r="D14" s="13">
        <f>SUM('1st Qtr'!D14, '2nd Qtr'!D14, '3rd Qtr'!D14, '4th Qtr'!D14)</f>
        <v>477492.97000000003</v>
      </c>
      <c r="E14" s="13">
        <f t="shared" si="0"/>
        <v>176568.02999999997</v>
      </c>
      <c r="F14" s="14">
        <f t="shared" si="1"/>
        <v>0.36978142316943424</v>
      </c>
      <c r="G14" s="15">
        <f>SUM('1st Qtr'!G14, '2nd Qtr'!G14, '3rd Qtr'!G14, '4th Qtr'!G14)</f>
        <v>760780</v>
      </c>
      <c r="H14" s="15">
        <f>SUM('1st Qtr'!H14, '2nd Qtr'!H14, '3rd Qtr'!H14, '4th Qtr'!H14)</f>
        <v>-106719</v>
      </c>
      <c r="I14" s="16">
        <f t="shared" si="2"/>
        <v>-0.1402757696048792</v>
      </c>
    </row>
    <row r="15" spans="1:9" ht="15.6">
      <c r="A15" s="17" t="str">
        <v>Bedford - 205 Burlington Rd</v>
      </c>
      <c r="B15" s="10" t="str">
        <v>MA</v>
      </c>
      <c r="C15" s="11">
        <f>SUM('1st Qtr'!C15, '2nd Qtr'!C15, '3rd Qtr'!C15, '4th Qtr'!C15)</f>
        <v>312629</v>
      </c>
      <c r="D15" s="18">
        <f>SUM('1st Qtr'!D15, '2nd Qtr'!D15, '3rd Qtr'!D15, '4th Qtr'!D15)</f>
        <v>0</v>
      </c>
      <c r="E15" s="18">
        <f t="shared" si="0"/>
        <v>312629</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320927</v>
      </c>
      <c r="D16" s="13">
        <f>SUM('1st Qtr'!D16, '2nd Qtr'!D16, '3rd Qtr'!D16, '4th Qtr'!D16)</f>
        <v>0</v>
      </c>
      <c r="E16" s="13">
        <f t="shared" ref="E16:E19" si="3">IF(AND(ISNUMBER(C16),ISNUMBER(D16)), C16-D16, "")</f>
        <v>320927</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359397</v>
      </c>
      <c r="D17" s="18">
        <f>SUM('1st Qtr'!D17, '2nd Qtr'!D17, '3rd Qtr'!D17, '4th Qtr'!D17)</f>
        <v>0</v>
      </c>
      <c r="E17" s="18">
        <f t="shared" si="3"/>
        <v>359397</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666007.99999515188</v>
      </c>
      <c r="D18" s="13">
        <f>SUM('1st Qtr'!D18, '2nd Qtr'!D18, '3rd Qtr'!D18, '4th Qtr'!D18)</f>
        <v>745464.14</v>
      </c>
      <c r="E18" s="13">
        <f t="shared" si="3"/>
        <v>-79456.14000484813</v>
      </c>
      <c r="F18" s="14">
        <f t="shared" si="4"/>
        <v>-0.10658613304303025</v>
      </c>
      <c r="G18" s="15">
        <f>SUM('1st Qtr'!G18, '2nd Qtr'!G18, '3rd Qtr'!G18, '4th Qtr'!G18)</f>
        <v>557407.86</v>
      </c>
      <c r="H18" s="15">
        <f>SUM('1st Qtr'!H18, '2nd Qtr'!H18, '3rd Qtr'!H18, '4th Qtr'!H18)</f>
        <v>108600.1399951519</v>
      </c>
      <c r="I18" s="16">
        <f t="shared" si="5"/>
        <v>0.19483065774341951</v>
      </c>
    </row>
    <row r="19" spans="1:9" ht="15.6">
      <c r="A19" s="17" t="str">
        <v>Lilly Lane</v>
      </c>
      <c r="B19" s="10" t="str">
        <v>MA</v>
      </c>
      <c r="C19" s="11">
        <f>SUM('1st Qtr'!C19, '2nd Qtr'!C19, '3rd Qtr'!C19, '4th Qtr'!C19)</f>
        <v>1368222.5</v>
      </c>
      <c r="D19" s="18">
        <f>SUM('1st Qtr'!D19, '2nd Qtr'!D19, '3rd Qtr'!D19, '4th Qtr'!D19)</f>
        <v>1387707.9500000002</v>
      </c>
      <c r="E19" s="18">
        <f t="shared" si="3"/>
        <v>-19485.450000000186</v>
      </c>
      <c r="F19" s="19">
        <f t="shared" si="4"/>
        <v>-1.4041463119095184E-2</v>
      </c>
      <c r="G19" s="20">
        <f>SUM('1st Qtr'!G19, '2nd Qtr'!G19, '3rd Qtr'!G19, '4th Qtr'!G19)</f>
        <v>1590773.2000000002</v>
      </c>
      <c r="H19" s="20">
        <f>SUM('1st Qtr'!H19, '2nd Qtr'!H19, '3rd Qtr'!H19, '4th Qtr'!H19)</f>
        <v>-222550.7</v>
      </c>
      <c r="I19" s="19">
        <f t="shared" si="5"/>
        <v>-0.13990096136897454</v>
      </c>
    </row>
    <row r="20" spans="1:9" ht="15.6">
      <c r="A20" s="12" t="str">
        <v>Monument Valley</v>
      </c>
      <c r="B20" s="9" t="str">
        <v>MA</v>
      </c>
      <c r="C20" s="24">
        <f>SUM('1st Qtr'!C20, '2nd Qtr'!C20, '3rd Qtr'!C20, '4th Qtr'!C20)</f>
        <v>3048890.0555775464</v>
      </c>
      <c r="D20" s="13">
        <f>SUM('1st Qtr'!D20, '2nd Qtr'!D20, '3rd Qtr'!D20, '4th Qtr'!D20)</f>
        <v>1408389.37</v>
      </c>
      <c r="E20" s="13">
        <f t="shared" ref="E20:E22" si="6">IF(AND(ISNUMBER(C20),ISNUMBER(D20)), C20-D20, "")</f>
        <v>1640500.6855775462</v>
      </c>
      <c r="F20" s="14">
        <f t="shared" ref="F20:F23" si="7">IFERROR(E20/D20, "")</f>
        <v>1.1648062109255668</v>
      </c>
      <c r="G20" s="15">
        <f>SUM('1st Qtr'!G20, '2nd Qtr'!G20, '3rd Qtr'!G20, '4th Qtr'!G20)</f>
        <v>991919.04799999995</v>
      </c>
      <c r="H20" s="15">
        <f>SUM('1st Qtr'!H20, '2nd Qtr'!H20, '3rd Qtr'!H20, '4th Qtr'!H20)</f>
        <v>1239637.7175775471</v>
      </c>
      <c r="I20" s="16">
        <f t="shared" ref="I20:I23" si="8">IFERROR(H20/G20, "")</f>
        <v>1.2497367805135113</v>
      </c>
    </row>
    <row r="21" spans="1:9" ht="15.6">
      <c r="A21" s="17" t="str">
        <v>Nationwide</v>
      </c>
      <c r="B21" s="10" t="str">
        <v>MA</v>
      </c>
      <c r="C21" s="11">
        <f>SUM('1st Qtr'!C21, '2nd Qtr'!C21, '3rd Qtr'!C21, '4th Qtr'!C21)</f>
        <v>4692492</v>
      </c>
      <c r="D21" s="18">
        <f>SUM('1st Qtr'!D21, '2nd Qtr'!D21, '3rd Qtr'!D21, '4th Qtr'!D21)</f>
        <v>4861759.5</v>
      </c>
      <c r="E21" s="18">
        <f t="shared" si="6"/>
        <v>-169267.5</v>
      </c>
      <c r="F21" s="19">
        <f t="shared" si="7"/>
        <v>-3.4816098986385484E-2</v>
      </c>
      <c r="G21" s="20">
        <f>SUM('1st Qtr'!G21, '2nd Qtr'!G21, '3rd Qtr'!G21, '4th Qtr'!G21)</f>
        <v>4908436.0999999996</v>
      </c>
      <c r="H21" s="20">
        <f>SUM('1st Qtr'!H21, '2nd Qtr'!H21, '3rd Qtr'!H21, '4th Qtr'!H21)</f>
        <v>-215944.09999999989</v>
      </c>
      <c r="I21" s="19">
        <f t="shared" si="8"/>
        <v>-4.3994481256463727E-2</v>
      </c>
    </row>
    <row r="22" spans="1:9" ht="15.6">
      <c r="A22" s="12" t="str">
        <v>Pulpit Hill</v>
      </c>
      <c r="B22" s="9" t="str">
        <v>MA</v>
      </c>
      <c r="C22" s="24">
        <f>SUM('1st Qtr'!C22, '2nd Qtr'!C22, '3rd Qtr'!C22, '4th Qtr'!C22)</f>
        <v>7023368.75</v>
      </c>
      <c r="D22" s="13">
        <f>SUM('1st Qtr'!D22, '2nd Qtr'!D22, '3rd Qtr'!D22, '4th Qtr'!D22)</f>
        <v>7061941</v>
      </c>
      <c r="E22" s="13">
        <f t="shared" si="6"/>
        <v>-38572.25</v>
      </c>
      <c r="F22" s="14">
        <f t="shared" si="7"/>
        <v>-5.4619898410366218E-3</v>
      </c>
      <c r="G22" s="15">
        <f>SUM('1st Qtr'!G22, '2nd Qtr'!G22, '3rd Qtr'!G22, '4th Qtr'!G22)</f>
        <v>6910025.2000000002</v>
      </c>
      <c r="H22" s="15">
        <f>SUM('1st Qtr'!H22, '2nd Qtr'!H22, '3rd Qtr'!H22, '4th Qtr'!H22)</f>
        <v>113343.55000000005</v>
      </c>
      <c r="I22" s="16">
        <f t="shared" si="8"/>
        <v>1.6402769413923417E-2</v>
      </c>
    </row>
    <row r="23" spans="1:9" ht="15.6">
      <c r="A23" s="17" t="str">
        <v>Sandwich</v>
      </c>
      <c r="B23" s="10" t="str">
        <v>MA</v>
      </c>
      <c r="C23" s="11">
        <f>SUM('1st Qtr'!C23, '2nd Qtr'!C23, '3rd Qtr'!C23, '4th Qtr'!C23)</f>
        <v>4321459.0130000003</v>
      </c>
      <c r="D23" s="18">
        <f>SUM('1st Qtr'!D23, '2nd Qtr'!D23, '3rd Qtr'!D23, '4th Qtr'!D23)</f>
        <v>0</v>
      </c>
      <c r="E23" s="18">
        <f t="shared" ref="E23:E34" si="9">IF(AND(ISNUMBER(C23),ISNUMBER(D23)), C23-D23, "")</f>
        <v>4321459.0130000003</v>
      </c>
      <c r="F23" s="19" t="str">
        <f t="shared" si="7"/>
        <v/>
      </c>
      <c r="G23" s="20">
        <f>SUM('1st Qtr'!G23, '2nd Qtr'!G23, '3rd Qtr'!G23, '4th Qtr'!G23)</f>
        <v>5241504.5600000005</v>
      </c>
      <c r="H23" s="20">
        <f>SUM('1st Qtr'!H23, '2nd Qtr'!H23, '3rd Qtr'!H23, '4th Qtr'!H23)</f>
        <v>-920045.54700000002</v>
      </c>
      <c r="I23" s="19">
        <f t="shared" si="8"/>
        <v>-0.17553081113793784</v>
      </c>
    </row>
    <row r="24" spans="1:9" ht="15.6">
      <c r="A24" s="12" t="str">
        <v>Sturbridge Barn</v>
      </c>
      <c r="B24" s="9" t="str">
        <v>MA</v>
      </c>
      <c r="C24" s="24">
        <f>SUM('1st Qtr'!C24, '2nd Qtr'!C24, '3rd Qtr'!C24, '4th Qtr'!C24)</f>
        <v>1593977</v>
      </c>
      <c r="D24" s="13">
        <f>SUM('1st Qtr'!D24, '2nd Qtr'!D24, '3rd Qtr'!D24, '4th Qtr'!D24)</f>
        <v>1707452.4</v>
      </c>
      <c r="E24" s="13">
        <f t="shared" si="9"/>
        <v>-113475.39999999991</v>
      </c>
      <c r="F24" s="14">
        <f t="shared" ref="F24:F34" si="10">IFERROR(E24/D24, "")</f>
        <v>-6.645889513523183E-2</v>
      </c>
      <c r="G24" s="15">
        <f>SUM('1st Qtr'!G24, '2nd Qtr'!G24, '3rd Qtr'!G24, '4th Qtr'!G24)</f>
        <v>1800526.8</v>
      </c>
      <c r="H24" s="15">
        <f>SUM('1st Qtr'!H24, '2nd Qtr'!H24, '3rd Qtr'!H24, '4th Qtr'!H24)</f>
        <v>-206549.8</v>
      </c>
      <c r="I24" s="16">
        <f t="shared" ref="I24:I34" si="11">IFERROR(H24/G24, "")</f>
        <v>-0.11471631524729317</v>
      </c>
    </row>
    <row r="25" spans="1:9" ht="15.6">
      <c r="A25" s="17" t="str">
        <v>Sturbridge Garage</v>
      </c>
      <c r="B25" s="10" t="str">
        <v>MA</v>
      </c>
      <c r="C25" s="11">
        <f>SUM('1st Qtr'!C25, '2nd Qtr'!C25, '3rd Qtr'!C25, '4th Qtr'!C25)</f>
        <v>759748.5</v>
      </c>
      <c r="D25" s="18">
        <f>SUM('1st Qtr'!D25, '2nd Qtr'!D25, '3rd Qtr'!D25, '4th Qtr'!D25)</f>
        <v>811998.15999999992</v>
      </c>
      <c r="E25" s="18">
        <f t="shared" si="9"/>
        <v>-52249.659999999916</v>
      </c>
      <c r="F25" s="19">
        <f t="shared" si="10"/>
        <v>-6.4347017732158313E-2</v>
      </c>
      <c r="G25" s="20">
        <f>SUM('1st Qtr'!G25, '2nd Qtr'!G25, '3rd Qtr'!G25, '4th Qtr'!G25)</f>
        <v>837886.35</v>
      </c>
      <c r="H25" s="20">
        <f>SUM('1st Qtr'!H25, '2nd Qtr'!H25, '3rd Qtr'!H25, '4th Qtr'!H25)</f>
        <v>-78137.85000000002</v>
      </c>
      <c r="I25" s="19">
        <f t="shared" si="11"/>
        <v>-9.3255905171387529E-2</v>
      </c>
    </row>
    <row r="26" spans="1:9" ht="15.6">
      <c r="A26" s="12" t="str">
        <v>Halsey Valley</v>
      </c>
      <c r="B26" s="9" t="str">
        <v>NY</v>
      </c>
      <c r="C26" s="24">
        <f>SUM('1st Qtr'!C26, '2nd Qtr'!C26, '3rd Qtr'!C26, '4th Qtr'!C26)</f>
        <v>7954022</v>
      </c>
      <c r="D26" s="13">
        <f>SUM('1st Qtr'!D26, '2nd Qtr'!D26, '3rd Qtr'!D26, '4th Qtr'!D26)</f>
        <v>8222240.0999999996</v>
      </c>
      <c r="E26" s="13">
        <f t="shared" si="9"/>
        <v>-268218.09999999963</v>
      </c>
      <c r="F26" s="14">
        <f t="shared" si="10"/>
        <v>-3.2621049341529158E-2</v>
      </c>
      <c r="G26" s="15">
        <f>SUM('1st Qtr'!G26, '2nd Qtr'!G26, '3rd Qtr'!G26, '4th Qtr'!G26)</f>
        <v>8487000</v>
      </c>
      <c r="H26" s="15">
        <f>SUM('1st Qtr'!H26, '2nd Qtr'!H26, '3rd Qtr'!H26, '4th Qtr'!H26)</f>
        <v>-532978</v>
      </c>
      <c r="I26" s="16">
        <f t="shared" si="11"/>
        <v>-6.2799340167314713E-2</v>
      </c>
    </row>
    <row r="27" spans="1:9" ht="15.6">
      <c r="A27" s="17" t="str">
        <v>Hunt Creek</v>
      </c>
      <c r="B27" s="10" t="str">
        <v>NY</v>
      </c>
      <c r="C27" s="11">
        <f>SUM('1st Qtr'!C27, '2nd Qtr'!C27, '3rd Qtr'!C27, '4th Qtr'!C27)</f>
        <v>5339204.0000000019</v>
      </c>
      <c r="D27" s="18">
        <f>SUM('1st Qtr'!D27, '2nd Qtr'!D27, '3rd Qtr'!D27, '4th Qtr'!D27)</f>
        <v>5943540.2000000002</v>
      </c>
      <c r="E27" s="18">
        <f t="shared" si="9"/>
        <v>-604336.19999999832</v>
      </c>
      <c r="F27" s="19">
        <f t="shared" si="10"/>
        <v>-0.10167950071238659</v>
      </c>
      <c r="G27" s="20">
        <f>SUM('1st Qtr'!G27, '2nd Qtr'!G27, '3rd Qtr'!G27, '4th Qtr'!G27)</f>
        <v>5926400</v>
      </c>
      <c r="H27" s="20">
        <f>SUM('1st Qtr'!H27, '2nd Qtr'!H27, '3rd Qtr'!H27, '4th Qtr'!H27)</f>
        <v>-587195.99999999802</v>
      </c>
      <c r="I27" s="19">
        <f t="shared" si="11"/>
        <v>-9.9081398488120614E-2</v>
      </c>
    </row>
    <row r="28" spans="1:9" ht="15.6">
      <c r="A28" s="12" t="str">
        <v>Smith Creek</v>
      </c>
      <c r="B28" s="9" t="str">
        <v>NY</v>
      </c>
      <c r="C28" s="24">
        <f>SUM('1st Qtr'!C28, '2nd Qtr'!C28, '3rd Qtr'!C28, '4th Qtr'!C28)</f>
        <v>6193923</v>
      </c>
      <c r="D28" s="13">
        <f>SUM('1st Qtr'!D28, '2nd Qtr'!D28, '3rd Qtr'!D28, '4th Qtr'!D28)</f>
        <v>6570010.6999999993</v>
      </c>
      <c r="E28" s="13">
        <f t="shared" si="9"/>
        <v>-376087.69999999925</v>
      </c>
      <c r="F28" s="14">
        <f t="shared" si="10"/>
        <v>-5.7243087899384898E-2</v>
      </c>
      <c r="G28" s="15">
        <f>SUM('1st Qtr'!G28, '2nd Qtr'!G28, '3rd Qtr'!G28, '4th Qtr'!G28)</f>
        <v>6686098.0999999996</v>
      </c>
      <c r="H28" s="15">
        <f>SUM('1st Qtr'!H28, '2nd Qtr'!H28, '3rd Qtr'!H28, '4th Qtr'!H28)</f>
        <v>-492175.09999999992</v>
      </c>
      <c r="I28" s="16">
        <f t="shared" si="11"/>
        <v>-7.3611707850951211E-2</v>
      </c>
    </row>
    <row r="29" spans="1:9" ht="15.6">
      <c r="A29" s="17" t="str">
        <v>Bradford - 256 Presidential Dr</v>
      </c>
      <c r="B29" s="10" t="str">
        <v>MA</v>
      </c>
      <c r="C29" s="11">
        <f>SUM('1st Qtr'!C29, '2nd Qtr'!C29, '3rd Qtr'!C29, '4th Qtr'!C29)</f>
        <v>6546666.8300000001</v>
      </c>
      <c r="D29" s="18">
        <f>SUM('1st Qtr'!D29, '2nd Qtr'!D29, '3rd Qtr'!D29, '4th Qtr'!D29)</f>
        <v>1382228.9071</v>
      </c>
      <c r="E29" s="18">
        <f>IF(AND(ISNUMBER(C29),ISNUMBER(D29)), C29-D29, "")</f>
        <v>5164437.9229000006</v>
      </c>
      <c r="F29" s="19">
        <f>IFERROR(E29/D29, "")</f>
        <v>3.7363116169631443</v>
      </c>
      <c r="G29" s="20">
        <f>SUM('1st Qtr'!G29, '2nd Qtr'!G29, '3rd Qtr'!G29, '4th Qtr'!G29)</f>
        <v>5149375.7</v>
      </c>
      <c r="H29" s="20">
        <f>SUM('1st Qtr'!H29, '2nd Qtr'!H29, '3rd Qtr'!H29, '4th Qtr'!H29)</f>
        <v>-504322.46799999999</v>
      </c>
      <c r="I29" s="19">
        <f>IFERROR(H29/G29, "")</f>
        <v>-9.7938565251706133E-2</v>
      </c>
    </row>
    <row r="30" spans="1:9" ht="15.6">
      <c r="A30" s="12" t="str">
        <v>Charlton – 111 Brookfield Road - Bus Lot</v>
      </c>
      <c r="B30" s="9" t="str">
        <v>MA</v>
      </c>
      <c r="C30" s="24">
        <f>SUM('1st Qtr'!C30, '2nd Qtr'!C30, '3rd Qtr'!C30, '4th Qtr'!C30)</f>
        <v>773542.98800000001</v>
      </c>
      <c r="D30" s="13">
        <f>SUM('1st Qtr'!D30, '2nd Qtr'!D30, '3rd Qtr'!D30, '4th Qtr'!D30)</f>
        <v>128503.38427000001</v>
      </c>
      <c r="E30" s="13">
        <f t="shared" si="9"/>
        <v>645039.60372999997</v>
      </c>
      <c r="F30" s="14">
        <f t="shared" si="10"/>
        <v>5.0196312524711368</v>
      </c>
      <c r="G30" s="15">
        <f>SUM('1st Qtr'!G30, '2nd Qtr'!G30, '3rd Qtr'!G30, '4th Qtr'!G30)</f>
        <v>633397.25</v>
      </c>
      <c r="H30" s="15">
        <f>SUM('1st Qtr'!H30, '2nd Qtr'!H30, '3rd Qtr'!H30, '4th Qtr'!H30)</f>
        <v>-106918.41800000001</v>
      </c>
      <c r="I30" s="16">
        <f t="shared" si="11"/>
        <v>-0.16880151910984773</v>
      </c>
    </row>
    <row r="31" spans="1:9" ht="15.6">
      <c r="A31" s="17" t="str">
        <v>Charlton – 154 Center Depot Road KMARD</v>
      </c>
      <c r="B31" s="10" t="str">
        <v>MA</v>
      </c>
      <c r="C31" s="11">
        <f>SUM('1st Qtr'!C31, '2nd Qtr'!C31, '3rd Qtr'!C31, '4th Qtr'!C31)</f>
        <v>653902.772</v>
      </c>
      <c r="D31" s="18">
        <f>SUM('1st Qtr'!D31, '2nd Qtr'!D31, '3rd Qtr'!D31, '4th Qtr'!D31)</f>
        <v>176882.00101000001</v>
      </c>
      <c r="E31" s="18">
        <f t="shared" si="9"/>
        <v>477020.77098999999</v>
      </c>
      <c r="F31" s="19">
        <f t="shared" si="10"/>
        <v>2.6968304760586221</v>
      </c>
      <c r="G31" s="20">
        <f>SUM('1st Qtr'!G31, '2nd Qtr'!G31, '3rd Qtr'!G31, '4th Qtr'!G31)</f>
        <v>613735.16</v>
      </c>
      <c r="H31" s="20">
        <f>SUM('1st Qtr'!H31, '2nd Qtr'!H31, '3rd Qtr'!H31, '4th Qtr'!H31)</f>
        <v>-174046.36000000002</v>
      </c>
      <c r="I31" s="19">
        <f t="shared" si="11"/>
        <v>-0.28358544750800979</v>
      </c>
    </row>
    <row r="32" spans="1:9" ht="15.6">
      <c r="A32" s="12" t="str">
        <v>Charlton – 142A Brookfield Rd (Mitchell)</v>
      </c>
      <c r="B32" s="9" t="str">
        <v>MA</v>
      </c>
      <c r="C32" s="24">
        <f>SUM('1st Qtr'!C32, '2nd Qtr'!C32, '3rd Qtr'!C32, '4th Qtr'!C32)</f>
        <v>716124.78</v>
      </c>
      <c r="D32" s="13">
        <f>SUM('1st Qtr'!D32, '2nd Qtr'!D32, '3rd Qtr'!D32, '4th Qtr'!D32)</f>
        <v>187579.0295</v>
      </c>
      <c r="E32" s="13">
        <f t="shared" si="9"/>
        <v>528545.75050000008</v>
      </c>
      <c r="F32" s="14">
        <f t="shared" si="10"/>
        <v>2.8177230253768855</v>
      </c>
      <c r="G32" s="15">
        <f>SUM('1st Qtr'!G32, '2nd Qtr'!G32, '3rd Qtr'!G32, '4th Qtr'!G32)</f>
        <v>633174.58000000007</v>
      </c>
      <c r="H32" s="15">
        <f>SUM('1st Qtr'!H32, '2nd Qtr'!H32, '3rd Qtr'!H32, '4th Qtr'!H32)</f>
        <v>-141325.74800000002</v>
      </c>
      <c r="I32" s="16">
        <f t="shared" si="11"/>
        <v>-0.2232018663794115</v>
      </c>
    </row>
    <row r="33" spans="1:9" ht="15.6">
      <c r="A33" s="17" t="str">
        <v>Great Barrington – 3 Nolan  Drive</v>
      </c>
      <c r="B33" s="10" t="str">
        <v>MA</v>
      </c>
      <c r="C33" s="11">
        <f>SUM('1st Qtr'!C33, '2nd Qtr'!C33, '3rd Qtr'!C33, '4th Qtr'!C33)</f>
        <v>1263412.0567000001</v>
      </c>
      <c r="D33" s="18">
        <f>SUM('1st Qtr'!D33, '2nd Qtr'!D33, '3rd Qtr'!D33, '4th Qtr'!D33)</f>
        <v>358533.43728000001</v>
      </c>
      <c r="E33" s="18">
        <f t="shared" si="9"/>
        <v>904878.61942000012</v>
      </c>
      <c r="F33" s="19">
        <f t="shared" si="10"/>
        <v>2.5238332755930006</v>
      </c>
      <c r="G33" s="20">
        <f>SUM('1st Qtr'!G33, '2nd Qtr'!G33, '3rd Qtr'!G33, '4th Qtr'!G33)</f>
        <v>1246134.78</v>
      </c>
      <c r="H33" s="20">
        <f>SUM('1st Qtr'!H33, '2nd Qtr'!H33, '3rd Qtr'!H33, '4th Qtr'!H33)</f>
        <v>-444828.81929999997</v>
      </c>
      <c r="I33" s="19">
        <f t="shared" si="11"/>
        <v>-0.35696685979665854</v>
      </c>
    </row>
    <row r="34" spans="1:9" ht="15.6">
      <c r="A34" s="12" t="str">
        <v>Stockbridge – 92 State Line Road Truck Stop</v>
      </c>
      <c r="B34" s="9" t="str">
        <v>MA</v>
      </c>
      <c r="C34" s="24">
        <f>SUM('1st Qtr'!C34, '2nd Qtr'!C34, '3rd Qtr'!C34, '4th Qtr'!C34)</f>
        <v>2461547.1480000005</v>
      </c>
      <c r="D34" s="13">
        <f>SUM('1st Qtr'!D34, '2nd Qtr'!D34, '3rd Qtr'!D34, '4th Qtr'!D34)</f>
        <v>680989.01930000004</v>
      </c>
      <c r="E34" s="13">
        <f t="shared" si="9"/>
        <v>1780558.1287000005</v>
      </c>
      <c r="F34" s="14">
        <f t="shared" si="10"/>
        <v>2.6146649626307719</v>
      </c>
      <c r="G34" s="15">
        <f>SUM('1st Qtr'!G34, '2nd Qtr'!G34, '3rd Qtr'!G34, '4th Qtr'!G34)</f>
        <v>2460923.42</v>
      </c>
      <c r="H34" s="15">
        <f>SUM('1st Qtr'!H34, '2nd Qtr'!H34, '3rd Qtr'!H34, '4th Qtr'!H34)</f>
        <v>-868478.46600000001</v>
      </c>
      <c r="I34" s="16">
        <f t="shared" si="11"/>
        <v>-0.35290755451463829</v>
      </c>
    </row>
    <row r="35" spans="1:9" ht="15.6">
      <c r="A35" s="17" t="str">
        <v>NY: New Windsor - Moores Hill</v>
      </c>
      <c r="B35" s="10" t="str">
        <v>NY</v>
      </c>
      <c r="C35" s="58">
        <f>SUM('1st Qtr'!C35, '2nd Qtr'!C35, '3rd Qtr'!C35, '4th Qtr'!C35)</f>
        <v>1387381.81505625</v>
      </c>
      <c r="D35" s="18">
        <f>SUM('1st Qtr'!D35, '2nd Qtr'!D35, '3rd Qtr'!D35, '4th Qtr'!D35)</f>
        <v>1276533.2</v>
      </c>
      <c r="E35" s="18">
        <f>IF(AND(ISNUMBER(C35),ISNUMBER(D35)), C35-D35, "")</f>
        <v>110848.61505625001</v>
      </c>
      <c r="F35" s="52">
        <f>IFERROR(E35/D35, "")</f>
        <v>8.6835669496296702E-2</v>
      </c>
      <c r="G35" s="50">
        <f>SUM('1st Qtr'!G35, '2nd Qtr'!G35, '3rd Qtr'!G35, '4th Qtr'!G35)</f>
        <v>1875786</v>
      </c>
      <c r="H35" s="50">
        <f>SUM('1st Qtr'!H35, '2nd Qtr'!H35, '3rd Qtr'!H35, '4th Qtr'!H35)</f>
        <v>-488404.18494374998</v>
      </c>
      <c r="I35" s="52">
        <f>IFERROR(H35/G35, "")</f>
        <v>-0.26037308357336603</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4" activePane="bottomRight" state="frozen"/>
      <selection pane="bottomRight" activeCell="K12" sqref="K12"/>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2" t="str" cm="1">
        <f t="array" ref="A1">portfolio</f>
        <v>Lodestar</v>
      </c>
      <c r="B1" s="112"/>
      <c r="C1" s="112"/>
      <c r="D1" s="113" t="s">
        <v>10</v>
      </c>
      <c r="E1" s="113"/>
      <c r="F1" s="113"/>
      <c r="G1" s="111" t="s">
        <v>11</v>
      </c>
      <c r="H1" s="111"/>
      <c r="I1" s="111"/>
    </row>
    <row r="2" spans="1:9" ht="19.5" customHeight="1">
      <c r="A2" s="114" t="s">
        <v>2</v>
      </c>
      <c r="B2" s="114"/>
      <c r="C2" s="5">
        <f>SUM(C4:C103)</f>
        <v>16452264.070525758</v>
      </c>
      <c r="D2" s="5">
        <f>SUM(D4:D103)</f>
        <v>19010660.058459997</v>
      </c>
      <c r="E2" s="5">
        <f>C2-D2</f>
        <v>-2558395.9879342392</v>
      </c>
      <c r="F2" s="6">
        <f>IFERROR(E2/D2, 0)</f>
        <v>-0.13457691527105703</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6">
      <c r="A5" s="42"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6">
      <c r="A6" s="41"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6">
      <c r="A7" s="42"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6">
      <c r="A8" s="41"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6">
      <c r="A9" s="42"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6">
      <c r="A10" s="41"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6">
      <c r="A11" s="42"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6">
      <c r="A12" s="41"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6">
      <c r="A13" s="42"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6">
      <c r="A14" s="41"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6">
      <c r="A15" s="42"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6">
      <c r="A16" s="41"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6">
      <c r="A17" s="42"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1"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6">
      <c r="A19" s="42" t="str">
        <v>Lilly Lane</v>
      </c>
      <c r="B19" s="10" t="str">
        <v>MA</v>
      </c>
      <c r="C19" s="11">
        <f>SUM(Jan!C19, Feb!C19, Mar!C19)</f>
        <v>287612.5</v>
      </c>
      <c r="D19" s="18">
        <f>SUM(Jan!D19, Feb!D19, Mar!D19)</f>
        <v>337821.29</v>
      </c>
      <c r="E19" s="18">
        <f t="shared" ref="E19:E32"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6">
      <c r="A20" s="41"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6">
      <c r="A21" s="42"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6">
      <c r="A22" s="41"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6">
      <c r="A23" s="42" t="str">
        <v>Sandwich</v>
      </c>
      <c r="B23" s="10" t="str">
        <v>MA</v>
      </c>
      <c r="C23" s="11">
        <f>SUM(Jan!C23, Feb!C23, Mar!C23)</f>
        <v>953865</v>
      </c>
      <c r="D23" s="18">
        <f>SUM(Jan!D23, Feb!D23, Mar!D23)</f>
        <v>0</v>
      </c>
      <c r="E23" s="18">
        <f t="shared" si="6"/>
        <v>953865</v>
      </c>
      <c r="F23" s="19" t="str">
        <f t="shared" si="7"/>
        <v/>
      </c>
      <c r="G23" s="20">
        <f>SUM(Jan!G23, Feb!G23, Mar!G23)</f>
        <v>1158752</v>
      </c>
      <c r="H23" s="20">
        <f>SUM(Jan!H23, Feb!H23, Mar!H23)</f>
        <v>-204887</v>
      </c>
      <c r="I23" s="19">
        <f t="shared" si="8"/>
        <v>-0.17681695479274254</v>
      </c>
    </row>
    <row r="24" spans="1:9" ht="15.6">
      <c r="A24" s="41"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6">
      <c r="A25" s="42"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6">
      <c r="A26" s="41"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6">
      <c r="A27" s="42"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6">
      <c r="A28" s="41"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6">
      <c r="A29" s="42"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6">
      <c r="A30" s="41"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6">
      <c r="A31" s="42"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6">
      <c r="A32" s="41"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6">
      <c r="A33" s="42" t="str">
        <v>Great Barrington – 3 Nolan  Drive</v>
      </c>
      <c r="B33" s="10" t="str">
        <v>MA</v>
      </c>
      <c r="C33" s="11">
        <f>SUM(Jan!C33, Feb!C33, Mar!C33)</f>
        <v>250735.49669999999</v>
      </c>
      <c r="D33" s="18">
        <f>SUM(Jan!D33, Feb!D33, Mar!D33)</f>
        <v>358533.43728000001</v>
      </c>
      <c r="E33" s="18">
        <f>IF(AND(ISNUMBER(C33),ISNUMBER(D33)), C33-D33, "")</f>
        <v>-107797.94058000002</v>
      </c>
      <c r="F33" s="19">
        <f t="shared" si="7"/>
        <v>-0.30066356264510474</v>
      </c>
      <c r="G33" s="20">
        <f>SUM(Jan!G33, Feb!G33, Mar!G33)</f>
        <v>397534.78</v>
      </c>
      <c r="H33" s="20">
        <f>SUM(Jan!H33, Feb!H33, Mar!H33)</f>
        <v>-146799.28330000001</v>
      </c>
      <c r="I33" s="19">
        <f t="shared" si="8"/>
        <v>-0.36927406276250846</v>
      </c>
    </row>
    <row r="34" spans="1:9" ht="15.6">
      <c r="A34" s="41" t="str">
        <v>Stockbridge – 92 State Line Road Truck Stop</v>
      </c>
      <c r="B34" s="9" t="str">
        <v>MA</v>
      </c>
      <c r="C34" s="24">
        <f>SUM(Jan!C34, Feb!C34, Mar!C34)</f>
        <v>461438</v>
      </c>
      <c r="D34" s="13">
        <f>SUM(Jan!D34, Feb!D34, Mar!D34)</f>
        <v>680989.01930000004</v>
      </c>
      <c r="E34" s="13">
        <f>IF(AND(ISNUMBER(C34),ISNUMBER(D34)), C34-D34, "")</f>
        <v>-219551.01930000004</v>
      </c>
      <c r="F34" s="14">
        <f t="shared" si="7"/>
        <v>-0.32240023418539143</v>
      </c>
      <c r="G34" s="15">
        <f>SUM(Jan!G34, Feb!G34, Mar!G34)</f>
        <v>775023.41999999993</v>
      </c>
      <c r="H34" s="15">
        <f>SUM(Jan!H34, Feb!H34, Mar!H34)</f>
        <v>-313585.42</v>
      </c>
      <c r="I34" s="16">
        <f t="shared" si="8"/>
        <v>-0.40461412120939522</v>
      </c>
    </row>
    <row r="35" spans="1:9" ht="15.6">
      <c r="A35" s="42" t="str">
        <v>NY: New Windsor - Moores Hill</v>
      </c>
      <c r="B35" s="10" t="str">
        <v>NY</v>
      </c>
      <c r="C35" s="58">
        <f>SUM(Jan!C35, Feb!C35, Mar!C35)</f>
        <v>0</v>
      </c>
      <c r="D35" s="18">
        <f>SUM(Jan!D35, Feb!D35, Mar!D35)</f>
        <v>0</v>
      </c>
      <c r="E35" s="18">
        <f>IF(AND(ISNUMBER(C35),ISNUMBER(D35)), C35-D35, "")</f>
        <v>0</v>
      </c>
      <c r="F35" s="52" t="str">
        <f>IFERROR(E35/D35, "")</f>
        <v/>
      </c>
      <c r="G35" s="50">
        <f>SUM(Jan!G35, Feb!G35, Mar!G35)</f>
        <v>0</v>
      </c>
      <c r="H35" s="50">
        <f>SUM(Jan!H35, Feb!H35, Mar!H35)</f>
        <v>0</v>
      </c>
      <c r="I35" s="52" t="str">
        <f>IFERROR(H35/G35, "")</f>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21" activePane="bottomRight" state="frozen"/>
      <selection pane="bottomRight" activeCell="F38" sqref="F38"/>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2" t="str" cm="1">
        <f t="array" ref="A1">portfolio</f>
        <v>Lodestar</v>
      </c>
      <c r="B1" s="112"/>
      <c r="C1" s="112"/>
      <c r="D1" s="113" t="s">
        <v>12</v>
      </c>
      <c r="E1" s="113"/>
      <c r="F1" s="113"/>
      <c r="G1" s="111" t="s">
        <v>13</v>
      </c>
      <c r="H1" s="111"/>
      <c r="I1" s="111"/>
    </row>
    <row r="2" spans="1:9" ht="19.5" customHeight="1">
      <c r="A2" s="114" t="s">
        <v>2</v>
      </c>
      <c r="B2" s="114"/>
      <c r="C2" s="5">
        <f>SUM(C4:C103)</f>
        <v>27409237.64017424</v>
      </c>
      <c r="D2" s="5">
        <f>SUM(D4:D103)</f>
        <v>20197106.800000001</v>
      </c>
      <c r="E2" s="5">
        <f>C2-D2</f>
        <v>7212130.8401742391</v>
      </c>
      <c r="F2" s="6">
        <f>IFERROR(E2/D2, 0)</f>
        <v>0.35708732501103768</v>
      </c>
      <c r="G2" s="5">
        <f>SUM(G4:G103)</f>
        <v>23526613.77</v>
      </c>
      <c r="H2" s="7">
        <f>C2-G2</f>
        <v>3882623.8701742403</v>
      </c>
      <c r="I2" s="6">
        <f>IFERROR(H2/G2, 0)</f>
        <v>0.16503113912318204</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SUM(Apr!C4, May!C4, Jun!C4)</f>
        <v>488022</v>
      </c>
      <c r="D4" s="13">
        <f>SUM(Apr!D4, May!D4, Jun!D4)</f>
        <v>499602.4</v>
      </c>
      <c r="E4" s="13">
        <f>IF(AND(ISNUMBER(C4),ISNUMBER(D4)), C4-D4, "")</f>
        <v>-11580.400000000023</v>
      </c>
      <c r="F4" s="14">
        <f>IFERROR(E4/D4, "")</f>
        <v>-2.3179232125386154E-2</v>
      </c>
      <c r="G4" s="15">
        <f>SUM(Apr!G4,May!G4,Jun!G4)</f>
        <v>552800.60000000009</v>
      </c>
      <c r="H4" s="15">
        <f>SUM(Apr!H4, May!H4, Jun!H4)</f>
        <v>-64778.600000000006</v>
      </c>
      <c r="I4" s="16">
        <f>IFERROR(H4/G4, "")</f>
        <v>-0.11718257903482737</v>
      </c>
    </row>
    <row r="5" spans="1:9" ht="15.6">
      <c r="A5" s="42" t="str">
        <v>Bunce</v>
      </c>
      <c r="B5" s="10" t="str">
        <v>CT</v>
      </c>
      <c r="C5" s="11">
        <f>SUM(Apr!C5, May!C5, Jun!C5)</f>
        <v>939190.5</v>
      </c>
      <c r="D5" s="18">
        <f>SUM(Apr!D5, May!D5, Jun!D5)</f>
        <v>617730.30000000005</v>
      </c>
      <c r="E5" s="18">
        <f t="shared" ref="E5:E15" si="0">IF(AND(ISNUMBER(C5),ISNUMBER(D5)), C5-D5, "")</f>
        <v>321460.19999999995</v>
      </c>
      <c r="F5" s="19">
        <f>IFERROR(E5/D5, "")</f>
        <v>0.52038923782757607</v>
      </c>
      <c r="G5" s="50">
        <f>SUM(Apr!G5,May!G5,Jun!G5)</f>
        <v>0</v>
      </c>
      <c r="H5" s="20">
        <f>SUM(Apr!H5, May!H5, Jun!H5)</f>
        <v>642704</v>
      </c>
      <c r="I5" s="19" t="str">
        <f>IFERROR(H5/G5, "")</f>
        <v/>
      </c>
    </row>
    <row r="6" spans="1:9" ht="15.6">
      <c r="A6" s="41" t="str">
        <v>Norcap North</v>
      </c>
      <c r="B6" s="9" t="str">
        <v>CT</v>
      </c>
      <c r="C6" s="24">
        <f>SUM(Apr!C6, May!C6, Jun!C6)</f>
        <v>966580.5</v>
      </c>
      <c r="D6" s="13">
        <f>SUM(Apr!D6, May!D6, Jun!D6)</f>
        <v>907589.10000000009</v>
      </c>
      <c r="E6" s="13">
        <f t="shared" si="0"/>
        <v>58991.399999999907</v>
      </c>
      <c r="F6" s="14">
        <f t="shared" ref="F6:F15" si="1">IFERROR(E6/D6, "")</f>
        <v>6.499791590709926E-2</v>
      </c>
      <c r="G6" s="15">
        <f>SUM(Apr!G6,May!G6,Jun!G6)</f>
        <v>1056079.1000000001</v>
      </c>
      <c r="H6" s="15">
        <f>SUM(Apr!H6, May!H6, Jun!H6)</f>
        <v>-89498.599999999977</v>
      </c>
      <c r="I6" s="16">
        <f t="shared" ref="I6:I15" si="2">IFERROR(H6/G6, "")</f>
        <v>-8.4746114187848207E-2</v>
      </c>
    </row>
    <row r="7" spans="1:9" ht="15.6">
      <c r="A7" s="42" t="str">
        <v>Norcap South</v>
      </c>
      <c r="B7" s="10" t="str">
        <v>CT</v>
      </c>
      <c r="C7" s="11">
        <f>SUM(Apr!C7, May!C7, Jun!C7)</f>
        <v>1004243.5</v>
      </c>
      <c r="D7" s="18">
        <f>SUM(Apr!D7, May!D7, Jun!D7)</f>
        <v>949566.9</v>
      </c>
      <c r="E7" s="18">
        <f t="shared" si="0"/>
        <v>54676.599999999977</v>
      </c>
      <c r="F7" s="19">
        <f t="shared" si="1"/>
        <v>5.7580566466670202E-2</v>
      </c>
      <c r="G7" s="50">
        <f>SUM(Apr!G7,May!G7,Jun!G7)</f>
        <v>1034687.7999999999</v>
      </c>
      <c r="H7" s="20">
        <f>SUM(Apr!H7, May!H7, Jun!H7)</f>
        <v>-30444.299999999988</v>
      </c>
      <c r="I7" s="19">
        <f t="shared" si="2"/>
        <v>-2.942365803481977E-2</v>
      </c>
    </row>
    <row r="8" spans="1:9" ht="15.6">
      <c r="A8" s="41" t="str">
        <v>Platt Hill</v>
      </c>
      <c r="B8" s="9" t="str">
        <v>CT</v>
      </c>
      <c r="C8" s="24">
        <f>SUM(Apr!C8, May!C8, Jun!C8)</f>
        <v>1072739</v>
      </c>
      <c r="D8" s="13">
        <f>SUM(Apr!D8, May!D8, Jun!D8)</f>
        <v>1085877.7999999998</v>
      </c>
      <c r="E8" s="13">
        <f t="shared" si="0"/>
        <v>-13138.799999999814</v>
      </c>
      <c r="F8" s="14">
        <f t="shared" si="1"/>
        <v>-1.2099704036678727E-2</v>
      </c>
      <c r="G8" s="15">
        <f>SUM(Apr!G8,May!G8,Jun!G8)</f>
        <v>1208681</v>
      </c>
      <c r="H8" s="15">
        <f>SUM(Apr!H8, May!H8, Jun!H8)</f>
        <v>-135942</v>
      </c>
      <c r="I8" s="16">
        <f t="shared" si="2"/>
        <v>-0.11247136341185143</v>
      </c>
    </row>
    <row r="9" spans="1:9" ht="15.6">
      <c r="A9" s="42" t="str">
        <v>Powder Hill</v>
      </c>
      <c r="B9" s="10" t="str">
        <v>CT</v>
      </c>
      <c r="C9" s="11">
        <f>SUM(Apr!C9, May!C9, Jun!C9)</f>
        <v>989969</v>
      </c>
      <c r="D9" s="18">
        <f>SUM(Apr!D9, May!D9, Jun!D9)</f>
        <v>972850</v>
      </c>
      <c r="E9" s="18">
        <f t="shared" si="0"/>
        <v>17119</v>
      </c>
      <c r="F9" s="19">
        <f t="shared" si="1"/>
        <v>1.7596751811687312E-2</v>
      </c>
      <c r="G9" s="50">
        <f>SUM(Apr!G9,May!G9,Jun!G9)</f>
        <v>838176</v>
      </c>
      <c r="H9" s="20">
        <f>SUM(Apr!H9, May!H9, Jun!H9)</f>
        <v>151793</v>
      </c>
      <c r="I9" s="19">
        <f t="shared" si="2"/>
        <v>0.18109919635016988</v>
      </c>
    </row>
    <row r="10" spans="1:9" ht="15.6">
      <c r="A10" s="41" t="str">
        <v>Sand Road</v>
      </c>
      <c r="B10" s="9" t="str">
        <v>CT</v>
      </c>
      <c r="C10" s="24">
        <f>SUM(Apr!C10, May!C10, Jun!C10)</f>
        <v>980092</v>
      </c>
      <c r="D10" s="13">
        <f>SUM(Apr!D10, May!D10, Jun!D10)</f>
        <v>847138.8</v>
      </c>
      <c r="E10" s="13">
        <f t="shared" si="0"/>
        <v>132953.19999999995</v>
      </c>
      <c r="F10" s="14">
        <f t="shared" si="1"/>
        <v>0.15694382077647717</v>
      </c>
      <c r="G10" s="15">
        <f>SUM(Apr!G10,May!G10,Jun!G10)</f>
        <v>1002416</v>
      </c>
      <c r="H10" s="15">
        <f>SUM(Apr!H10, May!H10, Jun!H10)</f>
        <v>-22324</v>
      </c>
      <c r="I10" s="16">
        <f t="shared" si="2"/>
        <v>-2.2270195208376562E-2</v>
      </c>
    </row>
    <row r="11" spans="1:9" ht="15.6">
      <c r="A11" s="42" t="str">
        <v>Suffield</v>
      </c>
      <c r="B11" s="10" t="str">
        <v>CT</v>
      </c>
      <c r="C11" s="11">
        <f>SUM(Apr!C11, May!C11, Jun!C11)</f>
        <v>994731</v>
      </c>
      <c r="D11" s="18">
        <f>SUM(Apr!D11, May!D11, Jun!D11)</f>
        <v>950464.3</v>
      </c>
      <c r="E11" s="18">
        <f t="shared" si="0"/>
        <v>44266.699999999953</v>
      </c>
      <c r="F11" s="19">
        <f t="shared" si="1"/>
        <v>4.6573764001446402E-2</v>
      </c>
      <c r="G11" s="50">
        <f>SUM(Apr!G11,May!G11,Jun!G11)</f>
        <v>1089283</v>
      </c>
      <c r="H11" s="20">
        <f>SUM(Apr!H11, May!H11, Jun!H11)</f>
        <v>-94552.000000000058</v>
      </c>
      <c r="I11" s="19">
        <f t="shared" si="2"/>
        <v>-8.6802052359212484E-2</v>
      </c>
    </row>
    <row r="12" spans="1:9" ht="15.6">
      <c r="A12" s="41" t="str">
        <v>Ashby-Duffy</v>
      </c>
      <c r="B12" s="9" t="str">
        <v>MA</v>
      </c>
      <c r="C12" s="24">
        <f>SUM(Apr!C12, May!C12, Jun!C12)</f>
        <v>925117</v>
      </c>
      <c r="D12" s="13">
        <f>SUM(Apr!D12, May!D12, Jun!D12)</f>
        <v>1044535.7</v>
      </c>
      <c r="E12" s="13">
        <f t="shared" si="0"/>
        <v>-119418.69999999995</v>
      </c>
      <c r="F12" s="14">
        <f t="shared" si="1"/>
        <v>-0.11432706416831896</v>
      </c>
      <c r="G12" s="15">
        <f>SUM(Apr!G12,May!G12,Jun!G12)</f>
        <v>996418.8</v>
      </c>
      <c r="H12" s="15">
        <f>SUM(Apr!H12, May!H12, Jun!H12)</f>
        <v>-71301.800000000047</v>
      </c>
      <c r="I12" s="16">
        <f t="shared" si="2"/>
        <v>-7.1558063737858058E-2</v>
      </c>
    </row>
    <row r="13" spans="1:9" ht="15.6">
      <c r="A13" s="42" t="str">
        <v>Ashland</v>
      </c>
      <c r="B13" s="10" t="str">
        <v>MA</v>
      </c>
      <c r="C13" s="11">
        <f>SUM(Apr!C13, May!C13, Jun!C13)</f>
        <v>957468</v>
      </c>
      <c r="D13" s="18">
        <f>SUM(Apr!D13, May!D13, Jun!D13)</f>
        <v>995983.60000000009</v>
      </c>
      <c r="E13" s="18">
        <f t="shared" si="0"/>
        <v>-38515.600000000093</v>
      </c>
      <c r="F13" s="19">
        <f t="shared" si="1"/>
        <v>-3.8670917874551437E-2</v>
      </c>
      <c r="G13" s="50">
        <f>SUM(Apr!G13,May!G13,Jun!G13)</f>
        <v>1145089.9000000001</v>
      </c>
      <c r="H13" s="20">
        <f>SUM(Apr!H13, May!H13, Jun!H13)</f>
        <v>-187621.90000000002</v>
      </c>
      <c r="I13" s="19">
        <f t="shared" si="2"/>
        <v>-0.16384905674218242</v>
      </c>
    </row>
    <row r="14" spans="1:9" ht="15.6">
      <c r="A14" s="41" t="str">
        <v>Barrington</v>
      </c>
      <c r="B14" s="9" t="str">
        <v>MA</v>
      </c>
      <c r="C14" s="24">
        <f>SUM(Apr!C14, May!C14, Jun!C14)</f>
        <v>214385</v>
      </c>
      <c r="D14" s="13">
        <f>SUM(Apr!D14, May!D14, Jun!D14)</f>
        <v>115602.33</v>
      </c>
      <c r="E14" s="13">
        <f t="shared" si="0"/>
        <v>98782.67</v>
      </c>
      <c r="F14" s="14">
        <f t="shared" si="1"/>
        <v>0.85450414364485561</v>
      </c>
      <c r="G14" s="15">
        <f>SUM(Apr!G14,May!G14,Jun!G14)</f>
        <v>248210</v>
      </c>
      <c r="H14" s="15">
        <f>SUM(Apr!H14, May!H14, Jun!H14)</f>
        <v>-33825</v>
      </c>
      <c r="I14" s="16">
        <f t="shared" si="2"/>
        <v>-0.13627573425728215</v>
      </c>
    </row>
    <row r="15" spans="1:9" ht="15.6">
      <c r="A15" s="42" t="str">
        <v>Bedford - 205 Burlington Rd</v>
      </c>
      <c r="B15" s="10" t="str">
        <v>MA</v>
      </c>
      <c r="C15" s="11">
        <f>SUM(Apr!C15, May!C15, Jun!C15)</f>
        <v>122934</v>
      </c>
      <c r="D15" s="18">
        <f>SUM(Apr!D15, May!D15, Jun!D15)</f>
        <v>0</v>
      </c>
      <c r="E15" s="18">
        <f t="shared" si="0"/>
        <v>122934</v>
      </c>
      <c r="F15" s="19" t="str">
        <f t="shared" si="1"/>
        <v/>
      </c>
      <c r="G15" s="50">
        <f>SUM(Apr!G15,May!G15,Jun!G15)</f>
        <v>0</v>
      </c>
      <c r="H15" s="20">
        <f>SUM(Apr!H15, May!H15, Jun!H15)</f>
        <v>0</v>
      </c>
      <c r="I15" s="19" t="str">
        <f t="shared" si="2"/>
        <v/>
      </c>
    </row>
    <row r="16" spans="1:9" ht="15.6">
      <c r="A16" s="41" t="str">
        <v>Billerica - 6 Cook Street</v>
      </c>
      <c r="B16" s="9" t="str">
        <v>MA</v>
      </c>
      <c r="C16" s="24">
        <f>SUM(Apr!C16, May!C16, Jun!C16)</f>
        <v>113063</v>
      </c>
      <c r="D16" s="13">
        <f>SUM(Apr!D16, May!D16, Jun!D16)</f>
        <v>0</v>
      </c>
      <c r="E16" s="13">
        <f t="shared" ref="E16:E18" si="3">IF(AND(ISNUMBER(C16),ISNUMBER(D16)), C16-D16, "")</f>
        <v>113063</v>
      </c>
      <c r="F16" s="14" t="str">
        <f t="shared" ref="F16:F18" si="4">IFERROR(E16/D16, "")</f>
        <v/>
      </c>
      <c r="G16" s="15">
        <f>SUM(Apr!G16,May!G16,Jun!G16)</f>
        <v>0</v>
      </c>
      <c r="H16" s="15">
        <f>SUM(Apr!H16, May!H16, Jun!H16)</f>
        <v>0</v>
      </c>
      <c r="I16" s="16" t="str">
        <f t="shared" ref="I16:I18" si="5">IFERROR(H16/G16, "")</f>
        <v/>
      </c>
    </row>
    <row r="17" spans="1:9" ht="15.6">
      <c r="A17" s="42" t="str">
        <v>Billerica - 780 Boston Road</v>
      </c>
      <c r="B17" s="10" t="str">
        <v>MA</v>
      </c>
      <c r="C17" s="11">
        <f>SUM(Apr!C17, May!C17, Jun!C17)</f>
        <v>128576</v>
      </c>
      <c r="D17" s="18">
        <f>SUM(Apr!D17, May!D17, Jun!D17)</f>
        <v>0</v>
      </c>
      <c r="E17" s="18">
        <f t="shared" si="3"/>
        <v>128576</v>
      </c>
      <c r="F17" s="19" t="str">
        <f t="shared" si="4"/>
        <v/>
      </c>
      <c r="G17" s="50">
        <f>SUM(Apr!G17,May!G17,Jun!G17)</f>
        <v>0</v>
      </c>
      <c r="H17" s="20">
        <f>SUM(Apr!H17, May!H17, Jun!H17)</f>
        <v>0</v>
      </c>
      <c r="I17" s="19" t="str">
        <f t="shared" si="5"/>
        <v/>
      </c>
    </row>
    <row r="18" spans="1:9" ht="12.75" customHeight="1">
      <c r="A18" s="41" t="str">
        <v>Cheshire</v>
      </c>
      <c r="B18" s="9" t="str">
        <v>MA</v>
      </c>
      <c r="C18" s="24">
        <f>SUM(Apr!C18, May!C18, Jun!C18)</f>
        <v>217590.4611742422</v>
      </c>
      <c r="D18" s="13">
        <f>SUM(Apr!D18, May!D18, Jun!D18)</f>
        <v>223989.77000000002</v>
      </c>
      <c r="E18" s="13">
        <f t="shared" si="3"/>
        <v>-6399.3088257578202</v>
      </c>
      <c r="F18" s="14">
        <f t="shared" si="4"/>
        <v>-2.8569647737741861E-2</v>
      </c>
      <c r="G18" s="15">
        <f>SUM(Apr!G18,May!G18,Jun!G18)</f>
        <v>202311.65</v>
      </c>
      <c r="H18" s="15">
        <f>SUM(Apr!H18, May!H18, Jun!H18)</f>
        <v>15278.811174242197</v>
      </c>
      <c r="I18" s="16">
        <f t="shared" si="5"/>
        <v>7.5521163384521833E-2</v>
      </c>
    </row>
    <row r="19" spans="1:9" ht="15.6">
      <c r="A19" s="42" t="str">
        <v>Lilly Lane</v>
      </c>
      <c r="B19" s="10" t="str">
        <v>MA</v>
      </c>
      <c r="C19" s="11">
        <f>SUM(Apr!C19, May!C19, Jun!C19)</f>
        <v>490698.5</v>
      </c>
      <c r="D19" s="18">
        <f>SUM(Apr!D19, May!D19, Jun!D19)</f>
        <v>466177.7</v>
      </c>
      <c r="E19" s="18">
        <f t="shared" ref="E19:E34" si="6">IF(AND(ISNUMBER(C19),ISNUMBER(D19)), C19-D19, "")</f>
        <v>24520.799999999988</v>
      </c>
      <c r="F19" s="19">
        <f t="shared" ref="F19:F34" si="7">IFERROR(E19/D19, "")</f>
        <v>5.2599684626699193E-2</v>
      </c>
      <c r="G19" s="50">
        <f>SUM(Apr!G19,May!G19,Jun!G19)</f>
        <v>530125.9</v>
      </c>
      <c r="H19" s="20">
        <f>SUM(Apr!H19, May!H19, Jun!H19)</f>
        <v>-39427.399999999994</v>
      </c>
      <c r="I19" s="19">
        <f t="shared" ref="I19:I34" si="8">IFERROR(H19/G19, "")</f>
        <v>-7.437365350381861E-2</v>
      </c>
    </row>
    <row r="20" spans="1:9" ht="15.6">
      <c r="A20" s="41" t="str">
        <v>Monument Valley</v>
      </c>
      <c r="B20" s="9" t="str">
        <v>MA</v>
      </c>
      <c r="C20" s="51">
        <f>SUM(Apr!C20, May!C20, Jun!C20)</f>
        <v>977275.21500000008</v>
      </c>
      <c r="D20" s="13">
        <f>SUM(Apr!D20, May!D20, Jun!D20)</f>
        <v>181192.68</v>
      </c>
      <c r="E20" s="13">
        <f>IF(AND(ISNUMBER(C20),ISNUMBER(D20)), C20-D20, "")</f>
        <v>796082.53500000015</v>
      </c>
      <c r="F20" s="53">
        <f>IFERROR(E20/D20, "")</f>
        <v>4.393568962057409</v>
      </c>
      <c r="G20" s="15">
        <f>SUM(Apr!G20,May!G20,Jun!G20)</f>
        <v>0</v>
      </c>
      <c r="H20" s="49">
        <f>SUM(Apr!H20, May!H20, Jun!H20)</f>
        <v>664065.71000000101</v>
      </c>
      <c r="I20" s="54" t="str">
        <f>IFERROR(H20/G20, "")</f>
        <v/>
      </c>
    </row>
    <row r="21" spans="1:9" ht="15.6">
      <c r="A21" s="42" t="str">
        <v>Nationwide</v>
      </c>
      <c r="B21" s="10" t="str">
        <v>MA</v>
      </c>
      <c r="C21" s="11">
        <f>SUM(Apr!C21, May!C21, Jun!C21)</f>
        <v>1738166</v>
      </c>
      <c r="D21" s="18">
        <f>SUM(Apr!D21, May!D21, Jun!D21)</f>
        <v>1389197.4</v>
      </c>
      <c r="E21" s="18">
        <f>IF(AND(ISNUMBER(C21),ISNUMBER(D21)), C21-D21, "")</f>
        <v>348968.60000000009</v>
      </c>
      <c r="F21" s="19">
        <f>IFERROR(E21/D21, "")</f>
        <v>0.25120159309252965</v>
      </c>
      <c r="G21" s="50">
        <f>SUM(Apr!G21,May!G21,Jun!G21)</f>
        <v>1605958.6</v>
      </c>
      <c r="H21" s="20">
        <f>SUM(Apr!H21, May!H21, Jun!H21)</f>
        <v>132207.40000000002</v>
      </c>
      <c r="I21" s="19">
        <f>IFERROR(H21/G21, "")</f>
        <v>8.2323043694899747E-2</v>
      </c>
    </row>
    <row r="22" spans="1:9" ht="15.6">
      <c r="A22" s="41" t="str">
        <v>Pulpit Hill</v>
      </c>
      <c r="B22" s="9" t="str">
        <v>MA</v>
      </c>
      <c r="C22" s="51">
        <f>SUM(Apr!C22, May!C22, Jun!C22)</f>
        <v>2205243.25</v>
      </c>
      <c r="D22" s="13">
        <f>SUM(Apr!D22, May!D22, Jun!D22)</f>
        <v>2088898.3000000003</v>
      </c>
      <c r="E22" s="13">
        <f>IF(AND(ISNUMBER(C22),ISNUMBER(D22)), C22-D22, "")</f>
        <v>116344.94999999972</v>
      </c>
      <c r="F22" s="53">
        <f>IFERROR(E22/D22, "")</f>
        <v>5.5696799600056981E-2</v>
      </c>
      <c r="G22" s="15">
        <f>SUM(Apr!G22,May!G22,Jun!G22)</f>
        <v>2264471.1</v>
      </c>
      <c r="H22" s="49">
        <f>SUM(Apr!H22, May!H22, Jun!H22)</f>
        <v>-59227.849999999977</v>
      </c>
      <c r="I22" s="54">
        <f>IFERROR(H22/G22, "")</f>
        <v>-2.615526866295621E-2</v>
      </c>
    </row>
    <row r="23" spans="1:9" ht="15.6">
      <c r="A23" s="42" t="str">
        <v>Sandwich</v>
      </c>
      <c r="B23" s="10" t="str">
        <v>MA</v>
      </c>
      <c r="C23" s="11">
        <f>SUM(Apr!C23, May!C23, Jun!C23)</f>
        <v>1277538</v>
      </c>
      <c r="D23" s="18">
        <f>SUM(Apr!D23, May!D23, Jun!D23)</f>
        <v>0</v>
      </c>
      <c r="E23" s="18">
        <f>IF(AND(ISNUMBER(C23),ISNUMBER(D23)), C23-D23, "")</f>
        <v>1277538</v>
      </c>
      <c r="F23" s="19" t="str">
        <f>IFERROR(E23/D23, "")</f>
        <v/>
      </c>
      <c r="G23" s="50">
        <f>SUM(Apr!G23,May!G23,Jun!G23)</f>
        <v>1699406</v>
      </c>
      <c r="H23" s="20">
        <f>SUM(Apr!H23, May!H23, Jun!H23)</f>
        <v>-421868</v>
      </c>
      <c r="I23" s="19">
        <f>IFERROR(H23/G23, "")</f>
        <v>-0.24824438656801259</v>
      </c>
    </row>
    <row r="24" spans="1:9" ht="15.6">
      <c r="A24" s="41" t="str">
        <v>Sturbridge Barn</v>
      </c>
      <c r="B24" s="9" t="str">
        <v>MA</v>
      </c>
      <c r="C24" s="24">
        <f>SUM(Apr!C24, May!C24, Jun!C24)</f>
        <v>497702</v>
      </c>
      <c r="D24" s="13">
        <f>SUM(Apr!D24, May!D24, Jun!D24)</f>
        <v>489727.6</v>
      </c>
      <c r="E24" s="13">
        <f t="shared" si="6"/>
        <v>7974.4000000000233</v>
      </c>
      <c r="F24" s="14">
        <f t="shared" si="7"/>
        <v>1.6283337920917719E-2</v>
      </c>
      <c r="G24" s="15">
        <f>SUM(Apr!G24,May!G24,Jun!G24)</f>
        <v>572486.30000000005</v>
      </c>
      <c r="H24" s="15">
        <f>SUM(Apr!H24, May!H24, Jun!H24)</f>
        <v>-74784.300000000017</v>
      </c>
      <c r="I24" s="16">
        <f t="shared" si="8"/>
        <v>-0.13063072426361996</v>
      </c>
    </row>
    <row r="25" spans="1:9" ht="15.6">
      <c r="A25" s="42" t="str">
        <v>Sturbridge Garage</v>
      </c>
      <c r="B25" s="10" t="str">
        <v>MA</v>
      </c>
      <c r="C25" s="11">
        <f>SUM(Apr!C25, May!C25, Jun!C25)</f>
        <v>245158.75</v>
      </c>
      <c r="D25" s="18">
        <f>SUM(Apr!D25, May!D25, Jun!D25)</f>
        <v>233090.91999999998</v>
      </c>
      <c r="E25" s="18">
        <f t="shared" si="6"/>
        <v>12067.830000000016</v>
      </c>
      <c r="F25" s="19">
        <f t="shared" si="7"/>
        <v>5.1773059199388877E-2</v>
      </c>
      <c r="G25" s="50">
        <f>SUM(Apr!G25,May!G25,Jun!G25)</f>
        <v>261868.52</v>
      </c>
      <c r="H25" s="20">
        <f>SUM(Apr!H25, May!H25, Jun!H25)</f>
        <v>-16709.770000000004</v>
      </c>
      <c r="I25" s="19">
        <f t="shared" si="8"/>
        <v>-6.3809769879938236E-2</v>
      </c>
    </row>
    <row r="26" spans="1:9" ht="15.6">
      <c r="A26" s="41" t="str">
        <v>Halsey Valley</v>
      </c>
      <c r="B26" s="9" t="str">
        <v>NY</v>
      </c>
      <c r="C26" s="24">
        <f>SUM(Apr!C26, May!C26, Jun!C26)</f>
        <v>2370262</v>
      </c>
      <c r="D26" s="13">
        <f>SUM(Apr!D26, May!D26, Jun!D26)</f>
        <v>2383502.7999999998</v>
      </c>
      <c r="E26" s="13">
        <f t="shared" si="6"/>
        <v>-13240.799999999814</v>
      </c>
      <c r="F26" s="14">
        <f t="shared" si="7"/>
        <v>-5.555185418703857E-3</v>
      </c>
      <c r="G26" s="15">
        <f>SUM(Apr!G26,May!G26,Jun!G26)</f>
        <v>2876000</v>
      </c>
      <c r="H26" s="15">
        <f>SUM(Apr!H26, May!H26, Jun!H26)</f>
        <v>-505738</v>
      </c>
      <c r="I26" s="16">
        <f t="shared" si="8"/>
        <v>-0.17584770514603615</v>
      </c>
    </row>
    <row r="27" spans="1:9" ht="15.6">
      <c r="A27" s="42" t="str">
        <v>Hunt Creek</v>
      </c>
      <c r="B27" s="10" t="str">
        <v>NY</v>
      </c>
      <c r="C27" s="11">
        <f>SUM(Apr!C27, May!C27, Jun!C27)</f>
        <v>1699800</v>
      </c>
      <c r="D27" s="18">
        <f>SUM(Apr!D27, May!D27, Jun!D27)</f>
        <v>1747439.1</v>
      </c>
      <c r="E27" s="18">
        <f t="shared" si="6"/>
        <v>-47639.100000000093</v>
      </c>
      <c r="F27" s="19">
        <f t="shared" si="7"/>
        <v>-2.7262237636779495E-2</v>
      </c>
      <c r="G27" s="50">
        <f>SUM(Apr!G27,May!G27,Jun!G27)</f>
        <v>2078200</v>
      </c>
      <c r="H27" s="20">
        <f>SUM(Apr!H27, May!H27, Jun!H27)</f>
        <v>-378400</v>
      </c>
      <c r="I27" s="19">
        <f t="shared" si="8"/>
        <v>-0.18208064671350208</v>
      </c>
    </row>
    <row r="28" spans="1:9" ht="15.6">
      <c r="A28" s="41" t="str">
        <v>Smith Creek</v>
      </c>
      <c r="B28" s="9" t="str">
        <v>NY</v>
      </c>
      <c r="C28" s="24">
        <f>SUM(Apr!C28, May!C28, Jun!C28)</f>
        <v>1865000</v>
      </c>
      <c r="D28" s="13">
        <f>SUM(Apr!D28, May!D28, Jun!D28)</f>
        <v>1919297.2999999998</v>
      </c>
      <c r="E28" s="13">
        <f t="shared" si="6"/>
        <v>-54297.299999999814</v>
      </c>
      <c r="F28" s="14">
        <f t="shared" si="7"/>
        <v>-2.8290197667656711E-2</v>
      </c>
      <c r="G28" s="15">
        <f>SUM(Apr!G28,May!G28,Jun!G28)</f>
        <v>2163657.5</v>
      </c>
      <c r="H28" s="15">
        <f>SUM(Apr!H28, May!H28, Jun!H28)</f>
        <v>-298657.5</v>
      </c>
      <c r="I28" s="16">
        <f t="shared" si="8"/>
        <v>-0.13803363055381918</v>
      </c>
    </row>
    <row r="29" spans="1:9" ht="15.6">
      <c r="A29" s="42" t="str">
        <v>Bradford - 256 Presidential Dr</v>
      </c>
      <c r="B29" s="10" t="str">
        <v>MA</v>
      </c>
      <c r="C29" s="11">
        <f>SUM(Apr!C29, May!C29, Jun!C29)</f>
        <v>1901613.5980000002</v>
      </c>
      <c r="D29" s="18">
        <f>SUM(Apr!D29, May!D29, Jun!D29)</f>
        <v>0</v>
      </c>
      <c r="E29" s="18">
        <f t="shared" si="6"/>
        <v>1901613.5980000002</v>
      </c>
      <c r="F29" s="19" t="str">
        <f t="shared" si="7"/>
        <v/>
      </c>
      <c r="G29" s="50">
        <f>SUM(Apr!G29,May!G29,Jun!G29)</f>
        <v>0</v>
      </c>
      <c r="H29" s="20">
        <f>SUM(Apr!H29, May!H29, Jun!H29)</f>
        <v>0</v>
      </c>
      <c r="I29" s="19" t="str">
        <f t="shared" si="8"/>
        <v/>
      </c>
    </row>
    <row r="30" spans="1:9" ht="15.6">
      <c r="A30" s="41" t="str">
        <v>Charlton – 111 Brookfield Road - Bus Lot</v>
      </c>
      <c r="B30" s="9" t="str">
        <v>MA</v>
      </c>
      <c r="C30" s="24">
        <f>SUM(Apr!C30, May!C30, Jun!C30)</f>
        <v>247064.15600000002</v>
      </c>
      <c r="D30" s="13">
        <f>SUM(Apr!D30, May!D30, Jun!D30)</f>
        <v>0</v>
      </c>
      <c r="E30" s="13">
        <f t="shared" si="6"/>
        <v>247064.15600000002</v>
      </c>
      <c r="F30" s="14" t="str">
        <f t="shared" si="7"/>
        <v/>
      </c>
      <c r="G30" s="15">
        <f>SUM(Apr!G30,May!G30,Jun!G30)</f>
        <v>0</v>
      </c>
      <c r="H30" s="15">
        <f>SUM(Apr!H30, May!H30, Jun!H30)</f>
        <v>0</v>
      </c>
      <c r="I30" s="16" t="str">
        <f t="shared" si="8"/>
        <v/>
      </c>
    </row>
    <row r="31" spans="1:9" ht="15.6">
      <c r="A31" s="42" t="str">
        <v>Charlton – 154 Center Depot Road KMARD</v>
      </c>
      <c r="B31" s="10" t="str">
        <v>MA</v>
      </c>
      <c r="C31" s="11">
        <f>SUM(Apr!C31, May!C31, Jun!C31)</f>
        <v>214213.97200000001</v>
      </c>
      <c r="D31" s="18">
        <f>SUM(Apr!D31, May!D31, Jun!D31)</f>
        <v>0</v>
      </c>
      <c r="E31" s="18">
        <f t="shared" si="6"/>
        <v>214213.97200000001</v>
      </c>
      <c r="F31" s="19" t="str">
        <f t="shared" si="7"/>
        <v/>
      </c>
      <c r="G31" s="50">
        <f>SUM(Apr!G31,May!G31,Jun!G31)</f>
        <v>0</v>
      </c>
      <c r="H31" s="20">
        <f>SUM(Apr!H31, May!H31, Jun!H31)</f>
        <v>0</v>
      </c>
      <c r="I31" s="19" t="str">
        <f t="shared" si="8"/>
        <v/>
      </c>
    </row>
    <row r="32" spans="1:9" ht="15.6">
      <c r="A32" s="41" t="str">
        <v>Charlton – 142A Brookfield Rd (Mitchell)</v>
      </c>
      <c r="B32" s="9" t="str">
        <v>MA</v>
      </c>
      <c r="C32" s="24">
        <f>SUM(Apr!C32, May!C32, Jun!C32)</f>
        <v>224275.94799999997</v>
      </c>
      <c r="D32" s="13">
        <f>SUM(Apr!D32, May!D32, Jun!D32)</f>
        <v>0</v>
      </c>
      <c r="E32" s="13">
        <f t="shared" si="6"/>
        <v>224275.94799999997</v>
      </c>
      <c r="F32" s="14" t="str">
        <f t="shared" si="7"/>
        <v/>
      </c>
      <c r="G32" s="15">
        <f>SUM(Apr!G32,May!G32,Jun!G32)</f>
        <v>0</v>
      </c>
      <c r="H32" s="15">
        <f>SUM(Apr!H32, May!H32, Jun!H32)</f>
        <v>0</v>
      </c>
      <c r="I32" s="16" t="str">
        <f t="shared" si="8"/>
        <v/>
      </c>
    </row>
    <row r="33" spans="1:9" ht="15.6">
      <c r="A33" s="42" t="str">
        <v>Great Barrington – 3 Nolan  Drive</v>
      </c>
      <c r="B33" s="10" t="str">
        <v>MA</v>
      </c>
      <c r="C33" s="11">
        <f>SUM(Apr!C33, May!C33, Jun!C33)</f>
        <v>462106.09600000002</v>
      </c>
      <c r="D33" s="18">
        <f>SUM(Apr!D33, May!D33, Jun!D33)</f>
        <v>0</v>
      </c>
      <c r="E33" s="18">
        <f t="shared" si="6"/>
        <v>462106.09600000002</v>
      </c>
      <c r="F33" s="19" t="str">
        <f t="shared" si="7"/>
        <v/>
      </c>
      <c r="G33" s="50">
        <f>SUM(Apr!G33,May!G33,Jun!G33)</f>
        <v>0</v>
      </c>
      <c r="H33" s="20">
        <f>SUM(Apr!H33, May!H33, Jun!H33)</f>
        <v>0</v>
      </c>
      <c r="I33" s="19" t="str">
        <f t="shared" si="8"/>
        <v/>
      </c>
    </row>
    <row r="34" spans="1:9" ht="15.6">
      <c r="A34" s="41" t="str">
        <v>Stockbridge – 92 State Line Road Truck Stop</v>
      </c>
      <c r="B34" s="9" t="str">
        <v>MA</v>
      </c>
      <c r="C34" s="24">
        <f>SUM(Apr!C34, May!C34, Jun!C34)</f>
        <v>869102.19400000002</v>
      </c>
      <c r="D34" s="13">
        <f>SUM(Apr!D34, May!D34, Jun!D34)</f>
        <v>0</v>
      </c>
      <c r="E34" s="13">
        <f t="shared" si="6"/>
        <v>869102.19400000002</v>
      </c>
      <c r="F34" s="14" t="str">
        <f t="shared" si="7"/>
        <v/>
      </c>
      <c r="G34" s="15">
        <f>SUM(Apr!G34,May!G34,Jun!G34)</f>
        <v>0</v>
      </c>
      <c r="H34" s="15">
        <f>SUM(Apr!H34, May!H34, Jun!H34)</f>
        <v>0</v>
      </c>
      <c r="I34" s="16" t="str">
        <f t="shared" si="8"/>
        <v/>
      </c>
    </row>
    <row r="35" spans="1:9" ht="15.6">
      <c r="A35" s="42" t="str">
        <v>NY: New Windsor - Moores Hill</v>
      </c>
      <c r="B35" s="10" t="str">
        <v>NY</v>
      </c>
      <c r="C35" s="58">
        <f>SUM(Apr!C35, May!C35, Jun!C35)</f>
        <v>9317</v>
      </c>
      <c r="D35" s="18">
        <f>SUM(Apr!D35, May!D35, Jun!D35)</f>
        <v>87652</v>
      </c>
      <c r="E35" s="18">
        <f>IF(AND(ISNUMBER(C35),ISNUMBER(D35)), C35-D35, "")</f>
        <v>-78335</v>
      </c>
      <c r="F35" s="52">
        <f>IFERROR(E35/D35, "")</f>
        <v>-0.89370465020763934</v>
      </c>
      <c r="G35" s="50">
        <f>SUM(Apr!G35,May!G35,Jun!G35)</f>
        <v>100286</v>
      </c>
      <c r="H35" s="50">
        <f>SUM(Apr!H35, May!H35, Jun!H35)</f>
        <v>-90969</v>
      </c>
      <c r="I35" s="52">
        <f>IFERROR(H35/G35, "")</f>
        <v>-0.9070957062800391</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3" activePane="bottomRight" state="frozen"/>
      <selection pane="bottomRight" activeCell="E46" sqref="E46"/>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2" t="str" cm="1">
        <f t="array" ref="A1">portfolio</f>
        <v>Lodestar</v>
      </c>
      <c r="B1" s="112"/>
      <c r="C1" s="112"/>
      <c r="D1" s="113" t="s">
        <v>14</v>
      </c>
      <c r="E1" s="113"/>
      <c r="F1" s="113"/>
      <c r="G1" s="111" t="s">
        <v>15</v>
      </c>
      <c r="H1" s="111"/>
      <c r="I1" s="111"/>
    </row>
    <row r="2" spans="1:9" ht="19.5" customHeight="1">
      <c r="A2" s="114" t="s">
        <v>2</v>
      </c>
      <c r="B2" s="114"/>
      <c r="C2" s="5">
        <f>SUM(C4:C103)</f>
        <v>32593211.626643401</v>
      </c>
      <c r="D2" s="5">
        <f>SUM(D4:D103)</f>
        <v>25572025.099999998</v>
      </c>
      <c r="E2" s="5">
        <f>C2-D2</f>
        <v>7021186.5266434029</v>
      </c>
      <c r="F2" s="6">
        <f>IFERROR(E2/D2, 0)</f>
        <v>0.27456513511100078</v>
      </c>
      <c r="G2" s="5">
        <f>SUM(G4:G103)</f>
        <v>30659277.170000002</v>
      </c>
      <c r="H2" s="7">
        <f>C2-G2</f>
        <v>1933934.4566433989</v>
      </c>
      <c r="I2" s="6">
        <f>IFERROR(H2/G2, 0)</f>
        <v>6.3078279566739004E-2</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SUM(Jul!C4, Aug!C4, Sep!C4)</f>
        <v>543160</v>
      </c>
      <c r="D4" s="13">
        <f>SUM(Jul!D4, Aug!D4, Sep!D4)</f>
        <v>589062</v>
      </c>
      <c r="E4" s="13">
        <f>IF(AND(ISNUMBER(C4),ISNUMBER(D4)), C4-D4, "")</f>
        <v>-45902</v>
      </c>
      <c r="F4" s="14">
        <f>IFERROR(E4/D4, "")</f>
        <v>-7.792388577093752E-2</v>
      </c>
      <c r="G4" s="15">
        <f xml:space="preserve"> SUM(Jul!G4,Aug!G4,Sep!G4)</f>
        <v>547057.69999999995</v>
      </c>
      <c r="H4" s="15">
        <f>SUM(Jul!H4, Aug!H4, Sep!H4)</f>
        <v>-3897.7000000000116</v>
      </c>
      <c r="I4" s="16">
        <f>IFERROR(H4/G4, "")</f>
        <v>-7.1248425897305016E-3</v>
      </c>
    </row>
    <row r="5" spans="1:9" ht="15.6">
      <c r="A5" s="42" t="str">
        <v>Bunce</v>
      </c>
      <c r="B5" s="10" t="str">
        <v>CT</v>
      </c>
      <c r="C5" s="11">
        <f>SUM(Jul!C5, Aug!C5, Sep!C5)</f>
        <v>1103132.5</v>
      </c>
      <c r="D5" s="18">
        <f>SUM(Jul!D5, Aug!D5, Sep!D5)</f>
        <v>677103.3</v>
      </c>
      <c r="E5" s="18">
        <f t="shared" ref="E5:E15" si="0">IF(AND(ISNUMBER(C5),ISNUMBER(D5)), C5-D5, "")</f>
        <v>426029.19999999995</v>
      </c>
      <c r="F5" s="19">
        <f>IFERROR(E5/D5, "")</f>
        <v>0.62919380248183687</v>
      </c>
      <c r="G5" s="18">
        <f xml:space="preserve"> SUM(Jul!G5,Aug!G5,Sep!G5)</f>
        <v>0</v>
      </c>
      <c r="H5" s="20">
        <f>SUM(Jul!H5, Aug!H5, Sep!H5)</f>
        <v>1103132.5</v>
      </c>
      <c r="I5" s="19" t="str">
        <f>IFERROR(H5/G5, "")</f>
        <v/>
      </c>
    </row>
    <row r="6" spans="1:9" ht="15.6">
      <c r="A6" s="41" t="str">
        <v>Norcap North</v>
      </c>
      <c r="B6" s="9" t="str">
        <v>CT</v>
      </c>
      <c r="C6" s="24">
        <f>SUM(Jul!C6, Aug!C6, Sep!C6)</f>
        <v>1106369</v>
      </c>
      <c r="D6" s="13">
        <f>SUM(Jul!D6, Aug!D6, Sep!D6)</f>
        <v>1103002</v>
      </c>
      <c r="E6" s="13">
        <f t="shared" si="0"/>
        <v>3367</v>
      </c>
      <c r="F6" s="14">
        <f t="shared" ref="F6:F15" si="1">IFERROR(E6/D6, "")</f>
        <v>3.0525783271471854E-3</v>
      </c>
      <c r="G6" s="15">
        <f xml:space="preserve"> SUM(Jul!G6,Aug!G6,Sep!G6)</f>
        <v>1059127.5</v>
      </c>
      <c r="H6" s="15">
        <f>SUM(Jul!H6, Aug!H6, Sep!H6)</f>
        <v>47241.5</v>
      </c>
      <c r="I6" s="16">
        <f t="shared" ref="I6:I15" si="2">IFERROR(H6/G6, "")</f>
        <v>4.4604167109247944E-2</v>
      </c>
    </row>
    <row r="7" spans="1:9" ht="15.6">
      <c r="A7" s="42" t="str">
        <v>Norcap South</v>
      </c>
      <c r="B7" s="10" t="str">
        <v>CT</v>
      </c>
      <c r="C7" s="11">
        <f>SUM(Jul!C7, Aug!C7, Sep!C7)</f>
        <v>1180807</v>
      </c>
      <c r="D7" s="18">
        <f>SUM(Jul!D7, Aug!D7, Sep!D7)</f>
        <v>1164374.3</v>
      </c>
      <c r="E7" s="18">
        <f t="shared" si="0"/>
        <v>16432.699999999953</v>
      </c>
      <c r="F7" s="19">
        <f t="shared" si="1"/>
        <v>1.4112901667444869E-2</v>
      </c>
      <c r="G7" s="18">
        <f xml:space="preserve"> SUM(Jul!G7,Aug!G7,Sep!G7)</f>
        <v>1039012.9000000001</v>
      </c>
      <c r="H7" s="20">
        <f>SUM(Jul!H7, Aug!H7, Sep!H7)</f>
        <v>141794.09999999998</v>
      </c>
      <c r="I7" s="19">
        <f t="shared" si="2"/>
        <v>0.13647000917890428</v>
      </c>
    </row>
    <row r="8" spans="1:9" ht="15.6">
      <c r="A8" s="41" t="str">
        <v>Platt Hill</v>
      </c>
      <c r="B8" s="9" t="str">
        <v>CT</v>
      </c>
      <c r="C8" s="24">
        <f>SUM(Jul!C8, Aug!C8, Sep!C8)</f>
        <v>1207796</v>
      </c>
      <c r="D8" s="13">
        <f>SUM(Jul!D8, Aug!D8, Sep!D8)</f>
        <v>1266820.3999999999</v>
      </c>
      <c r="E8" s="13">
        <f t="shared" si="0"/>
        <v>-59024.399999999907</v>
      </c>
      <c r="F8" s="14">
        <f t="shared" si="1"/>
        <v>-4.6592555661402288E-2</v>
      </c>
      <c r="G8" s="15">
        <f xml:space="preserve"> SUM(Jul!G8,Aug!G8,Sep!G8)</f>
        <v>1235926.8999999999</v>
      </c>
      <c r="H8" s="15">
        <f>SUM(Jul!H8, Aug!H8, Sep!H8)</f>
        <v>-28130.900000000023</v>
      </c>
      <c r="I8" s="16">
        <f t="shared" si="2"/>
        <v>-2.2760973970224311E-2</v>
      </c>
    </row>
    <row r="9" spans="1:9" ht="15.6">
      <c r="A9" s="42" t="str">
        <v>Powder Hill</v>
      </c>
      <c r="B9" s="10" t="str">
        <v>CT</v>
      </c>
      <c r="C9" s="11">
        <f>SUM(Jul!C9, Aug!C9, Sep!C9)</f>
        <v>1102702</v>
      </c>
      <c r="D9" s="18">
        <f>SUM(Jul!D9, Aug!D9, Sep!D9)</f>
        <v>1122677.5</v>
      </c>
      <c r="E9" s="18">
        <f t="shared" si="0"/>
        <v>-19975.5</v>
      </c>
      <c r="F9" s="19">
        <f t="shared" si="1"/>
        <v>-1.779273210694968E-2</v>
      </c>
      <c r="G9" s="18">
        <f xml:space="preserve"> SUM(Jul!G9,Aug!G9,Sep!G9)</f>
        <v>837084</v>
      </c>
      <c r="H9" s="20">
        <f>SUM(Jul!H9, Aug!H9, Sep!H9)</f>
        <v>265618</v>
      </c>
      <c r="I9" s="19">
        <f t="shared" si="2"/>
        <v>0.3173134356886525</v>
      </c>
    </row>
    <row r="10" spans="1:9" ht="15.6">
      <c r="A10" s="41" t="str">
        <v>Sand Road</v>
      </c>
      <c r="B10" s="9" t="str">
        <v>CT</v>
      </c>
      <c r="C10" s="24">
        <f>SUM(Jul!C10, Aug!C10, Sep!C10)</f>
        <v>1190384</v>
      </c>
      <c r="D10" s="13">
        <f>SUM(Jul!D10, Aug!D10, Sep!D10)</f>
        <v>1054242.6000000001</v>
      </c>
      <c r="E10" s="13">
        <f t="shared" si="0"/>
        <v>136141.39999999991</v>
      </c>
      <c r="F10" s="14">
        <f t="shared" si="1"/>
        <v>0.12913669016979573</v>
      </c>
      <c r="G10" s="15">
        <f xml:space="preserve"> SUM(Jul!G10,Aug!G10,Sep!G10)</f>
        <v>972780</v>
      </c>
      <c r="H10" s="15">
        <f>SUM(Jul!H10, Aug!H10, Sep!H10)</f>
        <v>217604</v>
      </c>
      <c r="I10" s="16">
        <f t="shared" si="2"/>
        <v>0.22369292131828369</v>
      </c>
    </row>
    <row r="11" spans="1:9" ht="15.6">
      <c r="A11" s="42" t="str">
        <v>Suffield</v>
      </c>
      <c r="B11" s="10" t="str">
        <v>CT</v>
      </c>
      <c r="C11" s="11">
        <f>SUM(Jul!C11, Aug!C11, Sep!C11)</f>
        <v>1139403</v>
      </c>
      <c r="D11" s="18">
        <f>SUM(Jul!D11, Aug!D11, Sep!D11)</f>
        <v>1104676.1000000001</v>
      </c>
      <c r="E11" s="18">
        <f t="shared" si="0"/>
        <v>34726.899999999907</v>
      </c>
      <c r="F11" s="19">
        <f t="shared" si="1"/>
        <v>3.1436273492293262E-2</v>
      </c>
      <c r="G11" s="18">
        <f xml:space="preserve"> SUM(Jul!G11,Aug!G11,Sep!G11)</f>
        <v>1067560.1000000001</v>
      </c>
      <c r="H11" s="20">
        <f>SUM(Jul!H11, Aug!H11, Sep!H11)</f>
        <v>71842.900000000023</v>
      </c>
      <c r="I11" s="19">
        <f t="shared" si="2"/>
        <v>6.7296351746379449E-2</v>
      </c>
    </row>
    <row r="12" spans="1:9" ht="15.6">
      <c r="A12" s="41" t="str">
        <v>Ashby-Duffy</v>
      </c>
      <c r="B12" s="9" t="str">
        <v>MA</v>
      </c>
      <c r="C12" s="24">
        <f>SUM(Jul!C12, Aug!C12, Sep!C12)</f>
        <v>1041735</v>
      </c>
      <c r="D12" s="13">
        <f>SUM(Jul!D12, Aug!D12, Sep!D12)</f>
        <v>1131681.3999999999</v>
      </c>
      <c r="E12" s="13">
        <f t="shared" si="0"/>
        <v>-89946.399999999907</v>
      </c>
      <c r="F12" s="14">
        <f t="shared" si="1"/>
        <v>-7.9480320167849283E-2</v>
      </c>
      <c r="G12" s="15">
        <f xml:space="preserve"> SUM(Jul!G12,Aug!G12,Sep!G12)</f>
        <v>1016084.4</v>
      </c>
      <c r="H12" s="15">
        <f>SUM(Jul!H12, Aug!H12, Sep!H12)</f>
        <v>25650.599999999977</v>
      </c>
      <c r="I12" s="16">
        <f t="shared" si="2"/>
        <v>2.5244556456136887E-2</v>
      </c>
    </row>
    <row r="13" spans="1:9" ht="15.6">
      <c r="A13" s="42" t="str">
        <v>Ashland</v>
      </c>
      <c r="B13" s="10" t="str">
        <v>MA</v>
      </c>
      <c r="C13" s="11">
        <f>SUM(Jul!C13, Aug!C13, Sep!C13)</f>
        <v>1079434</v>
      </c>
      <c r="D13" s="18">
        <f>SUM(Jul!D13, Aug!D13, Sep!D13)</f>
        <v>1132409.3999999999</v>
      </c>
      <c r="E13" s="18">
        <f t="shared" si="0"/>
        <v>-52975.399999999907</v>
      </c>
      <c r="F13" s="19">
        <f t="shared" si="1"/>
        <v>-4.6781137634498537E-2</v>
      </c>
      <c r="G13" s="18">
        <f xml:space="preserve"> SUM(Jul!G13,Aug!G13,Sep!G13)</f>
        <v>1121788.5</v>
      </c>
      <c r="H13" s="20">
        <f>SUM(Jul!H13, Aug!H13, Sep!H13)</f>
        <v>-42354.5</v>
      </c>
      <c r="I13" s="19">
        <f t="shared" si="2"/>
        <v>-3.7756225883934451E-2</v>
      </c>
    </row>
    <row r="14" spans="1:9" ht="15.6">
      <c r="A14" s="41" t="str">
        <v>Barrington</v>
      </c>
      <c r="B14" s="9" t="str">
        <v>MA</v>
      </c>
      <c r="C14" s="24">
        <f>SUM(Jul!C14, Aug!C14, Sep!C14)</f>
        <v>239175.5</v>
      </c>
      <c r="D14" s="13">
        <f>SUM(Jul!D14, Aug!D14, Sep!D14)</f>
        <v>204493.41</v>
      </c>
      <c r="E14" s="13">
        <f t="shared" si="0"/>
        <v>34682.089999999997</v>
      </c>
      <c r="F14" s="14">
        <f t="shared" si="1"/>
        <v>0.16960003747798033</v>
      </c>
      <c r="G14" s="15">
        <f xml:space="preserve"> SUM(Jul!G14,Aug!G14,Sep!G14)</f>
        <v>253900</v>
      </c>
      <c r="H14" s="15">
        <f>SUM(Jul!H14, Aug!H14, Sep!H14)</f>
        <v>-14724.5</v>
      </c>
      <c r="I14" s="16">
        <f t="shared" si="2"/>
        <v>-5.799330445057109E-2</v>
      </c>
    </row>
    <row r="15" spans="1:9" ht="15.6">
      <c r="A15" s="42" t="str">
        <v>Bedford - 205 Burlington Rd</v>
      </c>
      <c r="B15" s="10" t="str">
        <v>MA</v>
      </c>
      <c r="C15" s="11">
        <f>SUM(Jul!C15, Aug!C15, Sep!C15)</f>
        <v>115055</v>
      </c>
      <c r="D15" s="18">
        <f>SUM(Jul!D15, Aug!D15, Sep!D15)</f>
        <v>0</v>
      </c>
      <c r="E15" s="18">
        <f t="shared" si="0"/>
        <v>115055</v>
      </c>
      <c r="F15" s="19" t="str">
        <f t="shared" si="1"/>
        <v/>
      </c>
      <c r="G15" s="18">
        <f xml:space="preserve"> SUM(Jul!G15,Aug!G15,Sep!G15)</f>
        <v>0</v>
      </c>
      <c r="H15" s="20">
        <f>SUM(Jul!H15, Aug!H15, Sep!H15)</f>
        <v>0</v>
      </c>
      <c r="I15" s="19" t="str">
        <f t="shared" si="2"/>
        <v/>
      </c>
    </row>
    <row r="16" spans="1:9" ht="15.6">
      <c r="A16" s="41" t="str">
        <v>Billerica - 6 Cook Street</v>
      </c>
      <c r="B16" s="9" t="str">
        <v>MA</v>
      </c>
      <c r="C16" s="24">
        <f>SUM(Jul!C16, Aug!C16, Sep!C16)</f>
        <v>121578</v>
      </c>
      <c r="D16" s="13">
        <f>SUM(Jul!D16, Aug!D16, Sep!D16)</f>
        <v>0</v>
      </c>
      <c r="E16" s="13">
        <f t="shared" ref="E16:E22" si="3">IF(AND(ISNUMBER(C16),ISNUMBER(D16)), C16-D16, "")</f>
        <v>121578</v>
      </c>
      <c r="F16" s="14" t="str">
        <f t="shared" ref="F16:F23" si="4">IFERROR(E16/D16, "")</f>
        <v/>
      </c>
      <c r="G16" s="15">
        <f xml:space="preserve"> SUM(Jul!G16,Aug!G16,Sep!G16)</f>
        <v>0</v>
      </c>
      <c r="H16" s="15">
        <f>SUM(Jul!H16, Aug!H16, Sep!H16)</f>
        <v>0</v>
      </c>
      <c r="I16" s="16" t="str">
        <f t="shared" ref="I16:I23" si="5">IFERROR(H16/G16, "")</f>
        <v/>
      </c>
    </row>
    <row r="17" spans="1:9" ht="15.6">
      <c r="A17" s="42" t="str">
        <v>Billerica - 780 Boston Road</v>
      </c>
      <c r="B17" s="10" t="str">
        <v>MA</v>
      </c>
      <c r="C17" s="11">
        <f>SUM(Jul!C17, Aug!C17, Sep!C17)</f>
        <v>132427</v>
      </c>
      <c r="D17" s="18">
        <f>SUM(Jul!D17, Aug!D17, Sep!D17)</f>
        <v>0</v>
      </c>
      <c r="E17" s="18">
        <f t="shared" si="3"/>
        <v>132427</v>
      </c>
      <c r="F17" s="19" t="str">
        <f t="shared" si="4"/>
        <v/>
      </c>
      <c r="G17" s="18">
        <f xml:space="preserve"> SUM(Jul!G17,Aug!G17,Sep!G17)</f>
        <v>0</v>
      </c>
      <c r="H17" s="20">
        <f>SUM(Jul!H17, Aug!H17, Sep!H17)</f>
        <v>0</v>
      </c>
      <c r="I17" s="19" t="str">
        <f t="shared" si="5"/>
        <v/>
      </c>
    </row>
    <row r="18" spans="1:9" ht="12.75" customHeight="1">
      <c r="A18" s="41" t="str">
        <v>Cheshire</v>
      </c>
      <c r="B18" s="9" t="str">
        <v>MA</v>
      </c>
      <c r="C18" s="24">
        <f>SUM(Jul!C18, Aug!C18, Sep!C18)</f>
        <v>252179.1202651514</v>
      </c>
      <c r="D18" s="13">
        <f>SUM(Jul!D18, Aug!D18, Sep!D18)</f>
        <v>260819.11000000002</v>
      </c>
      <c r="E18" s="13">
        <f t="shared" si="3"/>
        <v>-8639.989734848612</v>
      </c>
      <c r="F18" s="14">
        <f t="shared" si="4"/>
        <v>-3.3126367676235884E-2</v>
      </c>
      <c r="G18" s="15">
        <f xml:space="preserve"> SUM(Jul!G18,Aug!G18,Sep!G18)</f>
        <v>190558.51</v>
      </c>
      <c r="H18" s="15">
        <f>SUM(Jul!H18, Aug!H18, Sep!H18)</f>
        <v>61620.610265151394</v>
      </c>
      <c r="I18" s="16">
        <f t="shared" si="5"/>
        <v>0.3233684513231731</v>
      </c>
    </row>
    <row r="19" spans="1:9" ht="15.6">
      <c r="A19" s="42" t="str">
        <v>Lilly Lane</v>
      </c>
      <c r="B19" s="10" t="str">
        <v>MA</v>
      </c>
      <c r="C19" s="11">
        <f>SUM(Jul!C19, Aug!C19, Sep!C19)</f>
        <v>536905</v>
      </c>
      <c r="D19" s="18">
        <f>SUM(Jul!D19, Aug!D19, Sep!D19)</f>
        <v>531570.9</v>
      </c>
      <c r="E19" s="18">
        <f t="shared" si="3"/>
        <v>5334.0999999999767</v>
      </c>
      <c r="F19" s="19">
        <f t="shared" si="4"/>
        <v>1.0034597454450529E-2</v>
      </c>
      <c r="G19" s="18">
        <f xml:space="preserve"> SUM(Jul!G19,Aug!G19,Sep!G19)</f>
        <v>528239.30000000005</v>
      </c>
      <c r="H19" s="20">
        <f>SUM(Jul!H19, Aug!H19, Sep!H19)</f>
        <v>8665.7000000000116</v>
      </c>
      <c r="I19" s="19">
        <f t="shared" si="5"/>
        <v>1.64048755933154E-2</v>
      </c>
    </row>
    <row r="20" spans="1:9" ht="15.6">
      <c r="A20" s="41" t="str">
        <v>Monument Valley</v>
      </c>
      <c r="B20" s="9" t="str">
        <v>MA</v>
      </c>
      <c r="C20" s="24">
        <f>SUM(Jul!C20, Aug!C20, Sep!C20)</f>
        <v>1147298.97382199</v>
      </c>
      <c r="D20" s="13">
        <f>SUM(Jul!D20, Aug!D20, Sep!D20)</f>
        <v>717249.51</v>
      </c>
      <c r="E20" s="13">
        <f t="shared" si="3"/>
        <v>430049.46382198995</v>
      </c>
      <c r="F20" s="14">
        <f t="shared" si="4"/>
        <v>0.59958139786249554</v>
      </c>
      <c r="G20" s="15">
        <f xml:space="preserve"> SUM(Jul!G20,Aug!G20,Sep!G20)</f>
        <v>624528</v>
      </c>
      <c r="H20" s="15">
        <f>SUM(Jul!H20, Aug!H20, Sep!H20)</f>
        <v>522770.97382199002</v>
      </c>
      <c r="I20" s="16">
        <f t="shared" si="5"/>
        <v>0.83706571013948139</v>
      </c>
    </row>
    <row r="21" spans="1:9" ht="15.6">
      <c r="A21" s="42" t="str">
        <v>Nationwide</v>
      </c>
      <c r="B21" s="10" t="str">
        <v>MA</v>
      </c>
      <c r="C21" s="11">
        <f>SUM(Jul!C21, Aug!C21, Sep!C21)</f>
        <v>1703438</v>
      </c>
      <c r="D21" s="18">
        <f>SUM(Jul!D21, Aug!D21, Sep!D21)</f>
        <v>1641454.5000000002</v>
      </c>
      <c r="E21" s="18">
        <f t="shared" si="3"/>
        <v>61983.499999999767</v>
      </c>
      <c r="F21" s="19">
        <f t="shared" si="4"/>
        <v>3.7761326920727784E-2</v>
      </c>
      <c r="G21" s="18">
        <f xml:space="preserve"> SUM(Jul!G21,Aug!G21,Sep!G21)</f>
        <v>1596214.7000000002</v>
      </c>
      <c r="H21" s="20">
        <f>SUM(Jul!H21, Aug!H21, Sep!H21)</f>
        <v>107223.30000000005</v>
      </c>
      <c r="I21" s="19">
        <f t="shared" si="5"/>
        <v>6.717348236424589E-2</v>
      </c>
    </row>
    <row r="22" spans="1:9" ht="15.6">
      <c r="A22" s="41" t="str">
        <v>Pulpit Hill</v>
      </c>
      <c r="B22" s="9" t="str">
        <v>MA</v>
      </c>
      <c r="C22" s="24">
        <f>SUM(Jul!C22, Aug!C22, Sep!C22)</f>
        <v>2505827</v>
      </c>
      <c r="D22" s="13">
        <f>SUM(Jul!D22, Aug!D22, Sep!D22)</f>
        <v>2397500</v>
      </c>
      <c r="E22" s="13">
        <f t="shared" si="3"/>
        <v>108327</v>
      </c>
      <c r="F22" s="14">
        <f t="shared" si="4"/>
        <v>4.5183315954118876E-2</v>
      </c>
      <c r="G22" s="15">
        <f xml:space="preserve"> SUM(Jul!G22,Aug!G22,Sep!G22)</f>
        <v>2242795.7999999998</v>
      </c>
      <c r="H22" s="15">
        <f>SUM(Jul!H22, Aug!H22, Sep!H22)</f>
        <v>263031.19999999995</v>
      </c>
      <c r="I22" s="16">
        <f t="shared" si="5"/>
        <v>0.11727826492273616</v>
      </c>
    </row>
    <row r="23" spans="1:9" ht="15.6">
      <c r="A23" s="42" t="str">
        <v>Sandwich</v>
      </c>
      <c r="B23" s="10" t="str">
        <v>MA</v>
      </c>
      <c r="C23" s="11">
        <f>SUM(Jul!C23, Aug!C23, Sep!C23)</f>
        <v>1591604</v>
      </c>
      <c r="D23" s="18">
        <f>SUM(Jul!D23, Aug!D23, Sep!D23)</f>
        <v>0</v>
      </c>
      <c r="E23" s="18">
        <f t="shared" ref="E23:E28" si="6">IF(AND(ISNUMBER(C23),ISNUMBER(D23)), C23-D23, "")</f>
        <v>1591604</v>
      </c>
      <c r="F23" s="19" t="str">
        <f t="shared" si="4"/>
        <v/>
      </c>
      <c r="G23" s="18">
        <f xml:space="preserve"> SUM(Jul!G23,Aug!G23,Sep!G23)</f>
        <v>1690066.6400000001</v>
      </c>
      <c r="H23" s="20">
        <f>SUM(Jul!H23, Aug!H23, Sep!H23)</f>
        <v>-98462.640000000014</v>
      </c>
      <c r="I23" s="19">
        <f t="shared" si="5"/>
        <v>-5.8259619869190489E-2</v>
      </c>
    </row>
    <row r="24" spans="1:9" ht="15.6">
      <c r="A24" s="41" t="str">
        <v>Sturbridge Barn</v>
      </c>
      <c r="B24" s="9" t="str">
        <v>MA</v>
      </c>
      <c r="C24" s="24">
        <f>SUM(Jul!C24, Aug!C24, Sep!C24)</f>
        <v>550027</v>
      </c>
      <c r="D24" s="13">
        <f>SUM(Jul!D24, Aug!D24, Sep!D24)</f>
        <v>559498.6</v>
      </c>
      <c r="E24" s="13">
        <f t="shared" si="6"/>
        <v>-9471.5999999999767</v>
      </c>
      <c r="F24" s="14">
        <f t="shared" ref="F24:F28" si="7">IFERROR(E24/D24, "")</f>
        <v>-1.6928728686720535E-2</v>
      </c>
      <c r="G24" s="15">
        <f xml:space="preserve"> SUM(Jul!G24,Aug!G24,Sep!G24)</f>
        <v>564782.9</v>
      </c>
      <c r="H24" s="15">
        <f>SUM(Jul!H24, Aug!H24, Sep!H24)</f>
        <v>-14755.899999999994</v>
      </c>
      <c r="I24" s="16">
        <f t="shared" ref="I24:I28" si="8">IFERROR(H24/G24, "")</f>
        <v>-2.6126676285701981E-2</v>
      </c>
    </row>
    <row r="25" spans="1:9" ht="15.6">
      <c r="A25" s="42" t="str">
        <v>Sturbridge Garage</v>
      </c>
      <c r="B25" s="10" t="str">
        <v>MA</v>
      </c>
      <c r="C25" s="11">
        <f>SUM(Jul!C25, Aug!C25, Sep!C25)</f>
        <v>261055</v>
      </c>
      <c r="D25" s="18">
        <f>SUM(Jul!D25, Aug!D25, Sep!D25)</f>
        <v>265688.76999999996</v>
      </c>
      <c r="E25" s="18">
        <f t="shared" si="6"/>
        <v>-4633.7699999999604</v>
      </c>
      <c r="F25" s="19">
        <f t="shared" si="7"/>
        <v>-1.7440594120707326E-2</v>
      </c>
      <c r="G25" s="18">
        <f xml:space="preserve"> SUM(Jul!G25,Aug!G25,Sep!G25)</f>
        <v>260937.82</v>
      </c>
      <c r="H25" s="20">
        <f>SUM(Jul!H25, Aug!H25, Sep!H25)</f>
        <v>117.17999999999302</v>
      </c>
      <c r="I25" s="19">
        <f t="shared" si="8"/>
        <v>4.4907250317333461E-4</v>
      </c>
    </row>
    <row r="26" spans="1:9" ht="15.6">
      <c r="A26" s="41" t="str">
        <v>Halsey Valley</v>
      </c>
      <c r="B26" s="9" t="str">
        <v>NY</v>
      </c>
      <c r="C26" s="24">
        <f>SUM(Jul!C26, Aug!C26, Sep!C26)</f>
        <v>2945486</v>
      </c>
      <c r="D26" s="13">
        <f>SUM(Jul!D26, Aug!D26, Sep!D26)</f>
        <v>3007757.2</v>
      </c>
      <c r="E26" s="13">
        <f t="shared" si="6"/>
        <v>-62271.200000000186</v>
      </c>
      <c r="F26" s="14">
        <f t="shared" si="7"/>
        <v>-2.0703532851654442E-2</v>
      </c>
      <c r="G26" s="15">
        <f xml:space="preserve"> SUM(Jul!G26,Aug!G26,Sep!G26)</f>
        <v>2919000</v>
      </c>
      <c r="H26" s="15">
        <f>SUM(Jul!H26, Aug!H26, Sep!H26)</f>
        <v>26486</v>
      </c>
      <c r="I26" s="16">
        <f t="shared" si="8"/>
        <v>9.0736553614251449E-3</v>
      </c>
    </row>
    <row r="27" spans="1:9" ht="15.6">
      <c r="A27" s="42" t="str">
        <v>Hunt Creek</v>
      </c>
      <c r="B27" s="10" t="str">
        <v>NY</v>
      </c>
      <c r="C27" s="11">
        <f>SUM(Jul!C27, Aug!C27, Sep!C27)</f>
        <v>2053599.0000000019</v>
      </c>
      <c r="D27" s="18">
        <f>SUM(Jul!D27, Aug!D27, Sep!D27)</f>
        <v>2177721.7000000002</v>
      </c>
      <c r="E27" s="18">
        <f t="shared" si="6"/>
        <v>-124122.69999999832</v>
      </c>
      <c r="F27" s="19">
        <f t="shared" si="7"/>
        <v>-5.6996585009001982E-2</v>
      </c>
      <c r="G27" s="18">
        <f xml:space="preserve"> SUM(Jul!G27,Aug!G27,Sep!G27)</f>
        <v>2081600</v>
      </c>
      <c r="H27" s="20">
        <f>SUM(Jul!H27, Aug!H27, Sep!H27)</f>
        <v>-28000.999999998021</v>
      </c>
      <c r="I27" s="19">
        <f t="shared" si="8"/>
        <v>-1.3451671790929104E-2</v>
      </c>
    </row>
    <row r="28" spans="1:9" ht="15.6">
      <c r="A28" s="41" t="str">
        <v>Smith Creek</v>
      </c>
      <c r="B28" s="9" t="str">
        <v>NY</v>
      </c>
      <c r="C28" s="24">
        <f>SUM(Jul!C28, Aug!C28, Sep!C28)</f>
        <v>2290871</v>
      </c>
      <c r="D28" s="13">
        <f>SUM(Jul!D28, Aug!D28, Sep!D28)</f>
        <v>2397157.5</v>
      </c>
      <c r="E28" s="13">
        <f t="shared" si="6"/>
        <v>-106286.5</v>
      </c>
      <c r="F28" s="14">
        <f t="shared" si="7"/>
        <v>-4.4338555142914057E-2</v>
      </c>
      <c r="G28" s="15">
        <f xml:space="preserve"> SUM(Jul!G28,Aug!G28,Sep!G28)</f>
        <v>2181391.5</v>
      </c>
      <c r="H28" s="15">
        <f>SUM(Jul!H28, Aug!H28, Sep!H28)</f>
        <v>109479.5</v>
      </c>
      <c r="I28" s="16">
        <f t="shared" si="8"/>
        <v>5.0187919041584234E-2</v>
      </c>
    </row>
    <row r="29" spans="1:9" ht="15.6">
      <c r="A29" s="42" t="str">
        <v>Bradford - 256 Presidential Dr</v>
      </c>
      <c r="B29" s="10" t="str">
        <v>MA</v>
      </c>
      <c r="C29" s="11">
        <f>SUM(Jul!C29, Aug!C29, Sep!C29)</f>
        <v>2445408.273</v>
      </c>
      <c r="D29" s="18">
        <f>SUM(Jul!D29, Aug!D29, Sep!D29)</f>
        <v>0</v>
      </c>
      <c r="E29" s="18">
        <f t="shared" ref="E29:E34" si="9">IF(AND(ISNUMBER(C29),ISNUMBER(D29)), C29-D29, "")</f>
        <v>2445408.273</v>
      </c>
      <c r="F29" s="19" t="str">
        <f t="shared" ref="F29:F35" si="10">IFERROR(E29/D29, "")</f>
        <v/>
      </c>
      <c r="G29" s="18">
        <f xml:space="preserve"> SUM(Jul!G29,Aug!G29,Sep!G29)</f>
        <v>2565731</v>
      </c>
      <c r="H29" s="20">
        <f>SUM(Jul!H29, Aug!H29, Sep!H29)</f>
        <v>-120322.72699999996</v>
      </c>
      <c r="I29" s="19">
        <f t="shared" ref="I29:I34" si="11">IFERROR(H29/G29, "")</f>
        <v>-4.6896080298363292E-2</v>
      </c>
    </row>
    <row r="30" spans="1:9" ht="15.6">
      <c r="A30" s="41" t="str">
        <v>Charlton – 111 Brookfield Road - Bus Lot</v>
      </c>
      <c r="B30" s="9" t="str">
        <v>MA</v>
      </c>
      <c r="C30" s="24">
        <f>SUM(Jul!C30, Aug!C30, Sep!C30)</f>
        <v>267285.984</v>
      </c>
      <c r="D30" s="13">
        <f>SUM(Jul!D30, Aug!D30, Sep!D30)</f>
        <v>0</v>
      </c>
      <c r="E30" s="13">
        <f t="shared" si="9"/>
        <v>267285.984</v>
      </c>
      <c r="F30" s="14" t="str">
        <f t="shared" si="10"/>
        <v/>
      </c>
      <c r="G30" s="15">
        <f xml:space="preserve"> SUM(Jul!G30,Aug!G30,Sep!G30)</f>
        <v>309300</v>
      </c>
      <c r="H30" s="15">
        <f>SUM(Jul!H30, Aug!H30, Sep!H30)</f>
        <v>-42014.016000000003</v>
      </c>
      <c r="I30" s="16">
        <f t="shared" si="11"/>
        <v>-0.13583580989330749</v>
      </c>
    </row>
    <row r="31" spans="1:9" ht="15.6">
      <c r="A31" s="42" t="str">
        <v>Charlton – 154 Center Depot Road KMARD</v>
      </c>
      <c r="B31" s="10" t="str">
        <v>MA</v>
      </c>
      <c r="C31" s="11">
        <f>SUM(Jul!C31, Aug!C31, Sep!C31)</f>
        <v>231650.96</v>
      </c>
      <c r="D31" s="18">
        <f>SUM(Jul!D31, Aug!D31, Sep!D31)</f>
        <v>0</v>
      </c>
      <c r="E31" s="18">
        <f t="shared" si="9"/>
        <v>231650.96</v>
      </c>
      <c r="F31" s="19" t="str">
        <f t="shared" si="10"/>
        <v/>
      </c>
      <c r="G31" s="18">
        <f xml:space="preserve"> SUM(Jul!G31,Aug!G31,Sep!G31)</f>
        <v>295200</v>
      </c>
      <c r="H31" s="20">
        <f>SUM(Jul!H31, Aug!H31, Sep!H31)</f>
        <v>-63549.04</v>
      </c>
      <c r="I31" s="19">
        <f t="shared" si="11"/>
        <v>-0.21527452574525746</v>
      </c>
    </row>
    <row r="32" spans="1:9" ht="15.6">
      <c r="A32" s="41" t="str">
        <v>Charlton – 142A Brookfield Rd (Mitchell)</v>
      </c>
      <c r="B32" s="9" t="str">
        <v>MA</v>
      </c>
      <c r="C32" s="24">
        <f>SUM(Jul!C32, Aug!C32, Sep!C32)</f>
        <v>247055.82399999999</v>
      </c>
      <c r="D32" s="13">
        <f>SUM(Jul!D32, Aug!D32, Sep!D32)</f>
        <v>0</v>
      </c>
      <c r="E32" s="13">
        <f t="shared" si="9"/>
        <v>247055.82399999999</v>
      </c>
      <c r="F32" s="14" t="str">
        <f t="shared" si="10"/>
        <v/>
      </c>
      <c r="G32" s="15">
        <f xml:space="preserve"> SUM(Jul!G32,Aug!G32,Sep!G32)</f>
        <v>304909</v>
      </c>
      <c r="H32" s="15">
        <f>SUM(Jul!H32, Aug!H32, Sep!H32)</f>
        <v>-57853.176000000007</v>
      </c>
      <c r="I32" s="16">
        <f t="shared" si="11"/>
        <v>-0.18973915496098839</v>
      </c>
    </row>
    <row r="33" spans="1:9" ht="15.6">
      <c r="A33" s="42" t="str">
        <v>Great Barrington – 3 Nolan  Drive</v>
      </c>
      <c r="B33" s="10" t="str">
        <v>MA</v>
      </c>
      <c r="C33" s="11">
        <f>SUM(Jul!C33, Aug!C33, Sep!C33)</f>
        <v>381545.76</v>
      </c>
      <c r="D33" s="18">
        <f>SUM(Jul!D33, Aug!D33, Sep!D33)</f>
        <v>0</v>
      </c>
      <c r="E33" s="18">
        <f t="shared" si="9"/>
        <v>381545.76</v>
      </c>
      <c r="F33" s="19" t="str">
        <f t="shared" si="10"/>
        <v/>
      </c>
      <c r="G33" s="18">
        <f xml:space="preserve"> SUM(Jul!G33,Aug!G33,Sep!G33)</f>
        <v>602700</v>
      </c>
      <c r="H33" s="20">
        <f>SUM(Jul!H33, Aug!H33, Sep!H33)</f>
        <v>-221154.24</v>
      </c>
      <c r="I33" s="19">
        <f t="shared" si="11"/>
        <v>-0.36693917371826779</v>
      </c>
    </row>
    <row r="34" spans="1:9" ht="15.6">
      <c r="A34" s="41" t="str">
        <v>Stockbridge – 92 State Line Road Truck Stop</v>
      </c>
      <c r="B34" s="9" t="str">
        <v>MA</v>
      </c>
      <c r="C34" s="24">
        <f>SUM(Jul!C34, Aug!C34, Sep!C34)</f>
        <v>880432.10400000005</v>
      </c>
      <c r="D34" s="13">
        <f>SUM(Jul!D34, Aug!D34, Sep!D34)</f>
        <v>0</v>
      </c>
      <c r="E34" s="13">
        <f t="shared" si="9"/>
        <v>880432.10400000005</v>
      </c>
      <c r="F34" s="14" t="str">
        <f t="shared" si="10"/>
        <v/>
      </c>
      <c r="G34" s="15">
        <f xml:space="preserve"> SUM(Jul!G34,Aug!G34,Sep!G34)</f>
        <v>1224700</v>
      </c>
      <c r="H34" s="15">
        <f>SUM(Jul!H34, Aug!H34, Sep!H34)</f>
        <v>-344267.89600000001</v>
      </c>
      <c r="I34" s="16">
        <f t="shared" si="11"/>
        <v>-0.28110385890422146</v>
      </c>
    </row>
    <row r="35" spans="1:9" ht="15.6">
      <c r="A35" s="42" t="str">
        <v>NY: New Windsor - Moores Hill</v>
      </c>
      <c r="B35" s="10" t="str">
        <v>NY</v>
      </c>
      <c r="C35" s="58">
        <f>SUM(Jul!C35, Aug!C35, Sep!C35)</f>
        <v>998384.62755624996</v>
      </c>
      <c r="D35" s="18">
        <f>SUM(Jul!D35, Aug!D35, Sep!D35)</f>
        <v>1065064.8999999999</v>
      </c>
      <c r="E35" s="18">
        <f>IF(AND(ISNUMBER(C35),ISNUMBER(D35)), C35-D35, "")</f>
        <v>-66680.272443749942</v>
      </c>
      <c r="F35" s="52">
        <f t="shared" si="10"/>
        <v>-6.2606769262370729E-2</v>
      </c>
      <c r="G35" s="18">
        <f xml:space="preserve"> SUM(Jul!G35,Aug!G35,Sep!G35)</f>
        <v>1326300</v>
      </c>
      <c r="H35" s="50">
        <f>SUM(Jul!H35, Aug!H35, Sep!H35)</f>
        <v>-327915.37244374998</v>
      </c>
      <c r="I35" s="52">
        <f>IFERROR(H35/G35, "")</f>
        <v>-0.24724072415271808</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C11" activePane="bottomRight" state="frozen"/>
      <selection pane="bottomRight" activeCell="F37" sqref="F37"/>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2" t="str" cm="1">
        <f t="array" ref="A1">portfolio</f>
        <v>Lodestar</v>
      </c>
      <c r="B1" s="112"/>
      <c r="C1" s="112"/>
      <c r="D1" s="113" t="s">
        <v>16</v>
      </c>
      <c r="E1" s="113"/>
      <c r="F1" s="113"/>
      <c r="G1" s="111" t="s">
        <v>17</v>
      </c>
      <c r="H1" s="111"/>
      <c r="I1" s="111"/>
    </row>
    <row r="2" spans="1:9" ht="19.5" customHeight="1">
      <c r="A2" s="114" t="s">
        <v>2</v>
      </c>
      <c r="B2" s="114"/>
      <c r="C2" s="5">
        <f>SUM(C4:C103)</f>
        <v>11982105.370994341</v>
      </c>
      <c r="D2" s="5">
        <f>SUM(D4:D103)</f>
        <v>10292526.210000001</v>
      </c>
      <c r="E2" s="5">
        <f>C2-D2</f>
        <v>1689579.1609943397</v>
      </c>
      <c r="F2" s="6">
        <f>IFERROR(E2/D2, 0)</f>
        <v>0.16415592503935333</v>
      </c>
      <c r="G2" s="5">
        <f>SUM(G4:G103)</f>
        <v>11938951.448000001</v>
      </c>
      <c r="H2" s="7">
        <f>C2-G2</f>
        <v>43153.922994339839</v>
      </c>
      <c r="I2" s="6">
        <f>IFERROR(H2/G2, 0)</f>
        <v>3.6145488305481745E-3</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SUM(Oct!C4, Nov!C4, Dec!C4)</f>
        <v>225595</v>
      </c>
      <c r="D4" s="13">
        <f>SUM(Oct!D4, Nov!D4, Dec!D4)</f>
        <v>261760.9</v>
      </c>
      <c r="E4" s="13">
        <f>IF(AND(ISNUMBER(C4),ISNUMBER(D4)), C4-D4, "")</f>
        <v>-36165.899999999994</v>
      </c>
      <c r="F4" s="14">
        <f>IFERROR(E4/D4, "")</f>
        <v>-0.13816387397812277</v>
      </c>
      <c r="G4" s="15">
        <f>SUM(Oct!G4,Nov!G4,Dec!G4)</f>
        <v>232480.32</v>
      </c>
      <c r="H4" s="15">
        <f>SUM(Oct!H4, Nov!H4, Dec!H4)</f>
        <v>-6885.320000000007</v>
      </c>
      <c r="I4" s="16">
        <f>IFERROR(H4/G4, "")</f>
        <v>-2.9616786487561643E-2</v>
      </c>
    </row>
    <row r="5" spans="1:9" ht="15.6">
      <c r="A5" s="42" t="str">
        <v>Bunce</v>
      </c>
      <c r="B5" s="10" t="str">
        <v>CT</v>
      </c>
      <c r="C5" s="11">
        <f>SUM(Oct!C5, Nov!C5, Dec!C5)</f>
        <v>412133</v>
      </c>
      <c r="D5" s="18">
        <f>SUM(Oct!D5, Nov!D5, Dec!D5)</f>
        <v>323204</v>
      </c>
      <c r="E5" s="18">
        <f t="shared" ref="E5:E15" si="0">IF(AND(ISNUMBER(C5),ISNUMBER(D5)), C5-D5, "")</f>
        <v>88929</v>
      </c>
      <c r="F5" s="19">
        <f>IFERROR(E5/D5, "")</f>
        <v>0.27514820361134146</v>
      </c>
      <c r="G5" s="18">
        <f>SUM(Oct!G5,Nov!G5,Dec!G5)</f>
        <v>0</v>
      </c>
      <c r="H5" s="20">
        <f>SUM(Oct!H5, Nov!H5, Dec!H5)</f>
        <v>412133</v>
      </c>
      <c r="I5" s="19" t="str">
        <f>IFERROR(H5/G5, "")</f>
        <v/>
      </c>
    </row>
    <row r="6" spans="1:9" ht="15.6">
      <c r="A6" s="41" t="str">
        <v>Norcap North</v>
      </c>
      <c r="B6" s="9" t="str">
        <v>CT</v>
      </c>
      <c r="C6" s="24">
        <f>SUM(Oct!C6, Nov!C6, Dec!C6)</f>
        <v>452004</v>
      </c>
      <c r="D6" s="13">
        <f>SUM(Oct!D6, Nov!D6, Dec!D6)</f>
        <v>557912</v>
      </c>
      <c r="E6" s="13">
        <f t="shared" si="0"/>
        <v>-105908</v>
      </c>
      <c r="F6" s="14">
        <f t="shared" ref="F6:F15" si="1">IFERROR(E6/D6, "")</f>
        <v>-0.18982922037884112</v>
      </c>
      <c r="G6" s="15">
        <f>SUM(Oct!G6,Nov!G6,Dec!G6)</f>
        <v>459644.9</v>
      </c>
      <c r="H6" s="15">
        <f>SUM(Oct!H6, Nov!H6, Dec!H6)</f>
        <v>-7640.8999999999942</v>
      </c>
      <c r="I6" s="16">
        <f t="shared" ref="I6:I15" si="2">IFERROR(H6/G6, "")</f>
        <v>-1.6623484781404067E-2</v>
      </c>
    </row>
    <row r="7" spans="1:9" ht="15.6">
      <c r="A7" s="42" t="str">
        <v>Norcap South</v>
      </c>
      <c r="B7" s="10" t="str">
        <v>CT</v>
      </c>
      <c r="C7" s="11">
        <f>SUM(Oct!C7, Nov!C7, Dec!C7)</f>
        <v>499351</v>
      </c>
      <c r="D7" s="18">
        <f>SUM(Oct!D7, Nov!D7, Dec!D7)</f>
        <v>605561.9</v>
      </c>
      <c r="E7" s="18">
        <f t="shared" si="0"/>
        <v>-106210.90000000002</v>
      </c>
      <c r="F7" s="19">
        <f t="shared" si="1"/>
        <v>-0.17539230919250373</v>
      </c>
      <c r="G7" s="18">
        <f>SUM(Oct!G7,Nov!G7,Dec!G7)</f>
        <v>429940.2</v>
      </c>
      <c r="H7" s="20">
        <f>SUM(Oct!H7, Nov!H7, Dec!H7)</f>
        <v>69410.799999999988</v>
      </c>
      <c r="I7" s="19">
        <f t="shared" si="2"/>
        <v>0.16144291694519375</v>
      </c>
    </row>
    <row r="8" spans="1:9" ht="15.6">
      <c r="A8" s="41" t="str">
        <v>Platt Hill</v>
      </c>
      <c r="B8" s="9" t="str">
        <v>CT</v>
      </c>
      <c r="C8" s="24">
        <f>SUM(Oct!C8, Nov!C8, Dec!C8)</f>
        <v>487692</v>
      </c>
      <c r="D8" s="13">
        <f>SUM(Oct!D8, Nov!D8, Dec!D8)</f>
        <v>535169.9</v>
      </c>
      <c r="E8" s="13">
        <f t="shared" si="0"/>
        <v>-47477.900000000023</v>
      </c>
      <c r="F8" s="14">
        <f t="shared" si="1"/>
        <v>-8.8715564907518196E-2</v>
      </c>
      <c r="G8" s="15">
        <f>SUM(Oct!G8,Nov!G8,Dec!G8)</f>
        <v>489707.5</v>
      </c>
      <c r="H8" s="15">
        <f>SUM(Oct!H8, Nov!H8, Dec!H8)</f>
        <v>-2015.5000000000291</v>
      </c>
      <c r="I8" s="16">
        <f t="shared" si="2"/>
        <v>-4.1157221402572542E-3</v>
      </c>
    </row>
    <row r="9" spans="1:9" ht="15.6">
      <c r="A9" s="42" t="str">
        <v>Powder Hill</v>
      </c>
      <c r="B9" s="10" t="str">
        <v>CT</v>
      </c>
      <c r="C9" s="11">
        <f>SUM(Oct!C9, Nov!C9, Dec!C9)</f>
        <v>396432</v>
      </c>
      <c r="D9" s="18">
        <f>SUM(Oct!D9, Nov!D9, Dec!D9)</f>
        <v>464422.3</v>
      </c>
      <c r="E9" s="18">
        <f t="shared" si="0"/>
        <v>-67990.299999999988</v>
      </c>
      <c r="F9" s="19">
        <f t="shared" si="1"/>
        <v>-0.14639757823859878</v>
      </c>
      <c r="G9" s="18">
        <f>SUM(Oct!G9,Nov!G9,Dec!G9)</f>
        <v>330936</v>
      </c>
      <c r="H9" s="20">
        <f>SUM(Oct!H9, Nov!H9, Dec!H9)</f>
        <v>65496</v>
      </c>
      <c r="I9" s="19">
        <f t="shared" si="2"/>
        <v>0.19791137863514396</v>
      </c>
    </row>
    <row r="10" spans="1:9" ht="15.6">
      <c r="A10" s="41" t="str">
        <v>Sand Road</v>
      </c>
      <c r="B10" s="9" t="str">
        <v>CT</v>
      </c>
      <c r="C10" s="24">
        <f>SUM(Oct!C10, Nov!C10, Dec!C10)</f>
        <v>442893</v>
      </c>
      <c r="D10" s="13">
        <f>SUM(Oct!D10, Nov!D10, Dec!D10)</f>
        <v>410754.7</v>
      </c>
      <c r="E10" s="13">
        <f t="shared" si="0"/>
        <v>32138.299999999988</v>
      </c>
      <c r="F10" s="14">
        <f t="shared" si="1"/>
        <v>7.8242074892873992E-2</v>
      </c>
      <c r="G10" s="15">
        <f>SUM(Oct!G10,Nov!G10,Dec!G10)</f>
        <v>325683</v>
      </c>
      <c r="H10" s="15">
        <f>SUM(Oct!H10, Nov!H10, Dec!H10)</f>
        <v>117210</v>
      </c>
      <c r="I10" s="16">
        <f t="shared" si="2"/>
        <v>0.35988983152329107</v>
      </c>
    </row>
    <row r="11" spans="1:9" ht="15.6">
      <c r="A11" s="42" t="str">
        <v>Suffield</v>
      </c>
      <c r="B11" s="10" t="str">
        <v>CT</v>
      </c>
      <c r="C11" s="11">
        <f>SUM(Oct!C11, Nov!C11, Dec!C11)</f>
        <v>449223.000008784</v>
      </c>
      <c r="D11" s="18">
        <f>SUM(Oct!D11, Nov!D11, Dec!D11)</f>
        <v>407233.8</v>
      </c>
      <c r="E11" s="18">
        <f t="shared" si="0"/>
        <v>41989.200008784013</v>
      </c>
      <c r="F11" s="19">
        <f t="shared" si="1"/>
        <v>0.1031083372961282</v>
      </c>
      <c r="G11" s="18">
        <f>SUM(Oct!G11,Nov!G11,Dec!G11)</f>
        <v>436663.1</v>
      </c>
      <c r="H11" s="20">
        <f>SUM(Oct!H11, Nov!H11, Dec!H11)</f>
        <v>12559.900008783996</v>
      </c>
      <c r="I11" s="19">
        <f t="shared" si="2"/>
        <v>2.8763364728514949E-2</v>
      </c>
    </row>
    <row r="12" spans="1:9" ht="15.6">
      <c r="A12" s="41" t="str">
        <v>Ashby-Duffy</v>
      </c>
      <c r="B12" s="9" t="str">
        <v>MA</v>
      </c>
      <c r="C12" s="24">
        <f>SUM(Oct!C12, Nov!C12, Dec!C12)</f>
        <v>456496</v>
      </c>
      <c r="D12" s="13">
        <f>SUM(Oct!D12, Nov!D12, Dec!D12)</f>
        <v>638342.80000000005</v>
      </c>
      <c r="E12" s="13">
        <f t="shared" si="0"/>
        <v>-181846.80000000005</v>
      </c>
      <c r="F12" s="14">
        <f t="shared" si="1"/>
        <v>-0.28487326872019242</v>
      </c>
      <c r="G12" s="15">
        <f>SUM(Oct!G12,Nov!G12,Dec!G12)</f>
        <v>439651.9</v>
      </c>
      <c r="H12" s="15">
        <f>SUM(Oct!H12, Nov!H12, Dec!H12)</f>
        <v>16844.099999999977</v>
      </c>
      <c r="I12" s="16">
        <f t="shared" si="2"/>
        <v>3.8312355752357662E-2</v>
      </c>
    </row>
    <row r="13" spans="1:9" ht="15.6">
      <c r="A13" s="42" t="str">
        <v>Ashland</v>
      </c>
      <c r="B13" s="10" t="str">
        <v>MA</v>
      </c>
      <c r="C13" s="11">
        <f>SUM(Oct!C13, Nov!C13, Dec!C13)</f>
        <v>398762.5</v>
      </c>
      <c r="D13" s="18">
        <f>SUM(Oct!D13, Nov!D13, Dec!D13)</f>
        <v>470187.2</v>
      </c>
      <c r="E13" s="18">
        <f t="shared" si="0"/>
        <v>-71424.700000000012</v>
      </c>
      <c r="F13" s="19">
        <f t="shared" si="1"/>
        <v>-0.15190694259648074</v>
      </c>
      <c r="G13" s="18">
        <f>SUM(Oct!G13,Nov!G13,Dec!G13)</f>
        <v>407712.4</v>
      </c>
      <c r="H13" s="20">
        <f>SUM(Oct!H13, Nov!H13, Dec!H13)</f>
        <v>-8949.8999999999942</v>
      </c>
      <c r="I13" s="19">
        <f t="shared" si="2"/>
        <v>-2.1951503069320418E-2</v>
      </c>
    </row>
    <row r="14" spans="1:9" ht="15.6">
      <c r="A14" s="41" t="str">
        <v>Barrington</v>
      </c>
      <c r="B14" s="9" t="str">
        <v>MA</v>
      </c>
      <c r="C14" s="24">
        <f>SUM(Oct!C14, Nov!C14, Dec!C14)</f>
        <v>88240</v>
      </c>
      <c r="D14" s="13">
        <f>SUM(Oct!D14, Nov!D14, Dec!D14)</f>
        <v>82178.179999999993</v>
      </c>
      <c r="E14" s="13">
        <f t="shared" si="0"/>
        <v>6061.820000000007</v>
      </c>
      <c r="F14" s="14">
        <f t="shared" si="1"/>
        <v>7.3764349612026062E-2</v>
      </c>
      <c r="G14" s="15">
        <f>SUM(Oct!G14,Nov!G14,Dec!G14)</f>
        <v>99480</v>
      </c>
      <c r="H14" s="15">
        <f>SUM(Oct!H14, Nov!H14, Dec!H14)</f>
        <v>-11240</v>
      </c>
      <c r="I14" s="16">
        <f t="shared" si="2"/>
        <v>-0.11298753518295135</v>
      </c>
    </row>
    <row r="15" spans="1:9" ht="15.6">
      <c r="A15" s="42" t="str">
        <v>Bedford - 205 Burlington Rd</v>
      </c>
      <c r="B15" s="10" t="str">
        <v>MA</v>
      </c>
      <c r="C15" s="11">
        <f>SUM(Oct!C15, Nov!C15, Dec!C15)</f>
        <v>20040</v>
      </c>
      <c r="D15" s="18">
        <f>SUM(Oct!D15, Nov!D15, Dec!D15)</f>
        <v>0</v>
      </c>
      <c r="E15" s="18">
        <f t="shared" si="0"/>
        <v>20040</v>
      </c>
      <c r="F15" s="19" t="str">
        <f t="shared" si="1"/>
        <v/>
      </c>
      <c r="G15" s="18">
        <f>SUM(Oct!G15,Nov!G15,Dec!G15)</f>
        <v>0</v>
      </c>
      <c r="H15" s="20">
        <f>SUM(Oct!H15, Nov!H15, Dec!H15)</f>
        <v>0</v>
      </c>
      <c r="I15" s="19" t="str">
        <f t="shared" si="2"/>
        <v/>
      </c>
    </row>
    <row r="16" spans="1:9" ht="15.6">
      <c r="A16" s="41" t="str">
        <v>Billerica - 6 Cook Street</v>
      </c>
      <c r="B16" s="9" t="str">
        <v>MA</v>
      </c>
      <c r="C16" s="24">
        <f>SUM(Oct!C16, Nov!C16, Dec!C16)</f>
        <v>39196</v>
      </c>
      <c r="D16" s="13">
        <f>SUM(Oct!D16, Nov!D16, Dec!D16)</f>
        <v>0</v>
      </c>
      <c r="E16" s="13">
        <f t="shared" ref="E16:E18" si="3">IF(AND(ISNUMBER(C16),ISNUMBER(D16)), C16-D16, "")</f>
        <v>39196</v>
      </c>
      <c r="F16" s="14" t="str">
        <f t="shared" ref="F16:F18" si="4">IFERROR(E16/D16, "")</f>
        <v/>
      </c>
      <c r="G16" s="15">
        <f>SUM(Oct!G16,Nov!G16,Dec!G16)</f>
        <v>0</v>
      </c>
      <c r="H16" s="15">
        <f>SUM(Oct!H16, Nov!H16, Dec!H16)</f>
        <v>0</v>
      </c>
      <c r="I16" s="16" t="str">
        <f t="shared" ref="I16:I18" si="5">IFERROR(H16/G16, "")</f>
        <v/>
      </c>
    </row>
    <row r="17" spans="1:9" ht="15.6">
      <c r="A17" s="42" t="str">
        <v>Billerica - 780 Boston Road</v>
      </c>
      <c r="B17" s="10" t="str">
        <v>MA</v>
      </c>
      <c r="C17" s="11">
        <f>SUM(Oct!C17, Nov!C17, Dec!C17)</f>
        <v>45478</v>
      </c>
      <c r="D17" s="18">
        <f>SUM(Oct!D17, Nov!D17, Dec!D17)</f>
        <v>0</v>
      </c>
      <c r="E17" s="18">
        <f t="shared" si="3"/>
        <v>45478</v>
      </c>
      <c r="F17" s="19" t="str">
        <f t="shared" si="4"/>
        <v/>
      </c>
      <c r="G17" s="18">
        <f>SUM(Oct!G17,Nov!G17,Dec!G17)</f>
        <v>0</v>
      </c>
      <c r="H17" s="20">
        <f>SUM(Oct!H17, Nov!H17, Dec!H17)</f>
        <v>0</v>
      </c>
      <c r="I17" s="19" t="str">
        <f t="shared" si="5"/>
        <v/>
      </c>
    </row>
    <row r="18" spans="1:9" ht="12.75" customHeight="1">
      <c r="A18" s="41" t="str">
        <v>Cheshire</v>
      </c>
      <c r="B18" s="9" t="str">
        <v>MA</v>
      </c>
      <c r="C18" s="24">
        <f>SUM(Oct!C18, Nov!C18, Dec!C18)</f>
        <v>90267.379730000495</v>
      </c>
      <c r="D18" s="13">
        <f>SUM(Oct!D18, Nov!D18, Dec!D18)</f>
        <v>99429.3</v>
      </c>
      <c r="E18" s="13">
        <f t="shared" si="3"/>
        <v>-9161.9202699995076</v>
      </c>
      <c r="F18" s="14">
        <f t="shared" si="4"/>
        <v>-9.2145074640971089E-2</v>
      </c>
      <c r="G18" s="15">
        <f>SUM(Oct!G18,Nov!G18,Dec!G18)</f>
        <v>58720.05</v>
      </c>
      <c r="H18" s="15">
        <f>SUM(Oct!H18, Nov!H18, Dec!H18)</f>
        <v>31547.3297300005</v>
      </c>
      <c r="I18" s="16">
        <f t="shared" si="5"/>
        <v>0.53724970823424878</v>
      </c>
    </row>
    <row r="19" spans="1:9" ht="15.6">
      <c r="A19" s="42" t="str">
        <v>Lilly Lane</v>
      </c>
      <c r="B19" s="10" t="str">
        <v>MA</v>
      </c>
      <c r="C19" s="11">
        <f>SUM(Oct!C19, Nov!C19, Dec!C19)</f>
        <v>53006.5</v>
      </c>
      <c r="D19" s="18">
        <f>SUM(Oct!D19, Nov!D19, Dec!D19)</f>
        <v>52138.06</v>
      </c>
      <c r="E19" s="18">
        <f t="shared" ref="E19:E28" si="6">IF(AND(ISNUMBER(C19),ISNUMBER(D19)), C19-D19, "")</f>
        <v>868.44000000000233</v>
      </c>
      <c r="F19" s="19">
        <f t="shared" ref="F19:F35" si="7">IFERROR(E19/D19, "")</f>
        <v>1.6656546100871462E-2</v>
      </c>
      <c r="G19" s="18">
        <f>SUM(Oct!G19,Nov!G19,Dec!G19)</f>
        <v>126763</v>
      </c>
      <c r="H19" s="20">
        <f>SUM(Oct!H19, Nov!H19, Dec!H19)</f>
        <v>-73756.5</v>
      </c>
      <c r="I19" s="19">
        <f t="shared" ref="I19:I35" si="8">IFERROR(H19/G19, "")</f>
        <v>-0.58184564896696989</v>
      </c>
    </row>
    <row r="20" spans="1:9" ht="15.6">
      <c r="A20" s="41" t="str">
        <v>Monument Valley</v>
      </c>
      <c r="B20" s="9" t="str">
        <v>MA</v>
      </c>
      <c r="C20" s="24">
        <f>SUM(Oct!C20, Nov!C20, Dec!C20)</f>
        <v>420192.08175555605</v>
      </c>
      <c r="D20" s="13">
        <f>SUM(Oct!D20, Nov!D20, Dec!D20)</f>
        <v>359434</v>
      </c>
      <c r="E20" s="13">
        <f>IF(AND(ISNUMBER(C20),ISNUMBER(D20)), C20-D20, "")</f>
        <v>60758.08175555605</v>
      </c>
      <c r="F20" s="14">
        <f>IFERROR(E20/D20, "")</f>
        <v>0.16903821495895227</v>
      </c>
      <c r="G20" s="15">
        <f>SUM(Oct!G20,Nov!G20,Dec!G20)</f>
        <v>367391.04800000001</v>
      </c>
      <c r="H20" s="15">
        <f>SUM(Oct!H20, Nov!H20, Dec!H20)</f>
        <v>52801.033755556011</v>
      </c>
      <c r="I20" s="16">
        <f>IFERROR(H20/G20, "")</f>
        <v>0.14371889038394864</v>
      </c>
    </row>
    <row r="21" spans="1:9" ht="15.6">
      <c r="A21" s="42" t="str">
        <v>Nationwide</v>
      </c>
      <c r="B21" s="10" t="str">
        <v>MA</v>
      </c>
      <c r="C21" s="11">
        <f>SUM(Oct!C21, Nov!C21, Dec!C21)</f>
        <v>523225</v>
      </c>
      <c r="D21" s="18">
        <f>SUM(Oct!D21, Nov!D21, Dec!D21)</f>
        <v>689860.4</v>
      </c>
      <c r="E21" s="18">
        <f>IF(AND(ISNUMBER(C21),ISNUMBER(D21)), C21-D21, "")</f>
        <v>-166635.40000000002</v>
      </c>
      <c r="F21" s="19">
        <f>IFERROR(E21/D21, "")</f>
        <v>-0.24154944971475392</v>
      </c>
      <c r="G21" s="18">
        <f>SUM(Oct!G21,Nov!G21,Dec!G21)</f>
        <v>613977.59999999998</v>
      </c>
      <c r="H21" s="20">
        <f>SUM(Oct!H21, Nov!H21, Dec!H21)</f>
        <v>-90752.6</v>
      </c>
      <c r="I21" s="19">
        <f>IFERROR(H21/G21, "")</f>
        <v>-0.14781092991014658</v>
      </c>
    </row>
    <row r="22" spans="1:9" ht="15.6">
      <c r="A22" s="41" t="str">
        <v>Pulpit Hill</v>
      </c>
      <c r="B22" s="9" t="str">
        <v>MA</v>
      </c>
      <c r="C22" s="24">
        <f>SUM(Oct!C22, Nov!C22, Dec!C22)</f>
        <v>1012721.25</v>
      </c>
      <c r="D22" s="13">
        <f>SUM(Oct!D22, Nov!D22, Dec!D22)</f>
        <v>994403.60000000009</v>
      </c>
      <c r="E22" s="13">
        <f>IF(AND(ISNUMBER(C22),ISNUMBER(D22)), C22-D22, "")</f>
        <v>18317.649999999907</v>
      </c>
      <c r="F22" s="14">
        <f>IFERROR(E22/D22, "")</f>
        <v>1.8420739828375426E-2</v>
      </c>
      <c r="G22" s="15">
        <f>SUM(Oct!G22,Nov!G22,Dec!G22)</f>
        <v>897239.2</v>
      </c>
      <c r="H22" s="15">
        <f>SUM(Oct!H22, Nov!H22, Dec!H22)</f>
        <v>115482.04999999999</v>
      </c>
      <c r="I22" s="16">
        <f>IFERROR(H22/G22, "")</f>
        <v>0.12870820846882303</v>
      </c>
    </row>
    <row r="23" spans="1:9" ht="15.6">
      <c r="A23" s="42" t="str">
        <v>Sandwich</v>
      </c>
      <c r="B23" s="10" t="str">
        <v>MA</v>
      </c>
      <c r="C23" s="11">
        <f>SUM(Oct!C23, Nov!C23, Dec!C23)</f>
        <v>498452.01300000004</v>
      </c>
      <c r="D23" s="18">
        <f>SUM(Oct!D23, Nov!D23, Dec!D23)</f>
        <v>0</v>
      </c>
      <c r="E23" s="18">
        <f t="shared" si="6"/>
        <v>498452.01300000004</v>
      </c>
      <c r="F23" s="19" t="str">
        <f>IFERROR(E23/D23, "")</f>
        <v/>
      </c>
      <c r="G23" s="18">
        <f>SUM(Oct!G23,Nov!G23,Dec!G23)</f>
        <v>693279.91999999993</v>
      </c>
      <c r="H23" s="20">
        <f>SUM(Oct!H23, Nov!H23, Dec!H23)</f>
        <v>-194827.90699999998</v>
      </c>
      <c r="I23" s="19">
        <f>IFERROR(H23/G23, "")</f>
        <v>-0.28102343855567025</v>
      </c>
    </row>
    <row r="24" spans="1:9" ht="15.6">
      <c r="A24" s="41" t="str">
        <v>Sturbridge Barn</v>
      </c>
      <c r="B24" s="9" t="str">
        <v>MA</v>
      </c>
      <c r="C24" s="24">
        <f>SUM(Oct!C24, Nov!C24, Dec!C24)</f>
        <v>239528.5</v>
      </c>
      <c r="D24" s="13">
        <f>SUM(Oct!D24, Nov!D24, Dec!D24)</f>
        <v>252861</v>
      </c>
      <c r="E24" s="13">
        <f t="shared" si="6"/>
        <v>-13332.5</v>
      </c>
      <c r="F24" s="14">
        <f t="shared" si="7"/>
        <v>-5.2726596825924121E-2</v>
      </c>
      <c r="G24" s="15">
        <f>SUM(Oct!G24,Nov!G24,Dec!G24)</f>
        <v>247369.3</v>
      </c>
      <c r="H24" s="15">
        <f>SUM(Oct!H24, Nov!H24, Dec!H24)</f>
        <v>-7840.7999999999884</v>
      </c>
      <c r="I24" s="16">
        <f t="shared" si="8"/>
        <v>-3.169673843924848E-2</v>
      </c>
    </row>
    <row r="25" spans="1:9" ht="15.6">
      <c r="A25" s="42" t="str">
        <v>Sturbridge Garage</v>
      </c>
      <c r="B25" s="10" t="str">
        <v>MA</v>
      </c>
      <c r="C25" s="11">
        <f>SUM(Oct!C25, Nov!C25, Dec!C25)</f>
        <v>103133.25</v>
      </c>
      <c r="D25" s="18">
        <f>SUM(Oct!D25, Nov!D25, Dec!D25)</f>
        <v>120042.57</v>
      </c>
      <c r="E25" s="18">
        <f t="shared" si="6"/>
        <v>-16909.320000000007</v>
      </c>
      <c r="F25" s="19">
        <f t="shared" si="7"/>
        <v>-0.14086102954976726</v>
      </c>
      <c r="G25" s="18">
        <f>SUM(Oct!G25,Nov!G25,Dec!G25)</f>
        <v>114700.61</v>
      </c>
      <c r="H25" s="20">
        <f>SUM(Oct!H25, Nov!H25, Dec!H25)</f>
        <v>-11567.36</v>
      </c>
      <c r="I25" s="19">
        <f t="shared" si="8"/>
        <v>-0.1008482866830438</v>
      </c>
    </row>
    <row r="26" spans="1:9" ht="15.6">
      <c r="A26" s="41" t="str">
        <v>Halsey Valley</v>
      </c>
      <c r="B26" s="9" t="str">
        <v>NY</v>
      </c>
      <c r="C26" s="24">
        <f>SUM(Oct!C26, Nov!C26, Dec!C26)</f>
        <v>1105348</v>
      </c>
      <c r="D26" s="13">
        <f>SUM(Oct!D26, Nov!D26, Dec!D26)</f>
        <v>1141154.3</v>
      </c>
      <c r="E26" s="13">
        <f t="shared" si="6"/>
        <v>-35806.300000000047</v>
      </c>
      <c r="F26" s="14">
        <f t="shared" si="7"/>
        <v>-3.1377264231489156E-2</v>
      </c>
      <c r="G26" s="15">
        <f>SUM(Oct!G26,Nov!G26,Dec!G26)</f>
        <v>1083000</v>
      </c>
      <c r="H26" s="15">
        <f>SUM(Oct!H26, Nov!H26, Dec!H26)</f>
        <v>22348</v>
      </c>
      <c r="I26" s="16">
        <f t="shared" si="8"/>
        <v>2.0635272391505078E-2</v>
      </c>
    </row>
    <row r="27" spans="1:9" ht="15.6">
      <c r="A27" s="42" t="str">
        <v>Hunt Creek</v>
      </c>
      <c r="B27" s="10" t="str">
        <v>NY</v>
      </c>
      <c r="C27" s="11">
        <f>SUM(Oct!C27, Nov!C27, Dec!C27)</f>
        <v>648215</v>
      </c>
      <c r="D27" s="18">
        <f>SUM(Oct!D27, Nov!D27, Dec!D27)</f>
        <v>801067.1</v>
      </c>
      <c r="E27" s="18">
        <f t="shared" si="6"/>
        <v>-152852.09999999998</v>
      </c>
      <c r="F27" s="19">
        <f t="shared" si="7"/>
        <v>-0.19081060750091969</v>
      </c>
      <c r="G27" s="18">
        <f>SUM(Oct!G27,Nov!G27,Dec!G27)</f>
        <v>698700</v>
      </c>
      <c r="H27" s="20">
        <f>SUM(Oct!H27, Nov!H27, Dec!H27)</f>
        <v>-50485</v>
      </c>
      <c r="I27" s="19">
        <f t="shared" si="8"/>
        <v>-7.2255617575497352E-2</v>
      </c>
    </row>
    <row r="28" spans="1:9" ht="15.6">
      <c r="A28" s="41" t="str">
        <v>Smith Creek</v>
      </c>
      <c r="B28" s="9" t="str">
        <v>NY</v>
      </c>
      <c r="C28" s="24">
        <f>SUM(Oct!C28, Nov!C28, Dec!C28)</f>
        <v>848333</v>
      </c>
      <c r="D28" s="13">
        <f>SUM(Oct!D28, Nov!D28, Dec!D28)</f>
        <v>901591.89999999991</v>
      </c>
      <c r="E28" s="13">
        <f t="shared" si="6"/>
        <v>-53258.899999999907</v>
      </c>
      <c r="F28" s="14">
        <f t="shared" si="7"/>
        <v>-5.9072070190515143E-2</v>
      </c>
      <c r="G28" s="15">
        <f>SUM(Oct!G28,Nov!G28,Dec!G28)</f>
        <v>867543.39999999991</v>
      </c>
      <c r="H28" s="15">
        <f>SUM(Oct!H28, Nov!H28, Dec!H28)</f>
        <v>-19210.399999999965</v>
      </c>
      <c r="I28" s="16">
        <f t="shared" si="8"/>
        <v>-2.2143445503706175E-2</v>
      </c>
    </row>
    <row r="29" spans="1:9" ht="15.6">
      <c r="A29" s="17" t="str">
        <v>Bradford - 256 Presidential Dr</v>
      </c>
      <c r="B29" s="10" t="str">
        <v>MA</v>
      </c>
      <c r="C29" s="58">
        <f>SUM(Oct!C29, Nov!C29, Dec!C29)</f>
        <v>905582.45900000003</v>
      </c>
      <c r="D29" s="18">
        <f>SUM(Oct!D29, Nov!D29, Dec!D29)</f>
        <v>0</v>
      </c>
      <c r="E29" s="18">
        <f t="shared" ref="E29:E35" si="9">IF(AND(ISNUMBER(C29),ISNUMBER(D29)), C29-D29, "")</f>
        <v>905582.45900000003</v>
      </c>
      <c r="F29" s="19" t="str">
        <f t="shared" si="7"/>
        <v/>
      </c>
      <c r="G29" s="18">
        <f>SUM(Oct!G29,Nov!G29,Dec!G29)</f>
        <v>982703</v>
      </c>
      <c r="H29" s="20">
        <f>SUM(Oct!H29, Nov!H29, Dec!H29)</f>
        <v>-77120.540999999968</v>
      </c>
      <c r="I29" s="19">
        <f t="shared" si="8"/>
        <v>-7.8477974525365216E-2</v>
      </c>
    </row>
    <row r="30" spans="1:9" ht="15.6">
      <c r="A30" s="41" t="str">
        <v>Charlton – 111 Brookfield Road - Bus Lot</v>
      </c>
      <c r="B30" s="9" t="str">
        <v>MA</v>
      </c>
      <c r="C30" s="51">
        <f>SUM(Oct!C30, Nov!C30, Dec!C30)</f>
        <v>113654.848</v>
      </c>
      <c r="D30" s="13">
        <f>SUM(Oct!D30, Nov!D30, Dec!D30)</f>
        <v>0</v>
      </c>
      <c r="E30" s="13">
        <f t="shared" si="9"/>
        <v>113654.848</v>
      </c>
      <c r="F30" s="14" t="str">
        <f t="shared" si="7"/>
        <v/>
      </c>
      <c r="G30" s="49">
        <f>SUM(Oct!G30,Nov!G30,Dec!G30)</f>
        <v>125200</v>
      </c>
      <c r="H30" s="49">
        <f>SUM(Oct!H30, Nov!H30, Dec!H30)</f>
        <v>-11545.152000000002</v>
      </c>
      <c r="I30" s="16">
        <f t="shared" si="8"/>
        <v>-9.221367412140577E-2</v>
      </c>
    </row>
    <row r="31" spans="1:9" ht="15.6">
      <c r="A31" s="17" t="str">
        <v>Charlton – 154 Center Depot Road KMARD</v>
      </c>
      <c r="B31" s="10" t="str">
        <v>MA</v>
      </c>
      <c r="C31" s="58">
        <f>SUM(Oct!C31, Nov!C31, Dec!C31)</f>
        <v>101987.84</v>
      </c>
      <c r="D31" s="18">
        <f>SUM(Oct!D31, Nov!D31, Dec!D31)</f>
        <v>0</v>
      </c>
      <c r="E31" s="18">
        <f t="shared" si="9"/>
        <v>101987.84</v>
      </c>
      <c r="F31" s="19" t="str">
        <f t="shared" si="7"/>
        <v/>
      </c>
      <c r="G31" s="18">
        <f>SUM(Oct!G31,Nov!G31,Dec!G31)</f>
        <v>126300</v>
      </c>
      <c r="H31" s="20">
        <f>SUM(Oct!H31, Nov!H31, Dec!H31)</f>
        <v>-24312.159999999996</v>
      </c>
      <c r="I31" s="19">
        <f t="shared" si="8"/>
        <v>-0.19249532858273949</v>
      </c>
    </row>
    <row r="32" spans="1:9" ht="15.6">
      <c r="A32" s="41" t="str">
        <v>Charlton – 142A Brookfield Rd (Mitchell)</v>
      </c>
      <c r="B32" s="9" t="str">
        <v>MA</v>
      </c>
      <c r="C32" s="51">
        <f>SUM(Oct!C32, Nov!C32, Dec!C32)</f>
        <v>105643.008</v>
      </c>
      <c r="D32" s="13">
        <f>SUM(Oct!D32, Nov!D32, Dec!D32)</f>
        <v>0</v>
      </c>
      <c r="E32" s="13">
        <f t="shared" si="9"/>
        <v>105643.008</v>
      </c>
      <c r="F32" s="14" t="str">
        <f t="shared" si="7"/>
        <v/>
      </c>
      <c r="G32" s="49">
        <f>SUM(Oct!G32,Nov!G32,Dec!G32)</f>
        <v>127865</v>
      </c>
      <c r="H32" s="49">
        <f>SUM(Oct!H32, Nov!H32, Dec!H32)</f>
        <v>-22221.991999999998</v>
      </c>
      <c r="I32" s="16">
        <f t="shared" si="8"/>
        <v>-0.17379260939271887</v>
      </c>
    </row>
    <row r="33" spans="1:9" ht="15.6">
      <c r="A33" s="17" t="str">
        <v>Great Barrington – 3 Nolan  Drive</v>
      </c>
      <c r="B33" s="10" t="str">
        <v>MA</v>
      </c>
      <c r="C33" s="58">
        <f>SUM(Oct!C33, Nov!C33, Dec!C33)</f>
        <v>169024.704</v>
      </c>
      <c r="D33" s="18">
        <f>SUM(Oct!D33, Nov!D33, Dec!D33)</f>
        <v>0</v>
      </c>
      <c r="E33" s="18">
        <f t="shared" si="9"/>
        <v>169024.704</v>
      </c>
      <c r="F33" s="19" t="str">
        <f t="shared" si="7"/>
        <v/>
      </c>
      <c r="G33" s="18">
        <f>SUM(Oct!G33,Nov!G33,Dec!G33)</f>
        <v>245900</v>
      </c>
      <c r="H33" s="20">
        <f>SUM(Oct!H33, Nov!H33, Dec!H33)</f>
        <v>-76875.296000000002</v>
      </c>
      <c r="I33" s="19">
        <f t="shared" si="8"/>
        <v>-0.31262828792191949</v>
      </c>
    </row>
    <row r="34" spans="1:9" ht="15.6">
      <c r="A34" s="41" t="str">
        <v>Stockbridge – 92 State Line Road Truck Stop</v>
      </c>
      <c r="B34" s="9" t="str">
        <v>MA</v>
      </c>
      <c r="C34" s="51">
        <f>SUM(Oct!C34, Nov!C34, Dec!C34)</f>
        <v>250574.85</v>
      </c>
      <c r="D34" s="13">
        <f>SUM(Oct!D34, Nov!D34, Dec!D34)</f>
        <v>0</v>
      </c>
      <c r="E34" s="13">
        <f t="shared" si="9"/>
        <v>250574.85</v>
      </c>
      <c r="F34" s="14" t="str">
        <f t="shared" si="7"/>
        <v/>
      </c>
      <c r="G34" s="49">
        <f>SUM(Oct!G34,Nov!G34,Dec!G34)</f>
        <v>461200</v>
      </c>
      <c r="H34" s="49">
        <f>SUM(Oct!H34, Nov!H34, Dec!H34)</f>
        <v>-210625.15</v>
      </c>
      <c r="I34" s="16">
        <f t="shared" si="8"/>
        <v>-0.45668939722463137</v>
      </c>
    </row>
    <row r="35" spans="1:9" ht="15.6">
      <c r="A35" s="17" t="str">
        <v>NY: New Windsor - Moores Hill</v>
      </c>
      <c r="B35" s="10" t="str">
        <v>NY</v>
      </c>
      <c r="C35" s="58">
        <f>SUM(Oct!C35, Nov!C35, Dec!C35)</f>
        <v>379680.1875</v>
      </c>
      <c r="D35" s="18">
        <f>SUM(Oct!D35, Nov!D35, Dec!D35)</f>
        <v>123816.3</v>
      </c>
      <c r="E35" s="18">
        <f t="shared" si="9"/>
        <v>255863.88750000001</v>
      </c>
      <c r="F35" s="19">
        <f t="shared" si="7"/>
        <v>2.0664798374688953</v>
      </c>
      <c r="G35" s="18">
        <f>SUM(Oct!G35,Nov!G35,Dec!G35)</f>
        <v>449200</v>
      </c>
      <c r="H35" s="50">
        <f>SUM(Oct!H35, Nov!H35, Dec!H35)</f>
        <v>-69519.8125</v>
      </c>
      <c r="I35" s="19">
        <f t="shared" si="8"/>
        <v>-0.15476360752448798</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19" activePane="bottomRight" state="frozen"/>
      <selection pane="bottomRight" activeCell="L18" sqref="L18"/>
      <selection pane="bottomLeft" activeCell="B32" sqref="B32:C32"/>
      <selection pane="topRight" activeCell="B32" sqref="B32:C32"/>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2" t="str" cm="1">
        <f t="array" ref="A1">portfolio</f>
        <v>Lodestar</v>
      </c>
      <c r="B1" s="112"/>
      <c r="C1" s="112"/>
      <c r="D1" s="113" t="s">
        <v>18</v>
      </c>
      <c r="E1" s="113"/>
      <c r="F1" s="113"/>
      <c r="G1" s="111" t="s">
        <v>19</v>
      </c>
      <c r="H1" s="111"/>
      <c r="I1" s="111"/>
      <c r="J1" s="4"/>
      <c r="K1" s="4"/>
    </row>
    <row r="2" spans="1:11" ht="19.5" customHeight="1">
      <c r="A2" s="114" t="s">
        <v>2</v>
      </c>
      <c r="B2" s="114"/>
      <c r="C2" s="5">
        <f>SUM(C4:C102)</f>
        <v>3838099.3873393969</v>
      </c>
      <c r="D2" s="5">
        <f>SUM(D4:D102)</f>
        <v>5382433.8674400002</v>
      </c>
      <c r="E2" s="5">
        <f>C2-D2</f>
        <v>-1544334.4801006033</v>
      </c>
      <c r="F2" s="6">
        <f>IFERROR(E2/D2, 0)</f>
        <v>-0.28692121782354968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72.9">
      <c r="A4" s="30" t="str" cm="1">
        <f t="array" ref="A4:A35">Sites[Site]</f>
        <v>Barkhamsted</v>
      </c>
      <c r="B4" s="27" t="str" cm="1">
        <f t="array" ref="B4:B35">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59" t="s">
        <v>22</v>
      </c>
      <c r="K4" s="59" t="s">
        <v>23</v>
      </c>
    </row>
    <row r="5" spans="1:11" ht="43.15">
      <c r="A5" s="28" t="str">
        <v>Bunce</v>
      </c>
      <c r="B5" s="29" t="str">
        <v>CT</v>
      </c>
      <c r="C5" s="11">
        <v>147884</v>
      </c>
      <c r="D5" s="18">
        <v>196766.8</v>
      </c>
      <c r="E5" s="18">
        <f t="shared" ref="E5:E35" si="0">IF(AND(ISNUMBER(C5),ISNUMBER(D5)), C5-D5, "")</f>
        <v>-48882.799999999988</v>
      </c>
      <c r="F5" s="19">
        <f>IFERROR(E5/D5, "")</f>
        <v>-0.24843012134160838</v>
      </c>
      <c r="G5" s="66" t="s">
        <v>24</v>
      </c>
      <c r="H5" s="20" t="str">
        <f t="shared" ref="H5:H34" si="1">IF(AND(ISNUMBER(C5),ISNUMBER(G5)), C5-G5, "")</f>
        <v/>
      </c>
      <c r="I5" s="19" t="str">
        <f t="shared" ref="I5:I34" si="2">IFERROR(H5/G5, "")</f>
        <v/>
      </c>
      <c r="J5" s="85" t="s">
        <v>25</v>
      </c>
      <c r="K5" s="86" t="s">
        <v>26</v>
      </c>
    </row>
    <row r="6" spans="1:11" ht="129.6">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59" t="s">
        <v>27</v>
      </c>
      <c r="K6" s="59" t="s">
        <v>28</v>
      </c>
    </row>
    <row r="7" spans="1:11" ht="48" customHeight="1">
      <c r="A7" s="28" t="str">
        <v>Norcap South</v>
      </c>
      <c r="B7" s="29" t="str">
        <v>CT</v>
      </c>
      <c r="C7" s="58">
        <v>184293.5</v>
      </c>
      <c r="D7" s="18">
        <v>319084.7</v>
      </c>
      <c r="E7" s="18">
        <f t="shared" si="0"/>
        <v>-134791.20000000001</v>
      </c>
      <c r="F7" s="52">
        <f t="shared" si="3"/>
        <v>-0.42243078405200879</v>
      </c>
      <c r="G7" s="50">
        <v>155781</v>
      </c>
      <c r="H7" s="50">
        <f t="shared" si="1"/>
        <v>28512.5</v>
      </c>
      <c r="I7" s="52">
        <f t="shared" si="2"/>
        <v>0.18302938098997953</v>
      </c>
      <c r="J7" s="86" t="s">
        <v>29</v>
      </c>
      <c r="K7" s="86" t="s">
        <v>30</v>
      </c>
    </row>
    <row r="8" spans="1:11" ht="115.15">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59" t="s">
        <v>31</v>
      </c>
      <c r="K8" s="59" t="s">
        <v>32</v>
      </c>
    </row>
    <row r="9" spans="1:11" ht="115.15">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86" t="s">
        <v>33</v>
      </c>
      <c r="K9" s="86" t="s">
        <v>34</v>
      </c>
    </row>
    <row r="10" spans="1:11" ht="57.6">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59" t="s">
        <v>35</v>
      </c>
      <c r="K10" s="59" t="s">
        <v>36</v>
      </c>
    </row>
    <row r="11" spans="1:11" ht="15.6">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85" t="s">
        <v>37</v>
      </c>
      <c r="K11" s="85"/>
    </row>
    <row r="12" spans="1:11" ht="144">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59" t="s">
        <v>38</v>
      </c>
      <c r="K12" s="59" t="s">
        <v>39</v>
      </c>
    </row>
    <row r="13" spans="1:11" ht="144">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85" t="s">
        <v>40</v>
      </c>
      <c r="K13" s="86"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69" t="s">
        <v>42</v>
      </c>
      <c r="K14" s="59"/>
    </row>
    <row r="15" spans="1:11" ht="15.6">
      <c r="A15" s="28" t="str">
        <v>Bedford - 205 Burlington Rd</v>
      </c>
      <c r="B15" s="29" t="str">
        <v>MA</v>
      </c>
      <c r="C15" s="58">
        <v>12393</v>
      </c>
      <c r="D15" s="18" t="s">
        <v>24</v>
      </c>
      <c r="E15" s="18" t="str">
        <f t="shared" si="0"/>
        <v/>
      </c>
      <c r="F15" s="19" t="str">
        <f t="shared" si="3"/>
        <v/>
      </c>
      <c r="G15" s="88" t="s">
        <v>24</v>
      </c>
      <c r="H15" s="20" t="str">
        <f t="shared" si="1"/>
        <v/>
      </c>
      <c r="I15" s="19" t="str">
        <f t="shared" si="2"/>
        <v/>
      </c>
      <c r="J15" s="85"/>
      <c r="K15" s="85"/>
    </row>
    <row r="16" spans="1:11" ht="15.6">
      <c r="A16" s="30" t="str">
        <v>Billerica - 6 Cook Street</v>
      </c>
      <c r="B16" s="27" t="str">
        <v>MA</v>
      </c>
      <c r="C16" s="24">
        <v>9769</v>
      </c>
      <c r="D16" s="13" t="s">
        <v>24</v>
      </c>
      <c r="E16" s="13" t="str">
        <f t="shared" si="0"/>
        <v/>
      </c>
      <c r="F16" s="14" t="str">
        <f t="shared" si="3"/>
        <v/>
      </c>
      <c r="G16" s="67" t="s">
        <v>24</v>
      </c>
      <c r="H16" s="15" t="str">
        <f t="shared" si="1"/>
        <v/>
      </c>
      <c r="I16" s="16" t="str">
        <f t="shared" si="2"/>
        <v/>
      </c>
      <c r="J16" s="59"/>
      <c r="K16" s="59"/>
    </row>
    <row r="17" spans="1:11" ht="15.6">
      <c r="A17" s="28" t="str">
        <v>Billerica - 780 Boston Road</v>
      </c>
      <c r="B17" s="29" t="str">
        <v>MA</v>
      </c>
      <c r="C17" s="11">
        <v>10676</v>
      </c>
      <c r="D17" s="18" t="s">
        <v>24</v>
      </c>
      <c r="E17" s="18" t="str">
        <f t="shared" si="0"/>
        <v/>
      </c>
      <c r="F17" s="19" t="str">
        <f t="shared" si="3"/>
        <v/>
      </c>
      <c r="G17" s="66" t="s">
        <v>24</v>
      </c>
      <c r="H17" s="20" t="str">
        <f t="shared" si="1"/>
        <v/>
      </c>
      <c r="I17" s="19" t="str">
        <f t="shared" si="2"/>
        <v/>
      </c>
      <c r="J17" s="85"/>
      <c r="K17" s="85"/>
    </row>
    <row r="18" spans="1:11" ht="15.6">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59" t="s">
        <v>37</v>
      </c>
      <c r="K18" s="59"/>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85" t="s">
        <v>43</v>
      </c>
      <c r="K19" s="86" t="s">
        <v>44</v>
      </c>
    </row>
    <row r="20" spans="1:11" ht="100.9">
      <c r="A20" s="55" t="str">
        <v>Monument Valley</v>
      </c>
      <c r="B20" s="27" t="str">
        <v>MA</v>
      </c>
      <c r="C20" s="24">
        <v>92298</v>
      </c>
      <c r="D20" s="13">
        <v>36912.89</v>
      </c>
      <c r="E20" s="13">
        <f t="shared" si="0"/>
        <v>55385.11</v>
      </c>
      <c r="F20" s="14">
        <f t="shared" si="3"/>
        <v>1.500427357489484</v>
      </c>
      <c r="G20" s="67" t="s">
        <v>24</v>
      </c>
      <c r="H20" s="15" t="str">
        <f t="shared" si="1"/>
        <v/>
      </c>
      <c r="I20" s="16" t="str">
        <f t="shared" si="2"/>
        <v/>
      </c>
      <c r="J20" s="59" t="s">
        <v>45</v>
      </c>
      <c r="K20" s="59" t="s">
        <v>46</v>
      </c>
    </row>
    <row r="21" spans="1:11" ht="43.1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85" t="s">
        <v>47</v>
      </c>
      <c r="K21" s="86" t="s">
        <v>48</v>
      </c>
    </row>
    <row r="22" spans="1:11" ht="144">
      <c r="A22" s="55"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59" t="s">
        <v>49</v>
      </c>
      <c r="K22" s="59" t="s">
        <v>50</v>
      </c>
    </row>
    <row r="23" spans="1:11" ht="86.45">
      <c r="A23" s="28" t="str">
        <v>Sandwich</v>
      </c>
      <c r="B23" s="29" t="str">
        <v>MA</v>
      </c>
      <c r="C23" s="11">
        <v>284645</v>
      </c>
      <c r="D23" s="18" t="s">
        <v>24</v>
      </c>
      <c r="E23" s="18" t="str">
        <f t="shared" si="0"/>
        <v/>
      </c>
      <c r="F23" s="19" t="str">
        <f t="shared" si="3"/>
        <v/>
      </c>
      <c r="G23" s="20">
        <v>295751</v>
      </c>
      <c r="H23" s="20">
        <f t="shared" si="1"/>
        <v>-11106</v>
      </c>
      <c r="I23" s="19">
        <f t="shared" si="2"/>
        <v>-3.7551859503433635E-2</v>
      </c>
      <c r="J23" s="85" t="s">
        <v>51</v>
      </c>
      <c r="K23" s="87" t="s">
        <v>52</v>
      </c>
    </row>
    <row r="24" spans="1:11" ht="86.45">
      <c r="A24" s="55"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59" t="s">
        <v>53</v>
      </c>
      <c r="K24" s="59" t="s">
        <v>54</v>
      </c>
    </row>
    <row r="25" spans="1:11" ht="129.6">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85" t="s">
        <v>55</v>
      </c>
      <c r="K25" s="86" t="s">
        <v>56</v>
      </c>
    </row>
    <row r="26" spans="1:11" ht="100.9">
      <c r="A26" s="55"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59" t="s">
        <v>57</v>
      </c>
      <c r="K26" s="59" t="s">
        <v>58</v>
      </c>
    </row>
    <row r="27" spans="1:11" ht="172.9">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85" t="s">
        <v>59</v>
      </c>
      <c r="K27" s="87" t="s">
        <v>60</v>
      </c>
    </row>
    <row r="28" spans="1:11" ht="86.45">
      <c r="A28" s="55"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59" t="s">
        <v>61</v>
      </c>
      <c r="K28" s="59" t="s">
        <v>62</v>
      </c>
    </row>
    <row r="29" spans="1:11" ht="43.15">
      <c r="A29" s="28" t="str">
        <v>Bradford - 256 Presidential Dr</v>
      </c>
      <c r="B29" s="29" t="str">
        <v>MA</v>
      </c>
      <c r="C29" s="58">
        <v>306816.5</v>
      </c>
      <c r="D29" s="18">
        <v>339000</v>
      </c>
      <c r="E29" s="18">
        <f>IF(AND(ISNUMBER(C29),ISNUMBER(D29)), C29-D29, "")</f>
        <v>-32183.5</v>
      </c>
      <c r="F29" s="52">
        <f>IFERROR(E29/D29, "")</f>
        <v>-9.493657817109144E-2</v>
      </c>
      <c r="G29" s="50">
        <v>401656.5</v>
      </c>
      <c r="H29" s="50">
        <f>IF(AND(ISNUMBER(C29),ISNUMBER(G29)), C29-G29, "")</f>
        <v>-94840</v>
      </c>
      <c r="I29" s="52">
        <f>IFERROR(H29/G29, "")</f>
        <v>-0.23612215910859155</v>
      </c>
      <c r="J29" s="85" t="s">
        <v>63</v>
      </c>
      <c r="K29" s="86"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8" t="s">
        <v>65</v>
      </c>
      <c r="K30" s="59" t="s">
        <v>66</v>
      </c>
    </row>
    <row r="31" spans="1:11" ht="14.1" customHeight="1">
      <c r="A31" s="28" t="str">
        <v>Charlton – 154 Center Depot Road KMARD</v>
      </c>
      <c r="B31" s="29" t="str">
        <v>MA</v>
      </c>
      <c r="C31" s="58">
        <v>31310</v>
      </c>
      <c r="D31" s="18">
        <v>53271.494859999999</v>
      </c>
      <c r="E31" s="18">
        <f t="shared" si="0"/>
        <v>-21961.494859999999</v>
      </c>
      <c r="F31" s="52">
        <f t="shared" si="3"/>
        <v>-0.41225602768827574</v>
      </c>
      <c r="G31" s="50">
        <v>54358.81</v>
      </c>
      <c r="H31" s="50">
        <f t="shared" si="1"/>
        <v>-23048.809999999998</v>
      </c>
      <c r="I31" s="52">
        <f t="shared" si="2"/>
        <v>-0.42401240939601142</v>
      </c>
      <c r="J31" s="85" t="s">
        <v>67</v>
      </c>
      <c r="K31" s="86"/>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59" t="s">
        <v>68</v>
      </c>
      <c r="K32" s="59" t="s">
        <v>69</v>
      </c>
    </row>
    <row r="33" spans="1:11" ht="15.6">
      <c r="A33" s="28" t="str">
        <v>Great Barrington – 3 Nolan  Drive</v>
      </c>
      <c r="B33" s="29" t="str">
        <v>MA</v>
      </c>
      <c r="C33" s="58">
        <v>55040</v>
      </c>
      <c r="D33" s="18">
        <v>97230.93058</v>
      </c>
      <c r="E33" s="18">
        <f t="shared" si="0"/>
        <v>-42190.93058</v>
      </c>
      <c r="F33" s="52">
        <f t="shared" si="3"/>
        <v>-0.43392499000393708</v>
      </c>
      <c r="G33" s="50">
        <v>112112.88</v>
      </c>
      <c r="H33" s="50">
        <f t="shared" si="1"/>
        <v>-57072.880000000005</v>
      </c>
      <c r="I33" s="52">
        <f t="shared" si="2"/>
        <v>-0.50906621968858534</v>
      </c>
      <c r="J33" s="85" t="s">
        <v>67</v>
      </c>
      <c r="K33" s="86"/>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59" t="s">
        <v>67</v>
      </c>
      <c r="K34" s="59"/>
    </row>
    <row r="35" spans="1:11" ht="14.45">
      <c r="A35" s="21" t="str">
        <v>NY: New Windsor - Moores Hill</v>
      </c>
      <c r="B35" s="31" t="str">
        <v>NY</v>
      </c>
      <c r="C35" s="21"/>
      <c r="D35" s="21"/>
      <c r="E35" s="18" t="str">
        <f t="shared" si="0"/>
        <v/>
      </c>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C19" activePane="bottomRight" state="frozen"/>
      <selection pane="bottomRight" activeCell="U7" sqref="U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12" t="str" cm="1">
        <f t="array" ref="A1">portfolio</f>
        <v>Lodestar</v>
      </c>
      <c r="B1" s="112"/>
      <c r="C1" s="112"/>
      <c r="D1" s="113" t="s">
        <v>70</v>
      </c>
      <c r="E1" s="113"/>
      <c r="F1" s="113"/>
      <c r="G1" s="111" t="s">
        <v>71</v>
      </c>
      <c r="H1" s="111"/>
      <c r="I1" s="111"/>
      <c r="J1" s="4"/>
      <c r="K1" s="4"/>
    </row>
    <row r="2" spans="1:20" ht="19.5" customHeight="1">
      <c r="A2" s="114" t="s">
        <v>2</v>
      </c>
      <c r="B2" s="114"/>
      <c r="C2" s="5">
        <f>SUM(C4:C103)</f>
        <v>4097242.2184298332</v>
      </c>
      <c r="D2" s="5">
        <f>SUM(D4:D103)</f>
        <v>5706989.1617099997</v>
      </c>
      <c r="E2" s="5">
        <f>C2-D2</f>
        <v>-1609746.9432801665</v>
      </c>
      <c r="F2" s="6">
        <f>IFERROR(E2/D2, 0)</f>
        <v>-0.2820658840707933</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2">
      <c r="A4" s="61" t="str" cm="1">
        <f t="array" ref="A4:A35">Sites[Site]</f>
        <v>Barkhamsted</v>
      </c>
      <c r="B4" s="27" t="str" cm="1">
        <f t="array" ref="B4:B35">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0" t="s">
        <v>73</v>
      </c>
      <c r="L4" s="74"/>
      <c r="M4" s="74"/>
      <c r="N4" s="74"/>
      <c r="O4" s="74"/>
      <c r="P4" s="74"/>
      <c r="Q4" s="74"/>
      <c r="R4" s="74"/>
      <c r="S4" s="74"/>
      <c r="T4" s="74"/>
    </row>
    <row r="5" spans="1:20" ht="86.45">
      <c r="A5" s="44" t="str">
        <v>Bunce</v>
      </c>
      <c r="B5" s="29" t="str">
        <v>CT</v>
      </c>
      <c r="C5" s="11">
        <v>152247</v>
      </c>
      <c r="D5" s="18">
        <v>205046.7</v>
      </c>
      <c r="E5" s="18">
        <f t="shared" ref="E5:E34" si="0">IF(AND(ISNUMBER(C5),ISNUMBER(D5)), C5-D5, "")</f>
        <v>-52799.700000000012</v>
      </c>
      <c r="F5" s="19">
        <f>IFERROR(E5/D5, "")</f>
        <v>-0.2575008522448789</v>
      </c>
      <c r="G5" s="66" t="s">
        <v>24</v>
      </c>
      <c r="H5" s="20" t="str">
        <f t="shared" ref="H5:H34" si="1">IF(AND(ISNUMBER(C5),ISNUMBER(G5)), C5-G5, "")</f>
        <v/>
      </c>
      <c r="I5" s="19" t="str">
        <f t="shared" ref="I5:I27" si="2">IFERROR(H5/G5, "")</f>
        <v/>
      </c>
      <c r="J5" s="39" t="s">
        <v>74</v>
      </c>
      <c r="K5" s="71" t="s">
        <v>75</v>
      </c>
      <c r="L5" s="75" t="s">
        <v>76</v>
      </c>
      <c r="M5" s="74"/>
      <c r="N5" s="74"/>
      <c r="O5" s="74"/>
      <c r="P5" s="74"/>
      <c r="Q5" s="74"/>
      <c r="R5" s="74"/>
      <c r="S5" s="74"/>
      <c r="T5" s="74"/>
    </row>
    <row r="6" spans="1:20" ht="129.6">
      <c r="A6" s="61"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0" t="s">
        <v>78</v>
      </c>
      <c r="L6" s="75" t="s">
        <v>79</v>
      </c>
      <c r="M6" s="75" t="s">
        <v>80</v>
      </c>
      <c r="N6" s="75" t="s">
        <v>81</v>
      </c>
      <c r="O6" s="74"/>
      <c r="P6" s="74"/>
      <c r="Q6" s="74"/>
      <c r="R6" s="74"/>
      <c r="S6" s="74"/>
      <c r="T6" s="74"/>
    </row>
    <row r="7" spans="1:20" ht="43.15">
      <c r="A7" s="44"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2" t="s">
        <v>83</v>
      </c>
      <c r="L7" s="74"/>
      <c r="M7" s="74"/>
      <c r="N7" s="74"/>
      <c r="O7" s="74"/>
      <c r="P7" s="74"/>
      <c r="Q7" s="74"/>
      <c r="R7" s="74"/>
      <c r="S7" s="74"/>
      <c r="T7" s="74"/>
    </row>
    <row r="8" spans="1:20" ht="81.75" customHeight="1">
      <c r="A8" s="61"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0" t="s">
        <v>85</v>
      </c>
      <c r="L8" s="74"/>
      <c r="M8" s="74"/>
      <c r="N8" s="74"/>
      <c r="O8" s="74"/>
      <c r="P8" s="74"/>
      <c r="Q8" s="74"/>
      <c r="R8" s="74"/>
      <c r="S8" s="74"/>
      <c r="T8" s="74"/>
    </row>
    <row r="9" spans="1:20" ht="46.5" customHeight="1">
      <c r="A9" s="44"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8" t="s">
        <v>86</v>
      </c>
      <c r="K9" s="73" t="s">
        <v>87</v>
      </c>
      <c r="L9" s="75" t="s">
        <v>88</v>
      </c>
      <c r="M9" s="74"/>
      <c r="N9" s="74"/>
      <c r="O9" s="74"/>
      <c r="P9" s="74"/>
      <c r="Q9" s="74"/>
      <c r="R9" s="74"/>
      <c r="S9" s="74"/>
      <c r="T9" s="74"/>
    </row>
    <row r="10" spans="1:20" ht="72">
      <c r="A10" s="61"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0" t="s">
        <v>90</v>
      </c>
      <c r="L10" s="75" t="s">
        <v>91</v>
      </c>
      <c r="M10" s="75" t="s">
        <v>92</v>
      </c>
      <c r="N10" s="74"/>
      <c r="O10" s="74"/>
      <c r="P10" s="74"/>
      <c r="Q10" s="74"/>
      <c r="R10" s="74"/>
      <c r="S10" s="74"/>
      <c r="T10" s="74"/>
    </row>
    <row r="11" spans="1:20" ht="43.15">
      <c r="A11" s="44"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1" t="s">
        <v>94</v>
      </c>
      <c r="L11" s="75" t="s">
        <v>95</v>
      </c>
      <c r="M11" s="74"/>
      <c r="N11" s="74"/>
      <c r="O11" s="74"/>
      <c r="P11" s="74"/>
      <c r="Q11" s="74"/>
      <c r="R11" s="74"/>
      <c r="S11" s="74"/>
      <c r="T11" s="74"/>
    </row>
    <row r="12" spans="1:20" ht="72">
      <c r="A12" s="61"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0" t="s">
        <v>97</v>
      </c>
      <c r="L12" s="75" t="s">
        <v>98</v>
      </c>
      <c r="M12" s="75" t="s">
        <v>99</v>
      </c>
      <c r="N12" s="75" t="s">
        <v>100</v>
      </c>
      <c r="O12" s="74"/>
      <c r="P12" s="74"/>
      <c r="Q12" s="74"/>
      <c r="R12" s="74"/>
      <c r="S12" s="74"/>
      <c r="T12" s="74"/>
    </row>
    <row r="13" spans="1:20" ht="187.15">
      <c r="A13" s="44"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1" t="s">
        <v>102</v>
      </c>
      <c r="L13" s="75" t="s">
        <v>103</v>
      </c>
      <c r="M13" s="75" t="s">
        <v>104</v>
      </c>
      <c r="N13" s="75" t="s">
        <v>105</v>
      </c>
      <c r="O13" s="75" t="s">
        <v>106</v>
      </c>
      <c r="P13" s="75" t="s">
        <v>107</v>
      </c>
      <c r="Q13" s="75" t="s">
        <v>108</v>
      </c>
      <c r="R13" s="75" t="s">
        <v>109</v>
      </c>
      <c r="S13" s="75" t="s">
        <v>110</v>
      </c>
      <c r="T13" s="74"/>
    </row>
    <row r="14" spans="1:20" ht="15.6">
      <c r="A14" s="43"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4"/>
      <c r="M14" s="74"/>
      <c r="N14" s="74"/>
      <c r="O14" s="74"/>
      <c r="P14" s="74"/>
      <c r="Q14" s="74"/>
      <c r="R14" s="74"/>
      <c r="S14" s="74"/>
      <c r="T14" s="74"/>
    </row>
    <row r="15" spans="1:20" ht="15.6">
      <c r="A15" s="44" t="str">
        <v>Bedford - 205 Burlington Rd</v>
      </c>
      <c r="B15" s="29" t="str">
        <v>MA</v>
      </c>
      <c r="C15" s="60">
        <v>6760</v>
      </c>
      <c r="D15" s="18" t="s">
        <v>24</v>
      </c>
      <c r="E15" s="18" t="str">
        <f t="shared" si="0"/>
        <v/>
      </c>
      <c r="F15" s="19" t="str">
        <f t="shared" si="3"/>
        <v/>
      </c>
      <c r="G15" s="66" t="s">
        <v>24</v>
      </c>
      <c r="H15" s="20" t="str">
        <f t="shared" si="1"/>
        <v/>
      </c>
      <c r="I15" s="19" t="str">
        <f t="shared" si="2"/>
        <v/>
      </c>
      <c r="J15" s="39"/>
      <c r="K15" s="39"/>
      <c r="L15" s="74"/>
      <c r="M15" s="74"/>
      <c r="N15" s="74"/>
      <c r="O15" s="74"/>
      <c r="P15" s="74"/>
      <c r="Q15" s="74"/>
      <c r="R15" s="74"/>
      <c r="S15" s="74"/>
      <c r="T15" s="74"/>
    </row>
    <row r="16" spans="1:20" ht="15.6">
      <c r="A16" s="43" t="str">
        <v>Billerica - 6 Cook Street</v>
      </c>
      <c r="B16" s="27" t="str">
        <v>MA</v>
      </c>
      <c r="C16" s="24">
        <v>5612</v>
      </c>
      <c r="D16" s="13" t="s">
        <v>24</v>
      </c>
      <c r="E16" s="13" t="str">
        <f t="shared" si="0"/>
        <v/>
      </c>
      <c r="F16" s="14" t="str">
        <f t="shared" si="3"/>
        <v/>
      </c>
      <c r="G16" s="67" t="s">
        <v>24</v>
      </c>
      <c r="H16" s="15" t="str">
        <f t="shared" si="1"/>
        <v/>
      </c>
      <c r="I16" s="16" t="str">
        <f t="shared" si="2"/>
        <v/>
      </c>
      <c r="J16" s="38"/>
      <c r="K16" s="38"/>
      <c r="L16" s="74"/>
      <c r="M16" s="74"/>
      <c r="N16" s="74"/>
      <c r="O16" s="74"/>
      <c r="P16" s="74"/>
      <c r="Q16" s="74"/>
      <c r="R16" s="74"/>
      <c r="S16" s="74"/>
      <c r="T16" s="74"/>
    </row>
    <row r="17" spans="1:20" ht="28.9">
      <c r="A17" s="44" t="str">
        <v>Billerica - 780 Boston Road</v>
      </c>
      <c r="B17" s="29" t="str">
        <v>MA</v>
      </c>
      <c r="C17" s="11">
        <v>6214</v>
      </c>
      <c r="D17" s="18" t="s">
        <v>24</v>
      </c>
      <c r="E17" s="18" t="str">
        <f t="shared" si="0"/>
        <v/>
      </c>
      <c r="F17" s="19" t="str">
        <f t="shared" si="3"/>
        <v/>
      </c>
      <c r="G17" s="66" t="s">
        <v>24</v>
      </c>
      <c r="H17" s="20" t="str">
        <f t="shared" si="1"/>
        <v/>
      </c>
      <c r="I17" s="19" t="str">
        <f t="shared" si="2"/>
        <v/>
      </c>
      <c r="J17" s="39" t="s">
        <v>111</v>
      </c>
      <c r="K17" s="73" t="s">
        <v>112</v>
      </c>
      <c r="L17" s="74"/>
      <c r="M17" s="74"/>
      <c r="N17" s="74"/>
      <c r="O17" s="74"/>
      <c r="P17" s="74"/>
      <c r="Q17" s="74"/>
      <c r="R17" s="74"/>
      <c r="S17" s="74"/>
      <c r="T17" s="74"/>
    </row>
    <row r="18" spans="1:20" ht="16.5" customHeight="1">
      <c r="A18" s="43"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4"/>
      <c r="M18" s="74"/>
      <c r="N18" s="74"/>
      <c r="O18" s="74"/>
      <c r="P18" s="74"/>
      <c r="Q18" s="74"/>
      <c r="R18" s="74"/>
      <c r="S18" s="74"/>
      <c r="T18" s="74"/>
    </row>
    <row r="19" spans="1:20" ht="172.9">
      <c r="A19" s="44"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1" t="s">
        <v>114</v>
      </c>
      <c r="L19" s="75" t="s">
        <v>115</v>
      </c>
      <c r="M19" s="75" t="s">
        <v>116</v>
      </c>
      <c r="N19" s="75" t="s">
        <v>117</v>
      </c>
      <c r="O19" s="75" t="s">
        <v>118</v>
      </c>
      <c r="P19" s="74"/>
      <c r="Q19" s="74"/>
      <c r="R19" s="74"/>
      <c r="S19" s="74"/>
      <c r="T19" s="74"/>
    </row>
    <row r="20" spans="1:20" ht="86.45">
      <c r="A20" s="61" t="str">
        <v>Monument Valley</v>
      </c>
      <c r="B20" s="27" t="str">
        <v>MA</v>
      </c>
      <c r="C20" s="24">
        <v>117707.10576922999</v>
      </c>
      <c r="D20" s="13">
        <v>46997.43</v>
      </c>
      <c r="E20" s="13">
        <f t="shared" si="0"/>
        <v>70709.675769230002</v>
      </c>
      <c r="F20" s="14">
        <f t="shared" si="3"/>
        <v>1.5045434562960145</v>
      </c>
      <c r="G20" s="67" t="s">
        <v>24</v>
      </c>
      <c r="H20" s="15" t="str">
        <f t="shared" si="1"/>
        <v/>
      </c>
      <c r="I20" s="16" t="str">
        <f t="shared" si="2"/>
        <v/>
      </c>
      <c r="J20" s="38" t="s">
        <v>119</v>
      </c>
      <c r="K20" s="70" t="s">
        <v>120</v>
      </c>
      <c r="L20" s="75" t="s">
        <v>121</v>
      </c>
      <c r="M20" s="74"/>
      <c r="N20" s="74"/>
      <c r="O20" s="74"/>
      <c r="P20" s="74"/>
      <c r="Q20" s="74"/>
      <c r="R20" s="74"/>
      <c r="S20" s="74"/>
      <c r="T20" s="74"/>
    </row>
    <row r="21" spans="1:20" ht="28.9">
      <c r="A21" s="44"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1" t="s">
        <v>123</v>
      </c>
      <c r="L21" s="74"/>
      <c r="M21" s="74"/>
      <c r="N21" s="74"/>
      <c r="O21" s="74"/>
      <c r="P21" s="74"/>
      <c r="Q21" s="74"/>
      <c r="R21" s="74"/>
      <c r="S21" s="74"/>
      <c r="T21" s="74"/>
    </row>
    <row r="22" spans="1:20" ht="144">
      <c r="A22" s="61"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0" t="s">
        <v>125</v>
      </c>
      <c r="L22" s="75" t="s">
        <v>126</v>
      </c>
      <c r="M22" s="75" t="s">
        <v>127</v>
      </c>
      <c r="N22" s="75" t="s">
        <v>128</v>
      </c>
      <c r="O22" s="75" t="s">
        <v>129</v>
      </c>
      <c r="P22" s="74"/>
      <c r="Q22" s="74"/>
      <c r="R22" s="74"/>
      <c r="S22" s="74"/>
      <c r="T22" s="74"/>
    </row>
    <row r="23" spans="1:20" ht="244.9">
      <c r="A23" s="44" t="str">
        <v>Sandwich</v>
      </c>
      <c r="B23" s="29" t="str">
        <v>MA</v>
      </c>
      <c r="C23" s="11">
        <v>315624</v>
      </c>
      <c r="D23" s="18" t="s">
        <v>24</v>
      </c>
      <c r="E23" s="18" t="str">
        <f t="shared" si="0"/>
        <v/>
      </c>
      <c r="F23" s="19" t="str">
        <f t="shared" si="3"/>
        <v/>
      </c>
      <c r="G23" s="20">
        <v>367963</v>
      </c>
      <c r="H23" s="20">
        <f t="shared" si="1"/>
        <v>-52339</v>
      </c>
      <c r="I23" s="19">
        <f t="shared" si="2"/>
        <v>-0.14223984476700102</v>
      </c>
      <c r="J23" s="39" t="s">
        <v>130</v>
      </c>
      <c r="K23" s="71" t="s">
        <v>131</v>
      </c>
      <c r="L23" s="75" t="s">
        <v>132</v>
      </c>
      <c r="M23" s="75" t="s">
        <v>133</v>
      </c>
      <c r="N23" s="74"/>
      <c r="O23" s="74"/>
      <c r="P23" s="74"/>
      <c r="Q23" s="74"/>
      <c r="R23" s="74"/>
      <c r="S23" s="74"/>
      <c r="T23" s="74"/>
    </row>
    <row r="24" spans="1:20" ht="100.9">
      <c r="A24" s="61"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0" t="s">
        <v>135</v>
      </c>
      <c r="L24" s="75" t="s">
        <v>136</v>
      </c>
      <c r="M24" s="74"/>
      <c r="N24" s="74"/>
      <c r="O24" s="74"/>
      <c r="P24" s="74"/>
      <c r="Q24" s="74"/>
      <c r="R24" s="74"/>
      <c r="S24" s="74"/>
      <c r="T24" s="74"/>
    </row>
    <row r="25" spans="1:20" ht="15.6">
      <c r="A25" s="44"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4"/>
      <c r="M25" s="74"/>
      <c r="N25" s="74"/>
      <c r="O25" s="74"/>
      <c r="P25" s="74"/>
      <c r="Q25" s="74"/>
      <c r="R25" s="74"/>
      <c r="S25" s="74"/>
      <c r="T25" s="74"/>
    </row>
    <row r="26" spans="1:20" ht="15.6">
      <c r="A26" s="43"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4"/>
      <c r="M26" s="74"/>
      <c r="N26" s="74"/>
      <c r="O26" s="74"/>
      <c r="P26" s="74"/>
      <c r="Q26" s="74"/>
      <c r="R26" s="74"/>
      <c r="S26" s="74"/>
      <c r="T26" s="74"/>
    </row>
    <row r="27" spans="1:20" ht="115.15">
      <c r="A27" s="44"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1" t="s">
        <v>138</v>
      </c>
      <c r="L27" s="75" t="s">
        <v>139</v>
      </c>
      <c r="M27" s="75" t="s">
        <v>140</v>
      </c>
      <c r="N27" s="74"/>
      <c r="O27" s="74"/>
      <c r="P27" s="74"/>
      <c r="Q27" s="74"/>
      <c r="R27" s="74"/>
      <c r="S27" s="74"/>
      <c r="T27" s="74"/>
    </row>
    <row r="28" spans="1:20" ht="50.25" customHeight="1">
      <c r="A28" s="61"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0" t="s">
        <v>142</v>
      </c>
      <c r="L28" s="74"/>
      <c r="M28" s="74"/>
      <c r="N28" s="74"/>
      <c r="O28" s="74"/>
      <c r="P28" s="74"/>
      <c r="Q28" s="74"/>
      <c r="R28" s="74"/>
      <c r="S28" s="74"/>
      <c r="T28" s="74"/>
    </row>
    <row r="29" spans="1:20" ht="57.6">
      <c r="A29" s="44" t="str">
        <v>Bradford - 256 Presidential Dr</v>
      </c>
      <c r="B29" s="29" t="str">
        <v>MA</v>
      </c>
      <c r="C29" s="58">
        <v>341831</v>
      </c>
      <c r="D29" s="18">
        <v>434992</v>
      </c>
      <c r="E29" s="18">
        <f>IF(AND(ISNUMBER(C29),ISNUMBER(D29)), C29-D29, "")</f>
        <v>-93161</v>
      </c>
      <c r="F29" s="52">
        <f>IFERROR(E29/D29, "")</f>
        <v>-0.21416715709714201</v>
      </c>
      <c r="G29" s="50">
        <v>529201.80000000005</v>
      </c>
      <c r="H29" s="50">
        <f>IF(AND(ISNUMBER(C29),ISNUMBER(G29)), C29-G29, "")</f>
        <v>-187370.80000000005</v>
      </c>
      <c r="I29" s="52">
        <f>IFERROR(H29/G29, "")</f>
        <v>-0.35406304362532409</v>
      </c>
      <c r="J29" s="39" t="s">
        <v>143</v>
      </c>
      <c r="K29" s="71" t="s">
        <v>144</v>
      </c>
      <c r="L29" s="75" t="s">
        <v>145</v>
      </c>
      <c r="M29" s="75" t="s">
        <v>146</v>
      </c>
      <c r="N29" s="74"/>
      <c r="O29" s="74"/>
      <c r="P29" s="74"/>
      <c r="Q29" s="74"/>
      <c r="R29" s="74"/>
      <c r="S29" s="74"/>
      <c r="T29" s="74"/>
    </row>
    <row r="30" spans="1:20" ht="62.25" customHeight="1">
      <c r="A30" s="61"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0" t="s">
        <v>148</v>
      </c>
      <c r="L30" s="75" t="s">
        <v>149</v>
      </c>
      <c r="M30" s="74"/>
      <c r="N30" s="74"/>
      <c r="O30" s="74"/>
      <c r="P30" s="74"/>
      <c r="Q30" s="74"/>
      <c r="R30" s="74"/>
      <c r="S30" s="74"/>
      <c r="T30" s="74"/>
    </row>
    <row r="31" spans="1:20" ht="100.9">
      <c r="A31" s="44" t="str">
        <v>Charlton – 154 Center Depot Road KMARD</v>
      </c>
      <c r="B31" s="29" t="str">
        <v>MA</v>
      </c>
      <c r="C31" s="11">
        <v>20320</v>
      </c>
      <c r="D31" s="18">
        <v>53693.110959999998</v>
      </c>
      <c r="E31" s="18">
        <f t="shared" si="0"/>
        <v>-33373.110959999998</v>
      </c>
      <c r="F31" s="52">
        <f t="shared" si="3"/>
        <v>-0.62155293972185965</v>
      </c>
      <c r="G31" s="20">
        <v>59765.73</v>
      </c>
      <c r="H31" s="50">
        <f t="shared" si="1"/>
        <v>-39445.730000000003</v>
      </c>
      <c r="I31" s="52">
        <f t="shared" si="4"/>
        <v>-0.66000582608126768</v>
      </c>
      <c r="J31" s="39" t="s">
        <v>150</v>
      </c>
      <c r="K31" s="71" t="s">
        <v>151</v>
      </c>
      <c r="L31" s="75" t="s">
        <v>152</v>
      </c>
      <c r="M31" s="75" t="s">
        <v>153</v>
      </c>
      <c r="N31" s="74"/>
      <c r="O31" s="74"/>
      <c r="P31" s="74"/>
      <c r="Q31" s="74"/>
      <c r="R31" s="74"/>
      <c r="S31" s="74"/>
      <c r="T31" s="74"/>
    </row>
    <row r="32" spans="1:20" ht="72">
      <c r="A32" s="43"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0" t="s">
        <v>155</v>
      </c>
      <c r="L32" s="75" t="s">
        <v>156</v>
      </c>
      <c r="M32" s="74"/>
      <c r="N32" s="74"/>
      <c r="O32" s="74"/>
      <c r="P32" s="74"/>
      <c r="Q32" s="74"/>
      <c r="R32" s="74"/>
      <c r="S32" s="74"/>
      <c r="T32" s="74"/>
    </row>
    <row r="33" spans="1:20" ht="86.45">
      <c r="A33" s="44" t="str">
        <v>Great Barrington – 3 Nolan  Drive</v>
      </c>
      <c r="B33" s="29" t="str">
        <v>MA</v>
      </c>
      <c r="C33" s="11">
        <v>50410</v>
      </c>
      <c r="D33" s="18">
        <v>106085.9679</v>
      </c>
      <c r="E33" s="18">
        <f t="shared" si="0"/>
        <v>-55675.967900000003</v>
      </c>
      <c r="F33" s="52">
        <f t="shared" si="3"/>
        <v>-0.52481934229493887</v>
      </c>
      <c r="G33" s="20">
        <v>123737.26</v>
      </c>
      <c r="H33" s="50">
        <f t="shared" si="1"/>
        <v>-73327.259999999995</v>
      </c>
      <c r="I33" s="52">
        <f t="shared" si="4"/>
        <v>-0.59260452348791304</v>
      </c>
      <c r="J33" s="39" t="s">
        <v>157</v>
      </c>
      <c r="K33" s="73" t="s">
        <v>158</v>
      </c>
      <c r="L33" s="75" t="s">
        <v>159</v>
      </c>
      <c r="M33" s="74"/>
      <c r="N33" s="74"/>
      <c r="O33" s="74"/>
      <c r="P33" s="74"/>
      <c r="Q33" s="74"/>
      <c r="R33" s="74"/>
      <c r="S33" s="74"/>
      <c r="T33" s="74"/>
    </row>
    <row r="34" spans="1:20" ht="273.60000000000002">
      <c r="A34" s="61"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0" t="s">
        <v>161</v>
      </c>
      <c r="L34" s="75" t="s">
        <v>162</v>
      </c>
      <c r="M34" s="75" t="s">
        <v>162</v>
      </c>
      <c r="N34" s="75" t="s">
        <v>163</v>
      </c>
      <c r="O34" s="75" t="s">
        <v>164</v>
      </c>
      <c r="P34" s="75" t="s">
        <v>164</v>
      </c>
      <c r="Q34" s="75" t="s">
        <v>165</v>
      </c>
      <c r="R34" s="75" t="s">
        <v>166</v>
      </c>
      <c r="S34" s="75" t="s">
        <v>167</v>
      </c>
      <c r="T34" s="74"/>
    </row>
    <row r="35" spans="1:20" ht="14.45">
      <c r="A35" s="21" t="str">
        <v>NY: New Windsor - Moores Hill</v>
      </c>
      <c r="B35" s="31" t="str">
        <v>NY</v>
      </c>
      <c r="C35" s="21"/>
      <c r="D35" s="21"/>
      <c r="E35" s="21"/>
      <c r="F35" s="21"/>
      <c r="G35" s="21"/>
      <c r="H35" s="21"/>
      <c r="I35" s="65"/>
      <c r="J35" s="21"/>
      <c r="K35" s="21"/>
    </row>
    <row r="36" spans="1:20" ht="15.6">
      <c r="A36" s="44"/>
      <c r="B36" s="29"/>
      <c r="C36" s="11"/>
      <c r="D36" s="18"/>
      <c r="E36" s="18"/>
      <c r="F36" s="52"/>
      <c r="G36" s="20"/>
      <c r="H36" s="50"/>
      <c r="I36" s="64"/>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20" activePane="bottomRight" state="frozen"/>
      <selection pane="bottomRight" activeCell="J13" sqref="J13"/>
      <selection pane="bottomLeft" activeCell="J38" sqref="J38"/>
      <selection pane="topRight" activeCell="J38" sqref="J38"/>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112" t="str" cm="1">
        <f t="array" ref="A1">portfolio</f>
        <v>Lodestar</v>
      </c>
      <c r="B1" s="112"/>
      <c r="C1" s="112"/>
      <c r="D1" s="113" t="s">
        <v>18</v>
      </c>
      <c r="E1" s="113"/>
      <c r="F1" s="113"/>
      <c r="G1" s="111" t="s">
        <v>19</v>
      </c>
      <c r="H1" s="111"/>
      <c r="I1" s="111"/>
      <c r="J1" s="4"/>
      <c r="K1" s="4"/>
    </row>
    <row r="2" spans="1:22" ht="19.5" customHeight="1">
      <c r="A2" s="114" t="s">
        <v>2</v>
      </c>
      <c r="B2" s="114"/>
      <c r="C2" s="5">
        <f>SUM(C4:C103)</f>
        <v>8516922.4647565279</v>
      </c>
      <c r="D2" s="5">
        <f>SUM(D4:D103)</f>
        <v>7921237.0293100001</v>
      </c>
      <c r="E2" s="5">
        <f>C2-D2</f>
        <v>595685.43544652779</v>
      </c>
      <c r="F2" s="6">
        <f>IFERROR(E2/D2, 0)</f>
        <v>7.5201061809207909E-2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3.15">
      <c r="A4" s="30" t="str" cm="1">
        <f t="array" ref="A4:A35">Sites[Site]</f>
        <v>Barkhamsted</v>
      </c>
      <c r="B4" s="27" t="str" cm="1">
        <f t="array" ref="B4:B35">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0" t="s">
        <v>169</v>
      </c>
      <c r="L4" s="75" t="s">
        <v>170</v>
      </c>
      <c r="M4" s="74"/>
      <c r="N4" s="74"/>
      <c r="O4" s="74"/>
      <c r="P4" s="74"/>
      <c r="Q4" s="74"/>
      <c r="R4" s="74"/>
      <c r="S4" s="74"/>
      <c r="T4" s="74"/>
      <c r="U4" s="74"/>
      <c r="V4" s="74"/>
    </row>
    <row r="5" spans="1:22" ht="15.6">
      <c r="A5" s="28" t="str">
        <v>Bunce</v>
      </c>
      <c r="B5" s="29" t="str">
        <v>CT</v>
      </c>
      <c r="C5" s="11">
        <v>301622.5</v>
      </c>
      <c r="D5" s="18">
        <v>282807.59999999998</v>
      </c>
      <c r="E5" s="18">
        <f t="shared" ref="E5:E34" si="0">IF(AND(ISNUMBER(C5),ISNUMBER(D5)), C5-D5, "")</f>
        <v>18814.900000000023</v>
      </c>
      <c r="F5" s="19">
        <f>IFERROR(E5/D5, "")</f>
        <v>6.6528975883250754E-2</v>
      </c>
      <c r="G5" s="66" t="s">
        <v>171</v>
      </c>
      <c r="H5" s="20" t="str">
        <f t="shared" ref="H5:H34" si="1">IF(AND(ISNUMBER(C5),ISNUMBER(G5)), C5-G5, "")</f>
        <v/>
      </c>
      <c r="I5" s="19" t="str">
        <f t="shared" ref="I5:I34" si="2">IFERROR(H5/G5, "")</f>
        <v/>
      </c>
      <c r="J5" s="48"/>
      <c r="K5" s="48"/>
      <c r="L5" s="74"/>
      <c r="M5" s="74"/>
      <c r="N5" s="74"/>
      <c r="O5" s="74"/>
      <c r="P5" s="74"/>
      <c r="Q5" s="74"/>
      <c r="R5" s="74"/>
      <c r="S5" s="74"/>
      <c r="T5" s="74"/>
      <c r="U5" s="74"/>
      <c r="V5" s="74"/>
    </row>
    <row r="6" spans="1:22" ht="86.4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0" t="s">
        <v>173</v>
      </c>
      <c r="L6" s="75" t="s">
        <v>174</v>
      </c>
      <c r="M6" s="75" t="s">
        <v>175</v>
      </c>
      <c r="N6" s="74"/>
      <c r="O6" s="74"/>
      <c r="P6" s="74"/>
      <c r="Q6" s="74"/>
      <c r="R6" s="74"/>
      <c r="S6" s="74"/>
      <c r="T6" s="74"/>
      <c r="U6" s="74"/>
      <c r="V6" s="74"/>
    </row>
    <row r="7" spans="1:22" ht="57.6">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1" t="s">
        <v>177</v>
      </c>
      <c r="L7" s="75" t="s">
        <v>178</v>
      </c>
      <c r="M7" s="74"/>
      <c r="N7" s="74"/>
      <c r="O7" s="74"/>
      <c r="P7" s="74"/>
      <c r="Q7" s="74"/>
      <c r="R7" s="74"/>
      <c r="S7" s="74"/>
      <c r="T7" s="74"/>
      <c r="U7" s="74"/>
      <c r="V7" s="74"/>
    </row>
    <row r="8" spans="1:22" ht="144">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0" t="s">
        <v>180</v>
      </c>
      <c r="L8" s="75" t="s">
        <v>181</v>
      </c>
      <c r="M8" s="75" t="s">
        <v>182</v>
      </c>
      <c r="N8" s="75" t="s">
        <v>183</v>
      </c>
      <c r="O8" s="75" t="s">
        <v>184</v>
      </c>
      <c r="P8" s="74"/>
      <c r="Q8" s="74"/>
      <c r="R8" s="74"/>
      <c r="S8" s="74"/>
      <c r="T8" s="74"/>
      <c r="U8" s="74"/>
      <c r="V8" s="74"/>
    </row>
    <row r="9" spans="1:22" ht="43.1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1" t="s">
        <v>186</v>
      </c>
      <c r="L9" s="74"/>
      <c r="M9" s="74"/>
      <c r="N9" s="74"/>
      <c r="O9" s="74"/>
      <c r="P9" s="74"/>
      <c r="Q9" s="74"/>
      <c r="R9" s="74"/>
      <c r="S9" s="74"/>
      <c r="T9" s="74"/>
      <c r="U9" s="74"/>
      <c r="V9" s="74"/>
    </row>
    <row r="10" spans="1:22" ht="15.6">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4"/>
      <c r="M10" s="74"/>
      <c r="N10" s="74"/>
      <c r="O10" s="74"/>
      <c r="P10" s="74"/>
      <c r="Q10" s="74"/>
      <c r="R10" s="74"/>
      <c r="S10" s="74"/>
      <c r="T10" s="74"/>
      <c r="U10" s="74"/>
      <c r="V10" s="74"/>
    </row>
    <row r="11" spans="1:22" ht="43.1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3" t="s">
        <v>188</v>
      </c>
      <c r="L11" s="74"/>
      <c r="M11" s="74"/>
      <c r="N11" s="74"/>
      <c r="O11" s="74"/>
      <c r="P11" s="74"/>
      <c r="Q11" s="74"/>
      <c r="R11" s="74"/>
      <c r="S11" s="74"/>
      <c r="T11" s="74"/>
      <c r="U11" s="74"/>
      <c r="V11" s="74"/>
    </row>
    <row r="12" spans="1:22" ht="172.9">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0" t="s">
        <v>190</v>
      </c>
      <c r="L12" s="75" t="s">
        <v>191</v>
      </c>
      <c r="M12" s="75" t="s">
        <v>192</v>
      </c>
      <c r="N12" s="75" t="s">
        <v>193</v>
      </c>
      <c r="O12" s="74"/>
      <c r="P12" s="74"/>
      <c r="Q12" s="74"/>
      <c r="R12" s="74"/>
      <c r="S12" s="74"/>
      <c r="T12" s="74"/>
      <c r="U12" s="74"/>
      <c r="V12" s="74"/>
    </row>
    <row r="13" spans="1:22" ht="230.4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1" t="s">
        <v>195</v>
      </c>
      <c r="L13" s="75" t="s">
        <v>103</v>
      </c>
      <c r="M13" s="75" t="s">
        <v>104</v>
      </c>
      <c r="N13" s="75" t="s">
        <v>105</v>
      </c>
      <c r="O13" s="75" t="s">
        <v>106</v>
      </c>
      <c r="P13" s="75" t="s">
        <v>107</v>
      </c>
      <c r="Q13" s="75" t="s">
        <v>110</v>
      </c>
      <c r="R13" s="75" t="s">
        <v>196</v>
      </c>
      <c r="S13" s="75" t="s">
        <v>197</v>
      </c>
      <c r="T13" s="75" t="s">
        <v>198</v>
      </c>
      <c r="U13" s="75" t="s">
        <v>199</v>
      </c>
      <c r="V13" s="74"/>
    </row>
    <row r="14" spans="1:22" ht="28.9">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0" t="s">
        <v>201</v>
      </c>
      <c r="L14" s="74"/>
      <c r="M14" s="74"/>
      <c r="N14" s="74"/>
      <c r="O14" s="74"/>
      <c r="P14" s="74"/>
      <c r="Q14" s="74"/>
      <c r="R14" s="74"/>
      <c r="S14" s="74"/>
      <c r="T14" s="74"/>
      <c r="U14" s="74"/>
      <c r="V14" s="74"/>
    </row>
    <row r="15" spans="1:22" ht="15.6">
      <c r="A15" s="28" t="str">
        <v>Bedford - 205 Burlington Rd</v>
      </c>
      <c r="B15" s="29" t="str">
        <v>MA</v>
      </c>
      <c r="C15" s="11">
        <v>35447</v>
      </c>
      <c r="D15" s="18" t="s">
        <v>171</v>
      </c>
      <c r="E15" s="18" t="str">
        <f t="shared" si="0"/>
        <v/>
      </c>
      <c r="F15" s="19" t="str">
        <f t="shared" si="3"/>
        <v/>
      </c>
      <c r="G15" s="66" t="s">
        <v>171</v>
      </c>
      <c r="H15" s="20" t="str">
        <f t="shared" si="1"/>
        <v/>
      </c>
      <c r="I15" s="19" t="str">
        <f t="shared" si="2"/>
        <v/>
      </c>
      <c r="J15" s="39"/>
      <c r="K15" s="39"/>
      <c r="L15" s="74"/>
      <c r="M15" s="74"/>
      <c r="N15" s="74"/>
      <c r="O15" s="74"/>
      <c r="P15" s="74"/>
      <c r="Q15" s="74"/>
      <c r="R15" s="74"/>
      <c r="S15" s="74"/>
      <c r="T15" s="74"/>
      <c r="U15" s="74"/>
      <c r="V15" s="74"/>
    </row>
    <row r="16" spans="1:22" ht="15.6">
      <c r="A16" s="30" t="str">
        <v>Billerica - 6 Cook Street</v>
      </c>
      <c r="B16" s="27" t="str">
        <v>MA</v>
      </c>
      <c r="C16" s="24">
        <v>31709</v>
      </c>
      <c r="D16" s="13" t="s">
        <v>171</v>
      </c>
      <c r="E16" s="13" t="str">
        <f t="shared" si="0"/>
        <v/>
      </c>
      <c r="F16" s="14" t="str">
        <f t="shared" si="3"/>
        <v/>
      </c>
      <c r="G16" s="67" t="s">
        <v>171</v>
      </c>
      <c r="H16" s="15" t="str">
        <f t="shared" si="1"/>
        <v/>
      </c>
      <c r="I16" s="16" t="str">
        <f t="shared" si="2"/>
        <v/>
      </c>
      <c r="J16" s="38"/>
      <c r="K16" s="38"/>
      <c r="L16" s="74"/>
      <c r="M16" s="74"/>
      <c r="N16" s="74"/>
      <c r="O16" s="74"/>
      <c r="P16" s="74"/>
      <c r="Q16" s="74"/>
      <c r="R16" s="74"/>
      <c r="S16" s="74"/>
      <c r="T16" s="74"/>
      <c r="U16" s="74"/>
      <c r="V16" s="74"/>
    </row>
    <row r="17" spans="1:22" ht="15.6">
      <c r="A17" s="28" t="str">
        <v>Billerica - 780 Boston Road</v>
      </c>
      <c r="B17" s="29" t="str">
        <v>MA</v>
      </c>
      <c r="C17" s="11">
        <v>36026</v>
      </c>
      <c r="D17" s="18" t="s">
        <v>171</v>
      </c>
      <c r="E17" s="18" t="str">
        <f t="shared" si="0"/>
        <v/>
      </c>
      <c r="F17" s="19" t="str">
        <f t="shared" si="3"/>
        <v/>
      </c>
      <c r="G17" s="66" t="s">
        <v>171</v>
      </c>
      <c r="H17" s="20" t="str">
        <f t="shared" si="1"/>
        <v/>
      </c>
      <c r="I17" s="19" t="str">
        <f t="shared" si="2"/>
        <v/>
      </c>
      <c r="J17" s="39"/>
      <c r="K17" s="39"/>
      <c r="L17" s="74"/>
      <c r="M17" s="74"/>
      <c r="N17" s="74"/>
      <c r="O17" s="74"/>
      <c r="P17" s="74"/>
      <c r="Q17" s="74"/>
      <c r="R17" s="74"/>
      <c r="S17" s="74"/>
      <c r="T17" s="74"/>
      <c r="U17" s="74"/>
      <c r="V17" s="74"/>
    </row>
    <row r="18" spans="1:22" ht="15.6">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4"/>
      <c r="M18" s="74"/>
      <c r="N18" s="74"/>
      <c r="O18" s="74"/>
      <c r="P18" s="74"/>
      <c r="Q18" s="74"/>
      <c r="R18" s="74"/>
      <c r="S18" s="74"/>
      <c r="T18" s="74"/>
      <c r="U18" s="74"/>
      <c r="V18" s="74"/>
    </row>
    <row r="19" spans="1:22" ht="15.6">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3" t="s">
        <v>203</v>
      </c>
      <c r="L19" s="74"/>
      <c r="M19" s="74"/>
      <c r="N19" s="74"/>
      <c r="O19" s="74"/>
      <c r="P19" s="74"/>
      <c r="Q19" s="74"/>
      <c r="R19" s="74"/>
      <c r="S19" s="74"/>
      <c r="T19" s="74"/>
      <c r="U19" s="74"/>
      <c r="V19" s="74"/>
    </row>
    <row r="20" spans="1:22" ht="86.45">
      <c r="A20" s="30" t="str">
        <v>Monument Valley</v>
      </c>
      <c r="B20" s="27" t="str">
        <v>MA</v>
      </c>
      <c r="C20" s="24">
        <v>294118.67923076998</v>
      </c>
      <c r="D20" s="13">
        <v>66602.86</v>
      </c>
      <c r="E20" s="13">
        <f t="shared" si="0"/>
        <v>227515.81923076999</v>
      </c>
      <c r="F20" s="14">
        <f t="shared" si="3"/>
        <v>3.4160067485205587</v>
      </c>
      <c r="G20" s="67" t="s">
        <v>171</v>
      </c>
      <c r="H20" s="15" t="str">
        <f t="shared" si="1"/>
        <v/>
      </c>
      <c r="I20" s="16" t="str">
        <f t="shared" si="2"/>
        <v/>
      </c>
      <c r="J20" s="38" t="s">
        <v>204</v>
      </c>
      <c r="K20" s="70" t="s">
        <v>205</v>
      </c>
      <c r="L20" s="75" t="s">
        <v>121</v>
      </c>
      <c r="M20" s="74"/>
      <c r="N20" s="74"/>
      <c r="O20" s="74"/>
      <c r="P20" s="74"/>
      <c r="Q20" s="74"/>
      <c r="R20" s="74"/>
      <c r="S20" s="74"/>
      <c r="T20" s="74"/>
      <c r="U20" s="74"/>
      <c r="V20" s="74"/>
    </row>
    <row r="21" spans="1:22" ht="15.6">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6" t="s">
        <v>207</v>
      </c>
      <c r="L21" s="74"/>
      <c r="M21" s="74"/>
      <c r="N21" s="74"/>
      <c r="O21" s="74"/>
      <c r="P21" s="74"/>
      <c r="Q21" s="74"/>
      <c r="R21" s="74"/>
      <c r="S21" s="74"/>
      <c r="T21" s="74"/>
      <c r="U21" s="74"/>
      <c r="V21" s="74"/>
    </row>
    <row r="22" spans="1:22" ht="140.25" customHeight="1">
      <c r="A22" s="55"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0" t="s">
        <v>209</v>
      </c>
      <c r="L22" s="75" t="s">
        <v>129</v>
      </c>
      <c r="M22" s="75" t="s">
        <v>129</v>
      </c>
      <c r="N22" s="75" t="s">
        <v>127</v>
      </c>
      <c r="O22" s="75" t="s">
        <v>210</v>
      </c>
      <c r="P22" s="75" t="s">
        <v>126</v>
      </c>
      <c r="Q22" s="74"/>
      <c r="R22" s="74"/>
      <c r="S22" s="74"/>
      <c r="T22" s="74"/>
      <c r="U22" s="74"/>
      <c r="V22" s="74"/>
    </row>
    <row r="23" spans="1:22" ht="57.6">
      <c r="A23" s="28" t="str">
        <v>Sandwich</v>
      </c>
      <c r="B23" s="29" t="str">
        <v>MA</v>
      </c>
      <c r="C23" s="11">
        <v>353596</v>
      </c>
      <c r="D23" s="18" t="s">
        <v>171</v>
      </c>
      <c r="E23" s="18" t="str">
        <f t="shared" si="0"/>
        <v/>
      </c>
      <c r="F23" s="19" t="str">
        <f t="shared" si="3"/>
        <v/>
      </c>
      <c r="G23" s="66">
        <v>495038</v>
      </c>
      <c r="H23" s="20">
        <f t="shared" si="1"/>
        <v>-141442</v>
      </c>
      <c r="I23" s="19">
        <f t="shared" si="2"/>
        <v>-0.28571948012071802</v>
      </c>
      <c r="J23" s="39" t="s">
        <v>211</v>
      </c>
      <c r="K23" s="77" t="s">
        <v>212</v>
      </c>
      <c r="L23" s="75" t="s">
        <v>213</v>
      </c>
      <c r="M23" s="74"/>
      <c r="N23" s="74"/>
      <c r="O23" s="74"/>
      <c r="P23" s="74"/>
      <c r="Q23" s="74"/>
      <c r="R23" s="74"/>
      <c r="S23" s="74"/>
      <c r="T23" s="74"/>
      <c r="U23" s="74"/>
      <c r="V23" s="74"/>
    </row>
    <row r="24" spans="1:22" ht="100.9">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0" t="s">
        <v>215</v>
      </c>
      <c r="L24" s="75" t="s">
        <v>216</v>
      </c>
      <c r="M24" s="75" t="s">
        <v>217</v>
      </c>
      <c r="N24" s="74"/>
      <c r="O24" s="74"/>
      <c r="P24" s="74"/>
      <c r="Q24" s="74"/>
      <c r="R24" s="74"/>
      <c r="S24" s="74"/>
      <c r="T24" s="74"/>
      <c r="U24" s="74"/>
      <c r="V24" s="74"/>
    </row>
    <row r="25" spans="1:22" ht="15.6">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4"/>
      <c r="M25" s="74"/>
      <c r="N25" s="74"/>
      <c r="O25" s="74"/>
      <c r="P25" s="74"/>
      <c r="Q25" s="74"/>
      <c r="R25" s="74"/>
      <c r="S25" s="74"/>
      <c r="T25" s="74"/>
      <c r="U25" s="74"/>
      <c r="V25" s="74"/>
    </row>
    <row r="26" spans="1:22" ht="28.9">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0" t="s">
        <v>219</v>
      </c>
      <c r="L26" s="74"/>
      <c r="M26" s="74"/>
      <c r="N26" s="74"/>
      <c r="O26" s="74"/>
      <c r="P26" s="74"/>
      <c r="Q26" s="74"/>
      <c r="R26" s="74"/>
      <c r="S26" s="74"/>
      <c r="T26" s="74"/>
      <c r="U26" s="74"/>
      <c r="V26" s="74"/>
    </row>
    <row r="27" spans="1:22" ht="144">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8" t="s">
        <v>220</v>
      </c>
      <c r="K27" s="71" t="s">
        <v>221</v>
      </c>
      <c r="L27" s="75" t="s">
        <v>222</v>
      </c>
      <c r="M27" s="75" t="s">
        <v>223</v>
      </c>
      <c r="N27" s="75" t="s">
        <v>224</v>
      </c>
      <c r="O27" s="75" t="s">
        <v>225</v>
      </c>
      <c r="P27" s="74"/>
      <c r="Q27" s="74"/>
      <c r="R27" s="74"/>
      <c r="S27" s="74"/>
      <c r="T27" s="74"/>
      <c r="U27" s="74"/>
      <c r="V27" s="74"/>
    </row>
    <row r="28" spans="1:22" ht="28.9">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0" t="s">
        <v>227</v>
      </c>
      <c r="L28" s="74"/>
      <c r="M28" s="74"/>
      <c r="N28" s="74"/>
      <c r="O28" s="74"/>
      <c r="P28" s="74"/>
      <c r="Q28" s="74"/>
      <c r="R28" s="74"/>
      <c r="S28" s="74"/>
      <c r="T28" s="74"/>
      <c r="U28" s="74"/>
      <c r="V28" s="74"/>
    </row>
    <row r="29" spans="1:22" ht="100.9">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8" t="s">
        <v>228</v>
      </c>
      <c r="K29" s="71" t="s">
        <v>229</v>
      </c>
      <c r="L29" s="75" t="s">
        <v>145</v>
      </c>
      <c r="M29" s="75" t="s">
        <v>230</v>
      </c>
      <c r="N29" s="75" t="s">
        <v>231</v>
      </c>
      <c r="O29" s="75" t="s">
        <v>232</v>
      </c>
      <c r="P29" s="74"/>
      <c r="Q29" s="74"/>
      <c r="R29" s="74"/>
      <c r="S29" s="74"/>
      <c r="T29" s="74"/>
      <c r="U29" s="74"/>
      <c r="V29" s="74"/>
    </row>
    <row r="30" spans="1:22" ht="28.9">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0" t="s">
        <v>234</v>
      </c>
      <c r="L30" s="74"/>
      <c r="M30" s="74"/>
      <c r="N30" s="74"/>
      <c r="O30" s="74"/>
      <c r="P30" s="74"/>
      <c r="Q30" s="74"/>
      <c r="R30" s="74"/>
      <c r="S30" s="74"/>
      <c r="T30" s="74"/>
      <c r="U30" s="74"/>
      <c r="V30" s="74"/>
    </row>
    <row r="31" spans="1:22" ht="86.45">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8" t="s">
        <v>235</v>
      </c>
      <c r="K31" s="71" t="s">
        <v>236</v>
      </c>
      <c r="L31" s="75" t="s">
        <v>237</v>
      </c>
      <c r="M31" s="75" t="s">
        <v>238</v>
      </c>
      <c r="N31" s="74"/>
      <c r="O31" s="74"/>
      <c r="P31" s="74"/>
      <c r="Q31" s="74"/>
      <c r="R31" s="74"/>
      <c r="S31" s="74"/>
      <c r="T31" s="74"/>
      <c r="U31" s="74"/>
      <c r="V31" s="74"/>
    </row>
    <row r="32" spans="1:22" ht="43.1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0" t="s">
        <v>240</v>
      </c>
      <c r="L32" s="74"/>
      <c r="M32" s="74"/>
      <c r="N32" s="74"/>
      <c r="O32" s="74"/>
      <c r="P32" s="74"/>
      <c r="Q32" s="74"/>
      <c r="R32" s="74"/>
      <c r="S32" s="74"/>
      <c r="T32" s="74"/>
      <c r="U32" s="74"/>
      <c r="V32" s="74"/>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8" t="s">
        <v>241</v>
      </c>
      <c r="K33" s="71" t="s">
        <v>242</v>
      </c>
      <c r="L33" s="75" t="s">
        <v>243</v>
      </c>
      <c r="M33" s="75" t="s">
        <v>244</v>
      </c>
      <c r="N33" s="75" t="s">
        <v>245</v>
      </c>
      <c r="O33" s="74"/>
      <c r="P33" s="74"/>
      <c r="Q33" s="74"/>
      <c r="R33" s="74"/>
      <c r="S33" s="74"/>
      <c r="T33" s="74"/>
      <c r="U33" s="74"/>
      <c r="V33" s="74"/>
    </row>
    <row r="34" spans="1:22" ht="86.45">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0" t="s">
        <v>247</v>
      </c>
      <c r="L34" s="75" t="s">
        <v>248</v>
      </c>
      <c r="M34" s="75" t="s">
        <v>249</v>
      </c>
      <c r="N34" s="74"/>
      <c r="O34" s="74"/>
      <c r="P34" s="74"/>
      <c r="Q34" s="74"/>
      <c r="R34" s="74"/>
      <c r="S34" s="74"/>
      <c r="T34" s="74"/>
      <c r="U34" s="74"/>
      <c r="V34" s="74"/>
    </row>
    <row r="35" spans="1:22" ht="14.45">
      <c r="A35" s="21" t="str">
        <v>NY: New Windsor - Moores Hill</v>
      </c>
      <c r="B35" s="31" t="str">
        <v>NY</v>
      </c>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zoomScale="70" zoomScaleNormal="70" workbookViewId="0">
      <pane xSplit="2" ySplit="3" topLeftCell="C22" activePane="bottomRight" state="frozen"/>
      <selection pane="bottomRight" activeCell="I37" sqref="I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 min="13" max="13" width="11.85546875" customWidth="1"/>
    <col min="14" max="14" width="11.7109375" customWidth="1"/>
  </cols>
  <sheetData>
    <row r="1" spans="1:21" ht="19.5" customHeight="1">
      <c r="A1" s="112" t="str" cm="1">
        <f t="array" ref="A1">portfolio</f>
        <v>Lodestar</v>
      </c>
      <c r="B1" s="112"/>
      <c r="C1" s="112"/>
      <c r="D1" s="113" t="s">
        <v>250</v>
      </c>
      <c r="E1" s="113"/>
      <c r="F1" s="113"/>
      <c r="G1" s="111" t="s">
        <v>251</v>
      </c>
      <c r="H1" s="111"/>
      <c r="I1" s="111"/>
      <c r="J1" s="4"/>
      <c r="K1" s="4"/>
    </row>
    <row r="2" spans="1:21" ht="19.5" customHeight="1">
      <c r="A2" s="114" t="s">
        <v>2</v>
      </c>
      <c r="B2" s="114"/>
      <c r="C2" s="5">
        <f>SUM(C4:C103)</f>
        <v>8834355.5521742404</v>
      </c>
      <c r="D2" s="5">
        <f>SUM(D4:D103)</f>
        <v>6753984.5500000017</v>
      </c>
      <c r="E2" s="5">
        <f>C2-D2</f>
        <v>2080371.0021742387</v>
      </c>
      <c r="F2" s="6">
        <f>IFERROR(E2/D2, 0)</f>
        <v>0.30802128532767198</v>
      </c>
      <c r="G2" s="5">
        <f>SUM(G4:G103)</f>
        <v>7209999.9100000001</v>
      </c>
      <c r="H2" s="7">
        <f>C2-G2</f>
        <v>1624355.6421742402</v>
      </c>
      <c r="I2" s="6">
        <f>IFERROR(H2/G2, 0)</f>
        <v>0.22529204749660534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6">
      <c r="A4" s="30" t="str" cm="1">
        <f t="array" ref="A4:A35">Sites[Site]</f>
        <v>Barkhamsted</v>
      </c>
      <c r="B4" s="27" t="str" cm="1">
        <f t="array" ref="B4:B35">Sites[State]</f>
        <v>CT</v>
      </c>
      <c r="C4" s="24">
        <v>169174</v>
      </c>
      <c r="D4" s="13">
        <v>167270.5</v>
      </c>
      <c r="E4" s="13">
        <f>IF(AND(ISNUMBER(C4),ISNUMBER(D4)), C4-D4, "")</f>
        <v>1903.5</v>
      </c>
      <c r="F4" s="14">
        <f>IFERROR(E4/D4, "")</f>
        <v>1.1379771089343309E-2</v>
      </c>
      <c r="G4" s="15">
        <v>171195.3</v>
      </c>
      <c r="H4" s="15">
        <f>IF(AND(ISNUMBER(C4),ISNUMBER(G4)), C4-G4, "")</f>
        <v>-2021.2999999999884</v>
      </c>
      <c r="I4" s="16">
        <f>IFERROR(H4/G4, "")</f>
        <v>-1.1806983018809444E-2</v>
      </c>
      <c r="J4" s="38"/>
      <c r="K4" s="38"/>
    </row>
    <row r="5" spans="1:21" ht="28.9">
      <c r="A5" s="28" t="str">
        <v>Bunce</v>
      </c>
      <c r="B5" s="29" t="str">
        <v>CT</v>
      </c>
      <c r="C5" s="11">
        <v>296486.5</v>
      </c>
      <c r="D5" s="18">
        <v>247773</v>
      </c>
      <c r="E5" s="18">
        <f t="shared" ref="E5:E28" si="0">IF(AND(ISNUMBER(C5),ISNUMBER(D5)), C5-D5, "")</f>
        <v>48713.5</v>
      </c>
      <c r="F5" s="19">
        <f>IFERROR(E5/D5, "")</f>
        <v>0.19660536055179539</v>
      </c>
      <c r="G5" s="66" t="s">
        <v>24</v>
      </c>
      <c r="H5" s="20" t="str">
        <f t="shared" ref="H5:H28" si="1">IF(AND(ISNUMBER(C5),ISNUMBER(G5)), C5-G5, "")</f>
        <v/>
      </c>
      <c r="I5" s="19" t="str">
        <f t="shared" ref="I5:I28" si="2">IFERROR(H5/G5, "")</f>
        <v/>
      </c>
      <c r="J5" s="39" t="s">
        <v>252</v>
      </c>
      <c r="K5" s="72" t="s">
        <v>253</v>
      </c>
      <c r="L5" s="74"/>
      <c r="M5" s="74"/>
      <c r="N5" s="74"/>
      <c r="O5" s="74"/>
      <c r="P5" s="74"/>
      <c r="Q5" s="74"/>
      <c r="R5" s="74"/>
      <c r="S5" s="74"/>
      <c r="T5" s="74"/>
      <c r="U5" s="74"/>
    </row>
    <row r="6" spans="1:21" ht="238.35" customHeight="1">
      <c r="A6" s="55" t="str">
        <v>Norcap North</v>
      </c>
      <c r="B6" s="27" t="str">
        <v>CT</v>
      </c>
      <c r="C6" s="24">
        <v>313660</v>
      </c>
      <c r="D6" s="13">
        <v>312566.3</v>
      </c>
      <c r="E6" s="13">
        <f t="shared" si="0"/>
        <v>1093.7000000000116</v>
      </c>
      <c r="F6" s="14">
        <f t="shared" ref="F6:F28" si="3">IFERROR(E6/D6, "")</f>
        <v>3.4990976314465496E-3</v>
      </c>
      <c r="G6" s="15">
        <v>324191.40000000002</v>
      </c>
      <c r="H6" s="15">
        <f t="shared" si="1"/>
        <v>-10531.400000000023</v>
      </c>
      <c r="I6" s="16">
        <f t="shared" si="2"/>
        <v>-3.24851306974831E-2</v>
      </c>
      <c r="J6" s="38" t="s">
        <v>254</v>
      </c>
      <c r="K6" s="70" t="s">
        <v>255</v>
      </c>
      <c r="L6" s="75" t="s">
        <v>256</v>
      </c>
      <c r="M6" s="75" t="s">
        <v>257</v>
      </c>
      <c r="N6" s="75" t="s">
        <v>258</v>
      </c>
      <c r="O6" s="75" t="s">
        <v>259</v>
      </c>
      <c r="P6" s="75" t="s">
        <v>260</v>
      </c>
      <c r="Q6" s="75" t="s">
        <v>261</v>
      </c>
      <c r="R6" s="75" t="s">
        <v>262</v>
      </c>
      <c r="S6" s="75" t="s">
        <v>263</v>
      </c>
      <c r="T6" s="74"/>
      <c r="U6" s="74"/>
    </row>
    <row r="7" spans="1:21" ht="43.15">
      <c r="A7" s="28" t="str">
        <v>Norcap South</v>
      </c>
      <c r="B7" s="29" t="str">
        <v>CT</v>
      </c>
      <c r="C7" s="11">
        <v>330292</v>
      </c>
      <c r="D7" s="18">
        <v>325075.90000000002</v>
      </c>
      <c r="E7" s="18">
        <f t="shared" si="0"/>
        <v>5216.0999999999767</v>
      </c>
      <c r="F7" s="19">
        <f t="shared" si="3"/>
        <v>1.6045791152158546E-2</v>
      </c>
      <c r="G7" s="20">
        <v>317829.09999999998</v>
      </c>
      <c r="H7" s="20">
        <f t="shared" si="1"/>
        <v>12462.900000000023</v>
      </c>
      <c r="I7" s="19">
        <f t="shared" si="2"/>
        <v>3.9212583114636212E-2</v>
      </c>
      <c r="J7" s="39" t="s">
        <v>264</v>
      </c>
      <c r="K7" s="72" t="s">
        <v>265</v>
      </c>
      <c r="L7" s="74"/>
      <c r="M7" s="74"/>
      <c r="N7" s="74"/>
      <c r="O7" s="74"/>
      <c r="P7" s="74"/>
      <c r="Q7" s="74"/>
      <c r="R7" s="74"/>
      <c r="S7" s="74"/>
      <c r="T7" s="74"/>
      <c r="U7" s="74"/>
    </row>
    <row r="8" spans="1:21" ht="15.6">
      <c r="A8" s="30" t="str">
        <v>Platt Hill</v>
      </c>
      <c r="B8" s="27" t="str">
        <v>CT</v>
      </c>
      <c r="C8" s="24">
        <v>354320</v>
      </c>
      <c r="D8" s="13">
        <v>354561.8</v>
      </c>
      <c r="E8" s="13">
        <f t="shared" si="0"/>
        <v>-241.79999999998836</v>
      </c>
      <c r="F8" s="14">
        <f t="shared" si="3"/>
        <v>-6.8196855950073689E-4</v>
      </c>
      <c r="G8" s="15">
        <v>382722.5</v>
      </c>
      <c r="H8" s="15">
        <f t="shared" si="1"/>
        <v>-28402.5</v>
      </c>
      <c r="I8" s="16">
        <f t="shared" si="2"/>
        <v>-7.4211733044176914E-2</v>
      </c>
      <c r="J8" s="38"/>
      <c r="K8" s="38"/>
      <c r="L8" s="74"/>
      <c r="M8" s="74"/>
      <c r="N8" s="74"/>
      <c r="O8" s="74"/>
      <c r="P8" s="74"/>
      <c r="Q8" s="74"/>
      <c r="R8" s="74"/>
      <c r="S8" s="74"/>
      <c r="T8" s="74"/>
      <c r="U8" s="74"/>
    </row>
    <row r="9" spans="1:21" ht="48.75" customHeight="1">
      <c r="A9" s="28" t="str">
        <v>Powder Hill</v>
      </c>
      <c r="B9" s="29" t="str">
        <v>CT</v>
      </c>
      <c r="C9" s="11">
        <v>328808</v>
      </c>
      <c r="D9" s="18">
        <v>319049.2</v>
      </c>
      <c r="E9" s="18">
        <f t="shared" si="0"/>
        <v>9758.7999999999884</v>
      </c>
      <c r="F9" s="19">
        <f t="shared" si="3"/>
        <v>3.0587132016002511E-2</v>
      </c>
      <c r="G9" s="20">
        <v>265344</v>
      </c>
      <c r="H9" s="20">
        <f t="shared" si="1"/>
        <v>63464</v>
      </c>
      <c r="I9" s="19">
        <f t="shared" si="2"/>
        <v>0.23917631452001931</v>
      </c>
      <c r="J9" s="47" t="s">
        <v>266</v>
      </c>
      <c r="K9" s="72" t="s">
        <v>267</v>
      </c>
      <c r="L9" s="75" t="s">
        <v>268</v>
      </c>
      <c r="M9" s="74"/>
      <c r="N9" s="74"/>
      <c r="O9" s="74"/>
      <c r="P9" s="74"/>
      <c r="Q9" s="74"/>
      <c r="R9" s="74"/>
      <c r="S9" s="74"/>
      <c r="T9" s="74"/>
      <c r="U9" s="74"/>
    </row>
    <row r="10" spans="1:21" ht="40.5" customHeight="1">
      <c r="A10" s="30" t="str">
        <v>Sand Road</v>
      </c>
      <c r="B10" s="27" t="str">
        <v>CT</v>
      </c>
      <c r="C10" s="24">
        <v>324229</v>
      </c>
      <c r="D10" s="13">
        <v>292043</v>
      </c>
      <c r="E10" s="13">
        <f t="shared" si="0"/>
        <v>32186</v>
      </c>
      <c r="F10" s="14">
        <f t="shared" si="3"/>
        <v>0.11020979787223115</v>
      </c>
      <c r="G10" s="15">
        <v>308583</v>
      </c>
      <c r="H10" s="15">
        <f t="shared" si="1"/>
        <v>15646</v>
      </c>
      <c r="I10" s="16">
        <f t="shared" si="2"/>
        <v>5.0702728277319233E-2</v>
      </c>
      <c r="J10" s="38" t="s">
        <v>269</v>
      </c>
      <c r="K10" s="70" t="s">
        <v>270</v>
      </c>
      <c r="L10" s="74"/>
      <c r="M10" s="74"/>
      <c r="N10" s="74"/>
      <c r="O10" s="74"/>
      <c r="P10" s="74"/>
      <c r="Q10" s="74"/>
      <c r="R10" s="74"/>
      <c r="S10" s="74"/>
      <c r="T10" s="74"/>
      <c r="U10" s="74"/>
    </row>
    <row r="11" spans="1:21" ht="15.6">
      <c r="A11" s="28" t="str">
        <v>Suffield</v>
      </c>
      <c r="B11" s="29" t="str">
        <v>CT</v>
      </c>
      <c r="C11" s="11">
        <v>335727</v>
      </c>
      <c r="D11" s="18">
        <v>319914.3</v>
      </c>
      <c r="E11" s="18">
        <f t="shared" si="0"/>
        <v>15812.700000000012</v>
      </c>
      <c r="F11" s="19">
        <f t="shared" si="3"/>
        <v>4.942792491614164E-2</v>
      </c>
      <c r="G11" s="20">
        <v>334689.90000000002</v>
      </c>
      <c r="H11" s="20">
        <f t="shared" si="1"/>
        <v>1037.0999999999767</v>
      </c>
      <c r="I11" s="19">
        <f t="shared" si="2"/>
        <v>3.0986892643010042E-3</v>
      </c>
      <c r="J11" s="39"/>
      <c r="K11" s="39"/>
      <c r="L11" s="74"/>
      <c r="M11" s="74"/>
      <c r="N11" s="74"/>
      <c r="O11" s="74"/>
      <c r="P11" s="74"/>
      <c r="Q11" s="74"/>
      <c r="R11" s="74"/>
      <c r="S11" s="74"/>
      <c r="T11" s="74"/>
      <c r="U11" s="74"/>
    </row>
    <row r="12" spans="1:21" ht="261.75" customHeight="1">
      <c r="A12" s="55" t="str">
        <v>Ashby-Duffy</v>
      </c>
      <c r="B12" s="27" t="str">
        <v>MA</v>
      </c>
      <c r="C12" s="24">
        <v>312117</v>
      </c>
      <c r="D12" s="13">
        <v>392272.6</v>
      </c>
      <c r="E12" s="13">
        <f t="shared" si="0"/>
        <v>-80155.599999999977</v>
      </c>
      <c r="F12" s="14">
        <f t="shared" si="3"/>
        <v>-0.20433647417637629</v>
      </c>
      <c r="G12" s="15">
        <v>295108.7</v>
      </c>
      <c r="H12" s="15">
        <f t="shared" si="1"/>
        <v>17008.299999999988</v>
      </c>
      <c r="I12" s="16">
        <f t="shared" si="2"/>
        <v>5.7634017567086256E-2</v>
      </c>
      <c r="J12" s="38" t="s">
        <v>271</v>
      </c>
      <c r="K12" s="70" t="s">
        <v>272</v>
      </c>
      <c r="L12" s="75" t="s">
        <v>191</v>
      </c>
      <c r="M12" s="75" t="s">
        <v>192</v>
      </c>
      <c r="N12" s="75" t="s">
        <v>193</v>
      </c>
      <c r="O12" s="75" t="s">
        <v>273</v>
      </c>
      <c r="P12" s="75" t="s">
        <v>274</v>
      </c>
      <c r="Q12" s="74"/>
      <c r="R12" s="74"/>
      <c r="S12" s="74"/>
      <c r="T12" s="74"/>
      <c r="U12" s="74"/>
    </row>
    <row r="13" spans="1:21" ht="209.25" customHeight="1">
      <c r="A13" s="28" t="str">
        <v>Ashland</v>
      </c>
      <c r="B13" s="29" t="str">
        <v>MA</v>
      </c>
      <c r="C13" s="11">
        <v>331279.5</v>
      </c>
      <c r="D13" s="18">
        <v>338334.4</v>
      </c>
      <c r="E13" s="18">
        <f t="shared" si="0"/>
        <v>-7054.9000000000233</v>
      </c>
      <c r="F13" s="19">
        <f t="shared" si="3"/>
        <v>-2.0851855442426258E-2</v>
      </c>
      <c r="G13" s="20">
        <v>349936.7</v>
      </c>
      <c r="H13" s="20">
        <f t="shared" si="1"/>
        <v>-18657.200000000012</v>
      </c>
      <c r="I13" s="19">
        <f t="shared" si="2"/>
        <v>-5.3315928280743378E-2</v>
      </c>
      <c r="J13" s="47" t="s">
        <v>275</v>
      </c>
      <c r="K13" s="72" t="s">
        <v>276</v>
      </c>
      <c r="L13" s="75" t="s">
        <v>103</v>
      </c>
      <c r="M13" s="75" t="s">
        <v>104</v>
      </c>
      <c r="N13" s="75" t="s">
        <v>105</v>
      </c>
      <c r="O13" s="75" t="s">
        <v>106</v>
      </c>
      <c r="P13" s="75" t="s">
        <v>107</v>
      </c>
      <c r="Q13" s="75" t="s">
        <v>199</v>
      </c>
      <c r="R13" s="75" t="s">
        <v>277</v>
      </c>
      <c r="S13" s="75" t="s">
        <v>278</v>
      </c>
      <c r="T13" s="75" t="s">
        <v>279</v>
      </c>
      <c r="U13" s="74"/>
    </row>
    <row r="14" spans="1:21" ht="57.75" customHeight="1">
      <c r="A14" s="55" t="str">
        <v>Barrington</v>
      </c>
      <c r="B14" s="27" t="str">
        <v>MA</v>
      </c>
      <c r="C14" s="24">
        <v>69022.5</v>
      </c>
      <c r="D14" s="13">
        <v>13735.87</v>
      </c>
      <c r="E14" s="13">
        <f t="shared" si="0"/>
        <v>55286.63</v>
      </c>
      <c r="F14" s="14">
        <f t="shared" si="3"/>
        <v>4.0249820360850821</v>
      </c>
      <c r="G14" s="15">
        <v>74480</v>
      </c>
      <c r="H14" s="15">
        <f t="shared" si="1"/>
        <v>-5457.5</v>
      </c>
      <c r="I14" s="16">
        <f t="shared" si="2"/>
        <v>-7.3274704618689582E-2</v>
      </c>
      <c r="J14" s="38" t="s">
        <v>280</v>
      </c>
      <c r="K14" s="70" t="s">
        <v>201</v>
      </c>
      <c r="L14" s="74"/>
      <c r="M14" s="74"/>
      <c r="N14" s="74"/>
      <c r="O14" s="74"/>
      <c r="P14" s="74"/>
      <c r="Q14" s="74"/>
      <c r="R14" s="74"/>
      <c r="S14" s="74"/>
      <c r="T14" s="74"/>
      <c r="U14" s="74"/>
    </row>
    <row r="15" spans="1:21" ht="15.6">
      <c r="A15" s="28" t="str">
        <v>Bedford - 205 Burlington Rd</v>
      </c>
      <c r="B15" s="29" t="str">
        <v>MA</v>
      </c>
      <c r="C15" s="11">
        <v>40866</v>
      </c>
      <c r="D15" s="18" t="s">
        <v>24</v>
      </c>
      <c r="E15" s="18" t="str">
        <f t="shared" si="0"/>
        <v/>
      </c>
      <c r="F15" s="18" t="str">
        <f t="shared" si="3"/>
        <v/>
      </c>
      <c r="G15" s="79" t="s">
        <v>24</v>
      </c>
      <c r="H15" s="20" t="str">
        <f t="shared" si="1"/>
        <v/>
      </c>
      <c r="I15" s="20" t="str">
        <f t="shared" si="2"/>
        <v/>
      </c>
      <c r="J15" s="39"/>
      <c r="K15" s="39"/>
      <c r="L15" s="74"/>
      <c r="M15" s="74"/>
      <c r="N15" s="74"/>
      <c r="O15" s="74"/>
      <c r="P15" s="74"/>
      <c r="Q15" s="74"/>
      <c r="R15" s="74"/>
      <c r="S15" s="74"/>
      <c r="T15" s="74"/>
      <c r="U15" s="74"/>
    </row>
    <row r="16" spans="1:21" ht="15.6">
      <c r="A16" s="55" t="str">
        <v>Billerica - 6 Cook Street</v>
      </c>
      <c r="B16" s="27" t="str">
        <v>MA</v>
      </c>
      <c r="C16" s="24">
        <v>37661</v>
      </c>
      <c r="D16" s="13" t="s">
        <v>24</v>
      </c>
      <c r="E16" s="13" t="str">
        <f t="shared" si="0"/>
        <v/>
      </c>
      <c r="F16" s="14" t="str">
        <f t="shared" si="3"/>
        <v/>
      </c>
      <c r="G16" s="80" t="s">
        <v>24</v>
      </c>
      <c r="H16" s="15" t="str">
        <f t="shared" si="1"/>
        <v/>
      </c>
      <c r="I16" s="16" t="str">
        <f t="shared" si="2"/>
        <v/>
      </c>
      <c r="J16" s="38"/>
      <c r="K16" s="38"/>
      <c r="L16" s="74"/>
      <c r="M16" s="74"/>
      <c r="N16" s="74"/>
      <c r="O16" s="74"/>
      <c r="P16" s="74"/>
      <c r="Q16" s="74"/>
      <c r="R16" s="74"/>
      <c r="S16" s="74"/>
      <c r="T16" s="74"/>
      <c r="U16" s="74"/>
    </row>
    <row r="17" spans="1:21" ht="15.6">
      <c r="A17" s="28" t="str">
        <v>Billerica - 780 Boston Road</v>
      </c>
      <c r="B17" s="29" t="str">
        <v>MA</v>
      </c>
      <c r="C17" s="11">
        <v>42603</v>
      </c>
      <c r="D17" s="18" t="s">
        <v>24</v>
      </c>
      <c r="E17" s="18" t="str">
        <f t="shared" si="0"/>
        <v/>
      </c>
      <c r="F17" s="18" t="str">
        <f t="shared" si="3"/>
        <v/>
      </c>
      <c r="G17" s="79" t="s">
        <v>24</v>
      </c>
      <c r="H17" s="20" t="str">
        <f t="shared" si="1"/>
        <v/>
      </c>
      <c r="I17" s="20" t="str">
        <f t="shared" si="2"/>
        <v/>
      </c>
      <c r="J17" s="39"/>
      <c r="K17" s="47"/>
      <c r="L17" s="74"/>
      <c r="M17" s="74"/>
      <c r="N17" s="74"/>
      <c r="O17" s="74"/>
      <c r="P17" s="74"/>
      <c r="Q17" s="74"/>
      <c r="R17" s="74"/>
      <c r="S17" s="74"/>
      <c r="T17" s="74"/>
      <c r="U17" s="74"/>
    </row>
    <row r="18" spans="1:21" ht="15.6">
      <c r="A18" s="55" t="str">
        <v>Cheshire</v>
      </c>
      <c r="B18" s="27" t="str">
        <v>MA</v>
      </c>
      <c r="C18" s="24">
        <v>72208.711174242198</v>
      </c>
      <c r="D18" s="13">
        <v>75657.47</v>
      </c>
      <c r="E18" s="13">
        <f t="shared" si="0"/>
        <v>-3448.7588257578027</v>
      </c>
      <c r="F18" s="14">
        <f t="shared" si="3"/>
        <v>-4.5583850818138677E-2</v>
      </c>
      <c r="G18" s="15">
        <v>59684.24</v>
      </c>
      <c r="H18" s="15">
        <f t="shared" si="1"/>
        <v>12524.471174242201</v>
      </c>
      <c r="I18" s="16">
        <f t="shared" si="2"/>
        <v>0.20984553333077879</v>
      </c>
      <c r="J18" s="38"/>
      <c r="K18" s="38"/>
      <c r="L18" s="74"/>
      <c r="M18" s="74"/>
      <c r="N18" s="74"/>
      <c r="O18" s="74"/>
      <c r="P18" s="74"/>
      <c r="Q18" s="74"/>
      <c r="R18" s="74"/>
      <c r="S18" s="74"/>
      <c r="T18" s="74"/>
      <c r="U18" s="74"/>
    </row>
    <row r="19" spans="1:21" ht="81.75" customHeight="1">
      <c r="A19" s="28" t="str">
        <v>Lilly Lane</v>
      </c>
      <c r="B19" s="29" t="str">
        <v>MA</v>
      </c>
      <c r="C19" s="11">
        <v>160353</v>
      </c>
      <c r="D19" s="18">
        <v>155638.70000000001</v>
      </c>
      <c r="E19" s="18">
        <f t="shared" si="0"/>
        <v>4714.2999999999884</v>
      </c>
      <c r="F19" s="19">
        <f t="shared" si="3"/>
        <v>3.0290024267743101E-2</v>
      </c>
      <c r="G19" s="20">
        <v>178160.1</v>
      </c>
      <c r="H19" s="20">
        <f t="shared" si="1"/>
        <v>-17807.100000000006</v>
      </c>
      <c r="I19" s="19">
        <f t="shared" si="2"/>
        <v>-9.9949988802206582E-2</v>
      </c>
      <c r="J19" s="47" t="s">
        <v>281</v>
      </c>
      <c r="K19" s="72" t="s">
        <v>282</v>
      </c>
      <c r="L19" s="75" t="s">
        <v>115</v>
      </c>
      <c r="M19" s="74"/>
      <c r="N19" s="74"/>
      <c r="O19" s="74"/>
      <c r="P19" s="74"/>
      <c r="Q19" s="74"/>
      <c r="R19" s="74"/>
      <c r="S19" s="74"/>
      <c r="T19" s="74"/>
      <c r="U19" s="74"/>
    </row>
    <row r="20" spans="1:21" ht="57.6">
      <c r="A20" s="55" t="str">
        <v>Monument Valley</v>
      </c>
      <c r="B20" s="27" t="str">
        <v>MA</v>
      </c>
      <c r="C20" s="24">
        <v>313209.50499999902</v>
      </c>
      <c r="D20" s="13">
        <v>61391.81</v>
      </c>
      <c r="E20" s="13">
        <f t="shared" si="0"/>
        <v>251817.69499999902</v>
      </c>
      <c r="F20" s="14">
        <f t="shared" si="3"/>
        <v>4.1018125218982631</v>
      </c>
      <c r="G20" s="67" t="s">
        <v>24</v>
      </c>
      <c r="H20" s="15" t="str">
        <f t="shared" si="1"/>
        <v/>
      </c>
      <c r="I20" s="16" t="str">
        <f t="shared" si="2"/>
        <v/>
      </c>
      <c r="J20" s="38" t="s">
        <v>283</v>
      </c>
      <c r="K20" s="70" t="s">
        <v>284</v>
      </c>
      <c r="L20" s="74"/>
      <c r="M20" s="74"/>
      <c r="N20" s="74"/>
      <c r="O20" s="74"/>
      <c r="P20" s="74"/>
      <c r="Q20" s="74"/>
      <c r="R20" s="74"/>
      <c r="S20" s="74"/>
      <c r="T20" s="74"/>
      <c r="U20" s="74"/>
    </row>
    <row r="21" spans="1:21" ht="115.15">
      <c r="A21" s="28" t="str">
        <v>Nationwide</v>
      </c>
      <c r="B21" s="29" t="str">
        <v>MA</v>
      </c>
      <c r="C21" s="11">
        <v>553059</v>
      </c>
      <c r="D21" s="18">
        <v>457546.6</v>
      </c>
      <c r="E21" s="18">
        <f t="shared" si="0"/>
        <v>95512.400000000023</v>
      </c>
      <c r="F21" s="19">
        <f t="shared" si="3"/>
        <v>0.20874901048330383</v>
      </c>
      <c r="G21" s="20">
        <v>507015.9</v>
      </c>
      <c r="H21" s="20">
        <f t="shared" si="1"/>
        <v>46043.099999999977</v>
      </c>
      <c r="I21" s="19">
        <f t="shared" si="2"/>
        <v>9.0811944950838774E-2</v>
      </c>
      <c r="J21" s="39" t="s">
        <v>285</v>
      </c>
      <c r="K21" s="72" t="s">
        <v>286</v>
      </c>
      <c r="L21" s="75" t="s">
        <v>287</v>
      </c>
      <c r="M21" s="75" t="s">
        <v>288</v>
      </c>
      <c r="N21" s="75" t="s">
        <v>289</v>
      </c>
      <c r="O21" s="74"/>
      <c r="P21" s="74"/>
      <c r="Q21" s="74"/>
      <c r="R21" s="74"/>
      <c r="S21" s="74"/>
      <c r="T21" s="74"/>
      <c r="U21" s="74"/>
    </row>
    <row r="22" spans="1:21" ht="197.25" customHeight="1">
      <c r="A22" s="55" t="str">
        <v>Pulpit Hill</v>
      </c>
      <c r="B22" s="27" t="str">
        <v>MA</v>
      </c>
      <c r="C22" s="24">
        <v>730135</v>
      </c>
      <c r="D22" s="13">
        <v>693972.8</v>
      </c>
      <c r="E22" s="13">
        <f t="shared" si="0"/>
        <v>36162.199999999953</v>
      </c>
      <c r="F22" s="14">
        <f t="shared" si="3"/>
        <v>5.2108958737287617E-2</v>
      </c>
      <c r="G22" s="15">
        <v>685244.1</v>
      </c>
      <c r="H22" s="15">
        <f t="shared" si="1"/>
        <v>44890.900000000023</v>
      </c>
      <c r="I22" s="16">
        <f t="shared" si="2"/>
        <v>6.5510815780829082E-2</v>
      </c>
      <c r="J22" s="38" t="s">
        <v>290</v>
      </c>
      <c r="K22" s="70" t="s">
        <v>291</v>
      </c>
      <c r="L22" s="75" t="s">
        <v>292</v>
      </c>
      <c r="M22" s="75" t="s">
        <v>293</v>
      </c>
      <c r="N22" s="75" t="s">
        <v>294</v>
      </c>
      <c r="O22" s="75" t="s">
        <v>295</v>
      </c>
      <c r="P22" s="74"/>
      <c r="Q22" s="74"/>
      <c r="R22" s="74"/>
      <c r="S22" s="74"/>
      <c r="T22" s="74"/>
      <c r="U22" s="74"/>
    </row>
    <row r="23" spans="1:21" ht="122.25" customHeight="1">
      <c r="A23" s="28" t="str">
        <v>Sandwich</v>
      </c>
      <c r="B23" s="29" t="str">
        <v>MA</v>
      </c>
      <c r="C23" s="11">
        <v>342502</v>
      </c>
      <c r="D23" s="18" t="s">
        <v>24</v>
      </c>
      <c r="E23" s="18" t="str">
        <f t="shared" si="0"/>
        <v/>
      </c>
      <c r="F23" s="19" t="str">
        <f t="shared" si="3"/>
        <v/>
      </c>
      <c r="G23" s="20">
        <v>528189</v>
      </c>
      <c r="H23" s="20">
        <f t="shared" si="1"/>
        <v>-185687</v>
      </c>
      <c r="I23" s="19">
        <f t="shared" si="2"/>
        <v>-0.35155408386013343</v>
      </c>
      <c r="J23" s="47" t="s">
        <v>296</v>
      </c>
      <c r="K23" s="72" t="s">
        <v>297</v>
      </c>
      <c r="L23" s="75" t="s">
        <v>298</v>
      </c>
      <c r="M23" s="75" t="s">
        <v>299</v>
      </c>
      <c r="N23" s="75" t="s">
        <v>300</v>
      </c>
      <c r="O23" s="74"/>
      <c r="P23" s="74"/>
      <c r="Q23" s="74"/>
      <c r="R23" s="74"/>
      <c r="S23" s="74"/>
      <c r="T23" s="74"/>
      <c r="U23" s="74"/>
    </row>
    <row r="24" spans="1:21" ht="53.25" customHeight="1">
      <c r="A24" s="55" t="str">
        <v>Sturbridge Barn</v>
      </c>
      <c r="B24" s="27" t="str">
        <v>MA</v>
      </c>
      <c r="C24" s="24">
        <v>163275.5</v>
      </c>
      <c r="D24" s="13">
        <v>162749</v>
      </c>
      <c r="E24" s="13">
        <f t="shared" si="0"/>
        <v>526.5</v>
      </c>
      <c r="F24" s="14">
        <f t="shared" si="3"/>
        <v>3.2350429188505001E-3</v>
      </c>
      <c r="G24" s="15">
        <v>176761.7</v>
      </c>
      <c r="H24" s="15">
        <f t="shared" si="1"/>
        <v>-13486.200000000012</v>
      </c>
      <c r="I24" s="16">
        <f t="shared" si="2"/>
        <v>-7.6295939674714666E-2</v>
      </c>
      <c r="J24" s="38" t="s">
        <v>301</v>
      </c>
      <c r="K24" s="70" t="s">
        <v>302</v>
      </c>
      <c r="L24" s="74"/>
      <c r="M24" s="74"/>
      <c r="N24" s="74"/>
      <c r="O24" s="74"/>
      <c r="P24" s="74"/>
      <c r="Q24" s="74"/>
      <c r="R24" s="74"/>
      <c r="S24" s="74"/>
      <c r="T24" s="74"/>
      <c r="U24" s="74"/>
    </row>
    <row r="25" spans="1:21" ht="78" customHeight="1">
      <c r="A25" s="28" t="str">
        <v>Sturbridge Garage</v>
      </c>
      <c r="B25" s="29" t="str">
        <v>MA</v>
      </c>
      <c r="C25" s="11">
        <v>82222.5</v>
      </c>
      <c r="D25" s="18">
        <v>78086.2</v>
      </c>
      <c r="E25" s="18">
        <f t="shared" si="0"/>
        <v>4136.3000000000029</v>
      </c>
      <c r="F25" s="19">
        <f t="shared" si="3"/>
        <v>5.297094749136215E-2</v>
      </c>
      <c r="G25" s="20">
        <v>88006.27</v>
      </c>
      <c r="H25" s="20">
        <f t="shared" si="1"/>
        <v>-5783.7700000000041</v>
      </c>
      <c r="I25" s="19">
        <f t="shared" si="2"/>
        <v>-6.571997654258048E-2</v>
      </c>
      <c r="J25" s="39" t="s">
        <v>303</v>
      </c>
      <c r="K25" s="72" t="s">
        <v>304</v>
      </c>
      <c r="L25" s="75" t="s">
        <v>305</v>
      </c>
      <c r="M25" s="74"/>
      <c r="N25" s="74"/>
      <c r="O25" s="74"/>
      <c r="P25" s="74"/>
      <c r="Q25" s="74"/>
      <c r="R25" s="74"/>
      <c r="S25" s="74"/>
      <c r="T25" s="74"/>
      <c r="U25" s="74"/>
    </row>
    <row r="26" spans="1:21" ht="86.45">
      <c r="A26" s="55" t="str">
        <v>Halsey Valley</v>
      </c>
      <c r="B26" s="27" t="str">
        <v>NY</v>
      </c>
      <c r="C26" s="24">
        <v>760486.28000000096</v>
      </c>
      <c r="D26" s="13">
        <v>784321.5</v>
      </c>
      <c r="E26" s="13">
        <f t="shared" si="0"/>
        <v>-23835.219999999041</v>
      </c>
      <c r="F26" s="14">
        <f t="shared" si="3"/>
        <v>-3.0389604263046519E-2</v>
      </c>
      <c r="G26" s="15">
        <v>868000</v>
      </c>
      <c r="H26" s="15">
        <f t="shared" si="1"/>
        <v>-107513.71999999904</v>
      </c>
      <c r="I26" s="16">
        <f t="shared" si="2"/>
        <v>-0.12386373271889291</v>
      </c>
      <c r="J26" s="38" t="s">
        <v>306</v>
      </c>
      <c r="K26" s="70" t="s">
        <v>307</v>
      </c>
      <c r="L26" s="75" t="s">
        <v>308</v>
      </c>
      <c r="M26" s="74"/>
      <c r="N26" s="74"/>
      <c r="O26" s="74"/>
      <c r="P26" s="74"/>
      <c r="Q26" s="74"/>
      <c r="R26" s="74"/>
      <c r="S26" s="74"/>
      <c r="T26" s="74"/>
      <c r="U26" s="74"/>
    </row>
    <row r="27" spans="1:21" ht="28.9">
      <c r="A27" s="28" t="str">
        <v>Hunt Creek</v>
      </c>
      <c r="B27" s="29" t="str">
        <v>NY</v>
      </c>
      <c r="C27" s="11">
        <v>561176.99999999802</v>
      </c>
      <c r="D27" s="18">
        <v>576760.4</v>
      </c>
      <c r="E27" s="18">
        <f t="shared" si="0"/>
        <v>-15583.400000002002</v>
      </c>
      <c r="F27" s="19">
        <f t="shared" si="3"/>
        <v>-2.7018845260531065E-2</v>
      </c>
      <c r="G27" s="20">
        <v>629400</v>
      </c>
      <c r="H27" s="20">
        <f t="shared" si="1"/>
        <v>-68223.000000001979</v>
      </c>
      <c r="I27" s="19">
        <f t="shared" si="2"/>
        <v>-0.10839370829361611</v>
      </c>
      <c r="J27" s="39" t="s">
        <v>309</v>
      </c>
      <c r="K27" s="72" t="s">
        <v>310</v>
      </c>
      <c r="L27" s="74"/>
      <c r="M27" s="74"/>
      <c r="N27" s="74"/>
      <c r="O27" s="74"/>
      <c r="P27" s="74"/>
      <c r="Q27" s="74"/>
      <c r="R27" s="74"/>
      <c r="S27" s="74"/>
      <c r="T27" s="74"/>
      <c r="U27" s="74"/>
    </row>
    <row r="28" spans="1:21" ht="15.6">
      <c r="A28" s="55" t="str">
        <v>Smith Creek</v>
      </c>
      <c r="B28" s="27" t="str">
        <v>NY</v>
      </c>
      <c r="C28" s="24">
        <v>609919</v>
      </c>
      <c r="D28" s="13">
        <v>625263.19999999995</v>
      </c>
      <c r="E28" s="13">
        <f t="shared" si="0"/>
        <v>-15344.199999999953</v>
      </c>
      <c r="F28" s="14">
        <f t="shared" si="3"/>
        <v>-2.4540385552835917E-2</v>
      </c>
      <c r="G28" s="15">
        <v>665458</v>
      </c>
      <c r="H28" s="15">
        <f t="shared" si="1"/>
        <v>-55539</v>
      </c>
      <c r="I28" s="16">
        <f t="shared" si="2"/>
        <v>-8.3459812640316891E-2</v>
      </c>
      <c r="J28" s="38"/>
      <c r="K28" s="38"/>
      <c r="L28" s="74"/>
      <c r="M28" s="74"/>
      <c r="N28" s="74"/>
      <c r="O28" s="74"/>
      <c r="P28" s="74"/>
      <c r="Q28" s="74"/>
      <c r="R28" s="74"/>
      <c r="S28" s="74"/>
      <c r="T28" s="74"/>
      <c r="U28" s="74"/>
    </row>
    <row r="29" spans="1:21" ht="57.6">
      <c r="A29" s="28" t="str">
        <v>Bradford - 256 Presidential Dr</v>
      </c>
      <c r="B29" s="29" t="str">
        <v>MA</v>
      </c>
      <c r="C29" s="58">
        <v>627768.98899999994</v>
      </c>
      <c r="D29" s="18" t="s">
        <v>24</v>
      </c>
      <c r="E29" s="18"/>
      <c r="F29" s="52"/>
      <c r="G29" s="50" t="s">
        <v>24</v>
      </c>
      <c r="H29" s="50"/>
      <c r="I29" s="52"/>
      <c r="J29" s="39" t="s">
        <v>311</v>
      </c>
      <c r="K29" s="72" t="s">
        <v>312</v>
      </c>
      <c r="L29" s="75" t="s">
        <v>313</v>
      </c>
      <c r="M29" s="74"/>
      <c r="N29" s="74"/>
      <c r="O29" s="74"/>
      <c r="P29" s="74"/>
      <c r="Q29" s="74"/>
      <c r="R29" s="74"/>
      <c r="S29" s="74"/>
      <c r="T29" s="74"/>
      <c r="U29" s="74"/>
    </row>
    <row r="30" spans="1:21" ht="124.35" customHeight="1">
      <c r="A30" s="55" t="str">
        <v>Charlton – 111 Brookfield Road - Bus Lot</v>
      </c>
      <c r="B30" s="27" t="str">
        <v>MA</v>
      </c>
      <c r="C30" s="51">
        <v>80771.100000000006</v>
      </c>
      <c r="D30" s="13" t="s">
        <v>24</v>
      </c>
      <c r="E30" s="13"/>
      <c r="F30" s="53"/>
      <c r="G30" s="49" t="s">
        <v>24</v>
      </c>
      <c r="H30" s="49"/>
      <c r="I30" s="54"/>
      <c r="J30" s="78" t="s">
        <v>314</v>
      </c>
      <c r="K30" s="81" t="s">
        <v>315</v>
      </c>
      <c r="L30" s="75" t="s">
        <v>316</v>
      </c>
      <c r="M30" s="74"/>
      <c r="N30" s="74"/>
      <c r="O30" s="74"/>
      <c r="P30" s="74"/>
      <c r="Q30" s="74"/>
      <c r="R30" s="74"/>
      <c r="S30" s="74"/>
      <c r="T30" s="74"/>
      <c r="U30" s="74"/>
    </row>
    <row r="31" spans="1:21" ht="50.25" customHeight="1">
      <c r="A31" s="28" t="str">
        <v>Charlton – 154 Center Depot Road KMARD</v>
      </c>
      <c r="B31" s="29" t="str">
        <v>MA</v>
      </c>
      <c r="C31" s="58">
        <v>70886.100000000006</v>
      </c>
      <c r="D31" s="18" t="s">
        <v>24</v>
      </c>
      <c r="E31" s="18"/>
      <c r="F31" s="52"/>
      <c r="G31" s="50" t="s">
        <v>24</v>
      </c>
      <c r="H31" s="50"/>
      <c r="I31" s="52"/>
      <c r="J31" s="47" t="s">
        <v>317</v>
      </c>
      <c r="K31" s="72" t="s">
        <v>318</v>
      </c>
      <c r="L31" s="75" t="s">
        <v>319</v>
      </c>
      <c r="M31" s="74"/>
      <c r="N31" s="74"/>
      <c r="O31" s="74"/>
      <c r="P31" s="74"/>
      <c r="Q31" s="74"/>
      <c r="R31" s="74"/>
      <c r="S31" s="74"/>
      <c r="T31" s="74"/>
      <c r="U31" s="74"/>
    </row>
    <row r="32" spans="1:21" ht="15.6">
      <c r="A32" s="55" t="str">
        <v>Charlton – 142A Brookfield Rd (Mitchell)</v>
      </c>
      <c r="B32" s="27" t="str">
        <v>MA</v>
      </c>
      <c r="C32" s="51">
        <v>73137.899999999994</v>
      </c>
      <c r="D32" s="13" t="s">
        <v>24</v>
      </c>
      <c r="E32" s="13"/>
      <c r="F32" s="53"/>
      <c r="G32" s="49" t="s">
        <v>24</v>
      </c>
      <c r="H32" s="49"/>
      <c r="I32" s="54"/>
      <c r="J32" s="78"/>
      <c r="K32" s="78"/>
      <c r="L32" s="74"/>
      <c r="M32" s="74"/>
      <c r="N32" s="74"/>
      <c r="O32" s="74"/>
      <c r="P32" s="74"/>
      <c r="Q32" s="74"/>
      <c r="R32" s="74"/>
      <c r="S32" s="74"/>
      <c r="T32" s="74"/>
      <c r="U32" s="74"/>
    </row>
    <row r="33" spans="1:21" ht="315.75" customHeight="1">
      <c r="A33" s="28" t="str">
        <v>Great Barrington – 3 Nolan  Drive</v>
      </c>
      <c r="B33" s="29" t="str">
        <v>MA</v>
      </c>
      <c r="C33" s="58">
        <v>141021.6</v>
      </c>
      <c r="D33" s="18" t="s">
        <v>24</v>
      </c>
      <c r="E33" s="18"/>
      <c r="F33" s="52"/>
      <c r="G33" s="50" t="s">
        <v>24</v>
      </c>
      <c r="H33" s="50"/>
      <c r="I33" s="52"/>
      <c r="J33" s="47" t="s">
        <v>320</v>
      </c>
      <c r="K33" s="71" t="s">
        <v>321</v>
      </c>
      <c r="L33" s="75" t="s">
        <v>244</v>
      </c>
      <c r="M33" s="75" t="s">
        <v>322</v>
      </c>
      <c r="N33" s="75" t="s">
        <v>323</v>
      </c>
      <c r="O33" s="75" t="s">
        <v>324</v>
      </c>
      <c r="P33" s="75" t="s">
        <v>325</v>
      </c>
      <c r="Q33" s="75" t="s">
        <v>326</v>
      </c>
      <c r="R33" s="74"/>
      <c r="S33" s="74"/>
      <c r="T33" s="74"/>
      <c r="U33" s="74"/>
    </row>
    <row r="34" spans="1:21" ht="166.5" customHeight="1">
      <c r="A34" s="55" t="str">
        <v>Stockbridge – 92 State Line Road Truck Stop</v>
      </c>
      <c r="B34" s="27" t="str">
        <v>MA</v>
      </c>
      <c r="C34" s="51">
        <v>205976.867</v>
      </c>
      <c r="D34" s="13" t="s">
        <v>24</v>
      </c>
      <c r="E34" s="13"/>
      <c r="F34" s="53"/>
      <c r="G34" s="49" t="s">
        <v>24</v>
      </c>
      <c r="H34" s="49"/>
      <c r="I34" s="54"/>
      <c r="J34" s="78" t="s">
        <v>327</v>
      </c>
      <c r="K34" s="81" t="s">
        <v>328</v>
      </c>
      <c r="L34" s="75" t="s">
        <v>329</v>
      </c>
      <c r="M34" s="75" t="s">
        <v>330</v>
      </c>
      <c r="N34" s="74"/>
      <c r="O34" s="74"/>
      <c r="P34" s="74"/>
      <c r="Q34" s="74"/>
      <c r="R34" s="74"/>
      <c r="S34" s="74"/>
      <c r="T34" s="74"/>
      <c r="U34" s="74"/>
    </row>
    <row r="35" spans="1:21" ht="14.45">
      <c r="A35" s="21" t="str">
        <v>NY: New Windsor - Moores Hill</v>
      </c>
      <c r="B35" s="31" t="str">
        <v>NY</v>
      </c>
      <c r="C35" s="21"/>
      <c r="D35" s="21"/>
      <c r="E35" s="21"/>
      <c r="F35" s="21"/>
      <c r="G35" s="21"/>
      <c r="H35" s="21"/>
      <c r="I35" s="21"/>
      <c r="J35" s="21"/>
      <c r="K35" s="21"/>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hyperlinks>
    <hyperlink ref="K5" r:id="rId1" display="https://us3.assetplanner.com/service_request?ID=099883" xr:uid="{EA80C132-8870-4E09-9499-F84432112264}"/>
    <hyperlink ref="K6" r:id="rId2" display="https://us3.assetplanner.com/service_request?ID=099262" xr:uid="{DCC5202A-A46B-4976-B8C4-96919826CEEB}"/>
    <hyperlink ref="L6" r:id="rId3" display="https://us3.assetplanner.com/service_request?ID=099397" xr:uid="{AA80F279-F321-4AAD-9577-AFCC3625E0F5}"/>
    <hyperlink ref="M6" r:id="rId4" display="https://us3.assetplanner.com/service_request?ID=100147" xr:uid="{777BC868-452A-4213-B9E2-1BD078B24DD5}"/>
    <hyperlink ref="N6" r:id="rId5" display="https://us3.assetplanner.com/service_request?ID=099306" xr:uid="{6A8771B5-FDCC-4209-B8A4-DEEABF1C84FC}"/>
    <hyperlink ref="O6" r:id="rId6" display="https://us3.assetplanner.com/service_request?ID=100148" xr:uid="{4A64EDF8-3AF0-421B-8BDE-F10CFB485582}"/>
    <hyperlink ref="P6" r:id="rId7" display="https://us3.assetplanner.com/service_request?ID=099586" xr:uid="{07514E85-1EC4-4BEA-8C1D-2BD0CBC33C8F}"/>
    <hyperlink ref="Q6" r:id="rId8" display="https://us3.assetplanner.com/service_request?ID=099921" xr:uid="{494FC126-5DB6-4E86-B452-80D3EE3168A5}"/>
    <hyperlink ref="R6" r:id="rId9" display="https://us3.assetplanner.com/service_request?ID=099998" xr:uid="{53CF768C-4681-4522-829C-C75FC0D3C3D1}"/>
    <hyperlink ref="S6" r:id="rId10" display="https://us3.assetplanner.com/service_request?ID=100023" xr:uid="{1E2CE0C6-B566-4886-856C-0653C368137B}"/>
    <hyperlink ref="K7" r:id="rId11" display="https://us3.assetplanner.com/service_request?ID=100021" xr:uid="{09729645-4E5E-44A0-9ED6-E220D9A9E2BA}"/>
    <hyperlink ref="K9" r:id="rId12" display="https://us3.assetplanner.com/service_request?ID=100605" xr:uid="{114FEB64-6DA8-4CF2-899F-817C887CD2AD}"/>
    <hyperlink ref="L9" r:id="rId13" display="https://us3.assetplanner.com/service_request?ID=100633" xr:uid="{01DA8FB6-1EB1-422A-94A4-E67625BACE87}"/>
    <hyperlink ref="K10" r:id="rId14" display="https://us3.assetplanner.com/service_request?ID=099859" xr:uid="{F6656FD8-192D-4994-A6E8-0AFD95A983DC}"/>
    <hyperlink ref="K12" r:id="rId15" display="https://us3.assetplanner.com/service_request?ID=097797" xr:uid="{677606A9-535B-4D43-916B-B01D86ECD73B}"/>
    <hyperlink ref="L12" r:id="rId16" display="https://us3.assetplanner.com/service_request?ID=098200" xr:uid="{B00699F3-48BE-4D99-BD3A-2746B4AB62C1}"/>
    <hyperlink ref="M12" r:id="rId17" display="https://us3.assetplanner.com/service_request?ID=098383" xr:uid="{E0AACCD4-70B1-4C7E-BB36-3DB68895C7EA}"/>
    <hyperlink ref="N12" r:id="rId18" display="https://us3.assetplanner.com/service_request?ID=098407" xr:uid="{A303F5DF-726D-4E31-82F0-6C1E116CFD60}"/>
    <hyperlink ref="O12" r:id="rId19" display="https://us3.assetplanner.com/service_request?ID=100146" xr:uid="{3C059D4D-D8E3-4DDC-985E-91D55DDDA7C2}"/>
    <hyperlink ref="P12" r:id="rId20" display="https://us3.assetplanner.com/service_request?ID=099765" xr:uid="{DE38DE63-A71A-48A8-AE19-7A32B53EEA68}"/>
    <hyperlink ref="K13" r:id="rId21" display="https://us3.assetplanner.com/service_request?ID=088449" xr:uid="{D7039660-135E-4FEE-B92E-EA45D509986C}"/>
    <hyperlink ref="L13" r:id="rId22" display="https://us3.assetplanner.com/service_request?ID=088450" xr:uid="{B5F4BE73-6FEA-42B3-818C-D2832530AA07}"/>
    <hyperlink ref="M13" r:id="rId23" display="https://us3.assetplanner.com/service_request?ID=091962" xr:uid="{1E35A156-CCFD-44C4-A4B8-3AE1AF7EAFB8}"/>
    <hyperlink ref="N13" r:id="rId24" display="https://us3.assetplanner.com/service_request?ID=093117" xr:uid="{2F2BC865-806C-417F-8C87-B88A81DD240F}"/>
    <hyperlink ref="O13" r:id="rId25" display="https://us3.assetplanner.com/service_request?ID=097799" xr:uid="{1D0E7C5C-DAD9-4FC0-B1C5-7187B3869C86}"/>
    <hyperlink ref="P13" r:id="rId26" display="https://us3.assetplanner.com/service_request?ID=095816" xr:uid="{9B073686-0A30-409E-BCBC-378B6387F485}"/>
    <hyperlink ref="Q13" r:id="rId27" display="https://us3.assetplanner.com/service_request?ID=098821" xr:uid="{84681FA2-5706-4ECE-AABA-F827CD683620}"/>
    <hyperlink ref="R13" r:id="rId28" display="https://us3.assetplanner.com/service_request?ID=099331" xr:uid="{C6BC4B9A-0827-4B83-8B5C-FDB64DBD4171}"/>
    <hyperlink ref="S13" r:id="rId29" display="https://us3.assetplanner.com/service_request?ID=099519" xr:uid="{C5190A6C-CF98-4102-88E1-087B20005CC3}"/>
    <hyperlink ref="T13" r:id="rId30" display="https://us3.assetplanner.com/service_request?ID=100159" xr:uid="{635FEBAE-B030-4101-8C51-CCF83DBD5FEC}"/>
    <hyperlink ref="K14" r:id="rId31" display="https://us3.assetplanner.com/service_request?ID=099616" xr:uid="{DDD09CC5-3726-4384-96B7-1D8510E062FB}"/>
    <hyperlink ref="K19" r:id="rId32" display="https://us3.assetplanner.com/service_request?ID=100436" xr:uid="{07DDD154-9B32-429D-93A0-DAFA1AA1CEFE}"/>
    <hyperlink ref="L19" r:id="rId33" display="https://us3.assetplanner.com/service_request?ID=097795" xr:uid="{98366D5A-F33C-49DD-8A4F-9773A86909E3}"/>
    <hyperlink ref="K20" r:id="rId34" display="https://us3.assetplanner.com/service_request?ID=087370" xr:uid="{0850C45E-8A1C-43DE-960E-77238E862E3C}"/>
    <hyperlink ref="K21" r:id="rId35" display="https://us3.assetplanner.com/service_request?ID=099745" xr:uid="{873C0CFF-CCFC-43DE-AC74-45410F7AEBA4}"/>
    <hyperlink ref="L21" r:id="rId36" display="https://us3.assetplanner.com/service_request?ID=097560" xr:uid="{9F56D2EF-C378-47A8-8CE6-C975F2E9E569}"/>
    <hyperlink ref="M21" r:id="rId37" display="https://us3.assetplanner.com/service_request?ID=100184" xr:uid="{3585E8CC-A227-4973-A48C-AAC049D071CF}"/>
    <hyperlink ref="N21" r:id="rId38" display="https://us3.assetplanner.com/service_request?ID=097881" xr:uid="{4389766F-A7E8-42CE-81D0-22FDDED4A2DB}"/>
    <hyperlink ref="K22" r:id="rId39" display="https://us3.assetplanner.com/service_request?ID=099993" xr:uid="{8B310AFF-7D41-460B-A007-F6F3D53567AA}"/>
    <hyperlink ref="L22" r:id="rId40" display="https://us3.assetplanner.com/service_request?ID=100279" xr:uid="{FDED3E2E-7248-4E77-A7F4-571E27F07F0C}"/>
    <hyperlink ref="M22" r:id="rId41" display="https://us3.assetplanner.com/service_request?ID=100391" xr:uid="{962594AB-2609-480E-915F-8829361EA90C}"/>
    <hyperlink ref="N22" r:id="rId42" display="https://us3.assetplanner.com/service_request?ID=100230" xr:uid="{9414B2DE-83F1-42F6-A41B-0C1F22C0E77D}"/>
    <hyperlink ref="O22" r:id="rId43" display="https://us3.assetplanner.com/service_request?ID=100353" xr:uid="{6E676D12-BB5F-4681-87BB-3E5C9F027AB7}"/>
    <hyperlink ref="K23" r:id="rId44" display="https://us3.assetplanner.com/service_request?ID=098405" xr:uid="{202B4252-CEFD-4EC4-B425-16B7E8394E79}"/>
    <hyperlink ref="L23" r:id="rId45" display="https://us3.assetplanner.com/service_request?ID=099855" xr:uid="{D2581E2F-0403-4C81-BFD1-49693968C74E}"/>
    <hyperlink ref="M23" r:id="rId46" display="https://us3.assetplanner.com/service_request?ID=100063" xr:uid="{970A2609-1D76-4098-9A7A-61F38A27214D}"/>
    <hyperlink ref="N23" r:id="rId47" display="https://us3.assetplanner.com/service_request?ID=100358" xr:uid="{BB491E24-90DF-4676-A78F-302F134803DE}"/>
    <hyperlink ref="K24" r:id="rId48" display="https://us3.assetplanner.com/service_request?ID=100435" xr:uid="{274BB346-4D92-4100-BA0E-FEFF3BF2B1DF}"/>
    <hyperlink ref="K25" r:id="rId49" display="https://us3.assetplanner.com/service_request?ID=100437" xr:uid="{F5B2A24E-FE4A-4D0F-917E-127268994686}"/>
    <hyperlink ref="L25" r:id="rId50" display="https://us3.assetplanner.com/service_request?ID=100463" xr:uid="{2F2B5A99-A375-41DA-B71B-7679AA44D7EC}"/>
    <hyperlink ref="K26" r:id="rId51" display="https://us3.assetplanner.com/service_request?ID=100033" xr:uid="{D7589492-B728-4293-BEF6-78BE27EC6DA4}"/>
    <hyperlink ref="L26" r:id="rId52" display="https://us3.assetplanner.com/service_request?ID=100475" xr:uid="{9DADA7D8-7085-48E2-B509-DFDC1001042B}"/>
    <hyperlink ref="K27" r:id="rId53" display="https://us3.assetplanner.com/service_request?ID=094254" xr:uid="{9914E299-538C-4740-A8CD-55B2450BEC99}"/>
    <hyperlink ref="K29" r:id="rId54" display="https://us3.assetplanner.com/service_request?ID=099534" xr:uid="{5AD43E6A-EB66-405B-9A6E-B6E2C031B5CE}"/>
    <hyperlink ref="L29" r:id="rId55" display="https://us3.assetplanner.com/service_request?ID=101357" xr:uid="{1DB57C67-5DBF-40D2-8FE9-1EA64947E9B9}"/>
    <hyperlink ref="K30" r:id="rId56" display="https://us3.assetplanner.com/service_request?ID=100018" xr:uid="{3E57CDB6-8D97-4A54-9384-6045EDAFC5A5}"/>
    <hyperlink ref="L30" r:id="rId57" display="https://us3.assetplanner.com/service_request?ID=100440" xr:uid="{C3353A43-E4F6-4FD5-8DFC-BBFC4F9A8200}"/>
    <hyperlink ref="K31" r:id="rId58" display="https://us3.assetplanner.com/service_request?ID=100441" xr:uid="{C49C8927-0370-432F-A3E3-40CC2584AE6A}"/>
    <hyperlink ref="L31" r:id="rId59" display="https://us3.assetplanner.com/service_request?ID=100710" xr:uid="{BB980E05-0908-47E6-B510-42C57B59DF72}"/>
    <hyperlink ref="K33" r:id="rId60" display="https://us3.assetplanner.com/service_request?ID=098468" xr:uid="{F43282DE-69F6-47C3-86B8-367B843FE24B}"/>
    <hyperlink ref="L33" r:id="rId61" display="https://us3.assetplanner.com/service_request?ID=098503" xr:uid="{E29F5293-1C6B-4A60-BE6C-54A1C108C99F}"/>
    <hyperlink ref="M33" r:id="rId62" display="https://us3.assetplanner.com/service_request?ID=099298" xr:uid="{5DEBEFEC-F0DB-4C45-A314-7D7B20454EC4}"/>
    <hyperlink ref="N33" r:id="rId63" display="https://us3.assetplanner.com/service_request?ID=099438" xr:uid="{7225E479-5700-4826-9D85-CB0158B9CCF5}"/>
    <hyperlink ref="O33" r:id="rId64" display="https://us3.assetplanner.com/service_request?ID=099815" xr:uid="{F791A2B0-DBF7-4908-A6AF-0EA1CDA932D0}"/>
    <hyperlink ref="P33" r:id="rId65" display="https://us3.assetplanner.com/service_request?ID=099920" xr:uid="{EC39187D-574A-4022-9FDC-DC9A560C6EE6}"/>
    <hyperlink ref="Q33" r:id="rId66" display="https://us3.assetplanner.com/service_request?ID=101029" xr:uid="{ED5D193A-E41D-4D23-8E6D-39576DFB1179}"/>
    <hyperlink ref="K34" r:id="rId67" display="https://us3.assetplanner.com/service_request?ID=100140" xr:uid="{15FD2BC5-C6B3-45F9-8203-E7435336D867}"/>
    <hyperlink ref="L34" r:id="rId68" display="https://us3.assetplanner.com/service_request?ID=099806" xr:uid="{C59060DC-56AB-4813-BBAE-ECDD5967A1D5}"/>
    <hyperlink ref="M34" r:id="rId69" display="https://us3.assetplanner.com/service_request?ID=099359" xr:uid="{86B7B515-4FB9-43AD-8424-B2CE55849BC7}"/>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5"/>
  <sheetViews>
    <sheetView zoomScale="60" zoomScaleNormal="60" workbookViewId="0">
      <pane xSplit="2" ySplit="3" topLeftCell="C21" activePane="bottomRight" state="frozen"/>
      <selection pane="bottomRight" activeCell="Q21" sqref="Q2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21" ht="19.5" customHeight="1">
      <c r="A1" s="112" t="str" cm="1">
        <f t="array" ref="A1">portfolio</f>
        <v>Lodestar</v>
      </c>
      <c r="B1" s="112"/>
      <c r="C1" s="112"/>
      <c r="D1" s="113" t="s">
        <v>331</v>
      </c>
      <c r="E1" s="113"/>
      <c r="F1" s="113"/>
      <c r="G1" s="111" t="s">
        <v>332</v>
      </c>
      <c r="H1" s="111"/>
      <c r="I1" s="111"/>
      <c r="J1" s="4"/>
      <c r="K1" s="4"/>
    </row>
    <row r="2" spans="1:21" ht="19.5" customHeight="1">
      <c r="A2" s="114" t="s">
        <v>2</v>
      </c>
      <c r="B2" s="114"/>
      <c r="C2" s="5">
        <f>SUM(C4:C103)</f>
        <v>8563110.6214950494</v>
      </c>
      <c r="D2" s="5">
        <f>SUM(D4:D103)</f>
        <v>6128708.6600000001</v>
      </c>
      <c r="E2" s="5">
        <f>C2-D2</f>
        <v>2434401.9614950493</v>
      </c>
      <c r="F2" s="6">
        <f>IFERROR(E2/D2, 0)</f>
        <v>0.39721287085867929</v>
      </c>
      <c r="G2" s="5">
        <f>SUM(G4:G103)</f>
        <v>8159055.4300000006</v>
      </c>
      <c r="H2" s="7">
        <f>C2-G2</f>
        <v>404055.19149504881</v>
      </c>
      <c r="I2" s="6">
        <f>IFERROR(H2/G2, 0)</f>
        <v>4.9522300094858994E-2</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0" customHeight="1">
      <c r="A4" s="55" t="str" cm="1">
        <f t="array" ref="A4:A35">Sites[Site]</f>
        <v>Barkhamsted</v>
      </c>
      <c r="B4" s="27" t="str" cm="1">
        <f t="array" ref="B4:B35">Sites[State]</f>
        <v>CT</v>
      </c>
      <c r="C4" s="24">
        <v>146345</v>
      </c>
      <c r="D4" s="13">
        <v>151700</v>
      </c>
      <c r="E4" s="13">
        <f>IF(AND(ISNUMBER(C4),ISNUMBER(D4)), C4-D4, "")</f>
        <v>-5355</v>
      </c>
      <c r="F4" s="14">
        <f>IFERROR(E4/D4, "")</f>
        <v>-3.5299934080421883E-2</v>
      </c>
      <c r="G4" s="15">
        <v>187719.6</v>
      </c>
      <c r="H4" s="15">
        <f>IF(AND(ISNUMBER(C4),ISNUMBER(G4)), C4-G4, "")</f>
        <v>-41374.600000000006</v>
      </c>
      <c r="I4" s="16">
        <f>IFERROR(H4/G4, "")</f>
        <v>-0.22040639336542378</v>
      </c>
      <c r="J4" s="38" t="s">
        <v>333</v>
      </c>
      <c r="K4" s="70" t="s">
        <v>334</v>
      </c>
      <c r="L4" s="75" t="s">
        <v>335</v>
      </c>
      <c r="M4" s="75" t="s">
        <v>336</v>
      </c>
      <c r="N4" s="75" t="s">
        <v>337</v>
      </c>
    </row>
    <row r="5" spans="1:21" ht="100.9">
      <c r="A5" s="28" t="str">
        <v>Bunce</v>
      </c>
      <c r="B5" s="29" t="str">
        <v>CT</v>
      </c>
      <c r="C5" s="11">
        <v>298241.5</v>
      </c>
      <c r="D5" s="18">
        <v>170854.3</v>
      </c>
      <c r="E5" s="18">
        <f t="shared" ref="E5:E28" si="0">IF(AND(ISNUMBER(C5),ISNUMBER(D5)), C5-D5, "")</f>
        <v>127387.20000000001</v>
      </c>
      <c r="F5" s="19">
        <f>IFERROR(E5/D5, "")</f>
        <v>0.74558966323938014</v>
      </c>
      <c r="G5" s="20">
        <v>0</v>
      </c>
      <c r="H5" s="20">
        <f t="shared" ref="H5:H28" si="1">IF(AND(ISNUMBER(C5),ISNUMBER(G5)), C5-G5, "")</f>
        <v>298241.5</v>
      </c>
      <c r="I5" s="19" t="str">
        <f t="shared" ref="I5:I28" si="2">IFERROR(H5/G5, "")</f>
        <v/>
      </c>
      <c r="J5" s="39" t="s">
        <v>338</v>
      </c>
      <c r="K5" s="72" t="s">
        <v>339</v>
      </c>
      <c r="L5" s="75" t="s">
        <v>340</v>
      </c>
    </row>
    <row r="6" spans="1:21" ht="168" customHeight="1">
      <c r="A6" s="55" t="str">
        <v>Norcap North</v>
      </c>
      <c r="B6" s="27" t="str">
        <v>CT</v>
      </c>
      <c r="C6" s="24">
        <v>301406</v>
      </c>
      <c r="D6" s="13">
        <v>279733</v>
      </c>
      <c r="E6" s="13">
        <f t="shared" si="0"/>
        <v>21673</v>
      </c>
      <c r="F6" s="14">
        <f t="shared" ref="F6:F28" si="3">IFERROR(E6/D6, "")</f>
        <v>7.7477451712883352E-2</v>
      </c>
      <c r="G6" s="15">
        <v>361445.6</v>
      </c>
      <c r="H6" s="15">
        <f t="shared" si="1"/>
        <v>-60039.599999999977</v>
      </c>
      <c r="I6" s="16">
        <f t="shared" si="2"/>
        <v>-0.16610964416221966</v>
      </c>
      <c r="J6" s="38" t="s">
        <v>341</v>
      </c>
      <c r="K6" s="70" t="s">
        <v>342</v>
      </c>
      <c r="L6" s="75" t="s">
        <v>343</v>
      </c>
      <c r="M6" s="75" t="s">
        <v>344</v>
      </c>
      <c r="N6" s="75" t="s">
        <v>345</v>
      </c>
    </row>
    <row r="7" spans="1:21" ht="15.6">
      <c r="A7" s="28" t="str">
        <v>Norcap South</v>
      </c>
      <c r="B7" s="29" t="str">
        <v>CT</v>
      </c>
      <c r="C7" s="11">
        <v>311807</v>
      </c>
      <c r="D7" s="18">
        <v>292824.40000000002</v>
      </c>
      <c r="E7" s="18">
        <f t="shared" si="0"/>
        <v>18982.599999999977</v>
      </c>
      <c r="F7" s="19">
        <f t="shared" si="3"/>
        <v>6.4825881996172369E-2</v>
      </c>
      <c r="G7" s="20">
        <v>353736.8</v>
      </c>
      <c r="H7" s="20">
        <f t="shared" si="1"/>
        <v>-41929.799999999988</v>
      </c>
      <c r="I7" s="19">
        <f t="shared" si="2"/>
        <v>-0.11853389299614853</v>
      </c>
      <c r="J7" s="39"/>
      <c r="K7" s="47"/>
    </row>
    <row r="8" spans="1:21" ht="28.9">
      <c r="A8" s="55" t="str">
        <v>Platt Hill</v>
      </c>
      <c r="B8" s="27" t="str">
        <v>CT</v>
      </c>
      <c r="C8" s="24">
        <v>325672</v>
      </c>
      <c r="D8" s="13">
        <v>333533.09999999998</v>
      </c>
      <c r="E8" s="13">
        <f t="shared" si="0"/>
        <v>-7861.0999999999767</v>
      </c>
      <c r="F8" s="14">
        <f t="shared" si="3"/>
        <v>-2.3569174993426371E-2</v>
      </c>
      <c r="G8" s="15">
        <v>419927.5</v>
      </c>
      <c r="H8" s="15">
        <f t="shared" si="1"/>
        <v>-94255.5</v>
      </c>
      <c r="I8" s="16">
        <f t="shared" si="2"/>
        <v>-0.22445660262783457</v>
      </c>
      <c r="J8" s="38" t="s">
        <v>346</v>
      </c>
      <c r="K8" s="70" t="s">
        <v>347</v>
      </c>
    </row>
    <row r="9" spans="1:21" ht="86.45">
      <c r="A9" s="28" t="str">
        <v>Powder Hill</v>
      </c>
      <c r="B9" s="29" t="str">
        <v>CT</v>
      </c>
      <c r="C9" s="11">
        <v>299984</v>
      </c>
      <c r="D9" s="18">
        <v>301833.2</v>
      </c>
      <c r="E9" s="18">
        <f t="shared" si="0"/>
        <v>-1849.2000000000116</v>
      </c>
      <c r="F9" s="19">
        <f t="shared" si="3"/>
        <v>-6.1265626180288038E-3</v>
      </c>
      <c r="G9" s="20">
        <v>285876</v>
      </c>
      <c r="H9" s="20">
        <f t="shared" si="1"/>
        <v>14108</v>
      </c>
      <c r="I9" s="19">
        <f t="shared" si="2"/>
        <v>4.9350067861590338E-2</v>
      </c>
      <c r="J9" s="39" t="s">
        <v>348</v>
      </c>
      <c r="K9" s="72" t="s">
        <v>349</v>
      </c>
      <c r="L9" s="75" t="s">
        <v>350</v>
      </c>
    </row>
    <row r="10" spans="1:21" ht="43.15">
      <c r="A10" s="55" t="str">
        <v>Sand Road</v>
      </c>
      <c r="B10" s="27" t="str">
        <v>CT</v>
      </c>
      <c r="C10" s="24">
        <v>311887.95049504703</v>
      </c>
      <c r="D10" s="13">
        <v>267765.40000000002</v>
      </c>
      <c r="E10" s="13">
        <f t="shared" si="0"/>
        <v>44122.550495047006</v>
      </c>
      <c r="F10" s="14">
        <f t="shared" si="3"/>
        <v>0.16478062697811965</v>
      </c>
      <c r="G10" s="15">
        <v>345518</v>
      </c>
      <c r="H10" s="15">
        <f t="shared" si="1"/>
        <v>-33630.049504952971</v>
      </c>
      <c r="I10" s="16">
        <f t="shared" si="2"/>
        <v>-9.7332264903573676E-2</v>
      </c>
      <c r="J10" s="38" t="s">
        <v>351</v>
      </c>
      <c r="K10" s="38" t="s">
        <v>352</v>
      </c>
    </row>
    <row r="11" spans="1:21" ht="32.25" customHeight="1">
      <c r="A11" s="28" t="str">
        <v>Suffield</v>
      </c>
      <c r="B11" s="29" t="str">
        <v>CT</v>
      </c>
      <c r="C11" s="11">
        <v>309689</v>
      </c>
      <c r="D11" s="18">
        <v>293001.3</v>
      </c>
      <c r="E11" s="18">
        <f t="shared" si="0"/>
        <v>16687.700000000012</v>
      </c>
      <c r="F11" s="19">
        <f t="shared" si="3"/>
        <v>5.6954354810029896E-2</v>
      </c>
      <c r="G11" s="20">
        <v>370616.2</v>
      </c>
      <c r="H11" s="20">
        <f t="shared" si="1"/>
        <v>-60927.200000000012</v>
      </c>
      <c r="I11" s="19">
        <f t="shared" si="2"/>
        <v>-0.16439432491078373</v>
      </c>
      <c r="J11" s="47" t="s">
        <v>353</v>
      </c>
      <c r="K11" s="47"/>
    </row>
    <row r="12" spans="1:21" ht="72">
      <c r="A12" s="55" t="str">
        <v>Ashby-Duffy</v>
      </c>
      <c r="B12" s="27" t="str">
        <v>MA</v>
      </c>
      <c r="C12" s="24">
        <v>278428</v>
      </c>
      <c r="D12" s="13">
        <v>317015</v>
      </c>
      <c r="E12" s="13">
        <f t="shared" si="0"/>
        <v>-38587</v>
      </c>
      <c r="F12" s="14">
        <f t="shared" si="3"/>
        <v>-0.12171979243884359</v>
      </c>
      <c r="G12" s="15">
        <v>346494.4</v>
      </c>
      <c r="H12" s="15">
        <f t="shared" si="1"/>
        <v>-68066.400000000023</v>
      </c>
      <c r="I12" s="16">
        <f t="shared" si="2"/>
        <v>-0.19644300167621762</v>
      </c>
      <c r="J12" s="38" t="s">
        <v>354</v>
      </c>
      <c r="K12" s="70" t="s">
        <v>355</v>
      </c>
      <c r="L12" s="75" t="s">
        <v>356</v>
      </c>
      <c r="M12" s="75" t="s">
        <v>357</v>
      </c>
    </row>
    <row r="13" spans="1:21" ht="218.25" customHeight="1">
      <c r="A13" s="28" t="str">
        <v>Ashland</v>
      </c>
      <c r="B13" s="29" t="str">
        <v>MA</v>
      </c>
      <c r="C13" s="11">
        <v>297877.5</v>
      </c>
      <c r="D13" s="18">
        <v>302492.5</v>
      </c>
      <c r="E13" s="18">
        <f t="shared" si="0"/>
        <v>-4615</v>
      </c>
      <c r="F13" s="19">
        <f t="shared" si="3"/>
        <v>-1.5256576609337422E-2</v>
      </c>
      <c r="G13" s="20">
        <v>395984.4</v>
      </c>
      <c r="H13" s="20">
        <f t="shared" si="1"/>
        <v>-98106.900000000023</v>
      </c>
      <c r="I13" s="19">
        <f t="shared" si="2"/>
        <v>-0.24775445699376039</v>
      </c>
      <c r="J13" s="47" t="s">
        <v>358</v>
      </c>
      <c r="K13" s="72" t="s">
        <v>359</v>
      </c>
      <c r="L13" s="75" t="s">
        <v>103</v>
      </c>
      <c r="M13" s="75" t="s">
        <v>360</v>
      </c>
      <c r="N13" s="75" t="s">
        <v>104</v>
      </c>
      <c r="O13" s="75" t="s">
        <v>106</v>
      </c>
      <c r="P13" s="75" t="s">
        <v>105</v>
      </c>
      <c r="Q13" s="82" t="s">
        <v>107</v>
      </c>
      <c r="R13" s="82" t="s">
        <v>277</v>
      </c>
      <c r="S13" s="82" t="s">
        <v>361</v>
      </c>
      <c r="T13" s="82" t="s">
        <v>362</v>
      </c>
      <c r="U13" s="82" t="s">
        <v>363</v>
      </c>
    </row>
    <row r="14" spans="1:21" ht="86.45">
      <c r="A14" s="55" t="str">
        <v>Barrington</v>
      </c>
      <c r="B14" s="27" t="str">
        <v>MA</v>
      </c>
      <c r="C14" s="24">
        <v>68376.5</v>
      </c>
      <c r="D14" s="13">
        <v>37937.870000000003</v>
      </c>
      <c r="E14" s="13">
        <f t="shared" si="0"/>
        <v>30438.629999999997</v>
      </c>
      <c r="F14" s="14">
        <f t="shared" si="3"/>
        <v>0.80232838585824651</v>
      </c>
      <c r="G14" s="15">
        <v>88630</v>
      </c>
      <c r="H14" s="15">
        <f t="shared" si="1"/>
        <v>-20253.5</v>
      </c>
      <c r="I14" s="16">
        <f t="shared" si="2"/>
        <v>-0.22851743202076047</v>
      </c>
      <c r="J14" s="38" t="s">
        <v>364</v>
      </c>
      <c r="K14" s="70" t="s">
        <v>365</v>
      </c>
      <c r="L14" s="75" t="s">
        <v>366</v>
      </c>
    </row>
    <row r="15" spans="1:21" ht="74.25" customHeight="1">
      <c r="A15" s="28" t="str">
        <v>Bedford - 205 Burlington Rd</v>
      </c>
      <c r="B15" s="29" t="str">
        <v>MA</v>
      </c>
      <c r="C15" s="11">
        <v>38548</v>
      </c>
      <c r="D15" s="18" t="s">
        <v>24</v>
      </c>
      <c r="E15" s="18" t="str">
        <f t="shared" si="0"/>
        <v/>
      </c>
      <c r="F15" s="19" t="str">
        <f t="shared" si="3"/>
        <v/>
      </c>
      <c r="G15" s="66" t="s">
        <v>24</v>
      </c>
      <c r="H15" s="20" t="str">
        <f t="shared" si="1"/>
        <v/>
      </c>
      <c r="I15" s="19" t="str">
        <f t="shared" si="2"/>
        <v/>
      </c>
      <c r="J15" s="47"/>
      <c r="K15" s="47"/>
    </row>
    <row r="16" spans="1:21" ht="15.6">
      <c r="A16" s="55" t="str">
        <v>Billerica - 6 Cook Street</v>
      </c>
      <c r="B16" s="27" t="str">
        <v>MA</v>
      </c>
      <c r="C16" s="24">
        <v>33772</v>
      </c>
      <c r="D16" s="13" t="s">
        <v>24</v>
      </c>
      <c r="E16" s="13" t="str">
        <f t="shared" si="0"/>
        <v/>
      </c>
      <c r="F16" s="14" t="str">
        <f t="shared" si="3"/>
        <v/>
      </c>
      <c r="G16" s="67" t="s">
        <v>24</v>
      </c>
      <c r="H16" s="15" t="str">
        <f t="shared" si="1"/>
        <v/>
      </c>
      <c r="I16" s="16" t="str">
        <f t="shared" si="2"/>
        <v/>
      </c>
      <c r="J16" s="38"/>
      <c r="K16" s="38"/>
    </row>
    <row r="17" spans="1:15" ht="43.15">
      <c r="A17" s="28" t="str">
        <v>Billerica - 780 Boston Road</v>
      </c>
      <c r="B17" s="29" t="str">
        <v>MA</v>
      </c>
      <c r="C17" s="11">
        <v>39963</v>
      </c>
      <c r="D17" s="18" t="s">
        <v>24</v>
      </c>
      <c r="E17" s="18" t="str">
        <f t="shared" si="0"/>
        <v/>
      </c>
      <c r="F17" s="19" t="str">
        <f t="shared" si="3"/>
        <v/>
      </c>
      <c r="G17" s="66" t="s">
        <v>24</v>
      </c>
      <c r="H17" s="20" t="str">
        <f t="shared" si="1"/>
        <v/>
      </c>
      <c r="I17" s="19" t="str">
        <f t="shared" si="2"/>
        <v/>
      </c>
      <c r="J17" s="39" t="s">
        <v>367</v>
      </c>
      <c r="K17" s="72" t="s">
        <v>368</v>
      </c>
    </row>
    <row r="18" spans="1:15" ht="33.75" customHeight="1">
      <c r="A18" s="55" t="str">
        <v>Cheshire</v>
      </c>
      <c r="B18" s="27" t="str">
        <v>MA</v>
      </c>
      <c r="C18" s="24">
        <v>65020.75</v>
      </c>
      <c r="D18" s="13">
        <v>66082.880000000005</v>
      </c>
      <c r="E18" s="13">
        <f t="shared" si="0"/>
        <v>-1062.1300000000047</v>
      </c>
      <c r="F18" s="14">
        <f t="shared" si="3"/>
        <v>-1.6072695378893966E-2</v>
      </c>
      <c r="G18" s="15">
        <v>72176.47</v>
      </c>
      <c r="H18" s="15">
        <f t="shared" si="1"/>
        <v>-7155.7200000000012</v>
      </c>
      <c r="I18" s="16">
        <f t="shared" si="2"/>
        <v>-9.9142005697978874E-2</v>
      </c>
      <c r="J18" s="38" t="s">
        <v>369</v>
      </c>
      <c r="K18" s="38"/>
    </row>
    <row r="19" spans="1:15" ht="15.6">
      <c r="A19" s="28" t="str">
        <v>Lilly Lane</v>
      </c>
      <c r="B19" s="29" t="str">
        <v>MA</v>
      </c>
      <c r="C19" s="11">
        <v>150622.5</v>
      </c>
      <c r="D19" s="18">
        <v>141067.20000000001</v>
      </c>
      <c r="E19" s="18">
        <f t="shared" si="0"/>
        <v>9555.2999999999884</v>
      </c>
      <c r="F19" s="19">
        <f t="shared" si="3"/>
        <v>6.7735802511143542E-2</v>
      </c>
      <c r="G19" s="20">
        <v>174942.4</v>
      </c>
      <c r="H19" s="20">
        <f t="shared" si="1"/>
        <v>-24319.899999999994</v>
      </c>
      <c r="I19" s="19">
        <f t="shared" si="2"/>
        <v>-0.13901661346820438</v>
      </c>
      <c r="J19" s="39" t="s">
        <v>370</v>
      </c>
      <c r="K19" s="72" t="s">
        <v>371</v>
      </c>
    </row>
    <row r="20" spans="1:15" ht="57.6">
      <c r="A20" s="55" t="str">
        <v>Monument Valley</v>
      </c>
      <c r="B20" s="27" t="str">
        <v>MA</v>
      </c>
      <c r="C20" s="24">
        <v>308672.71000000101</v>
      </c>
      <c r="D20" s="13">
        <v>56841.47</v>
      </c>
      <c r="E20" s="13">
        <f t="shared" si="0"/>
        <v>251831.24000000101</v>
      </c>
      <c r="F20" s="14">
        <f t="shared" si="3"/>
        <v>4.4304139213852318</v>
      </c>
      <c r="G20" s="15">
        <v>0</v>
      </c>
      <c r="H20" s="15">
        <f t="shared" si="1"/>
        <v>308672.71000000101</v>
      </c>
      <c r="I20" s="16" t="str">
        <f t="shared" si="2"/>
        <v/>
      </c>
      <c r="J20" s="38" t="s">
        <v>283</v>
      </c>
      <c r="K20" s="70" t="s">
        <v>372</v>
      </c>
    </row>
    <row r="21" spans="1:15" ht="115.15">
      <c r="A21" s="28" t="str">
        <v>Nationwide</v>
      </c>
      <c r="B21" s="29" t="str">
        <v>MA</v>
      </c>
      <c r="C21" s="11">
        <v>557878</v>
      </c>
      <c r="D21" s="18">
        <v>442386.1</v>
      </c>
      <c r="E21" s="18">
        <f t="shared" si="0"/>
        <v>115491.90000000002</v>
      </c>
      <c r="F21" s="19">
        <f t="shared" si="3"/>
        <v>0.26106584271070005</v>
      </c>
      <c r="G21" s="20">
        <v>549147.6</v>
      </c>
      <c r="H21" s="20">
        <f t="shared" si="1"/>
        <v>8730.4000000000233</v>
      </c>
      <c r="I21" s="19">
        <f t="shared" si="2"/>
        <v>1.5898093700127295E-2</v>
      </c>
      <c r="J21" s="39" t="s">
        <v>373</v>
      </c>
      <c r="K21" s="72" t="s">
        <v>374</v>
      </c>
      <c r="L21" s="75" t="s">
        <v>375</v>
      </c>
    </row>
    <row r="22" spans="1:15" ht="57.6">
      <c r="A22" s="55" t="str">
        <v>Pulpit Hill</v>
      </c>
      <c r="B22" s="27" t="str">
        <v>MA</v>
      </c>
      <c r="C22" s="24">
        <v>673176.5</v>
      </c>
      <c r="D22" s="13">
        <v>639653.9</v>
      </c>
      <c r="E22" s="13">
        <f t="shared" si="0"/>
        <v>33522.599999999977</v>
      </c>
      <c r="F22" s="14">
        <f t="shared" si="3"/>
        <v>5.2407403441142114E-2</v>
      </c>
      <c r="G22" s="15">
        <v>781076.6</v>
      </c>
      <c r="H22" s="15">
        <f t="shared" si="1"/>
        <v>-107900.09999999998</v>
      </c>
      <c r="I22" s="16">
        <f t="shared" si="2"/>
        <v>-0.13814278906831925</v>
      </c>
      <c r="J22" s="38" t="s">
        <v>376</v>
      </c>
      <c r="K22" s="70" t="s">
        <v>377</v>
      </c>
      <c r="L22" s="75" t="s">
        <v>378</v>
      </c>
    </row>
    <row r="23" spans="1:15" ht="57.6">
      <c r="A23" s="28" t="str">
        <v>Sandwich</v>
      </c>
      <c r="B23" s="29" t="str">
        <v>MA</v>
      </c>
      <c r="C23" s="11">
        <v>469119</v>
      </c>
      <c r="D23" s="18" t="s">
        <v>24</v>
      </c>
      <c r="E23" s="18" t="str">
        <f t="shared" si="0"/>
        <v/>
      </c>
      <c r="F23" s="19" t="str">
        <f t="shared" si="3"/>
        <v/>
      </c>
      <c r="G23" s="20">
        <v>627279</v>
      </c>
      <c r="H23" s="20">
        <f t="shared" si="1"/>
        <v>-158160</v>
      </c>
      <c r="I23" s="19">
        <f t="shared" si="2"/>
        <v>-0.2521366090686919</v>
      </c>
      <c r="J23" s="39" t="s">
        <v>379</v>
      </c>
      <c r="K23" s="72" t="s">
        <v>380</v>
      </c>
      <c r="L23" s="83" t="s">
        <v>381</v>
      </c>
    </row>
    <row r="24" spans="1:15" ht="43.15">
      <c r="A24" s="55" t="str">
        <v>Sturbridge Barn</v>
      </c>
      <c r="B24" s="27" t="str">
        <v>MA</v>
      </c>
      <c r="C24" s="24">
        <v>152276</v>
      </c>
      <c r="D24" s="13">
        <v>149278</v>
      </c>
      <c r="E24" s="13">
        <f t="shared" si="0"/>
        <v>2998</v>
      </c>
      <c r="F24" s="14">
        <f t="shared" si="3"/>
        <v>2.0083334449818458E-2</v>
      </c>
      <c r="G24" s="15">
        <v>199702.9</v>
      </c>
      <c r="H24" s="15">
        <f t="shared" si="1"/>
        <v>-47426.899999999994</v>
      </c>
      <c r="I24" s="16">
        <f t="shared" si="2"/>
        <v>-0.23748728736538124</v>
      </c>
      <c r="J24" s="38" t="s">
        <v>382</v>
      </c>
      <c r="K24" s="70" t="s">
        <v>383</v>
      </c>
    </row>
    <row r="25" spans="1:15" ht="43.15">
      <c r="A25" s="28" t="str">
        <v>Sturbridge Garage</v>
      </c>
      <c r="B25" s="29" t="str">
        <v>MA</v>
      </c>
      <c r="C25" s="11">
        <v>77321</v>
      </c>
      <c r="D25" s="18">
        <v>70679.64</v>
      </c>
      <c r="E25" s="18">
        <f t="shared" si="0"/>
        <v>6641.3600000000006</v>
      </c>
      <c r="F25" s="19">
        <f t="shared" si="3"/>
        <v>9.396425901433568E-2</v>
      </c>
      <c r="G25" s="20">
        <v>86417.16</v>
      </c>
      <c r="H25" s="20">
        <f t="shared" si="1"/>
        <v>-9096.1600000000035</v>
      </c>
      <c r="I25" s="19">
        <f t="shared" si="2"/>
        <v>-0.1052587240774865</v>
      </c>
      <c r="J25" s="39" t="s">
        <v>384</v>
      </c>
      <c r="K25" s="72" t="s">
        <v>385</v>
      </c>
    </row>
    <row r="26" spans="1:15" ht="28.9">
      <c r="A26" s="55" t="str">
        <v>Halsey Valley</v>
      </c>
      <c r="B26" s="27" t="str">
        <v>NY</v>
      </c>
      <c r="C26" s="24">
        <v>734511.71999999904</v>
      </c>
      <c r="D26" s="13">
        <v>715084.5</v>
      </c>
      <c r="E26" s="13">
        <f t="shared" si="0"/>
        <v>19427.219999999041</v>
      </c>
      <c r="F26" s="14">
        <f t="shared" si="3"/>
        <v>2.7167726331641981E-2</v>
      </c>
      <c r="G26" s="15">
        <v>1022000</v>
      </c>
      <c r="H26" s="15">
        <f t="shared" si="1"/>
        <v>-287488.28000000096</v>
      </c>
      <c r="I26" s="16">
        <f t="shared" si="2"/>
        <v>-0.28129968688845497</v>
      </c>
      <c r="J26" s="38" t="s">
        <v>386</v>
      </c>
      <c r="K26" s="70" t="s">
        <v>387</v>
      </c>
    </row>
    <row r="27" spans="1:15" ht="144">
      <c r="A27" s="28" t="str">
        <v>Hunt Creek</v>
      </c>
      <c r="B27" s="29" t="str">
        <v>NY</v>
      </c>
      <c r="C27" s="11">
        <v>512431.00000000198</v>
      </c>
      <c r="D27" s="18">
        <v>522549.3</v>
      </c>
      <c r="E27" s="18">
        <f t="shared" si="0"/>
        <v>-10118.299999998009</v>
      </c>
      <c r="F27" s="19">
        <f t="shared" si="3"/>
        <v>-1.9363340454188742E-2</v>
      </c>
      <c r="G27" s="20">
        <v>742100</v>
      </c>
      <c r="H27" s="20">
        <f t="shared" si="1"/>
        <v>-229668.99999999802</v>
      </c>
      <c r="I27" s="19">
        <f t="shared" si="2"/>
        <v>-0.30948524457620002</v>
      </c>
      <c r="J27" s="39" t="s">
        <v>388</v>
      </c>
      <c r="K27" s="72" t="s">
        <v>389</v>
      </c>
      <c r="L27" s="75" t="s">
        <v>390</v>
      </c>
      <c r="M27" s="75" t="s">
        <v>391</v>
      </c>
      <c r="N27" s="75" t="s">
        <v>392</v>
      </c>
    </row>
    <row r="28" spans="1:15" ht="72">
      <c r="A28" s="55" t="str">
        <v>Smith Creek</v>
      </c>
      <c r="B28" s="27" t="str">
        <v>NY</v>
      </c>
      <c r="C28" s="24">
        <v>563289</v>
      </c>
      <c r="D28" s="13">
        <v>576395.6</v>
      </c>
      <c r="E28" s="13">
        <f t="shared" si="0"/>
        <v>-13106.599999999977</v>
      </c>
      <c r="F28" s="14">
        <f t="shared" si="3"/>
        <v>-2.273889668831611E-2</v>
      </c>
      <c r="G28" s="15">
        <v>748264.8</v>
      </c>
      <c r="H28" s="15">
        <f t="shared" si="1"/>
        <v>-184975.80000000005</v>
      </c>
      <c r="I28" s="16">
        <f t="shared" si="2"/>
        <v>-0.24720633658031227</v>
      </c>
      <c r="J28" s="38" t="s">
        <v>393</v>
      </c>
      <c r="K28" s="70" t="s">
        <v>394</v>
      </c>
      <c r="L28" s="75" t="s">
        <v>395</v>
      </c>
    </row>
    <row r="29" spans="1:15" ht="172.9">
      <c r="A29" s="28" t="str">
        <v>Bradford - 256 Presidential Dr</v>
      </c>
      <c r="B29" s="29" t="str">
        <v>MA</v>
      </c>
      <c r="C29" s="11">
        <v>578903.10800000001</v>
      </c>
      <c r="D29" s="18" t="s">
        <v>24</v>
      </c>
      <c r="E29" s="18"/>
      <c r="F29" s="19"/>
      <c r="G29" s="66" t="s">
        <v>24</v>
      </c>
      <c r="H29" s="20"/>
      <c r="I29" s="19"/>
      <c r="J29" s="39" t="s">
        <v>396</v>
      </c>
      <c r="K29" s="71" t="s">
        <v>397</v>
      </c>
      <c r="L29" s="75" t="s">
        <v>398</v>
      </c>
      <c r="M29" s="75" t="s">
        <v>399</v>
      </c>
      <c r="N29" s="75" t="s">
        <v>313</v>
      </c>
      <c r="O29" s="75" t="s">
        <v>400</v>
      </c>
    </row>
    <row r="30" spans="1:15" ht="43.15">
      <c r="A30" s="55" t="str">
        <v>Charlton – 111 Brookfield Road - Bus Lot</v>
      </c>
      <c r="B30" s="27" t="str">
        <v>MA</v>
      </c>
      <c r="C30" s="24">
        <v>75038.016000000003</v>
      </c>
      <c r="D30" s="13" t="s">
        <v>24</v>
      </c>
      <c r="E30" s="13"/>
      <c r="F30" s="14"/>
      <c r="G30" s="67" t="s">
        <v>24</v>
      </c>
      <c r="H30" s="15"/>
      <c r="I30" s="16"/>
      <c r="J30" s="38" t="s">
        <v>401</v>
      </c>
      <c r="K30" s="70" t="s">
        <v>402</v>
      </c>
    </row>
    <row r="31" spans="1:15" ht="43.15">
      <c r="A31" s="28" t="str">
        <v>Charlton – 154 Center Depot Road KMARD</v>
      </c>
      <c r="B31" s="29" t="str">
        <v>MA</v>
      </c>
      <c r="C31" s="11">
        <v>65512.063999999998</v>
      </c>
      <c r="D31" s="18" t="s">
        <v>24</v>
      </c>
      <c r="E31" s="18"/>
      <c r="F31" s="19"/>
      <c r="G31" s="66" t="s">
        <v>24</v>
      </c>
      <c r="H31" s="20"/>
      <c r="I31" s="19"/>
      <c r="J31" s="39" t="s">
        <v>403</v>
      </c>
      <c r="K31" s="73" t="s">
        <v>404</v>
      </c>
      <c r="L31" s="75" t="s">
        <v>405</v>
      </c>
    </row>
    <row r="32" spans="1:15" ht="15.6">
      <c r="A32" s="55" t="str">
        <v>Charlton – 142A Brookfield Rd (Mitchell)</v>
      </c>
      <c r="B32" s="27" t="str">
        <v>MA</v>
      </c>
      <c r="C32" s="24">
        <v>69400.063999999998</v>
      </c>
      <c r="D32" s="13" t="s">
        <v>24</v>
      </c>
      <c r="E32" s="13"/>
      <c r="F32" s="14"/>
      <c r="G32" s="67" t="s">
        <v>24</v>
      </c>
      <c r="H32" s="15"/>
      <c r="I32" s="16"/>
      <c r="J32" s="38"/>
      <c r="K32" s="38"/>
    </row>
    <row r="33" spans="1:15" ht="158.44999999999999">
      <c r="A33" s="28" t="str">
        <v>Great Barrington – 3 Nolan  Drive</v>
      </c>
      <c r="B33" s="29" t="str">
        <v>MA</v>
      </c>
      <c r="C33" s="11">
        <v>151014.33600000001</v>
      </c>
      <c r="D33" s="18" t="s">
        <v>24</v>
      </c>
      <c r="E33" s="18"/>
      <c r="F33" s="19"/>
      <c r="G33" s="66" t="s">
        <v>24</v>
      </c>
      <c r="H33" s="20"/>
      <c r="I33" s="19"/>
      <c r="J33" s="39" t="s">
        <v>406</v>
      </c>
      <c r="K33" s="71" t="s">
        <v>407</v>
      </c>
      <c r="L33" s="75" t="s">
        <v>322</v>
      </c>
      <c r="M33" s="75" t="s">
        <v>324</v>
      </c>
      <c r="N33" s="75" t="s">
        <v>325</v>
      </c>
      <c r="O33" s="75" t="s">
        <v>326</v>
      </c>
    </row>
    <row r="34" spans="1:15" ht="72">
      <c r="A34" s="55" t="str">
        <v>Stockbridge – 92 State Line Road Truck Stop</v>
      </c>
      <c r="B34" s="27" t="str">
        <v>MA</v>
      </c>
      <c r="C34" s="24">
        <v>296927.40299999999</v>
      </c>
      <c r="D34" s="13" t="s">
        <v>24</v>
      </c>
      <c r="E34" s="13"/>
      <c r="F34" s="14"/>
      <c r="G34" s="67" t="s">
        <v>24</v>
      </c>
      <c r="H34" s="15"/>
      <c r="I34" s="16"/>
      <c r="J34" s="38" t="s">
        <v>408</v>
      </c>
      <c r="K34" s="70" t="s">
        <v>409</v>
      </c>
      <c r="L34" s="75" t="s">
        <v>410</v>
      </c>
    </row>
    <row r="35" spans="1:15" ht="14.45">
      <c r="A35" s="21" t="str">
        <v>NY: New Windsor - Moores Hill</v>
      </c>
      <c r="B35" s="31" t="str">
        <v>NY</v>
      </c>
      <c r="C35" s="21"/>
      <c r="D35" s="21"/>
      <c r="E35" s="21"/>
      <c r="F35" s="21"/>
      <c r="G35" s="21"/>
      <c r="H35" s="21"/>
      <c r="I35" s="21"/>
      <c r="J35" s="21"/>
      <c r="K35" s="21"/>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hyperlinks>
    <hyperlink ref="K4" r:id="rId1" display="https://us3.assetplanner.com/service_request?ID=100967" xr:uid="{D7405734-2C2F-4F98-B99C-F46AFB035FF5}"/>
    <hyperlink ref="L4" r:id="rId2" display="https://us3.assetplanner.com/service_request?ID=101378" xr:uid="{4C55111C-B716-4628-B5F1-1A71BCE64D94}"/>
    <hyperlink ref="M4" r:id="rId3" display="https://us3.assetplanner.com/service_request?ID=101504" xr:uid="{44289809-D6A2-48A8-8F4B-7F0132F60ED6}"/>
    <hyperlink ref="N4" r:id="rId4" display="https://us3.assetplanner.com/service_request?ID=101739" xr:uid="{05820648-E0DF-418F-9798-FFC619C6BE39}"/>
    <hyperlink ref="K5" r:id="rId5" display="https://us3.assetplanner.com/service_request?ID=101404" xr:uid="{8FDB224B-CF60-43EC-8657-BEC11F2F98F2}"/>
    <hyperlink ref="L5" r:id="rId6" display="https://us3.assetplanner.com/service_request?ID=102179" xr:uid="{118F1613-A67F-4DF6-A4FE-80B40A025D77}"/>
    <hyperlink ref="K6" r:id="rId7" display="https://us3.assetplanner.com/service_request?ID=100943" xr:uid="{B32AB5F4-1A0A-41AE-BD08-7814EEF5AE15}"/>
    <hyperlink ref="L6" r:id="rId8" display="https://us3.assetplanner.com/service_request?ID=101960" xr:uid="{4E6148EE-E194-4AD8-A6FF-096E1309258D}"/>
    <hyperlink ref="M6" r:id="rId9" display="https://us3.assetplanner.com/service_request?ID=102051" xr:uid="{A7529B32-EE5B-4FFC-9613-0A6E82F69CFC}"/>
    <hyperlink ref="N6" r:id="rId10" display="https://us3.assetplanner.com/service_request?ID=101111" xr:uid="{F9387ADD-AB3A-4A66-A07A-82900DCDB2E4}"/>
    <hyperlink ref="K8" r:id="rId11" display="https://us3.assetplanner.com/service_request?ID=100968" xr:uid="{3A51A5FB-A946-4D9C-BF92-8E15EA8B1010}"/>
    <hyperlink ref="K9" r:id="rId12" display="https://us3.assetplanner.com/service_request?ID=100633" xr:uid="{7AEA5787-A96D-461C-8627-9560A6A8F0FA}"/>
    <hyperlink ref="L9" r:id="rId13" display="https://us3.assetplanner.com/service_request?ID=102083" xr:uid="{3F25346D-EB4F-4377-923B-D6494615637C}"/>
    <hyperlink ref="K12" r:id="rId14" display="https://us3.assetplanner.com/service_request?ID=099765" xr:uid="{6284F0B7-5534-4F4D-818C-44E405B534E7}"/>
    <hyperlink ref="L12" r:id="rId15" display="https://us3.assetplanner.com/service_request?ID=101869" xr:uid="{FE0FAF96-DBDE-49DA-A3BD-61EA7EA21132}"/>
    <hyperlink ref="M12" r:id="rId16" display="https://us3.assetplanner.com/service_request?ID=102226" xr:uid="{905359AB-69F8-4207-8855-17AA9C69F5DF}"/>
    <hyperlink ref="K13" r:id="rId17" display="https://us3.assetplanner.com/service_request?ID=088449" xr:uid="{97C1B093-3AFB-4841-A7D7-05C52BE1CDB0}"/>
    <hyperlink ref="L13" r:id="rId18" display="https://us3.assetplanner.com/service_request?ID=088450" xr:uid="{098DFF3B-56EE-47CD-BD48-20254211C13B}"/>
    <hyperlink ref="M13" r:id="rId19" display="https://us3.assetplanner.com/service_request?ID=102089" xr:uid="{BFE630EA-00CA-4976-823C-A9FA10925B04}"/>
    <hyperlink ref="N13" r:id="rId20" display="https://us3.assetplanner.com/service_request?ID=091962" xr:uid="{B6CFE41B-5D93-4D5E-825A-10AB6AE41E85}"/>
    <hyperlink ref="O13" r:id="rId21" display="https://us3.assetplanner.com/service_request?ID=097799" xr:uid="{1B9C3F41-A218-4D1C-9048-1FC8F9EE9F7B}"/>
    <hyperlink ref="P13" r:id="rId22" display="https://us3.assetplanner.com/service_request?ID=093117" xr:uid="{45E7FB8B-950D-4263-A296-B0E82090B56A}"/>
    <hyperlink ref="Q13" r:id="rId23" display="https://us3.assetplanner.com/service_request?ID=095816" xr:uid="{D44AA832-AEB8-4581-9376-8CE29A0F61EE}"/>
    <hyperlink ref="R13" r:id="rId24" display="https://us3.assetplanner.com/service_request?ID=099331" xr:uid="{2301738E-01D3-4060-BD4E-70B2310C7F9D}"/>
    <hyperlink ref="S13" r:id="rId25" display="https://us3.assetplanner.com/service_request?ID=101423" xr:uid="{9C4F0573-0D45-4D5D-97EA-F06921EBB04C}"/>
    <hyperlink ref="T13" r:id="rId26" display="https://us3.assetplanner.com/service_request?ID=100982" xr:uid="{6BA3F8AD-115D-4110-946E-163027AC3D6A}"/>
    <hyperlink ref="U13" r:id="rId27" display="https://us3.assetplanner.com/service_request?ID=101104" xr:uid="{1C56F8E5-BD45-43B7-8C0A-A08E7FAB17DD}"/>
    <hyperlink ref="K14" r:id="rId28" display="https://us3.assetplanner.com/service_request?ID=099616" xr:uid="{A6FCAFE2-F847-474F-ABAF-3CBDF26389D8}"/>
    <hyperlink ref="L14" r:id="rId29" display="https://us3.assetplanner.com/service_request?ID=101178" xr:uid="{6A4140A5-576A-4582-9D13-23412EA0DD9E}"/>
    <hyperlink ref="K17" r:id="rId30" display="https://us3.assetplanner.com/service_request?ID=101062" xr:uid="{BBBF851D-6A07-4D21-8D43-4F7FCE8CF573}"/>
    <hyperlink ref="K19" r:id="rId31" display="https://us3.assetplanner.com/service_request?ID=101921" xr:uid="{48C4774B-E845-408C-94B1-D1F13F0A9054}"/>
    <hyperlink ref="K20" r:id="rId32" display="https://us3.assetplanner.com/service_request?ID=087370" xr:uid="{01B510C9-E739-44F3-8ED8-E15F409E4FA3}"/>
    <hyperlink ref="K21" r:id="rId33" display="https://us3.assetplanner.com/service_request?ID=101031" xr:uid="{4B4A39C4-E51E-4F04-AD37-400EBCCEFE76}"/>
    <hyperlink ref="L21" r:id="rId34" display="https://us3.assetplanner.com/service_request?ID=101061" xr:uid="{C684B6AC-C28D-4F6C-9E1B-5A332F964EDA}"/>
    <hyperlink ref="K22" r:id="rId35" display="https://us3.assetplanner.com/service_request?ID=100353" xr:uid="{A8497A21-0884-4E89-B7C2-3FE6C542275D}"/>
    <hyperlink ref="L22" r:id="rId36" display="https://us3.assetplanner.com/service_request?ID=101879" xr:uid="{25423DB2-406B-4D6A-965D-F4ED8724EA73}"/>
    <hyperlink ref="K23" r:id="rId37" display="https://us3.assetplanner.com/service_request?ID=100358" xr:uid="{2F712DF0-DAE9-4585-A220-12D98D1FB0A5}"/>
    <hyperlink ref="L23" r:id="rId38" display="https://us3.assetplanner.com/service_request?ID=101648" xr:uid="{D781EFCB-9779-4681-876A-4DBBA955E9DC}"/>
    <hyperlink ref="K24" r:id="rId39" display="https://us3.assetplanner.com/service_request?ID=101935" xr:uid="{2049AC54-0A13-40BB-8723-EF00565E584F}"/>
    <hyperlink ref="K25" r:id="rId40" display="https://us3.assetplanner.com/service_request?ID=101916" xr:uid="{CEB33E64-3714-4F8F-BFC5-A90537309F5E}"/>
    <hyperlink ref="K26" r:id="rId41" display="https://us3.assetplanner.com/service_request?ID=101787" xr:uid="{A1E4C20F-DDCB-4EFF-8844-FE3BFBE85933}"/>
    <hyperlink ref="K27" r:id="rId42" display="https://us3.assetplanner.com/service_request?ID=094254" xr:uid="{6017991D-B058-4623-A1A4-CEF6F49DB08F}"/>
    <hyperlink ref="L27" r:id="rId43" display="https://us3.assetplanner.com/service_request?ID=101041" xr:uid="{B5BD9598-43D0-46C5-BF80-0F97D4CABB50}"/>
    <hyperlink ref="M27" r:id="rId44" display="https://us3.assetplanner.com/service_request?ID=101051" xr:uid="{65596BCD-247F-4BCC-A623-E9963AD0974D}"/>
    <hyperlink ref="N27" r:id="rId45" display="https://us3.assetplanner.com/service_request?ID=102009" xr:uid="{A82B8F48-00E3-4D85-B268-353E0E43414E}"/>
    <hyperlink ref="K28" r:id="rId46" display="https://us3.assetplanner.com/service_request?ID=101042" xr:uid="{567C63FD-BB5D-4EC8-A5D9-297024CDD6B4}"/>
    <hyperlink ref="L28" r:id="rId47" display="https://us3.assetplanner.com/service_request?ID=102010" xr:uid="{2F3404A4-4034-4A56-BB4B-64ADC195BF5E}"/>
    <hyperlink ref="K29" r:id="rId48" display="https://us3.assetplanner.com/service_request?ID=100988" xr:uid="{6AD887EF-6A41-4816-97FB-8164CEB15A91}"/>
    <hyperlink ref="L29" r:id="rId49" display="https://us3.assetplanner.com/service_request?ID=101074" xr:uid="{92D9F286-F0BD-412E-AF21-F7AA60975E78}"/>
    <hyperlink ref="M29" r:id="rId50" display="https://us3.assetplanner.com/service_request?ID=101231" xr:uid="{78747D17-DEEA-4D41-ADCB-57917E8A5959}"/>
    <hyperlink ref="N29" r:id="rId51" display="https://us3.assetplanner.com/service_request?ID=101357" xr:uid="{B939DB3D-96B8-443F-8EB8-34A278F5AD3C}"/>
    <hyperlink ref="O29" r:id="rId52" display="https://us3.assetplanner.com/service_request?ID=102183" xr:uid="{F2D90B3D-8066-441A-A2D7-E5625EF7940B}"/>
    <hyperlink ref="K30" r:id="rId53" display="https://us3.assetplanner.com/service_request?ID=101920" xr:uid="{9B174862-9118-44B3-A4A7-2602E14EBEE1}"/>
    <hyperlink ref="K31" r:id="rId54" display="https://us3.assetplanner.com/service_request?ID=100710" xr:uid="{9C8B1B5E-B883-4593-97CD-FD9A830971E9}"/>
    <hyperlink ref="L31" r:id="rId55" display="https://us3.assetplanner.com/service_request?ID=101508" xr:uid="{3C4C7F94-AA86-4ECD-9409-433F3F4141F5}"/>
    <hyperlink ref="K33" r:id="rId56" display="https://us3.assetplanner.com/service_request?ID=098468" xr:uid="{594A7498-67F6-40A1-9DBB-BA9B19694E5B}"/>
    <hyperlink ref="L33" r:id="rId57" display="https://us3.assetplanner.com/service_request?ID=099298" xr:uid="{BDDEE214-144A-4035-B2C9-FDE6CDA91B85}"/>
    <hyperlink ref="M33" r:id="rId58" display="https://us3.assetplanner.com/service_request?ID=099815" xr:uid="{AC3281B3-0529-422A-9E33-4D119134FC5A}"/>
    <hyperlink ref="N33" r:id="rId59" display="https://us3.assetplanner.com/service_request?ID=099920" xr:uid="{040D5A01-FE4A-408A-9B71-EAA9B41C4B1A}"/>
    <hyperlink ref="O33" r:id="rId60" display="https://us3.assetplanner.com/service_request?ID=101029" xr:uid="{699E1E4C-BDF9-4078-87D7-8809A296AB75}"/>
    <hyperlink ref="K34" r:id="rId61" display="https://us3.assetplanner.com/service_request?ID=101985" xr:uid="{4635F401-0921-4CF9-BF37-F283ADAE6617}"/>
    <hyperlink ref="L34" r:id="rId62" display="https://us3.assetplanner.com/service_request?ID=102231" xr:uid="{7DF45881-8300-4812-A85F-D4F1AF1CC47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45"/>
  <sheetViews>
    <sheetView zoomScale="80" zoomScaleNormal="80" workbookViewId="0">
      <pane xSplit="2" ySplit="3" topLeftCell="C16" activePane="bottomRight" state="frozen"/>
      <selection pane="bottomRight" activeCell="H37" sqref="H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2" ht="19.5" customHeight="1">
      <c r="A1" s="112" t="str" cm="1">
        <f t="array" ref="A1">portfolio</f>
        <v>Lodestar</v>
      </c>
      <c r="B1" s="112"/>
      <c r="C1" s="112"/>
      <c r="D1" s="113" t="s">
        <v>411</v>
      </c>
      <c r="E1" s="113"/>
      <c r="F1" s="113"/>
      <c r="G1" s="111" t="s">
        <v>412</v>
      </c>
      <c r="H1" s="111"/>
      <c r="I1" s="111"/>
      <c r="J1" s="4"/>
      <c r="K1" s="4"/>
    </row>
    <row r="2" spans="1:12" ht="19.5" customHeight="1">
      <c r="A2" s="114" t="s">
        <v>2</v>
      </c>
      <c r="B2" s="114"/>
      <c r="C2" s="5">
        <f>SUM(C4:C103)</f>
        <v>10011771.466504952</v>
      </c>
      <c r="D2" s="5">
        <f>SUM(D4:D103)</f>
        <v>7314413.5899999999</v>
      </c>
      <c r="E2" s="5">
        <f>C2-D2</f>
        <v>2697357.8765049521</v>
      </c>
      <c r="F2" s="6">
        <f>IFERROR(E2/D2, 0)</f>
        <v>0.36877294991804699</v>
      </c>
      <c r="G2" s="5">
        <f>SUM(G4:G103)</f>
        <v>8157558.4300000006</v>
      </c>
      <c r="H2" s="7">
        <f>C2-G2</f>
        <v>1854213.0365049513</v>
      </c>
      <c r="I2" s="6">
        <f>IFERROR(H2/G2, 0)</f>
        <v>0.22730000065778888</v>
      </c>
      <c r="J2" s="26"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3" t="s">
        <v>5</v>
      </c>
      <c r="D3" s="33" t="s">
        <v>6</v>
      </c>
      <c r="E3" s="33" t="s">
        <v>7</v>
      </c>
      <c r="F3" s="34" t="s">
        <v>8</v>
      </c>
      <c r="G3" s="35" t="s">
        <v>9</v>
      </c>
      <c r="H3" s="36" t="s">
        <v>7</v>
      </c>
      <c r="I3" s="37" t="s">
        <v>8</v>
      </c>
      <c r="J3" s="25" t="s">
        <v>20</v>
      </c>
      <c r="K3" s="25" t="s">
        <v>21</v>
      </c>
    </row>
    <row r="4" spans="1:12" ht="28.9">
      <c r="A4" s="55" t="str" cm="1">
        <f t="array" ref="A4:A35">Sites[Site]</f>
        <v>Barkhamsted</v>
      </c>
      <c r="B4" s="27" t="str" cm="1">
        <f t="array" ref="B4:B35">Sites[State]</f>
        <v>CT</v>
      </c>
      <c r="C4" s="24">
        <v>172503</v>
      </c>
      <c r="D4" s="13">
        <v>180631.9</v>
      </c>
      <c r="E4" s="13">
        <f>IF(AND(ISNUMBER(C4),ISNUMBER(D4)), C4-D4, "")</f>
        <v>-8128.8999999999942</v>
      </c>
      <c r="F4" s="14">
        <f>IFERROR(E4/D4, "")</f>
        <v>-4.5002571528063397E-2</v>
      </c>
      <c r="G4" s="15">
        <v>193885.7</v>
      </c>
      <c r="H4" s="15">
        <f>IF(AND(ISNUMBER(C4),ISNUMBER(G4)), C4-G4, "")</f>
        <v>-21382.700000000012</v>
      </c>
      <c r="I4" s="16">
        <f>IFERROR(H4/G4, "")</f>
        <v>-0.11028508033341299</v>
      </c>
      <c r="J4" s="38" t="s">
        <v>413</v>
      </c>
      <c r="K4" s="70" t="s">
        <v>414</v>
      </c>
    </row>
    <row r="5" spans="1:12" ht="66" customHeight="1">
      <c r="A5" s="28" t="str">
        <v>Bunce</v>
      </c>
      <c r="B5" s="29" t="str">
        <v>CT</v>
      </c>
      <c r="C5" s="11">
        <v>344462.5</v>
      </c>
      <c r="D5" s="18">
        <v>199103</v>
      </c>
      <c r="E5" s="18">
        <f t="shared" ref="E5:E14" si="0">IF(AND(ISNUMBER(C5),ISNUMBER(D5)), C5-D5, "")</f>
        <v>145359.5</v>
      </c>
      <c r="F5" s="19">
        <f>IFERROR(E5/D5, "")</f>
        <v>0.73007187234747839</v>
      </c>
      <c r="G5" s="20">
        <v>0</v>
      </c>
      <c r="H5" s="20">
        <f t="shared" ref="H5:H14" si="1">IF(AND(ISNUMBER(C5),ISNUMBER(G5)), C5-G5, "")</f>
        <v>344462.5</v>
      </c>
      <c r="I5" s="19" t="str">
        <f t="shared" ref="I5:I14" si="2">IFERROR(H5/G5, "")</f>
        <v/>
      </c>
      <c r="J5" s="47" t="s">
        <v>415</v>
      </c>
      <c r="K5" s="72" t="s">
        <v>416</v>
      </c>
      <c r="L5" s="75" t="s">
        <v>340</v>
      </c>
    </row>
    <row r="6" spans="1:12" ht="28.9">
      <c r="A6" s="55" t="str">
        <v>Norcap North</v>
      </c>
      <c r="B6" s="27" t="str">
        <v>CT</v>
      </c>
      <c r="C6" s="24">
        <v>351514.5</v>
      </c>
      <c r="D6" s="13">
        <v>315289.8</v>
      </c>
      <c r="E6" s="13">
        <f t="shared" si="0"/>
        <v>36224.700000000012</v>
      </c>
      <c r="F6" s="14">
        <f t="shared" ref="F6:F14" si="3">IFERROR(E6/D6, "")</f>
        <v>0.11489334574096598</v>
      </c>
      <c r="G6" s="15">
        <v>370442.1</v>
      </c>
      <c r="H6" s="15">
        <f t="shared" si="1"/>
        <v>-18927.599999999977</v>
      </c>
      <c r="I6" s="16">
        <f t="shared" si="2"/>
        <v>-5.1094624504072234E-2</v>
      </c>
      <c r="J6" s="38" t="s">
        <v>417</v>
      </c>
      <c r="K6" s="70" t="s">
        <v>418</v>
      </c>
      <c r="L6" s="75" t="s">
        <v>419</v>
      </c>
    </row>
    <row r="7" spans="1:12" ht="15.6">
      <c r="A7" s="28" t="str">
        <v>Norcap South</v>
      </c>
      <c r="B7" s="29" t="str">
        <v>CT</v>
      </c>
      <c r="C7" s="11">
        <v>362144.5</v>
      </c>
      <c r="D7" s="18">
        <v>331666.59999999998</v>
      </c>
      <c r="E7" s="18">
        <f t="shared" si="0"/>
        <v>30477.900000000023</v>
      </c>
      <c r="F7" s="19">
        <f t="shared" si="3"/>
        <v>9.1893184300137626E-2</v>
      </c>
      <c r="G7" s="20">
        <v>363121.9</v>
      </c>
      <c r="H7" s="20">
        <f t="shared" si="1"/>
        <v>-977.40000000002328</v>
      </c>
      <c r="I7" s="19">
        <f t="shared" si="2"/>
        <v>-2.6916580905751572E-3</v>
      </c>
      <c r="J7" s="39"/>
      <c r="K7" s="47"/>
    </row>
    <row r="8" spans="1:12" ht="15.6">
      <c r="A8" s="55" t="str">
        <v>Platt Hill</v>
      </c>
      <c r="B8" s="27" t="str">
        <v>CT</v>
      </c>
      <c r="C8" s="24">
        <v>392747</v>
      </c>
      <c r="D8" s="13">
        <v>397782.9</v>
      </c>
      <c r="E8" s="13">
        <f t="shared" si="0"/>
        <v>-5035.9000000000233</v>
      </c>
      <c r="F8" s="14">
        <f t="shared" si="3"/>
        <v>-1.265992077588057E-2</v>
      </c>
      <c r="G8" s="15">
        <v>406031</v>
      </c>
      <c r="H8" s="15">
        <f t="shared" si="1"/>
        <v>-13284</v>
      </c>
      <c r="I8" s="16">
        <f t="shared" si="2"/>
        <v>-3.2716713748457631E-2</v>
      </c>
      <c r="J8" s="38"/>
      <c r="K8" s="38"/>
    </row>
    <row r="9" spans="1:12" ht="72">
      <c r="A9" s="28" t="str">
        <v>Powder Hill</v>
      </c>
      <c r="B9" s="29" t="str">
        <v>CT</v>
      </c>
      <c r="C9" s="11">
        <v>361177</v>
      </c>
      <c r="D9" s="18">
        <v>351967.6</v>
      </c>
      <c r="E9" s="18">
        <f t="shared" si="0"/>
        <v>9209.4000000000233</v>
      </c>
      <c r="F9" s="19">
        <f t="shared" si="3"/>
        <v>2.6165476595004837E-2</v>
      </c>
      <c r="G9" s="20">
        <v>286956</v>
      </c>
      <c r="H9" s="20">
        <f t="shared" si="1"/>
        <v>74221</v>
      </c>
      <c r="I9" s="19">
        <f t="shared" si="2"/>
        <v>0.25864940966559336</v>
      </c>
      <c r="J9" s="47" t="s">
        <v>420</v>
      </c>
      <c r="K9" s="72" t="s">
        <v>421</v>
      </c>
      <c r="L9" s="75" t="s">
        <v>422</v>
      </c>
    </row>
    <row r="10" spans="1:12" ht="28.9">
      <c r="A10" s="55" t="str">
        <v>Sand Road</v>
      </c>
      <c r="B10" s="27" t="str">
        <v>CT</v>
      </c>
      <c r="C10" s="24">
        <v>343975.04950495297</v>
      </c>
      <c r="D10" s="13">
        <v>287330.40000000002</v>
      </c>
      <c r="E10" s="13">
        <f t="shared" si="0"/>
        <v>56644.649504952948</v>
      </c>
      <c r="F10" s="14">
        <f t="shared" si="3"/>
        <v>0.1971411639873572</v>
      </c>
      <c r="G10" s="15">
        <v>348315</v>
      </c>
      <c r="H10" s="15">
        <f t="shared" si="1"/>
        <v>-4339.9504950470291</v>
      </c>
      <c r="I10" s="16">
        <f t="shared" si="2"/>
        <v>-1.2459843805311368E-2</v>
      </c>
      <c r="J10" s="38" t="s">
        <v>423</v>
      </c>
      <c r="K10" s="70" t="s">
        <v>424</v>
      </c>
    </row>
    <row r="11" spans="1:12" ht="15.6">
      <c r="A11" s="28" t="str">
        <v>Suffield</v>
      </c>
      <c r="B11" s="29" t="str">
        <v>CT</v>
      </c>
      <c r="C11" s="11">
        <v>349315</v>
      </c>
      <c r="D11" s="18">
        <v>337548.7</v>
      </c>
      <c r="E11" s="18">
        <f t="shared" si="0"/>
        <v>11766.299999999988</v>
      </c>
      <c r="F11" s="19">
        <f t="shared" si="3"/>
        <v>3.4858081219095165E-2</v>
      </c>
      <c r="G11" s="20">
        <v>383976.9</v>
      </c>
      <c r="H11" s="20">
        <f t="shared" si="1"/>
        <v>-34661.900000000023</v>
      </c>
      <c r="I11" s="19">
        <f t="shared" si="2"/>
        <v>-9.0270794935841253E-2</v>
      </c>
      <c r="J11" s="39"/>
      <c r="K11" s="39"/>
    </row>
    <row r="12" spans="1:12" ht="15.6">
      <c r="A12" s="55" t="str">
        <v>Ashby-Duffy</v>
      </c>
      <c r="B12" s="27" t="str">
        <v>MA</v>
      </c>
      <c r="C12" s="24">
        <v>334572</v>
      </c>
      <c r="D12" s="13">
        <v>335248.09999999998</v>
      </c>
      <c r="E12" s="13">
        <f t="shared" si="0"/>
        <v>-676.09999999997672</v>
      </c>
      <c r="F12" s="14">
        <f t="shared" si="3"/>
        <v>-2.0167153818320721E-3</v>
      </c>
      <c r="G12" s="15">
        <v>354815.7</v>
      </c>
      <c r="H12" s="15">
        <f t="shared" si="1"/>
        <v>-20243.700000000012</v>
      </c>
      <c r="I12" s="16">
        <f t="shared" si="2"/>
        <v>-5.7054126973524598E-2</v>
      </c>
      <c r="J12" s="38"/>
      <c r="K12" s="38"/>
    </row>
    <row r="13" spans="1:12" ht="28.9">
      <c r="A13" s="28" t="str">
        <v>Ashland</v>
      </c>
      <c r="B13" s="29" t="str">
        <v>MA</v>
      </c>
      <c r="C13" s="11">
        <v>328311</v>
      </c>
      <c r="D13" s="18">
        <v>355156.7</v>
      </c>
      <c r="E13" s="18">
        <f t="shared" si="0"/>
        <v>-26845.700000000012</v>
      </c>
      <c r="F13" s="19">
        <f t="shared" si="3"/>
        <v>-7.558832481549696E-2</v>
      </c>
      <c r="G13" s="20">
        <v>399168.8</v>
      </c>
      <c r="H13" s="20">
        <f t="shared" si="1"/>
        <v>-70857.799999999988</v>
      </c>
      <c r="I13" s="19">
        <f t="shared" si="2"/>
        <v>-0.17751337278865481</v>
      </c>
      <c r="J13" s="39" t="s">
        <v>425</v>
      </c>
      <c r="K13" s="73" t="s">
        <v>426</v>
      </c>
    </row>
    <row r="14" spans="1:12" ht="15.6">
      <c r="A14" s="55" t="str">
        <v>Barrington</v>
      </c>
      <c r="B14" s="27" t="str">
        <v>MA</v>
      </c>
      <c r="C14" s="24">
        <v>76986</v>
      </c>
      <c r="D14" s="13">
        <v>63928.59</v>
      </c>
      <c r="E14" s="13">
        <f t="shared" si="0"/>
        <v>13057.410000000003</v>
      </c>
      <c r="F14" s="14">
        <f t="shared" si="3"/>
        <v>0.20424992949164067</v>
      </c>
      <c r="G14" s="15">
        <v>85100</v>
      </c>
      <c r="H14" s="15">
        <f t="shared" si="1"/>
        <v>-8114</v>
      </c>
      <c r="I14" s="16">
        <f t="shared" si="2"/>
        <v>-9.5346650998824917E-2</v>
      </c>
      <c r="J14" s="38"/>
      <c r="K14" s="38"/>
    </row>
    <row r="15" spans="1:12" ht="28.9">
      <c r="A15" s="28" t="str">
        <v>Bedford - 205 Burlington Rd</v>
      </c>
      <c r="B15" s="29" t="str">
        <v>MA</v>
      </c>
      <c r="C15" s="11">
        <v>43520</v>
      </c>
      <c r="D15" s="18" t="s">
        <v>24</v>
      </c>
      <c r="E15" s="18" t="str">
        <f t="shared" ref="E15:E35" si="4">IF(AND(ISNUMBER(C15),ISNUMBER(D15)), C15-D15, "")</f>
        <v/>
      </c>
      <c r="F15" s="52" t="str">
        <f t="shared" ref="F15:F35" si="5">IFERROR(E15/D15, "")</f>
        <v/>
      </c>
      <c r="G15" s="79" t="s">
        <v>24</v>
      </c>
      <c r="H15" s="50" t="str">
        <f t="shared" ref="H15:H35" si="6">IF(AND(ISNUMBER(C15),ISNUMBER(G15)), C15-G15, "")</f>
        <v/>
      </c>
      <c r="I15" s="52" t="str">
        <f t="shared" ref="I15:I35" si="7">IFERROR(H15/G15, "")</f>
        <v/>
      </c>
      <c r="J15" s="39" t="s">
        <v>427</v>
      </c>
      <c r="K15" s="72" t="s">
        <v>428</v>
      </c>
    </row>
    <row r="16" spans="1:12" ht="15.6">
      <c r="A16" s="55" t="str">
        <v>Billerica - 6 Cook Street</v>
      </c>
      <c r="B16" s="27" t="str">
        <v>MA</v>
      </c>
      <c r="C16" s="24">
        <v>41630</v>
      </c>
      <c r="D16" s="13" t="s">
        <v>24</v>
      </c>
      <c r="E16" s="13" t="str">
        <f t="shared" si="4"/>
        <v/>
      </c>
      <c r="F16" s="14" t="str">
        <f t="shared" si="5"/>
        <v/>
      </c>
      <c r="G16" s="80" t="s">
        <v>24</v>
      </c>
      <c r="H16" s="15" t="str">
        <f t="shared" si="6"/>
        <v/>
      </c>
      <c r="I16" s="16" t="str">
        <f t="shared" si="7"/>
        <v/>
      </c>
      <c r="J16" s="38"/>
      <c r="K16" s="38"/>
    </row>
    <row r="17" spans="1:21" ht="15.6">
      <c r="A17" s="28" t="str">
        <v>Billerica - 780 Boston Road</v>
      </c>
      <c r="B17" s="29" t="str">
        <v>MA</v>
      </c>
      <c r="C17" s="11">
        <v>46010</v>
      </c>
      <c r="D17" s="18" t="s">
        <v>24</v>
      </c>
      <c r="E17" s="18" t="str">
        <f t="shared" si="4"/>
        <v/>
      </c>
      <c r="F17" s="52" t="str">
        <f t="shared" si="5"/>
        <v/>
      </c>
      <c r="G17" s="79" t="s">
        <v>24</v>
      </c>
      <c r="H17" s="50" t="str">
        <f t="shared" si="6"/>
        <v/>
      </c>
      <c r="I17" s="52" t="str">
        <f t="shared" si="7"/>
        <v/>
      </c>
      <c r="J17" s="39"/>
      <c r="K17" s="39"/>
    </row>
    <row r="18" spans="1:21" ht="37.5" customHeight="1">
      <c r="A18" s="55" t="str">
        <v>Cheshire</v>
      </c>
      <c r="B18" s="27" t="str">
        <v>MA</v>
      </c>
      <c r="C18" s="24">
        <v>80361</v>
      </c>
      <c r="D18" s="13">
        <v>82249.42</v>
      </c>
      <c r="E18" s="13">
        <f t="shared" si="4"/>
        <v>-1888.4199999999983</v>
      </c>
      <c r="F18" s="14">
        <f t="shared" si="5"/>
        <v>-2.2959675581906817E-2</v>
      </c>
      <c r="G18" s="15">
        <v>70450.94</v>
      </c>
      <c r="H18" s="15">
        <f t="shared" si="6"/>
        <v>9910.0599999999977</v>
      </c>
      <c r="I18" s="16">
        <f t="shared" si="7"/>
        <v>0.14066611460400666</v>
      </c>
      <c r="J18" s="38" t="s">
        <v>429</v>
      </c>
      <c r="K18" s="70" t="s">
        <v>430</v>
      </c>
    </row>
    <row r="19" spans="1:21" ht="15.6">
      <c r="A19" s="28" t="str">
        <v>Lilly Lane</v>
      </c>
      <c r="B19" s="29" t="str">
        <v>MA</v>
      </c>
      <c r="C19" s="11">
        <v>179723</v>
      </c>
      <c r="D19" s="18">
        <v>169471.8</v>
      </c>
      <c r="E19" s="18">
        <f t="shared" si="4"/>
        <v>10251.200000000012</v>
      </c>
      <c r="F19" s="52">
        <f t="shared" si="5"/>
        <v>6.0489119723753523E-2</v>
      </c>
      <c r="G19" s="20">
        <v>177023.4</v>
      </c>
      <c r="H19" s="50">
        <f t="shared" si="6"/>
        <v>2699.6000000000058</v>
      </c>
      <c r="I19" s="52">
        <f t="shared" si="7"/>
        <v>1.5249961304550731E-2</v>
      </c>
      <c r="J19" s="39"/>
      <c r="K19" s="39"/>
    </row>
    <row r="20" spans="1:21" ht="57.6">
      <c r="A20" s="55" t="str">
        <v>Monument Valley</v>
      </c>
      <c r="B20" s="27" t="str">
        <v>MA</v>
      </c>
      <c r="C20" s="24">
        <v>355393</v>
      </c>
      <c r="D20" s="13">
        <v>62959.4</v>
      </c>
      <c r="E20" s="13">
        <f t="shared" si="4"/>
        <v>292433.59999999998</v>
      </c>
      <c r="F20" s="14">
        <f t="shared" si="5"/>
        <v>4.6447964878953734</v>
      </c>
      <c r="G20" s="15">
        <v>0</v>
      </c>
      <c r="H20" s="15">
        <f t="shared" si="6"/>
        <v>355393</v>
      </c>
      <c r="I20" s="16" t="str">
        <f t="shared" si="7"/>
        <v/>
      </c>
      <c r="J20" s="38" t="s">
        <v>283</v>
      </c>
      <c r="K20" s="70" t="s">
        <v>284</v>
      </c>
    </row>
    <row r="21" spans="1:21" ht="81" customHeight="1">
      <c r="A21" s="28" t="str">
        <v>Nationwide</v>
      </c>
      <c r="B21" s="29" t="str">
        <v>MA</v>
      </c>
      <c r="C21" s="11">
        <v>627229</v>
      </c>
      <c r="D21" s="18">
        <v>489264.7</v>
      </c>
      <c r="E21" s="18">
        <f t="shared" si="4"/>
        <v>137964.29999999999</v>
      </c>
      <c r="F21" s="52">
        <f t="shared" si="5"/>
        <v>0.28198294297544862</v>
      </c>
      <c r="G21" s="20">
        <v>549795.1</v>
      </c>
      <c r="H21" s="50">
        <f t="shared" si="6"/>
        <v>77433.900000000023</v>
      </c>
      <c r="I21" s="52">
        <f t="shared" si="7"/>
        <v>0.14084137890643264</v>
      </c>
      <c r="J21" s="39" t="s">
        <v>431</v>
      </c>
      <c r="K21" s="73" t="s">
        <v>432</v>
      </c>
      <c r="L21" s="75" t="s">
        <v>433</v>
      </c>
    </row>
    <row r="22" spans="1:21" ht="15.6">
      <c r="A22" s="55" t="str">
        <v>Pulpit Hill</v>
      </c>
      <c r="B22" s="27" t="str">
        <v>MA</v>
      </c>
      <c r="C22" s="24">
        <v>801931.75</v>
      </c>
      <c r="D22" s="13">
        <v>755271.6</v>
      </c>
      <c r="E22" s="13">
        <f t="shared" si="4"/>
        <v>46660.150000000023</v>
      </c>
      <c r="F22" s="14">
        <f t="shared" si="5"/>
        <v>6.1779298996546439E-2</v>
      </c>
      <c r="G22" s="15">
        <v>798150.4</v>
      </c>
      <c r="H22" s="15">
        <f t="shared" si="6"/>
        <v>3781.3499999999767</v>
      </c>
      <c r="I22" s="16">
        <f t="shared" si="7"/>
        <v>4.7376409258204676E-3</v>
      </c>
      <c r="J22" s="38"/>
      <c r="K22" s="38"/>
    </row>
    <row r="23" spans="1:21" ht="72">
      <c r="A23" s="28" t="str">
        <v>Sandwich</v>
      </c>
      <c r="B23" s="29" t="str">
        <v>MA</v>
      </c>
      <c r="C23" s="11">
        <v>465917</v>
      </c>
      <c r="D23" s="18" t="s">
        <v>24</v>
      </c>
      <c r="E23" s="18" t="str">
        <f t="shared" si="4"/>
        <v/>
      </c>
      <c r="F23" s="52" t="str">
        <f t="shared" si="5"/>
        <v/>
      </c>
      <c r="G23" s="20">
        <v>543938</v>
      </c>
      <c r="H23" s="50">
        <f t="shared" si="6"/>
        <v>-78021</v>
      </c>
      <c r="I23" s="52">
        <f t="shared" si="7"/>
        <v>-0.14343730351620956</v>
      </c>
      <c r="J23" s="39" t="s">
        <v>434</v>
      </c>
      <c r="K23" s="72" t="s">
        <v>435</v>
      </c>
      <c r="L23" s="75" t="s">
        <v>436</v>
      </c>
      <c r="M23" s="75" t="s">
        <v>437</v>
      </c>
      <c r="U23" t="s">
        <v>438</v>
      </c>
    </row>
    <row r="24" spans="1:21" ht="15.6">
      <c r="A24" s="55" t="str">
        <v>Sturbridge Barn</v>
      </c>
      <c r="B24" s="27" t="str">
        <v>MA</v>
      </c>
      <c r="C24" s="24">
        <v>182150.5</v>
      </c>
      <c r="D24" s="13">
        <v>177700.6</v>
      </c>
      <c r="E24" s="13">
        <f t="shared" si="4"/>
        <v>4449.8999999999942</v>
      </c>
      <c r="F24" s="14">
        <f t="shared" si="5"/>
        <v>2.5041558666656128E-2</v>
      </c>
      <c r="G24" s="15">
        <v>196021.7</v>
      </c>
      <c r="H24" s="15">
        <f t="shared" si="6"/>
        <v>-13871.200000000012</v>
      </c>
      <c r="I24" s="16">
        <f t="shared" si="7"/>
        <v>-7.0763594030660945E-2</v>
      </c>
      <c r="J24" s="38"/>
      <c r="K24" s="38"/>
    </row>
    <row r="25" spans="1:21" ht="15.6">
      <c r="A25" s="28" t="str">
        <v>Sturbridge Garage</v>
      </c>
      <c r="B25" s="29" t="str">
        <v>MA</v>
      </c>
      <c r="C25" s="11">
        <v>85615.25</v>
      </c>
      <c r="D25" s="18">
        <v>84325.08</v>
      </c>
      <c r="E25" s="18">
        <f t="shared" si="4"/>
        <v>1290.1699999999983</v>
      </c>
      <c r="F25" s="52">
        <f t="shared" si="5"/>
        <v>1.529995583757523E-2</v>
      </c>
      <c r="G25" s="20">
        <v>87445.09</v>
      </c>
      <c r="H25" s="50">
        <f t="shared" si="6"/>
        <v>-1829.8399999999965</v>
      </c>
      <c r="I25" s="52">
        <f t="shared" si="7"/>
        <v>-2.0925588846669341E-2</v>
      </c>
      <c r="J25" s="39"/>
      <c r="K25" s="39"/>
    </row>
    <row r="26" spans="1:21" ht="86.45">
      <c r="A26" s="55" t="str">
        <v>Halsey Valley</v>
      </c>
      <c r="B26" s="27" t="str">
        <v>NY</v>
      </c>
      <c r="C26" s="24">
        <v>875264</v>
      </c>
      <c r="D26" s="13">
        <v>884096.8</v>
      </c>
      <c r="E26" s="13">
        <f t="shared" si="4"/>
        <v>-8832.8000000000466</v>
      </c>
      <c r="F26" s="14">
        <f t="shared" si="5"/>
        <v>-9.990761192665832E-3</v>
      </c>
      <c r="G26" s="15">
        <v>986000</v>
      </c>
      <c r="H26" s="15">
        <f t="shared" si="6"/>
        <v>-110736</v>
      </c>
      <c r="I26" s="16">
        <f t="shared" si="7"/>
        <v>-0.11230831643002029</v>
      </c>
      <c r="J26" s="38" t="s">
        <v>439</v>
      </c>
      <c r="K26" s="70" t="s">
        <v>440</v>
      </c>
      <c r="L26" s="75" t="s">
        <v>441</v>
      </c>
      <c r="M26" s="75" t="s">
        <v>442</v>
      </c>
      <c r="N26" s="75" t="s">
        <v>443</v>
      </c>
    </row>
    <row r="27" spans="1:21" ht="28.9">
      <c r="A27" s="28" t="str">
        <v>Hunt Creek</v>
      </c>
      <c r="B27" s="29" t="str">
        <v>NY</v>
      </c>
      <c r="C27" s="11">
        <v>626192</v>
      </c>
      <c r="D27" s="18">
        <v>648129.4</v>
      </c>
      <c r="E27" s="18">
        <f t="shared" si="4"/>
        <v>-21937.400000000023</v>
      </c>
      <c r="F27" s="52">
        <f t="shared" si="5"/>
        <v>-3.3847253341693841E-2</v>
      </c>
      <c r="G27" s="20">
        <v>706700</v>
      </c>
      <c r="H27" s="50">
        <f t="shared" si="6"/>
        <v>-80508</v>
      </c>
      <c r="I27" s="52">
        <f t="shared" si="7"/>
        <v>-0.11392104146030847</v>
      </c>
      <c r="J27" s="39" t="s">
        <v>444</v>
      </c>
      <c r="K27" s="72" t="s">
        <v>445</v>
      </c>
    </row>
    <row r="28" spans="1:21" ht="15.6">
      <c r="A28" s="55" t="str">
        <v>Smith Creek</v>
      </c>
      <c r="B28" s="27" t="str">
        <v>NY</v>
      </c>
      <c r="C28" s="24">
        <v>691792</v>
      </c>
      <c r="D28" s="13">
        <v>717638.5</v>
      </c>
      <c r="E28" s="13">
        <f t="shared" si="4"/>
        <v>-25846.5</v>
      </c>
      <c r="F28" s="14">
        <f t="shared" si="5"/>
        <v>-3.6016044289708539E-2</v>
      </c>
      <c r="G28" s="15">
        <v>749934.7</v>
      </c>
      <c r="H28" s="15">
        <f t="shared" si="6"/>
        <v>-58142.699999999953</v>
      </c>
      <c r="I28" s="16">
        <f t="shared" si="7"/>
        <v>-7.7530350309166857E-2</v>
      </c>
      <c r="J28" s="38"/>
      <c r="K28" s="38"/>
    </row>
    <row r="29" spans="1:21" ht="72">
      <c r="A29" s="28" t="str">
        <v>Bradford - 256 Presidential Dr</v>
      </c>
      <c r="B29" s="29" t="str">
        <v>MA</v>
      </c>
      <c r="C29" s="11">
        <v>694941.50100000005</v>
      </c>
      <c r="D29" s="18" t="s">
        <v>24</v>
      </c>
      <c r="E29" s="18" t="str">
        <f t="shared" si="4"/>
        <v/>
      </c>
      <c r="F29" s="52" t="str">
        <f t="shared" si="5"/>
        <v/>
      </c>
      <c r="G29" s="66" t="s">
        <v>24</v>
      </c>
      <c r="H29" s="50" t="str">
        <f t="shared" si="6"/>
        <v/>
      </c>
      <c r="I29" s="52" t="str">
        <f t="shared" si="7"/>
        <v/>
      </c>
      <c r="J29" s="39" t="s">
        <v>446</v>
      </c>
      <c r="K29" s="72" t="s">
        <v>447</v>
      </c>
      <c r="L29" s="75" t="s">
        <v>448</v>
      </c>
      <c r="M29" s="75" t="s">
        <v>449</v>
      </c>
    </row>
    <row r="30" spans="1:21" ht="15.6">
      <c r="A30" s="55" t="str">
        <v>Charlton – 111 Brookfield Road - Bus Lot</v>
      </c>
      <c r="B30" s="27" t="str">
        <v>MA</v>
      </c>
      <c r="C30" s="24">
        <v>91255.039999999994</v>
      </c>
      <c r="D30" s="13" t="s">
        <v>24</v>
      </c>
      <c r="E30" s="13" t="str">
        <f t="shared" si="4"/>
        <v/>
      </c>
      <c r="F30" s="14" t="str">
        <f t="shared" si="5"/>
        <v/>
      </c>
      <c r="G30" s="67" t="s">
        <v>24</v>
      </c>
      <c r="H30" s="15" t="str">
        <f t="shared" si="6"/>
        <v/>
      </c>
      <c r="I30" s="16" t="str">
        <f t="shared" si="7"/>
        <v/>
      </c>
      <c r="J30" s="38"/>
      <c r="K30" s="38"/>
    </row>
    <row r="31" spans="1:21" ht="28.9">
      <c r="A31" s="28" t="str">
        <v>Charlton – 154 Center Depot Road KMARD</v>
      </c>
      <c r="B31" s="29" t="str">
        <v>MA</v>
      </c>
      <c r="C31" s="11">
        <v>77815.808000000005</v>
      </c>
      <c r="D31" s="18" t="s">
        <v>24</v>
      </c>
      <c r="E31" s="18" t="str">
        <f t="shared" si="4"/>
        <v/>
      </c>
      <c r="F31" s="52" t="str">
        <f t="shared" si="5"/>
        <v/>
      </c>
      <c r="G31" s="66" t="s">
        <v>24</v>
      </c>
      <c r="H31" s="50" t="str">
        <f t="shared" si="6"/>
        <v/>
      </c>
      <c r="I31" s="52" t="str">
        <f t="shared" si="7"/>
        <v/>
      </c>
      <c r="J31" s="39" t="s">
        <v>450</v>
      </c>
      <c r="K31" s="72" t="s">
        <v>451</v>
      </c>
    </row>
    <row r="32" spans="1:21" ht="15.6">
      <c r="A32" s="55" t="str">
        <v>Charlton – 142A Brookfield Rd (Mitchell)</v>
      </c>
      <c r="B32" s="27" t="str">
        <v>MA</v>
      </c>
      <c r="C32" s="24">
        <v>81737.983999999997</v>
      </c>
      <c r="D32" s="13" t="s">
        <v>24</v>
      </c>
      <c r="E32" s="13" t="str">
        <f t="shared" si="4"/>
        <v/>
      </c>
      <c r="F32" s="14" t="str">
        <f t="shared" si="5"/>
        <v/>
      </c>
      <c r="G32" s="67" t="s">
        <v>24</v>
      </c>
      <c r="H32" s="15" t="str">
        <f t="shared" si="6"/>
        <v/>
      </c>
      <c r="I32" s="16" t="str">
        <f t="shared" si="7"/>
        <v/>
      </c>
      <c r="J32" s="38"/>
      <c r="K32" s="38"/>
    </row>
    <row r="33" spans="1:12" ht="44.25" customHeight="1">
      <c r="A33" s="28" t="str">
        <v>Great Barrington – 3 Nolan  Drive</v>
      </c>
      <c r="B33" s="29" t="str">
        <v>MA</v>
      </c>
      <c r="C33" s="11">
        <v>170070.16</v>
      </c>
      <c r="D33" s="18" t="s">
        <v>24</v>
      </c>
      <c r="E33" s="18" t="str">
        <f t="shared" si="4"/>
        <v/>
      </c>
      <c r="F33" s="52" t="str">
        <f t="shared" si="5"/>
        <v/>
      </c>
      <c r="G33" s="66" t="s">
        <v>24</v>
      </c>
      <c r="H33" s="50" t="str">
        <f t="shared" si="6"/>
        <v/>
      </c>
      <c r="I33" s="52" t="str">
        <f t="shared" si="7"/>
        <v/>
      </c>
      <c r="J33" s="39" t="s">
        <v>452</v>
      </c>
      <c r="K33" s="72" t="s">
        <v>453</v>
      </c>
      <c r="L33" s="75" t="s">
        <v>454</v>
      </c>
    </row>
    <row r="34" spans="1:12" ht="15.6">
      <c r="A34" s="55" t="str">
        <v>Stockbridge – 92 State Line Road Truck Stop</v>
      </c>
      <c r="B34" s="27" t="str">
        <v>MA</v>
      </c>
      <c r="C34" s="24">
        <v>366197.924</v>
      </c>
      <c r="D34" s="13" t="s">
        <v>24</v>
      </c>
      <c r="E34" s="13" t="str">
        <f t="shared" si="4"/>
        <v/>
      </c>
      <c r="F34" s="14" t="str">
        <f t="shared" si="5"/>
        <v/>
      </c>
      <c r="G34" s="67" t="s">
        <v>24</v>
      </c>
      <c r="H34" s="15" t="str">
        <f t="shared" si="6"/>
        <v/>
      </c>
      <c r="I34" s="16" t="str">
        <f t="shared" si="7"/>
        <v/>
      </c>
      <c r="J34" s="38" t="s">
        <v>455</v>
      </c>
      <c r="K34" s="70" t="s">
        <v>456</v>
      </c>
    </row>
    <row r="35" spans="1:12" ht="15.6">
      <c r="A35" s="28" t="str">
        <v>NY: New Windsor - Moores Hill</v>
      </c>
      <c r="B35" s="29" t="str">
        <v>NY</v>
      </c>
      <c r="C35" s="11">
        <v>9317</v>
      </c>
      <c r="D35" s="18">
        <v>87652</v>
      </c>
      <c r="E35" s="18">
        <f t="shared" si="4"/>
        <v>-78335</v>
      </c>
      <c r="F35" s="52">
        <f t="shared" si="5"/>
        <v>-0.89370465020763934</v>
      </c>
      <c r="G35" s="66">
        <v>100286</v>
      </c>
      <c r="H35" s="50">
        <f t="shared" si="6"/>
        <v>-90969</v>
      </c>
      <c r="I35" s="52">
        <f t="shared" si="7"/>
        <v>-0.9070957062800391</v>
      </c>
      <c r="J35" s="39"/>
      <c r="K35" s="72"/>
      <c r="L35" s="75"/>
    </row>
    <row r="36" spans="1:12" ht="14.45">
      <c r="A36" s="21"/>
      <c r="B36" s="31"/>
      <c r="C36" s="21"/>
      <c r="D36" s="21"/>
      <c r="E36" s="21"/>
      <c r="F36" s="22"/>
      <c r="G36" s="21"/>
      <c r="H36" s="21"/>
      <c r="I36" s="22"/>
      <c r="J36" s="21"/>
      <c r="K36" s="21"/>
    </row>
    <row r="37" spans="1:12" ht="14.45">
      <c r="A37" s="21"/>
      <c r="B37" s="31"/>
      <c r="C37" s="21"/>
      <c r="D37" s="21"/>
      <c r="E37" s="21"/>
      <c r="F37" s="22"/>
      <c r="G37" s="21"/>
      <c r="H37" s="21"/>
      <c r="I37" s="22"/>
      <c r="J37" s="21"/>
      <c r="K37" s="21"/>
    </row>
    <row r="38" spans="1:12" ht="14.45">
      <c r="A38" s="21"/>
      <c r="B38" s="31"/>
      <c r="C38" s="21"/>
      <c r="D38" s="21"/>
      <c r="E38" s="21"/>
      <c r="F38" s="22"/>
      <c r="G38" s="21"/>
      <c r="H38" s="21"/>
      <c r="I38" s="22"/>
      <c r="J38" s="21"/>
      <c r="K38" s="21"/>
    </row>
    <row r="39" spans="1:12" ht="14.45">
      <c r="A39" s="21"/>
      <c r="B39" s="31"/>
      <c r="C39" s="21"/>
      <c r="D39" s="21"/>
      <c r="E39" s="21"/>
      <c r="F39" s="22"/>
      <c r="G39" s="21"/>
      <c r="H39" s="21"/>
      <c r="I39" s="22"/>
      <c r="J39" s="21"/>
      <c r="K39" s="21"/>
    </row>
    <row r="40" spans="1:12" ht="14.45">
      <c r="A40" s="21"/>
      <c r="B40" s="31"/>
      <c r="C40" s="21"/>
      <c r="D40" s="21"/>
      <c r="E40" s="21"/>
      <c r="F40" s="22"/>
      <c r="G40" s="21"/>
      <c r="H40" s="21"/>
      <c r="I40" s="22"/>
      <c r="J40" s="21"/>
      <c r="K40" s="21"/>
    </row>
    <row r="41" spans="1:12" ht="14.45">
      <c r="A41" s="21"/>
      <c r="B41" s="31"/>
      <c r="C41" s="21"/>
      <c r="D41" s="21"/>
      <c r="E41" s="21"/>
      <c r="F41" s="22"/>
      <c r="G41" s="21"/>
      <c r="H41" s="21"/>
      <c r="I41" s="22"/>
      <c r="J41" s="21"/>
      <c r="K41" s="21"/>
    </row>
    <row r="42" spans="1:12" ht="14.45">
      <c r="A42" s="21"/>
      <c r="B42" s="31"/>
      <c r="C42" s="21"/>
      <c r="D42" s="21"/>
      <c r="E42" s="21"/>
      <c r="F42" s="22"/>
      <c r="G42" s="21"/>
      <c r="H42" s="21"/>
      <c r="I42" s="22"/>
      <c r="J42" s="21"/>
      <c r="K42" s="21"/>
    </row>
    <row r="43" spans="1:12" ht="14.45">
      <c r="A43" s="21"/>
      <c r="B43" s="31"/>
      <c r="C43" s="21"/>
      <c r="D43" s="21"/>
      <c r="E43" s="21"/>
      <c r="F43" s="22"/>
      <c r="G43" s="21"/>
      <c r="H43" s="21"/>
      <c r="I43" s="22"/>
      <c r="J43" s="21"/>
      <c r="K43" s="21"/>
    </row>
    <row r="44" spans="1:12" ht="14.45">
      <c r="A44" s="21"/>
      <c r="B44" s="31"/>
      <c r="C44" s="21"/>
      <c r="D44" s="21"/>
      <c r="E44" s="21"/>
      <c r="F44" s="22"/>
      <c r="G44" s="21"/>
      <c r="H44" s="21"/>
      <c r="I44" s="22"/>
      <c r="J44" s="21"/>
      <c r="K44" s="21"/>
    </row>
    <row r="45" spans="1:12" ht="14.45">
      <c r="A45" s="21"/>
      <c r="B45" s="31"/>
      <c r="C45" s="21"/>
      <c r="D45" s="21"/>
      <c r="E45" s="21"/>
      <c r="F45" s="22"/>
      <c r="G45" s="21"/>
      <c r="H45" s="21"/>
      <c r="I45" s="22"/>
      <c r="J45" s="21"/>
      <c r="K45" s="21"/>
    </row>
    <row r="46" spans="1:12" ht="14.45">
      <c r="A46" s="21"/>
      <c r="B46" s="31"/>
      <c r="C46" s="21"/>
      <c r="D46" s="21"/>
      <c r="E46" s="21"/>
      <c r="F46" s="22"/>
      <c r="G46" s="21"/>
      <c r="H46" s="21"/>
      <c r="I46" s="22"/>
      <c r="J46" s="21"/>
      <c r="K46" s="21"/>
    </row>
    <row r="47" spans="1:12" ht="14.45">
      <c r="A47" s="21"/>
      <c r="B47" s="31"/>
      <c r="C47" s="21"/>
      <c r="D47" s="21"/>
      <c r="E47" s="21"/>
      <c r="F47" s="22"/>
      <c r="G47" s="21"/>
      <c r="H47" s="21"/>
      <c r="I47" s="22"/>
      <c r="J47" s="21"/>
      <c r="K47" s="21"/>
    </row>
    <row r="48" spans="1:1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2739" xr:uid="{1981589E-4C9A-4EDC-9BE7-D75DB943A8AE}"/>
    <hyperlink ref="K5" r:id="rId2" display="https://us3.assetplanner.com/service_request?ID=101404" xr:uid="{59CB0903-1BE6-4D11-B716-8A5812F1E3C2}"/>
    <hyperlink ref="L5" r:id="rId3" display="https://us3.assetplanner.com/service_request?ID=102179" xr:uid="{7F8FC4EB-F397-44CA-8D43-471E4CA17426}"/>
    <hyperlink ref="K6" r:id="rId4" display="https://us3.assetplanner.com/service_request?ID=102051" xr:uid="{3ADAE878-C256-45B3-A497-CF05C3EC6E9A}"/>
    <hyperlink ref="L6" r:id="rId5" display="https://us3.assetplanner.com/service_request?ID=100943" xr:uid="{66816F2E-83B4-45D0-8572-6CCED6A85DF0}"/>
    <hyperlink ref="K9" r:id="rId6" display="https://us3.assetplanner.com/service_request?ID=102083" xr:uid="{F2CFB305-EDD2-47D9-9F0B-9F43F5A8E2A4}"/>
    <hyperlink ref="L9" r:id="rId7" display="https://us3.assetplanner.com/service_request?ID=102609" xr:uid="{DBA68F9A-88D0-4910-A25D-6BFFCD9A9719}"/>
    <hyperlink ref="K10" r:id="rId8" display="https://us3.assetplanner.com/service_request?ID=103213" xr:uid="{F489801A-2D4C-44C6-BED2-ED278CA96C91}"/>
    <hyperlink ref="K13" r:id="rId9" display="https://us3.assetplanner.com/service_request?ID=102994" xr:uid="{564E34F4-DEC3-412C-B415-F9031BF1F13F}"/>
    <hyperlink ref="K15" r:id="rId10" display="https://us3.assetplanner.com/service_request?ID=103728" xr:uid="{B5F53749-F690-4FB1-8CD7-02056AC2DF8F}"/>
    <hyperlink ref="K18" r:id="rId11" display="https://us3.assetplanner.com/service_request?ID=103462" xr:uid="{AE25715C-7E3E-4D7E-9DDF-B7ABEBE87D33}"/>
    <hyperlink ref="K20" r:id="rId12" display="https://us3.assetplanner.com/service_request?ID=087370" xr:uid="{97B420D5-3AC3-4C79-90AF-851DE01D560D}"/>
    <hyperlink ref="K21" r:id="rId13" display="https://us3.assetplanner.com/service_request?ID=102793" xr:uid="{F3DDCE03-8096-49F0-803F-EB74EB23B511}"/>
    <hyperlink ref="L21" r:id="rId14" display="https://us3.assetplanner.com/service_request?ID=102374" xr:uid="{40FEBEDA-3FE7-4A50-BB57-265B064F7914}"/>
    <hyperlink ref="K23" r:id="rId15" display="https://us3.assetplanner.com/service_request?ID=102978" xr:uid="{407F0AD9-C689-4C70-B6D4-1A331A626C9F}"/>
    <hyperlink ref="L23" r:id="rId16" display="https://us3.assetplanner.com/service_request?ID=103272" xr:uid="{916A300A-1F46-4A83-A895-BCEEF4106DD6}"/>
    <hyperlink ref="M23" r:id="rId17" display="https://us3.assetplanner.com/service_request?ID=103522" xr:uid="{81D3F2A1-7B64-43AF-B80F-6F7EC5B172F9}"/>
    <hyperlink ref="K26" r:id="rId18" display="https://us3.assetplanner.com/service_request?ID=102471" xr:uid="{47D43810-2B5C-4CA7-95AC-1AFCF77F3EA3}"/>
    <hyperlink ref="L26" r:id="rId19" display="https://us3.assetplanner.com/service_request?ID=103328" xr:uid="{C09C9AE9-5225-4162-81DF-71CA7B7EC514}"/>
    <hyperlink ref="M26" r:id="rId20" display="https://us3.assetplanner.com/service_request?ID=103767" xr:uid="{8A71D38C-E675-4609-8E28-9116890A9E9E}"/>
    <hyperlink ref="N26" r:id="rId21" display="https://us3.assetplanner.com/service_request?ID=103780" xr:uid="{732C1187-4BC7-4B47-AA7F-F7665457453F}"/>
    <hyperlink ref="K27" r:id="rId22" display="https://us3.assetplanner.com/service_request?ID=102985" xr:uid="{6B54BBE9-D51F-4E50-8C50-33BA08711B5B}"/>
    <hyperlink ref="K29" r:id="rId23" display="https://us3.assetplanner.com/service_request?ID=102294" xr:uid="{CBFFC71B-1162-4065-8152-9D9CDC24F0C2}"/>
    <hyperlink ref="L29" r:id="rId24" display="https://us3.assetplanner.com/service_request?ID=102555" xr:uid="{53E2B266-7BCB-46A3-808C-3A973E4C224C}"/>
    <hyperlink ref="M29" r:id="rId25" display="https://us3.assetplanner.com/service_request?ID=102977" xr:uid="{6BFF82FF-6CD1-4D1C-9F0B-D91844D019A7}"/>
    <hyperlink ref="K31" r:id="rId26" display="https://us3.assetplanner.com/service_request?ID=102764" xr:uid="{FE69ABC5-0388-4B33-966F-F3544896F33E}"/>
    <hyperlink ref="K33" r:id="rId27" display="https://us3.assetplanner.com/service_request?ID=098468" xr:uid="{F9DAE0AB-6235-43EA-9417-36802418845C}"/>
    <hyperlink ref="L33" r:id="rId28" display="https://us3.assetplanner.com/service_request?ID=103531" xr:uid="{371A0B00-A569-4E22-8287-7836BBDBDAA6}"/>
    <hyperlink ref="K34" r:id="rId29" display="https://us3.assetplanner.com/service_request?ID=102231" xr:uid="{D3A825A6-BFB3-4049-8EFC-BE1089BFF66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5"/>
  <sheetViews>
    <sheetView zoomScale="80" zoomScaleNormal="80" workbookViewId="0">
      <pane xSplit="2" ySplit="3" topLeftCell="J20" activePane="bottomRight" state="frozen"/>
      <selection pane="bottomRight" activeCell="J20" sqref="J20"/>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4"/>
  </cols>
  <sheetData>
    <row r="1" spans="1:14" ht="19.5" customHeight="1">
      <c r="A1" s="112" t="str" cm="1">
        <f t="array" ref="A1">portfolio</f>
        <v>Lodestar</v>
      </c>
      <c r="B1" s="112"/>
      <c r="C1" s="112"/>
      <c r="D1" s="113" t="s">
        <v>457</v>
      </c>
      <c r="E1" s="113"/>
      <c r="F1" s="113"/>
      <c r="G1" s="111" t="s">
        <v>458</v>
      </c>
      <c r="H1" s="111"/>
      <c r="I1" s="111"/>
      <c r="J1" s="4"/>
      <c r="K1" s="4"/>
    </row>
    <row r="2" spans="1:14" ht="19.5" customHeight="1">
      <c r="A2" s="114" t="s">
        <v>2</v>
      </c>
      <c r="B2" s="114"/>
      <c r="C2" s="5">
        <f>SUM(C4:C103)</f>
        <v>11349245.497579589</v>
      </c>
      <c r="D2" s="5">
        <f>SUM(D4:D103)</f>
        <v>8602352.6599999983</v>
      </c>
      <c r="E2" s="5">
        <f>C2-D2</f>
        <v>2746892.8375795912</v>
      </c>
      <c r="F2" s="6">
        <f>IFERROR(E2/D2, 0)</f>
        <v>0.31931878942284514</v>
      </c>
      <c r="G2" s="5">
        <f>SUM(G4:G103)</f>
        <v>10936019.43</v>
      </c>
      <c r="H2" s="7">
        <f>C2-G2</f>
        <v>413226.06757958978</v>
      </c>
      <c r="I2" s="6">
        <f>IFERROR(H2/G2, 0)</f>
        <v>3.7785783961394238E-2</v>
      </c>
      <c r="J2" s="26"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3" t="s">
        <v>5</v>
      </c>
      <c r="D3" s="33" t="s">
        <v>6</v>
      </c>
      <c r="E3" s="33" t="s">
        <v>7</v>
      </c>
      <c r="F3" s="34" t="s">
        <v>8</v>
      </c>
      <c r="G3" s="35" t="s">
        <v>9</v>
      </c>
      <c r="H3" s="36" t="s">
        <v>7</v>
      </c>
      <c r="I3" s="37" t="s">
        <v>8</v>
      </c>
      <c r="J3" s="25" t="s">
        <v>20</v>
      </c>
      <c r="K3" s="25" t="s">
        <v>21</v>
      </c>
    </row>
    <row r="4" spans="1:14" ht="18" customHeight="1">
      <c r="A4" s="55" t="str" cm="1">
        <f t="array" ref="A4:A35">Sites[Site]</f>
        <v>Barkhamsted</v>
      </c>
      <c r="B4" s="27" t="str" cm="1">
        <f t="array" ref="B4:B35">Sites[State]</f>
        <v>CT</v>
      </c>
      <c r="C4" s="24">
        <v>186443</v>
      </c>
      <c r="D4" s="13">
        <v>201126.7</v>
      </c>
      <c r="E4" s="13">
        <f>IF(AND(ISNUMBER(C4),ISNUMBER(D4)), C4-D4, "")</f>
        <v>-14683.700000000012</v>
      </c>
      <c r="F4" s="14">
        <f>IFERROR(E4/D4, "")</f>
        <v>-7.3007213860715708E-2</v>
      </c>
      <c r="G4" s="15">
        <v>196367.1</v>
      </c>
      <c r="H4" s="15">
        <f>IF(AND(ISNUMBER(C4),ISNUMBER(G4)), C4-G4, "")</f>
        <v>-9924.1000000000058</v>
      </c>
      <c r="I4" s="16">
        <f>IFERROR(H4/G4, "")</f>
        <v>-5.0538506705043798E-2</v>
      </c>
      <c r="J4" s="38"/>
      <c r="K4" s="38"/>
    </row>
    <row r="5" spans="1:14" ht="34.5" customHeight="1">
      <c r="A5" s="28" t="str">
        <v>Bunce</v>
      </c>
      <c r="B5" s="29" t="str">
        <v>CT</v>
      </c>
      <c r="C5" s="11">
        <v>395526</v>
      </c>
      <c r="D5" s="18">
        <v>230167.4</v>
      </c>
      <c r="E5" s="18">
        <f t="shared" ref="E5:E14" si="0">IF(AND(ISNUMBER(C5),ISNUMBER(D5)), C5-D5, "")</f>
        <v>165358.6</v>
      </c>
      <c r="F5" s="19">
        <f>IFERROR(E5/D5, "")</f>
        <v>0.71842754447415236</v>
      </c>
      <c r="G5" s="20">
        <v>0</v>
      </c>
      <c r="H5" s="20">
        <f t="shared" ref="H5:H14" si="1">IF(AND(ISNUMBER(C5),ISNUMBER(G5)), C5-G5, "")</f>
        <v>395526</v>
      </c>
      <c r="I5" s="19" t="str">
        <f t="shared" ref="I5:I14" si="2">IFERROR(H5/G5, "")</f>
        <v/>
      </c>
      <c r="J5" s="47" t="s">
        <v>459</v>
      </c>
      <c r="K5" s="72" t="s">
        <v>460</v>
      </c>
    </row>
    <row r="6" spans="1:14" ht="15.6">
      <c r="A6" s="30" t="str">
        <v>Norcap North</v>
      </c>
      <c r="B6" s="27" t="str">
        <v>CT</v>
      </c>
      <c r="C6" s="24">
        <v>384768.5</v>
      </c>
      <c r="D6" s="13">
        <v>352819.8</v>
      </c>
      <c r="E6" s="13">
        <f t="shared" si="0"/>
        <v>31948.700000000012</v>
      </c>
      <c r="F6" s="14">
        <f t="shared" ref="F6:F14" si="3">IFERROR(E6/D6, "")</f>
        <v>9.0552457656854893E-2</v>
      </c>
      <c r="G6" s="15">
        <v>380013.8</v>
      </c>
      <c r="H6" s="15">
        <f t="shared" si="1"/>
        <v>4754.7000000000116</v>
      </c>
      <c r="I6" s="16">
        <f t="shared" si="2"/>
        <v>1.2511914041016436E-2</v>
      </c>
      <c r="J6" s="38"/>
      <c r="K6" s="38"/>
    </row>
    <row r="7" spans="1:14" ht="15.6">
      <c r="A7" s="28" t="str">
        <v>Norcap South</v>
      </c>
      <c r="B7" s="29" t="str">
        <v>CT</v>
      </c>
      <c r="C7" s="11">
        <v>401750</v>
      </c>
      <c r="D7" s="18">
        <v>374227.8</v>
      </c>
      <c r="E7" s="18">
        <f t="shared" si="0"/>
        <v>27522.200000000012</v>
      </c>
      <c r="F7" s="19">
        <f t="shared" si="3"/>
        <v>7.3543975086832178E-2</v>
      </c>
      <c r="G7" s="20">
        <v>372022.7</v>
      </c>
      <c r="H7" s="20">
        <f t="shared" si="1"/>
        <v>29727.299999999988</v>
      </c>
      <c r="I7" s="19">
        <f t="shared" si="2"/>
        <v>7.9907220715295033E-2</v>
      </c>
      <c r="J7" s="39"/>
      <c r="K7" s="39"/>
    </row>
    <row r="8" spans="1:14" ht="86.45">
      <c r="A8" s="30" t="str">
        <v>Platt Hill</v>
      </c>
      <c r="B8" s="27" t="str">
        <v>CT</v>
      </c>
      <c r="C8" s="24">
        <v>408297.99999999802</v>
      </c>
      <c r="D8" s="13">
        <v>439072.1</v>
      </c>
      <c r="E8" s="13">
        <f t="shared" si="0"/>
        <v>-30774.100000001956</v>
      </c>
      <c r="F8" s="14">
        <f t="shared" si="3"/>
        <v>-7.0088944389775518E-2</v>
      </c>
      <c r="G8" s="15">
        <v>458149.7</v>
      </c>
      <c r="H8" s="15">
        <f t="shared" si="1"/>
        <v>-49851.700000001991</v>
      </c>
      <c r="I8" s="16">
        <f t="shared" si="2"/>
        <v>-0.10881094105267773</v>
      </c>
      <c r="J8" s="38" t="s">
        <v>461</v>
      </c>
      <c r="K8" s="70" t="s">
        <v>462</v>
      </c>
      <c r="L8" s="75" t="s">
        <v>463</v>
      </c>
      <c r="M8" s="75" t="s">
        <v>464</v>
      </c>
    </row>
    <row r="9" spans="1:14" ht="129.6">
      <c r="A9" s="28" t="str">
        <v>Powder Hill</v>
      </c>
      <c r="B9" s="29" t="str">
        <v>CT</v>
      </c>
      <c r="C9" s="11">
        <v>391991.99999999802</v>
      </c>
      <c r="D9" s="18">
        <v>388112.2</v>
      </c>
      <c r="E9" s="18">
        <f t="shared" si="0"/>
        <v>3879.7999999980093</v>
      </c>
      <c r="F9" s="19">
        <f t="shared" si="3"/>
        <v>9.9965937684978953E-3</v>
      </c>
      <c r="G9" s="20">
        <v>306552</v>
      </c>
      <c r="H9" s="20">
        <f t="shared" si="1"/>
        <v>85439.999999998021</v>
      </c>
      <c r="I9" s="19">
        <f t="shared" si="2"/>
        <v>0.2787129100446189</v>
      </c>
      <c r="J9" s="47" t="s">
        <v>465</v>
      </c>
      <c r="K9" s="72" t="s">
        <v>466</v>
      </c>
      <c r="L9" s="75" t="s">
        <v>467</v>
      </c>
      <c r="M9" s="75" t="s">
        <v>468</v>
      </c>
      <c r="N9" s="75" t="s">
        <v>350</v>
      </c>
    </row>
    <row r="10" spans="1:14" ht="100.5" customHeight="1">
      <c r="A10" s="30" t="str">
        <v>Sand Road</v>
      </c>
      <c r="B10" s="27" t="str">
        <v>CT</v>
      </c>
      <c r="C10" s="24">
        <v>418403</v>
      </c>
      <c r="D10" s="13">
        <v>357496.8</v>
      </c>
      <c r="E10" s="13">
        <f t="shared" si="0"/>
        <v>60906.200000000012</v>
      </c>
      <c r="F10" s="14">
        <f t="shared" si="3"/>
        <v>0.17036851798393723</v>
      </c>
      <c r="G10" s="15">
        <v>370289</v>
      </c>
      <c r="H10" s="15">
        <f t="shared" si="1"/>
        <v>48114</v>
      </c>
      <c r="I10" s="16">
        <f t="shared" si="2"/>
        <v>0.1299363470154393</v>
      </c>
      <c r="J10" s="38" t="s">
        <v>469</v>
      </c>
      <c r="K10" s="70" t="s">
        <v>470</v>
      </c>
      <c r="L10" s="75" t="s">
        <v>471</v>
      </c>
    </row>
    <row r="11" spans="1:14" ht="15.6">
      <c r="A11" s="28" t="str">
        <v>Suffield</v>
      </c>
      <c r="B11" s="29" t="str">
        <v>CT</v>
      </c>
      <c r="C11" s="11">
        <v>399035</v>
      </c>
      <c r="D11" s="18">
        <v>378947.5</v>
      </c>
      <c r="E11" s="18">
        <f t="shared" si="0"/>
        <v>20087.5</v>
      </c>
      <c r="F11" s="19">
        <f t="shared" si="3"/>
        <v>5.300866214977009E-2</v>
      </c>
      <c r="G11" s="20">
        <v>387460.6</v>
      </c>
      <c r="H11" s="20">
        <f t="shared" si="1"/>
        <v>11574.400000000023</v>
      </c>
      <c r="I11" s="19">
        <f t="shared" si="2"/>
        <v>2.9872456709146747E-2</v>
      </c>
      <c r="J11" s="39"/>
      <c r="K11" s="39"/>
    </row>
    <row r="12" spans="1:14" ht="36.75" customHeight="1">
      <c r="A12" s="30" t="str">
        <v>Ashby-Duffy</v>
      </c>
      <c r="B12" s="27" t="str">
        <v>MA</v>
      </c>
      <c r="C12" s="24">
        <v>336275</v>
      </c>
      <c r="D12" s="13">
        <v>371832.1</v>
      </c>
      <c r="E12" s="13">
        <f t="shared" si="0"/>
        <v>-35557.099999999977</v>
      </c>
      <c r="F12" s="14">
        <f t="shared" si="3"/>
        <v>-9.5626762724358605E-2</v>
      </c>
      <c r="G12" s="15">
        <v>362461.4</v>
      </c>
      <c r="H12" s="15">
        <f t="shared" si="1"/>
        <v>-26186.400000000023</v>
      </c>
      <c r="I12" s="16">
        <f t="shared" si="2"/>
        <v>-7.2246037784989031E-2</v>
      </c>
      <c r="J12" s="38"/>
      <c r="K12" s="38"/>
    </row>
    <row r="13" spans="1:14" ht="30" customHeight="1">
      <c r="A13" s="28" t="str">
        <v>Ashland</v>
      </c>
      <c r="B13" s="29" t="str">
        <v>MA</v>
      </c>
      <c r="C13" s="11">
        <v>377172.64897959202</v>
      </c>
      <c r="D13" s="18">
        <v>391041.8</v>
      </c>
      <c r="E13" s="18">
        <f t="shared" si="0"/>
        <v>-13869.151020407968</v>
      </c>
      <c r="F13" s="19">
        <f t="shared" si="3"/>
        <v>-3.546718284441195E-2</v>
      </c>
      <c r="G13" s="20">
        <v>410590.6</v>
      </c>
      <c r="H13" s="20">
        <f t="shared" si="1"/>
        <v>-33417.951020407956</v>
      </c>
      <c r="I13" s="19">
        <f t="shared" si="2"/>
        <v>-8.1389956371158909E-2</v>
      </c>
      <c r="J13" s="47"/>
      <c r="K13" s="47"/>
    </row>
    <row r="14" spans="1:14" ht="28.9">
      <c r="A14" s="30" t="str">
        <v>Barrington</v>
      </c>
      <c r="B14" s="27" t="str">
        <v>MA</v>
      </c>
      <c r="C14" s="24">
        <v>84302</v>
      </c>
      <c r="D14" s="13">
        <v>69683.55</v>
      </c>
      <c r="E14" s="13">
        <f t="shared" si="0"/>
        <v>14618.449999999997</v>
      </c>
      <c r="F14" s="14">
        <f t="shared" si="3"/>
        <v>0.20978337068074168</v>
      </c>
      <c r="G14" s="15">
        <v>92730</v>
      </c>
      <c r="H14" s="15">
        <f t="shared" si="1"/>
        <v>-8428</v>
      </c>
      <c r="I14" s="16">
        <f t="shared" si="2"/>
        <v>-9.0887522915992669E-2</v>
      </c>
      <c r="J14" s="38" t="s">
        <v>472</v>
      </c>
      <c r="K14" s="38"/>
    </row>
    <row r="15" spans="1:14" ht="57.6">
      <c r="A15" s="28" t="str">
        <v>Bedford - 205 Burlington Rd</v>
      </c>
      <c r="B15" s="29" t="str">
        <v>MA</v>
      </c>
      <c r="C15" s="11">
        <v>41407</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473</v>
      </c>
      <c r="K15" s="72" t="s">
        <v>474</v>
      </c>
      <c r="L15" s="75" t="s">
        <v>475</v>
      </c>
    </row>
    <row r="16" spans="1:14" ht="15.6">
      <c r="A16" s="30" t="str">
        <v>Billerica - 6 Cook Street</v>
      </c>
      <c r="B16" s="27" t="str">
        <v>MA</v>
      </c>
      <c r="C16" s="24">
        <v>44826</v>
      </c>
      <c r="D16" s="13" t="s">
        <v>24</v>
      </c>
      <c r="E16" s="13" t="str">
        <f t="shared" si="4"/>
        <v/>
      </c>
      <c r="F16" s="14" t="str">
        <f t="shared" si="5"/>
        <v/>
      </c>
      <c r="G16" s="67" t="s">
        <v>24</v>
      </c>
      <c r="H16" s="15" t="str">
        <f t="shared" si="6"/>
        <v/>
      </c>
      <c r="I16" s="16" t="str">
        <f t="shared" si="7"/>
        <v/>
      </c>
      <c r="J16" s="38"/>
      <c r="K16" s="38"/>
    </row>
    <row r="17" spans="1:14" ht="57.6">
      <c r="A17" s="28" t="str">
        <v>Billerica - 780 Boston Road</v>
      </c>
      <c r="B17" s="29" t="str">
        <v>MA</v>
      </c>
      <c r="C17" s="11">
        <v>44164</v>
      </c>
      <c r="D17" s="18" t="s">
        <v>24</v>
      </c>
      <c r="E17" s="18" t="str">
        <f t="shared" si="4"/>
        <v/>
      </c>
      <c r="F17" s="52" t="str">
        <f t="shared" si="5"/>
        <v/>
      </c>
      <c r="G17" s="66" t="s">
        <v>24</v>
      </c>
      <c r="H17" s="50" t="str">
        <f t="shared" si="6"/>
        <v/>
      </c>
      <c r="I17" s="52" t="str">
        <f t="shared" si="7"/>
        <v/>
      </c>
      <c r="J17" s="39" t="s">
        <v>476</v>
      </c>
      <c r="K17" s="72" t="s">
        <v>477</v>
      </c>
      <c r="L17" s="75" t="s">
        <v>478</v>
      </c>
    </row>
    <row r="18" spans="1:14" ht="96" customHeight="1">
      <c r="A18" s="30" t="str">
        <v>Cheshire</v>
      </c>
      <c r="B18" s="27" t="str">
        <v>MA</v>
      </c>
      <c r="C18" s="24">
        <v>86532.5</v>
      </c>
      <c r="D18" s="13">
        <v>89935.52</v>
      </c>
      <c r="E18" s="13">
        <f t="shared" si="4"/>
        <v>-3403.0200000000041</v>
      </c>
      <c r="F18" s="14">
        <f t="shared" si="5"/>
        <v>-3.7838442475231188E-2</v>
      </c>
      <c r="G18" s="15">
        <v>74014.19</v>
      </c>
      <c r="H18" s="15">
        <f t="shared" si="6"/>
        <v>12518.309999999998</v>
      </c>
      <c r="I18" s="16">
        <f t="shared" si="7"/>
        <v>0.16913391877962858</v>
      </c>
      <c r="J18" s="38" t="s">
        <v>479</v>
      </c>
      <c r="K18" s="70" t="s">
        <v>480</v>
      </c>
      <c r="L18" s="75" t="s">
        <v>481</v>
      </c>
      <c r="M18" s="75" t="s">
        <v>482</v>
      </c>
    </row>
    <row r="19" spans="1:14" ht="15.6">
      <c r="A19" s="28" t="str">
        <v>Lilly Lane</v>
      </c>
      <c r="B19" s="29" t="str">
        <v>MA</v>
      </c>
      <c r="C19" s="11">
        <v>184516.5</v>
      </c>
      <c r="D19" s="18">
        <v>180305.3</v>
      </c>
      <c r="E19" s="18">
        <f t="shared" si="4"/>
        <v>4211.2000000000116</v>
      </c>
      <c r="F19" s="52">
        <f t="shared" si="5"/>
        <v>2.3355941284033316E-2</v>
      </c>
      <c r="G19" s="20">
        <v>187429.3</v>
      </c>
      <c r="H19" s="50">
        <f t="shared" si="6"/>
        <v>-2912.7999999999884</v>
      </c>
      <c r="I19" s="52">
        <f t="shared" si="7"/>
        <v>-1.5540793248440817E-2</v>
      </c>
      <c r="J19" s="39"/>
      <c r="K19" s="39"/>
    </row>
    <row r="20" spans="1:14" ht="72">
      <c r="A20" s="30" t="str">
        <v>Monument Valley</v>
      </c>
      <c r="B20" s="27" t="str">
        <v>MA</v>
      </c>
      <c r="C20" s="24">
        <v>392384</v>
      </c>
      <c r="D20" s="13">
        <v>73366.91</v>
      </c>
      <c r="E20" s="13">
        <f t="shared" si="4"/>
        <v>319017.08999999997</v>
      </c>
      <c r="F20" s="14">
        <f t="shared" si="5"/>
        <v>4.348242143494935</v>
      </c>
      <c r="G20" s="15">
        <v>0</v>
      </c>
      <c r="H20" s="15">
        <f t="shared" si="6"/>
        <v>392384</v>
      </c>
      <c r="I20" s="16" t="str">
        <f t="shared" si="7"/>
        <v/>
      </c>
      <c r="J20" s="38" t="s">
        <v>483</v>
      </c>
      <c r="K20" s="70" t="s">
        <v>284</v>
      </c>
    </row>
    <row r="21" spans="1:14" ht="72">
      <c r="A21" s="28" t="str">
        <v>Nationwide</v>
      </c>
      <c r="B21" s="29" t="str">
        <v>MA</v>
      </c>
      <c r="C21" s="11">
        <v>649672</v>
      </c>
      <c r="D21" s="18">
        <v>567033.9</v>
      </c>
      <c r="E21" s="18">
        <f t="shared" si="4"/>
        <v>82638.099999999977</v>
      </c>
      <c r="F21" s="52">
        <f t="shared" si="5"/>
        <v>0.14573749470710654</v>
      </c>
      <c r="G21" s="20">
        <v>598737.19999999995</v>
      </c>
      <c r="H21" s="50">
        <f t="shared" si="6"/>
        <v>50934.800000000047</v>
      </c>
      <c r="I21" s="52">
        <f t="shared" si="7"/>
        <v>8.5070378122488549E-2</v>
      </c>
      <c r="J21" s="39" t="s">
        <v>484</v>
      </c>
      <c r="K21" s="72" t="s">
        <v>485</v>
      </c>
      <c r="L21" s="75" t="s">
        <v>433</v>
      </c>
      <c r="M21" s="75" t="s">
        <v>486</v>
      </c>
      <c r="N21" s="75" t="s">
        <v>487</v>
      </c>
    </row>
    <row r="22" spans="1:14" ht="15.6">
      <c r="A22" s="30" t="str">
        <v>Pulpit Hill</v>
      </c>
      <c r="B22" s="27" t="str">
        <v>MA</v>
      </c>
      <c r="C22" s="24">
        <v>872565.25</v>
      </c>
      <c r="D22" s="13">
        <v>829378</v>
      </c>
      <c r="E22" s="13">
        <f t="shared" si="4"/>
        <v>43187.25</v>
      </c>
      <c r="F22" s="14">
        <f t="shared" si="5"/>
        <v>5.2071853847099878E-2</v>
      </c>
      <c r="G22" s="15">
        <v>807930.8</v>
      </c>
      <c r="H22" s="15">
        <f t="shared" si="6"/>
        <v>64634.449999999953</v>
      </c>
      <c r="I22" s="16">
        <f t="shared" si="7"/>
        <v>7.999998267178321E-2</v>
      </c>
      <c r="J22" s="38"/>
      <c r="K22" s="38"/>
    </row>
    <row r="23" spans="1:14" ht="28.9">
      <c r="A23" s="28" t="str">
        <v>Sandwich</v>
      </c>
      <c r="B23" s="29" t="str">
        <v>MA</v>
      </c>
      <c r="C23" s="11">
        <v>540494</v>
      </c>
      <c r="D23" s="18" t="s">
        <v>24</v>
      </c>
      <c r="E23" s="18" t="str">
        <f t="shared" si="4"/>
        <v/>
      </c>
      <c r="F23" s="52" t="str">
        <f t="shared" si="5"/>
        <v/>
      </c>
      <c r="G23" s="20">
        <v>602820.66</v>
      </c>
      <c r="H23" s="50">
        <f t="shared" si="6"/>
        <v>-62326.660000000033</v>
      </c>
      <c r="I23" s="52">
        <f t="shared" si="7"/>
        <v>-0.10339171188990109</v>
      </c>
      <c r="J23" s="39" t="s">
        <v>488</v>
      </c>
      <c r="K23" s="72" t="s">
        <v>489</v>
      </c>
    </row>
    <row r="24" spans="1:14" ht="15.6">
      <c r="A24" s="30" t="str">
        <v>Sturbridge Barn</v>
      </c>
      <c r="B24" s="27" t="str">
        <v>MA</v>
      </c>
      <c r="C24" s="24">
        <v>193221.5</v>
      </c>
      <c r="D24" s="13">
        <v>188419.6</v>
      </c>
      <c r="E24" s="13">
        <f t="shared" si="4"/>
        <v>4801.8999999999942</v>
      </c>
      <c r="F24" s="14">
        <f t="shared" si="5"/>
        <v>2.5485140611698539E-2</v>
      </c>
      <c r="G24" s="15">
        <v>209208.2</v>
      </c>
      <c r="H24" s="15">
        <f t="shared" si="6"/>
        <v>-15986.700000000012</v>
      </c>
      <c r="I24" s="16">
        <f t="shared" si="7"/>
        <v>-7.6415264793636251E-2</v>
      </c>
      <c r="J24" s="38"/>
      <c r="K24" s="38"/>
    </row>
    <row r="25" spans="1:14" ht="15.6">
      <c r="A25" s="28" t="str">
        <v>Sturbridge Garage</v>
      </c>
      <c r="B25" s="29" t="str">
        <v>MA</v>
      </c>
      <c r="C25" s="11">
        <v>88351.75</v>
      </c>
      <c r="D25" s="18">
        <v>89379.68</v>
      </c>
      <c r="E25" s="18">
        <f t="shared" si="4"/>
        <v>-1027.929999999993</v>
      </c>
      <c r="F25" s="52">
        <f t="shared" si="5"/>
        <v>-1.1500712466189106E-2</v>
      </c>
      <c r="G25" s="20">
        <v>92585.88</v>
      </c>
      <c r="H25" s="50">
        <f t="shared" si="6"/>
        <v>-4234.1300000000047</v>
      </c>
      <c r="I25" s="52">
        <f t="shared" si="7"/>
        <v>-4.5731919381227511E-2</v>
      </c>
      <c r="J25" s="39"/>
      <c r="K25" s="39"/>
    </row>
    <row r="26" spans="1:14" ht="15.6">
      <c r="A26" s="30" t="str">
        <v>Halsey Valley</v>
      </c>
      <c r="B26" s="27" t="str">
        <v>NY</v>
      </c>
      <c r="C26" s="24">
        <v>974970</v>
      </c>
      <c r="D26" s="13">
        <v>1050705</v>
      </c>
      <c r="E26" s="13">
        <f t="shared" si="4"/>
        <v>-75735</v>
      </c>
      <c r="F26" s="14">
        <f t="shared" si="5"/>
        <v>-7.2080174739817551E-2</v>
      </c>
      <c r="G26" s="15">
        <v>1064000</v>
      </c>
      <c r="H26" s="15">
        <f t="shared" si="6"/>
        <v>-89030</v>
      </c>
      <c r="I26" s="16">
        <f t="shared" si="7"/>
        <v>-8.3674812030075194E-2</v>
      </c>
      <c r="J26" s="38"/>
      <c r="K26" s="38"/>
    </row>
    <row r="27" spans="1:14" ht="20.25" customHeight="1">
      <c r="A27" s="28" t="str">
        <v>Hunt Creek</v>
      </c>
      <c r="B27" s="29" t="str">
        <v>NY</v>
      </c>
      <c r="C27" s="11">
        <v>745992</v>
      </c>
      <c r="D27" s="18">
        <v>781605.1</v>
      </c>
      <c r="E27" s="18">
        <f t="shared" si="4"/>
        <v>-35613.099999999977</v>
      </c>
      <c r="F27" s="52">
        <f t="shared" si="5"/>
        <v>-4.5564057859909024E-2</v>
      </c>
      <c r="G27" s="20">
        <v>755800</v>
      </c>
      <c r="H27" s="50">
        <f t="shared" si="6"/>
        <v>-9808</v>
      </c>
      <c r="I27" s="52">
        <f t="shared" si="7"/>
        <v>-1.2976978036517598E-2</v>
      </c>
      <c r="J27" s="47"/>
      <c r="K27" s="47"/>
    </row>
    <row r="28" spans="1:14" ht="30.75" customHeight="1">
      <c r="A28" s="30" t="str">
        <v>Smith Creek</v>
      </c>
      <c r="B28" s="27" t="str">
        <v>NY</v>
      </c>
      <c r="C28" s="24">
        <v>827503</v>
      </c>
      <c r="D28" s="13">
        <v>867977.3</v>
      </c>
      <c r="E28" s="13">
        <f t="shared" si="4"/>
        <v>-40474.300000000047</v>
      </c>
      <c r="F28" s="14">
        <f t="shared" si="5"/>
        <v>-4.6630597367004922E-2</v>
      </c>
      <c r="G28" s="15">
        <v>803883.3</v>
      </c>
      <c r="H28" s="15">
        <f t="shared" si="6"/>
        <v>23619.699999999953</v>
      </c>
      <c r="I28" s="16">
        <f t="shared" si="7"/>
        <v>2.9382001093939819E-2</v>
      </c>
      <c r="J28" s="38"/>
      <c r="K28" s="38"/>
    </row>
    <row r="29" spans="1:14" ht="136.5" customHeight="1">
      <c r="A29" s="28" t="str">
        <v>Bradford - 256 Presidential Dr</v>
      </c>
      <c r="B29" s="29" t="str">
        <v>MA</v>
      </c>
      <c r="C29" s="11">
        <v>835717</v>
      </c>
      <c r="D29" s="18" t="s">
        <v>24</v>
      </c>
      <c r="E29" s="18" t="str">
        <f t="shared" si="4"/>
        <v/>
      </c>
      <c r="F29" s="52" t="str">
        <f t="shared" si="5"/>
        <v/>
      </c>
      <c r="G29" s="20">
        <v>917757</v>
      </c>
      <c r="H29" s="50">
        <f t="shared" si="6"/>
        <v>-82040</v>
      </c>
      <c r="I29" s="52">
        <f t="shared" si="7"/>
        <v>-8.9391854270792812E-2</v>
      </c>
      <c r="J29" s="47" t="s">
        <v>490</v>
      </c>
      <c r="K29" s="72" t="s">
        <v>491</v>
      </c>
      <c r="L29" s="75" t="s">
        <v>492</v>
      </c>
      <c r="M29" s="75" t="s">
        <v>493</v>
      </c>
      <c r="N29" s="75" t="s">
        <v>494</v>
      </c>
    </row>
    <row r="30" spans="1:14" ht="28.9">
      <c r="A30" s="30" t="str">
        <v>Charlton – 111 Brookfield Road - Bus Lot</v>
      </c>
      <c r="B30" s="27" t="str">
        <v>MA</v>
      </c>
      <c r="C30" s="24">
        <v>96510</v>
      </c>
      <c r="D30" s="13" t="s">
        <v>24</v>
      </c>
      <c r="E30" s="13" t="str">
        <f t="shared" si="4"/>
        <v/>
      </c>
      <c r="F30" s="14" t="str">
        <f t="shared" si="5"/>
        <v/>
      </c>
      <c r="G30" s="15">
        <v>113800</v>
      </c>
      <c r="H30" s="15">
        <f t="shared" si="6"/>
        <v>-17290</v>
      </c>
      <c r="I30" s="16">
        <f t="shared" si="7"/>
        <v>-0.15193321616871705</v>
      </c>
      <c r="J30" s="38" t="s">
        <v>495</v>
      </c>
      <c r="K30" s="70" t="s">
        <v>496</v>
      </c>
    </row>
    <row r="31" spans="1:14" ht="72">
      <c r="A31" s="28" t="str">
        <v>Charlton – 154 Center Depot Road KMARD</v>
      </c>
      <c r="B31" s="29" t="str">
        <v>MA</v>
      </c>
      <c r="C31" s="11">
        <v>81443</v>
      </c>
      <c r="D31" s="18" t="s">
        <v>24</v>
      </c>
      <c r="E31" s="18" t="str">
        <f t="shared" si="4"/>
        <v/>
      </c>
      <c r="F31" s="52" t="str">
        <f t="shared" si="5"/>
        <v/>
      </c>
      <c r="G31" s="20">
        <v>109700</v>
      </c>
      <c r="H31" s="50">
        <f t="shared" si="6"/>
        <v>-28257</v>
      </c>
      <c r="I31" s="52">
        <f t="shared" si="7"/>
        <v>-0.25758432087511396</v>
      </c>
      <c r="J31" s="47" t="s">
        <v>497</v>
      </c>
      <c r="K31" s="72" t="s">
        <v>498</v>
      </c>
      <c r="L31" s="75" t="s">
        <v>499</v>
      </c>
      <c r="M31" s="75" t="s">
        <v>500</v>
      </c>
    </row>
    <row r="32" spans="1:14" ht="28.9">
      <c r="A32" s="30" t="str">
        <v>Charlton – 142A Brookfield Rd (Mitchell)</v>
      </c>
      <c r="B32" s="27" t="str">
        <v>MA</v>
      </c>
      <c r="C32" s="24">
        <v>86190</v>
      </c>
      <c r="D32" s="13" t="s">
        <v>24</v>
      </c>
      <c r="E32" s="13" t="str">
        <f t="shared" si="4"/>
        <v/>
      </c>
      <c r="F32" s="14" t="str">
        <f t="shared" si="5"/>
        <v/>
      </c>
      <c r="G32" s="15">
        <v>111016</v>
      </c>
      <c r="H32" s="15">
        <f t="shared" si="6"/>
        <v>-24826</v>
      </c>
      <c r="I32" s="16">
        <f t="shared" si="7"/>
        <v>-0.22362542336239821</v>
      </c>
      <c r="J32" s="38" t="s">
        <v>501</v>
      </c>
      <c r="K32" s="70" t="s">
        <v>502</v>
      </c>
      <c r="L32" s="75" t="s">
        <v>503</v>
      </c>
    </row>
    <row r="33" spans="1:15" ht="86.45">
      <c r="A33" s="28" t="str">
        <v>Great Barrington – 3 Nolan  Drive</v>
      </c>
      <c r="B33" s="29" t="str">
        <v>MA</v>
      </c>
      <c r="C33" s="11">
        <v>179246</v>
      </c>
      <c r="D33" s="18" t="s">
        <v>24</v>
      </c>
      <c r="E33" s="18" t="str">
        <f t="shared" si="4"/>
        <v/>
      </c>
      <c r="F33" s="52" t="str">
        <f t="shared" si="5"/>
        <v/>
      </c>
      <c r="G33" s="20">
        <v>214100</v>
      </c>
      <c r="H33" s="50">
        <f t="shared" si="6"/>
        <v>-34854</v>
      </c>
      <c r="I33" s="52">
        <f t="shared" si="7"/>
        <v>-0.16279308734236339</v>
      </c>
      <c r="J33" s="47" t="s">
        <v>504</v>
      </c>
      <c r="K33" s="72" t="s">
        <v>505</v>
      </c>
      <c r="L33" s="75" t="s">
        <v>324</v>
      </c>
      <c r="M33" s="75" t="s">
        <v>325</v>
      </c>
      <c r="N33" s="75" t="s">
        <v>454</v>
      </c>
      <c r="O33" s="75" t="s">
        <v>506</v>
      </c>
    </row>
    <row r="34" spans="1:15" ht="86.45">
      <c r="A34" s="30" t="str">
        <v>Stockbridge – 92 State Line Road Truck Stop</v>
      </c>
      <c r="B34" s="27" t="str">
        <v>MA</v>
      </c>
      <c r="C34" s="24">
        <v>332916</v>
      </c>
      <c r="D34" s="13" t="s">
        <v>24</v>
      </c>
      <c r="E34" s="13" t="str">
        <f t="shared" si="4"/>
        <v/>
      </c>
      <c r="F34" s="14" t="str">
        <f t="shared" si="5"/>
        <v/>
      </c>
      <c r="G34" s="15">
        <v>434000</v>
      </c>
      <c r="H34" s="15">
        <f t="shared" si="6"/>
        <v>-101084</v>
      </c>
      <c r="I34" s="16">
        <f t="shared" si="7"/>
        <v>-0.23291244239631337</v>
      </c>
      <c r="J34" s="38" t="s">
        <v>507</v>
      </c>
      <c r="K34" s="70" t="s">
        <v>508</v>
      </c>
      <c r="L34" s="75" t="s">
        <v>509</v>
      </c>
    </row>
    <row r="35" spans="1:15" ht="172.9">
      <c r="A35" s="28" t="str">
        <v>NY: New Windsor - Moores Hill</v>
      </c>
      <c r="B35" s="29" t="str">
        <v>NY</v>
      </c>
      <c r="C35" s="11">
        <v>266658.84860000003</v>
      </c>
      <c r="D35" s="18">
        <v>329718.59999999998</v>
      </c>
      <c r="E35" s="18">
        <f t="shared" si="4"/>
        <v>-63059.75139999995</v>
      </c>
      <c r="F35" s="52">
        <f t="shared" si="5"/>
        <v>-0.19125324261354973</v>
      </c>
      <c r="G35" s="20">
        <v>502600</v>
      </c>
      <c r="H35" s="50">
        <f t="shared" si="6"/>
        <v>-235941.15139999997</v>
      </c>
      <c r="I35" s="52">
        <f t="shared" si="7"/>
        <v>-0.46944120851571819</v>
      </c>
      <c r="J35" s="47" t="s">
        <v>510</v>
      </c>
      <c r="K35" s="72" t="s">
        <v>511</v>
      </c>
      <c r="L35" s="75" t="s">
        <v>512</v>
      </c>
      <c r="M35" s="75" t="s">
        <v>513</v>
      </c>
      <c r="N35" s="75" t="s">
        <v>514</v>
      </c>
      <c r="O35" s="75" t="s">
        <v>515</v>
      </c>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hyperlinks>
    <hyperlink ref="K5" r:id="rId1" display="https://us3.assetplanner.com/service_request?ID=101404" xr:uid="{2E8C46A9-A4BF-433A-851A-D2D423D02F66}"/>
    <hyperlink ref="K8" r:id="rId2" display="https://us3.assetplanner.com/service_request?ID=104572" xr:uid="{0CB2F264-EDA9-4011-8847-B9D436C73F39}"/>
    <hyperlink ref="L8" r:id="rId3" display="https://us3.assetplanner.com/service_request?ID=105130" xr:uid="{1BAB1253-E865-4731-B82B-16AB6D9C4474}"/>
    <hyperlink ref="M8" r:id="rId4" display="https://us3.assetplanner.com/service_request?ID=105293" xr:uid="{D45C9409-362C-4A46-B5EB-A3C671544CAC}"/>
    <hyperlink ref="K9" r:id="rId5" display="https://us3.assetplanner.com/service_request?ID=104334" xr:uid="{788272DE-B1E9-4897-8979-50B4BDA4D9DD}"/>
    <hyperlink ref="L9" r:id="rId6" display="https://us3.assetplanner.com/service_request?ID=104476" xr:uid="{310A4147-9C88-4D10-A00B-A9765DE3F6FE}"/>
    <hyperlink ref="M9" r:id="rId7" display="https://us3.assetplanner.com/service_request?ID=105295" xr:uid="{E9FE10B6-1BD4-47E8-ADA1-78147C30B60B}"/>
    <hyperlink ref="N9" r:id="rId8" display="https://us3.assetplanner.com/service_request?ID=102083" xr:uid="{0B3963D1-DAE1-4FFA-BB16-1FD47D987F85}"/>
    <hyperlink ref="K10" r:id="rId9" display="https://us3.assetplanner.com/service_request?ID=103650" xr:uid="{2440AE7C-1F0D-474D-9392-509F8CFC1BB7}"/>
    <hyperlink ref="L10" r:id="rId10" display="https://us3.assetplanner.com/service_request?ID=103081" xr:uid="{8A34F7C9-E8E8-438A-9150-83425EAD6733}"/>
    <hyperlink ref="K15" r:id="rId11" display="https://us3.assetplanner.com/service_request?ID=103728" xr:uid="{6E16C56D-2058-4954-A97E-C2F81550154B}"/>
    <hyperlink ref="L15" r:id="rId12" display="https://us3.assetplanner.com/service_request?ID=103770" xr:uid="{33290FF3-4033-4CDF-B5C7-66795A8E423A}"/>
    <hyperlink ref="K17" r:id="rId13" display="https://us3.assetplanner.com/service_request?ID=105176" xr:uid="{5606CC2C-47D6-4626-AEAF-334B23D37001}"/>
    <hyperlink ref="L17" r:id="rId14" display="https://us3.assetplanner.com/service_request?ID=104757" xr:uid="{1E6B06DC-0827-4A47-B50A-7A86B015D090}"/>
    <hyperlink ref="K18" r:id="rId15" display="https://us3.assetplanner.com/service_request?ID=103462" xr:uid="{54C0F06A-6C32-4AB0-A3EB-264B55A06AAC}"/>
    <hyperlink ref="L18" r:id="rId16" display="https://us3.assetplanner.com/service_request?ID=104505" xr:uid="{D0C65A8E-E87B-4DBF-8F90-35033547575D}"/>
    <hyperlink ref="M18" r:id="rId17" display="https://us3.assetplanner.com/service_request?ID=105297" xr:uid="{50CB3564-CD96-467A-AD03-BADCD931A27E}"/>
    <hyperlink ref="K20" r:id="rId18" display="https://us3.assetplanner.com/service_request?ID=087370" xr:uid="{95E7FA1F-C27B-4A9B-B231-6A8435A36AEF}"/>
    <hyperlink ref="K21" r:id="rId19" display="https://us3.assetplanner.com/service_request?ID=102374" xr:uid="{4A22DF51-DB45-4504-BF38-C6C70C8567FB}"/>
    <hyperlink ref="L21" r:id="rId20" display="https://us3.assetplanner.com/service_request?ID=102374" xr:uid="{0567711E-4BCF-43EE-9053-FA575A93F81D}"/>
    <hyperlink ref="M21" r:id="rId21" display="https://us3.assetplanner.com/service_request?ID=104275" xr:uid="{614CCBF4-A144-4913-84B7-CC26E09A3285}"/>
    <hyperlink ref="N21" r:id="rId22" display="https://us3.assetplanner.com/service_request?ID=101031" xr:uid="{0796000D-07F3-4EFB-B0E8-E1FBE79A508C}"/>
    <hyperlink ref="K23" r:id="rId23" display="https://us3.assetplanner.com/service_request?ID=104017" xr:uid="{D66D94CB-A4F2-4B2C-950D-6BE07E0ECA40}"/>
    <hyperlink ref="K29" r:id="rId24" display="https://us3.assetplanner.com/service_request?ID=103781" xr:uid="{62143278-541D-4032-B3B5-B3F84F3B0566}"/>
    <hyperlink ref="L29" r:id="rId25" display="https://us3.assetplanner.com/service_request?ID=104336" xr:uid="{ED8B9597-8666-432F-A109-937402C75ACD}"/>
    <hyperlink ref="M29" r:id="rId26" display="https://us3.assetplanner.com/service_request?ID=104425" xr:uid="{FEB6EDF4-A548-4624-89F7-A4A92E1F3212}"/>
    <hyperlink ref="N29" r:id="rId27" display="https://us3.assetplanner.com/service_request?ID=104951" xr:uid="{27296AC5-2BA2-4DF1-AEDB-EBEF8DED0018}"/>
    <hyperlink ref="K30" r:id="rId28" display="https://us3.assetplanner.com/service_request?ID=104163" xr:uid="{F88CBEAC-AA56-46F1-8CF5-5B84ACA77D65}"/>
    <hyperlink ref="K31" r:id="rId29" display="https://us3.assetplanner.com/service_request?ID=102764" xr:uid="{F686B675-B553-4489-9E95-2F501404C4D2}"/>
    <hyperlink ref="L31" r:id="rId30" display="https://us3.assetplanner.com/service_request?ID=104762" xr:uid="{986687AC-F2CD-4A12-9C8B-65689CE6B8A7}"/>
    <hyperlink ref="M31" r:id="rId31" display="https://us3.assetplanner.com/service_request?ID=097803" xr:uid="{E9BF0BF1-FCA3-4B89-83F4-25D63F498FA5}"/>
    <hyperlink ref="K32" r:id="rId32" display="https://us3.assetplanner.com/service_request?ID=104528" xr:uid="{47385033-70D8-47E5-96E5-89C51F3F2A4A}"/>
    <hyperlink ref="L32" r:id="rId33" display="https://us3.assetplanner.com/service_request?ID=104686" xr:uid="{F1EEDA4E-FBDF-47EA-8E44-539733712662}"/>
    <hyperlink ref="K33" r:id="rId34" display="https://us3.assetplanner.com/service_request?ID=098468" xr:uid="{A6A2DFA2-E17C-4F66-9C75-BB52D76E2CCF}"/>
    <hyperlink ref="L33" r:id="rId35" display="https://us3.assetplanner.com/service_request?ID=099815" xr:uid="{4C457D0F-CF4A-48E3-BA66-3F92E11EEA72}"/>
    <hyperlink ref="M33" r:id="rId36" display="https://us3.assetplanner.com/service_request?ID=099920" xr:uid="{293E5D24-6F60-484D-A0CF-D463C975C747}"/>
    <hyperlink ref="N33" r:id="rId37" display="https://us3.assetplanner.com/service_request?ID=103531" xr:uid="{3A44FBC2-9C4C-404E-A58D-67396B6A45DB}"/>
    <hyperlink ref="O33" r:id="rId38" display="https://us3.assetplanner.com/service_request?ID=104024" xr:uid="{310E593F-6BC3-4EB1-893A-5279A88FF338}"/>
    <hyperlink ref="K34" r:id="rId39" display="https://us3.assetplanner.com/service_request?ID=103870" xr:uid="{4FB7C759-EB6B-4A95-98FC-6658F34E3514}"/>
    <hyperlink ref="L34" r:id="rId40" display="https://us3.assetplanner.com/service_request?ID=104952" xr:uid="{65CB7960-8E25-432F-A12B-F4F9FA9311A0}"/>
    <hyperlink ref="K35" r:id="rId41" display="https://us3.assetplanner.com/service_request?ID=103999" xr:uid="{60729B29-90A6-4160-860A-FE987607D422}"/>
    <hyperlink ref="L35" r:id="rId42" display="https://us3.assetplanner.com/service_request?ID=104162" xr:uid="{29288160-D0DD-4B00-9674-BEBF08B833CB}"/>
    <hyperlink ref="M35" r:id="rId43" display="https://us3.assetplanner.com/service_request?ID=104187" xr:uid="{5FD92238-0FA7-4E4C-BFBC-A280DB9F6F82}"/>
    <hyperlink ref="N35" r:id="rId44" display="https://us3.assetplanner.com/service_request?ID=104400" xr:uid="{86E8B9C5-0CBE-4BF8-A281-2D94FE718E2C}"/>
    <hyperlink ref="O35" r:id="rId45" display="https://us3.assetplanner.com/service_request?ID=107288" xr:uid="{AB60393E-12E3-443F-89FD-4BB87205141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45"/>
  <sheetViews>
    <sheetView zoomScale="70" zoomScaleNormal="70" workbookViewId="0">
      <pane xSplit="2" ySplit="3" topLeftCell="C27" activePane="bottomRight" state="frozen"/>
      <selection pane="bottomRight" activeCell="J31" sqref="J3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7" ht="19.5" customHeight="1">
      <c r="A1" s="112" t="str" cm="1">
        <f t="array" ref="A1">portfolio</f>
        <v>Lodestar</v>
      </c>
      <c r="B1" s="112"/>
      <c r="C1" s="112"/>
      <c r="D1" s="113" t="s">
        <v>516</v>
      </c>
      <c r="E1" s="113"/>
      <c r="F1" s="113"/>
      <c r="G1" s="111" t="s">
        <v>517</v>
      </c>
      <c r="H1" s="111"/>
      <c r="I1" s="111"/>
      <c r="J1" s="4"/>
      <c r="K1" s="4"/>
    </row>
    <row r="2" spans="1:17" ht="19.5" customHeight="1">
      <c r="A2" s="114" t="s">
        <v>2</v>
      </c>
      <c r="B2" s="114"/>
      <c r="C2" s="5">
        <f>SUM(C4:C103)</f>
        <v>11639630.601020411</v>
      </c>
      <c r="D2" s="5">
        <f>SUM(D4:D103)</f>
        <v>9131482.540000001</v>
      </c>
      <c r="E2" s="5">
        <f>C2-D2</f>
        <v>2508148.0610204097</v>
      </c>
      <c r="F2" s="6">
        <f>IFERROR(E2/D2, 0)</f>
        <v>0.27467041085974736</v>
      </c>
      <c r="G2" s="5">
        <f>SUM(G4:G103)</f>
        <v>10659080.84</v>
      </c>
      <c r="H2" s="7">
        <f>C2-G2</f>
        <v>980549.76102041081</v>
      </c>
      <c r="I2" s="6">
        <f>IFERROR(H2/G2, 0)</f>
        <v>9.1991962134364558E-2</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3" t="s">
        <v>6</v>
      </c>
      <c r="E3" s="33" t="s">
        <v>7</v>
      </c>
      <c r="F3" s="34" t="s">
        <v>8</v>
      </c>
      <c r="G3" s="35" t="s">
        <v>9</v>
      </c>
      <c r="H3" s="36" t="s">
        <v>7</v>
      </c>
      <c r="I3" s="37" t="s">
        <v>8</v>
      </c>
      <c r="J3" s="25" t="s">
        <v>20</v>
      </c>
      <c r="K3" s="25" t="s">
        <v>21</v>
      </c>
    </row>
    <row r="4" spans="1:17" ht="72" customHeight="1">
      <c r="A4" s="30" t="str" cm="1">
        <f t="array" ref="A4:A35">Sites[Site]</f>
        <v>Barkhamsted</v>
      </c>
      <c r="B4" s="27" t="str" cm="1">
        <f t="array" ref="B4:B35">Sites[State]</f>
        <v>CT</v>
      </c>
      <c r="C4" s="24">
        <v>191207</v>
      </c>
      <c r="D4" s="13">
        <v>208633.3</v>
      </c>
      <c r="E4" s="13">
        <f>IF(AND(ISNUMBER(C4),ISNUMBER(D4)), C4-D4, "")</f>
        <v>-17426.299999999988</v>
      </c>
      <c r="F4" s="14">
        <f>IFERROR(E4/D4, "")</f>
        <v>-8.3525975958775464E-2</v>
      </c>
      <c r="G4" s="15">
        <v>185704.4</v>
      </c>
      <c r="H4" s="15">
        <f>IF(AND(ISNUMBER(C4),ISNUMBER(G4)), C4-G4, "")</f>
        <v>5502.6000000000058</v>
      </c>
      <c r="I4" s="16">
        <f>IFERROR(H4/G4, "")</f>
        <v>2.9630961894279328E-2</v>
      </c>
      <c r="J4" s="38" t="s">
        <v>518</v>
      </c>
      <c r="K4" s="70" t="s">
        <v>519</v>
      </c>
      <c r="L4" s="75" t="s">
        <v>520</v>
      </c>
    </row>
    <row r="5" spans="1:17" ht="46.5" customHeight="1">
      <c r="A5" s="28" t="str">
        <v>Bunce</v>
      </c>
      <c r="B5" s="29" t="str">
        <v>CT</v>
      </c>
      <c r="C5" s="11">
        <v>389723</v>
      </c>
      <c r="D5" s="18">
        <v>236606.5</v>
      </c>
      <c r="E5" s="18">
        <f t="shared" ref="E5:E14" si="0">IF(AND(ISNUMBER(C5),ISNUMBER(D5)), C5-D5, "")</f>
        <v>153116.5</v>
      </c>
      <c r="F5" s="19">
        <f>IFERROR(E5/D5, "")</f>
        <v>0.64713564504779031</v>
      </c>
      <c r="G5" s="20">
        <v>0</v>
      </c>
      <c r="H5" s="20">
        <f t="shared" ref="H5:H14" si="1">IF(AND(ISNUMBER(C5),ISNUMBER(G5)), C5-G5, "")</f>
        <v>389723</v>
      </c>
      <c r="I5" s="19" t="str">
        <f t="shared" ref="I5:I14" si="2">IFERROR(H5/G5, "")</f>
        <v/>
      </c>
      <c r="J5" s="39" t="s">
        <v>521</v>
      </c>
      <c r="K5" s="72" t="s">
        <v>460</v>
      </c>
    </row>
    <row r="6" spans="1:17" ht="86.45">
      <c r="A6" s="30" t="str">
        <v>Norcap North</v>
      </c>
      <c r="B6" s="27" t="str">
        <v>CT</v>
      </c>
      <c r="C6" s="24">
        <v>389806</v>
      </c>
      <c r="D6" s="13">
        <v>387770.8</v>
      </c>
      <c r="E6" s="13">
        <f t="shared" si="0"/>
        <v>2035.2000000000116</v>
      </c>
      <c r="F6" s="14">
        <f t="shared" ref="F6:F14" si="3">IFERROR(E6/D6, "")</f>
        <v>5.2484612044022185E-3</v>
      </c>
      <c r="G6" s="15">
        <v>360508.3</v>
      </c>
      <c r="H6" s="15">
        <f t="shared" si="1"/>
        <v>29297.700000000012</v>
      </c>
      <c r="I6" s="16">
        <f t="shared" si="2"/>
        <v>8.1267754445598098E-2</v>
      </c>
      <c r="J6" s="38" t="s">
        <v>522</v>
      </c>
      <c r="K6" s="70" t="s">
        <v>523</v>
      </c>
      <c r="L6" s="75" t="s">
        <v>524</v>
      </c>
      <c r="M6" s="75" t="s">
        <v>525</v>
      </c>
      <c r="N6" s="75" t="s">
        <v>526</v>
      </c>
      <c r="O6" s="75" t="s">
        <v>527</v>
      </c>
    </row>
    <row r="7" spans="1:17" ht="15.6">
      <c r="A7" s="28" t="str">
        <v>Norcap South</v>
      </c>
      <c r="B7" s="29" t="str">
        <v>CT</v>
      </c>
      <c r="C7" s="11">
        <v>418210</v>
      </c>
      <c r="D7" s="18">
        <v>407006</v>
      </c>
      <c r="E7" s="18">
        <f t="shared" si="0"/>
        <v>11204</v>
      </c>
      <c r="F7" s="19">
        <f t="shared" si="3"/>
        <v>2.7527849712289255E-2</v>
      </c>
      <c r="G7" s="20">
        <v>354060.4</v>
      </c>
      <c r="H7" s="20">
        <f t="shared" si="1"/>
        <v>64149.599999999977</v>
      </c>
      <c r="I7" s="19">
        <f t="shared" si="2"/>
        <v>0.18118264567288511</v>
      </c>
      <c r="J7" s="39" t="s">
        <v>528</v>
      </c>
      <c r="K7" s="72" t="s">
        <v>265</v>
      </c>
    </row>
    <row r="8" spans="1:17" ht="57.6">
      <c r="A8" s="30" t="str">
        <v>Platt Hill</v>
      </c>
      <c r="B8" s="27" t="str">
        <v>CT</v>
      </c>
      <c r="C8" s="24">
        <v>426178.00000000198</v>
      </c>
      <c r="D8" s="13">
        <v>448681.1</v>
      </c>
      <c r="E8" s="13">
        <f t="shared" si="0"/>
        <v>-22503.099999997998</v>
      </c>
      <c r="F8" s="14">
        <f t="shared" si="3"/>
        <v>-5.015388435126418E-2</v>
      </c>
      <c r="G8" s="15">
        <v>409778</v>
      </c>
      <c r="H8" s="15">
        <f t="shared" si="1"/>
        <v>16400.000000001979</v>
      </c>
      <c r="I8" s="16">
        <f t="shared" si="2"/>
        <v>4.0021670270248715E-2</v>
      </c>
      <c r="J8" s="38" t="s">
        <v>529</v>
      </c>
      <c r="K8" s="70" t="s">
        <v>530</v>
      </c>
      <c r="L8" s="75" t="s">
        <v>531</v>
      </c>
    </row>
    <row r="9" spans="1:17" ht="86.45">
      <c r="A9" s="28" t="str">
        <v>Powder Hill</v>
      </c>
      <c r="B9" s="29" t="str">
        <v>CT</v>
      </c>
      <c r="C9" s="11">
        <v>396122.00000000198</v>
      </c>
      <c r="D9" s="18">
        <v>398638.2</v>
      </c>
      <c r="E9" s="18">
        <f t="shared" si="0"/>
        <v>-2516.1999999980326</v>
      </c>
      <c r="F9" s="19">
        <f t="shared" si="3"/>
        <v>-6.3119891671145224E-3</v>
      </c>
      <c r="G9" s="20">
        <v>284916</v>
      </c>
      <c r="H9" s="20">
        <f t="shared" si="1"/>
        <v>111206.00000000198</v>
      </c>
      <c r="I9" s="19">
        <f t="shared" si="2"/>
        <v>0.39031153041598921</v>
      </c>
      <c r="J9" s="39" t="s">
        <v>532</v>
      </c>
      <c r="K9" s="72" t="s">
        <v>533</v>
      </c>
      <c r="L9" s="75" t="s">
        <v>534</v>
      </c>
      <c r="M9" s="75" t="s">
        <v>535</v>
      </c>
      <c r="N9" s="75" t="s">
        <v>536</v>
      </c>
    </row>
    <row r="10" spans="1:17" ht="15.6">
      <c r="A10" s="30" t="str">
        <v>Sand Road</v>
      </c>
      <c r="B10" s="27" t="str">
        <v>CT</v>
      </c>
      <c r="C10" s="24">
        <v>424370</v>
      </c>
      <c r="D10" s="13">
        <v>377766.8</v>
      </c>
      <c r="E10" s="13">
        <f t="shared" si="0"/>
        <v>46603.200000000012</v>
      </c>
      <c r="F10" s="14">
        <f t="shared" si="3"/>
        <v>0.12336499660637201</v>
      </c>
      <c r="G10" s="15">
        <v>328508</v>
      </c>
      <c r="H10" s="15">
        <f t="shared" si="1"/>
        <v>95862</v>
      </c>
      <c r="I10" s="16">
        <f t="shared" si="2"/>
        <v>0.29181024510818609</v>
      </c>
      <c r="J10" s="38"/>
      <c r="K10" s="38"/>
    </row>
    <row r="11" spans="1:17" ht="86.45">
      <c r="A11" s="28" t="str">
        <v>Suffield</v>
      </c>
      <c r="B11" s="29" t="str">
        <v>CT</v>
      </c>
      <c r="C11" s="11">
        <v>404465</v>
      </c>
      <c r="D11" s="18">
        <v>396667.1</v>
      </c>
      <c r="E11" s="18">
        <f t="shared" si="0"/>
        <v>7797.9000000000233</v>
      </c>
      <c r="F11" s="19">
        <f t="shared" si="3"/>
        <v>1.9658549952844648E-2</v>
      </c>
      <c r="G11" s="20">
        <v>363443</v>
      </c>
      <c r="H11" s="20">
        <f t="shared" si="1"/>
        <v>41022</v>
      </c>
      <c r="I11" s="19">
        <f t="shared" si="2"/>
        <v>0.11287051889842424</v>
      </c>
      <c r="J11" s="39" t="s">
        <v>537</v>
      </c>
      <c r="K11" s="72" t="s">
        <v>538</v>
      </c>
      <c r="L11" s="75" t="s">
        <v>539</v>
      </c>
      <c r="M11" s="75" t="s">
        <v>540</v>
      </c>
    </row>
    <row r="12" spans="1:17" ht="144">
      <c r="A12" s="30" t="str">
        <v>Ashby-Duffy</v>
      </c>
      <c r="B12" s="27" t="str">
        <v>MA</v>
      </c>
      <c r="C12" s="24">
        <v>377451</v>
      </c>
      <c r="D12" s="13">
        <v>393481.8</v>
      </c>
      <c r="E12" s="13">
        <f t="shared" si="0"/>
        <v>-16030.799999999988</v>
      </c>
      <c r="F12" s="14">
        <f t="shared" si="3"/>
        <v>-4.0740893225557039E-2</v>
      </c>
      <c r="G12" s="15">
        <v>357114.9</v>
      </c>
      <c r="H12" s="15">
        <f t="shared" si="1"/>
        <v>20336.099999999977</v>
      </c>
      <c r="I12" s="16">
        <f t="shared" si="2"/>
        <v>5.6945537696690827E-2</v>
      </c>
      <c r="J12" s="38" t="s">
        <v>541</v>
      </c>
      <c r="K12" s="70" t="s">
        <v>542</v>
      </c>
      <c r="L12" s="75" t="s">
        <v>543</v>
      </c>
      <c r="M12" s="75" t="s">
        <v>544</v>
      </c>
      <c r="N12" s="75" t="s">
        <v>545</v>
      </c>
      <c r="O12" s="75" t="s">
        <v>546</v>
      </c>
      <c r="P12" s="75" t="s">
        <v>547</v>
      </c>
      <c r="Q12" s="82" t="s">
        <v>548</v>
      </c>
    </row>
    <row r="13" spans="1:17" ht="28.9">
      <c r="A13" s="28" t="str">
        <v>Ashland</v>
      </c>
      <c r="B13" s="29" t="str">
        <v>MA</v>
      </c>
      <c r="C13" s="11">
        <v>396717.35102040798</v>
      </c>
      <c r="D13" s="18">
        <v>412725.1</v>
      </c>
      <c r="E13" s="18">
        <f t="shared" si="0"/>
        <v>-16007.748979591997</v>
      </c>
      <c r="F13" s="19">
        <f t="shared" si="3"/>
        <v>-3.8785499063643085E-2</v>
      </c>
      <c r="G13" s="20">
        <v>385434.9</v>
      </c>
      <c r="H13" s="20">
        <f t="shared" si="1"/>
        <v>11282.451020407956</v>
      </c>
      <c r="I13" s="19">
        <f t="shared" si="2"/>
        <v>2.9272001628311176E-2</v>
      </c>
      <c r="J13" s="39" t="s">
        <v>549</v>
      </c>
      <c r="K13" s="72" t="s">
        <v>550</v>
      </c>
    </row>
    <row r="14" spans="1:17" ht="28.9">
      <c r="A14" s="30" t="str">
        <v>Barrington</v>
      </c>
      <c r="B14" s="27" t="str">
        <v>MA</v>
      </c>
      <c r="C14" s="24">
        <v>84723.5</v>
      </c>
      <c r="D14" s="13">
        <v>73902.880000000005</v>
      </c>
      <c r="E14" s="13">
        <f t="shared" si="0"/>
        <v>10820.619999999995</v>
      </c>
      <c r="F14" s="14">
        <f t="shared" si="3"/>
        <v>0.14641675669473225</v>
      </c>
      <c r="G14" s="15">
        <v>87310</v>
      </c>
      <c r="H14" s="15">
        <f t="shared" si="1"/>
        <v>-2586.5</v>
      </c>
      <c r="I14" s="16">
        <f t="shared" si="2"/>
        <v>-2.9624327110296646E-2</v>
      </c>
      <c r="J14" s="38" t="s">
        <v>472</v>
      </c>
      <c r="K14" s="38"/>
    </row>
    <row r="15" spans="1:17" ht="43.15">
      <c r="A15" s="28" t="str">
        <v>Bedford - 205 Burlington Rd</v>
      </c>
      <c r="B15" s="29" t="str">
        <v>MA</v>
      </c>
      <c r="C15" s="11">
        <v>41810</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7" ht="15.6">
      <c r="A16" s="30" t="str">
        <v>Billerica - 6 Cook Street</v>
      </c>
      <c r="B16" s="27" t="str">
        <v>MA</v>
      </c>
      <c r="C16" s="24">
        <v>43905</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50605</v>
      </c>
      <c r="D17" s="18" t="s">
        <v>24</v>
      </c>
      <c r="E17" s="18" t="str">
        <f t="shared" si="4"/>
        <v/>
      </c>
      <c r="F17" s="52" t="str">
        <f t="shared" si="5"/>
        <v/>
      </c>
      <c r="G17" s="66" t="s">
        <v>24</v>
      </c>
      <c r="H17" s="50" t="str">
        <f t="shared" si="6"/>
        <v/>
      </c>
      <c r="I17" s="52" t="str">
        <f t="shared" si="7"/>
        <v/>
      </c>
      <c r="J17" s="39"/>
      <c r="K17" s="39"/>
    </row>
    <row r="18" spans="1:15" ht="33.75" customHeight="1">
      <c r="A18" s="30" t="str">
        <v>Cheshire</v>
      </c>
      <c r="B18" s="27" t="str">
        <v>MA</v>
      </c>
      <c r="C18" s="24">
        <v>90091</v>
      </c>
      <c r="D18" s="13">
        <v>91412.71</v>
      </c>
      <c r="E18" s="13">
        <f t="shared" si="4"/>
        <v>-1321.7100000000064</v>
      </c>
      <c r="F18" s="14">
        <f t="shared" si="5"/>
        <v>-1.445871148552544E-2</v>
      </c>
      <c r="G18" s="15">
        <v>65697.52</v>
      </c>
      <c r="H18" s="15">
        <f t="shared" si="6"/>
        <v>24393.479999999996</v>
      </c>
      <c r="I18" s="16">
        <f t="shared" si="7"/>
        <v>0.37129986032958312</v>
      </c>
      <c r="J18" s="38" t="s">
        <v>552</v>
      </c>
      <c r="K18" s="70" t="s">
        <v>553</v>
      </c>
    </row>
    <row r="19" spans="1:15" ht="43.15">
      <c r="A19" s="28" t="str">
        <v>Lilly Lane</v>
      </c>
      <c r="B19" s="29" t="str">
        <v>MA</v>
      </c>
      <c r="C19" s="11">
        <v>192604.5</v>
      </c>
      <c r="D19" s="18">
        <v>190502.7</v>
      </c>
      <c r="E19" s="18">
        <f t="shared" si="4"/>
        <v>2101.7999999999884</v>
      </c>
      <c r="F19" s="52">
        <f t="shared" si="5"/>
        <v>1.1032914494125218E-2</v>
      </c>
      <c r="G19" s="20">
        <v>178327.1</v>
      </c>
      <c r="H19" s="50">
        <f t="shared" si="6"/>
        <v>14277.399999999994</v>
      </c>
      <c r="I19" s="52">
        <f t="shared" si="7"/>
        <v>8.006298537911509E-2</v>
      </c>
      <c r="J19" s="39" t="s">
        <v>554</v>
      </c>
      <c r="K19" s="73" t="s">
        <v>555</v>
      </c>
      <c r="L19" s="75" t="s">
        <v>556</v>
      </c>
      <c r="M19" s="75" t="s">
        <v>557</v>
      </c>
    </row>
    <row r="20" spans="1:15" ht="43.15">
      <c r="A20" s="30" t="str">
        <v>Monument Valley</v>
      </c>
      <c r="B20" s="27" t="str">
        <v>MA</v>
      </c>
      <c r="C20" s="24">
        <v>418949</v>
      </c>
      <c r="D20" s="13">
        <v>351825.2</v>
      </c>
      <c r="E20" s="13">
        <f t="shared" si="4"/>
        <v>67123.799999999988</v>
      </c>
      <c r="F20" s="14">
        <f t="shared" si="5"/>
        <v>0.19078735690337129</v>
      </c>
      <c r="G20" s="15">
        <v>334160</v>
      </c>
      <c r="H20" s="15">
        <f t="shared" si="6"/>
        <v>84789</v>
      </c>
      <c r="I20" s="16">
        <f t="shared" si="7"/>
        <v>0.2537377304285372</v>
      </c>
      <c r="J20" s="38" t="s">
        <v>558</v>
      </c>
      <c r="K20" s="70" t="s">
        <v>559</v>
      </c>
      <c r="L20" s="75" t="s">
        <v>560</v>
      </c>
    </row>
    <row r="21" spans="1:15" ht="15.6">
      <c r="A21" s="28" t="str">
        <v>Nationwide</v>
      </c>
      <c r="B21" s="29" t="str">
        <v>MA</v>
      </c>
      <c r="C21" s="11">
        <v>599949</v>
      </c>
      <c r="D21" s="18">
        <v>586875.80000000005</v>
      </c>
      <c r="E21" s="18">
        <f t="shared" si="4"/>
        <v>13073.199999999953</v>
      </c>
      <c r="F21" s="52">
        <f t="shared" si="5"/>
        <v>2.2275922776164823E-2</v>
      </c>
      <c r="G21" s="20">
        <v>537586.9</v>
      </c>
      <c r="H21" s="50">
        <f t="shared" si="6"/>
        <v>62362.099999999977</v>
      </c>
      <c r="I21" s="52">
        <f t="shared" si="7"/>
        <v>0.11600375678797228</v>
      </c>
      <c r="J21" s="39"/>
      <c r="K21" s="39"/>
    </row>
    <row r="22" spans="1:15" ht="57.6">
      <c r="A22" s="30" t="str">
        <v>Pulpit Hill</v>
      </c>
      <c r="B22" s="27" t="str">
        <v>MA</v>
      </c>
      <c r="C22" s="24">
        <v>896255</v>
      </c>
      <c r="D22" s="13">
        <v>856112.8</v>
      </c>
      <c r="E22" s="13">
        <f t="shared" si="4"/>
        <v>40142.199999999953</v>
      </c>
      <c r="F22" s="14">
        <f t="shared" si="5"/>
        <v>4.6888914638351341E-2</v>
      </c>
      <c r="G22" s="15">
        <v>792721.8</v>
      </c>
      <c r="H22" s="15">
        <f t="shared" si="6"/>
        <v>103533.19999999995</v>
      </c>
      <c r="I22" s="16">
        <f t="shared" si="7"/>
        <v>0.13060470899122484</v>
      </c>
      <c r="J22" s="38" t="s">
        <v>561</v>
      </c>
      <c r="K22" s="70" t="s">
        <v>562</v>
      </c>
      <c r="L22" s="75" t="s">
        <v>563</v>
      </c>
      <c r="M22" s="75" t="s">
        <v>564</v>
      </c>
    </row>
    <row r="23" spans="1:15" ht="15.6">
      <c r="A23" s="28" t="str">
        <v>Sandwich</v>
      </c>
      <c r="B23" s="29" t="str">
        <v>MA</v>
      </c>
      <c r="C23" s="11">
        <v>600365</v>
      </c>
      <c r="D23" s="18" t="s">
        <v>24</v>
      </c>
      <c r="E23" s="18" t="str">
        <f t="shared" si="4"/>
        <v/>
      </c>
      <c r="F23" s="52" t="str">
        <f t="shared" si="5"/>
        <v/>
      </c>
      <c r="G23" s="20">
        <v>584061.98</v>
      </c>
      <c r="H23" s="50">
        <f t="shared" si="6"/>
        <v>16303.020000000019</v>
      </c>
      <c r="I23" s="52">
        <f t="shared" si="7"/>
        <v>2.7913167708673692E-2</v>
      </c>
      <c r="J23" s="39" t="s">
        <v>565</v>
      </c>
      <c r="K23" s="72" t="s">
        <v>566</v>
      </c>
    </row>
    <row r="24" spans="1:15" ht="28.9">
      <c r="A24" s="30" t="str">
        <v>Sturbridge Barn</v>
      </c>
      <c r="B24" s="27" t="str">
        <v>MA</v>
      </c>
      <c r="C24" s="24">
        <v>193972.5</v>
      </c>
      <c r="D24" s="13">
        <v>201045.5</v>
      </c>
      <c r="E24" s="13">
        <f t="shared" si="4"/>
        <v>-7073</v>
      </c>
      <c r="F24" s="14">
        <f t="shared" si="5"/>
        <v>-3.5181090847594201E-2</v>
      </c>
      <c r="G24" s="15">
        <v>191453.3</v>
      </c>
      <c r="H24" s="15">
        <f t="shared" si="6"/>
        <v>2519.2000000000116</v>
      </c>
      <c r="I24" s="16">
        <f t="shared" si="7"/>
        <v>1.3158300222560863E-2</v>
      </c>
      <c r="J24" s="38" t="s">
        <v>567</v>
      </c>
      <c r="K24" s="70" t="s">
        <v>568</v>
      </c>
    </row>
    <row r="25" spans="1:15" ht="72">
      <c r="A25" s="28" t="str">
        <v>Sturbridge Garage</v>
      </c>
      <c r="B25" s="29" t="str">
        <v>MA</v>
      </c>
      <c r="C25" s="11">
        <v>94273.75</v>
      </c>
      <c r="D25" s="18">
        <v>94927.05</v>
      </c>
      <c r="E25" s="18">
        <f t="shared" si="4"/>
        <v>-653.30000000000291</v>
      </c>
      <c r="F25" s="52">
        <f t="shared" si="5"/>
        <v>-6.8821268542528487E-3</v>
      </c>
      <c r="G25" s="20">
        <v>88089.14</v>
      </c>
      <c r="H25" s="50">
        <f t="shared" si="6"/>
        <v>6184.6100000000006</v>
      </c>
      <c r="I25" s="52">
        <f t="shared" si="7"/>
        <v>7.0208541030142887E-2</v>
      </c>
      <c r="J25" s="39" t="s">
        <v>569</v>
      </c>
      <c r="K25" s="72" t="s">
        <v>570</v>
      </c>
      <c r="L25" s="75" t="s">
        <v>571</v>
      </c>
    </row>
    <row r="26" spans="1:15" ht="28.9">
      <c r="A26" s="30" t="str">
        <v>Halsey Valley</v>
      </c>
      <c r="B26" s="27" t="str">
        <v>NY</v>
      </c>
      <c r="C26" s="24">
        <v>1067704</v>
      </c>
      <c r="D26" s="13">
        <v>1062244</v>
      </c>
      <c r="E26" s="13">
        <f t="shared" si="4"/>
        <v>5460</v>
      </c>
      <c r="F26" s="14">
        <f t="shared" si="5"/>
        <v>5.1400619819928382E-3</v>
      </c>
      <c r="G26" s="15">
        <v>1015000</v>
      </c>
      <c r="H26" s="15">
        <f t="shared" si="6"/>
        <v>52704</v>
      </c>
      <c r="I26" s="16">
        <f t="shared" si="7"/>
        <v>5.1925123152709363E-2</v>
      </c>
      <c r="J26" s="38" t="s">
        <v>572</v>
      </c>
      <c r="K26" s="70" t="s">
        <v>573</v>
      </c>
    </row>
    <row r="27" spans="1:15" ht="129.6">
      <c r="A27" s="28" t="str">
        <v>Hunt Creek</v>
      </c>
      <c r="B27" s="29" t="str">
        <v>NY</v>
      </c>
      <c r="C27" s="11">
        <v>714377</v>
      </c>
      <c r="D27" s="18">
        <v>763991.4</v>
      </c>
      <c r="E27" s="18">
        <f t="shared" si="4"/>
        <v>-49614.400000000023</v>
      </c>
      <c r="F27" s="52">
        <f t="shared" si="5"/>
        <v>-6.4941045147890439E-2</v>
      </c>
      <c r="G27" s="20">
        <v>723000</v>
      </c>
      <c r="H27" s="50">
        <f t="shared" si="6"/>
        <v>-8623</v>
      </c>
      <c r="I27" s="52">
        <f t="shared" si="7"/>
        <v>-1.1926694329183956E-2</v>
      </c>
      <c r="J27" s="39" t="s">
        <v>574</v>
      </c>
      <c r="K27" s="72" t="s">
        <v>575</v>
      </c>
      <c r="L27" s="75" t="s">
        <v>576</v>
      </c>
      <c r="M27" s="75" t="s">
        <v>576</v>
      </c>
      <c r="N27" s="75" t="s">
        <v>577</v>
      </c>
      <c r="O27" s="75" t="s">
        <v>578</v>
      </c>
    </row>
    <row r="28" spans="1:15" ht="100.9">
      <c r="A28" s="55" t="str">
        <v>Smith Creek</v>
      </c>
      <c r="B28" s="27" t="str">
        <v>NY</v>
      </c>
      <c r="C28" s="24">
        <v>798659</v>
      </c>
      <c r="D28" s="13">
        <v>832137.8</v>
      </c>
      <c r="E28" s="13">
        <f t="shared" si="4"/>
        <v>-33478.800000000047</v>
      </c>
      <c r="F28" s="14">
        <f t="shared" si="5"/>
        <v>-4.0232278836510066E-2</v>
      </c>
      <c r="G28" s="15">
        <v>747340.2</v>
      </c>
      <c r="H28" s="15">
        <f t="shared" si="6"/>
        <v>51318.800000000047</v>
      </c>
      <c r="I28" s="16">
        <f t="shared" si="7"/>
        <v>6.8668592964756942E-2</v>
      </c>
      <c r="J28" s="38" t="s">
        <v>579</v>
      </c>
      <c r="K28" s="70" t="s">
        <v>580</v>
      </c>
      <c r="L28" s="75" t="s">
        <v>581</v>
      </c>
      <c r="M28" s="75" t="s">
        <v>582</v>
      </c>
      <c r="N28" s="75" t="s">
        <v>583</v>
      </c>
    </row>
    <row r="29" spans="1:15" ht="28.9">
      <c r="A29" s="28" t="str">
        <v>Bradford - 256 Presidential Dr</v>
      </c>
      <c r="B29" s="29" t="str">
        <v>MA</v>
      </c>
      <c r="C29" s="11">
        <v>887481</v>
      </c>
      <c r="D29" s="18" t="s">
        <v>24</v>
      </c>
      <c r="E29" s="18" t="str">
        <f t="shared" si="4"/>
        <v/>
      </c>
      <c r="F29" s="52" t="str">
        <f t="shared" si="5"/>
        <v/>
      </c>
      <c r="G29" s="20">
        <v>884144</v>
      </c>
      <c r="H29" s="50">
        <f t="shared" si="6"/>
        <v>3337</v>
      </c>
      <c r="I29" s="52">
        <f t="shared" si="7"/>
        <v>3.7742720642791219E-3</v>
      </c>
      <c r="J29" s="39" t="s">
        <v>584</v>
      </c>
      <c r="K29" s="72" t="s">
        <v>585</v>
      </c>
      <c r="L29" s="75" t="s">
        <v>586</v>
      </c>
    </row>
    <row r="30" spans="1:15" ht="28.9">
      <c r="A30" s="30" t="str">
        <v>Charlton – 111 Brookfield Road - Bus Lot</v>
      </c>
      <c r="B30" s="27" t="str">
        <v>MA</v>
      </c>
      <c r="C30" s="24">
        <v>91070</v>
      </c>
      <c r="D30" s="13" t="s">
        <v>24</v>
      </c>
      <c r="E30" s="13" t="str">
        <f t="shared" si="4"/>
        <v/>
      </c>
      <c r="F30" s="14" t="str">
        <f t="shared" si="5"/>
        <v/>
      </c>
      <c r="G30" s="15">
        <v>103500</v>
      </c>
      <c r="H30" s="15">
        <f t="shared" si="6"/>
        <v>-12430</v>
      </c>
      <c r="I30" s="16">
        <f t="shared" si="7"/>
        <v>-0.12009661835748792</v>
      </c>
      <c r="J30" s="38" t="s">
        <v>587</v>
      </c>
      <c r="K30" s="70" t="s">
        <v>588</v>
      </c>
    </row>
    <row r="31" spans="1:15" ht="43.15">
      <c r="A31" s="28" t="str">
        <v>Charlton – 154 Center Depot Road KMARD</v>
      </c>
      <c r="B31" s="29" t="str">
        <v>MA</v>
      </c>
      <c r="C31" s="11">
        <v>84807</v>
      </c>
      <c r="D31" s="18" t="s">
        <v>24</v>
      </c>
      <c r="E31" s="18" t="str">
        <f t="shared" si="4"/>
        <v/>
      </c>
      <c r="F31" s="52" t="str">
        <f t="shared" si="5"/>
        <v/>
      </c>
      <c r="G31" s="20">
        <v>100200</v>
      </c>
      <c r="H31" s="50">
        <f t="shared" si="6"/>
        <v>-15393</v>
      </c>
      <c r="I31" s="52">
        <f t="shared" si="7"/>
        <v>-0.15362275449101798</v>
      </c>
      <c r="J31" s="39" t="s">
        <v>589</v>
      </c>
      <c r="K31" s="72" t="s">
        <v>590</v>
      </c>
      <c r="L31" s="75" t="s">
        <v>500</v>
      </c>
    </row>
    <row r="32" spans="1:15" ht="43.15">
      <c r="A32" s="30" t="str">
        <v>Charlton – 142A Brookfield Rd (Mitchell)</v>
      </c>
      <c r="B32" s="27" t="str">
        <v>MA</v>
      </c>
      <c r="C32" s="24">
        <v>86676</v>
      </c>
      <c r="D32" s="13" t="s">
        <v>24</v>
      </c>
      <c r="E32" s="13" t="str">
        <f t="shared" si="4"/>
        <v/>
      </c>
      <c r="F32" s="14" t="str">
        <f t="shared" si="5"/>
        <v/>
      </c>
      <c r="G32" s="15">
        <v>101821</v>
      </c>
      <c r="H32" s="15">
        <f t="shared" si="6"/>
        <v>-15145</v>
      </c>
      <c r="I32" s="16">
        <f t="shared" si="7"/>
        <v>-0.14874141876430205</v>
      </c>
      <c r="J32" s="38" t="s">
        <v>591</v>
      </c>
      <c r="K32" s="70" t="s">
        <v>592</v>
      </c>
      <c r="L32" s="75" t="s">
        <v>593</v>
      </c>
      <c r="M32" s="75" t="s">
        <v>503</v>
      </c>
    </row>
    <row r="33" spans="1:17" ht="90" customHeight="1">
      <c r="A33" s="28" t="str">
        <v>Great Barrington – 3 Nolan  Drive</v>
      </c>
      <c r="B33" s="29" t="str">
        <v>MA</v>
      </c>
      <c r="C33" s="11">
        <v>62374</v>
      </c>
      <c r="D33" s="18" t="s">
        <v>24</v>
      </c>
      <c r="E33" s="18" t="str">
        <f t="shared" si="4"/>
        <v/>
      </c>
      <c r="F33" s="52" t="str">
        <f t="shared" si="5"/>
        <v/>
      </c>
      <c r="G33" s="20">
        <v>207000</v>
      </c>
      <c r="H33" s="50">
        <f t="shared" si="6"/>
        <v>-144626</v>
      </c>
      <c r="I33" s="52">
        <f t="shared" si="7"/>
        <v>-0.69867632850241546</v>
      </c>
      <c r="J33" s="47" t="s">
        <v>594</v>
      </c>
      <c r="K33" s="72" t="s">
        <v>595</v>
      </c>
      <c r="L33" s="75" t="s">
        <v>325</v>
      </c>
      <c r="M33" s="75" t="s">
        <v>454</v>
      </c>
      <c r="N33" s="75" t="s">
        <v>243</v>
      </c>
      <c r="O33" s="75" t="s">
        <v>506</v>
      </c>
      <c r="P33" s="75" t="s">
        <v>596</v>
      </c>
      <c r="Q33" s="82" t="s">
        <v>597</v>
      </c>
    </row>
    <row r="34" spans="1:17" ht="136.5" customHeight="1">
      <c r="A34" s="30" t="str">
        <v>Stockbridge – 92 State Line Road Truck Stop</v>
      </c>
      <c r="B34" s="27" t="str">
        <v>MA</v>
      </c>
      <c r="C34" s="24">
        <v>342062</v>
      </c>
      <c r="D34" s="13" t="s">
        <v>24</v>
      </c>
      <c r="E34" s="13" t="str">
        <f t="shared" si="4"/>
        <v/>
      </c>
      <c r="F34" s="14" t="str">
        <f t="shared" si="5"/>
        <v/>
      </c>
      <c r="G34" s="15">
        <v>428600</v>
      </c>
      <c r="H34" s="15">
        <f t="shared" si="6"/>
        <v>-86538</v>
      </c>
      <c r="I34" s="16">
        <f t="shared" si="7"/>
        <v>-0.20190853943070461</v>
      </c>
      <c r="J34" s="38" t="s">
        <v>598</v>
      </c>
      <c r="K34" s="70" t="s">
        <v>599</v>
      </c>
      <c r="L34" s="75" t="s">
        <v>600</v>
      </c>
      <c r="M34" s="75" t="s">
        <v>601</v>
      </c>
      <c r="N34" s="75" t="s">
        <v>602</v>
      </c>
    </row>
    <row r="35" spans="1:17" ht="60.75" customHeight="1">
      <c r="A35" s="28" t="str">
        <v>NY: New Windsor - Moores Hill</v>
      </c>
      <c r="B35" s="29" t="str">
        <v>NY</v>
      </c>
      <c r="C35" s="11">
        <v>382668</v>
      </c>
      <c r="D35" s="18">
        <v>358528</v>
      </c>
      <c r="E35" s="18">
        <f t="shared" si="4"/>
        <v>24140</v>
      </c>
      <c r="F35" s="52">
        <f t="shared" si="5"/>
        <v>6.7330863977151018E-2</v>
      </c>
      <c r="G35" s="20">
        <v>459600</v>
      </c>
      <c r="H35" s="50">
        <f t="shared" si="6"/>
        <v>-76932</v>
      </c>
      <c r="I35" s="52">
        <f t="shared" si="7"/>
        <v>-0.16738903394255875</v>
      </c>
      <c r="J35" s="48" t="s">
        <v>603</v>
      </c>
      <c r="K35" s="72" t="s">
        <v>604</v>
      </c>
      <c r="L35" s="75" t="s">
        <v>605</v>
      </c>
      <c r="M35" s="75" t="s">
        <v>515</v>
      </c>
    </row>
    <row r="36" spans="1:17" ht="14.45">
      <c r="A36" s="21"/>
      <c r="B36" s="31"/>
      <c r="C36" s="21"/>
      <c r="D36" s="21"/>
      <c r="E36" s="21"/>
      <c r="F36" s="22"/>
      <c r="G36" s="21"/>
      <c r="H36" s="21"/>
      <c r="I36" s="22"/>
      <c r="J36" s="21"/>
      <c r="K36" s="21"/>
    </row>
    <row r="37" spans="1:17" ht="14.45">
      <c r="A37" s="21"/>
      <c r="B37" s="31"/>
      <c r="C37" s="21"/>
      <c r="D37" s="21"/>
      <c r="E37" s="21"/>
      <c r="F37" s="22"/>
      <c r="G37" s="21"/>
      <c r="H37" s="21"/>
      <c r="I37" s="22"/>
      <c r="J37" s="21"/>
      <c r="K37" s="21"/>
    </row>
    <row r="38" spans="1:17" ht="14.45">
      <c r="A38" s="21"/>
      <c r="B38" s="31"/>
      <c r="C38" s="21"/>
      <c r="D38" s="21"/>
      <c r="E38" s="21"/>
      <c r="F38" s="22"/>
      <c r="G38" s="21"/>
      <c r="H38" s="21"/>
      <c r="I38" s="22"/>
      <c r="J38" s="21"/>
      <c r="K38" s="21"/>
    </row>
    <row r="39" spans="1:17" ht="14.45">
      <c r="A39" s="21"/>
      <c r="B39" s="31"/>
      <c r="C39" s="21"/>
      <c r="D39" s="21"/>
      <c r="E39" s="21"/>
      <c r="F39" s="22"/>
      <c r="G39" s="21"/>
      <c r="H39" s="21"/>
      <c r="I39" s="22"/>
      <c r="J39" s="21"/>
      <c r="K39" s="21"/>
    </row>
    <row r="40" spans="1:17" ht="14.45">
      <c r="A40" s="21"/>
      <c r="B40" s="31"/>
      <c r="C40" s="21"/>
      <c r="D40" s="21"/>
      <c r="E40" s="21"/>
      <c r="F40" s="22"/>
      <c r="G40" s="21"/>
      <c r="H40" s="21"/>
      <c r="I40" s="22"/>
      <c r="J40" s="21"/>
      <c r="K40" s="21"/>
    </row>
    <row r="41" spans="1:17" ht="14.45">
      <c r="A41" s="21"/>
      <c r="B41" s="31"/>
      <c r="C41" s="21"/>
      <c r="D41" s="21"/>
      <c r="E41" s="21"/>
      <c r="F41" s="22"/>
      <c r="G41" s="21"/>
      <c r="H41" s="21"/>
      <c r="I41" s="22"/>
      <c r="J41" s="21"/>
      <c r="K41" s="21"/>
    </row>
    <row r="42" spans="1:17" ht="14.45">
      <c r="A42" s="21"/>
      <c r="B42" s="31"/>
      <c r="C42" s="21"/>
      <c r="D42" s="21"/>
      <c r="E42" s="21"/>
      <c r="F42" s="22"/>
      <c r="G42" s="21"/>
      <c r="H42" s="21"/>
      <c r="I42" s="22"/>
      <c r="J42" s="21"/>
      <c r="K42" s="21"/>
    </row>
    <row r="43" spans="1:17" ht="14.45">
      <c r="A43" s="21"/>
      <c r="B43" s="31"/>
      <c r="C43" s="21"/>
      <c r="D43" s="21"/>
      <c r="E43" s="21"/>
      <c r="F43" s="22"/>
      <c r="G43" s="21"/>
      <c r="H43" s="21"/>
      <c r="I43" s="22"/>
      <c r="J43" s="21"/>
      <c r="K43" s="21"/>
    </row>
    <row r="44" spans="1:17" ht="14.45">
      <c r="A44" s="21"/>
      <c r="B44" s="31"/>
      <c r="C44" s="21"/>
      <c r="D44" s="21"/>
      <c r="E44" s="21"/>
      <c r="F44" s="22"/>
      <c r="G44" s="21"/>
      <c r="H44" s="21"/>
      <c r="I44" s="22"/>
      <c r="J44" s="21"/>
      <c r="K44" s="21"/>
    </row>
    <row r="45" spans="1:17" ht="14.45">
      <c r="A45" s="21"/>
      <c r="B45" s="31"/>
      <c r="C45" s="21"/>
      <c r="D45" s="21"/>
      <c r="E45" s="21"/>
      <c r="F45" s="22"/>
      <c r="G45" s="21"/>
      <c r="H45" s="21"/>
      <c r="I45" s="22"/>
      <c r="J45" s="21"/>
      <c r="K45" s="21"/>
    </row>
    <row r="46" spans="1:17" ht="14.45">
      <c r="A46" s="21"/>
      <c r="B46" s="31"/>
      <c r="C46" s="21"/>
      <c r="D46" s="21"/>
      <c r="E46" s="21"/>
      <c r="F46" s="22"/>
      <c r="G46" s="21"/>
      <c r="H46" s="21"/>
      <c r="I46" s="22"/>
      <c r="J46" s="21"/>
      <c r="K46" s="21"/>
    </row>
    <row r="47" spans="1:17" ht="14.45">
      <c r="A47" s="21"/>
      <c r="B47" s="31"/>
      <c r="C47" s="21"/>
      <c r="D47" s="21"/>
      <c r="E47" s="21"/>
      <c r="F47" s="22"/>
      <c r="G47" s="21"/>
      <c r="H47" s="21"/>
      <c r="I47" s="22"/>
      <c r="J47" s="21"/>
      <c r="K47" s="21"/>
    </row>
    <row r="48" spans="1:17"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5374" xr:uid="{DD075E33-C360-4D41-A70F-E88F86DCAE7E}"/>
    <hyperlink ref="L4" r:id="rId2" display="https://us3.assetplanner.com/service_request?ID=106308" xr:uid="{3DFAC830-0094-471F-9BD4-ABEDA0892285}"/>
    <hyperlink ref="K5" r:id="rId3" display="https://us3.assetplanner.com/service_request?ID=101404" xr:uid="{E5B3E23B-F1D8-43A9-B002-274536EBA864}"/>
    <hyperlink ref="K6" r:id="rId4" display="https://us3.assetplanner.com/service_request?ID=104474" xr:uid="{D7D6FDBF-DF67-416E-841B-303088DC6418}"/>
    <hyperlink ref="L6" r:id="rId5" display="https://us3.assetplanner.com/service_request?ID=104730" xr:uid="{6E120AB8-EF77-4E85-AF0A-DBB797025FAB}"/>
    <hyperlink ref="M6" r:id="rId6" display="https://us3.assetplanner.com/service_request?ID=106337" xr:uid="{4AA86B7C-7B37-48C1-AB39-5FD61C63986A}"/>
    <hyperlink ref="N6" r:id="rId7" display="https://us3.assetplanner.com/service_request?ID=106597" xr:uid="{2C5F0B23-D1B5-42EC-8201-3337CA16F169}"/>
    <hyperlink ref="O6" r:id="rId8" display="https://us3.assetplanner.com/service_request?ID=106215" xr:uid="{44A83566-CFA8-4963-9D46-5D6E71C4CF1C}"/>
    <hyperlink ref="K7" r:id="rId9" display="https://us3.assetplanner.com/service_request?ID=100021" xr:uid="{82BF871D-18C7-4C2B-A85F-F60979ECE10E}"/>
    <hyperlink ref="K8" r:id="rId10" display="https://us3.assetplanner.com/service_request?ID=105954" xr:uid="{86498D43-3F91-482A-BD9A-BAFC7D12277F}"/>
    <hyperlink ref="L8" r:id="rId11" display="https://us3.assetplanner.com/service_request?ID=106327" xr:uid="{5CA30B18-85F3-460E-834B-D620399368B4}"/>
    <hyperlink ref="K9" r:id="rId12" display="https://us3.assetplanner.com/service_request?ID=104476" xr:uid="{C18129F9-4579-4E2D-B21E-0911CFEE8EC5}"/>
    <hyperlink ref="L9" r:id="rId13" display="https://us3.assetplanner.com/service_request?ID=106398" xr:uid="{32E8DA1C-BB55-4A5A-91A8-3B8B57659C61}"/>
    <hyperlink ref="M9" r:id="rId14" display="https://us3.assetplanner.com/service_request?ID=107215" xr:uid="{7F4C02ED-A65C-4396-8D64-C04CA3A2E1FD}"/>
    <hyperlink ref="N9" r:id="rId15" display="https://us3.assetplanner.com/service_request?ID=106665" xr:uid="{723C0E54-1415-446E-9D7A-62B9769EB0D3}"/>
    <hyperlink ref="K11" r:id="rId16" display="https://us3.assetplanner.com/service_request?ID=105975" xr:uid="{6DB40FE5-6DCE-4032-B9E6-285E33702D07}"/>
    <hyperlink ref="L11" r:id="rId17" display="https://us3.assetplanner.com/service_request?ID=106358" xr:uid="{61527D39-3CA0-41C5-93E3-DE85F17B8905}"/>
    <hyperlink ref="M11" r:id="rId18" display="https://us3.assetplanner.com/service_request?ID=105428" xr:uid="{10929B22-DE94-4A52-B76B-78F483E69F6B}"/>
    <hyperlink ref="K12" r:id="rId19" display="https://us3.assetplanner.com/service_request?ID=103047" xr:uid="{E1AAC2B6-A23F-4A5F-BC78-92E9A6554AE0}"/>
    <hyperlink ref="L12" r:id="rId20" display="https://us3.assetplanner.com/service_request?ID=103282" xr:uid="{73E42FB2-C08A-4DF6-AA7C-930C6CD81607}"/>
    <hyperlink ref="M12" r:id="rId21" display="https://us3.assetplanner.com/service_request?ID=106227" xr:uid="{596CD48F-FAF9-4FEA-9D31-1BED0AA66A41}"/>
    <hyperlink ref="N12" r:id="rId22" display="https://us3.assetplanner.com/service_request?ID=106661" xr:uid="{59CC8480-CA5F-48E2-AADB-FFCA62A80FB1}"/>
    <hyperlink ref="O12" r:id="rId23" display="https://us3.assetplanner.com/service_request?ID=106834" xr:uid="{ACF660F3-E468-40A5-9776-D2418A628644}"/>
    <hyperlink ref="P12" r:id="rId24" display="https://us3.assetplanner.com/service_request?ID=107298" xr:uid="{0D431F4B-8EDE-459F-B417-F083CD1D5609}"/>
    <hyperlink ref="Q12" r:id="rId25" display="https://us3.assetplanner.com/service_request?ID=106937" xr:uid="{95C62BEB-E57A-48F2-B321-E6B6EA8C2EE4}"/>
    <hyperlink ref="K13" r:id="rId26" display="https://us3.assetplanner.com/service_request?ID=106388" xr:uid="{0D20B450-3745-40AE-9A41-910A425FA2A7}"/>
    <hyperlink ref="K15" r:id="rId27" display="https://us3.assetplanner.com/service_request?ID=103728" xr:uid="{60D56EE8-4EC7-463D-95B8-5EBF12743119}"/>
    <hyperlink ref="L15" r:id="rId28" display="https://us3.assetplanner.com/service_request?ID=103770" xr:uid="{AD093BE4-8AB1-47F1-94EE-A0C3FA7C5F38}"/>
    <hyperlink ref="K18" r:id="rId29" display="https://us3.assetplanner.com/service_request?ID=105297" xr:uid="{0E5B1A08-B5D5-4925-A02E-D64A274D685F}"/>
    <hyperlink ref="K19" r:id="rId30" display="https://us3.assetplanner.com/service_request?ID=097795" xr:uid="{7C525776-08B9-46D2-B9C2-2D6DA648C5A3}"/>
    <hyperlink ref="L19" r:id="rId31" display="https://us3.assetplanner.com/service_request?ID=101921" xr:uid="{CC27851F-9599-4A0A-90E9-C12C10164C47}"/>
    <hyperlink ref="M19" r:id="rId32" display="https://us3.assetplanner.com/service_request?ID=106070" xr:uid="{BB21E2BC-BA1E-423E-96AA-B5748C3EBF72}"/>
    <hyperlink ref="K20" r:id="rId33" display="https://us3.assetplanner.com/service_request?ID=106814" xr:uid="{621254F0-40F5-4558-8CE6-13E808680A86}"/>
    <hyperlink ref="L20" r:id="rId34" display="https://us3.assetplanner.com/service_request?ID=106982" xr:uid="{D32253B2-4F18-4485-A525-929A55F16E63}"/>
    <hyperlink ref="K22" r:id="rId35" display="https://us3.assetplanner.com/service_request?ID=104475" xr:uid="{0F15DA99-3730-46EA-A708-952C58130080}"/>
    <hyperlink ref="L22" r:id="rId36" display="https://us3.assetplanner.com/service_request?ID=104472" xr:uid="{BEADC4E9-A5DC-443A-983A-4C7F5DEA3D35}"/>
    <hyperlink ref="M22" r:id="rId37" display="https://us3.assetplanner.com/service_request?ID=105929" xr:uid="{616B2F75-97FF-443A-A862-B63221B11DDC}"/>
    <hyperlink ref="K23" r:id="rId38" display="https://us3.assetplanner.com/service_request?ID=106232" xr:uid="{8FA12F31-C267-496F-B47B-597815A0C6C5}"/>
    <hyperlink ref="K24" r:id="rId39" display="https://us3.assetplanner.com/service_request?ID=105514" xr:uid="{DAE66633-AC38-43F6-95BF-85E2C1D1D070}"/>
    <hyperlink ref="K25" r:id="rId40" display="https://us3.assetplanner.com/service_request?ID=105746" xr:uid="{9CC664EF-9095-4562-AAA8-E8E10002C37C}"/>
    <hyperlink ref="L25" r:id="rId41" display="https://us3.assetplanner.com/service_request?ID=106014" xr:uid="{D2AC3F93-C5AA-447D-9BC3-237796B74823}"/>
    <hyperlink ref="K26" r:id="rId42" display="https://us3.assetplanner.com/service_request?ID=106596" xr:uid="{02CD2C0F-ABF3-41D5-85BD-D23FDDA2FEA7}"/>
    <hyperlink ref="K27" r:id="rId43" display="https://us3.assetplanner.com/service_request?ID=094254" xr:uid="{2812E20A-21F7-4E4F-9DEA-28BCC5FA14D7}"/>
    <hyperlink ref="L27" r:id="rId44" display="https://us3.assetplanner.com/service_request?ID=105953" xr:uid="{E1956609-0CD6-4C4E-8F84-0C9550432888}"/>
    <hyperlink ref="M27" r:id="rId45" display="https://us3.assetplanner.com/service_request?ID=105953" xr:uid="{E5DD4C6C-2732-46E5-A4FA-169BAA6AEA0C}"/>
    <hyperlink ref="N27" r:id="rId46" display="https://us3.assetplanner.com/service_request?ID=106221" xr:uid="{CB7A3AA4-7FE5-4EAC-A8BD-ED4A44C34FC1}"/>
    <hyperlink ref="O27" r:id="rId47" display="https://us3.assetplanner.com/service_request?ID=106777" xr:uid="{CDD4F337-01FC-4307-B637-E0AEB7C0751C}"/>
    <hyperlink ref="K28" r:id="rId48" display="https://us3.assetplanner.com/service_request?ID=105947" xr:uid="{141C2B2F-B911-4AF7-85F6-2D799ABEE411}"/>
    <hyperlink ref="L28" r:id="rId49" display="https://us3.assetplanner.com/service_request?ID=106220" xr:uid="{D037AC0F-7554-49E0-B4AA-1AB86639ED2E}"/>
    <hyperlink ref="M28" r:id="rId50" display="https://us3.assetplanner.com/service_request?ID=106776" xr:uid="{28C7D911-56AA-4C4B-8C0F-D4595406AD73}"/>
    <hyperlink ref="N28" r:id="rId51" display="https://us3.assetplanner.com/service_request?ID=107228" xr:uid="{97956F79-014B-4974-BEAF-EFA23DA7A072}"/>
    <hyperlink ref="K29" r:id="rId52" display="https://us3.assetplanner.com/service_request?ID=106321" xr:uid="{C9DF14B0-EA6D-4FBF-BFAD-C98879661A4D}"/>
    <hyperlink ref="L29" r:id="rId53" display="https://us3.assetplanner.com/service_request?ID=103781" xr:uid="{13749ED7-9FC3-481B-9A88-AF60BFB451D4}"/>
    <hyperlink ref="K30" r:id="rId54" display="https://us3.assetplanner.com/service_request?ID=105519" xr:uid="{E0ED8550-D31E-42CB-8EDE-C6FB384D7F2B}"/>
    <hyperlink ref="K31" r:id="rId55" display="https://us3.assetplanner.com/service_request?ID=105518" xr:uid="{70AF9DA9-B1FF-4829-A5B8-A574DB277317}"/>
    <hyperlink ref="L31" r:id="rId56" display="https://us3.assetplanner.com/service_request?ID=097803" xr:uid="{8DA5F2B1-7702-432D-9F9C-9391EB58E155}"/>
    <hyperlink ref="K32" r:id="rId57" display="https://us3.assetplanner.com/service_request?ID=105520" xr:uid="{9D594C8A-E5DD-4BEA-ACC4-D8717FC5F7CE}"/>
    <hyperlink ref="L32" r:id="rId58" display="https://us3.assetplanner.com/service_request?ID=104528" xr:uid="{45B9B414-3DA0-44E7-9905-CE4D5E0BAA9A}"/>
    <hyperlink ref="M32" r:id="rId59" display="https://us3.assetplanner.com/service_request?ID=104686" xr:uid="{97AA2FC5-00FC-4F5C-9462-2A3F8DD6BDB2}"/>
    <hyperlink ref="K33" r:id="rId60" display="https://us3.assetplanner.com/service_request?ID=099815" xr:uid="{81C79B48-378B-4800-9A3C-A15FC966B9BA}"/>
    <hyperlink ref="L33" r:id="rId61" display="https://us3.assetplanner.com/service_request?ID=099920" xr:uid="{3EE4F209-E3D9-4A4B-BD48-CD6108A478DE}"/>
    <hyperlink ref="M33" r:id="rId62" display="https://us3.assetplanner.com/service_request?ID=103531" xr:uid="{20E35B5A-4D6B-485B-84ED-C0A43C37734D}"/>
    <hyperlink ref="N33" r:id="rId63" display="https://us3.assetplanner.com/service_request?ID=098468" xr:uid="{4601E876-6F8E-4CA9-8463-4B9607E19B0B}"/>
    <hyperlink ref="O33" r:id="rId64" display="https://us3.assetplanner.com/service_request?ID=104024" xr:uid="{2A1E2C33-C732-42BD-9EE1-93E89BEDE6A5}"/>
    <hyperlink ref="P33" r:id="rId65" display="https://us3.assetplanner.com/service_request?ID=105724" xr:uid="{6E6746AE-78B2-4DC9-9DFC-8294958AB4F1}"/>
    <hyperlink ref="Q33" r:id="rId66" display="https://us3.assetplanner.com/service_request?ID=105808" xr:uid="{1771D2E2-6692-42C0-BFBA-DC8E96A96962}"/>
    <hyperlink ref="K34" r:id="rId67" display="https://us3.assetplanner.com/service_request?ID=105747" xr:uid="{2EFBACF5-F70E-415E-9F12-4989307A6274}"/>
    <hyperlink ref="L34" r:id="rId68" display="https://us3.assetplanner.com/service_request?ID=106005" xr:uid="{0FC92D5A-23A9-4BC9-B1ED-D385995968D8}"/>
    <hyperlink ref="M34" r:id="rId69" display="https://us3.assetplanner.com/service_request?ID=106677" xr:uid="{E8A5723B-2380-4CCA-89A7-1E9EE8D8F83E}"/>
    <hyperlink ref="N34" r:id="rId70" display="https://us3.assetplanner.com/service_request?ID=107218" xr:uid="{726BA563-60B8-4AD3-B50A-DF6B1A8A5BD0}"/>
    <hyperlink ref="K35" r:id="rId71" display="https://us3.assetplanner.com/service_request?ID=105950" xr:uid="{6F6655BE-0D83-4C72-B034-11A4187A9EF9}"/>
    <hyperlink ref="L35" r:id="rId72" display="https://us3.assetplanner.com/service_request?ID=106216" xr:uid="{3AF00609-B151-466C-8AA3-39D87D6BBD28}"/>
    <hyperlink ref="M35" r:id="rId73" display="https://us3.assetplanner.com/service_request?ID=107288" xr:uid="{244B1EE9-4D7A-462E-920D-ECA9A03DE5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V345"/>
  <sheetViews>
    <sheetView zoomScale="60" zoomScaleNormal="60" workbookViewId="0">
      <pane xSplit="2" ySplit="3" topLeftCell="C22" activePane="bottomRight" state="frozen"/>
      <selection pane="bottomRight" activeCell="J33" sqref="J3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74"/>
  </cols>
  <sheetData>
    <row r="1" spans="1:18" ht="19.5" customHeight="1">
      <c r="A1" s="112" t="str" cm="1">
        <f t="array" ref="A1">portfolio</f>
        <v>Lodestar</v>
      </c>
      <c r="B1" s="112"/>
      <c r="C1" s="112"/>
      <c r="D1" s="113" t="s">
        <v>606</v>
      </c>
      <c r="E1" s="113"/>
      <c r="F1" s="113"/>
      <c r="G1" s="111" t="s">
        <v>607</v>
      </c>
      <c r="H1" s="111"/>
      <c r="I1" s="111"/>
      <c r="J1" s="4"/>
      <c r="K1" s="4"/>
    </row>
    <row r="2" spans="1:18" ht="19.5" customHeight="1">
      <c r="A2" s="114" t="s">
        <v>2</v>
      </c>
      <c r="B2" s="114"/>
      <c r="C2" s="5">
        <f>SUM(C4:C103)</f>
        <v>9604335.528043393</v>
      </c>
      <c r="D2" s="5">
        <f>SUM(D4:D103)</f>
        <v>7838189.9000000004</v>
      </c>
      <c r="E2" s="5">
        <f>C2-D2</f>
        <v>1766145.6280433927</v>
      </c>
      <c r="F2" s="6">
        <f>IFERROR(E2/D2, 0)</f>
        <v>0.22532570026702117</v>
      </c>
      <c r="G2" s="5">
        <f>SUM(G4:G103)</f>
        <v>9064176.9000000004</v>
      </c>
      <c r="H2" s="7">
        <f>C2-G2</f>
        <v>540158.62804339267</v>
      </c>
      <c r="I2" s="6">
        <f>IFERROR(H2/G2, 0)</f>
        <v>5.9592683814830738E-2</v>
      </c>
      <c r="J2" s="26" t="str">
        <f ca="1">IF(AND(TODAY()&gt;DATE(2024, 9, 1), COUNTA(Sites[Site])&lt;&gt;(COUNT(C:C)-1)), "Some sites are missing actual data; if new sites were added, make sure they are aligned correctly (including prior months!)", "")</f>
        <v/>
      </c>
      <c r="K2" s="4"/>
    </row>
    <row r="3" spans="1:18" ht="14.25" customHeight="1">
      <c r="A3" s="8" t="s">
        <v>3</v>
      </c>
      <c r="B3" s="8" t="s">
        <v>4</v>
      </c>
      <c r="C3" s="23" t="s">
        <v>5</v>
      </c>
      <c r="D3" s="33" t="s">
        <v>6</v>
      </c>
      <c r="E3" s="33" t="s">
        <v>7</v>
      </c>
      <c r="F3" s="34" t="s">
        <v>8</v>
      </c>
      <c r="G3" s="35" t="s">
        <v>9</v>
      </c>
      <c r="H3" s="36" t="s">
        <v>7</v>
      </c>
      <c r="I3" s="37" t="s">
        <v>8</v>
      </c>
      <c r="J3" s="25" t="s">
        <v>20</v>
      </c>
      <c r="K3" s="25" t="s">
        <v>21</v>
      </c>
    </row>
    <row r="4" spans="1:18" ht="30" customHeight="1">
      <c r="A4" s="30" t="str" cm="1">
        <f t="array" ref="A4:A35">Sites[Site]</f>
        <v>Barkhamsted</v>
      </c>
      <c r="B4" s="27" t="str" cm="1">
        <f t="array" ref="B4:B35">Sites[State]</f>
        <v>CT</v>
      </c>
      <c r="C4" s="24">
        <v>165510</v>
      </c>
      <c r="D4" s="13">
        <v>179302</v>
      </c>
      <c r="E4" s="13">
        <f>IF(AND(ISNUMBER(C4),ISNUMBER(D4)), C4-D4, "")</f>
        <v>-13792</v>
      </c>
      <c r="F4" s="14">
        <f>IFERROR(E4/D4, "")</f>
        <v>-7.6920502838785959E-2</v>
      </c>
      <c r="G4" s="15">
        <v>164986.20000000001</v>
      </c>
      <c r="H4" s="15">
        <f>IF(AND(ISNUMBER(C4),ISNUMBER(G4)), C4-G4, "")</f>
        <v>523.79999999998836</v>
      </c>
      <c r="I4" s="16">
        <f>IFERROR(H4/G4, "")</f>
        <v>3.1748109841913345E-3</v>
      </c>
      <c r="J4" s="38" t="s">
        <v>608</v>
      </c>
      <c r="K4" s="70" t="s">
        <v>609</v>
      </c>
    </row>
    <row r="5" spans="1:18" ht="57.6">
      <c r="A5" s="28" t="str">
        <v>Bunce</v>
      </c>
      <c r="B5" s="29" t="str">
        <v>CT</v>
      </c>
      <c r="C5" s="11">
        <v>317883.5</v>
      </c>
      <c r="D5" s="18">
        <v>210329.4</v>
      </c>
      <c r="E5" s="18">
        <f t="shared" ref="E5:E14" si="0">IF(AND(ISNUMBER(C5),ISNUMBER(D5)), C5-D5, "")</f>
        <v>107554.1</v>
      </c>
      <c r="F5" s="19">
        <f>IFERROR(E5/D5, "")</f>
        <v>0.51136027583400134</v>
      </c>
      <c r="G5" s="20">
        <v>0</v>
      </c>
      <c r="H5" s="20">
        <f t="shared" ref="H5:H14" si="1">IF(AND(ISNUMBER(C5),ISNUMBER(G5)), C5-G5, "")</f>
        <v>317883.5</v>
      </c>
      <c r="I5" s="19" t="str">
        <f t="shared" ref="I5:I14" si="2">IFERROR(H5/G5, "")</f>
        <v/>
      </c>
      <c r="J5" s="47" t="s">
        <v>610</v>
      </c>
      <c r="K5" s="72" t="s">
        <v>611</v>
      </c>
      <c r="L5" s="75" t="s">
        <v>612</v>
      </c>
    </row>
    <row r="6" spans="1:18" ht="105.75" customHeight="1">
      <c r="A6" s="30" t="str">
        <v>Norcap North</v>
      </c>
      <c r="B6" s="27" t="str">
        <v>CT</v>
      </c>
      <c r="C6" s="24">
        <v>331794.5</v>
      </c>
      <c r="D6" s="13">
        <v>362411.4</v>
      </c>
      <c r="E6" s="13">
        <f t="shared" si="0"/>
        <v>-30616.900000000023</v>
      </c>
      <c r="F6" s="14">
        <f t="shared" ref="F6:F14" si="3">IFERROR(E6/D6, "")</f>
        <v>-8.4481062129944093E-2</v>
      </c>
      <c r="G6" s="15">
        <v>318605.40000000002</v>
      </c>
      <c r="H6" s="15">
        <f t="shared" si="1"/>
        <v>13189.099999999977</v>
      </c>
      <c r="I6" s="16">
        <f t="shared" si="2"/>
        <v>4.1396347958948518E-2</v>
      </c>
      <c r="J6" s="38" t="s">
        <v>613</v>
      </c>
      <c r="K6" s="70" t="s">
        <v>614</v>
      </c>
      <c r="L6" s="75" t="s">
        <v>524</v>
      </c>
      <c r="M6" s="75" t="s">
        <v>615</v>
      </c>
      <c r="N6" s="75" t="s">
        <v>616</v>
      </c>
      <c r="O6" s="75" t="s">
        <v>526</v>
      </c>
    </row>
    <row r="7" spans="1:18" ht="15.6">
      <c r="A7" s="28" t="str">
        <v>Norcap South</v>
      </c>
      <c r="B7" s="29" t="str">
        <v>CT</v>
      </c>
      <c r="C7" s="11">
        <v>360847</v>
      </c>
      <c r="D7" s="18">
        <v>383140.5</v>
      </c>
      <c r="E7" s="18">
        <f t="shared" si="0"/>
        <v>-22293.5</v>
      </c>
      <c r="F7" s="19">
        <f t="shared" si="3"/>
        <v>-5.8186226723617056E-2</v>
      </c>
      <c r="G7" s="20">
        <v>312929.8</v>
      </c>
      <c r="H7" s="20">
        <f t="shared" si="1"/>
        <v>47917.200000000012</v>
      </c>
      <c r="I7" s="19">
        <f t="shared" si="2"/>
        <v>0.15312443877189075</v>
      </c>
      <c r="J7" s="39" t="s">
        <v>528</v>
      </c>
      <c r="K7" s="73" t="s">
        <v>265</v>
      </c>
    </row>
    <row r="8" spans="1:18" ht="15.6">
      <c r="A8" s="30" t="str">
        <v>Platt Hill</v>
      </c>
      <c r="B8" s="27" t="str">
        <v>CT</v>
      </c>
      <c r="C8" s="24">
        <v>373320</v>
      </c>
      <c r="D8" s="13">
        <v>379067.2</v>
      </c>
      <c r="E8" s="13">
        <f t="shared" si="0"/>
        <v>-5747.2000000000116</v>
      </c>
      <c r="F8" s="14">
        <f t="shared" si="3"/>
        <v>-1.5161427841818051E-2</v>
      </c>
      <c r="G8" s="15">
        <v>367999.2</v>
      </c>
      <c r="H8" s="15">
        <f t="shared" si="1"/>
        <v>5320.7999999999884</v>
      </c>
      <c r="I8" s="16">
        <f t="shared" si="2"/>
        <v>1.4458727084189282E-2</v>
      </c>
      <c r="J8" s="38" t="s">
        <v>617</v>
      </c>
      <c r="K8" s="70" t="s">
        <v>618</v>
      </c>
    </row>
    <row r="9" spans="1:18" ht="172.9">
      <c r="A9" s="28" t="str">
        <v>Powder Hill</v>
      </c>
      <c r="B9" s="29" t="str">
        <v>CT</v>
      </c>
      <c r="C9" s="11">
        <v>314588</v>
      </c>
      <c r="D9" s="18">
        <v>335927.1</v>
      </c>
      <c r="E9" s="18">
        <f t="shared" si="0"/>
        <v>-21339.099999999977</v>
      </c>
      <c r="F9" s="19">
        <f t="shared" si="3"/>
        <v>-6.352300841462323E-2</v>
      </c>
      <c r="G9" s="20">
        <v>245616</v>
      </c>
      <c r="H9" s="20">
        <f t="shared" si="1"/>
        <v>68972</v>
      </c>
      <c r="I9" s="19">
        <f t="shared" si="2"/>
        <v>0.28081232492997199</v>
      </c>
      <c r="J9" s="39" t="s">
        <v>619</v>
      </c>
      <c r="K9" s="72" t="s">
        <v>620</v>
      </c>
      <c r="L9" s="75" t="s">
        <v>536</v>
      </c>
      <c r="M9" s="75" t="s">
        <v>536</v>
      </c>
      <c r="N9" s="75" t="s">
        <v>621</v>
      </c>
      <c r="O9" s="75" t="s">
        <v>622</v>
      </c>
      <c r="P9" s="75" t="s">
        <v>623</v>
      </c>
      <c r="Q9" s="75" t="s">
        <v>536</v>
      </c>
      <c r="R9" s="75" t="s">
        <v>624</v>
      </c>
    </row>
    <row r="10" spans="1:18" ht="43.15">
      <c r="A10" s="30" t="str">
        <v>Sand Road</v>
      </c>
      <c r="B10" s="27" t="str">
        <v>CT</v>
      </c>
      <c r="C10" s="24">
        <v>347611</v>
      </c>
      <c r="D10" s="13">
        <v>318979</v>
      </c>
      <c r="E10" s="13">
        <f t="shared" si="0"/>
        <v>28632</v>
      </c>
      <c r="F10" s="14">
        <f t="shared" si="3"/>
        <v>8.9761394950764781E-2</v>
      </c>
      <c r="G10" s="15">
        <v>273983</v>
      </c>
      <c r="H10" s="15">
        <f t="shared" si="1"/>
        <v>73628</v>
      </c>
      <c r="I10" s="16">
        <f t="shared" si="2"/>
        <v>0.26873200162053851</v>
      </c>
      <c r="J10" s="38" t="s">
        <v>625</v>
      </c>
      <c r="K10" s="70" t="s">
        <v>626</v>
      </c>
      <c r="L10" s="75" t="s">
        <v>627</v>
      </c>
    </row>
    <row r="11" spans="1:18" ht="43.15">
      <c r="A11" s="28" t="str">
        <v>Suffield</v>
      </c>
      <c r="B11" s="29" t="str">
        <v>CT</v>
      </c>
      <c r="C11" s="11">
        <v>335903</v>
      </c>
      <c r="D11" s="18">
        <v>329061.5</v>
      </c>
      <c r="E11" s="18">
        <f t="shared" si="0"/>
        <v>6841.5</v>
      </c>
      <c r="F11" s="19">
        <f t="shared" si="3"/>
        <v>2.0790946373246338E-2</v>
      </c>
      <c r="G11" s="20">
        <v>316656.5</v>
      </c>
      <c r="H11" s="20">
        <f t="shared" si="1"/>
        <v>19246.5</v>
      </c>
      <c r="I11" s="19">
        <f t="shared" si="2"/>
        <v>6.0780372422483041E-2</v>
      </c>
      <c r="J11" s="39" t="s">
        <v>628</v>
      </c>
      <c r="K11" s="72" t="s">
        <v>629</v>
      </c>
      <c r="L11" s="75" t="s">
        <v>630</v>
      </c>
    </row>
    <row r="12" spans="1:18" ht="120" customHeight="1">
      <c r="A12" s="30" t="str">
        <v>Ashby-Duffy</v>
      </c>
      <c r="B12" s="27" t="str">
        <v>MA</v>
      </c>
      <c r="C12" s="24">
        <v>328009</v>
      </c>
      <c r="D12" s="13">
        <v>366367.5</v>
      </c>
      <c r="E12" s="13">
        <f t="shared" si="0"/>
        <v>-38358.5</v>
      </c>
      <c r="F12" s="14">
        <f t="shared" si="3"/>
        <v>-0.10469951619616914</v>
      </c>
      <c r="G12" s="15">
        <v>296508.09999999998</v>
      </c>
      <c r="H12" s="15">
        <f t="shared" si="1"/>
        <v>31500.900000000023</v>
      </c>
      <c r="I12" s="16">
        <f t="shared" si="2"/>
        <v>0.10623959345461398</v>
      </c>
      <c r="J12" s="38" t="s">
        <v>631</v>
      </c>
      <c r="K12" s="70" t="s">
        <v>632</v>
      </c>
      <c r="L12" s="75" t="s">
        <v>547</v>
      </c>
      <c r="M12" s="75" t="s">
        <v>546</v>
      </c>
      <c r="N12" s="75" t="s">
        <v>633</v>
      </c>
    </row>
    <row r="13" spans="1:18" ht="43.15">
      <c r="A13" s="28" t="str">
        <v>Ashland</v>
      </c>
      <c r="B13" s="29" t="str">
        <v>MA</v>
      </c>
      <c r="C13" s="11">
        <v>305544</v>
      </c>
      <c r="D13" s="18">
        <v>328642.5</v>
      </c>
      <c r="E13" s="18">
        <f t="shared" si="0"/>
        <v>-23098.5</v>
      </c>
      <c r="F13" s="19">
        <f t="shared" si="3"/>
        <v>-7.028457974851092E-2</v>
      </c>
      <c r="G13" s="20">
        <v>325763</v>
      </c>
      <c r="H13" s="20">
        <f t="shared" si="1"/>
        <v>-20219</v>
      </c>
      <c r="I13" s="19">
        <f t="shared" si="2"/>
        <v>-6.2066594426009092E-2</v>
      </c>
      <c r="J13" s="39" t="s">
        <v>634</v>
      </c>
      <c r="K13" s="72" t="s">
        <v>635</v>
      </c>
      <c r="L13" s="75" t="s">
        <v>636</v>
      </c>
    </row>
    <row r="14" spans="1:18" ht="28.9">
      <c r="A14" s="30" t="str">
        <v>Barrington</v>
      </c>
      <c r="B14" s="27" t="str">
        <v>MA</v>
      </c>
      <c r="C14" s="24">
        <v>70150</v>
      </c>
      <c r="D14" s="13">
        <v>60906.98</v>
      </c>
      <c r="E14" s="13">
        <f t="shared" si="0"/>
        <v>9243.0199999999968</v>
      </c>
      <c r="F14" s="14">
        <f t="shared" si="3"/>
        <v>0.15175633400309776</v>
      </c>
      <c r="G14" s="15">
        <v>73860</v>
      </c>
      <c r="H14" s="15">
        <f t="shared" si="1"/>
        <v>-3710</v>
      </c>
      <c r="I14" s="16">
        <f t="shared" si="2"/>
        <v>-5.0230165177362576E-2</v>
      </c>
      <c r="J14" s="38" t="s">
        <v>472</v>
      </c>
      <c r="K14" s="38"/>
    </row>
    <row r="15" spans="1:18" ht="43.15">
      <c r="A15" s="28" t="str">
        <v>Bedford - 205 Burlington Rd</v>
      </c>
      <c r="B15" s="29" t="str">
        <v>MA</v>
      </c>
      <c r="C15" s="11">
        <v>31838</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8" ht="15.6">
      <c r="A16" s="30" t="str">
        <v>Billerica - 6 Cook Street</v>
      </c>
      <c r="B16" s="27" t="str">
        <v>MA</v>
      </c>
      <c r="C16" s="24">
        <v>32847</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37658</v>
      </c>
      <c r="D17" s="18" t="s">
        <v>24</v>
      </c>
      <c r="E17" s="18" t="str">
        <f t="shared" si="4"/>
        <v/>
      </c>
      <c r="F17" s="52" t="str">
        <f t="shared" si="5"/>
        <v/>
      </c>
      <c r="G17" s="66" t="s">
        <v>24</v>
      </c>
      <c r="H17" s="50" t="str">
        <f t="shared" si="6"/>
        <v/>
      </c>
      <c r="I17" s="52" t="str">
        <f t="shared" si="7"/>
        <v/>
      </c>
      <c r="J17" s="39"/>
      <c r="K17" s="39"/>
    </row>
    <row r="18" spans="1:15" ht="53.25" customHeight="1">
      <c r="A18" s="30" t="str">
        <v>Cheshire</v>
      </c>
      <c r="B18" s="27" t="str">
        <v>MA</v>
      </c>
      <c r="C18" s="24">
        <v>75555.620265151403</v>
      </c>
      <c r="D18" s="13">
        <v>79470.880000000005</v>
      </c>
      <c r="E18" s="13">
        <f t="shared" si="4"/>
        <v>-3915.2597348486015</v>
      </c>
      <c r="F18" s="14">
        <f t="shared" si="5"/>
        <v>-4.9266595951228946E-2</v>
      </c>
      <c r="G18" s="15">
        <v>50846.8</v>
      </c>
      <c r="H18" s="15">
        <f t="shared" si="6"/>
        <v>24708.8202651514</v>
      </c>
      <c r="I18" s="16">
        <f t="shared" si="7"/>
        <v>0.48594641678830131</v>
      </c>
      <c r="J18" s="38" t="s">
        <v>637</v>
      </c>
      <c r="K18" s="70" t="s">
        <v>553</v>
      </c>
    </row>
    <row r="19" spans="1:15" ht="115.15">
      <c r="A19" s="28" t="str">
        <v>Lilly Lane</v>
      </c>
      <c r="B19" s="29" t="str">
        <v>MA</v>
      </c>
      <c r="C19" s="11">
        <v>159784</v>
      </c>
      <c r="D19" s="18">
        <v>160762.9</v>
      </c>
      <c r="E19" s="18">
        <f t="shared" si="4"/>
        <v>-978.89999999999418</v>
      </c>
      <c r="F19" s="52">
        <f t="shared" si="5"/>
        <v>-6.0890914508259942E-3</v>
      </c>
      <c r="G19" s="20">
        <v>162482.9</v>
      </c>
      <c r="H19" s="50">
        <f t="shared" si="6"/>
        <v>-2698.8999999999942</v>
      </c>
      <c r="I19" s="52">
        <f t="shared" si="7"/>
        <v>-1.6610363305923234E-2</v>
      </c>
      <c r="J19" s="39" t="s">
        <v>638</v>
      </c>
      <c r="K19" s="72" t="s">
        <v>639</v>
      </c>
      <c r="L19" s="75" t="s">
        <v>556</v>
      </c>
      <c r="M19" s="75" t="s">
        <v>640</v>
      </c>
      <c r="N19" s="75" t="s">
        <v>641</v>
      </c>
    </row>
    <row r="20" spans="1:15" ht="157.5" customHeight="1">
      <c r="A20" s="55" t="str">
        <v>Monument Valley</v>
      </c>
      <c r="B20" s="27" t="str">
        <v>MA</v>
      </c>
      <c r="C20" s="24">
        <v>335965.97382199002</v>
      </c>
      <c r="D20" s="13">
        <v>292057.40000000002</v>
      </c>
      <c r="E20" s="13">
        <f t="shared" si="4"/>
        <v>43908.573821989994</v>
      </c>
      <c r="F20" s="14">
        <f t="shared" si="5"/>
        <v>0.15034227457338861</v>
      </c>
      <c r="G20" s="15">
        <v>290368</v>
      </c>
      <c r="H20" s="15">
        <f t="shared" si="6"/>
        <v>45597.973821990017</v>
      </c>
      <c r="I20" s="16">
        <f t="shared" si="7"/>
        <v>0.15703512033691736</v>
      </c>
      <c r="J20" s="38" t="s">
        <v>642</v>
      </c>
      <c r="K20" s="70" t="s">
        <v>643</v>
      </c>
      <c r="L20" s="75" t="s">
        <v>560</v>
      </c>
      <c r="M20" s="75" t="s">
        <v>644</v>
      </c>
      <c r="N20" s="75" t="s">
        <v>645</v>
      </c>
      <c r="O20" s="75" t="s">
        <v>646</v>
      </c>
    </row>
    <row r="21" spans="1:15" ht="72">
      <c r="A21" s="28" t="str">
        <v>Nationwide</v>
      </c>
      <c r="B21" s="29" t="str">
        <v>MA</v>
      </c>
      <c r="C21" s="11">
        <v>453817</v>
      </c>
      <c r="D21" s="18">
        <v>487544.8</v>
      </c>
      <c r="E21" s="18">
        <f t="shared" si="4"/>
        <v>-33727.799999999988</v>
      </c>
      <c r="F21" s="52">
        <f t="shared" si="5"/>
        <v>-6.9178873408146269E-2</v>
      </c>
      <c r="G21" s="20">
        <v>459890.6</v>
      </c>
      <c r="H21" s="50">
        <f t="shared" si="6"/>
        <v>-6073.5999999999767</v>
      </c>
      <c r="I21" s="52">
        <f t="shared" si="7"/>
        <v>-1.320661913942137E-2</v>
      </c>
      <c r="J21" s="39" t="s">
        <v>647</v>
      </c>
      <c r="K21" s="72" t="s">
        <v>648</v>
      </c>
      <c r="L21" s="75" t="s">
        <v>649</v>
      </c>
    </row>
    <row r="22" spans="1:15" ht="81" customHeight="1">
      <c r="A22" s="30" t="str">
        <v>Pulpit Hill</v>
      </c>
      <c r="B22" s="27" t="str">
        <v>MA</v>
      </c>
      <c r="C22" s="24">
        <v>737006.75</v>
      </c>
      <c r="D22" s="13">
        <v>712009.2</v>
      </c>
      <c r="E22" s="13">
        <f t="shared" si="4"/>
        <v>24997.550000000047</v>
      </c>
      <c r="F22" s="14">
        <f t="shared" si="5"/>
        <v>3.5108464890622269E-2</v>
      </c>
      <c r="G22" s="15">
        <v>642143.19999999995</v>
      </c>
      <c r="H22" s="15">
        <f t="shared" si="6"/>
        <v>94863.550000000047</v>
      </c>
      <c r="I22" s="16">
        <f t="shared" si="7"/>
        <v>0.14772958741913028</v>
      </c>
      <c r="J22" s="38" t="s">
        <v>650</v>
      </c>
      <c r="K22" s="70" t="s">
        <v>651</v>
      </c>
      <c r="L22" s="75" t="s">
        <v>652</v>
      </c>
    </row>
    <row r="23" spans="1:15" ht="72">
      <c r="A23" s="28" t="str">
        <v>Sandwich</v>
      </c>
      <c r="B23" s="29" t="str">
        <v>MA</v>
      </c>
      <c r="C23" s="11">
        <v>450745</v>
      </c>
      <c r="D23" s="18" t="s">
        <v>24</v>
      </c>
      <c r="E23" s="18" t="str">
        <f t="shared" si="4"/>
        <v/>
      </c>
      <c r="F23" s="52" t="str">
        <f t="shared" si="5"/>
        <v/>
      </c>
      <c r="G23" s="20">
        <v>503184</v>
      </c>
      <c r="H23" s="50">
        <f t="shared" si="6"/>
        <v>-52439</v>
      </c>
      <c r="I23" s="52">
        <f t="shared" si="7"/>
        <v>-0.10421436293681834</v>
      </c>
      <c r="J23" s="39" t="s">
        <v>653</v>
      </c>
      <c r="K23" s="72" t="s">
        <v>654</v>
      </c>
      <c r="L23" s="75" t="s">
        <v>655</v>
      </c>
    </row>
    <row r="24" spans="1:15" ht="115.15">
      <c r="A24" s="55" t="str">
        <v>Sturbridge Barn</v>
      </c>
      <c r="B24" s="27" t="str">
        <v>MA</v>
      </c>
      <c r="C24" s="24">
        <v>162833</v>
      </c>
      <c r="D24" s="13">
        <v>170033.5</v>
      </c>
      <c r="E24" s="13">
        <f t="shared" si="4"/>
        <v>-7200.5</v>
      </c>
      <c r="F24" s="14">
        <f t="shared" si="5"/>
        <v>-4.2347537397042348E-2</v>
      </c>
      <c r="G24" s="15">
        <v>164121.4</v>
      </c>
      <c r="H24" s="15">
        <f t="shared" si="6"/>
        <v>-1288.3999999999942</v>
      </c>
      <c r="I24" s="16">
        <f t="shared" si="7"/>
        <v>-7.8502864343101761E-3</v>
      </c>
      <c r="J24" s="38" t="s">
        <v>656</v>
      </c>
      <c r="K24" s="70" t="s">
        <v>657</v>
      </c>
      <c r="L24" s="75" t="s">
        <v>658</v>
      </c>
      <c r="M24" s="75" t="s">
        <v>659</v>
      </c>
      <c r="N24" s="75" t="s">
        <v>660</v>
      </c>
    </row>
    <row r="25" spans="1:15" ht="15.6">
      <c r="A25" s="28" t="str">
        <v>Sturbridge Garage</v>
      </c>
      <c r="B25" s="29" t="str">
        <v>MA</v>
      </c>
      <c r="C25" s="11">
        <v>78429.5</v>
      </c>
      <c r="D25" s="18">
        <v>81382.039999999994</v>
      </c>
      <c r="E25" s="18">
        <f t="shared" si="4"/>
        <v>-2952.5399999999936</v>
      </c>
      <c r="F25" s="52">
        <f t="shared" si="5"/>
        <v>-3.627999494728805E-2</v>
      </c>
      <c r="G25" s="20">
        <v>80262.8</v>
      </c>
      <c r="H25" s="50">
        <f t="shared" si="6"/>
        <v>-1833.3000000000029</v>
      </c>
      <c r="I25" s="52">
        <f t="shared" si="7"/>
        <v>-2.2841216603457677E-2</v>
      </c>
      <c r="J25" s="39"/>
      <c r="K25" s="39"/>
    </row>
    <row r="26" spans="1:15" ht="28.9">
      <c r="A26" s="30" t="str">
        <v>Halsey Valley</v>
      </c>
      <c r="B26" s="27" t="str">
        <v>NY</v>
      </c>
      <c r="C26" s="24">
        <v>902812</v>
      </c>
      <c r="D26" s="13">
        <v>894808.2</v>
      </c>
      <c r="E26" s="13">
        <f t="shared" si="4"/>
        <v>8003.8000000000466</v>
      </c>
      <c r="F26" s="14">
        <f t="shared" si="5"/>
        <v>8.9447101624683893E-3</v>
      </c>
      <c r="G26" s="15">
        <v>840000</v>
      </c>
      <c r="H26" s="15">
        <f t="shared" si="6"/>
        <v>62812</v>
      </c>
      <c r="I26" s="16">
        <f t="shared" si="7"/>
        <v>7.4776190476190482E-2</v>
      </c>
      <c r="J26" s="38" t="s">
        <v>661</v>
      </c>
      <c r="K26" s="70" t="s">
        <v>662</v>
      </c>
    </row>
    <row r="27" spans="1:15" ht="72">
      <c r="A27" s="28" t="str">
        <v>Hunt Creek</v>
      </c>
      <c r="B27" s="29" t="str">
        <v>NY</v>
      </c>
      <c r="C27" s="11">
        <v>593230.00000000198</v>
      </c>
      <c r="D27" s="18">
        <v>632125.19999999995</v>
      </c>
      <c r="E27" s="18">
        <f t="shared" si="4"/>
        <v>-38895.199999997974</v>
      </c>
      <c r="F27" s="52">
        <f t="shared" si="5"/>
        <v>-6.1530848635678467E-2</v>
      </c>
      <c r="G27" s="20">
        <v>602800</v>
      </c>
      <c r="H27" s="50">
        <f t="shared" si="6"/>
        <v>-9569.9999999980209</v>
      </c>
      <c r="I27" s="52">
        <f t="shared" si="7"/>
        <v>-1.5875912408755841E-2</v>
      </c>
      <c r="J27" s="39" t="s">
        <v>663</v>
      </c>
      <c r="K27" s="72" t="s">
        <v>664</v>
      </c>
      <c r="L27" s="75" t="s">
        <v>665</v>
      </c>
      <c r="M27" s="75" t="s">
        <v>666</v>
      </c>
    </row>
    <row r="28" spans="1:15" ht="15.6">
      <c r="A28" s="30" t="str">
        <v>Smith Creek</v>
      </c>
      <c r="B28" s="27" t="str">
        <v>NY</v>
      </c>
      <c r="C28" s="24">
        <v>664709</v>
      </c>
      <c r="D28" s="13">
        <v>697042.4</v>
      </c>
      <c r="E28" s="13">
        <f t="shared" si="4"/>
        <v>-32333.400000000023</v>
      </c>
      <c r="F28" s="14">
        <f t="shared" si="5"/>
        <v>-4.6386561276616778E-2</v>
      </c>
      <c r="G28" s="15">
        <v>630168</v>
      </c>
      <c r="H28" s="15">
        <f t="shared" si="6"/>
        <v>34541</v>
      </c>
      <c r="I28" s="16">
        <f t="shared" si="7"/>
        <v>5.4812367495651951E-2</v>
      </c>
      <c r="J28" s="38"/>
      <c r="K28" s="38"/>
    </row>
    <row r="29" spans="1:15" ht="39.6">
      <c r="A29" s="28" t="str">
        <v>Bradford - 256 Presidential Dr</v>
      </c>
      <c r="B29" s="29" t="str">
        <v>MA</v>
      </c>
      <c r="C29" s="11">
        <v>722210.27300000004</v>
      </c>
      <c r="D29" s="18" t="s">
        <v>24</v>
      </c>
      <c r="E29" s="18" t="str">
        <f t="shared" si="4"/>
        <v/>
      </c>
      <c r="F29" s="52" t="str">
        <f t="shared" si="5"/>
        <v/>
      </c>
      <c r="G29" s="20">
        <v>763830</v>
      </c>
      <c r="H29" s="50">
        <f t="shared" si="6"/>
        <v>-41619.726999999955</v>
      </c>
      <c r="I29" s="52">
        <f t="shared" si="7"/>
        <v>-5.4488206799942339E-2</v>
      </c>
      <c r="J29" s="39" t="s">
        <v>667</v>
      </c>
      <c r="K29" s="72" t="s">
        <v>668</v>
      </c>
      <c r="L29" s="75" t="s">
        <v>669</v>
      </c>
      <c r="M29" s="75" t="s">
        <v>670</v>
      </c>
    </row>
    <row r="30" spans="1:15" ht="28.9">
      <c r="A30" s="30" t="str">
        <v>Charlton – 111 Brookfield Road - Bus Lot</v>
      </c>
      <c r="B30" s="27" t="str">
        <v>MA</v>
      </c>
      <c r="C30" s="24">
        <v>79705.983999999997</v>
      </c>
      <c r="D30" s="13" t="s">
        <v>24</v>
      </c>
      <c r="E30" s="13" t="str">
        <f t="shared" si="4"/>
        <v/>
      </c>
      <c r="F30" s="14" t="str">
        <f t="shared" si="5"/>
        <v/>
      </c>
      <c r="G30" s="15">
        <v>92000</v>
      </c>
      <c r="H30" s="15">
        <f t="shared" si="6"/>
        <v>-12294.016000000003</v>
      </c>
      <c r="I30" s="16">
        <f t="shared" si="7"/>
        <v>-0.13363060869565221</v>
      </c>
      <c r="J30" s="38" t="s">
        <v>671</v>
      </c>
      <c r="K30" s="70" t="s">
        <v>672</v>
      </c>
    </row>
    <row r="31" spans="1:15" ht="115.15">
      <c r="A31" s="28" t="str">
        <v>Charlton – 154 Center Depot Road KMARD</v>
      </c>
      <c r="B31" s="29" t="str">
        <v>MA</v>
      </c>
      <c r="C31" s="11">
        <v>65400.959999999999</v>
      </c>
      <c r="D31" s="18" t="s">
        <v>24</v>
      </c>
      <c r="E31" s="18" t="str">
        <f t="shared" si="4"/>
        <v/>
      </c>
      <c r="F31" s="52" t="str">
        <f t="shared" si="5"/>
        <v/>
      </c>
      <c r="G31" s="20">
        <v>85300</v>
      </c>
      <c r="H31" s="50">
        <f t="shared" si="6"/>
        <v>-19899.04</v>
      </c>
      <c r="I31" s="52">
        <f t="shared" si="7"/>
        <v>-0.23328300117233294</v>
      </c>
      <c r="J31" s="39" t="s">
        <v>673</v>
      </c>
      <c r="K31" s="72" t="s">
        <v>674</v>
      </c>
      <c r="L31" s="75" t="s">
        <v>675</v>
      </c>
      <c r="M31" s="75" t="s">
        <v>676</v>
      </c>
    </row>
    <row r="32" spans="1:15" ht="57.6">
      <c r="A32" s="30" t="str">
        <v>Charlton – 142A Brookfield Rd (Mitchell)</v>
      </c>
      <c r="B32" s="27" t="str">
        <v>MA</v>
      </c>
      <c r="C32" s="24">
        <v>74189.823999999993</v>
      </c>
      <c r="D32" s="13" t="s">
        <v>24</v>
      </c>
      <c r="E32" s="13" t="str">
        <f t="shared" si="4"/>
        <v/>
      </c>
      <c r="F32" s="14" t="str">
        <f t="shared" si="5"/>
        <v/>
      </c>
      <c r="G32" s="15">
        <v>92072</v>
      </c>
      <c r="H32" s="15">
        <f t="shared" si="6"/>
        <v>-17882.176000000007</v>
      </c>
      <c r="I32" s="16">
        <f t="shared" si="7"/>
        <v>-0.19421948040663836</v>
      </c>
      <c r="J32" s="38" t="s">
        <v>677</v>
      </c>
      <c r="K32" s="70" t="s">
        <v>678</v>
      </c>
      <c r="L32" s="75" t="s">
        <v>503</v>
      </c>
      <c r="M32" s="75" t="s">
        <v>679</v>
      </c>
    </row>
    <row r="33" spans="1:21" ht="158.44999999999999">
      <c r="A33" s="28" t="str">
        <v>Great Barrington – 3 Nolan  Drive</v>
      </c>
      <c r="B33" s="29" t="str">
        <v>MA</v>
      </c>
      <c r="C33" s="11">
        <v>139925.76000000001</v>
      </c>
      <c r="D33" s="18" t="s">
        <v>24</v>
      </c>
      <c r="E33" s="18" t="str">
        <f t="shared" si="4"/>
        <v/>
      </c>
      <c r="F33" s="52" t="str">
        <f t="shared" si="5"/>
        <v/>
      </c>
      <c r="G33" s="20">
        <v>181600</v>
      </c>
      <c r="H33" s="50">
        <f t="shared" si="6"/>
        <v>-41674.239999999991</v>
      </c>
      <c r="I33" s="52">
        <f t="shared" si="7"/>
        <v>-0.22948370044052857</v>
      </c>
      <c r="J33" s="39" t="s">
        <v>680</v>
      </c>
      <c r="K33" s="72" t="s">
        <v>681</v>
      </c>
      <c r="L33" s="75" t="s">
        <v>325</v>
      </c>
      <c r="M33" s="75" t="s">
        <v>454</v>
      </c>
      <c r="N33" s="75" t="s">
        <v>243</v>
      </c>
      <c r="O33" s="75" t="s">
        <v>506</v>
      </c>
      <c r="P33" s="75" t="s">
        <v>596</v>
      </c>
      <c r="Q33" s="75" t="s">
        <v>597</v>
      </c>
      <c r="R33" s="75" t="s">
        <v>682</v>
      </c>
      <c r="S33" s="75" t="s">
        <v>683</v>
      </c>
      <c r="T33" s="75" t="s">
        <v>684</v>
      </c>
      <c r="U33" s="75" t="s">
        <v>685</v>
      </c>
    </row>
    <row r="34" spans="1:21" ht="158.44999999999999">
      <c r="A34" s="55" t="str">
        <v>Stockbridge – 92 State Line Road Truck Stop</v>
      </c>
      <c r="B34" s="27" t="str">
        <v>MA</v>
      </c>
      <c r="C34" s="24">
        <v>205454.10399999999</v>
      </c>
      <c r="D34" s="13" t="s">
        <v>24</v>
      </c>
      <c r="E34" s="13" t="str">
        <f t="shared" si="4"/>
        <v/>
      </c>
      <c r="F34" s="14" t="str">
        <f t="shared" si="5"/>
        <v/>
      </c>
      <c r="G34" s="15">
        <v>362100</v>
      </c>
      <c r="H34" s="15">
        <f t="shared" si="6"/>
        <v>-156645.89600000001</v>
      </c>
      <c r="I34" s="16">
        <f t="shared" si="7"/>
        <v>-0.43260396575531623</v>
      </c>
      <c r="J34" s="38" t="s">
        <v>686</v>
      </c>
      <c r="K34" s="70" t="s">
        <v>687</v>
      </c>
      <c r="L34" s="75" t="s">
        <v>602</v>
      </c>
      <c r="M34" s="75" t="s">
        <v>688</v>
      </c>
      <c r="N34" s="75" t="s">
        <v>689</v>
      </c>
      <c r="O34" s="75" t="s">
        <v>690</v>
      </c>
      <c r="P34" s="75" t="s">
        <v>691</v>
      </c>
      <c r="Q34" s="75" t="s">
        <v>692</v>
      </c>
      <c r="R34" s="75" t="s">
        <v>693</v>
      </c>
    </row>
    <row r="35" spans="1:21" ht="100.9">
      <c r="A35" s="28" t="str">
        <v>NY: New Windsor - Moores Hill</v>
      </c>
      <c r="B35" s="29" t="str">
        <v>NY</v>
      </c>
      <c r="C35" s="11">
        <v>349057.77895625</v>
      </c>
      <c r="D35" s="18">
        <v>376818.3</v>
      </c>
      <c r="E35" s="18">
        <f t="shared" si="4"/>
        <v>-27760.521043749992</v>
      </c>
      <c r="F35" s="52">
        <f t="shared" si="5"/>
        <v>-7.3670840943101737E-2</v>
      </c>
      <c r="G35" s="20">
        <v>364100</v>
      </c>
      <c r="H35" s="50">
        <f t="shared" si="6"/>
        <v>-15042.221043750003</v>
      </c>
      <c r="I35" s="52">
        <f t="shared" si="7"/>
        <v>-4.1313433242927779E-2</v>
      </c>
      <c r="J35" s="39" t="s">
        <v>694</v>
      </c>
      <c r="K35" s="72" t="s">
        <v>604</v>
      </c>
      <c r="L35" s="75" t="s">
        <v>605</v>
      </c>
      <c r="M35" s="75" t="s">
        <v>515</v>
      </c>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7947" xr:uid="{2249857E-DB3A-484A-BE17-EA7E3B089460}"/>
    <hyperlink ref="K5" r:id="rId2" display="https://us3.assetplanner.com/service_request?ID=107560" xr:uid="{05E9A18F-4F21-441C-AF66-B693AADED553}"/>
    <hyperlink ref="L5" r:id="rId3" display="https://us3.assetplanner.com/service_request?ID=101404" xr:uid="{5188C3FF-2794-49C5-A0A9-CE6D1E6BCAD6}"/>
    <hyperlink ref="K6" r:id="rId4" display="https://us3.assetplanner.com/service_request?ID=104474" xr:uid="{9147658F-388D-472A-9AE3-15A5AF4FFC95}"/>
    <hyperlink ref="L6" r:id="rId5" display="https://us3.assetplanner.com/service_request?ID=104730" xr:uid="{4F9FEDBE-226E-4EF3-8AF7-520544217D4B}"/>
    <hyperlink ref="M6" r:id="rId6" display="https://us3.assetplanner.com/service_request?ID=108793" xr:uid="{945C9C94-AC6A-4690-B54A-00FEED6F42F0}"/>
    <hyperlink ref="N6" r:id="rId7" display="https://us3.assetplanner.com/service_request?ID=107482" xr:uid="{6E38E369-62C1-442E-AE6C-55B04774F6E4}"/>
    <hyperlink ref="O6" r:id="rId8" display="https://us3.assetplanner.com/service_request?ID=106597" xr:uid="{8374A3DE-3A2D-44C5-B8FC-4538DC2ECEFE}"/>
    <hyperlink ref="K7" r:id="rId9" display="https://us3.assetplanner.com/service_request?ID=100021" xr:uid="{28EAA798-8962-4839-AD9D-F646EBAFEC81}"/>
    <hyperlink ref="K8" r:id="rId10" display="https://us3.assetplanner.com/service_request?ID=108267" xr:uid="{768BDE6D-589C-497E-9D9B-1C69AB05A7F9}"/>
    <hyperlink ref="K9" r:id="rId11" display="https://us3.assetplanner.com/service_request?ID=107215" xr:uid="{1CBAF83C-3A0E-4B08-A962-F84ACEA4EE0D}"/>
    <hyperlink ref="L9" r:id="rId12" display="https://us3.assetplanner.com/service_request?ID=106665" xr:uid="{6E1E170F-D437-461A-9455-2080CDF1336E}"/>
    <hyperlink ref="M9" r:id="rId13" display="https://us3.assetplanner.com/service_request?ID=106665" xr:uid="{446F398B-9676-4DF4-8ADF-26BD3E5F58C0}"/>
    <hyperlink ref="N9" r:id="rId14" display="https://us3.assetplanner.com/service_request?ID=107886" xr:uid="{F674246E-5C5E-49B2-AECE-10427643CE05}"/>
    <hyperlink ref="O9" r:id="rId15" display="https://us3.assetplanner.com/service_request?ID=108252" xr:uid="{AC30C499-52D8-4283-BFA3-EE0FBC6E853B}"/>
    <hyperlink ref="P9" r:id="rId16" display="https://us3.assetplanner.com/service_request?ID=108326" xr:uid="{154A0B94-6953-4912-96DC-7249F7FB80AE}"/>
    <hyperlink ref="Q9" r:id="rId17" display="https://us3.assetplanner.com/service_request?ID=106665" xr:uid="{743C8D78-7117-4C10-A5A0-A19ECF188E39}"/>
    <hyperlink ref="R9" r:id="rId18" display="https://us3.assetplanner.com/service_request?ID=108702" xr:uid="{0ECC73AF-A6B9-428E-A938-412335ECF10D}"/>
    <hyperlink ref="K10" r:id="rId19" display="https://us3.assetplanner.com/service_request?ID=107559" xr:uid="{A63E95C6-01BC-4ADF-802E-0A9471FD8F78}"/>
    <hyperlink ref="L10" r:id="rId20" display="https://us3.assetplanner.com/service_request?ID=107590" xr:uid="{4CE7D679-5F90-455D-AC3A-85C9EB5DA8C5}"/>
    <hyperlink ref="K11" r:id="rId21" display="https://us3.assetplanner.com/service_request?ID=108313" xr:uid="{438C3CA7-7117-41BF-B222-153A1942867E}"/>
    <hyperlink ref="L11" r:id="rId22" display="https://us3.assetplanner.com/service_request?ID=103565" xr:uid="{9B4E254A-D901-48EA-9722-C029A59A812C}"/>
    <hyperlink ref="K12" r:id="rId23" display="https://us3.assetplanner.com/service_request?ID=103282" xr:uid="{E3D4D8B8-A1FA-42BE-B678-3798B75FF377}"/>
    <hyperlink ref="L12" r:id="rId24" display="https://us3.assetplanner.com/service_request?ID=107298" xr:uid="{AFC1A500-0F61-4E45-90DE-FFC6B0A9B171}"/>
    <hyperlink ref="M12" r:id="rId25" display="https://us3.assetplanner.com/service_request?ID=106834" xr:uid="{97CD64F7-18F0-41C0-8089-0F39248D9161}"/>
    <hyperlink ref="N12" r:id="rId26" display="https://us3.assetplanner.com/service_request?ID=108489" xr:uid="{295F916B-F901-4599-863D-52C35164C71F}"/>
    <hyperlink ref="K13" r:id="rId27" display="https://us3.assetplanner.com/service_request?ID=107940" xr:uid="{7D0F1B89-353A-4720-B0EE-E6B34789034D}"/>
    <hyperlink ref="L13" r:id="rId28" display="https://us3.assetplanner.com/service_request?ID=108490" xr:uid="{36F41B9C-34E1-4709-A7C2-D21F0DC0C3BC}"/>
    <hyperlink ref="K15" r:id="rId29" display="https://us3.assetplanner.com/service_request?ID=103728" xr:uid="{CB061139-645F-4EDF-92B1-F5B783F19AC5}"/>
    <hyperlink ref="L15" r:id="rId30" display="https://us3.assetplanner.com/service_request?ID=103770" xr:uid="{F35A8505-1434-4E5E-A101-1FFDE579CF71}"/>
    <hyperlink ref="K18" r:id="rId31" display="https://us3.assetplanner.com/service_request?ID=105297" xr:uid="{D4FC172B-5903-4567-8FFF-36AD327D04AA}"/>
    <hyperlink ref="K19" r:id="rId32" display="https://us3.assetplanner.com/service_request?ID=097795" xr:uid="{DC295C72-2BC0-4901-99AF-9D79A9B2E089}"/>
    <hyperlink ref="L19" r:id="rId33" display="https://us3.assetplanner.com/service_request?ID=101921" xr:uid="{C6E4ACBA-24BC-405E-BD95-B3418EA7DD6F}"/>
    <hyperlink ref="M19" r:id="rId34" display="https://us3.assetplanner.com/service_request?ID=107728" xr:uid="{E663AAD3-07B3-499E-A275-4DF224E73872}"/>
    <hyperlink ref="N19" r:id="rId35" display="https://us3.assetplanner.com/service_request?ID=108585" xr:uid="{A9BD3ADF-D5DA-4988-B106-0536F403D962}"/>
    <hyperlink ref="K20" r:id="rId36" display="https://us3.assetplanner.com/service_request?ID=106982" xr:uid="{E8AC8205-6520-4481-8392-DEF63EDB6D74}"/>
    <hyperlink ref="L20" r:id="rId37" display="https://us3.assetplanner.com/service_request?ID=106982" xr:uid="{594D6F6F-7093-44C5-9991-1AA15EB294D0}"/>
    <hyperlink ref="M20" r:id="rId38" display="https://us3.assetplanner.com/service_request?ID=107488" xr:uid="{222C5341-841D-4DF6-B672-BD19E35C4792}"/>
    <hyperlink ref="N20" r:id="rId39" display="https://us3.assetplanner.com/service_request?ID=107557" xr:uid="{2335F024-6EA0-4D8A-8464-45F1248165D3}"/>
    <hyperlink ref="O20" r:id="rId40" display="https://us3.assetplanner.com/service_request?ID=107942" xr:uid="{617A0C66-E593-46E6-B7B1-49E730FB8A11}"/>
    <hyperlink ref="K21" r:id="rId41" display="https://us3.assetplanner.com/service_request?ID=107577" xr:uid="{5B9BA82E-005B-4939-9417-EC301601E820}"/>
    <hyperlink ref="L21" r:id="rId42" display="https://us3.assetplanner.com/service_request?ID=107644" xr:uid="{07E99E5F-C093-4082-A40C-BE097D06ABB7}"/>
    <hyperlink ref="K22" r:id="rId43" display="https://us3.assetplanner.com/service_request?ID=107558" xr:uid="{91472D41-76A6-4656-996E-3EBD5F5C5531}"/>
    <hyperlink ref="L22" r:id="rId44" display="https://us3.assetplanner.com/service_request?ID=107589" xr:uid="{CE699577-132A-45C3-BC66-2EE38C5ED657}"/>
    <hyperlink ref="K23" r:id="rId45" display="https://us3.assetplanner.com/service_request?ID=107927" xr:uid="{E197B0DE-DE29-47EE-A28C-A02326AF7936}"/>
    <hyperlink ref="L23" r:id="rId46" display="https://us3.assetplanner.com/service_request?ID=108457" xr:uid="{0D9E5578-1EED-4D1A-9230-5344686C52CA}"/>
    <hyperlink ref="K24" r:id="rId47" display="https://us3.assetplanner.com/service_request?ID=107720" xr:uid="{87809A46-BC95-4C6B-B4B5-79D8BB0556C1}"/>
    <hyperlink ref="L24" r:id="rId48" display="https://us3.assetplanner.com/service_request?ID=107721" xr:uid="{A3660551-E0DF-481E-ABD8-40669F420C1A}"/>
    <hyperlink ref="M24" r:id="rId49" display="https://us3.assetplanner.com/service_request?ID=107898" xr:uid="{65EF3A2D-4C1D-4808-8544-5CA5DCD071A3}"/>
    <hyperlink ref="N24" r:id="rId50" display="https://us3.assetplanner.com/service_request?ID=108586" xr:uid="{65006926-705B-4614-9717-71F2C46CC2FC}"/>
    <hyperlink ref="K26" r:id="rId51" display="https://us3.assetplanner.com/service_request?ID=107550" xr:uid="{315BADE0-CAB6-4F52-ADCA-C2A78DBBC8C8}"/>
    <hyperlink ref="K27" r:id="rId52" display="https://us3.assetplanner.com/service_request?ID=094254" xr:uid="{3F8CC388-EC7D-404E-B415-361CE10596BB}"/>
    <hyperlink ref="L27" r:id="rId53" display="https://us3.assetplanner.com/service_request?ID=107692" xr:uid="{A07CEDAB-C07D-4F51-BD09-BB1FC723A33F}"/>
    <hyperlink ref="M27" r:id="rId54" display="https://us3.assetplanner.com/service_request?ID=108340" xr:uid="{984770C9-D7BC-46CA-8DF9-0D6FA0086F37}"/>
    <hyperlink ref="K29" r:id="rId55" display="https://us3.assetplanner.com/service_request?ID=103781" xr:uid="{90546C1B-4AFF-4B8C-B5B8-1C9749607D7B}"/>
    <hyperlink ref="L29" r:id="rId56" display="https://us3.assetplanner.com/service_request?ID=107959" xr:uid="{30395383-3F64-472E-A3E3-7B0900DFD41B}"/>
    <hyperlink ref="M29" r:id="rId57" display="https://us3.assetplanner.com/service_request?ID=108028" xr:uid="{7657EB33-C7B9-47CC-8BEE-DF71F63E3FA5}"/>
    <hyperlink ref="K30" r:id="rId58" display="https://us3.assetplanner.com/service_request?ID=107903" xr:uid="{F303D68F-E57D-43C6-A7CD-2629EE3424C7}"/>
    <hyperlink ref="K31" r:id="rId59" display="https://us3.assetplanner.com/service_request?ID=107396" xr:uid="{5F3BE81E-8B80-4885-8945-A9B489A13E69}"/>
    <hyperlink ref="L31" r:id="rId60" display="https://us3.assetplanner.com/service_request?ID=107905" xr:uid="{09E45DFC-1235-4FA0-B757-F3D6A0D15675}"/>
    <hyperlink ref="M31" r:id="rId61" display="https://us3.assetplanner.com/service_request?ID=108616" xr:uid="{04E8175B-38F5-4BAB-B544-96B5171E04EA}"/>
    <hyperlink ref="K32" r:id="rId62" display="https://us3.assetplanner.com/service_request?ID=104528" xr:uid="{5CF6A133-4F2A-4111-A4E2-0B70430A42D8}"/>
    <hyperlink ref="L32" r:id="rId63" display="https://us3.assetplanner.com/service_request?ID=104686" xr:uid="{46F2A106-71F9-489D-80AF-319605E4DF66}"/>
    <hyperlink ref="M32" r:id="rId64" display="https://us3.assetplanner.com/service_request?ID=107397" xr:uid="{EDF6C31E-F871-4C06-AE26-D8491E83626B}"/>
    <hyperlink ref="K33" r:id="rId65" display="https://us3.assetplanner.com/service_request?ID=099815" xr:uid="{3D5D68D3-F156-4D58-8B5D-5241AD117964}"/>
    <hyperlink ref="L33" r:id="rId66" display="https://us3.assetplanner.com/service_request?ID=099920" xr:uid="{8E9EB6E2-4A91-498F-88B7-0D723862BBDB}"/>
    <hyperlink ref="M33" r:id="rId67" display="https://us3.assetplanner.com/service_request?ID=103531" xr:uid="{01191415-BAD5-4724-B499-8B68936F846C}"/>
    <hyperlink ref="N33" r:id="rId68" display="https://us3.assetplanner.com/service_request?ID=098468" xr:uid="{D9504D2E-9BB7-4729-92E4-903B864D1FF9}"/>
    <hyperlink ref="O33" r:id="rId69" display="https://us3.assetplanner.com/service_request?ID=104024" xr:uid="{68FC4E8A-698F-4FDA-AA6B-A94213D29D24}"/>
    <hyperlink ref="P33" r:id="rId70" display="https://us3.assetplanner.com/service_request?ID=105724" xr:uid="{8393C2FE-B37B-4424-9103-FF3A0D8422D9}"/>
    <hyperlink ref="Q33" r:id="rId71" display="https://us3.assetplanner.com/service_request?ID=105808" xr:uid="{BC65DE08-A955-4F0B-9A03-85BBE45FBE3F}"/>
    <hyperlink ref="R33" r:id="rId72" display="https://us3.assetplanner.com/service_request?ID=107262" xr:uid="{0F42BBD9-BB9B-4D8D-A380-CC2E2192F2E5}"/>
    <hyperlink ref="S33" r:id="rId73" display="https://us3.assetplanner.com/service_request?ID=107778" xr:uid="{9284F8CA-172C-46D0-80D3-98CC774D4011}"/>
    <hyperlink ref="T33" r:id="rId74" display="https://us3.assetplanner.com/service_request?ID=107912" xr:uid="{1A22F594-487A-441A-91BB-4ED7005570A7}"/>
    <hyperlink ref="U33" r:id="rId75" display="https://us3.assetplanner.com/service_request?ID=108646" xr:uid="{F2F42341-BE60-4185-8E9F-91144AACBFD5}"/>
    <hyperlink ref="K34" r:id="rId76" display="https://us3.assetplanner.com/service_request?ID=107395" xr:uid="{6A71438A-CDFC-47D4-8CE9-2945F7531B5C}"/>
    <hyperlink ref="L34" r:id="rId77" display="https://us3.assetplanner.com/service_request?ID=107218" xr:uid="{6E02988A-B1FD-42D2-BF9C-02C68BA6C648}"/>
    <hyperlink ref="M34" r:id="rId78" display="https://us3.assetplanner.com/service_request?ID=105747" xr:uid="{207403D0-07CB-432A-AC7E-A769909522A5}"/>
    <hyperlink ref="N34" r:id="rId79" display="https://us3.assetplanner.com/service_request?ID=107616" xr:uid="{2A58ADDD-0CB3-435C-AAB9-9830691B1BFF}"/>
    <hyperlink ref="O34" r:id="rId80" display="https://us3.assetplanner.com/service_request?ID=108238" xr:uid="{F416DC70-ABF1-49F4-B1B1-DF2B59806680}"/>
    <hyperlink ref="P34" r:id="rId81" display="https://us3.assetplanner.com/service_request?ID=108618" xr:uid="{8AE5BD1B-7D2C-4B91-8AE4-39E39B991C44}"/>
    <hyperlink ref="Q34" r:id="rId82" display="https://us3.assetplanner.com/service_request?ID=108746" xr:uid="{D05C4F74-8330-4B45-BAC2-2E58E3F2E57A}"/>
    <hyperlink ref="R34" r:id="rId83" display="https://us3.assetplanner.com/service_request?ID=108493" xr:uid="{92E1D376-F36D-4009-A770-05B220DD4304}"/>
    <hyperlink ref="K35" r:id="rId84" display="https://us3.assetplanner.com/service_request?ID=105950" xr:uid="{36341D7A-6A48-4F28-89E3-C971C9A50F8C}"/>
    <hyperlink ref="L35" r:id="rId85" display="https://us3.assetplanner.com/service_request?ID=106216" xr:uid="{1590FD01-E932-4184-8B87-DF7969526159}"/>
    <hyperlink ref="M35" r:id="rId86" display="https://us3.assetplanner.com/service_request?ID=107288" xr:uid="{7034F997-5049-467D-98E9-C57E375C04C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AC345"/>
  <sheetViews>
    <sheetView zoomScale="60" zoomScaleNormal="60" workbookViewId="0">
      <pane xSplit="2" ySplit="3" topLeftCell="C23" activePane="bottomRight" state="frozen"/>
      <selection pane="bottomRight" activeCell="K29" sqref="K29:O29"/>
      <selection pane="bottomLeft" activeCell="J38" sqref="J38"/>
      <selection pane="topRight" activeCell="J38" sqref="J38"/>
    </sheetView>
  </sheetViews>
  <sheetFormatPr defaultRowHeight="14.25" customHeight="1"/>
  <cols>
    <col min="1" max="1" width="35.85546875" style="92"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91.7109375" style="97" customWidth="1"/>
    <col min="11" max="11" width="22.42578125" style="105" customWidth="1"/>
    <col min="12" max="12" width="15.140625" style="105" customWidth="1"/>
    <col min="13" max="29" width="8.85546875" style="74"/>
  </cols>
  <sheetData>
    <row r="1" spans="1:16" ht="19.5" customHeight="1">
      <c r="A1" s="112" t="str" cm="1">
        <f t="array" ref="A1">portfolio</f>
        <v>Lodestar</v>
      </c>
      <c r="B1" s="112"/>
      <c r="C1" s="112"/>
      <c r="D1" s="113" t="s">
        <v>695</v>
      </c>
      <c r="E1" s="113"/>
      <c r="F1" s="113"/>
      <c r="G1" s="111" t="s">
        <v>696</v>
      </c>
      <c r="H1" s="111"/>
      <c r="I1" s="111"/>
      <c r="J1" s="93"/>
      <c r="K1" s="101"/>
    </row>
    <row r="2" spans="1:16" ht="19.5" customHeight="1">
      <c r="A2" s="114" t="s">
        <v>2</v>
      </c>
      <c r="B2" s="114"/>
      <c r="C2" s="5">
        <f>SUM(C4:C103)</f>
        <v>7772738.2768300008</v>
      </c>
      <c r="D2" s="5">
        <f>SUM(D4:D103)</f>
        <v>6234266.5</v>
      </c>
      <c r="E2" s="5">
        <f>C2-D2</f>
        <v>1538471.7768300008</v>
      </c>
      <c r="F2" s="6">
        <f>IFERROR(E2/D2, 0)</f>
        <v>0.24677671011176708</v>
      </c>
      <c r="G2" s="5">
        <f>SUM(G4:G103)</f>
        <v>7121773.8979999991</v>
      </c>
      <c r="H2" s="7">
        <f>C2-G2</f>
        <v>650964.37883000169</v>
      </c>
      <c r="I2" s="6">
        <f>IFERROR(H2/G2, 0)</f>
        <v>9.1404808430215881E-2</v>
      </c>
      <c r="J2" s="94" t="str">
        <f ca="1">IF(AND(TODAY()&gt;DATE(2024, 10, 1), COUNTA(Sites[Site])&lt;&gt;(COUNT(C:C)-1)), "Some sites are missing actual data; if new sites were added, make sure they are aligned correctly (including prior months!)", "")</f>
        <v/>
      </c>
      <c r="K2" s="101"/>
    </row>
    <row r="3" spans="1:16" ht="14.25" customHeight="1">
      <c r="A3" s="90" t="s">
        <v>3</v>
      </c>
      <c r="B3" s="8" t="s">
        <v>4</v>
      </c>
      <c r="C3" s="23" t="s">
        <v>5</v>
      </c>
      <c r="D3" s="33" t="s">
        <v>6</v>
      </c>
      <c r="E3" s="33" t="s">
        <v>7</v>
      </c>
      <c r="F3" s="34" t="s">
        <v>8</v>
      </c>
      <c r="G3" s="35" t="s">
        <v>9</v>
      </c>
      <c r="H3" s="36" t="s">
        <v>7</v>
      </c>
      <c r="I3" s="37" t="s">
        <v>8</v>
      </c>
      <c r="J3" s="95" t="s">
        <v>20</v>
      </c>
      <c r="K3" s="102" t="s">
        <v>21</v>
      </c>
      <c r="L3" s="102" t="s">
        <v>697</v>
      </c>
    </row>
    <row r="4" spans="1:16" ht="62.25" customHeight="1">
      <c r="A4" s="91" t="str" cm="1">
        <f t="array" ref="A4:A35">Sites[Site]</f>
        <v>Barkhamsted</v>
      </c>
      <c r="B4" s="27" t="str" cm="1">
        <f t="array" ref="B4:B35">Sites[State]</f>
        <v>CT</v>
      </c>
      <c r="C4" s="24">
        <v>138491</v>
      </c>
      <c r="D4" s="13">
        <v>155364</v>
      </c>
      <c r="E4" s="13">
        <f>IF(AND(ISNUMBER(C4),ISNUMBER(D4)), C4-D4, "")</f>
        <v>-16873</v>
      </c>
      <c r="F4" s="14">
        <f>IFERROR(E4/D4, "")</f>
        <v>-0.10860302257923328</v>
      </c>
      <c r="G4" s="15">
        <v>132521.20000000001</v>
      </c>
      <c r="H4" s="15">
        <f>IF(AND(ISNUMBER(C4),ISNUMBER(G4)), C4-G4, "")</f>
        <v>5969.7999999999884</v>
      </c>
      <c r="I4" s="16">
        <f>IFERROR(H4/G4, "")</f>
        <v>4.5047886677754112E-2</v>
      </c>
      <c r="J4" s="96" t="s">
        <v>698</v>
      </c>
      <c r="K4" s="70" t="s">
        <v>699</v>
      </c>
      <c r="L4" s="96" t="s">
        <v>700</v>
      </c>
      <c r="M4" s="75" t="s">
        <v>701</v>
      </c>
    </row>
    <row r="5" spans="1:16" ht="57.6">
      <c r="A5" s="115" t="str">
        <v>Bunce</v>
      </c>
      <c r="B5" s="29" t="str">
        <v>CT</v>
      </c>
      <c r="C5" s="11">
        <v>260255</v>
      </c>
      <c r="D5" s="18">
        <v>183363</v>
      </c>
      <c r="E5" s="18">
        <f t="shared" ref="E5:E14" si="0">IF(AND(ISNUMBER(C5),ISNUMBER(D5)), C5-D5, "")</f>
        <v>76892</v>
      </c>
      <c r="F5" s="19">
        <f>IFERROR(E5/D5, "")</f>
        <v>0.41934305176071507</v>
      </c>
      <c r="G5" s="20">
        <v>0</v>
      </c>
      <c r="H5" s="20">
        <f t="shared" ref="H5:H14" si="1">IF(AND(ISNUMBER(C5),ISNUMBER(G5)), C5-G5, "")</f>
        <v>260255</v>
      </c>
      <c r="I5" s="19" t="str">
        <f t="shared" ref="I5:I14" si="2">IFERROR(H5/G5, "")</f>
        <v/>
      </c>
      <c r="J5" s="116" t="s">
        <v>702</v>
      </c>
      <c r="K5" s="72" t="s">
        <v>703</v>
      </c>
      <c r="L5" s="117" t="s">
        <v>704</v>
      </c>
      <c r="M5" s="75" t="s">
        <v>705</v>
      </c>
    </row>
    <row r="6" spans="1:16" ht="115.5" customHeight="1">
      <c r="A6" s="91" t="str">
        <v>Norcap North</v>
      </c>
      <c r="B6" s="27" t="str">
        <v>CT</v>
      </c>
      <c r="C6" s="24">
        <v>277628</v>
      </c>
      <c r="D6" s="13">
        <v>319574.2</v>
      </c>
      <c r="E6" s="13">
        <f t="shared" si="0"/>
        <v>-41946.200000000012</v>
      </c>
      <c r="F6" s="14">
        <f t="shared" ref="F6:F14" si="3">IFERROR(E6/D6, "")</f>
        <v>-0.13125652821785991</v>
      </c>
      <c r="G6" s="15">
        <v>260010.4</v>
      </c>
      <c r="H6" s="15">
        <f t="shared" si="1"/>
        <v>17617.600000000006</v>
      </c>
      <c r="I6" s="16">
        <f t="shared" si="2"/>
        <v>6.7757289708411689E-2</v>
      </c>
      <c r="J6" s="96" t="s">
        <v>706</v>
      </c>
      <c r="K6" s="70" t="s">
        <v>707</v>
      </c>
      <c r="L6" s="96" t="s">
        <v>708</v>
      </c>
      <c r="M6" s="75" t="s">
        <v>524</v>
      </c>
      <c r="N6" s="75" t="s">
        <v>615</v>
      </c>
      <c r="O6" s="75" t="s">
        <v>526</v>
      </c>
    </row>
    <row r="7" spans="1:16" ht="36.75" customHeight="1">
      <c r="A7" s="115" t="str">
        <v>Norcap South</v>
      </c>
      <c r="B7" s="29" t="str">
        <v>CT</v>
      </c>
      <c r="C7" s="11">
        <v>302878</v>
      </c>
      <c r="D7" s="18">
        <v>344129.2</v>
      </c>
      <c r="E7" s="18">
        <f t="shared" si="0"/>
        <v>-41251.200000000012</v>
      </c>
      <c r="F7" s="19">
        <f t="shared" si="3"/>
        <v>-0.11987125765555498</v>
      </c>
      <c r="G7" s="20">
        <v>249144.5</v>
      </c>
      <c r="H7" s="20">
        <f t="shared" si="1"/>
        <v>53733.5</v>
      </c>
      <c r="I7" s="19">
        <f t="shared" si="2"/>
        <v>0.21567202968558408</v>
      </c>
      <c r="J7" s="118" t="s">
        <v>709</v>
      </c>
      <c r="K7" s="72" t="s">
        <v>710</v>
      </c>
      <c r="L7" s="117" t="s">
        <v>711</v>
      </c>
    </row>
    <row r="8" spans="1:16" ht="57.75" customHeight="1">
      <c r="A8" s="91" t="str">
        <v>Platt Hill</v>
      </c>
      <c r="B8" s="27" t="str">
        <v>CT</v>
      </c>
      <c r="C8" s="24">
        <v>317455</v>
      </c>
      <c r="D8" s="13">
        <v>319555.7</v>
      </c>
      <c r="E8" s="13">
        <f t="shared" si="0"/>
        <v>-2100.7000000000116</v>
      </c>
      <c r="F8" s="14">
        <f t="shared" si="3"/>
        <v>-6.5738148310294934E-3</v>
      </c>
      <c r="G8" s="15">
        <v>275343.90000000002</v>
      </c>
      <c r="H8" s="15">
        <f t="shared" si="1"/>
        <v>42111.099999999977</v>
      </c>
      <c r="I8" s="16">
        <f t="shared" si="2"/>
        <v>0.15294001428758716</v>
      </c>
      <c r="J8" s="96" t="s">
        <v>712</v>
      </c>
      <c r="K8" s="70" t="s">
        <v>713</v>
      </c>
      <c r="L8" s="96" t="s">
        <v>711</v>
      </c>
    </row>
    <row r="9" spans="1:16" ht="72">
      <c r="A9" s="115" t="str">
        <v>Powder Hill</v>
      </c>
      <c r="B9" s="29" t="str">
        <v>CT</v>
      </c>
      <c r="C9" s="11">
        <v>249994</v>
      </c>
      <c r="D9" s="18">
        <v>279218.5</v>
      </c>
      <c r="E9" s="18">
        <f t="shared" si="0"/>
        <v>-29224.5</v>
      </c>
      <c r="F9" s="19">
        <f t="shared" si="3"/>
        <v>-0.10466534273337906</v>
      </c>
      <c r="G9" s="20">
        <v>189168</v>
      </c>
      <c r="H9" s="20">
        <f t="shared" si="1"/>
        <v>60826</v>
      </c>
      <c r="I9" s="19">
        <f t="shared" si="2"/>
        <v>0.32154487016831601</v>
      </c>
      <c r="J9" s="118" t="s">
        <v>714</v>
      </c>
      <c r="K9" s="72" t="s">
        <v>715</v>
      </c>
      <c r="L9" s="117" t="s">
        <v>716</v>
      </c>
      <c r="M9" s="75" t="s">
        <v>717</v>
      </c>
    </row>
    <row r="10" spans="1:16" ht="14.45">
      <c r="A10" s="91" t="str">
        <v>Sand Road</v>
      </c>
      <c r="B10" s="27" t="str">
        <v>CT</v>
      </c>
      <c r="C10" s="24">
        <v>297607</v>
      </c>
      <c r="D10" s="13">
        <v>277088.40000000002</v>
      </c>
      <c r="E10" s="13">
        <f t="shared" si="0"/>
        <v>20518.599999999977</v>
      </c>
      <c r="F10" s="14">
        <f t="shared" si="3"/>
        <v>7.4050736154959843E-2</v>
      </c>
      <c r="G10" s="15">
        <v>190297</v>
      </c>
      <c r="H10" s="15">
        <f t="shared" si="1"/>
        <v>107310</v>
      </c>
      <c r="I10" s="16">
        <f t="shared" si="2"/>
        <v>0.5639079964476581</v>
      </c>
      <c r="J10" s="96" t="s">
        <v>718</v>
      </c>
      <c r="K10" s="70" t="s">
        <v>719</v>
      </c>
      <c r="L10" s="96" t="s">
        <v>720</v>
      </c>
    </row>
    <row r="11" spans="1:16" ht="43.15">
      <c r="A11" s="115" t="str">
        <v>Suffield</v>
      </c>
      <c r="B11" s="29" t="str">
        <v>CT</v>
      </c>
      <c r="C11" s="11">
        <v>287019.00839999999</v>
      </c>
      <c r="D11" s="18">
        <v>250148.9</v>
      </c>
      <c r="E11" s="18">
        <f t="shared" si="0"/>
        <v>36870.108399999997</v>
      </c>
      <c r="F11" s="19">
        <f t="shared" si="3"/>
        <v>0.14739264653972092</v>
      </c>
      <c r="G11" s="20">
        <v>248952.1</v>
      </c>
      <c r="H11" s="20">
        <f t="shared" si="1"/>
        <v>38066.908399999986</v>
      </c>
      <c r="I11" s="19">
        <f t="shared" si="2"/>
        <v>0.15290856514164766</v>
      </c>
      <c r="J11" s="118" t="s">
        <v>721</v>
      </c>
      <c r="K11" s="72" t="s">
        <v>722</v>
      </c>
      <c r="L11" s="117" t="s">
        <v>723</v>
      </c>
      <c r="M11" s="75" t="s">
        <v>630</v>
      </c>
    </row>
    <row r="12" spans="1:16" ht="61.5" customHeight="1">
      <c r="A12" s="91" t="str">
        <v>Ashby-Duffy</v>
      </c>
      <c r="B12" s="27" t="str">
        <v>MA</v>
      </c>
      <c r="C12" s="24">
        <v>278830</v>
      </c>
      <c r="D12" s="13">
        <v>346551.4</v>
      </c>
      <c r="E12" s="13">
        <f t="shared" si="0"/>
        <v>-67721.400000000023</v>
      </c>
      <c r="F12" s="14">
        <f t="shared" si="3"/>
        <v>-0.19541516785100282</v>
      </c>
      <c r="G12" s="15">
        <v>262568.2</v>
      </c>
      <c r="H12" s="15">
        <f t="shared" si="1"/>
        <v>16261.799999999988</v>
      </c>
      <c r="I12" s="16">
        <f t="shared" si="2"/>
        <v>6.1933623340526336E-2</v>
      </c>
      <c r="J12" s="96" t="s">
        <v>724</v>
      </c>
      <c r="K12" s="70" t="s">
        <v>725</v>
      </c>
      <c r="L12" s="96" t="s">
        <v>700</v>
      </c>
      <c r="M12" s="75" t="s">
        <v>726</v>
      </c>
    </row>
    <row r="13" spans="1:16" ht="72">
      <c r="A13" s="115" t="str">
        <v>Ashland</v>
      </c>
      <c r="B13" s="29" t="str">
        <v>MA</v>
      </c>
      <c r="C13" s="11">
        <v>243315</v>
      </c>
      <c r="D13" s="18">
        <v>276495</v>
      </c>
      <c r="E13" s="18">
        <f t="shared" si="0"/>
        <v>-33180</v>
      </c>
      <c r="F13" s="19">
        <f>IFERROR(E13/D13, "")</f>
        <v>-0.12000217002115771</v>
      </c>
      <c r="G13" s="20">
        <v>254956.5</v>
      </c>
      <c r="H13" s="20">
        <f t="shared" si="1"/>
        <v>-11641.5</v>
      </c>
      <c r="I13" s="19">
        <f t="shared" si="2"/>
        <v>-4.5660730359884924E-2</v>
      </c>
      <c r="J13" s="118" t="s">
        <v>727</v>
      </c>
      <c r="K13" s="72" t="s">
        <v>728</v>
      </c>
      <c r="L13" s="103" t="s">
        <v>729</v>
      </c>
      <c r="M13" s="75" t="s">
        <v>730</v>
      </c>
      <c r="N13" s="75" t="s">
        <v>731</v>
      </c>
      <c r="O13" s="75" t="s">
        <v>732</v>
      </c>
      <c r="P13" s="75" t="s">
        <v>733</v>
      </c>
    </row>
    <row r="14" spans="1:16" ht="14.45">
      <c r="A14" s="91" t="str">
        <v>Barrington</v>
      </c>
      <c r="B14" s="27" t="str">
        <v>MA</v>
      </c>
      <c r="C14" s="24">
        <v>58200</v>
      </c>
      <c r="D14" s="13">
        <v>54629.31</v>
      </c>
      <c r="E14" s="13">
        <f t="shared" si="0"/>
        <v>3570.6900000000023</v>
      </c>
      <c r="F14" s="14">
        <f t="shared" si="3"/>
        <v>6.5362165474907197E-2</v>
      </c>
      <c r="G14" s="15">
        <v>60070</v>
      </c>
      <c r="H14" s="15">
        <f t="shared" si="1"/>
        <v>-1870</v>
      </c>
      <c r="I14" s="16">
        <f t="shared" si="2"/>
        <v>-3.1130347927418013E-2</v>
      </c>
      <c r="J14" s="96"/>
      <c r="K14" s="96"/>
      <c r="L14" s="96"/>
    </row>
    <row r="15" spans="1:16" ht="28.9">
      <c r="A15" s="115" t="str">
        <v>Bedford - 205 Burlington Rd</v>
      </c>
      <c r="B15" s="29" t="str">
        <v>MA</v>
      </c>
      <c r="C15" s="11">
        <v>4625</v>
      </c>
      <c r="D15" s="18" t="s">
        <v>24</v>
      </c>
      <c r="E15" s="18" t="str">
        <f t="shared" ref="E15:E35" si="4">IF(AND(ISNUMBER(C15),ISNUMBER(D15)), C15-D15, "")</f>
        <v/>
      </c>
      <c r="F15" s="19" t="str">
        <f t="shared" ref="F15:F35" si="5">IFERROR(E15/D15, "")</f>
        <v/>
      </c>
      <c r="G15" s="79" t="s">
        <v>24</v>
      </c>
      <c r="H15" s="20" t="str">
        <f t="shared" ref="H15:H35" si="6">IF(AND(ISNUMBER(C15),ISNUMBER(G15)), C15-G15, "")</f>
        <v/>
      </c>
      <c r="I15" s="19" t="str">
        <f t="shared" ref="I15:I35" si="7">IFERROR(H15/G15, "")</f>
        <v/>
      </c>
      <c r="J15" s="116" t="s">
        <v>551</v>
      </c>
      <c r="K15" s="72" t="s">
        <v>734</v>
      </c>
      <c r="L15" s="103" t="s">
        <v>704</v>
      </c>
      <c r="M15" s="75" t="s">
        <v>735</v>
      </c>
      <c r="N15" s="75" t="s">
        <v>475</v>
      </c>
    </row>
    <row r="16" spans="1:16" ht="14.45">
      <c r="A16" s="91" t="str">
        <v>Billerica - 6 Cook Street</v>
      </c>
      <c r="B16" s="27" t="str">
        <v>MA</v>
      </c>
      <c r="C16" s="24">
        <v>24453</v>
      </c>
      <c r="D16" s="13" t="s">
        <v>24</v>
      </c>
      <c r="E16" s="13" t="str">
        <f t="shared" si="4"/>
        <v/>
      </c>
      <c r="F16" s="14" t="str">
        <f t="shared" si="5"/>
        <v/>
      </c>
      <c r="G16" s="80" t="s">
        <v>24</v>
      </c>
      <c r="H16" s="15" t="str">
        <f t="shared" si="6"/>
        <v/>
      </c>
      <c r="I16" s="16" t="str">
        <f t="shared" si="7"/>
        <v/>
      </c>
      <c r="J16" s="96"/>
      <c r="K16" s="96"/>
      <c r="L16" s="96"/>
    </row>
    <row r="17" spans="1:19" ht="14.45">
      <c r="A17" s="115" t="str">
        <v>Billerica - 780 Boston Road</v>
      </c>
      <c r="B17" s="29" t="str">
        <v>MA</v>
      </c>
      <c r="C17" s="11">
        <v>28372</v>
      </c>
      <c r="D17" s="18" t="s">
        <v>24</v>
      </c>
      <c r="E17" s="18" t="str">
        <f t="shared" si="4"/>
        <v/>
      </c>
      <c r="F17" s="19" t="str">
        <f t="shared" si="5"/>
        <v/>
      </c>
      <c r="G17" s="79" t="s">
        <v>24</v>
      </c>
      <c r="H17" s="20" t="str">
        <f t="shared" si="6"/>
        <v/>
      </c>
      <c r="I17" s="19" t="str">
        <f t="shared" si="7"/>
        <v/>
      </c>
      <c r="J17" s="116"/>
      <c r="K17" s="117"/>
    </row>
    <row r="18" spans="1:19" ht="39.75" customHeight="1">
      <c r="A18" s="91" t="str">
        <v>Cheshire</v>
      </c>
      <c r="B18" s="27" t="str">
        <v>MA</v>
      </c>
      <c r="C18" s="24">
        <v>60370.129730000001</v>
      </c>
      <c r="D18" s="13">
        <v>65251.82</v>
      </c>
      <c r="E18" s="13">
        <f t="shared" si="4"/>
        <v>-4881.6902699999991</v>
      </c>
      <c r="F18" s="14">
        <f t="shared" si="5"/>
        <v>-7.4813089811134756E-2</v>
      </c>
      <c r="G18" s="15">
        <v>37247.82</v>
      </c>
      <c r="H18" s="15">
        <f t="shared" si="6"/>
        <v>23122.309730000001</v>
      </c>
      <c r="I18" s="16">
        <f t="shared" si="7"/>
        <v>0.6207694767103149</v>
      </c>
      <c r="J18" s="96" t="s">
        <v>637</v>
      </c>
      <c r="K18" s="70" t="s">
        <v>553</v>
      </c>
      <c r="L18" s="96" t="s">
        <v>736</v>
      </c>
    </row>
    <row r="19" spans="1:19" ht="57.6">
      <c r="A19" s="115" t="str">
        <v>Lilly Lane</v>
      </c>
      <c r="B19" s="29" t="str">
        <v>MA</v>
      </c>
      <c r="C19" s="11">
        <v>53006.5</v>
      </c>
      <c r="D19" s="18">
        <v>52138.06</v>
      </c>
      <c r="E19" s="18">
        <f t="shared" si="4"/>
        <v>868.44000000000233</v>
      </c>
      <c r="F19" s="19">
        <f t="shared" si="5"/>
        <v>1.6656546100871462E-2</v>
      </c>
      <c r="G19" s="20">
        <v>126763</v>
      </c>
      <c r="H19" s="20">
        <f t="shared" si="6"/>
        <v>-73756.5</v>
      </c>
      <c r="I19" s="19">
        <f t="shared" si="7"/>
        <v>-0.58184564896696989</v>
      </c>
      <c r="J19" s="116" t="s">
        <v>737</v>
      </c>
      <c r="K19" s="72" t="s">
        <v>738</v>
      </c>
      <c r="L19" s="117" t="s">
        <v>739</v>
      </c>
      <c r="M19" s="75" t="s">
        <v>740</v>
      </c>
      <c r="N19" s="75" t="s">
        <v>741</v>
      </c>
      <c r="O19" s="75" t="s">
        <v>742</v>
      </c>
    </row>
    <row r="20" spans="1:19" ht="14.45">
      <c r="A20" s="91" t="str">
        <v>Monument Valley</v>
      </c>
      <c r="B20" s="27" t="str">
        <v>MA</v>
      </c>
      <c r="C20" s="24">
        <v>288382.02620000002</v>
      </c>
      <c r="D20" s="13">
        <v>239919.3</v>
      </c>
      <c r="E20" s="13">
        <f t="shared" si="4"/>
        <v>48462.726200000034</v>
      </c>
      <c r="F20" s="14">
        <f t="shared" si="5"/>
        <v>0.20199594697050233</v>
      </c>
      <c r="G20" s="15">
        <v>211119.04800000001</v>
      </c>
      <c r="H20" s="15">
        <f t="shared" si="6"/>
        <v>77262.978200000012</v>
      </c>
      <c r="I20" s="16">
        <f t="shared" si="7"/>
        <v>0.36596876943098006</v>
      </c>
      <c r="J20" s="96"/>
      <c r="K20" s="100"/>
      <c r="L20" s="100"/>
    </row>
    <row r="21" spans="1:19" ht="50.25" customHeight="1">
      <c r="A21" s="115" t="str">
        <v>Nationwide</v>
      </c>
      <c r="B21" s="29" t="str">
        <v>MA</v>
      </c>
      <c r="C21" s="11">
        <v>327039</v>
      </c>
      <c r="D21" s="18">
        <v>407388.9</v>
      </c>
      <c r="E21" s="18">
        <f t="shared" si="4"/>
        <v>-80349.900000000023</v>
      </c>
      <c r="F21" s="19">
        <f t="shared" si="5"/>
        <v>-0.19723144150466548</v>
      </c>
      <c r="G21" s="20">
        <v>355513.2</v>
      </c>
      <c r="H21" s="20">
        <f t="shared" si="6"/>
        <v>-28474.200000000012</v>
      </c>
      <c r="I21" s="19">
        <f t="shared" si="7"/>
        <v>-8.00932286058577E-2</v>
      </c>
      <c r="J21" s="117" t="s">
        <v>743</v>
      </c>
      <c r="K21" s="72" t="s">
        <v>744</v>
      </c>
      <c r="L21" s="117" t="s">
        <v>745</v>
      </c>
      <c r="M21" s="75" t="s">
        <v>746</v>
      </c>
    </row>
    <row r="22" spans="1:19" ht="42.75" customHeight="1">
      <c r="A22" s="91" t="str">
        <v>Pulpit Hill</v>
      </c>
      <c r="B22" s="27" t="str">
        <v>MA</v>
      </c>
      <c r="C22" s="24">
        <v>638010.5</v>
      </c>
      <c r="D22" s="13">
        <v>610435.4</v>
      </c>
      <c r="E22" s="13">
        <f t="shared" si="4"/>
        <v>27575.099999999977</v>
      </c>
      <c r="F22" s="14">
        <f t="shared" si="5"/>
        <v>4.5172838927755463E-2</v>
      </c>
      <c r="G22" s="15">
        <v>547810.4</v>
      </c>
      <c r="H22" s="15">
        <f t="shared" si="6"/>
        <v>90200.099999999977</v>
      </c>
      <c r="I22" s="16">
        <f t="shared" si="7"/>
        <v>0.16465569109312267</v>
      </c>
      <c r="J22" s="96" t="s">
        <v>747</v>
      </c>
      <c r="K22" s="70" t="s">
        <v>748</v>
      </c>
      <c r="L22" s="96" t="s">
        <v>720</v>
      </c>
    </row>
    <row r="23" spans="1:19" ht="57.6">
      <c r="A23" s="115" t="str">
        <v>Sandwich</v>
      </c>
      <c r="B23" s="29" t="str">
        <v>MA</v>
      </c>
      <c r="C23" s="11">
        <v>375780</v>
      </c>
      <c r="D23" s="18" t="s">
        <v>24</v>
      </c>
      <c r="E23" s="18" t="str">
        <f t="shared" si="4"/>
        <v/>
      </c>
      <c r="F23" s="19" t="str">
        <f t="shared" si="5"/>
        <v/>
      </c>
      <c r="G23" s="20">
        <v>413420.92</v>
      </c>
      <c r="H23" s="20">
        <f t="shared" si="6"/>
        <v>-37640.919999999984</v>
      </c>
      <c r="I23" s="19">
        <f t="shared" si="7"/>
        <v>-9.1047448687405524E-2</v>
      </c>
      <c r="J23" s="116" t="s">
        <v>749</v>
      </c>
      <c r="K23" s="72" t="s">
        <v>750</v>
      </c>
      <c r="L23" s="117" t="s">
        <v>729</v>
      </c>
      <c r="M23" s="75" t="s">
        <v>751</v>
      </c>
      <c r="N23" s="75" t="s">
        <v>752</v>
      </c>
    </row>
    <row r="24" spans="1:19" ht="14.45">
      <c r="A24" s="91" t="str">
        <v>Sturbridge Barn</v>
      </c>
      <c r="B24" s="27" t="str">
        <v>MA</v>
      </c>
      <c r="C24" s="24">
        <v>144489</v>
      </c>
      <c r="D24" s="13">
        <v>147752.79999999999</v>
      </c>
      <c r="E24" s="13">
        <f t="shared" si="4"/>
        <v>-3263.7999999999884</v>
      </c>
      <c r="F24" s="14">
        <f t="shared" si="5"/>
        <v>-2.2089598302028716E-2</v>
      </c>
      <c r="G24" s="15">
        <v>144999.4</v>
      </c>
      <c r="H24" s="15">
        <f t="shared" si="6"/>
        <v>-510.39999999999418</v>
      </c>
      <c r="I24" s="16">
        <f t="shared" si="7"/>
        <v>-3.5200145655774726E-3</v>
      </c>
      <c r="J24" s="96"/>
      <c r="K24" s="96"/>
      <c r="L24" s="96"/>
    </row>
    <row r="25" spans="1:19" ht="43.15">
      <c r="A25" s="115" t="str">
        <v>Sturbridge Garage</v>
      </c>
      <c r="B25" s="29" t="str">
        <v>MA</v>
      </c>
      <c r="C25" s="11">
        <v>64775.75</v>
      </c>
      <c r="D25" s="18">
        <v>70978.710000000006</v>
      </c>
      <c r="E25" s="18">
        <f t="shared" si="4"/>
        <v>-6202.9600000000064</v>
      </c>
      <c r="F25" s="19">
        <f t="shared" si="5"/>
        <v>-8.7391839045820999E-2</v>
      </c>
      <c r="G25" s="20">
        <v>62618.21</v>
      </c>
      <c r="H25" s="20">
        <f t="shared" si="6"/>
        <v>2157.5400000000009</v>
      </c>
      <c r="I25" s="19">
        <f t="shared" si="7"/>
        <v>3.4455472297914631E-2</v>
      </c>
      <c r="J25" s="116" t="s">
        <v>753</v>
      </c>
      <c r="K25" s="72" t="s">
        <v>754</v>
      </c>
      <c r="L25" s="103" t="s">
        <v>704</v>
      </c>
      <c r="M25" s="75" t="s">
        <v>755</v>
      </c>
      <c r="N25" s="75" t="s">
        <v>756</v>
      </c>
      <c r="O25" s="75" t="s">
        <v>757</v>
      </c>
    </row>
    <row r="26" spans="1:19" ht="14.45">
      <c r="A26" s="91" t="str">
        <v>Halsey Valley</v>
      </c>
      <c r="B26" s="27" t="str">
        <v>NY</v>
      </c>
      <c r="C26" s="24">
        <v>734596</v>
      </c>
      <c r="D26" s="13">
        <v>738444.9</v>
      </c>
      <c r="E26" s="13">
        <f t="shared" si="4"/>
        <v>-3848.9000000000233</v>
      </c>
      <c r="F26" s="14">
        <f t="shared" si="5"/>
        <v>-5.2121695200278628E-3</v>
      </c>
      <c r="G26" s="15">
        <v>659000</v>
      </c>
      <c r="H26" s="15">
        <f t="shared" si="6"/>
        <v>75596</v>
      </c>
      <c r="I26" s="16">
        <f t="shared" si="7"/>
        <v>0.11471320182094082</v>
      </c>
      <c r="J26" s="96" t="s">
        <v>758</v>
      </c>
      <c r="K26" s="70" t="s">
        <v>759</v>
      </c>
      <c r="L26" s="96" t="s">
        <v>720</v>
      </c>
    </row>
    <row r="27" spans="1:19" ht="28.9">
      <c r="A27" s="115" t="str">
        <v>Hunt Creek</v>
      </c>
      <c r="B27" s="29" t="str">
        <v>NY</v>
      </c>
      <c r="C27" s="11">
        <v>466432</v>
      </c>
      <c r="D27" s="18">
        <v>518353.3</v>
      </c>
      <c r="E27" s="18">
        <f t="shared" si="4"/>
        <v>-51921.299999999988</v>
      </c>
      <c r="F27" s="19">
        <f t="shared" si="5"/>
        <v>-0.10016585213212685</v>
      </c>
      <c r="G27" s="20">
        <v>444300</v>
      </c>
      <c r="H27" s="20">
        <f t="shared" si="6"/>
        <v>22132</v>
      </c>
      <c r="I27" s="19">
        <f t="shared" si="7"/>
        <v>4.9813189286518116E-2</v>
      </c>
      <c r="J27" s="116" t="s">
        <v>760</v>
      </c>
      <c r="K27" s="71" t="s">
        <v>761</v>
      </c>
      <c r="L27" s="103" t="s">
        <v>762</v>
      </c>
      <c r="M27" s="75" t="s">
        <v>763</v>
      </c>
    </row>
    <row r="28" spans="1:19" ht="14.45">
      <c r="A28" s="91" t="str">
        <v>Smith Creek</v>
      </c>
      <c r="B28" s="27" t="str">
        <v>NY</v>
      </c>
      <c r="C28" s="24">
        <v>558450</v>
      </c>
      <c r="D28" s="13">
        <v>577485.69999999995</v>
      </c>
      <c r="E28" s="13">
        <f t="shared" si="4"/>
        <v>-19035.699999999953</v>
      </c>
      <c r="F28" s="14">
        <f t="shared" si="5"/>
        <v>-3.2963067310584411E-2</v>
      </c>
      <c r="G28" s="15">
        <v>485607.1</v>
      </c>
      <c r="H28" s="15">
        <f t="shared" si="6"/>
        <v>72842.900000000023</v>
      </c>
      <c r="I28" s="16">
        <f t="shared" si="7"/>
        <v>0.15000377877506327</v>
      </c>
      <c r="J28" s="96"/>
      <c r="K28" s="96"/>
      <c r="L28" s="96"/>
    </row>
    <row r="29" spans="1:19" ht="60.75">
      <c r="A29" s="115" t="str">
        <v>Bradford - 256 Presidential Dr</v>
      </c>
      <c r="B29" s="29" t="str">
        <v>MA</v>
      </c>
      <c r="C29" s="11">
        <v>565755.25600000005</v>
      </c>
      <c r="D29" s="18" t="s">
        <v>24</v>
      </c>
      <c r="E29" s="18" t="str">
        <f t="shared" si="4"/>
        <v/>
      </c>
      <c r="F29" s="19" t="str">
        <f t="shared" si="5"/>
        <v/>
      </c>
      <c r="G29" s="20">
        <v>585436</v>
      </c>
      <c r="H29" s="20">
        <f t="shared" si="6"/>
        <v>-19680.743999999948</v>
      </c>
      <c r="I29" s="19">
        <f t="shared" si="7"/>
        <v>-3.3617242533769617E-2</v>
      </c>
      <c r="J29" s="116" t="s">
        <v>764</v>
      </c>
      <c r="K29" s="71" t="s">
        <v>765</v>
      </c>
      <c r="L29" s="103" t="s">
        <v>766</v>
      </c>
      <c r="M29" s="75" t="s">
        <v>767</v>
      </c>
      <c r="N29" s="75" t="s">
        <v>669</v>
      </c>
      <c r="O29" s="75" t="s">
        <v>670</v>
      </c>
    </row>
    <row r="30" spans="1:19" ht="14.45">
      <c r="A30" s="91" t="str">
        <v>Charlton – 111 Brookfield Road - Bus Lot</v>
      </c>
      <c r="B30" s="27" t="str">
        <v>MA</v>
      </c>
      <c r="C30" s="24">
        <v>67712.831999999995</v>
      </c>
      <c r="D30" s="13" t="s">
        <v>24</v>
      </c>
      <c r="E30" s="13" t="str">
        <f t="shared" si="4"/>
        <v/>
      </c>
      <c r="F30" s="14" t="str">
        <f t="shared" si="5"/>
        <v/>
      </c>
      <c r="G30" s="15">
        <v>71100</v>
      </c>
      <c r="H30" s="15">
        <f t="shared" si="6"/>
        <v>-3387.1680000000051</v>
      </c>
      <c r="I30" s="16">
        <f t="shared" si="7"/>
        <v>-4.763949367088615E-2</v>
      </c>
      <c r="J30" s="96"/>
      <c r="K30" s="104"/>
      <c r="L30" s="104"/>
      <c r="N30" s="75"/>
      <c r="O30" s="75"/>
      <c r="P30" s="75"/>
      <c r="Q30" s="75"/>
      <c r="R30" s="75"/>
      <c r="S30" s="75"/>
    </row>
    <row r="31" spans="1:19" ht="14.45">
      <c r="A31" s="115" t="str">
        <v>Charlton – 154 Center Depot Road KMARD</v>
      </c>
      <c r="B31" s="29" t="str">
        <v>MA</v>
      </c>
      <c r="C31" s="11">
        <v>60546.944000000003</v>
      </c>
      <c r="D31" s="18" t="s">
        <v>24</v>
      </c>
      <c r="E31" s="18" t="str">
        <f t="shared" si="4"/>
        <v/>
      </c>
      <c r="F31" s="19" t="str">
        <f t="shared" si="5"/>
        <v/>
      </c>
      <c r="G31" s="20">
        <v>69400</v>
      </c>
      <c r="H31" s="20">
        <f t="shared" si="6"/>
        <v>-8853.0559999999969</v>
      </c>
      <c r="I31" s="19">
        <f t="shared" si="7"/>
        <v>-0.12756564841498555</v>
      </c>
      <c r="J31" s="116" t="s">
        <v>768</v>
      </c>
      <c r="K31" s="118"/>
    </row>
    <row r="32" spans="1:19" ht="28.9">
      <c r="A32" s="91" t="str">
        <v>Charlton – 142A Brookfield Rd (Mitchell)</v>
      </c>
      <c r="B32" s="27" t="str">
        <v>MA</v>
      </c>
      <c r="C32" s="24">
        <v>62513.919999999998</v>
      </c>
      <c r="D32" s="13" t="s">
        <v>24</v>
      </c>
      <c r="E32" s="13" t="str">
        <f t="shared" si="4"/>
        <v/>
      </c>
      <c r="F32" s="14" t="str">
        <f t="shared" si="5"/>
        <v/>
      </c>
      <c r="G32" s="15">
        <v>72207</v>
      </c>
      <c r="H32" s="15">
        <f t="shared" si="6"/>
        <v>-9693.0800000000017</v>
      </c>
      <c r="I32" s="16">
        <f t="shared" si="7"/>
        <v>-0.13424017062057697</v>
      </c>
      <c r="J32" s="96" t="s">
        <v>769</v>
      </c>
      <c r="K32" s="70" t="s">
        <v>502</v>
      </c>
      <c r="L32" s="96" t="s">
        <v>770</v>
      </c>
      <c r="M32" s="75" t="s">
        <v>503</v>
      </c>
      <c r="N32" s="75"/>
      <c r="O32" s="75"/>
      <c r="P32" s="75"/>
      <c r="Q32" s="75"/>
      <c r="R32" s="75"/>
      <c r="S32" s="75"/>
    </row>
    <row r="33" spans="1:24" ht="171.75" customHeight="1">
      <c r="A33" s="115" t="str">
        <v>Great Barrington – 3 Nolan  Drive</v>
      </c>
      <c r="B33" s="29" t="str">
        <v>MA</v>
      </c>
      <c r="C33" s="11">
        <v>113918.39999999999</v>
      </c>
      <c r="D33" s="18" t="s">
        <v>24</v>
      </c>
      <c r="E33" s="18" t="str">
        <f t="shared" si="4"/>
        <v/>
      </c>
      <c r="F33" s="19" t="str">
        <f t="shared" si="5"/>
        <v/>
      </c>
      <c r="G33" s="20">
        <v>145800</v>
      </c>
      <c r="H33" s="20">
        <f t="shared" si="6"/>
        <v>-31881.600000000006</v>
      </c>
      <c r="I33" s="19">
        <f t="shared" si="7"/>
        <v>-0.2186666666666667</v>
      </c>
      <c r="J33" s="118" t="s">
        <v>771</v>
      </c>
      <c r="K33" s="71" t="s">
        <v>772</v>
      </c>
      <c r="L33" s="103" t="s">
        <v>773</v>
      </c>
      <c r="M33" s="75" t="s">
        <v>325</v>
      </c>
      <c r="N33" s="75" t="s">
        <v>454</v>
      </c>
      <c r="O33" s="75" t="s">
        <v>774</v>
      </c>
      <c r="P33" s="75" t="s">
        <v>506</v>
      </c>
      <c r="Q33" s="75" t="s">
        <v>596</v>
      </c>
      <c r="R33" s="75" t="s">
        <v>597</v>
      </c>
      <c r="S33" s="75" t="s">
        <v>682</v>
      </c>
      <c r="T33" s="75" t="s">
        <v>775</v>
      </c>
      <c r="U33" s="75" t="s">
        <v>322</v>
      </c>
      <c r="V33" s="75" t="s">
        <v>776</v>
      </c>
      <c r="W33" s="75" t="s">
        <v>777</v>
      </c>
      <c r="X33" s="75" t="s">
        <v>778</v>
      </c>
    </row>
    <row r="34" spans="1:24" ht="121.5" customHeight="1">
      <c r="A34" s="91" t="str">
        <v>Stockbridge – 92 State Line Road Truck Stop</v>
      </c>
      <c r="B34" s="27" t="str">
        <v>MA</v>
      </c>
      <c r="C34" s="24">
        <v>159604.823</v>
      </c>
      <c r="D34" s="13" t="s">
        <v>24</v>
      </c>
      <c r="E34" s="13" t="str">
        <f t="shared" si="4"/>
        <v/>
      </c>
      <c r="F34" s="14" t="str">
        <f t="shared" si="5"/>
        <v/>
      </c>
      <c r="G34" s="15">
        <v>280200</v>
      </c>
      <c r="H34" s="15">
        <f t="shared" si="6"/>
        <v>-120595.177</v>
      </c>
      <c r="I34" s="16">
        <f t="shared" si="7"/>
        <v>-0.43038963954318343</v>
      </c>
      <c r="J34" s="96" t="s">
        <v>779</v>
      </c>
      <c r="K34" s="70" t="s">
        <v>780</v>
      </c>
      <c r="L34" s="96" t="s">
        <v>781</v>
      </c>
      <c r="M34" s="75" t="s">
        <v>782</v>
      </c>
      <c r="N34" s="75" t="s">
        <v>783</v>
      </c>
      <c r="O34" s="75" t="s">
        <v>784</v>
      </c>
      <c r="P34" s="75" t="s">
        <v>785</v>
      </c>
      <c r="Q34" s="75"/>
      <c r="R34" s="75"/>
      <c r="S34" s="75"/>
    </row>
    <row r="35" spans="1:24" ht="43.15">
      <c r="A35" s="115" t="str">
        <v>NY: New Windsor - Moores Hill</v>
      </c>
      <c r="B35" s="29" t="str">
        <v>NY</v>
      </c>
      <c r="C35" s="11">
        <v>262233.1875</v>
      </c>
      <c r="D35" s="18" t="s">
        <v>24</v>
      </c>
      <c r="E35" s="18" t="str">
        <f t="shared" si="4"/>
        <v/>
      </c>
      <c r="F35" s="19" t="str">
        <f t="shared" si="5"/>
        <v/>
      </c>
      <c r="G35" s="20">
        <v>286200</v>
      </c>
      <c r="H35" s="20">
        <f t="shared" si="6"/>
        <v>-23966.8125</v>
      </c>
      <c r="I35" s="19">
        <f t="shared" si="7"/>
        <v>-8.3741483228511535E-2</v>
      </c>
      <c r="J35" s="118" t="s">
        <v>786</v>
      </c>
      <c r="K35" s="71" t="s">
        <v>787</v>
      </c>
      <c r="L35" s="103" t="s">
        <v>788</v>
      </c>
    </row>
    <row r="36" spans="1:24" ht="14.45">
      <c r="B36" s="31"/>
      <c r="C36" s="21"/>
      <c r="D36" s="21"/>
      <c r="E36" s="21"/>
      <c r="F36" s="22"/>
      <c r="G36" s="21"/>
      <c r="H36" s="21"/>
      <c r="I36" s="22"/>
    </row>
    <row r="37" spans="1:24" ht="14.45">
      <c r="B37" s="31"/>
      <c r="C37" s="21"/>
      <c r="D37" s="21"/>
      <c r="E37" s="21"/>
      <c r="F37" s="22"/>
      <c r="G37" s="21"/>
      <c r="H37" s="21"/>
      <c r="I37" s="22"/>
    </row>
    <row r="38" spans="1:24" ht="14.45">
      <c r="B38" s="31"/>
      <c r="C38" s="21"/>
      <c r="D38" s="21"/>
      <c r="E38" s="21"/>
      <c r="F38" s="22"/>
      <c r="G38" s="21"/>
      <c r="H38" s="21"/>
      <c r="I38" s="22"/>
      <c r="J38" s="98"/>
    </row>
    <row r="39" spans="1:24" ht="14.45">
      <c r="B39" s="31"/>
      <c r="C39" s="21"/>
      <c r="D39" s="21"/>
      <c r="E39" s="21"/>
      <c r="F39" s="22"/>
      <c r="G39" s="21"/>
      <c r="H39" s="21"/>
      <c r="I39" s="22"/>
    </row>
    <row r="40" spans="1:24" ht="14.45">
      <c r="B40" s="31"/>
      <c r="C40" s="21"/>
      <c r="D40" s="21"/>
      <c r="E40" s="21"/>
      <c r="F40" s="22"/>
      <c r="G40" s="21"/>
      <c r="H40" s="21"/>
      <c r="I40" s="22"/>
    </row>
    <row r="41" spans="1:24" ht="14.45">
      <c r="B41" s="31"/>
      <c r="C41" s="21"/>
      <c r="D41" s="21"/>
      <c r="E41" s="21"/>
      <c r="F41" s="22"/>
      <c r="G41" s="21"/>
      <c r="H41" s="21"/>
      <c r="I41" s="22"/>
      <c r="J41" s="99"/>
    </row>
    <row r="42" spans="1:24" ht="14.45">
      <c r="B42" s="31"/>
      <c r="C42" s="21"/>
      <c r="D42" s="21"/>
      <c r="E42" s="21"/>
      <c r="F42" s="22"/>
      <c r="G42" s="21"/>
      <c r="H42" s="21"/>
      <c r="I42" s="22"/>
    </row>
    <row r="43" spans="1:24" ht="14.45">
      <c r="B43" s="31"/>
      <c r="C43" s="21"/>
      <c r="D43" s="21"/>
      <c r="E43" s="21"/>
      <c r="F43" s="22"/>
      <c r="G43" s="21"/>
      <c r="H43" s="21"/>
      <c r="I43" s="22"/>
    </row>
    <row r="44" spans="1:24" ht="14.45">
      <c r="B44" s="31"/>
      <c r="C44" s="21"/>
      <c r="D44" s="21"/>
      <c r="E44" s="21"/>
      <c r="F44" s="22"/>
      <c r="G44" s="21"/>
      <c r="H44" s="21"/>
      <c r="I44" s="22"/>
    </row>
    <row r="45" spans="1:24" ht="14.45">
      <c r="B45" s="31"/>
      <c r="C45" s="21"/>
      <c r="D45" s="21"/>
      <c r="E45" s="21"/>
      <c r="F45" s="22"/>
      <c r="G45" s="21"/>
      <c r="H45" s="21"/>
      <c r="I45" s="22"/>
    </row>
    <row r="46" spans="1:24" ht="14.45">
      <c r="B46" s="31"/>
      <c r="C46" s="21"/>
      <c r="D46" s="21"/>
      <c r="E46" s="21"/>
      <c r="F46" s="22"/>
      <c r="G46" s="21"/>
      <c r="H46" s="21"/>
      <c r="I46" s="22"/>
    </row>
    <row r="47" spans="1:24" ht="14.45">
      <c r="B47" s="31"/>
      <c r="C47" s="21"/>
      <c r="D47" s="21"/>
      <c r="E47" s="21"/>
      <c r="F47" s="22"/>
      <c r="G47" s="21"/>
      <c r="H47" s="21"/>
      <c r="I47" s="22"/>
    </row>
    <row r="48" spans="1:24" ht="14.45">
      <c r="B48" s="31"/>
      <c r="C48" s="21"/>
      <c r="D48" s="21"/>
      <c r="E48" s="21"/>
      <c r="F48" s="22"/>
      <c r="G48" s="21"/>
      <c r="H48" s="21"/>
      <c r="I48" s="22"/>
    </row>
    <row r="49" spans="2:9" ht="14.45">
      <c r="B49" s="31"/>
      <c r="C49" s="21"/>
      <c r="D49" s="21"/>
      <c r="E49" s="21"/>
      <c r="F49" s="22"/>
      <c r="G49" s="21"/>
      <c r="H49" s="21"/>
      <c r="I49" s="22"/>
    </row>
    <row r="50" spans="2:9" ht="14.45">
      <c r="B50" s="31"/>
      <c r="C50" s="21"/>
      <c r="D50" s="21"/>
      <c r="E50" s="21"/>
      <c r="F50" s="22"/>
      <c r="G50" s="21"/>
      <c r="H50" s="21"/>
      <c r="I50" s="22"/>
    </row>
    <row r="51" spans="2:9" ht="14.45">
      <c r="B51" s="31"/>
      <c r="C51" s="21"/>
      <c r="D51" s="21"/>
      <c r="E51" s="21"/>
      <c r="F51" s="22"/>
      <c r="G51" s="21"/>
      <c r="H51" s="21"/>
      <c r="I51" s="22"/>
    </row>
    <row r="52" spans="2:9" ht="14.45">
      <c r="B52" s="31"/>
      <c r="C52" s="21"/>
      <c r="D52" s="21"/>
      <c r="E52" s="21"/>
      <c r="F52" s="22"/>
      <c r="G52" s="21"/>
      <c r="H52" s="21"/>
      <c r="I52" s="22"/>
    </row>
    <row r="53" spans="2:9" ht="14.45">
      <c r="B53" s="31"/>
      <c r="C53" s="21"/>
      <c r="D53" s="21"/>
      <c r="E53" s="21"/>
      <c r="F53" s="22"/>
      <c r="G53" s="21"/>
      <c r="H53" s="21"/>
      <c r="I53" s="22"/>
    </row>
    <row r="54" spans="2:9" ht="14.45">
      <c r="B54" s="31"/>
      <c r="C54" s="21"/>
      <c r="D54" s="21"/>
      <c r="E54" s="21"/>
      <c r="F54" s="22"/>
      <c r="G54" s="21"/>
      <c r="H54" s="21"/>
      <c r="I54" s="22"/>
    </row>
    <row r="55" spans="2:9" ht="14.45">
      <c r="B55" s="31"/>
      <c r="C55" s="21"/>
      <c r="D55" s="21"/>
      <c r="E55" s="21"/>
      <c r="F55" s="22"/>
      <c r="G55" s="21"/>
      <c r="H55" s="21"/>
      <c r="I55" s="22"/>
    </row>
    <row r="56" spans="2:9" ht="14.45">
      <c r="B56" s="31"/>
      <c r="C56" s="21"/>
      <c r="D56" s="21"/>
      <c r="E56" s="21"/>
      <c r="F56" s="22"/>
      <c r="G56" s="21"/>
      <c r="H56" s="21"/>
      <c r="I56" s="22"/>
    </row>
    <row r="57" spans="2:9" ht="14.45">
      <c r="B57" s="31"/>
      <c r="C57" s="21"/>
      <c r="D57" s="21"/>
      <c r="E57" s="21"/>
      <c r="F57" s="22"/>
      <c r="G57" s="21"/>
      <c r="H57" s="21"/>
      <c r="I57" s="22"/>
    </row>
    <row r="58" spans="2:9" ht="14.45">
      <c r="B58" s="31"/>
      <c r="C58" s="21"/>
      <c r="D58" s="21"/>
      <c r="E58" s="21"/>
      <c r="F58" s="22"/>
      <c r="G58" s="21"/>
      <c r="H58" s="21"/>
      <c r="I58" s="22"/>
    </row>
    <row r="59" spans="2:9" ht="14.45">
      <c r="B59" s="31"/>
      <c r="C59" s="21"/>
      <c r="D59" s="21"/>
      <c r="E59" s="21"/>
      <c r="F59" s="22"/>
      <c r="G59" s="21"/>
      <c r="H59" s="21"/>
      <c r="I59" s="22"/>
    </row>
    <row r="60" spans="2:9" ht="14.45">
      <c r="B60" s="31"/>
      <c r="C60" s="21"/>
      <c r="D60" s="21"/>
      <c r="E60" s="21"/>
      <c r="F60" s="22"/>
      <c r="G60" s="21"/>
      <c r="H60" s="21"/>
      <c r="I60" s="22"/>
    </row>
    <row r="61" spans="2:9" ht="14.45">
      <c r="B61" s="31"/>
      <c r="C61" s="21"/>
      <c r="D61" s="21"/>
      <c r="E61" s="21"/>
      <c r="F61" s="22"/>
      <c r="G61" s="21"/>
      <c r="H61" s="21"/>
      <c r="I61" s="22"/>
    </row>
    <row r="62" spans="2:9" ht="14.45">
      <c r="B62" s="31"/>
      <c r="C62" s="21"/>
      <c r="D62" s="21"/>
      <c r="E62" s="21"/>
      <c r="F62" s="22"/>
      <c r="G62" s="21"/>
      <c r="H62" s="21"/>
      <c r="I62" s="22"/>
    </row>
    <row r="63" spans="2:9" ht="14.45">
      <c r="B63" s="31"/>
      <c r="C63" s="21"/>
      <c r="D63" s="21"/>
      <c r="E63" s="21"/>
      <c r="F63" s="22"/>
      <c r="G63" s="21"/>
      <c r="H63" s="21"/>
      <c r="I63" s="22"/>
    </row>
    <row r="64" spans="2:9" ht="14.45">
      <c r="B64" s="31"/>
      <c r="C64" s="21"/>
      <c r="D64" s="21"/>
      <c r="E64" s="21"/>
      <c r="F64" s="22"/>
      <c r="G64" s="21"/>
      <c r="H64" s="21"/>
      <c r="I64" s="22"/>
    </row>
    <row r="65" spans="2:9" ht="14.45">
      <c r="B65" s="31"/>
      <c r="C65" s="21"/>
      <c r="D65" s="21"/>
      <c r="E65" s="21"/>
      <c r="F65" s="22"/>
      <c r="G65" s="21"/>
      <c r="H65" s="21"/>
      <c r="I65" s="22"/>
    </row>
    <row r="66" spans="2:9" ht="14.45">
      <c r="B66" s="31"/>
      <c r="C66" s="21"/>
      <c r="D66" s="21"/>
      <c r="E66" s="21"/>
      <c r="F66" s="22"/>
      <c r="G66" s="21"/>
      <c r="H66" s="21"/>
      <c r="I66" s="22"/>
    </row>
    <row r="67" spans="2:9" ht="14.45">
      <c r="B67" s="31"/>
      <c r="C67" s="21"/>
      <c r="D67" s="21"/>
      <c r="E67" s="21"/>
      <c r="F67" s="22"/>
      <c r="G67" s="21"/>
      <c r="H67" s="21"/>
      <c r="I67" s="22"/>
    </row>
    <row r="68" spans="2:9" ht="14.45">
      <c r="B68" s="31"/>
      <c r="C68" s="21"/>
      <c r="D68" s="21"/>
      <c r="E68" s="21"/>
      <c r="F68" s="22"/>
      <c r="G68" s="21"/>
      <c r="H68" s="21"/>
      <c r="I68" s="22"/>
    </row>
    <row r="69" spans="2:9" ht="14.45">
      <c r="B69" s="31"/>
      <c r="C69" s="21"/>
      <c r="D69" s="21"/>
      <c r="E69" s="21"/>
      <c r="F69" s="22"/>
      <c r="G69" s="21"/>
      <c r="H69" s="21"/>
      <c r="I69" s="22"/>
    </row>
    <row r="70" spans="2:9" ht="14.45">
      <c r="B70" s="31"/>
      <c r="C70" s="21"/>
      <c r="D70" s="21"/>
      <c r="E70" s="21"/>
      <c r="F70" s="22"/>
      <c r="G70" s="21"/>
      <c r="H70" s="21"/>
      <c r="I70" s="22"/>
    </row>
    <row r="71" spans="2:9" ht="14.45">
      <c r="B71" s="31"/>
      <c r="C71" s="21"/>
      <c r="D71" s="21"/>
      <c r="E71" s="21"/>
      <c r="F71" s="22"/>
      <c r="G71" s="21"/>
      <c r="H71" s="21"/>
      <c r="I71" s="22"/>
    </row>
    <row r="72" spans="2:9" ht="14.45">
      <c r="B72" s="31"/>
      <c r="C72" s="21"/>
      <c r="D72" s="21"/>
      <c r="E72" s="21"/>
      <c r="F72" s="22"/>
      <c r="G72" s="21"/>
      <c r="H72" s="21"/>
      <c r="I72" s="22"/>
    </row>
    <row r="73" spans="2:9" ht="14.45">
      <c r="B73" s="31"/>
      <c r="C73" s="21"/>
      <c r="D73" s="21"/>
      <c r="E73" s="21"/>
      <c r="F73" s="22"/>
      <c r="G73" s="21"/>
      <c r="H73" s="21"/>
      <c r="I73" s="22"/>
    </row>
    <row r="74" spans="2:9" ht="14.45">
      <c r="B74" s="31"/>
      <c r="C74" s="21"/>
      <c r="D74" s="21"/>
      <c r="E74" s="21"/>
      <c r="F74" s="22"/>
      <c r="G74" s="21"/>
      <c r="H74" s="21"/>
      <c r="I74" s="22"/>
    </row>
    <row r="75" spans="2:9" ht="14.45">
      <c r="B75" s="31"/>
      <c r="C75" s="21"/>
      <c r="D75" s="21"/>
      <c r="E75" s="21"/>
      <c r="F75" s="22"/>
      <c r="G75" s="21"/>
      <c r="H75" s="21"/>
      <c r="I75" s="22"/>
    </row>
    <row r="76" spans="2:9" ht="14.45">
      <c r="B76" s="31"/>
      <c r="C76" s="21"/>
      <c r="D76" s="21"/>
      <c r="E76" s="21"/>
      <c r="F76" s="22"/>
      <c r="G76" s="21"/>
      <c r="H76" s="21"/>
      <c r="I76" s="22"/>
    </row>
    <row r="77" spans="2:9" ht="14.45">
      <c r="B77" s="31"/>
      <c r="C77" s="21"/>
      <c r="D77" s="21"/>
      <c r="E77" s="21"/>
      <c r="F77" s="22"/>
      <c r="G77" s="21"/>
      <c r="H77" s="21"/>
      <c r="I77" s="22"/>
    </row>
    <row r="78" spans="2:9" ht="14.45">
      <c r="B78" s="31"/>
      <c r="C78" s="21"/>
      <c r="D78" s="21"/>
      <c r="E78" s="21"/>
      <c r="F78" s="22"/>
      <c r="G78" s="21"/>
      <c r="H78" s="21"/>
      <c r="I78" s="22"/>
    </row>
    <row r="79" spans="2:9" ht="14.45">
      <c r="B79" s="31"/>
      <c r="C79" s="21"/>
      <c r="D79" s="21"/>
      <c r="E79" s="21"/>
      <c r="F79" s="22"/>
      <c r="G79" s="21"/>
      <c r="H79" s="21"/>
      <c r="I79" s="22"/>
    </row>
    <row r="80" spans="2:9" ht="14.45">
      <c r="B80" s="31"/>
      <c r="C80" s="21"/>
      <c r="D80" s="21"/>
      <c r="E80" s="21"/>
      <c r="F80" s="22"/>
      <c r="G80" s="21"/>
      <c r="H80" s="21"/>
      <c r="I80" s="22"/>
    </row>
    <row r="81" spans="2:9" ht="14.45">
      <c r="B81" s="31"/>
      <c r="C81" s="21"/>
      <c r="D81" s="21"/>
      <c r="E81" s="21"/>
      <c r="F81" s="22"/>
      <c r="G81" s="21"/>
      <c r="H81" s="21"/>
      <c r="I81" s="22"/>
    </row>
    <row r="82" spans="2:9" ht="14.45">
      <c r="B82" s="31"/>
      <c r="C82" s="21"/>
      <c r="D82" s="21"/>
      <c r="E82" s="21"/>
      <c r="F82" s="22"/>
      <c r="G82" s="21"/>
      <c r="H82" s="21"/>
      <c r="I82" s="22"/>
    </row>
    <row r="83" spans="2:9" ht="14.45">
      <c r="B83" s="31"/>
      <c r="C83" s="21"/>
      <c r="D83" s="21"/>
      <c r="E83" s="21"/>
      <c r="F83" s="22"/>
      <c r="G83" s="21"/>
      <c r="H83" s="21"/>
      <c r="I83" s="22"/>
    </row>
    <row r="84" spans="2:9" ht="14.45">
      <c r="B84" s="31"/>
      <c r="C84" s="21"/>
      <c r="D84" s="21"/>
      <c r="E84" s="21"/>
      <c r="F84" s="22"/>
      <c r="G84" s="21"/>
      <c r="H84" s="21"/>
      <c r="I84" s="22"/>
    </row>
    <row r="85" spans="2:9" ht="14.45">
      <c r="B85" s="31"/>
      <c r="C85" s="21"/>
      <c r="D85" s="21"/>
      <c r="E85" s="21"/>
      <c r="F85" s="22"/>
      <c r="G85" s="21"/>
      <c r="H85" s="21"/>
      <c r="I85" s="22"/>
    </row>
    <row r="86" spans="2:9" ht="14.45">
      <c r="B86" s="31"/>
      <c r="C86" s="21"/>
      <c r="D86" s="21"/>
      <c r="E86" s="21"/>
      <c r="F86" s="22"/>
      <c r="G86" s="21"/>
      <c r="H86" s="21"/>
      <c r="I86" s="22"/>
    </row>
    <row r="87" spans="2:9" ht="14.45">
      <c r="B87" s="31"/>
      <c r="C87" s="21"/>
      <c r="D87" s="21"/>
      <c r="E87" s="21"/>
      <c r="F87" s="22"/>
      <c r="G87" s="21"/>
      <c r="H87" s="21"/>
      <c r="I87" s="22"/>
    </row>
    <row r="88" spans="2:9" ht="14.45">
      <c r="B88" s="31"/>
      <c r="C88" s="21"/>
      <c r="D88" s="21"/>
      <c r="E88" s="21"/>
      <c r="F88" s="22"/>
      <c r="G88" s="21"/>
      <c r="H88" s="21"/>
      <c r="I88" s="22"/>
    </row>
    <row r="89" spans="2:9" ht="14.45">
      <c r="B89" s="31"/>
      <c r="C89" s="21"/>
      <c r="D89" s="21"/>
      <c r="E89" s="21"/>
      <c r="F89" s="22"/>
      <c r="G89" s="21"/>
      <c r="H89" s="21"/>
      <c r="I89" s="22"/>
    </row>
    <row r="90" spans="2:9" ht="14.45">
      <c r="B90" s="31"/>
      <c r="C90" s="21"/>
      <c r="D90" s="21"/>
      <c r="E90" s="21"/>
      <c r="F90" s="22"/>
      <c r="G90" s="21"/>
      <c r="H90" s="21"/>
      <c r="I90" s="22"/>
    </row>
    <row r="91" spans="2:9" ht="14.45">
      <c r="B91" s="31"/>
      <c r="C91" s="21"/>
      <c r="D91" s="21"/>
      <c r="E91" s="21"/>
      <c r="F91" s="22"/>
      <c r="G91" s="21"/>
      <c r="H91" s="21"/>
      <c r="I91" s="22"/>
    </row>
    <row r="92" spans="2:9" ht="14.45">
      <c r="B92" s="31"/>
      <c r="C92" s="21"/>
      <c r="D92" s="21"/>
      <c r="E92" s="21"/>
      <c r="F92" s="22"/>
      <c r="G92" s="21"/>
      <c r="H92" s="21"/>
      <c r="I92" s="22"/>
    </row>
    <row r="93" spans="2:9" ht="14.45">
      <c r="B93" s="31"/>
      <c r="C93" s="21"/>
      <c r="D93" s="21"/>
      <c r="E93" s="21"/>
      <c r="F93" s="22"/>
      <c r="G93" s="21"/>
      <c r="H93" s="21"/>
      <c r="I93" s="22"/>
    </row>
    <row r="94" spans="2:9" ht="14.45">
      <c r="B94" s="31"/>
      <c r="C94" s="21"/>
      <c r="D94" s="21"/>
      <c r="E94" s="21"/>
      <c r="F94" s="22"/>
      <c r="G94" s="21"/>
      <c r="H94" s="21"/>
      <c r="I94" s="22"/>
    </row>
    <row r="95" spans="2:9" ht="14.45">
      <c r="B95" s="31"/>
      <c r="C95" s="21"/>
      <c r="D95" s="21"/>
      <c r="E95" s="21"/>
      <c r="F95" s="22"/>
      <c r="G95" s="21"/>
      <c r="H95" s="21"/>
      <c r="I95" s="22"/>
    </row>
    <row r="96" spans="2:9" ht="14.45">
      <c r="B96" s="31"/>
      <c r="C96" s="21"/>
      <c r="D96" s="21"/>
      <c r="E96" s="21"/>
      <c r="F96" s="22"/>
      <c r="G96" s="21"/>
      <c r="H96" s="21"/>
      <c r="I96" s="22"/>
    </row>
    <row r="97" spans="2:9" ht="14.45">
      <c r="B97" s="31"/>
      <c r="C97" s="21"/>
      <c r="D97" s="21"/>
      <c r="E97" s="21"/>
      <c r="F97" s="22"/>
      <c r="G97" s="21"/>
      <c r="H97" s="21"/>
      <c r="I97" s="22"/>
    </row>
    <row r="98" spans="2:9" ht="14.45">
      <c r="B98" s="31"/>
      <c r="C98" s="21"/>
      <c r="D98" s="21"/>
      <c r="E98" s="21"/>
      <c r="F98" s="22"/>
      <c r="G98" s="21"/>
      <c r="H98" s="21"/>
      <c r="I98" s="22"/>
    </row>
    <row r="99" spans="2:9" ht="14.45">
      <c r="B99" s="31"/>
      <c r="C99" s="21"/>
      <c r="D99" s="21"/>
      <c r="E99" s="21"/>
      <c r="F99" s="22"/>
      <c r="G99" s="21"/>
      <c r="H99" s="21"/>
      <c r="I99" s="22"/>
    </row>
    <row r="100" spans="2:9" ht="14.45">
      <c r="B100" s="31"/>
      <c r="C100" s="21"/>
      <c r="D100" s="21"/>
      <c r="E100" s="21"/>
      <c r="F100" s="22"/>
      <c r="G100" s="21"/>
      <c r="H100" s="21"/>
      <c r="I100" s="22"/>
    </row>
    <row r="101" spans="2:9" ht="14.45">
      <c r="B101" s="31"/>
      <c r="C101" s="21"/>
      <c r="D101" s="21"/>
      <c r="E101" s="21"/>
      <c r="F101" s="22"/>
      <c r="G101" s="21"/>
      <c r="H101" s="21"/>
      <c r="I101" s="22"/>
    </row>
    <row r="102" spans="2:9" ht="14.45">
      <c r="B102" s="31"/>
      <c r="C102" s="21"/>
      <c r="D102" s="21"/>
      <c r="E102" s="21"/>
      <c r="F102" s="22"/>
      <c r="G102" s="21"/>
      <c r="H102" s="21"/>
      <c r="I102" s="22"/>
    </row>
    <row r="103" spans="2:9" ht="14.45">
      <c r="B103" s="31"/>
      <c r="C103" s="21"/>
      <c r="D103" s="21"/>
      <c r="E103" s="21"/>
      <c r="F103" s="22"/>
      <c r="G103" s="21"/>
      <c r="H103" s="21"/>
      <c r="I103" s="22"/>
    </row>
    <row r="104" spans="2:9" ht="14.45">
      <c r="B104" s="31"/>
      <c r="C104" s="21"/>
      <c r="D104" s="21"/>
      <c r="E104" s="21"/>
      <c r="F104" s="22"/>
      <c r="G104" s="21"/>
      <c r="H104" s="21"/>
      <c r="I104" s="22"/>
    </row>
    <row r="105" spans="2:9" ht="14.45">
      <c r="B105" s="31"/>
      <c r="C105" s="21"/>
      <c r="D105" s="21"/>
      <c r="E105" s="21"/>
      <c r="F105" s="22"/>
      <c r="G105" s="21"/>
      <c r="H105" s="21"/>
      <c r="I105" s="22"/>
    </row>
    <row r="106" spans="2:9" ht="14.45">
      <c r="B106" s="31"/>
      <c r="C106" s="21"/>
      <c r="D106" s="21"/>
      <c r="E106" s="21"/>
      <c r="F106" s="22"/>
      <c r="G106" s="21"/>
      <c r="H106" s="21"/>
      <c r="I106" s="22"/>
    </row>
    <row r="107" spans="2:9" ht="14.45">
      <c r="B107" s="31"/>
      <c r="C107" s="21"/>
      <c r="D107" s="21"/>
      <c r="E107" s="21"/>
      <c r="F107" s="22"/>
      <c r="G107" s="21"/>
      <c r="H107" s="21"/>
      <c r="I107" s="22"/>
    </row>
    <row r="108" spans="2:9" ht="14.45">
      <c r="B108" s="31"/>
      <c r="C108" s="21"/>
      <c r="D108" s="21"/>
      <c r="E108" s="21"/>
      <c r="F108" s="22"/>
      <c r="G108" s="21"/>
      <c r="H108" s="21"/>
      <c r="I108" s="22"/>
    </row>
    <row r="109" spans="2:9" ht="14.45">
      <c r="B109" s="31"/>
      <c r="C109" s="21"/>
      <c r="D109" s="21"/>
      <c r="E109" s="21"/>
      <c r="F109" s="22"/>
      <c r="G109" s="21"/>
      <c r="H109" s="21"/>
      <c r="I109" s="22"/>
    </row>
    <row r="110" spans="2:9" ht="14.45">
      <c r="B110" s="31"/>
      <c r="C110" s="21"/>
      <c r="D110" s="21"/>
      <c r="E110" s="21"/>
      <c r="F110" s="22"/>
      <c r="G110" s="21"/>
      <c r="H110" s="21"/>
      <c r="I110" s="22"/>
    </row>
    <row r="111" spans="2:9" ht="14.45">
      <c r="B111" s="31"/>
      <c r="C111" s="21"/>
      <c r="D111" s="21"/>
      <c r="E111" s="21"/>
      <c r="F111" s="22"/>
      <c r="G111" s="21"/>
      <c r="H111" s="21"/>
      <c r="I111" s="22"/>
    </row>
    <row r="112" spans="2:9" ht="14.45">
      <c r="B112" s="31"/>
      <c r="C112" s="21"/>
      <c r="D112" s="21"/>
      <c r="E112" s="21"/>
      <c r="F112" s="22"/>
      <c r="G112" s="21"/>
      <c r="H112" s="21"/>
      <c r="I112" s="22"/>
    </row>
    <row r="113" spans="2:9" ht="14.45">
      <c r="B113" s="31"/>
      <c r="C113" s="21"/>
      <c r="D113" s="21"/>
      <c r="E113" s="21"/>
      <c r="F113" s="22"/>
      <c r="G113" s="21"/>
      <c r="H113" s="21"/>
      <c r="I113" s="22"/>
    </row>
    <row r="114" spans="2:9" ht="14.45">
      <c r="B114" s="31"/>
      <c r="C114" s="21"/>
      <c r="D114" s="21"/>
      <c r="E114" s="21"/>
      <c r="F114" s="22"/>
      <c r="G114" s="21"/>
      <c r="H114" s="21"/>
      <c r="I114" s="22"/>
    </row>
    <row r="115" spans="2:9" ht="14.45">
      <c r="B115" s="31"/>
      <c r="C115" s="21"/>
      <c r="D115" s="21"/>
      <c r="E115" s="21"/>
      <c r="F115" s="22"/>
      <c r="G115" s="21"/>
      <c r="H115" s="21"/>
      <c r="I115" s="22"/>
    </row>
    <row r="116" spans="2:9" ht="14.45">
      <c r="B116" s="31"/>
      <c r="C116" s="21"/>
      <c r="D116" s="21"/>
      <c r="E116" s="21"/>
      <c r="F116" s="22"/>
      <c r="G116" s="21"/>
      <c r="H116" s="21"/>
      <c r="I116" s="22"/>
    </row>
    <row r="117" spans="2:9" ht="14.45">
      <c r="B117" s="31"/>
      <c r="C117" s="21"/>
      <c r="D117" s="21"/>
      <c r="E117" s="21"/>
      <c r="F117" s="22"/>
      <c r="G117" s="21"/>
      <c r="H117" s="21"/>
      <c r="I117" s="22"/>
    </row>
    <row r="118" spans="2:9" ht="14.45">
      <c r="B118" s="31"/>
      <c r="C118" s="21"/>
      <c r="D118" s="21"/>
      <c r="E118" s="21"/>
      <c r="F118" s="22"/>
      <c r="G118" s="21"/>
      <c r="H118" s="21"/>
      <c r="I118" s="22"/>
    </row>
    <row r="119" spans="2:9" ht="14.45">
      <c r="B119" s="31"/>
      <c r="C119" s="21"/>
      <c r="D119" s="21"/>
      <c r="E119" s="21"/>
      <c r="F119" s="22"/>
      <c r="G119" s="21"/>
      <c r="H119" s="21"/>
      <c r="I119" s="22"/>
    </row>
    <row r="120" spans="2:9" ht="14.45">
      <c r="B120" s="31"/>
      <c r="C120" s="21"/>
      <c r="D120" s="21"/>
      <c r="E120" s="21"/>
      <c r="F120" s="22"/>
      <c r="G120" s="21"/>
      <c r="H120" s="21"/>
      <c r="I120" s="22"/>
    </row>
    <row r="121" spans="2:9" ht="14.45">
      <c r="B121" s="31"/>
      <c r="C121" s="21"/>
      <c r="D121" s="21"/>
      <c r="E121" s="21"/>
      <c r="F121" s="22"/>
      <c r="G121" s="21"/>
      <c r="H121" s="21"/>
      <c r="I121" s="22"/>
    </row>
    <row r="122" spans="2:9" ht="14.45">
      <c r="B122" s="31"/>
      <c r="C122" s="21"/>
      <c r="D122" s="21"/>
      <c r="E122" s="21"/>
      <c r="F122" s="22"/>
      <c r="G122" s="21"/>
      <c r="H122" s="21"/>
      <c r="I122" s="22"/>
    </row>
    <row r="123" spans="2:9" ht="14.45">
      <c r="B123" s="31"/>
      <c r="C123" s="21"/>
      <c r="D123" s="21"/>
      <c r="E123" s="21"/>
      <c r="F123" s="22"/>
      <c r="G123" s="21"/>
      <c r="H123" s="21"/>
      <c r="I123" s="22"/>
    </row>
    <row r="124" spans="2:9" ht="14.45">
      <c r="B124" s="31"/>
      <c r="C124" s="21"/>
      <c r="D124" s="21"/>
      <c r="E124" s="21"/>
      <c r="F124" s="22"/>
      <c r="G124" s="21"/>
      <c r="H124" s="21"/>
      <c r="I124" s="22"/>
    </row>
    <row r="125" spans="2:9" ht="14.45">
      <c r="B125" s="31"/>
      <c r="C125" s="21"/>
      <c r="D125" s="21"/>
      <c r="E125" s="21"/>
      <c r="F125" s="22"/>
      <c r="G125" s="21"/>
      <c r="H125" s="21"/>
      <c r="I125" s="22"/>
    </row>
    <row r="126" spans="2:9" ht="14.45">
      <c r="B126" s="31"/>
      <c r="C126" s="21"/>
      <c r="D126" s="21"/>
      <c r="E126" s="21"/>
      <c r="F126" s="22"/>
      <c r="G126" s="21"/>
      <c r="H126" s="21"/>
      <c r="I126" s="22"/>
    </row>
    <row r="127" spans="2:9" ht="14.45">
      <c r="B127" s="31"/>
      <c r="C127" s="21"/>
      <c r="D127" s="21"/>
      <c r="E127" s="21"/>
      <c r="F127" s="22"/>
      <c r="G127" s="21"/>
      <c r="H127" s="21"/>
      <c r="I127" s="22"/>
    </row>
    <row r="128" spans="2:9" ht="14.45">
      <c r="B128" s="31"/>
      <c r="C128" s="21"/>
      <c r="D128" s="21"/>
      <c r="E128" s="21"/>
      <c r="F128" s="22"/>
      <c r="G128" s="21"/>
      <c r="H128" s="21"/>
      <c r="I128" s="22"/>
    </row>
    <row r="129" spans="2:9" ht="14.45">
      <c r="B129" s="31"/>
      <c r="C129" s="21"/>
      <c r="D129" s="21"/>
      <c r="E129" s="21"/>
      <c r="F129" s="22"/>
      <c r="G129" s="21"/>
      <c r="H129" s="21"/>
      <c r="I129" s="22"/>
    </row>
    <row r="130" spans="2:9" ht="14.45">
      <c r="B130" s="31"/>
      <c r="C130" s="21"/>
      <c r="D130" s="21"/>
      <c r="E130" s="21"/>
      <c r="F130" s="22"/>
      <c r="G130" s="21"/>
      <c r="H130" s="21"/>
      <c r="I130" s="22"/>
    </row>
    <row r="131" spans="2:9" ht="14.45">
      <c r="B131" s="31"/>
      <c r="C131" s="21"/>
      <c r="D131" s="21"/>
      <c r="E131" s="21"/>
      <c r="F131" s="22"/>
      <c r="G131" s="21"/>
      <c r="H131" s="21"/>
      <c r="I131" s="22"/>
    </row>
    <row r="132" spans="2:9" ht="14.45">
      <c r="B132" s="31"/>
      <c r="C132" s="21"/>
      <c r="D132" s="21"/>
      <c r="E132" s="21"/>
      <c r="F132" s="22"/>
      <c r="G132" s="21"/>
      <c r="H132" s="21"/>
      <c r="I132" s="22"/>
    </row>
    <row r="133" spans="2:9" ht="14.45">
      <c r="B133" s="31"/>
      <c r="C133" s="21"/>
      <c r="D133" s="21"/>
      <c r="E133" s="21"/>
      <c r="F133" s="22"/>
      <c r="G133" s="21"/>
      <c r="H133" s="21"/>
      <c r="I133" s="22"/>
    </row>
    <row r="134" spans="2:9" ht="14.45">
      <c r="B134" s="31"/>
      <c r="C134" s="21"/>
      <c r="D134" s="21"/>
      <c r="E134" s="21"/>
      <c r="F134" s="22"/>
      <c r="G134" s="21"/>
      <c r="H134" s="21"/>
      <c r="I134" s="22"/>
    </row>
    <row r="135" spans="2:9" ht="14.45">
      <c r="B135" s="31"/>
      <c r="C135" s="21"/>
      <c r="D135" s="21"/>
      <c r="E135" s="21"/>
      <c r="F135" s="22"/>
      <c r="G135" s="21"/>
      <c r="H135" s="21"/>
      <c r="I135" s="22"/>
    </row>
    <row r="136" spans="2:9" ht="14.45">
      <c r="B136" s="31"/>
      <c r="C136" s="21"/>
      <c r="D136" s="21"/>
      <c r="E136" s="21"/>
      <c r="F136" s="22"/>
      <c r="G136" s="21"/>
      <c r="H136" s="21"/>
      <c r="I136" s="22"/>
    </row>
    <row r="137" spans="2:9" ht="14.45">
      <c r="B137" s="31"/>
      <c r="C137" s="21"/>
      <c r="D137" s="21"/>
      <c r="E137" s="21"/>
      <c r="F137" s="22"/>
      <c r="G137" s="21"/>
      <c r="H137" s="21"/>
      <c r="I137" s="22"/>
    </row>
    <row r="138" spans="2:9" ht="14.45">
      <c r="B138" s="31"/>
      <c r="C138" s="21"/>
      <c r="D138" s="21"/>
      <c r="E138" s="21"/>
      <c r="F138" s="22"/>
      <c r="G138" s="21"/>
      <c r="H138" s="21"/>
      <c r="I138" s="22"/>
    </row>
    <row r="139" spans="2:9" ht="14.45">
      <c r="B139" s="31"/>
      <c r="C139" s="21"/>
      <c r="D139" s="21"/>
      <c r="E139" s="21"/>
      <c r="F139" s="22"/>
      <c r="G139" s="21"/>
      <c r="H139" s="21"/>
      <c r="I139" s="22"/>
    </row>
    <row r="140" spans="2:9" ht="14.45">
      <c r="B140" s="31"/>
      <c r="C140" s="21"/>
      <c r="D140" s="21"/>
      <c r="E140" s="21"/>
      <c r="F140" s="22"/>
      <c r="G140" s="21"/>
      <c r="H140" s="21"/>
      <c r="I140" s="22"/>
    </row>
    <row r="141" spans="2:9" ht="14.45">
      <c r="B141" s="31"/>
      <c r="C141" s="21"/>
      <c r="D141" s="21"/>
      <c r="E141" s="21"/>
      <c r="F141" s="22"/>
      <c r="G141" s="21"/>
      <c r="H141" s="21"/>
      <c r="I141" s="22"/>
    </row>
    <row r="142" spans="2:9" ht="14.45">
      <c r="B142" s="31"/>
      <c r="C142" s="21"/>
      <c r="D142" s="21"/>
      <c r="E142" s="21"/>
      <c r="F142" s="22"/>
      <c r="G142" s="21"/>
      <c r="H142" s="21"/>
      <c r="I142" s="22"/>
    </row>
    <row r="143" spans="2:9" ht="14.45">
      <c r="B143" s="31"/>
      <c r="C143" s="21"/>
      <c r="D143" s="21"/>
      <c r="E143" s="21"/>
      <c r="F143" s="22"/>
      <c r="G143" s="21"/>
      <c r="H143" s="21"/>
      <c r="I143" s="22"/>
    </row>
    <row r="144" spans="2:9" ht="14.45">
      <c r="B144" s="31"/>
      <c r="C144" s="21"/>
      <c r="D144" s="21"/>
      <c r="E144" s="21"/>
      <c r="F144" s="22"/>
      <c r="G144" s="21"/>
      <c r="H144" s="21"/>
      <c r="I144" s="22"/>
    </row>
    <row r="145" spans="2:9" ht="14.45">
      <c r="B145" s="31"/>
      <c r="C145" s="21"/>
      <c r="D145" s="21"/>
      <c r="E145" s="21"/>
      <c r="F145" s="22"/>
      <c r="G145" s="21"/>
      <c r="H145" s="21"/>
      <c r="I145" s="22"/>
    </row>
    <row r="146" spans="2:9" ht="14.45">
      <c r="B146" s="31"/>
      <c r="C146" s="21"/>
      <c r="D146" s="21"/>
      <c r="E146" s="21"/>
      <c r="F146" s="22"/>
      <c r="G146" s="21"/>
      <c r="H146" s="21"/>
      <c r="I146" s="22"/>
    </row>
    <row r="147" spans="2:9" ht="14.45">
      <c r="B147" s="31"/>
      <c r="C147" s="21"/>
      <c r="D147" s="21"/>
      <c r="E147" s="21"/>
      <c r="F147" s="22"/>
      <c r="G147" s="21"/>
      <c r="H147" s="21"/>
      <c r="I147" s="22"/>
    </row>
    <row r="148" spans="2:9" ht="14.45">
      <c r="B148" s="31"/>
      <c r="C148" s="21"/>
      <c r="D148" s="21"/>
      <c r="E148" s="21"/>
      <c r="F148" s="22"/>
      <c r="G148" s="21"/>
      <c r="H148" s="21"/>
      <c r="I148" s="22"/>
    </row>
    <row r="149" spans="2:9" ht="14.45">
      <c r="B149" s="31"/>
      <c r="C149" s="21"/>
      <c r="D149" s="21"/>
      <c r="E149" s="21"/>
      <c r="F149" s="22"/>
      <c r="G149" s="21"/>
      <c r="H149" s="21"/>
      <c r="I149" s="22"/>
    </row>
    <row r="150" spans="2:9" ht="14.45">
      <c r="B150" s="31"/>
      <c r="C150" s="21"/>
      <c r="D150" s="21"/>
      <c r="E150" s="21"/>
      <c r="F150" s="22"/>
      <c r="G150" s="21"/>
      <c r="H150" s="21"/>
      <c r="I150" s="22"/>
    </row>
    <row r="151" spans="2:9" ht="14.45">
      <c r="B151" s="31"/>
      <c r="C151" s="21"/>
      <c r="D151" s="21"/>
      <c r="E151" s="21"/>
      <c r="F151" s="22"/>
      <c r="G151" s="21"/>
      <c r="H151" s="21"/>
      <c r="I151" s="22"/>
    </row>
    <row r="152" spans="2:9" ht="14.45">
      <c r="B152" s="31"/>
      <c r="C152" s="21"/>
      <c r="D152" s="21"/>
      <c r="E152" s="21"/>
      <c r="F152" s="22"/>
      <c r="G152" s="21"/>
      <c r="H152" s="21"/>
      <c r="I152" s="22"/>
    </row>
    <row r="153" spans="2:9" ht="14.45">
      <c r="B153" s="31"/>
      <c r="C153" s="21"/>
      <c r="D153" s="21"/>
      <c r="E153" s="21"/>
      <c r="F153" s="22"/>
      <c r="G153" s="21"/>
      <c r="H153" s="21"/>
      <c r="I153" s="22"/>
    </row>
    <row r="154" spans="2:9" ht="14.45">
      <c r="B154" s="31"/>
      <c r="C154" s="21"/>
      <c r="D154" s="21"/>
      <c r="E154" s="21"/>
      <c r="F154" s="22"/>
      <c r="G154" s="21"/>
      <c r="H154" s="21"/>
      <c r="I154" s="22"/>
    </row>
    <row r="155" spans="2:9" ht="14.45">
      <c r="B155" s="31"/>
      <c r="C155" s="21"/>
      <c r="D155" s="21"/>
      <c r="E155" s="21"/>
      <c r="F155" s="22"/>
      <c r="G155" s="21"/>
      <c r="H155" s="21"/>
      <c r="I155" s="22"/>
    </row>
    <row r="156" spans="2:9" ht="14.45">
      <c r="B156" s="31"/>
      <c r="C156" s="21"/>
      <c r="D156" s="21"/>
      <c r="E156" s="21"/>
      <c r="F156" s="22"/>
      <c r="G156" s="21"/>
      <c r="H156" s="21"/>
      <c r="I156" s="22"/>
    </row>
    <row r="157" spans="2:9" ht="14.45">
      <c r="B157" s="31"/>
      <c r="C157" s="21"/>
      <c r="D157" s="21"/>
      <c r="E157" s="21"/>
      <c r="F157" s="22"/>
      <c r="G157" s="21"/>
      <c r="H157" s="21"/>
      <c r="I157" s="22"/>
    </row>
    <row r="158" spans="2:9" ht="14.45">
      <c r="B158" s="31"/>
      <c r="C158" s="21"/>
      <c r="D158" s="21"/>
      <c r="E158" s="21"/>
      <c r="F158" s="22"/>
      <c r="G158" s="21"/>
      <c r="H158" s="21"/>
      <c r="I158" s="22"/>
    </row>
    <row r="159" spans="2:9" ht="14.45">
      <c r="B159" s="31"/>
      <c r="C159" s="21"/>
      <c r="D159" s="21"/>
      <c r="E159" s="21"/>
      <c r="F159" s="22"/>
      <c r="G159" s="21"/>
      <c r="H159" s="21"/>
      <c r="I159" s="22"/>
    </row>
    <row r="160" spans="2:9" ht="14.45">
      <c r="B160" s="31"/>
      <c r="C160" s="21"/>
      <c r="D160" s="21"/>
      <c r="E160" s="21"/>
      <c r="F160" s="22"/>
      <c r="G160" s="21"/>
      <c r="H160" s="21"/>
      <c r="I160" s="22"/>
    </row>
    <row r="161" spans="2:9" ht="14.45">
      <c r="B161" s="31"/>
      <c r="C161" s="21"/>
      <c r="D161" s="21"/>
      <c r="E161" s="21"/>
      <c r="F161" s="22"/>
      <c r="G161" s="21"/>
      <c r="H161" s="21"/>
      <c r="I161" s="22"/>
    </row>
    <row r="162" spans="2:9" ht="14.45">
      <c r="B162" s="31"/>
      <c r="C162" s="21"/>
      <c r="D162" s="21"/>
      <c r="E162" s="21"/>
      <c r="F162" s="22"/>
      <c r="G162" s="21"/>
      <c r="H162" s="21"/>
      <c r="I162" s="22"/>
    </row>
    <row r="163" spans="2:9" ht="14.45">
      <c r="B163" s="31"/>
      <c r="C163" s="21"/>
      <c r="D163" s="21"/>
      <c r="E163" s="21"/>
      <c r="F163" s="22"/>
      <c r="G163" s="21"/>
      <c r="H163" s="21"/>
      <c r="I163" s="22"/>
    </row>
    <row r="164" spans="2:9" ht="14.45">
      <c r="B164" s="31"/>
      <c r="C164" s="21"/>
      <c r="D164" s="21"/>
      <c r="E164" s="21"/>
      <c r="F164" s="22"/>
      <c r="G164" s="21"/>
      <c r="H164" s="21"/>
      <c r="I164" s="22"/>
    </row>
    <row r="165" spans="2:9" ht="14.45">
      <c r="B165" s="31"/>
      <c r="C165" s="21"/>
      <c r="D165" s="21"/>
      <c r="E165" s="21"/>
      <c r="F165" s="22"/>
      <c r="G165" s="21"/>
      <c r="H165" s="21"/>
      <c r="I165" s="22"/>
    </row>
    <row r="166" spans="2:9" ht="14.45">
      <c r="B166" s="31"/>
      <c r="C166" s="21"/>
      <c r="D166" s="21"/>
      <c r="E166" s="21"/>
      <c r="F166" s="22"/>
      <c r="G166" s="21"/>
      <c r="H166" s="21"/>
      <c r="I166" s="22"/>
    </row>
    <row r="167" spans="2:9" ht="14.45">
      <c r="B167" s="31"/>
      <c r="C167" s="21"/>
      <c r="D167" s="21"/>
      <c r="E167" s="21"/>
      <c r="F167" s="22"/>
      <c r="G167" s="21"/>
      <c r="H167" s="21"/>
      <c r="I167" s="22"/>
    </row>
    <row r="168" spans="2:9" ht="14.45">
      <c r="B168" s="31"/>
      <c r="C168" s="21"/>
      <c r="D168" s="21"/>
      <c r="E168" s="21"/>
      <c r="F168" s="22"/>
      <c r="G168" s="21"/>
      <c r="H168" s="21"/>
      <c r="I168" s="22"/>
    </row>
    <row r="169" spans="2:9" ht="14.45">
      <c r="B169" s="31"/>
      <c r="C169" s="21"/>
      <c r="D169" s="21"/>
      <c r="E169" s="21"/>
      <c r="F169" s="22"/>
      <c r="G169" s="21"/>
      <c r="H169" s="21"/>
      <c r="I169" s="22"/>
    </row>
    <row r="170" spans="2:9" ht="14.45">
      <c r="B170" s="31"/>
      <c r="C170" s="21"/>
      <c r="D170" s="21"/>
      <c r="E170" s="21"/>
      <c r="F170" s="22"/>
      <c r="G170" s="21"/>
      <c r="H170" s="21"/>
      <c r="I170" s="22"/>
    </row>
    <row r="171" spans="2:9" ht="14.45">
      <c r="B171" s="31"/>
      <c r="C171" s="21"/>
      <c r="D171" s="21"/>
      <c r="E171" s="21"/>
      <c r="F171" s="22"/>
      <c r="G171" s="21"/>
      <c r="H171" s="21"/>
      <c r="I171" s="22"/>
    </row>
    <row r="172" spans="2:9" ht="14.45">
      <c r="B172" s="31"/>
      <c r="C172" s="21"/>
      <c r="D172" s="21"/>
      <c r="E172" s="21"/>
      <c r="F172" s="22"/>
      <c r="G172" s="21"/>
      <c r="H172" s="21"/>
      <c r="I172" s="22"/>
    </row>
    <row r="173" spans="2:9" ht="14.45">
      <c r="B173" s="31"/>
      <c r="C173" s="21"/>
      <c r="D173" s="21"/>
      <c r="E173" s="21"/>
      <c r="F173" s="22"/>
      <c r="G173" s="21"/>
      <c r="H173" s="21"/>
      <c r="I173" s="22"/>
    </row>
    <row r="174" spans="2:9" ht="14.45">
      <c r="B174" s="31"/>
      <c r="C174" s="21"/>
      <c r="D174" s="21"/>
      <c r="E174" s="21"/>
      <c r="F174" s="22"/>
      <c r="G174" s="21"/>
      <c r="H174" s="21"/>
      <c r="I174" s="22"/>
    </row>
    <row r="175" spans="2:9" ht="14.45">
      <c r="B175" s="31"/>
      <c r="C175" s="21"/>
      <c r="D175" s="21"/>
      <c r="E175" s="21"/>
      <c r="F175" s="22"/>
      <c r="G175" s="21"/>
      <c r="H175" s="21"/>
      <c r="I175" s="22"/>
    </row>
    <row r="176" spans="2:9" ht="14.45">
      <c r="B176" s="31"/>
      <c r="C176" s="21"/>
      <c r="D176" s="21"/>
      <c r="E176" s="21"/>
      <c r="F176" s="22"/>
      <c r="G176" s="21"/>
      <c r="H176" s="21"/>
      <c r="I176" s="22"/>
    </row>
    <row r="177" spans="2:9" ht="14.45">
      <c r="B177" s="31"/>
      <c r="C177" s="21"/>
      <c r="D177" s="21"/>
      <c r="E177" s="21"/>
      <c r="F177" s="22"/>
      <c r="G177" s="21"/>
      <c r="H177" s="21"/>
      <c r="I177" s="22"/>
    </row>
    <row r="178" spans="2:9" ht="14.45">
      <c r="B178" s="31"/>
      <c r="C178" s="21"/>
      <c r="D178" s="21"/>
      <c r="E178" s="21"/>
      <c r="F178" s="22"/>
      <c r="G178" s="21"/>
      <c r="H178" s="21"/>
      <c r="I178" s="22"/>
    </row>
    <row r="179" spans="2:9" ht="14.45">
      <c r="B179" s="31"/>
      <c r="C179" s="21"/>
      <c r="D179" s="21"/>
      <c r="E179" s="21"/>
      <c r="F179" s="22"/>
      <c r="G179" s="21"/>
      <c r="H179" s="21"/>
      <c r="I179" s="22"/>
    </row>
    <row r="180" spans="2:9" ht="14.45">
      <c r="B180" s="31"/>
      <c r="C180" s="21"/>
      <c r="D180" s="21"/>
      <c r="E180" s="21"/>
      <c r="F180" s="22"/>
      <c r="G180" s="21"/>
      <c r="H180" s="21"/>
      <c r="I180" s="22"/>
    </row>
    <row r="181" spans="2:9" ht="14.45">
      <c r="B181" s="31"/>
      <c r="C181" s="21"/>
      <c r="D181" s="21"/>
      <c r="E181" s="21"/>
      <c r="F181" s="22"/>
      <c r="G181" s="21"/>
      <c r="H181" s="21"/>
      <c r="I181" s="22"/>
    </row>
    <row r="182" spans="2:9" ht="14.45">
      <c r="B182" s="31"/>
      <c r="C182" s="21"/>
      <c r="D182" s="21"/>
      <c r="E182" s="21"/>
      <c r="F182" s="22"/>
      <c r="G182" s="21"/>
      <c r="H182" s="21"/>
      <c r="I182" s="22"/>
    </row>
    <row r="183" spans="2:9" ht="14.45">
      <c r="B183" s="31"/>
      <c r="C183" s="21"/>
      <c r="D183" s="21"/>
      <c r="E183" s="21"/>
      <c r="F183" s="22"/>
      <c r="G183" s="21"/>
      <c r="H183" s="21"/>
      <c r="I183" s="22"/>
    </row>
    <row r="184" spans="2:9" ht="14.45">
      <c r="B184" s="31"/>
      <c r="C184" s="21"/>
      <c r="D184" s="21"/>
      <c r="E184" s="21"/>
      <c r="F184" s="22"/>
      <c r="G184" s="21"/>
      <c r="H184" s="21"/>
      <c r="I184" s="22"/>
    </row>
    <row r="185" spans="2:9" ht="14.45">
      <c r="B185" s="31"/>
      <c r="C185" s="21"/>
      <c r="D185" s="21"/>
      <c r="E185" s="21"/>
      <c r="F185" s="22"/>
      <c r="G185" s="21"/>
      <c r="H185" s="21"/>
      <c r="I185" s="22"/>
    </row>
    <row r="186" spans="2:9" ht="14.45">
      <c r="B186" s="31"/>
      <c r="C186" s="21"/>
      <c r="D186" s="21"/>
      <c r="E186" s="21"/>
      <c r="F186" s="22"/>
      <c r="G186" s="21"/>
      <c r="H186" s="21"/>
      <c r="I186" s="22"/>
    </row>
    <row r="187" spans="2:9" ht="14.45">
      <c r="B187" s="31"/>
      <c r="C187" s="21"/>
      <c r="D187" s="21"/>
      <c r="E187" s="21"/>
      <c r="F187" s="22"/>
      <c r="G187" s="21"/>
      <c r="H187" s="21"/>
      <c r="I187" s="22"/>
    </row>
    <row r="188" spans="2:9" ht="14.45">
      <c r="B188" s="31"/>
      <c r="C188" s="21"/>
      <c r="D188" s="21"/>
      <c r="E188" s="21"/>
      <c r="F188" s="22"/>
      <c r="G188" s="21"/>
      <c r="H188" s="21"/>
      <c r="I188" s="22"/>
    </row>
    <row r="189" spans="2:9" ht="14.45">
      <c r="B189" s="31"/>
      <c r="C189" s="21"/>
      <c r="D189" s="21"/>
      <c r="E189" s="21"/>
      <c r="F189" s="22"/>
      <c r="G189" s="21"/>
      <c r="H189" s="21"/>
      <c r="I189" s="22"/>
    </row>
    <row r="190" spans="2:9" ht="14.45">
      <c r="B190" s="31"/>
      <c r="C190" s="21"/>
      <c r="D190" s="21"/>
      <c r="E190" s="21"/>
      <c r="F190" s="22"/>
      <c r="G190" s="21"/>
      <c r="H190" s="21"/>
      <c r="I190" s="22"/>
    </row>
    <row r="191" spans="2:9" ht="14.45">
      <c r="B191" s="31"/>
      <c r="C191" s="21"/>
      <c r="D191" s="21"/>
      <c r="E191" s="21"/>
      <c r="F191" s="22"/>
      <c r="G191" s="21"/>
      <c r="H191" s="21"/>
      <c r="I191" s="22"/>
    </row>
    <row r="192" spans="2:9" ht="14.45">
      <c r="B192" s="31"/>
      <c r="C192" s="21"/>
      <c r="D192" s="21"/>
      <c r="E192" s="21"/>
      <c r="F192" s="22"/>
      <c r="G192" s="21"/>
      <c r="H192" s="21"/>
      <c r="I192" s="22"/>
    </row>
    <row r="193" spans="2:9" ht="14.45">
      <c r="B193" s="31"/>
      <c r="C193" s="21"/>
      <c r="D193" s="21"/>
      <c r="E193" s="21"/>
      <c r="F193" s="22"/>
      <c r="G193" s="21"/>
      <c r="H193" s="21"/>
      <c r="I193" s="22"/>
    </row>
    <row r="194" spans="2:9" ht="14.45">
      <c r="B194" s="31"/>
      <c r="C194" s="21"/>
      <c r="D194" s="21"/>
      <c r="E194" s="21"/>
      <c r="F194" s="22"/>
      <c r="G194" s="21"/>
      <c r="H194" s="21"/>
      <c r="I194" s="22"/>
    </row>
    <row r="195" spans="2:9" ht="14.45">
      <c r="B195" s="31"/>
      <c r="C195" s="21"/>
      <c r="D195" s="21"/>
      <c r="E195" s="21"/>
      <c r="F195" s="22"/>
      <c r="G195" s="21"/>
      <c r="H195" s="21"/>
      <c r="I195" s="22"/>
    </row>
    <row r="196" spans="2:9" ht="14.45">
      <c r="B196" s="31"/>
      <c r="C196" s="21"/>
      <c r="D196" s="21"/>
      <c r="E196" s="21"/>
      <c r="F196" s="22"/>
      <c r="G196" s="21"/>
      <c r="H196" s="21"/>
      <c r="I196" s="22"/>
    </row>
    <row r="197" spans="2:9" ht="14.45">
      <c r="B197" s="31"/>
      <c r="C197" s="21"/>
      <c r="D197" s="21"/>
      <c r="E197" s="21"/>
      <c r="F197" s="22"/>
      <c r="G197" s="21"/>
      <c r="H197" s="21"/>
      <c r="I197" s="22"/>
    </row>
    <row r="198" spans="2:9" ht="14.45">
      <c r="B198" s="31"/>
      <c r="C198" s="21"/>
      <c r="D198" s="21"/>
      <c r="E198" s="21"/>
      <c r="F198" s="22"/>
      <c r="G198" s="21"/>
      <c r="H198" s="21"/>
      <c r="I198" s="22"/>
    </row>
    <row r="199" spans="2:9" ht="14.45">
      <c r="B199" s="31"/>
      <c r="C199" s="21"/>
      <c r="D199" s="21"/>
      <c r="E199" s="21"/>
      <c r="F199" s="22"/>
      <c r="G199" s="21"/>
      <c r="H199" s="21"/>
      <c r="I199" s="22"/>
    </row>
    <row r="200" spans="2:9" ht="14.45">
      <c r="B200" s="31"/>
      <c r="C200" s="21"/>
      <c r="D200" s="21"/>
      <c r="E200" s="21"/>
      <c r="F200" s="22"/>
      <c r="G200" s="21"/>
      <c r="H200" s="21"/>
      <c r="I200" s="22"/>
    </row>
    <row r="201" spans="2:9" ht="14.45">
      <c r="B201" s="31"/>
      <c r="C201" s="21"/>
      <c r="D201" s="21"/>
      <c r="E201" s="21"/>
      <c r="F201" s="22"/>
      <c r="G201" s="21"/>
      <c r="H201" s="21"/>
      <c r="I201" s="22"/>
    </row>
    <row r="202" spans="2:9" ht="14.45">
      <c r="B202" s="31"/>
      <c r="C202" s="21"/>
      <c r="D202" s="21"/>
      <c r="E202" s="21"/>
      <c r="F202" s="22"/>
      <c r="G202" s="21"/>
      <c r="H202" s="21"/>
      <c r="I202" s="22"/>
    </row>
    <row r="203" spans="2:9" ht="14.45">
      <c r="B203" s="31"/>
      <c r="C203" s="21"/>
      <c r="D203" s="21"/>
      <c r="E203" s="21"/>
      <c r="F203" s="22"/>
      <c r="G203" s="21"/>
      <c r="H203" s="21"/>
      <c r="I203" s="22"/>
    </row>
    <row r="204" spans="2:9" ht="14.45">
      <c r="B204" s="31"/>
      <c r="C204" s="21"/>
      <c r="D204" s="21"/>
      <c r="E204" s="21"/>
      <c r="F204" s="22"/>
      <c r="G204" s="21"/>
      <c r="H204" s="21"/>
      <c r="I204" s="22"/>
    </row>
    <row r="205" spans="2:9" ht="14.45">
      <c r="B205" s="31"/>
      <c r="C205" s="21"/>
      <c r="D205" s="21"/>
      <c r="E205" s="21"/>
      <c r="F205" s="22"/>
      <c r="G205" s="21"/>
      <c r="H205" s="21"/>
      <c r="I205" s="22"/>
    </row>
    <row r="206" spans="2:9" ht="14.45">
      <c r="B206" s="31"/>
      <c r="C206" s="21"/>
      <c r="D206" s="21"/>
      <c r="E206" s="21"/>
      <c r="F206" s="22"/>
      <c r="G206" s="21"/>
      <c r="H206" s="21"/>
      <c r="I206" s="22"/>
    </row>
    <row r="207" spans="2:9" ht="14.45">
      <c r="B207" s="31"/>
      <c r="C207" s="21"/>
      <c r="D207" s="21"/>
      <c r="E207" s="21"/>
      <c r="F207" s="22"/>
      <c r="G207" s="21"/>
      <c r="H207" s="21"/>
      <c r="I207" s="22"/>
    </row>
    <row r="208" spans="2:9" ht="14.45">
      <c r="B208" s="31"/>
      <c r="C208" s="21"/>
      <c r="D208" s="21"/>
      <c r="E208" s="21"/>
      <c r="F208" s="22"/>
      <c r="G208" s="21"/>
      <c r="H208" s="21"/>
      <c r="I208" s="22"/>
    </row>
    <row r="209" spans="2:9" ht="14.45">
      <c r="B209" s="31"/>
      <c r="C209" s="21"/>
      <c r="D209" s="21"/>
      <c r="E209" s="21"/>
      <c r="F209" s="22"/>
      <c r="G209" s="21"/>
      <c r="H209" s="21"/>
      <c r="I209" s="22"/>
    </row>
    <row r="210" spans="2:9" ht="14.45">
      <c r="B210" s="31"/>
      <c r="C210" s="21"/>
      <c r="D210" s="21"/>
      <c r="E210" s="21"/>
      <c r="F210" s="22"/>
      <c r="G210" s="21"/>
      <c r="H210" s="21"/>
      <c r="I210" s="22"/>
    </row>
    <row r="211" spans="2:9" ht="14.45">
      <c r="B211" s="31"/>
      <c r="C211" s="21"/>
      <c r="D211" s="21"/>
      <c r="E211" s="21"/>
      <c r="F211" s="22"/>
      <c r="G211" s="21"/>
      <c r="H211" s="21"/>
      <c r="I211" s="22"/>
    </row>
    <row r="212" spans="2:9" ht="14.45">
      <c r="B212" s="31"/>
      <c r="C212" s="21"/>
      <c r="D212" s="21"/>
      <c r="E212" s="21"/>
      <c r="F212" s="22"/>
      <c r="G212" s="21"/>
      <c r="H212" s="21"/>
      <c r="I212" s="22"/>
    </row>
    <row r="213" spans="2:9" ht="14.45">
      <c r="B213" s="31"/>
      <c r="C213" s="21"/>
      <c r="D213" s="21"/>
      <c r="E213" s="21"/>
      <c r="F213" s="22"/>
      <c r="G213" s="21"/>
      <c r="H213" s="21"/>
      <c r="I213" s="22"/>
    </row>
    <row r="214" spans="2:9" ht="14.45">
      <c r="B214" s="31"/>
      <c r="C214" s="21"/>
      <c r="D214" s="21"/>
      <c r="E214" s="21"/>
      <c r="F214" s="22"/>
      <c r="G214" s="21"/>
      <c r="H214" s="21"/>
      <c r="I214" s="22"/>
    </row>
    <row r="215" spans="2:9" ht="14.45">
      <c r="B215" s="31"/>
      <c r="C215" s="21"/>
      <c r="D215" s="21"/>
      <c r="E215" s="21"/>
      <c r="F215" s="22"/>
      <c r="G215" s="21"/>
      <c r="H215" s="21"/>
      <c r="I215" s="22"/>
    </row>
    <row r="216" spans="2:9" ht="14.45">
      <c r="B216" s="31"/>
      <c r="C216" s="21"/>
      <c r="D216" s="21"/>
      <c r="E216" s="21"/>
      <c r="F216" s="22"/>
      <c r="G216" s="21"/>
      <c r="H216" s="21"/>
      <c r="I216" s="22"/>
    </row>
    <row r="217" spans="2:9" ht="14.45">
      <c r="B217" s="31"/>
      <c r="C217" s="21"/>
      <c r="D217" s="21"/>
      <c r="E217" s="21"/>
      <c r="F217" s="22"/>
      <c r="G217" s="21"/>
      <c r="H217" s="21"/>
      <c r="I217" s="22"/>
    </row>
    <row r="218" spans="2:9" ht="14.45">
      <c r="B218" s="31"/>
      <c r="C218" s="21"/>
      <c r="D218" s="21"/>
      <c r="E218" s="21"/>
      <c r="F218" s="22"/>
      <c r="G218" s="21"/>
      <c r="H218" s="21"/>
      <c r="I218" s="22"/>
    </row>
    <row r="219" spans="2:9" ht="14.45">
      <c r="B219" s="31"/>
      <c r="C219" s="21"/>
      <c r="D219" s="21"/>
      <c r="E219" s="21"/>
      <c r="F219" s="22"/>
      <c r="G219" s="21"/>
      <c r="H219" s="21"/>
      <c r="I219" s="22"/>
    </row>
    <row r="220" spans="2:9" ht="14.45">
      <c r="B220" s="31"/>
      <c r="C220" s="21"/>
      <c r="D220" s="21"/>
      <c r="E220" s="21"/>
      <c r="F220" s="22"/>
      <c r="G220" s="21"/>
      <c r="H220" s="21"/>
      <c r="I220" s="22"/>
    </row>
    <row r="221" spans="2:9" ht="14.45">
      <c r="B221" s="31"/>
      <c r="C221" s="21"/>
      <c r="D221" s="21"/>
      <c r="E221" s="21"/>
      <c r="F221" s="22"/>
      <c r="G221" s="21"/>
      <c r="H221" s="21"/>
      <c r="I221" s="22"/>
    </row>
    <row r="222" spans="2:9" ht="14.45">
      <c r="B222" s="31"/>
      <c r="C222" s="21"/>
      <c r="D222" s="21"/>
      <c r="E222" s="21"/>
      <c r="F222" s="22"/>
      <c r="G222" s="21"/>
      <c r="H222" s="21"/>
      <c r="I222" s="22"/>
    </row>
    <row r="223" spans="2:9" ht="14.45">
      <c r="B223" s="31"/>
      <c r="C223" s="21"/>
      <c r="D223" s="21"/>
      <c r="E223" s="21"/>
      <c r="F223" s="22"/>
      <c r="G223" s="21"/>
      <c r="H223" s="21"/>
      <c r="I223" s="22"/>
    </row>
    <row r="224" spans="2:9" ht="14.45">
      <c r="B224" s="31"/>
      <c r="C224" s="21"/>
      <c r="D224" s="21"/>
      <c r="E224" s="21"/>
      <c r="F224" s="22"/>
      <c r="G224" s="21"/>
      <c r="H224" s="21"/>
      <c r="I224" s="22"/>
    </row>
    <row r="225" spans="2:9" ht="14.45">
      <c r="B225" s="31"/>
      <c r="C225" s="21"/>
      <c r="D225" s="21"/>
      <c r="E225" s="21"/>
      <c r="F225" s="22"/>
      <c r="G225" s="21"/>
      <c r="H225" s="21"/>
      <c r="I225" s="22"/>
    </row>
    <row r="226" spans="2:9" ht="14.45">
      <c r="B226" s="31"/>
      <c r="C226" s="21"/>
      <c r="D226" s="21"/>
      <c r="E226" s="21"/>
      <c r="F226" s="22"/>
      <c r="G226" s="21"/>
      <c r="H226" s="21"/>
      <c r="I226" s="22"/>
    </row>
    <row r="227" spans="2:9" ht="14.45">
      <c r="B227" s="31"/>
      <c r="C227" s="21"/>
      <c r="D227" s="21"/>
      <c r="E227" s="21"/>
      <c r="F227" s="22"/>
      <c r="G227" s="21"/>
      <c r="H227" s="21"/>
      <c r="I227" s="22"/>
    </row>
    <row r="228" spans="2:9" ht="14.45">
      <c r="B228" s="31"/>
      <c r="C228" s="21"/>
      <c r="D228" s="21"/>
      <c r="E228" s="21"/>
      <c r="F228" s="22"/>
      <c r="G228" s="21"/>
      <c r="H228" s="21"/>
      <c r="I228" s="22"/>
    </row>
    <row r="229" spans="2:9" ht="14.45">
      <c r="B229" s="31"/>
      <c r="C229" s="21"/>
      <c r="D229" s="21"/>
      <c r="E229" s="21"/>
      <c r="F229" s="22"/>
      <c r="G229" s="21"/>
      <c r="H229" s="21"/>
      <c r="I229" s="22"/>
    </row>
    <row r="230" spans="2:9" ht="14.45">
      <c r="B230" s="31"/>
      <c r="C230" s="21"/>
      <c r="D230" s="21"/>
      <c r="E230" s="21"/>
      <c r="F230" s="22"/>
      <c r="G230" s="21"/>
      <c r="H230" s="21"/>
      <c r="I230" s="22"/>
    </row>
    <row r="231" spans="2:9" ht="14.45">
      <c r="B231" s="31"/>
      <c r="C231" s="21"/>
      <c r="D231" s="21"/>
      <c r="E231" s="21"/>
      <c r="F231" s="22"/>
      <c r="G231" s="21"/>
      <c r="H231" s="21"/>
      <c r="I231" s="22"/>
    </row>
    <row r="232" spans="2:9" ht="14.45">
      <c r="B232" s="31"/>
      <c r="C232" s="21"/>
      <c r="D232" s="21"/>
      <c r="E232" s="21"/>
      <c r="F232" s="22"/>
      <c r="G232" s="21"/>
      <c r="H232" s="21"/>
      <c r="I232" s="22"/>
    </row>
    <row r="233" spans="2:9" ht="14.45">
      <c r="B233" s="31"/>
      <c r="C233" s="21"/>
      <c r="D233" s="21"/>
      <c r="E233" s="21"/>
      <c r="F233" s="22"/>
      <c r="G233" s="21"/>
      <c r="H233" s="21"/>
      <c r="I233" s="22"/>
    </row>
    <row r="234" spans="2:9" ht="14.45">
      <c r="B234" s="31"/>
      <c r="C234" s="21"/>
      <c r="D234" s="21"/>
      <c r="E234" s="21"/>
      <c r="F234" s="22"/>
      <c r="G234" s="21"/>
      <c r="H234" s="21"/>
      <c r="I234" s="22"/>
    </row>
    <row r="235" spans="2:9" ht="14.45">
      <c r="B235" s="31"/>
      <c r="C235" s="21"/>
      <c r="D235" s="21"/>
      <c r="E235" s="21"/>
      <c r="F235" s="22"/>
      <c r="G235" s="21"/>
      <c r="H235" s="21"/>
      <c r="I235" s="22"/>
    </row>
    <row r="236" spans="2:9" ht="14.45">
      <c r="B236" s="31"/>
      <c r="C236" s="21"/>
      <c r="D236" s="21"/>
      <c r="E236" s="21"/>
      <c r="F236" s="22"/>
      <c r="G236" s="21"/>
      <c r="H236" s="21"/>
      <c r="I236" s="22"/>
    </row>
    <row r="237" spans="2:9" ht="14.45">
      <c r="B237" s="31"/>
      <c r="C237" s="21"/>
      <c r="D237" s="21"/>
      <c r="E237" s="21"/>
      <c r="F237" s="22"/>
      <c r="G237" s="21"/>
      <c r="H237" s="21"/>
      <c r="I237" s="22"/>
    </row>
    <row r="238" spans="2:9" ht="14.45">
      <c r="B238" s="31"/>
      <c r="C238" s="21"/>
      <c r="D238" s="21"/>
      <c r="E238" s="21"/>
      <c r="F238" s="22"/>
      <c r="G238" s="21"/>
      <c r="H238" s="21"/>
      <c r="I238" s="22"/>
    </row>
    <row r="239" spans="2:9" ht="14.45">
      <c r="B239" s="31"/>
      <c r="C239" s="21"/>
      <c r="D239" s="21"/>
      <c r="E239" s="21"/>
      <c r="F239" s="22"/>
      <c r="G239" s="21"/>
      <c r="H239" s="21"/>
      <c r="I239" s="22"/>
    </row>
    <row r="240" spans="2:9" ht="14.45">
      <c r="B240" s="31"/>
      <c r="C240" s="21"/>
      <c r="D240" s="21"/>
      <c r="E240" s="21"/>
      <c r="F240" s="22"/>
      <c r="G240" s="21"/>
      <c r="H240" s="21"/>
      <c r="I240" s="22"/>
    </row>
    <row r="241" spans="2:9" ht="14.45">
      <c r="B241" s="31"/>
      <c r="C241" s="21"/>
      <c r="D241" s="21"/>
      <c r="E241" s="21"/>
      <c r="F241" s="22"/>
      <c r="G241" s="21"/>
      <c r="H241" s="21"/>
      <c r="I241" s="22"/>
    </row>
    <row r="242" spans="2:9" ht="14.45">
      <c r="B242" s="31"/>
      <c r="C242" s="21"/>
      <c r="D242" s="21"/>
      <c r="E242" s="21"/>
      <c r="F242" s="22"/>
      <c r="G242" s="21"/>
      <c r="H242" s="21"/>
      <c r="I242" s="22"/>
    </row>
    <row r="243" spans="2:9" ht="14.45">
      <c r="B243" s="31"/>
      <c r="C243" s="21"/>
      <c r="D243" s="21"/>
      <c r="E243" s="21"/>
      <c r="F243" s="22"/>
      <c r="G243" s="21"/>
      <c r="H243" s="21"/>
      <c r="I243" s="22"/>
    </row>
    <row r="244" spans="2:9" ht="14.45">
      <c r="B244" s="31"/>
      <c r="C244" s="21"/>
      <c r="D244" s="21"/>
      <c r="E244" s="21"/>
      <c r="F244" s="22"/>
      <c r="G244" s="21"/>
      <c r="H244" s="21"/>
      <c r="I244" s="22"/>
    </row>
    <row r="245" spans="2:9" ht="14.45">
      <c r="B245" s="31"/>
      <c r="C245" s="21"/>
      <c r="D245" s="21"/>
      <c r="E245" s="21"/>
      <c r="F245" s="22"/>
      <c r="G245" s="21"/>
      <c r="H245" s="21"/>
      <c r="I245" s="22"/>
    </row>
    <row r="246" spans="2:9" ht="14.45">
      <c r="B246" s="31"/>
      <c r="C246" s="21"/>
      <c r="D246" s="21"/>
      <c r="E246" s="21"/>
      <c r="F246" s="22"/>
      <c r="G246" s="21"/>
      <c r="H246" s="21"/>
      <c r="I246" s="22"/>
    </row>
    <row r="247" spans="2:9" ht="14.45">
      <c r="B247" s="31"/>
      <c r="C247" s="21"/>
      <c r="D247" s="21"/>
      <c r="E247" s="21"/>
      <c r="F247" s="22"/>
      <c r="G247" s="21"/>
      <c r="H247" s="21"/>
      <c r="I247" s="22"/>
    </row>
    <row r="248" spans="2:9" ht="14.45">
      <c r="B248" s="31"/>
      <c r="C248" s="21"/>
      <c r="D248" s="21"/>
      <c r="E248" s="21"/>
      <c r="F248" s="22"/>
      <c r="G248" s="21"/>
      <c r="H248" s="21"/>
      <c r="I248" s="22"/>
    </row>
    <row r="249" spans="2:9" ht="14.45">
      <c r="B249" s="31"/>
      <c r="C249" s="21"/>
      <c r="D249" s="21"/>
      <c r="E249" s="21"/>
      <c r="F249" s="22"/>
      <c r="G249" s="21"/>
      <c r="H249" s="21"/>
      <c r="I249" s="22"/>
    </row>
    <row r="250" spans="2:9" ht="14.45">
      <c r="B250" s="31"/>
      <c r="C250" s="21"/>
      <c r="D250" s="21"/>
      <c r="E250" s="21"/>
      <c r="F250" s="22"/>
      <c r="G250" s="21"/>
      <c r="H250" s="21"/>
      <c r="I250" s="22"/>
    </row>
    <row r="251" spans="2:9" ht="14.45">
      <c r="B251" s="31"/>
      <c r="C251" s="21"/>
      <c r="D251" s="21"/>
      <c r="E251" s="21"/>
      <c r="F251" s="22"/>
      <c r="G251" s="21"/>
      <c r="H251" s="21"/>
      <c r="I251" s="22"/>
    </row>
    <row r="252" spans="2:9" ht="14.45">
      <c r="B252" s="31"/>
      <c r="C252" s="21"/>
      <c r="D252" s="21"/>
      <c r="E252" s="21"/>
      <c r="F252" s="22"/>
      <c r="G252" s="21"/>
      <c r="H252" s="21"/>
      <c r="I252" s="22"/>
    </row>
    <row r="253" spans="2:9" ht="14.45">
      <c r="B253" s="31"/>
      <c r="C253" s="21"/>
      <c r="D253" s="21"/>
      <c r="E253" s="21"/>
      <c r="F253" s="22"/>
      <c r="G253" s="21"/>
      <c r="H253" s="21"/>
      <c r="I253" s="22"/>
    </row>
    <row r="254" spans="2:9" ht="14.45">
      <c r="B254" s="31"/>
      <c r="C254" s="21"/>
      <c r="D254" s="21"/>
      <c r="E254" s="21"/>
      <c r="F254" s="22"/>
      <c r="G254" s="21"/>
      <c r="H254" s="21"/>
      <c r="I254" s="22"/>
    </row>
    <row r="255" spans="2:9" ht="14.45">
      <c r="B255" s="31"/>
      <c r="C255" s="21"/>
      <c r="D255" s="21"/>
      <c r="E255" s="21"/>
      <c r="F255" s="22"/>
      <c r="G255" s="21"/>
      <c r="H255" s="21"/>
      <c r="I255" s="22"/>
    </row>
    <row r="256" spans="2:9" ht="14.45">
      <c r="B256" s="31"/>
      <c r="C256" s="21"/>
      <c r="D256" s="21"/>
      <c r="E256" s="21"/>
      <c r="F256" s="22"/>
      <c r="G256" s="21"/>
      <c r="H256" s="21"/>
      <c r="I256" s="22"/>
    </row>
    <row r="257" spans="2:9" ht="14.45">
      <c r="B257" s="31"/>
      <c r="C257" s="21"/>
      <c r="D257" s="21"/>
      <c r="E257" s="21"/>
      <c r="F257" s="22"/>
      <c r="G257" s="21"/>
      <c r="H257" s="21"/>
      <c r="I257" s="22"/>
    </row>
    <row r="258" spans="2:9" ht="14.45">
      <c r="B258" s="31"/>
      <c r="C258" s="21"/>
      <c r="D258" s="21"/>
      <c r="E258" s="21"/>
      <c r="F258" s="22"/>
      <c r="G258" s="21"/>
      <c r="H258" s="21"/>
      <c r="I258" s="22"/>
    </row>
    <row r="259" spans="2:9" ht="14.45">
      <c r="B259" s="31"/>
      <c r="C259" s="21"/>
      <c r="D259" s="21"/>
      <c r="E259" s="21"/>
      <c r="F259" s="22"/>
      <c r="G259" s="21"/>
      <c r="H259" s="21"/>
      <c r="I259" s="22"/>
    </row>
    <row r="260" spans="2:9" ht="14.45">
      <c r="B260" s="31"/>
      <c r="C260" s="21"/>
      <c r="D260" s="21"/>
      <c r="E260" s="21"/>
      <c r="F260" s="22"/>
      <c r="G260" s="21"/>
      <c r="H260" s="21"/>
      <c r="I260" s="22"/>
    </row>
    <row r="261" spans="2:9" ht="14.45">
      <c r="B261" s="31"/>
      <c r="C261" s="21"/>
      <c r="D261" s="21"/>
      <c r="E261" s="21"/>
      <c r="F261" s="22"/>
      <c r="G261" s="21"/>
      <c r="H261" s="21"/>
      <c r="I261" s="22"/>
    </row>
    <row r="262" spans="2:9" ht="14.45">
      <c r="B262" s="31"/>
      <c r="C262" s="21"/>
      <c r="D262" s="21"/>
      <c r="E262" s="21"/>
      <c r="F262" s="22"/>
      <c r="G262" s="21"/>
      <c r="H262" s="21"/>
      <c r="I262" s="22"/>
    </row>
    <row r="263" spans="2:9" ht="14.45">
      <c r="B263" s="31"/>
      <c r="C263" s="21"/>
      <c r="D263" s="21"/>
      <c r="E263" s="21"/>
      <c r="F263" s="22"/>
      <c r="G263" s="21"/>
      <c r="H263" s="21"/>
      <c r="I263" s="22"/>
    </row>
    <row r="264" spans="2:9" ht="14.45">
      <c r="B264" s="31"/>
      <c r="C264" s="21"/>
      <c r="D264" s="21"/>
      <c r="E264" s="21"/>
      <c r="F264" s="22"/>
      <c r="G264" s="21"/>
      <c r="H264" s="21"/>
      <c r="I264" s="22"/>
    </row>
    <row r="265" spans="2:9" ht="14.45">
      <c r="B265" s="31"/>
      <c r="C265" s="21"/>
      <c r="D265" s="21"/>
      <c r="E265" s="21"/>
      <c r="F265" s="22"/>
      <c r="G265" s="21"/>
      <c r="H265" s="21"/>
      <c r="I265" s="22"/>
    </row>
    <row r="266" spans="2:9" ht="14.45">
      <c r="B266" s="31"/>
      <c r="C266" s="21"/>
      <c r="D266" s="21"/>
      <c r="E266" s="21"/>
      <c r="F266" s="22"/>
      <c r="G266" s="21"/>
      <c r="H266" s="21"/>
      <c r="I266" s="22"/>
    </row>
    <row r="267" spans="2:9" ht="14.45">
      <c r="B267" s="31"/>
      <c r="C267" s="21"/>
      <c r="D267" s="21"/>
      <c r="E267" s="21"/>
      <c r="F267" s="22"/>
      <c r="G267" s="21"/>
      <c r="H267" s="21"/>
      <c r="I267" s="22"/>
    </row>
    <row r="268" spans="2:9" ht="14.45">
      <c r="B268" s="31"/>
      <c r="C268" s="21"/>
      <c r="D268" s="21"/>
      <c r="E268" s="21"/>
      <c r="F268" s="22"/>
      <c r="G268" s="21"/>
      <c r="H268" s="21"/>
      <c r="I268" s="22"/>
    </row>
    <row r="269" spans="2:9" ht="14.45">
      <c r="B269" s="31"/>
      <c r="C269" s="21"/>
      <c r="D269" s="21"/>
      <c r="E269" s="21"/>
      <c r="F269" s="22"/>
      <c r="G269" s="21"/>
      <c r="H269" s="21"/>
      <c r="I269" s="22"/>
    </row>
    <row r="270" spans="2:9" ht="14.45">
      <c r="B270" s="31"/>
      <c r="C270" s="21"/>
      <c r="D270" s="21"/>
      <c r="E270" s="21"/>
      <c r="F270" s="22"/>
      <c r="G270" s="21"/>
      <c r="H270" s="21"/>
      <c r="I270" s="22"/>
    </row>
    <row r="271" spans="2:9" ht="14.45">
      <c r="B271" s="31"/>
      <c r="C271" s="21"/>
      <c r="D271" s="21"/>
      <c r="E271" s="21"/>
      <c r="F271" s="22"/>
      <c r="G271" s="21"/>
      <c r="H271" s="21"/>
      <c r="I271" s="22"/>
    </row>
    <row r="272" spans="2:9" ht="14.45">
      <c r="B272" s="31"/>
      <c r="C272" s="21"/>
      <c r="D272" s="21"/>
      <c r="E272" s="21"/>
      <c r="F272" s="22"/>
      <c r="G272" s="21"/>
      <c r="H272" s="21"/>
      <c r="I272" s="22"/>
    </row>
    <row r="273" spans="2:9" ht="14.45">
      <c r="B273" s="31"/>
      <c r="C273" s="21"/>
      <c r="D273" s="21"/>
      <c r="E273" s="21"/>
      <c r="F273" s="22"/>
      <c r="G273" s="21"/>
      <c r="H273" s="21"/>
      <c r="I273" s="22"/>
    </row>
    <row r="274" spans="2:9" ht="14.45">
      <c r="B274" s="31"/>
      <c r="C274" s="21"/>
      <c r="D274" s="21"/>
      <c r="E274" s="21"/>
      <c r="F274" s="22"/>
      <c r="G274" s="21"/>
      <c r="H274" s="21"/>
      <c r="I274" s="22"/>
    </row>
    <row r="275" spans="2:9" ht="14.45">
      <c r="B275" s="31"/>
      <c r="C275" s="21"/>
      <c r="D275" s="21"/>
      <c r="E275" s="21"/>
      <c r="F275" s="22"/>
      <c r="G275" s="21"/>
      <c r="H275" s="21"/>
      <c r="I275" s="22"/>
    </row>
    <row r="276" spans="2:9" ht="14.45">
      <c r="B276" s="31"/>
      <c r="C276" s="21"/>
      <c r="D276" s="21"/>
      <c r="E276" s="21"/>
      <c r="F276" s="22"/>
      <c r="G276" s="21"/>
      <c r="H276" s="21"/>
      <c r="I276" s="22"/>
    </row>
    <row r="277" spans="2:9" ht="14.45">
      <c r="B277" s="31"/>
      <c r="C277" s="21"/>
      <c r="D277" s="21"/>
      <c r="E277" s="21"/>
      <c r="F277" s="22"/>
      <c r="G277" s="21"/>
      <c r="H277" s="21"/>
      <c r="I277" s="22"/>
    </row>
    <row r="278" spans="2:9" ht="14.45">
      <c r="B278" s="31"/>
      <c r="C278" s="21"/>
      <c r="D278" s="21"/>
      <c r="E278" s="21"/>
      <c r="F278" s="22"/>
      <c r="G278" s="21"/>
      <c r="H278" s="21"/>
      <c r="I278" s="22"/>
    </row>
    <row r="279" spans="2:9" ht="14.45">
      <c r="B279" s="31"/>
      <c r="C279" s="21"/>
      <c r="D279" s="21"/>
      <c r="E279" s="21"/>
      <c r="F279" s="22"/>
      <c r="G279" s="21"/>
      <c r="H279" s="21"/>
      <c r="I279" s="22"/>
    </row>
    <row r="280" spans="2:9" ht="14.45">
      <c r="B280" s="31"/>
      <c r="C280" s="21"/>
      <c r="D280" s="21"/>
      <c r="E280" s="21"/>
      <c r="F280" s="22"/>
      <c r="G280" s="21"/>
      <c r="H280" s="21"/>
      <c r="I280" s="22"/>
    </row>
    <row r="281" spans="2:9" ht="14.45">
      <c r="B281" s="31"/>
      <c r="C281" s="21"/>
      <c r="D281" s="21"/>
      <c r="E281" s="21"/>
      <c r="F281" s="22"/>
      <c r="G281" s="21"/>
      <c r="H281" s="21"/>
      <c r="I281" s="22"/>
    </row>
    <row r="282" spans="2:9" ht="14.45">
      <c r="B282" s="31"/>
      <c r="C282" s="21"/>
      <c r="D282" s="21"/>
      <c r="E282" s="21"/>
      <c r="F282" s="22"/>
      <c r="G282" s="21"/>
      <c r="H282" s="21"/>
      <c r="I282" s="22"/>
    </row>
    <row r="283" spans="2:9" ht="14.45">
      <c r="B283" s="31"/>
      <c r="C283" s="21"/>
      <c r="D283" s="21"/>
      <c r="E283" s="21"/>
      <c r="F283" s="22"/>
      <c r="G283" s="21"/>
      <c r="H283" s="21"/>
      <c r="I283" s="22"/>
    </row>
    <row r="284" spans="2:9" ht="14.45">
      <c r="B284" s="31"/>
      <c r="C284" s="21"/>
      <c r="D284" s="21"/>
      <c r="E284" s="21"/>
      <c r="F284" s="22"/>
      <c r="G284" s="21"/>
      <c r="H284" s="21"/>
      <c r="I284" s="22"/>
    </row>
    <row r="285" spans="2:9" ht="14.45">
      <c r="B285" s="31"/>
      <c r="C285" s="21"/>
      <c r="D285" s="21"/>
      <c r="E285" s="21"/>
      <c r="F285" s="22"/>
      <c r="G285" s="21"/>
      <c r="H285" s="21"/>
      <c r="I285" s="22"/>
    </row>
    <row r="286" spans="2:9" ht="14.45">
      <c r="B286" s="31"/>
      <c r="C286" s="21"/>
      <c r="D286" s="21"/>
      <c r="E286" s="21"/>
      <c r="F286" s="22"/>
      <c r="G286" s="21"/>
      <c r="H286" s="21"/>
      <c r="I286" s="22"/>
    </row>
    <row r="287" spans="2:9" ht="14.45">
      <c r="B287" s="31"/>
      <c r="C287" s="21"/>
      <c r="D287" s="21"/>
      <c r="E287" s="21"/>
      <c r="F287" s="22"/>
      <c r="G287" s="21"/>
      <c r="H287" s="21"/>
      <c r="I287" s="22"/>
    </row>
    <row r="288" spans="2:9" ht="14.45">
      <c r="B288" s="31"/>
      <c r="C288" s="21"/>
      <c r="D288" s="21"/>
      <c r="E288" s="21"/>
      <c r="F288" s="22"/>
      <c r="G288" s="21"/>
      <c r="H288" s="21"/>
      <c r="I288" s="22"/>
    </row>
    <row r="289" spans="2:9" ht="14.45">
      <c r="B289" s="31"/>
      <c r="C289" s="21"/>
      <c r="D289" s="21"/>
      <c r="E289" s="21"/>
      <c r="F289" s="22"/>
      <c r="G289" s="21"/>
      <c r="H289" s="21"/>
      <c r="I289" s="22"/>
    </row>
    <row r="290" spans="2:9" ht="14.45">
      <c r="B290" s="31"/>
      <c r="C290" s="21"/>
      <c r="D290" s="21"/>
      <c r="E290" s="21"/>
      <c r="F290" s="22"/>
      <c r="G290" s="21"/>
      <c r="H290" s="21"/>
      <c r="I290" s="22"/>
    </row>
    <row r="291" spans="2:9" ht="14.45">
      <c r="B291" s="31"/>
      <c r="C291" s="21"/>
      <c r="D291" s="21"/>
      <c r="E291" s="21"/>
      <c r="F291" s="22"/>
      <c r="G291" s="21"/>
      <c r="H291" s="21"/>
      <c r="I291" s="22"/>
    </row>
    <row r="292" spans="2:9" ht="14.45">
      <c r="B292" s="31"/>
      <c r="C292" s="21"/>
      <c r="D292" s="21"/>
      <c r="E292" s="21"/>
      <c r="F292" s="22"/>
      <c r="G292" s="21"/>
      <c r="H292" s="21"/>
      <c r="I292" s="22"/>
    </row>
    <row r="293" spans="2:9" ht="14.45">
      <c r="B293" s="31"/>
      <c r="C293" s="21"/>
      <c r="D293" s="21"/>
      <c r="E293" s="21"/>
      <c r="F293" s="22"/>
      <c r="G293" s="21"/>
      <c r="H293" s="21"/>
      <c r="I293" s="22"/>
    </row>
    <row r="294" spans="2:9" ht="14.45">
      <c r="B294" s="31"/>
      <c r="C294" s="21"/>
      <c r="D294" s="21"/>
      <c r="E294" s="21"/>
      <c r="F294" s="22"/>
      <c r="G294" s="21"/>
      <c r="H294" s="21"/>
      <c r="I294" s="22"/>
    </row>
    <row r="295" spans="2:9" ht="14.45">
      <c r="B295" s="31"/>
      <c r="C295" s="21"/>
      <c r="D295" s="21"/>
      <c r="E295" s="21"/>
      <c r="F295" s="22"/>
      <c r="G295" s="21"/>
      <c r="H295" s="21"/>
      <c r="I295" s="22"/>
    </row>
    <row r="296" spans="2:9" ht="14.45">
      <c r="B296" s="31"/>
      <c r="C296" s="21"/>
      <c r="D296" s="21"/>
      <c r="E296" s="21"/>
      <c r="F296" s="22"/>
      <c r="G296" s="21"/>
      <c r="H296" s="21"/>
      <c r="I296" s="22"/>
    </row>
    <row r="297" spans="2:9" ht="14.45">
      <c r="B297" s="31"/>
      <c r="C297" s="21"/>
      <c r="D297" s="21"/>
      <c r="E297" s="21"/>
      <c r="F297" s="22"/>
      <c r="G297" s="21"/>
      <c r="H297" s="21"/>
      <c r="I297" s="22"/>
    </row>
    <row r="298" spans="2:9" ht="14.45">
      <c r="B298" s="31"/>
      <c r="C298" s="21"/>
      <c r="D298" s="21"/>
      <c r="E298" s="21"/>
      <c r="F298" s="22"/>
      <c r="G298" s="21"/>
      <c r="H298" s="21"/>
      <c r="I298" s="22"/>
    </row>
    <row r="299" spans="2:9" ht="14.45">
      <c r="B299" s="31"/>
      <c r="C299" s="21"/>
      <c r="D299" s="21"/>
      <c r="E299" s="21"/>
      <c r="F299" s="22"/>
      <c r="G299" s="21"/>
      <c r="H299" s="21"/>
      <c r="I299" s="22"/>
    </row>
    <row r="300" spans="2:9" ht="14.45">
      <c r="B300" s="31"/>
      <c r="C300" s="21"/>
      <c r="D300" s="21"/>
      <c r="E300" s="21"/>
      <c r="F300" s="22"/>
      <c r="G300" s="21"/>
      <c r="H300" s="21"/>
      <c r="I300" s="22"/>
    </row>
    <row r="301" spans="2:9" ht="14.45">
      <c r="B301" s="31"/>
      <c r="C301" s="21"/>
      <c r="D301" s="21"/>
      <c r="E301" s="21"/>
      <c r="F301" s="22"/>
      <c r="G301" s="21"/>
      <c r="H301" s="21"/>
      <c r="I301" s="22"/>
    </row>
    <row r="302" spans="2:9" ht="14.45">
      <c r="B302" s="31"/>
      <c r="C302" s="21"/>
      <c r="D302" s="21"/>
      <c r="E302" s="21"/>
      <c r="F302" s="22"/>
      <c r="G302" s="21"/>
      <c r="H302" s="21"/>
      <c r="I302" s="22"/>
    </row>
    <row r="303" spans="2:9" ht="14.45">
      <c r="B303" s="31"/>
      <c r="C303" s="21"/>
      <c r="D303" s="21"/>
      <c r="E303" s="21"/>
      <c r="F303" s="22"/>
      <c r="G303" s="21"/>
      <c r="H303" s="21"/>
      <c r="I303" s="22"/>
    </row>
    <row r="304" spans="2:9" ht="14.45">
      <c r="B304" s="31"/>
      <c r="C304" s="21"/>
      <c r="D304" s="21"/>
      <c r="E304" s="21"/>
      <c r="F304" s="22"/>
      <c r="G304" s="21"/>
      <c r="H304" s="21"/>
      <c r="I304" s="22"/>
    </row>
    <row r="305" spans="2:9" ht="14.45">
      <c r="B305" s="31"/>
      <c r="C305" s="21"/>
      <c r="D305" s="21"/>
      <c r="E305" s="21"/>
      <c r="F305" s="22"/>
      <c r="G305" s="21"/>
      <c r="H305" s="21"/>
      <c r="I305" s="22"/>
    </row>
    <row r="306" spans="2:9" ht="14.45">
      <c r="B306" s="31"/>
      <c r="C306" s="21"/>
      <c r="D306" s="21"/>
      <c r="E306" s="21"/>
      <c r="F306" s="22"/>
      <c r="G306" s="21"/>
      <c r="H306" s="21"/>
      <c r="I306" s="22"/>
    </row>
    <row r="307" spans="2:9" ht="14.45">
      <c r="B307" s="31"/>
      <c r="C307" s="21"/>
      <c r="D307" s="21"/>
      <c r="E307" s="21"/>
      <c r="F307" s="22"/>
      <c r="G307" s="21"/>
      <c r="H307" s="21"/>
      <c r="I307" s="22"/>
    </row>
    <row r="308" spans="2:9" ht="14.45">
      <c r="B308" s="31"/>
      <c r="C308" s="21"/>
      <c r="D308" s="21"/>
      <c r="E308" s="21"/>
      <c r="F308" s="22"/>
      <c r="G308" s="21"/>
      <c r="H308" s="21"/>
      <c r="I308" s="22"/>
    </row>
    <row r="309" spans="2:9" ht="14.45">
      <c r="B309" s="31"/>
      <c r="C309" s="21"/>
      <c r="D309" s="21"/>
      <c r="E309" s="21"/>
      <c r="F309" s="22"/>
      <c r="G309" s="21"/>
      <c r="H309" s="21"/>
      <c r="I309" s="22"/>
    </row>
    <row r="310" spans="2:9" ht="14.45">
      <c r="B310" s="31"/>
      <c r="C310" s="21"/>
      <c r="D310" s="21"/>
      <c r="E310" s="21"/>
      <c r="F310" s="22"/>
      <c r="G310" s="21"/>
      <c r="H310" s="21"/>
      <c r="I310" s="22"/>
    </row>
    <row r="311" spans="2:9" ht="14.45">
      <c r="B311" s="31"/>
      <c r="C311" s="21"/>
      <c r="D311" s="21"/>
      <c r="E311" s="21"/>
      <c r="F311" s="22"/>
      <c r="G311" s="21"/>
      <c r="H311" s="21"/>
      <c r="I311" s="22"/>
    </row>
    <row r="312" spans="2:9" ht="14.45">
      <c r="B312" s="31"/>
      <c r="C312" s="21"/>
      <c r="D312" s="21"/>
      <c r="E312" s="21"/>
      <c r="F312" s="22"/>
      <c r="G312" s="21"/>
      <c r="H312" s="21"/>
      <c r="I312" s="22"/>
    </row>
    <row r="313" spans="2:9" ht="14.45">
      <c r="B313" s="31"/>
      <c r="C313" s="21"/>
      <c r="D313" s="21"/>
      <c r="E313" s="21"/>
      <c r="F313" s="22"/>
      <c r="G313" s="21"/>
      <c r="H313" s="21"/>
      <c r="I313" s="22"/>
    </row>
    <row r="314" spans="2:9" ht="14.45">
      <c r="B314" s="31"/>
      <c r="C314" s="21"/>
      <c r="D314" s="21"/>
      <c r="E314" s="21"/>
      <c r="F314" s="22"/>
      <c r="G314" s="21"/>
      <c r="H314" s="21"/>
      <c r="I314" s="22"/>
    </row>
    <row r="315" spans="2:9" ht="14.45">
      <c r="B315" s="31"/>
      <c r="C315" s="21"/>
      <c r="D315" s="21"/>
      <c r="E315" s="21"/>
      <c r="F315" s="22"/>
      <c r="G315" s="21"/>
      <c r="H315" s="21"/>
      <c r="I315" s="22"/>
    </row>
    <row r="316" spans="2:9" ht="14.45">
      <c r="B316" s="31"/>
      <c r="C316" s="21"/>
      <c r="D316" s="21"/>
      <c r="E316" s="21"/>
      <c r="F316" s="22"/>
      <c r="G316" s="21"/>
      <c r="H316" s="21"/>
      <c r="I316" s="22"/>
    </row>
    <row r="317" spans="2:9" ht="14.45">
      <c r="B317" s="31"/>
      <c r="C317" s="21"/>
      <c r="D317" s="21"/>
      <c r="E317" s="21"/>
      <c r="F317" s="22"/>
      <c r="G317" s="21"/>
      <c r="H317" s="21"/>
      <c r="I317" s="22"/>
    </row>
    <row r="318" spans="2:9" ht="14.45">
      <c r="B318" s="31"/>
      <c r="C318" s="21"/>
      <c r="D318" s="21"/>
      <c r="E318" s="21"/>
      <c r="F318" s="22"/>
      <c r="G318" s="21"/>
      <c r="H318" s="21"/>
      <c r="I318" s="22"/>
    </row>
    <row r="319" spans="2:9" ht="14.45">
      <c r="B319" s="31"/>
      <c r="C319" s="21"/>
      <c r="D319" s="21"/>
      <c r="E319" s="21"/>
      <c r="F319" s="22"/>
      <c r="G319" s="21"/>
      <c r="H319" s="21"/>
      <c r="I319" s="22"/>
    </row>
    <row r="320" spans="2:9" ht="14.45">
      <c r="B320" s="31"/>
      <c r="C320" s="21"/>
      <c r="D320" s="21"/>
      <c r="E320" s="21"/>
      <c r="F320" s="22"/>
      <c r="G320" s="21"/>
      <c r="H320" s="21"/>
      <c r="I320" s="22"/>
    </row>
    <row r="321" spans="2:9" ht="14.45">
      <c r="B321" s="31"/>
      <c r="C321" s="21"/>
      <c r="D321" s="21"/>
      <c r="E321" s="21"/>
      <c r="F321" s="22"/>
      <c r="G321" s="21"/>
      <c r="H321" s="21"/>
      <c r="I321" s="22"/>
    </row>
    <row r="322" spans="2:9" ht="14.45">
      <c r="B322" s="31"/>
      <c r="C322" s="21"/>
      <c r="D322" s="21"/>
      <c r="E322" s="21"/>
      <c r="F322" s="22"/>
      <c r="G322" s="21"/>
      <c r="H322" s="21"/>
      <c r="I322" s="22"/>
    </row>
    <row r="323" spans="2:9" ht="14.45">
      <c r="B323" s="31"/>
      <c r="C323" s="21"/>
      <c r="D323" s="21"/>
      <c r="E323" s="21"/>
      <c r="F323" s="22"/>
      <c r="G323" s="21"/>
      <c r="H323" s="21"/>
      <c r="I323" s="22"/>
    </row>
    <row r="324" spans="2:9" ht="14.45">
      <c r="B324" s="31"/>
      <c r="C324" s="21"/>
      <c r="D324" s="21"/>
      <c r="E324" s="21"/>
      <c r="F324" s="22"/>
      <c r="G324" s="21"/>
      <c r="H324" s="21"/>
      <c r="I324" s="22"/>
    </row>
    <row r="325" spans="2:9" ht="14.45">
      <c r="B325" s="31"/>
      <c r="C325" s="21"/>
      <c r="D325" s="21"/>
      <c r="E325" s="21"/>
      <c r="F325" s="22"/>
      <c r="G325" s="21"/>
      <c r="H325" s="21"/>
      <c r="I325" s="22"/>
    </row>
    <row r="326" spans="2:9" ht="14.45">
      <c r="B326" s="31"/>
      <c r="C326" s="21"/>
      <c r="D326" s="21"/>
      <c r="E326" s="21"/>
      <c r="F326" s="22"/>
      <c r="G326" s="21"/>
      <c r="H326" s="21"/>
      <c r="I326" s="22"/>
    </row>
    <row r="327" spans="2:9" ht="14.45">
      <c r="B327" s="31"/>
      <c r="C327" s="21"/>
      <c r="D327" s="21"/>
      <c r="E327" s="21"/>
      <c r="F327" s="22"/>
      <c r="G327" s="21"/>
      <c r="H327" s="21"/>
      <c r="I327" s="22"/>
    </row>
    <row r="328" spans="2:9" ht="14.45">
      <c r="B328" s="31"/>
      <c r="C328" s="21"/>
      <c r="D328" s="21"/>
      <c r="E328" s="21"/>
      <c r="F328" s="22"/>
      <c r="G328" s="21"/>
      <c r="H328" s="21"/>
      <c r="I328" s="22"/>
    </row>
    <row r="329" spans="2:9" ht="14.45">
      <c r="B329" s="31"/>
      <c r="C329" s="21"/>
      <c r="D329" s="21"/>
      <c r="E329" s="21"/>
      <c r="F329" s="22"/>
      <c r="G329" s="21"/>
      <c r="H329" s="21"/>
      <c r="I329" s="22"/>
    </row>
    <row r="330" spans="2:9" ht="14.45">
      <c r="B330" s="31"/>
      <c r="C330" s="21"/>
      <c r="D330" s="21"/>
      <c r="E330" s="21"/>
      <c r="F330" s="22"/>
      <c r="G330" s="21"/>
      <c r="H330" s="21"/>
      <c r="I330" s="22"/>
    </row>
    <row r="331" spans="2:9" ht="14.45">
      <c r="B331" s="31"/>
      <c r="C331" s="21"/>
      <c r="D331" s="21"/>
      <c r="E331" s="21"/>
      <c r="F331" s="22"/>
      <c r="G331" s="21"/>
      <c r="H331" s="21"/>
      <c r="I331" s="22"/>
    </row>
    <row r="332" spans="2:9" ht="14.45">
      <c r="B332" s="31"/>
      <c r="C332" s="21"/>
      <c r="D332" s="21"/>
      <c r="E332" s="21"/>
      <c r="F332" s="22"/>
      <c r="G332" s="21"/>
      <c r="H332" s="21"/>
      <c r="I332" s="22"/>
    </row>
    <row r="333" spans="2:9" ht="14.45">
      <c r="B333" s="31"/>
      <c r="C333" s="21"/>
      <c r="D333" s="21"/>
      <c r="E333" s="21"/>
      <c r="F333" s="22"/>
      <c r="G333" s="21"/>
      <c r="H333" s="21"/>
      <c r="I333" s="22"/>
    </row>
    <row r="334" spans="2:9" ht="14.45">
      <c r="B334" s="31"/>
      <c r="C334" s="21"/>
      <c r="D334" s="21"/>
      <c r="E334" s="21"/>
      <c r="F334" s="22"/>
      <c r="G334" s="21"/>
      <c r="H334" s="21"/>
      <c r="I334" s="22"/>
    </row>
    <row r="335" spans="2:9" ht="14.45">
      <c r="B335" s="31"/>
      <c r="C335" s="21"/>
      <c r="D335" s="21"/>
      <c r="E335" s="21"/>
      <c r="F335" s="22"/>
      <c r="G335" s="21"/>
      <c r="H335" s="21"/>
      <c r="I335" s="22"/>
    </row>
    <row r="336" spans="2:9" ht="14.45">
      <c r="B336" s="31"/>
      <c r="C336" s="21"/>
      <c r="D336" s="21"/>
      <c r="E336" s="21"/>
      <c r="F336" s="22"/>
      <c r="G336" s="21"/>
      <c r="H336" s="21"/>
      <c r="I336" s="22"/>
    </row>
    <row r="337" spans="2:9" ht="14.45">
      <c r="B337" s="31"/>
      <c r="C337" s="21"/>
      <c r="D337" s="21"/>
      <c r="E337" s="21"/>
      <c r="F337" s="22"/>
      <c r="G337" s="21"/>
      <c r="H337" s="21"/>
      <c r="I337" s="22"/>
    </row>
    <row r="338" spans="2:9" ht="14.45">
      <c r="B338" s="31"/>
      <c r="C338" s="21"/>
      <c r="D338" s="21"/>
      <c r="E338" s="21"/>
      <c r="F338" s="22"/>
      <c r="G338" s="21"/>
      <c r="H338" s="21"/>
      <c r="I338" s="22"/>
    </row>
    <row r="339" spans="2:9" ht="14.45">
      <c r="B339" s="31"/>
      <c r="C339" s="21"/>
      <c r="D339" s="21"/>
      <c r="E339" s="21"/>
      <c r="F339" s="22"/>
      <c r="G339" s="21"/>
      <c r="H339" s="21"/>
      <c r="I339" s="22"/>
    </row>
    <row r="340" spans="2:9" ht="14.45">
      <c r="B340" s="31"/>
      <c r="C340" s="21"/>
      <c r="D340" s="21"/>
      <c r="E340" s="21"/>
      <c r="F340" s="22"/>
      <c r="G340" s="21"/>
      <c r="H340" s="21"/>
      <c r="I340" s="22"/>
    </row>
    <row r="341" spans="2:9" ht="14.45">
      <c r="B341" s="31"/>
      <c r="C341" s="21"/>
      <c r="D341" s="21"/>
      <c r="E341" s="21"/>
      <c r="F341" s="22"/>
      <c r="G341" s="21"/>
      <c r="H341" s="21"/>
      <c r="I341" s="22"/>
    </row>
    <row r="342" spans="2:9" ht="14.45">
      <c r="B342" s="31"/>
      <c r="C342" s="21"/>
      <c r="D342" s="21"/>
      <c r="E342" s="21"/>
      <c r="F342" s="22"/>
      <c r="G342" s="21"/>
      <c r="H342" s="21"/>
      <c r="I342" s="22"/>
    </row>
    <row r="343" spans="2:9" ht="14.45">
      <c r="B343" s="31"/>
      <c r="C343" s="21"/>
      <c r="D343" s="21"/>
      <c r="E343" s="21"/>
      <c r="F343" s="22"/>
      <c r="G343" s="21"/>
      <c r="H343" s="21"/>
      <c r="I343" s="22"/>
    </row>
    <row r="344" spans="2:9" ht="14.45">
      <c r="B344" s="31"/>
      <c r="C344" s="21"/>
      <c r="D344" s="21"/>
      <c r="E344" s="21"/>
      <c r="F344" s="22"/>
      <c r="G344" s="21"/>
      <c r="H344" s="21"/>
      <c r="I344" s="22"/>
    </row>
    <row r="345" spans="2:9" ht="14.45">
      <c r="C345" s="21"/>
      <c r="D345" s="21"/>
      <c r="E345" s="21"/>
      <c r="F345" s="22"/>
      <c r="G345" s="21"/>
      <c r="H345" s="21"/>
      <c r="I345" s="22"/>
    </row>
  </sheetData>
  <mergeCells count="4">
    <mergeCell ref="G1:I1"/>
    <mergeCell ref="A1:C1"/>
    <mergeCell ref="D1:F1"/>
    <mergeCell ref="A2:B2"/>
  </mergeCells>
  <conditionalFormatting sqref="F2 I2">
    <cfRule type="cellIs" dxfId="15" priority="9" stopIfTrue="1" operator="lessThanOrEqual">
      <formula>-0.1</formula>
    </cfRule>
    <cfRule type="expression" dxfId="14" priority="10">
      <formula>AND(ISNUMBER(F2), F2&gt;=0.1)</formula>
    </cfRule>
  </conditionalFormatting>
  <conditionalFormatting sqref="F4:F103 I4:I103">
    <cfRule type="cellIs" dxfId="13" priority="7" stopIfTrue="1" operator="lessThanOrEqual">
      <formula>-0.1</formula>
    </cfRule>
    <cfRule type="expression" dxfId="12" priority="8">
      <formula>AND(ISNUMBER(F4), F4&gt;=0.1)</formula>
    </cfRule>
  </conditionalFormatting>
  <hyperlinks>
    <hyperlink ref="K4" r:id="rId1" display="https://us3.assetplanner.com/service_request?ID=109167" xr:uid="{ADD362BD-4153-420B-AAFE-87C8CB1D81A4}"/>
    <hyperlink ref="M4" r:id="rId2" display="https://us3.assetplanner.com/service_request?ID=109484" xr:uid="{32E85D9F-F9F5-44AA-995B-3169521967C0}"/>
    <hyperlink ref="K5" r:id="rId3" display="https://us3.assetplanner.com/service_request?ID=101404" xr:uid="{5704B450-5860-4AA7-9FCF-0B066633032E}"/>
    <hyperlink ref="M5" r:id="rId4" display="https://us3.assetplanner.com/service_request?ID=102498" xr:uid="{1AE5C06D-22A4-4DE4-899C-FDA8634B5FA2}"/>
    <hyperlink ref="K6" r:id="rId5" display="https://us3.assetplanner.com/service_request?ID=104474" xr:uid="{2C291ED5-AA05-403E-A3BD-906B0BC9D1E1}"/>
    <hyperlink ref="M6" r:id="rId6" display="https://us3.assetplanner.com/service_request?ID=104730" xr:uid="{9A6B325A-A162-42D3-9C22-61EDB30FF7B9}"/>
    <hyperlink ref="N6" r:id="rId7" display="https://us3.assetplanner.com/service_request?ID=108793" xr:uid="{82500D56-3A9D-4AEB-9321-9890AEAF59E7}"/>
    <hyperlink ref="O6" r:id="rId8" display="https://us3.assetplanner.com/service_request?ID=106597" xr:uid="{872D75CA-68BC-41E7-B594-8012AB4D5F4C}"/>
    <hyperlink ref="K7" r:id="rId9" display="https://us3.assetplanner.com/service_request?ID=100021" xr:uid="{94FF4A4C-D9FC-4FFB-B87D-D9AE9DFEA9A1}"/>
    <hyperlink ref="K8" r:id="rId10" display="https://us3.assetplanner.com/service_request?ID=109401" xr:uid="{84EC40FE-79ED-4D83-87AB-7B89F7B70DC5}"/>
    <hyperlink ref="K9" r:id="rId11" display="https://us3.assetplanner.com/service_request?ID=107886" xr:uid="{C5716E10-2181-44C6-8C25-DD264F41568C}"/>
    <hyperlink ref="M9" r:id="rId12" display="https://us3.assetplanner.com/service_request?ID=108955" xr:uid="{9CE1422D-37A6-4DAC-8537-69235A90B733}"/>
    <hyperlink ref="K10" r:id="rId13" display="https://us3.assetplanner.com/service_request?ID=110438" xr:uid="{75723FAE-792A-4BDB-8A94-05F93B543F34}"/>
    <hyperlink ref="K11" r:id="rId14" display="https://us3.assetplanner.com/service_request?ID=110151" xr:uid="{45AF96DD-40E0-4209-AB63-5D4B9E44EA75}"/>
    <hyperlink ref="M11" r:id="rId15" display="https://us3.assetplanner.com/service_request?ID=103565" xr:uid="{63A011F4-6E4A-47F4-ACA2-56E0B4D8D42F}"/>
    <hyperlink ref="K12" r:id="rId16" display="https://us3.assetplanner.com/service_request?ID=103282" xr:uid="{F4DBB5BC-77D5-4EFE-B90F-F171DA90B2F6}"/>
    <hyperlink ref="M12" r:id="rId17" display="https://us3.assetplanner.com/service_request?ID=109217" xr:uid="{4D3C1880-2179-4262-AB12-32B403D169BF}"/>
    <hyperlink ref="K13" r:id="rId18" display="https://us3.assetplanner.com/service_request?ID=109218" xr:uid="{325DDCB2-EDFA-4AFD-9F5E-1308B0DA455F}"/>
    <hyperlink ref="M13" r:id="rId19" display="https://us3.assetplanner.com/service_request?ID=110031" xr:uid="{1EB054CA-6987-4647-8699-A3554D9665C6}"/>
    <hyperlink ref="N13" r:id="rId20" display="https://us3.assetplanner.com/service_request?ID=109352" xr:uid="{FA4DB3A5-8225-48D2-A1EA-A5794D072BB2}"/>
    <hyperlink ref="O13" r:id="rId21" display="https://us3.assetplanner.com/service_request?ID=109659" xr:uid="{A1092822-58DE-4FE7-91CD-FE7CD104F8BE}"/>
    <hyperlink ref="P13" r:id="rId22" display="https://us3.assetplanner.com/service_request?ID=109393" xr:uid="{38D76D74-87E6-4092-9AD3-1D8F991B6B98}"/>
    <hyperlink ref="K15" r:id="rId23" display="https://us3.assetplanner.com/service_request?ID=103728" xr:uid="{7FF8D876-A61B-4CCF-A977-78BFE90CE3FD}"/>
    <hyperlink ref="M15" r:id="rId24" display="https://us3.assetplanner.com/service_request?ID=109200" xr:uid="{FA06B335-E150-4DD4-9FB0-BF99F9FC4460}"/>
    <hyperlink ref="N15" r:id="rId25" display="https://us3.assetplanner.com/service_request?ID=103770" xr:uid="{65DFA53F-EBA7-4937-B563-B78D39D91F90}"/>
    <hyperlink ref="K18" r:id="rId26" display="https://us3.assetplanner.com/service_request?ID=105297" xr:uid="{AC661D72-FBAC-4B77-8C75-8EABE78D19B1}"/>
    <hyperlink ref="K19" r:id="rId27" display="https://us3.assetplanner.com/service_request?ID=097795" xr:uid="{7007852C-685B-42AC-BC2E-7197CCB74532}"/>
    <hyperlink ref="M19" r:id="rId28" display="https://us3.assetplanner.com/service_request?ID=109010" xr:uid="{6C7AD3ED-7D71-46A3-A698-6C0FD1FB8EFC}"/>
    <hyperlink ref="N19" r:id="rId29" display="https://us3.assetplanner.com/service_request?ID=109201" xr:uid="{652E44EE-F577-4699-BBF6-A649730BE85C}"/>
    <hyperlink ref="O19" r:id="rId30" display="https://us3.assetplanner.com/service_request?ID=109391" xr:uid="{6AF5F4D4-C61B-4305-9674-D44616894EBF}"/>
    <hyperlink ref="K21" r:id="rId31" display="https://us3.assetplanner.com/service_request?ID=107644" xr:uid="{DA27CA29-C140-490D-A3F8-3AE1CEDDD517}"/>
    <hyperlink ref="M21" r:id="rId32" display="https://us3.assetplanner.com/service_request?ID=111056" xr:uid="{BB605EC7-C90E-4C1F-899B-5F99933A2804}"/>
    <hyperlink ref="K22" r:id="rId33" display="https://us3.assetplanner.com/service_request?ID=109673" xr:uid="{C80C456B-654F-4B7A-B1DA-929727B55F61}"/>
    <hyperlink ref="K23" r:id="rId34" display="https://us3.assetplanner.com/service_request?ID=109075" xr:uid="{99789071-F336-4279-B44B-34099237CF74}"/>
    <hyperlink ref="M23" r:id="rId35" display="https://us3.assetplanner.com/service_request?ID=109468" xr:uid="{CA8E9294-6F2B-4034-BB16-C1A28635A2CB}"/>
    <hyperlink ref="N23" r:id="rId36" display="https://us3.assetplanner.com/service_request?ID=109856" xr:uid="{6300730D-E2F8-4F9B-AEBC-75649D92DBD1}"/>
    <hyperlink ref="K25" r:id="rId37" display="https://us3.assetplanner.com/service_request?ID=109835" xr:uid="{C647D2A3-CB84-4D21-A319-54FEB0178814}"/>
    <hyperlink ref="M25" r:id="rId38" display="https://us3.assetplanner.com/service_request?ID=110016" xr:uid="{EF908E40-CB14-4AF8-842E-783880F5B0E3}"/>
    <hyperlink ref="N25" r:id="rId39" display="https://us3.assetplanner.com/service_request?ID=101916" xr:uid="{F7BDDC39-FCF7-4CE8-AF49-F54E6D372F8E}"/>
    <hyperlink ref="O25" r:id="rId40" display="https://us3.assetplanner.com/service_request?ID=109206" xr:uid="{EB98ACCA-C8DE-486C-803C-6F616BACE1F4}"/>
    <hyperlink ref="K26" r:id="rId41" display="https://us3.assetplanner.com/service_request?ID=109980" xr:uid="{0C528968-5DDF-4C5C-9A99-90E87CE58570}"/>
    <hyperlink ref="K27" r:id="rId42" display="https://us3.assetplanner.com/service_request?ID=094254" xr:uid="{2444CEAC-366E-445F-B0B4-A1A2A8FCB0FE}"/>
    <hyperlink ref="M27" r:id="rId43" display="https://us3.assetplanner.com/service_request?ID=110115" xr:uid="{4D136A54-26EE-48A7-ABC9-861939382555}"/>
    <hyperlink ref="K29" r:id="rId44" display="https://us3.assetplanner.com/service_request?ID=108804" xr:uid="{47385D08-E35E-4598-B438-B543470C4654}"/>
    <hyperlink ref="M29" r:id="rId45" display="https://us3.assetplanner.com/service_request?ID=110396" xr:uid="{A78A2BE6-FF17-4F4B-9DBA-17CCD84AFD05}"/>
    <hyperlink ref="N29" r:id="rId46" display="https://us3.assetplanner.com/service_request?ID=107959" xr:uid="{9ACC1E6B-256F-4CB1-BBB3-2D243BBDE00C}"/>
    <hyperlink ref="O29" r:id="rId47" display="https://us3.assetplanner.com/service_request?ID=108028" xr:uid="{046FFFA0-2270-44F4-84F7-D061D28AC19D}"/>
    <hyperlink ref="K32" r:id="rId48" display="https://us3.assetplanner.com/service_request?ID=104528" xr:uid="{2B4BC53C-E429-470C-82FA-99F9338A75A5}"/>
    <hyperlink ref="M32" r:id="rId49" display="https://us3.assetplanner.com/service_request?ID=104686" xr:uid="{16A1FCF5-003A-4ADE-92EE-2E7B3AA5480B}"/>
    <hyperlink ref="K33" r:id="rId50" display="https://us3.assetplanner.com/service_request?ID=099815" xr:uid="{E91E218F-A9D7-406C-860B-5CB489213544}"/>
    <hyperlink ref="M33" r:id="rId51" display="https://us3.assetplanner.com/service_request?ID=099920" xr:uid="{779FE883-0256-4F26-984C-02E0C287DC86}"/>
    <hyperlink ref="N33" r:id="rId52" display="https://us3.assetplanner.com/service_request?ID=103531" xr:uid="{2E27BD7B-8237-43EC-B507-A532F8ACBA25}"/>
    <hyperlink ref="O33" r:id="rId53" display="https://us3.assetplanner.com/service_request?ID=109204" xr:uid="{00ABDA54-E838-4690-8F1F-D35AEC1A978D}"/>
    <hyperlink ref="P33" r:id="rId54" display="https://us3.assetplanner.com/service_request?ID=104024" xr:uid="{96B985FB-BB02-499E-87A8-DC5BD6106217}"/>
    <hyperlink ref="Q33" r:id="rId55" display="https://us3.assetplanner.com/service_request?ID=105724" xr:uid="{ACEDCF6F-049E-4F46-82A5-3DDD4B26FFE4}"/>
    <hyperlink ref="R33" r:id="rId56" display="https://us3.assetplanner.com/service_request?ID=105808" xr:uid="{69697473-5A97-4136-AF95-8CD4FF957582}"/>
    <hyperlink ref="S33" r:id="rId57" display="https://us3.assetplanner.com/service_request?ID=107262" xr:uid="{8CF1CFBA-8C6E-47EE-A752-B321E151FD4C}"/>
    <hyperlink ref="T33" r:id="rId58" display="https://us3.assetplanner.com/service_request?ID=109205" xr:uid="{DFA9AB1C-11DE-4C83-8672-9B8103EB4FFE}"/>
    <hyperlink ref="U33" r:id="rId59" display="https://us3.assetplanner.com/service_request?ID=099298" xr:uid="{F7ED08F8-A09A-4028-AEC6-9D86F3E8EA6E}"/>
    <hyperlink ref="V33" r:id="rId60" display="https://us3.assetplanner.com/service_request?ID=109610" xr:uid="{33B5EFD7-32F1-4040-8602-71AF1EA9724C}"/>
    <hyperlink ref="W33" r:id="rId61" display="https://us3.assetplanner.com/service_request?ID=108680" xr:uid="{38E47AF9-18C6-444C-8BD2-E5468EF29EEC}"/>
    <hyperlink ref="X33" r:id="rId62" display="https://us3.assetplanner.com/service_request?ID=109284" xr:uid="{FA9C9CCC-9CFB-41DD-9844-B341205D138C}"/>
    <hyperlink ref="K34" r:id="rId63" display="https://us3.assetplanner.com/service_request?ID=108746" xr:uid="{170A1716-AC5B-4AB6-A5E2-7724F5A5F75E}"/>
    <hyperlink ref="M34" r:id="rId64" display="https://us3.assetplanner.com/service_request?ID=109070" xr:uid="{70869857-6FA6-4B8B-A40E-C5AEEF1B2551}"/>
    <hyperlink ref="N34" r:id="rId65" display="https://us3.assetplanner.com/service_request?ID=109231" xr:uid="{6FD596F6-3D1D-403F-9299-3C00C2727234}"/>
    <hyperlink ref="O34" r:id="rId66" display="https://us3.assetplanner.com/service_request?ID=109714" xr:uid="{385C1C71-BE84-4E5D-A7FD-D4C3C1FA7EF8}"/>
    <hyperlink ref="P34" r:id="rId67" display="https://us3.assetplanner.com/service_request?ID=109859" xr:uid="{3D6CC2CB-C569-45B0-9397-702CA119A5B9}"/>
    <hyperlink ref="K35" r:id="rId68" display="https://us3.assetplanner.com/service_request?ID=105950" xr:uid="{EEE9660D-4084-4AB2-817F-611DF26E6381}"/>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AB345"/>
  <sheetViews>
    <sheetView tabSelected="1" zoomScale="70" zoomScaleNormal="70" workbookViewId="0">
      <pane xSplit="2" ySplit="3" topLeftCell="C29" activePane="bottomRight" state="frozen"/>
      <selection pane="bottomRight" activeCell="J6" sqref="J6"/>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109" customWidth="1"/>
    <col min="11" max="11" width="20.5703125" style="109" bestFit="1" customWidth="1"/>
    <col min="12" max="12" width="17.42578125" style="74" customWidth="1"/>
    <col min="13" max="28" width="8.85546875" style="74"/>
  </cols>
  <sheetData>
    <row r="1" spans="1:16" ht="19.5" customHeight="1">
      <c r="A1" s="112" t="str" cm="1">
        <f t="array" ref="A1">portfolio</f>
        <v>Lodestar</v>
      </c>
      <c r="B1" s="112"/>
      <c r="C1" s="112"/>
      <c r="D1" s="113" t="s">
        <v>789</v>
      </c>
      <c r="E1" s="113"/>
      <c r="F1" s="113"/>
      <c r="G1" s="111" t="s">
        <v>790</v>
      </c>
      <c r="H1" s="111"/>
      <c r="I1" s="111"/>
      <c r="J1" s="106"/>
      <c r="K1" s="106"/>
      <c r="L1" s="106"/>
    </row>
    <row r="2" spans="1:16" ht="19.5" customHeight="1">
      <c r="A2" s="114" t="s">
        <v>2</v>
      </c>
      <c r="B2" s="114"/>
      <c r="C2" s="5">
        <f>SUM(C4:C103)</f>
        <v>4209367.0941643408</v>
      </c>
      <c r="D2" s="5">
        <f>SUM(D4:D103)</f>
        <v>4058259.71</v>
      </c>
      <c r="E2" s="5">
        <f>C2-D2</f>
        <v>151107.38416434079</v>
      </c>
      <c r="F2" s="6">
        <f>IFERROR(E2/D2, 0)</f>
        <v>3.7234527842561559E-2</v>
      </c>
      <c r="G2" s="5">
        <f>SUM(G4:G103)</f>
        <v>4817177.5499999989</v>
      </c>
      <c r="H2" s="7">
        <f>C2-G2</f>
        <v>-607810.45583565813</v>
      </c>
      <c r="I2" s="6">
        <f>IFERROR(H2/G2, 0)</f>
        <v>-0.12617563905977647</v>
      </c>
      <c r="J2" s="110" t="str">
        <f ca="1">IF(AND(TODAY()&gt;DATE(2024, 11, 1), COUNTA(Sites[Site])&lt;&gt;(COUNT(C:C)-1)), "Some sites are missing actual data; if new sites were added, make sure they are aligned correctly (including prior months!)", "")</f>
        <v/>
      </c>
      <c r="K2" s="106"/>
      <c r="L2" s="106"/>
    </row>
    <row r="3" spans="1:16" ht="14.25" customHeight="1">
      <c r="A3" s="8" t="s">
        <v>3</v>
      </c>
      <c r="B3" s="8" t="s">
        <v>4</v>
      </c>
      <c r="C3" s="23" t="s">
        <v>5</v>
      </c>
      <c r="D3" s="33" t="s">
        <v>6</v>
      </c>
      <c r="E3" s="33" t="s">
        <v>7</v>
      </c>
      <c r="F3" s="34" t="s">
        <v>8</v>
      </c>
      <c r="G3" s="35" t="s">
        <v>9</v>
      </c>
      <c r="H3" s="36" t="s">
        <v>7</v>
      </c>
      <c r="I3" s="37" t="s">
        <v>8</v>
      </c>
      <c r="J3" s="107" t="s">
        <v>20</v>
      </c>
      <c r="K3" s="107" t="s">
        <v>21</v>
      </c>
      <c r="L3" s="107" t="s">
        <v>697</v>
      </c>
    </row>
    <row r="4" spans="1:16" ht="15.6">
      <c r="A4" s="30" t="str" cm="1">
        <f t="array" ref="A4:A35">Sites[Site]</f>
        <v>Barkhamsted</v>
      </c>
      <c r="B4" s="27" t="str" cm="1">
        <f t="array" ref="B4:B35">Sites[State]</f>
        <v>CT</v>
      </c>
      <c r="C4" s="24">
        <v>87104</v>
      </c>
      <c r="D4" s="13">
        <v>106396.9</v>
      </c>
      <c r="E4" s="13">
        <f>IF(AND(ISNUMBER(C4),ISNUMBER(D4)), C4-D4, "")</f>
        <v>-19292.899999999994</v>
      </c>
      <c r="F4" s="14">
        <f>IFERROR(E4/D4, "")</f>
        <v>-0.18132953121754483</v>
      </c>
      <c r="G4" s="15">
        <v>99959.12</v>
      </c>
      <c r="H4" s="15">
        <f>IF(AND(ISNUMBER(C4),ISNUMBER(G4)), C4-G4, "")</f>
        <v>-12855.119999999995</v>
      </c>
      <c r="I4" s="16">
        <f>IFERROR(H4/G4, "")</f>
        <v>-0.12860377322249331</v>
      </c>
      <c r="J4" s="38" t="s">
        <v>791</v>
      </c>
      <c r="K4" s="38"/>
      <c r="L4" s="38"/>
    </row>
    <row r="5" spans="1:16" ht="15.6">
      <c r="A5" s="28" t="str">
        <v>Bunce</v>
      </c>
      <c r="B5" s="29" t="str">
        <v>CT</v>
      </c>
      <c r="C5" s="11">
        <v>151878</v>
      </c>
      <c r="D5" s="18">
        <v>139841</v>
      </c>
      <c r="E5" s="18">
        <f t="shared" ref="E5:E27" si="0">IF(AND(ISNUMBER(C5),ISNUMBER(D5)), C5-D5, "")</f>
        <v>12037</v>
      </c>
      <c r="F5" s="19">
        <f>IFERROR(E5/D5, "")</f>
        <v>8.6076329545698327E-2</v>
      </c>
      <c r="G5" s="20">
        <v>0</v>
      </c>
      <c r="H5" s="20">
        <f t="shared" ref="H5:H27" si="1">IF(AND(ISNUMBER(C5),ISNUMBER(G5)), C5-G5, "")</f>
        <v>151878</v>
      </c>
      <c r="I5" s="19" t="str">
        <f>IFERROR(H5/G5, "")</f>
        <v/>
      </c>
      <c r="J5" s="47"/>
      <c r="K5" s="47"/>
      <c r="L5" s="47"/>
    </row>
    <row r="6" spans="1:16" ht="72">
      <c r="A6" s="30" t="str">
        <v>Norcap North</v>
      </c>
      <c r="B6" s="27" t="str">
        <v>CT</v>
      </c>
      <c r="C6" s="24">
        <v>174376</v>
      </c>
      <c r="D6" s="13">
        <v>238337.8</v>
      </c>
      <c r="E6" s="13">
        <f t="shared" si="0"/>
        <v>-63961.799999999988</v>
      </c>
      <c r="F6" s="14">
        <f t="shared" ref="F6:F27" si="2">IFERROR(E6/D6, "")</f>
        <v>-0.2683661592915601</v>
      </c>
      <c r="G6" s="15">
        <v>199634.5</v>
      </c>
      <c r="H6" s="15">
        <f t="shared" si="1"/>
        <v>-25258.5</v>
      </c>
      <c r="I6" s="16">
        <f t="shared" ref="I6:I27" si="3">IFERROR(H6/G6, "")</f>
        <v>-0.12652372210214166</v>
      </c>
      <c r="J6" s="38" t="s">
        <v>792</v>
      </c>
      <c r="K6" s="70" t="s">
        <v>793</v>
      </c>
      <c r="L6" s="38" t="s">
        <v>794</v>
      </c>
      <c r="M6" s="75" t="s">
        <v>524</v>
      </c>
    </row>
    <row r="7" spans="1:16" ht="15.6">
      <c r="A7" s="28" t="str">
        <v>Norcap South</v>
      </c>
      <c r="B7" s="29" t="str">
        <v>CT</v>
      </c>
      <c r="C7" s="11">
        <v>196473</v>
      </c>
      <c r="D7" s="18">
        <v>261432.7</v>
      </c>
      <c r="E7" s="18">
        <f t="shared" si="0"/>
        <v>-64959.700000000012</v>
      </c>
      <c r="F7" s="19">
        <f t="shared" si="2"/>
        <v>-0.24847580275918049</v>
      </c>
      <c r="G7" s="20">
        <v>180795.7</v>
      </c>
      <c r="H7" s="20">
        <f t="shared" si="1"/>
        <v>15677.299999999988</v>
      </c>
      <c r="I7" s="19">
        <f t="shared" si="3"/>
        <v>8.6712792394951804E-2</v>
      </c>
      <c r="J7" s="47" t="s">
        <v>795</v>
      </c>
      <c r="K7" s="47"/>
      <c r="L7" s="47"/>
    </row>
    <row r="8" spans="1:16" ht="66" customHeight="1">
      <c r="A8" s="30" t="str">
        <v>Platt Hill</v>
      </c>
      <c r="B8" s="27" t="str">
        <v>CT</v>
      </c>
      <c r="C8" s="24">
        <v>170237</v>
      </c>
      <c r="D8" s="13">
        <v>215614.2</v>
      </c>
      <c r="E8" s="13">
        <f t="shared" si="0"/>
        <v>-45377.200000000012</v>
      </c>
      <c r="F8" s="14">
        <f t="shared" si="2"/>
        <v>-0.2104555265840562</v>
      </c>
      <c r="G8" s="15">
        <v>214363.6</v>
      </c>
      <c r="H8" s="15">
        <f t="shared" si="1"/>
        <v>-44126.600000000006</v>
      </c>
      <c r="I8" s="16">
        <f t="shared" si="3"/>
        <v>-0.2058493139693493</v>
      </c>
      <c r="J8" s="38" t="s">
        <v>796</v>
      </c>
      <c r="K8" s="70" t="s">
        <v>797</v>
      </c>
      <c r="L8" s="38" t="s">
        <v>700</v>
      </c>
      <c r="M8" s="75" t="s">
        <v>798</v>
      </c>
    </row>
    <row r="9" spans="1:16" ht="100.5" customHeight="1">
      <c r="A9" s="28" t="str">
        <v>Powder Hill</v>
      </c>
      <c r="B9" s="29" t="str">
        <v>CT</v>
      </c>
      <c r="C9" s="11">
        <v>146438</v>
      </c>
      <c r="D9" s="18">
        <v>185203.8</v>
      </c>
      <c r="E9" s="18">
        <f t="shared" si="0"/>
        <v>-38765.799999999988</v>
      </c>
      <c r="F9" s="19">
        <f t="shared" si="2"/>
        <v>-0.20931427972860164</v>
      </c>
      <c r="G9" s="20">
        <v>141768</v>
      </c>
      <c r="H9" s="20">
        <f t="shared" si="1"/>
        <v>4670</v>
      </c>
      <c r="I9" s="19">
        <f t="shared" si="3"/>
        <v>3.2941143276338805E-2</v>
      </c>
      <c r="J9" s="47" t="s">
        <v>799</v>
      </c>
      <c r="K9" s="72" t="s">
        <v>800</v>
      </c>
      <c r="L9" s="47" t="s">
        <v>801</v>
      </c>
      <c r="M9" s="75" t="s">
        <v>717</v>
      </c>
      <c r="N9" s="75" t="s">
        <v>802</v>
      </c>
      <c r="O9" s="75" t="s">
        <v>803</v>
      </c>
      <c r="P9" s="75" t="s">
        <v>804</v>
      </c>
    </row>
    <row r="10" spans="1:16" ht="15.6">
      <c r="A10" s="30" t="str">
        <v>Sand Road</v>
      </c>
      <c r="B10" s="27" t="str">
        <v>CT</v>
      </c>
      <c r="C10" s="24">
        <v>145286</v>
      </c>
      <c r="D10" s="13">
        <v>133666.29999999999</v>
      </c>
      <c r="E10" s="13">
        <f t="shared" si="0"/>
        <v>11619.700000000012</v>
      </c>
      <c r="F10" s="14">
        <f t="shared" si="2"/>
        <v>8.6930662403313416E-2</v>
      </c>
      <c r="G10" s="15">
        <v>135386</v>
      </c>
      <c r="H10" s="15">
        <f t="shared" si="1"/>
        <v>9900</v>
      </c>
      <c r="I10" s="16">
        <f t="shared" si="3"/>
        <v>7.3124252138330403E-2</v>
      </c>
      <c r="J10" s="38"/>
      <c r="K10" s="38"/>
      <c r="L10" s="38"/>
    </row>
    <row r="11" spans="1:16" ht="15.6">
      <c r="A11" s="28" t="str">
        <v>Suffield</v>
      </c>
      <c r="B11" s="29" t="str">
        <v>CT</v>
      </c>
      <c r="C11" s="11">
        <v>162203.99160878401</v>
      </c>
      <c r="D11" s="18">
        <v>157084.9</v>
      </c>
      <c r="E11" s="18">
        <f t="shared" si="0"/>
        <v>5119.091608784016</v>
      </c>
      <c r="F11" s="19">
        <f t="shared" si="2"/>
        <v>3.2588056578219907E-2</v>
      </c>
      <c r="G11" s="20">
        <v>187711</v>
      </c>
      <c r="H11" s="20">
        <f t="shared" si="1"/>
        <v>-25507.00839121599</v>
      </c>
      <c r="I11" s="19">
        <f t="shared" si="3"/>
        <v>-0.13588446277104693</v>
      </c>
      <c r="J11" s="47" t="s">
        <v>805</v>
      </c>
      <c r="K11" s="72" t="s">
        <v>806</v>
      </c>
      <c r="L11" s="47" t="s">
        <v>720</v>
      </c>
    </row>
    <row r="12" spans="1:16" ht="63.75" customHeight="1">
      <c r="A12" s="55" t="str">
        <v>Ashby-Duffy</v>
      </c>
      <c r="B12" s="27" t="str">
        <v>MA</v>
      </c>
      <c r="C12" s="24">
        <v>177666</v>
      </c>
      <c r="D12" s="13">
        <v>291791.40000000002</v>
      </c>
      <c r="E12" s="13">
        <f t="shared" si="0"/>
        <v>-114125.40000000002</v>
      </c>
      <c r="F12" s="14">
        <f t="shared" si="2"/>
        <v>-0.39111982052932337</v>
      </c>
      <c r="G12" s="15">
        <v>177083.7</v>
      </c>
      <c r="H12" s="15">
        <f t="shared" si="1"/>
        <v>582.29999999998836</v>
      </c>
      <c r="I12" s="16">
        <f t="shared" si="3"/>
        <v>3.288275544276454E-3</v>
      </c>
      <c r="J12" s="38" t="s">
        <v>807</v>
      </c>
      <c r="K12" s="70" t="s">
        <v>808</v>
      </c>
      <c r="L12" s="38" t="s">
        <v>809</v>
      </c>
      <c r="M12" s="75" t="s">
        <v>274</v>
      </c>
      <c r="N12" s="75" t="s">
        <v>810</v>
      </c>
    </row>
    <row r="13" spans="1:16" ht="129.75" customHeight="1">
      <c r="A13" s="28" t="str">
        <v>Ashland</v>
      </c>
      <c r="B13" s="29" t="str">
        <v>MA</v>
      </c>
      <c r="C13" s="11">
        <v>155447.5</v>
      </c>
      <c r="D13" s="18">
        <v>193692.2</v>
      </c>
      <c r="E13" s="18">
        <f t="shared" si="0"/>
        <v>-38244.700000000012</v>
      </c>
      <c r="F13" s="19">
        <f>IFERROR(E13/D13, "")</f>
        <v>-0.19745090406325091</v>
      </c>
      <c r="G13" s="20">
        <v>152755.9</v>
      </c>
      <c r="H13" s="20">
        <f t="shared" si="1"/>
        <v>2691.6000000000058</v>
      </c>
      <c r="I13" s="19">
        <f t="shared" si="3"/>
        <v>1.7620268677020042E-2</v>
      </c>
      <c r="J13" s="47" t="s">
        <v>811</v>
      </c>
      <c r="K13" s="72" t="s">
        <v>812</v>
      </c>
      <c r="L13" s="47" t="s">
        <v>813</v>
      </c>
      <c r="M13" s="75" t="s">
        <v>107</v>
      </c>
      <c r="N13" s="75" t="s">
        <v>814</v>
      </c>
      <c r="O13" s="75" t="s">
        <v>815</v>
      </c>
    </row>
    <row r="14" spans="1:16" ht="15.6">
      <c r="A14" s="30" t="str">
        <v>Barrington</v>
      </c>
      <c r="B14" s="27" t="str">
        <v>MA</v>
      </c>
      <c r="C14" s="24">
        <v>30040</v>
      </c>
      <c r="D14" s="13">
        <v>27548.87</v>
      </c>
      <c r="E14" s="13">
        <f t="shared" si="0"/>
        <v>2491.130000000001</v>
      </c>
      <c r="F14" s="14">
        <f t="shared" si="2"/>
        <v>9.0425850497679261E-2</v>
      </c>
      <c r="G14" s="15">
        <v>39410</v>
      </c>
      <c r="H14" s="15">
        <f t="shared" si="1"/>
        <v>-9370</v>
      </c>
      <c r="I14" s="16">
        <f t="shared" si="3"/>
        <v>-0.23775691448870845</v>
      </c>
      <c r="J14" s="38" t="s">
        <v>791</v>
      </c>
      <c r="K14" s="38"/>
      <c r="L14" s="38"/>
    </row>
    <row r="15" spans="1:16" ht="28.9">
      <c r="A15" s="28" t="str">
        <v>Bedford - 205 Burlington Rd</v>
      </c>
      <c r="B15" s="29" t="str">
        <v>MA</v>
      </c>
      <c r="C15" s="11">
        <v>15415</v>
      </c>
      <c r="D15" s="18" t="s">
        <v>24</v>
      </c>
      <c r="E15" s="18" t="str">
        <f t="shared" si="0"/>
        <v/>
      </c>
      <c r="F15" s="19" t="str">
        <f>IFERROR(E15/D15, "")</f>
        <v/>
      </c>
      <c r="G15" s="66" t="s">
        <v>24</v>
      </c>
      <c r="H15" s="20" t="str">
        <f t="shared" si="1"/>
        <v/>
      </c>
      <c r="I15" s="19" t="str">
        <f t="shared" si="3"/>
        <v/>
      </c>
      <c r="J15" s="47" t="s">
        <v>816</v>
      </c>
      <c r="K15" s="72" t="s">
        <v>817</v>
      </c>
      <c r="L15" s="47" t="s">
        <v>704</v>
      </c>
      <c r="M15" s="75" t="s">
        <v>475</v>
      </c>
    </row>
    <row r="16" spans="1:16" ht="15.6">
      <c r="A16" s="30" t="str">
        <v>Billerica - 6 Cook Street</v>
      </c>
      <c r="B16" s="27" t="str">
        <v>MA</v>
      </c>
      <c r="C16" s="24">
        <v>14743</v>
      </c>
      <c r="D16" s="13" t="s">
        <v>24</v>
      </c>
      <c r="E16" s="13" t="str">
        <f t="shared" si="0"/>
        <v/>
      </c>
      <c r="F16" s="14" t="str">
        <f t="shared" si="2"/>
        <v/>
      </c>
      <c r="G16" s="67" t="s">
        <v>24</v>
      </c>
      <c r="H16" s="15" t="str">
        <f t="shared" si="1"/>
        <v/>
      </c>
      <c r="I16" s="16" t="str">
        <f t="shared" si="3"/>
        <v/>
      </c>
      <c r="J16" s="38" t="s">
        <v>818</v>
      </c>
      <c r="K16" s="38"/>
      <c r="L16" s="38"/>
    </row>
    <row r="17" spans="1:16" ht="15.6">
      <c r="A17" s="28" t="str">
        <v>Billerica - 780 Boston Road</v>
      </c>
      <c r="B17" s="29" t="str">
        <v>MA</v>
      </c>
      <c r="C17" s="11">
        <v>17106</v>
      </c>
      <c r="D17" s="18" t="s">
        <v>24</v>
      </c>
      <c r="E17" s="18" t="str">
        <f t="shared" si="0"/>
        <v/>
      </c>
      <c r="F17" s="19" t="str">
        <f t="shared" si="2"/>
        <v/>
      </c>
      <c r="G17" s="66" t="s">
        <v>24</v>
      </c>
      <c r="H17" s="20" t="str">
        <f t="shared" si="1"/>
        <v/>
      </c>
      <c r="I17" s="19" t="str">
        <f t="shared" si="3"/>
        <v/>
      </c>
      <c r="J17" s="47" t="s">
        <v>818</v>
      </c>
      <c r="K17" s="47"/>
      <c r="L17" s="47"/>
    </row>
    <row r="18" spans="1:16" ht="12.75" customHeight="1">
      <c r="A18" s="30" t="str">
        <v>Cheshire</v>
      </c>
      <c r="B18" s="27" t="str">
        <v>MA</v>
      </c>
      <c r="C18" s="24">
        <v>29897.250000000498</v>
      </c>
      <c r="D18" s="13">
        <v>34177.480000000003</v>
      </c>
      <c r="E18" s="13">
        <f t="shared" si="0"/>
        <v>-4280.2299999995048</v>
      </c>
      <c r="F18" s="14">
        <f t="shared" si="2"/>
        <v>-0.12523538891689803</v>
      </c>
      <c r="G18" s="15">
        <v>21472.23</v>
      </c>
      <c r="H18" s="15">
        <f t="shared" si="1"/>
        <v>8425.0200000004988</v>
      </c>
      <c r="I18" s="16">
        <f t="shared" si="3"/>
        <v>0.39236818905164944</v>
      </c>
      <c r="J18" s="38" t="s">
        <v>819</v>
      </c>
      <c r="K18" s="70" t="s">
        <v>820</v>
      </c>
      <c r="L18" s="38" t="s">
        <v>770</v>
      </c>
    </row>
    <row r="19" spans="1:16" ht="72">
      <c r="A19" s="28" t="str">
        <v>Lilly Lane</v>
      </c>
      <c r="B19" s="29" t="str">
        <v>MA</v>
      </c>
      <c r="C19" s="11">
        <v>0</v>
      </c>
      <c r="D19" s="18">
        <v>0</v>
      </c>
      <c r="E19" s="18">
        <f t="shared" si="0"/>
        <v>0</v>
      </c>
      <c r="F19" s="19" t="str">
        <f t="shared" si="2"/>
        <v/>
      </c>
      <c r="G19" s="20">
        <v>0</v>
      </c>
      <c r="H19" s="20">
        <f t="shared" si="1"/>
        <v>0</v>
      </c>
      <c r="I19" s="19" t="str">
        <f t="shared" si="3"/>
        <v/>
      </c>
      <c r="J19" s="47" t="s">
        <v>737</v>
      </c>
      <c r="K19" s="72" t="s">
        <v>738</v>
      </c>
      <c r="L19" s="47" t="s">
        <v>739</v>
      </c>
      <c r="M19" s="75" t="s">
        <v>740</v>
      </c>
      <c r="N19" s="75" t="s">
        <v>741</v>
      </c>
      <c r="O19" s="75" t="s">
        <v>742</v>
      </c>
    </row>
    <row r="20" spans="1:16" ht="72.75" customHeight="1">
      <c r="A20" s="55" t="str">
        <v>Monument Valley</v>
      </c>
      <c r="B20" s="27" t="str">
        <v>MA</v>
      </c>
      <c r="C20" s="24">
        <v>131810.055555556</v>
      </c>
      <c r="D20" s="13">
        <v>119514.7</v>
      </c>
      <c r="E20" s="13">
        <f t="shared" si="0"/>
        <v>12295.355555556001</v>
      </c>
      <c r="F20" s="14">
        <f t="shared" si="2"/>
        <v>0.10287734944367515</v>
      </c>
      <c r="G20" s="15">
        <v>156272</v>
      </c>
      <c r="H20" s="15">
        <f t="shared" si="1"/>
        <v>-24461.944444444001</v>
      </c>
      <c r="I20" s="16">
        <f t="shared" si="3"/>
        <v>-0.15653440440030206</v>
      </c>
      <c r="J20" s="38" t="s">
        <v>821</v>
      </c>
      <c r="K20" s="70" t="s">
        <v>822</v>
      </c>
      <c r="L20" s="38" t="s">
        <v>700</v>
      </c>
      <c r="M20" s="75" t="s">
        <v>823</v>
      </c>
    </row>
    <row r="21" spans="1:16" ht="43.15">
      <c r="A21" s="28" t="str">
        <v>Nationwide</v>
      </c>
      <c r="B21" s="29" t="str">
        <v>MA</v>
      </c>
      <c r="C21" s="11">
        <v>196186</v>
      </c>
      <c r="D21" s="18">
        <v>282471.5</v>
      </c>
      <c r="E21" s="18">
        <f t="shared" si="0"/>
        <v>-86285.5</v>
      </c>
      <c r="F21" s="19">
        <f t="shared" si="2"/>
        <v>-0.30546621517569028</v>
      </c>
      <c r="G21" s="20">
        <v>258464.4</v>
      </c>
      <c r="H21" s="20">
        <f t="shared" si="1"/>
        <v>-62278.399999999994</v>
      </c>
      <c r="I21" s="19">
        <f t="shared" si="3"/>
        <v>-0.24095542751729057</v>
      </c>
      <c r="J21" s="47" t="s">
        <v>824</v>
      </c>
      <c r="K21" s="72" t="s">
        <v>825</v>
      </c>
      <c r="L21" s="47" t="s">
        <v>826</v>
      </c>
      <c r="M21" s="75" t="s">
        <v>746</v>
      </c>
    </row>
    <row r="22" spans="1:16" ht="81" customHeight="1">
      <c r="A22" s="30" t="str">
        <v>Pulpit Hill</v>
      </c>
      <c r="B22" s="27" t="str">
        <v>MA</v>
      </c>
      <c r="C22" s="24">
        <v>374710.75</v>
      </c>
      <c r="D22" s="13">
        <v>383968.2</v>
      </c>
      <c r="E22" s="13">
        <f t="shared" si="0"/>
        <v>-9257.4500000000116</v>
      </c>
      <c r="F22" s="14">
        <f t="shared" si="2"/>
        <v>-2.4109939312682696E-2</v>
      </c>
      <c r="G22" s="15">
        <v>349428.8</v>
      </c>
      <c r="H22" s="15">
        <f t="shared" si="1"/>
        <v>25281.950000000012</v>
      </c>
      <c r="I22" s="16">
        <f t="shared" si="3"/>
        <v>7.235222168292943E-2</v>
      </c>
      <c r="J22" s="38" t="s">
        <v>827</v>
      </c>
      <c r="K22" s="70" t="s">
        <v>828</v>
      </c>
      <c r="L22" s="38" t="s">
        <v>770</v>
      </c>
      <c r="M22" s="75" t="s">
        <v>829</v>
      </c>
      <c r="N22" s="75" t="s">
        <v>830</v>
      </c>
    </row>
    <row r="23" spans="1:16" ht="43.15">
      <c r="A23" s="28" t="str">
        <v>Sandwich</v>
      </c>
      <c r="B23" s="29" t="str">
        <v>MA</v>
      </c>
      <c r="C23" s="11">
        <v>122672.01300000001</v>
      </c>
      <c r="D23" s="18" t="s">
        <v>24</v>
      </c>
      <c r="E23" s="18" t="str">
        <f t="shared" si="0"/>
        <v/>
      </c>
      <c r="F23" s="19" t="str">
        <f t="shared" si="2"/>
        <v/>
      </c>
      <c r="G23" s="20">
        <v>279859</v>
      </c>
      <c r="H23" s="20">
        <f t="shared" si="1"/>
        <v>-157186.98699999999</v>
      </c>
      <c r="I23" s="19">
        <f t="shared" si="3"/>
        <v>-0.56166493484218838</v>
      </c>
      <c r="J23" s="47" t="s">
        <v>831</v>
      </c>
      <c r="K23" s="72" t="s">
        <v>832</v>
      </c>
      <c r="L23" s="47" t="s">
        <v>700</v>
      </c>
      <c r="M23" s="75" t="s">
        <v>833</v>
      </c>
    </row>
    <row r="24" spans="1:16" ht="55.5" customHeight="1">
      <c r="A24" s="30" t="str">
        <v>Sturbridge Barn</v>
      </c>
      <c r="B24" s="27" t="str">
        <v>MA</v>
      </c>
      <c r="C24" s="24">
        <v>95039.5</v>
      </c>
      <c r="D24" s="13">
        <v>105108.2</v>
      </c>
      <c r="E24" s="13">
        <f t="shared" si="0"/>
        <v>-10068.699999999997</v>
      </c>
      <c r="F24" s="14">
        <f t="shared" si="2"/>
        <v>-9.5793667858454404E-2</v>
      </c>
      <c r="G24" s="15">
        <v>102369.9</v>
      </c>
      <c r="H24" s="15">
        <f t="shared" si="1"/>
        <v>-7330.3999999999942</v>
      </c>
      <c r="I24" s="16">
        <f t="shared" si="3"/>
        <v>-7.1606986037888037E-2</v>
      </c>
      <c r="J24" s="38"/>
      <c r="K24" s="38"/>
      <c r="L24" s="38"/>
    </row>
    <row r="25" spans="1:16" ht="71.25" customHeight="1">
      <c r="A25" s="28" t="str">
        <v>Sturbridge Garage</v>
      </c>
      <c r="B25" s="29" t="str">
        <v>MA</v>
      </c>
      <c r="C25" s="11">
        <v>38357.5</v>
      </c>
      <c r="D25" s="18">
        <v>49063.86</v>
      </c>
      <c r="E25" s="18">
        <f t="shared" si="0"/>
        <v>-10706.36</v>
      </c>
      <c r="F25" s="19">
        <f t="shared" si="2"/>
        <v>-0.21821275374583249</v>
      </c>
      <c r="G25" s="20">
        <v>52082.400000000001</v>
      </c>
      <c r="H25" s="20">
        <f t="shared" si="1"/>
        <v>-13724.900000000001</v>
      </c>
      <c r="I25" s="19">
        <f t="shared" si="3"/>
        <v>-0.26352280232861774</v>
      </c>
      <c r="J25" s="47" t="s">
        <v>834</v>
      </c>
      <c r="K25" s="72" t="s">
        <v>835</v>
      </c>
      <c r="L25" s="47" t="s">
        <v>836</v>
      </c>
      <c r="M25" s="75" t="s">
        <v>837</v>
      </c>
      <c r="N25" s="75" t="s">
        <v>755</v>
      </c>
      <c r="O25" s="75" t="s">
        <v>756</v>
      </c>
      <c r="P25" s="75" t="s">
        <v>757</v>
      </c>
    </row>
    <row r="26" spans="1:16" ht="15.6">
      <c r="A26" s="30" t="str">
        <v>Halsey Valley</v>
      </c>
      <c r="B26" s="27" t="str">
        <v>NY</v>
      </c>
      <c r="C26" s="24">
        <v>370752</v>
      </c>
      <c r="D26" s="13">
        <v>402709.4</v>
      </c>
      <c r="E26" s="13">
        <f t="shared" si="0"/>
        <v>-31957.400000000023</v>
      </c>
      <c r="F26" s="14">
        <f t="shared" si="2"/>
        <v>-7.9355982254201221E-2</v>
      </c>
      <c r="G26" s="15">
        <v>424000</v>
      </c>
      <c r="H26" s="15">
        <f t="shared" si="1"/>
        <v>-53248</v>
      </c>
      <c r="I26" s="16">
        <f t="shared" si="3"/>
        <v>-0.12558490566037736</v>
      </c>
      <c r="J26" s="38"/>
      <c r="K26" s="38"/>
      <c r="L26" s="38"/>
    </row>
    <row r="27" spans="1:16" ht="72" customHeight="1">
      <c r="A27" s="28" t="str">
        <v>Hunt Creek</v>
      </c>
      <c r="B27" s="29" t="str">
        <v>NY</v>
      </c>
      <c r="C27" s="11">
        <v>181783</v>
      </c>
      <c r="D27" s="18">
        <v>282713.8</v>
      </c>
      <c r="E27" s="18">
        <f t="shared" si="0"/>
        <v>-100930.79999999999</v>
      </c>
      <c r="F27" s="19">
        <f t="shared" si="2"/>
        <v>-0.3570069802040084</v>
      </c>
      <c r="G27" s="20">
        <v>254400</v>
      </c>
      <c r="H27" s="20">
        <f t="shared" si="1"/>
        <v>-72617</v>
      </c>
      <c r="I27" s="19">
        <f t="shared" si="3"/>
        <v>-0.28544418238993713</v>
      </c>
      <c r="J27" s="48" t="s">
        <v>838</v>
      </c>
      <c r="K27" s="72" t="s">
        <v>839</v>
      </c>
      <c r="L27" s="47" t="s">
        <v>700</v>
      </c>
      <c r="M27" s="75" t="s">
        <v>840</v>
      </c>
    </row>
    <row r="28" spans="1:16" ht="31.5" customHeight="1">
      <c r="A28" s="30" t="str">
        <v>Smith Creek</v>
      </c>
      <c r="B28" s="27" t="str">
        <v>NY</v>
      </c>
      <c r="C28" s="24">
        <v>289883</v>
      </c>
      <c r="D28" s="13">
        <v>324106.2</v>
      </c>
      <c r="E28" s="13">
        <f t="shared" ref="E28:E35" si="4">IF(AND(ISNUMBER(C28),ISNUMBER(D28)), C28-D28, "")</f>
        <v>-34223.200000000012</v>
      </c>
      <c r="F28" s="14">
        <f t="shared" ref="F28:F35" si="5">IFERROR(E28/D28, "")</f>
        <v>-0.10559254960256857</v>
      </c>
      <c r="G28" s="15">
        <v>381936.3</v>
      </c>
      <c r="H28" s="15">
        <f t="shared" ref="H28:H35" si="6">IF(AND(ISNUMBER(C28),ISNUMBER(G28)), C28-G28, "")</f>
        <v>-92053.299999999988</v>
      </c>
      <c r="I28" s="16">
        <f t="shared" ref="I28:I35" si="7">IFERROR(H28/G28, "")</f>
        <v>-0.2410174157313667</v>
      </c>
      <c r="J28" s="38" t="s">
        <v>841</v>
      </c>
      <c r="K28" s="70" t="s">
        <v>842</v>
      </c>
      <c r="L28" s="38" t="s">
        <v>720</v>
      </c>
    </row>
    <row r="29" spans="1:16" ht="45.75">
      <c r="A29" s="28" t="str">
        <v>Bradford - 256 Presidential Dr</v>
      </c>
      <c r="B29" s="29" t="str">
        <v>MA</v>
      </c>
      <c r="C29" s="11">
        <v>339827.20299999998</v>
      </c>
      <c r="D29" s="18" t="s">
        <v>24</v>
      </c>
      <c r="E29" s="18" t="str">
        <f t="shared" si="4"/>
        <v/>
      </c>
      <c r="F29" s="19" t="str">
        <f t="shared" si="5"/>
        <v/>
      </c>
      <c r="G29" s="20">
        <v>397267</v>
      </c>
      <c r="H29" s="20">
        <f t="shared" si="6"/>
        <v>-57439.79700000002</v>
      </c>
      <c r="I29" s="19">
        <f t="shared" si="7"/>
        <v>-0.14458738581357128</v>
      </c>
      <c r="J29" s="48" t="s">
        <v>843</v>
      </c>
      <c r="K29" s="72" t="s">
        <v>844</v>
      </c>
      <c r="L29" s="47" t="s">
        <v>845</v>
      </c>
      <c r="M29" s="75" t="s">
        <v>669</v>
      </c>
      <c r="N29" s="75" t="s">
        <v>670</v>
      </c>
    </row>
    <row r="30" spans="1:16" ht="28.9">
      <c r="A30" s="30" t="str">
        <v>Charlton – 111 Brookfield Road - Bus Lot</v>
      </c>
      <c r="B30" s="27" t="str">
        <v>MA</v>
      </c>
      <c r="C30" s="24">
        <v>45942.016000000003</v>
      </c>
      <c r="D30" s="13" t="s">
        <v>24</v>
      </c>
      <c r="E30" s="13" t="str">
        <f t="shared" si="4"/>
        <v/>
      </c>
      <c r="F30" s="14" t="str">
        <f t="shared" si="5"/>
        <v/>
      </c>
      <c r="G30" s="15">
        <v>54100</v>
      </c>
      <c r="H30" s="15">
        <f t="shared" si="6"/>
        <v>-8157.9839999999967</v>
      </c>
      <c r="I30" s="16">
        <f t="shared" si="7"/>
        <v>-0.15079452865064688</v>
      </c>
      <c r="J30" s="78" t="s">
        <v>846</v>
      </c>
      <c r="K30" s="38"/>
      <c r="L30" s="38"/>
    </row>
    <row r="31" spans="1:16" ht="28.9">
      <c r="A31" s="28" t="str">
        <v>Charlton – 154 Center Depot Road KMARD</v>
      </c>
      <c r="B31" s="29" t="str">
        <v>MA</v>
      </c>
      <c r="C31" s="11">
        <v>41440.896000000001</v>
      </c>
      <c r="D31" s="18" t="s">
        <v>24</v>
      </c>
      <c r="E31" s="18" t="str">
        <f t="shared" si="4"/>
        <v/>
      </c>
      <c r="F31" s="19" t="str">
        <f t="shared" si="5"/>
        <v/>
      </c>
      <c r="G31" s="20">
        <v>56900</v>
      </c>
      <c r="H31" s="20">
        <f t="shared" si="6"/>
        <v>-15459.103999999999</v>
      </c>
      <c r="I31" s="19">
        <f t="shared" si="7"/>
        <v>-0.27168899824253073</v>
      </c>
      <c r="J31" s="48" t="s">
        <v>847</v>
      </c>
      <c r="K31" s="47"/>
      <c r="L31" s="47"/>
    </row>
    <row r="32" spans="1:16" ht="28.9">
      <c r="A32" s="30" t="str">
        <v>Charlton – 142A Brookfield Rd (Mitchell)</v>
      </c>
      <c r="B32" s="27" t="str">
        <v>MA</v>
      </c>
      <c r="C32" s="24">
        <v>43129.088000000003</v>
      </c>
      <c r="D32" s="13" t="s">
        <v>24</v>
      </c>
      <c r="E32" s="13" t="str">
        <f t="shared" si="4"/>
        <v/>
      </c>
      <c r="F32" s="14" t="str">
        <f t="shared" si="5"/>
        <v/>
      </c>
      <c r="G32" s="15">
        <v>55658</v>
      </c>
      <c r="H32" s="15">
        <f t="shared" si="6"/>
        <v>-12528.911999999997</v>
      </c>
      <c r="I32" s="16">
        <f t="shared" si="7"/>
        <v>-0.2251053217866254</v>
      </c>
      <c r="J32" s="38" t="s">
        <v>848</v>
      </c>
      <c r="K32" s="70" t="s">
        <v>849</v>
      </c>
      <c r="L32" s="38" t="s">
        <v>720</v>
      </c>
    </row>
    <row r="33" spans="1:26" ht="198.75" customHeight="1">
      <c r="A33" s="28" t="str">
        <v>Great Barrington – 3 Nolan  Drive</v>
      </c>
      <c r="B33" s="29" t="str">
        <v>MA</v>
      </c>
      <c r="C33" s="11">
        <v>55106.303999999996</v>
      </c>
      <c r="D33" s="18" t="s">
        <v>24</v>
      </c>
      <c r="E33" s="18" t="str">
        <f t="shared" si="4"/>
        <v/>
      </c>
      <c r="F33" s="19" t="str">
        <f t="shared" si="5"/>
        <v/>
      </c>
      <c r="G33" s="20">
        <v>100100</v>
      </c>
      <c r="H33" s="20">
        <f t="shared" si="6"/>
        <v>-44993.696000000004</v>
      </c>
      <c r="I33" s="19">
        <f t="shared" si="7"/>
        <v>-0.44948747252747256</v>
      </c>
      <c r="J33" s="48" t="s">
        <v>850</v>
      </c>
      <c r="K33" s="72" t="s">
        <v>851</v>
      </c>
      <c r="L33" s="47" t="s">
        <v>852</v>
      </c>
      <c r="M33" s="75" t="s">
        <v>325</v>
      </c>
      <c r="N33" s="75" t="s">
        <v>454</v>
      </c>
      <c r="O33" s="75" t="s">
        <v>774</v>
      </c>
      <c r="P33" s="75" t="s">
        <v>506</v>
      </c>
      <c r="Q33" s="75" t="s">
        <v>853</v>
      </c>
      <c r="R33" s="75" t="s">
        <v>596</v>
      </c>
      <c r="S33" s="75" t="s">
        <v>597</v>
      </c>
      <c r="T33" s="75" t="s">
        <v>682</v>
      </c>
      <c r="U33" s="75" t="s">
        <v>775</v>
      </c>
      <c r="V33" s="75" t="s">
        <v>322</v>
      </c>
      <c r="W33" s="75" t="s">
        <v>778</v>
      </c>
      <c r="X33" s="75" t="s">
        <v>776</v>
      </c>
      <c r="Y33" s="75" t="s">
        <v>854</v>
      </c>
      <c r="Z33" s="75" t="s">
        <v>855</v>
      </c>
    </row>
    <row r="34" spans="1:26" ht="86.45">
      <c r="A34" s="30" t="str">
        <v>Stockbridge – 92 State Line Road Truck Stop</v>
      </c>
      <c r="B34" s="27" t="str">
        <v>MA</v>
      </c>
      <c r="C34" s="24">
        <v>90970.027000000002</v>
      </c>
      <c r="D34" s="13" t="s">
        <v>24</v>
      </c>
      <c r="E34" s="13" t="str">
        <f t="shared" si="4"/>
        <v/>
      </c>
      <c r="F34" s="14" t="str">
        <f t="shared" si="5"/>
        <v/>
      </c>
      <c r="G34" s="15">
        <v>181000</v>
      </c>
      <c r="H34" s="15">
        <f t="shared" si="6"/>
        <v>-90029.972999999998</v>
      </c>
      <c r="I34" s="16">
        <f t="shared" si="7"/>
        <v>-0.49740316574585636</v>
      </c>
      <c r="J34" s="38" t="s">
        <v>856</v>
      </c>
      <c r="K34" s="70" t="s">
        <v>857</v>
      </c>
      <c r="L34" s="38" t="s">
        <v>700</v>
      </c>
      <c r="M34" s="75" t="s">
        <v>858</v>
      </c>
    </row>
    <row r="35" spans="1:26" ht="57.6">
      <c r="A35" s="28" t="str">
        <v>NY: New Windsor - Moores Hill</v>
      </c>
      <c r="B35" s="29" t="str">
        <v>NY</v>
      </c>
      <c r="C35" s="11">
        <v>117447</v>
      </c>
      <c r="D35" s="18">
        <v>123816.3</v>
      </c>
      <c r="E35" s="18">
        <f t="shared" si="4"/>
        <v>-6369.3000000000029</v>
      </c>
      <c r="F35" s="19">
        <f t="shared" si="5"/>
        <v>-5.1441530719299501E-2</v>
      </c>
      <c r="G35" s="20">
        <v>163000</v>
      </c>
      <c r="H35" s="20">
        <f t="shared" si="6"/>
        <v>-45553</v>
      </c>
      <c r="I35" s="19">
        <f t="shared" si="7"/>
        <v>-0.27946625766871164</v>
      </c>
      <c r="J35" s="48" t="s">
        <v>859</v>
      </c>
      <c r="K35" s="72" t="s">
        <v>860</v>
      </c>
      <c r="L35" s="47" t="s">
        <v>861</v>
      </c>
      <c r="M35" s="75" t="s">
        <v>862</v>
      </c>
    </row>
    <row r="36" spans="1:26" ht="14.45">
      <c r="A36" s="21"/>
      <c r="B36" s="31"/>
      <c r="C36" s="21"/>
      <c r="D36" s="21"/>
      <c r="E36" s="21"/>
      <c r="F36" s="22"/>
      <c r="G36" s="21"/>
      <c r="H36" s="21"/>
      <c r="I36" s="22"/>
      <c r="J36" s="108"/>
      <c r="K36" s="108"/>
      <c r="L36" s="108"/>
    </row>
    <row r="37" spans="1:26" ht="14.45">
      <c r="A37" s="21"/>
      <c r="B37" s="31"/>
      <c r="C37" s="21"/>
      <c r="D37" s="21"/>
      <c r="E37" s="21"/>
      <c r="F37" s="22"/>
      <c r="G37" s="21"/>
      <c r="H37" s="21"/>
      <c r="I37" s="22"/>
      <c r="J37" s="108"/>
      <c r="K37" s="108"/>
      <c r="L37" s="108"/>
    </row>
    <row r="38" spans="1:26" ht="14.45">
      <c r="A38" s="21"/>
      <c r="B38" s="31"/>
      <c r="C38" s="21"/>
      <c r="D38" s="21"/>
      <c r="E38" s="21"/>
      <c r="F38" s="22"/>
      <c r="G38" s="21"/>
      <c r="H38" s="21"/>
      <c r="I38" s="22"/>
      <c r="J38" s="108"/>
      <c r="K38" s="108"/>
      <c r="L38" s="108"/>
    </row>
    <row r="39" spans="1:26" ht="14.45">
      <c r="A39" s="21"/>
      <c r="B39" s="31"/>
      <c r="C39" s="21"/>
      <c r="D39" s="21"/>
      <c r="E39" s="21"/>
      <c r="F39" s="22"/>
      <c r="G39" s="21"/>
      <c r="H39" s="21"/>
      <c r="I39" s="22"/>
      <c r="J39" s="108"/>
      <c r="K39" s="108"/>
      <c r="L39" s="108"/>
    </row>
    <row r="40" spans="1:26" ht="14.45">
      <c r="A40" s="21"/>
      <c r="B40" s="31"/>
      <c r="C40" s="21"/>
      <c r="D40" s="21"/>
      <c r="E40" s="21"/>
      <c r="F40" s="22"/>
      <c r="G40" s="21"/>
      <c r="H40" s="21"/>
      <c r="I40" s="22"/>
      <c r="J40" s="108"/>
      <c r="K40" s="108"/>
      <c r="L40" s="108"/>
    </row>
    <row r="41" spans="1:26" ht="14.45">
      <c r="A41" s="21"/>
      <c r="B41" s="31"/>
      <c r="C41" s="21"/>
      <c r="D41" s="21"/>
      <c r="E41" s="21"/>
      <c r="F41" s="22"/>
      <c r="G41" s="21"/>
      <c r="H41" s="21"/>
      <c r="I41" s="22"/>
      <c r="J41" s="108"/>
      <c r="K41" s="108"/>
      <c r="L41" s="108"/>
    </row>
    <row r="42" spans="1:26" ht="14.45">
      <c r="A42" s="21"/>
      <c r="B42" s="31"/>
      <c r="C42" s="21"/>
      <c r="D42" s="21"/>
      <c r="E42" s="21"/>
      <c r="F42" s="22"/>
      <c r="G42" s="21"/>
      <c r="H42" s="21"/>
      <c r="I42" s="22"/>
      <c r="J42" s="108"/>
      <c r="K42" s="108"/>
      <c r="L42" s="108"/>
    </row>
    <row r="43" spans="1:26" ht="14.45">
      <c r="A43" s="21"/>
      <c r="B43" s="31"/>
      <c r="C43" s="21"/>
      <c r="D43" s="21"/>
      <c r="E43" s="21"/>
      <c r="F43" s="22"/>
      <c r="G43" s="21"/>
      <c r="H43" s="21"/>
      <c r="I43" s="22"/>
      <c r="J43" s="108"/>
      <c r="K43" s="108"/>
      <c r="L43" s="108"/>
    </row>
    <row r="44" spans="1:26" ht="14.45">
      <c r="A44" s="21"/>
      <c r="B44" s="31"/>
      <c r="C44" s="21"/>
      <c r="D44" s="21"/>
      <c r="E44" s="21"/>
      <c r="F44" s="22"/>
      <c r="G44" s="21"/>
      <c r="H44" s="21"/>
      <c r="I44" s="22"/>
      <c r="J44" s="108"/>
      <c r="K44" s="108"/>
      <c r="L44" s="108"/>
    </row>
    <row r="45" spans="1:26" ht="14.45">
      <c r="A45" s="21"/>
      <c r="B45" s="31"/>
      <c r="C45" s="21"/>
      <c r="D45" s="21"/>
      <c r="E45" s="21"/>
      <c r="F45" s="22"/>
      <c r="G45" s="21"/>
      <c r="H45" s="21"/>
      <c r="I45" s="22"/>
      <c r="J45" s="108"/>
      <c r="K45" s="108"/>
      <c r="L45" s="108"/>
    </row>
    <row r="46" spans="1:26" ht="14.45">
      <c r="A46" s="21"/>
      <c r="B46" s="31"/>
      <c r="C46" s="21"/>
      <c r="D46" s="21"/>
      <c r="E46" s="21"/>
      <c r="F46" s="22"/>
      <c r="G46" s="21"/>
      <c r="H46" s="21"/>
      <c r="I46" s="22"/>
      <c r="J46" s="108"/>
      <c r="K46" s="108"/>
      <c r="L46" s="108"/>
    </row>
    <row r="47" spans="1:26" ht="14.45">
      <c r="A47" s="21"/>
      <c r="B47" s="31"/>
      <c r="C47" s="21"/>
      <c r="D47" s="21"/>
      <c r="E47" s="21"/>
      <c r="F47" s="22"/>
      <c r="G47" s="21"/>
      <c r="H47" s="21"/>
      <c r="I47" s="22"/>
      <c r="J47" s="108"/>
      <c r="K47" s="108"/>
      <c r="L47" s="108"/>
    </row>
    <row r="48" spans="1:26" ht="14.45">
      <c r="A48" s="21"/>
      <c r="B48" s="31"/>
      <c r="C48" s="21"/>
      <c r="D48" s="21"/>
      <c r="E48" s="21"/>
      <c r="F48" s="22"/>
      <c r="G48" s="21"/>
      <c r="H48" s="21"/>
      <c r="I48" s="22"/>
      <c r="J48" s="108"/>
      <c r="K48" s="108"/>
      <c r="L48" s="108"/>
    </row>
    <row r="49" spans="1:12" ht="14.45">
      <c r="A49" s="21"/>
      <c r="B49" s="31"/>
      <c r="C49" s="21"/>
      <c r="D49" s="21"/>
      <c r="E49" s="21"/>
      <c r="F49" s="22"/>
      <c r="G49" s="21"/>
      <c r="H49" s="21"/>
      <c r="I49" s="22"/>
      <c r="J49" s="108"/>
      <c r="K49" s="108"/>
      <c r="L49" s="108"/>
    </row>
    <row r="50" spans="1:12" ht="14.45">
      <c r="A50" s="21"/>
      <c r="B50" s="31"/>
      <c r="C50" s="21"/>
      <c r="D50" s="21"/>
      <c r="E50" s="21"/>
      <c r="F50" s="22"/>
      <c r="G50" s="21"/>
      <c r="H50" s="21"/>
      <c r="I50" s="22"/>
      <c r="J50" s="108"/>
      <c r="K50" s="108"/>
      <c r="L50" s="108"/>
    </row>
    <row r="51" spans="1:12" ht="14.45">
      <c r="A51" s="21"/>
      <c r="B51" s="31"/>
      <c r="C51" s="21"/>
      <c r="D51" s="21"/>
      <c r="E51" s="21"/>
      <c r="F51" s="22"/>
      <c r="G51" s="21"/>
      <c r="H51" s="21"/>
      <c r="I51" s="22"/>
      <c r="J51" s="108"/>
      <c r="K51" s="108"/>
      <c r="L51" s="108"/>
    </row>
    <row r="52" spans="1:12" ht="14.45">
      <c r="A52" s="21"/>
      <c r="B52" s="31"/>
      <c r="C52" s="21"/>
      <c r="D52" s="21"/>
      <c r="E52" s="21"/>
      <c r="F52" s="22"/>
      <c r="G52" s="21"/>
      <c r="H52" s="21"/>
      <c r="I52" s="22"/>
      <c r="J52" s="108"/>
      <c r="K52" s="108"/>
      <c r="L52" s="108"/>
    </row>
    <row r="53" spans="1:12" ht="14.45">
      <c r="A53" s="21"/>
      <c r="B53" s="31"/>
      <c r="C53" s="21"/>
      <c r="D53" s="21"/>
      <c r="E53" s="21"/>
      <c r="F53" s="22"/>
      <c r="G53" s="21"/>
      <c r="H53" s="21"/>
      <c r="I53" s="22"/>
      <c r="J53" s="108"/>
      <c r="K53" s="108"/>
      <c r="L53" s="108"/>
    </row>
    <row r="54" spans="1:12" ht="14.45">
      <c r="A54" s="21"/>
      <c r="B54" s="31"/>
      <c r="C54" s="21"/>
      <c r="D54" s="21"/>
      <c r="E54" s="21"/>
      <c r="F54" s="22"/>
      <c r="G54" s="21"/>
      <c r="H54" s="21"/>
      <c r="I54" s="22"/>
      <c r="J54" s="108"/>
      <c r="K54" s="108"/>
      <c r="L54" s="108"/>
    </row>
    <row r="55" spans="1:12" ht="14.45">
      <c r="A55" s="21"/>
      <c r="B55" s="31"/>
      <c r="C55" s="21"/>
      <c r="D55" s="21"/>
      <c r="E55" s="21"/>
      <c r="F55" s="22"/>
      <c r="G55" s="21"/>
      <c r="H55" s="21"/>
      <c r="I55" s="22"/>
      <c r="J55" s="108"/>
      <c r="K55" s="108"/>
      <c r="L55" s="108"/>
    </row>
    <row r="56" spans="1:12" ht="14.45">
      <c r="A56" s="21"/>
      <c r="B56" s="31"/>
      <c r="C56" s="21"/>
      <c r="D56" s="21"/>
      <c r="E56" s="21"/>
      <c r="F56" s="22"/>
      <c r="G56" s="21"/>
      <c r="H56" s="21"/>
      <c r="I56" s="22"/>
      <c r="J56" s="108"/>
      <c r="K56" s="108"/>
      <c r="L56" s="108"/>
    </row>
    <row r="57" spans="1:12" ht="14.45">
      <c r="A57" s="21"/>
      <c r="B57" s="31"/>
      <c r="C57" s="21"/>
      <c r="D57" s="21"/>
      <c r="E57" s="21"/>
      <c r="F57" s="22"/>
      <c r="G57" s="21"/>
      <c r="H57" s="21"/>
      <c r="I57" s="22"/>
      <c r="J57" s="108"/>
      <c r="K57" s="108"/>
      <c r="L57" s="108"/>
    </row>
    <row r="58" spans="1:12" ht="14.45">
      <c r="A58" s="21"/>
      <c r="B58" s="31"/>
      <c r="C58" s="21"/>
      <c r="D58" s="21"/>
      <c r="E58" s="21"/>
      <c r="F58" s="22"/>
      <c r="G58" s="21"/>
      <c r="H58" s="21"/>
      <c r="I58" s="22"/>
      <c r="J58" s="108"/>
      <c r="K58" s="108"/>
      <c r="L58" s="108"/>
    </row>
    <row r="59" spans="1:12" ht="14.45">
      <c r="A59" s="21"/>
      <c r="B59" s="31"/>
      <c r="C59" s="21"/>
      <c r="D59" s="21"/>
      <c r="E59" s="21"/>
      <c r="F59" s="22"/>
      <c r="G59" s="21"/>
      <c r="H59" s="21"/>
      <c r="I59" s="22"/>
      <c r="J59" s="108"/>
      <c r="K59" s="108"/>
      <c r="L59" s="108"/>
    </row>
    <row r="60" spans="1:12" ht="14.45">
      <c r="A60" s="21"/>
      <c r="B60" s="31"/>
      <c r="C60" s="21"/>
      <c r="D60" s="21"/>
      <c r="E60" s="21"/>
      <c r="F60" s="22"/>
      <c r="G60" s="21"/>
      <c r="H60" s="21"/>
      <c r="I60" s="22"/>
      <c r="J60" s="108"/>
      <c r="K60" s="108"/>
      <c r="L60" s="108"/>
    </row>
    <row r="61" spans="1:12" ht="14.45">
      <c r="A61" s="21"/>
      <c r="B61" s="31"/>
      <c r="C61" s="21"/>
      <c r="D61" s="21"/>
      <c r="E61" s="21"/>
      <c r="F61" s="22"/>
      <c r="G61" s="21"/>
      <c r="H61" s="21"/>
      <c r="I61" s="22"/>
      <c r="J61" s="108"/>
      <c r="K61" s="108"/>
      <c r="L61" s="108"/>
    </row>
    <row r="62" spans="1:12" ht="14.45">
      <c r="A62" s="21"/>
      <c r="B62" s="31"/>
      <c r="C62" s="21"/>
      <c r="D62" s="21"/>
      <c r="E62" s="21"/>
      <c r="F62" s="22"/>
      <c r="G62" s="21"/>
      <c r="H62" s="21"/>
      <c r="I62" s="22"/>
      <c r="J62" s="108"/>
      <c r="K62" s="108"/>
      <c r="L62" s="108"/>
    </row>
    <row r="63" spans="1:12" ht="14.45">
      <c r="A63" s="21"/>
      <c r="B63" s="31"/>
      <c r="C63" s="21"/>
      <c r="D63" s="21"/>
      <c r="E63" s="21"/>
      <c r="F63" s="22"/>
      <c r="G63" s="21"/>
      <c r="H63" s="21"/>
      <c r="I63" s="22"/>
      <c r="J63" s="108"/>
      <c r="K63" s="108"/>
      <c r="L63" s="108"/>
    </row>
    <row r="64" spans="1:12" ht="14.45">
      <c r="A64" s="21"/>
      <c r="B64" s="31"/>
      <c r="C64" s="21"/>
      <c r="D64" s="21"/>
      <c r="E64" s="21"/>
      <c r="F64" s="22"/>
      <c r="G64" s="21"/>
      <c r="H64" s="21"/>
      <c r="I64" s="22"/>
      <c r="J64" s="108"/>
      <c r="K64" s="108"/>
      <c r="L64" s="108"/>
    </row>
    <row r="65" spans="1:12" ht="14.45">
      <c r="A65" s="21"/>
      <c r="B65" s="31"/>
      <c r="C65" s="21"/>
      <c r="D65" s="21"/>
      <c r="E65" s="21"/>
      <c r="F65" s="22"/>
      <c r="G65" s="21"/>
      <c r="H65" s="21"/>
      <c r="I65" s="22"/>
      <c r="J65" s="108"/>
      <c r="K65" s="108"/>
      <c r="L65" s="108"/>
    </row>
    <row r="66" spans="1:12" ht="14.45">
      <c r="A66" s="21"/>
      <c r="B66" s="31"/>
      <c r="C66" s="21"/>
      <c r="D66" s="21"/>
      <c r="E66" s="21"/>
      <c r="F66" s="22"/>
      <c r="G66" s="21"/>
      <c r="H66" s="21"/>
      <c r="I66" s="22"/>
      <c r="J66" s="108"/>
      <c r="K66" s="108"/>
      <c r="L66" s="108"/>
    </row>
    <row r="67" spans="1:12" ht="14.45">
      <c r="A67" s="21"/>
      <c r="B67" s="31"/>
      <c r="C67" s="21"/>
      <c r="D67" s="21"/>
      <c r="E67" s="21"/>
      <c r="F67" s="22"/>
      <c r="G67" s="21"/>
      <c r="H67" s="21"/>
      <c r="I67" s="22"/>
      <c r="J67" s="108"/>
      <c r="K67" s="108"/>
      <c r="L67" s="108"/>
    </row>
    <row r="68" spans="1:12" ht="14.45">
      <c r="A68" s="21"/>
      <c r="B68" s="31"/>
      <c r="C68" s="21"/>
      <c r="D68" s="21"/>
      <c r="E68" s="21"/>
      <c r="F68" s="22"/>
      <c r="G68" s="21"/>
      <c r="H68" s="21"/>
      <c r="I68" s="22"/>
      <c r="J68" s="108"/>
      <c r="K68" s="108"/>
      <c r="L68" s="108"/>
    </row>
    <row r="69" spans="1:12" ht="14.45">
      <c r="A69" s="21"/>
      <c r="B69" s="31"/>
      <c r="C69" s="21"/>
      <c r="D69" s="21"/>
      <c r="E69" s="21"/>
      <c r="F69" s="22"/>
      <c r="G69" s="21"/>
      <c r="H69" s="21"/>
      <c r="I69" s="22"/>
      <c r="J69" s="108"/>
      <c r="K69" s="108"/>
      <c r="L69" s="108"/>
    </row>
    <row r="70" spans="1:12" ht="14.45">
      <c r="A70" s="21"/>
      <c r="B70" s="31"/>
      <c r="C70" s="21"/>
      <c r="D70" s="21"/>
      <c r="E70" s="21"/>
      <c r="F70" s="22"/>
      <c r="G70" s="21"/>
      <c r="H70" s="21"/>
      <c r="I70" s="22"/>
      <c r="J70" s="108"/>
      <c r="K70" s="108"/>
      <c r="L70" s="108"/>
    </row>
    <row r="71" spans="1:12" ht="14.45">
      <c r="A71" s="21"/>
      <c r="B71" s="31"/>
      <c r="C71" s="21"/>
      <c r="D71" s="21"/>
      <c r="E71" s="21"/>
      <c r="F71" s="22"/>
      <c r="G71" s="21"/>
      <c r="H71" s="21"/>
      <c r="I71" s="22"/>
      <c r="J71" s="108"/>
      <c r="K71" s="108"/>
      <c r="L71" s="108"/>
    </row>
    <row r="72" spans="1:12" ht="14.45">
      <c r="A72" s="21"/>
      <c r="B72" s="31"/>
      <c r="C72" s="21"/>
      <c r="D72" s="21"/>
      <c r="E72" s="21"/>
      <c r="F72" s="22"/>
      <c r="G72" s="21"/>
      <c r="H72" s="21"/>
      <c r="I72" s="22"/>
      <c r="J72" s="108"/>
      <c r="K72" s="108"/>
      <c r="L72" s="108"/>
    </row>
    <row r="73" spans="1:12" ht="14.45">
      <c r="A73" s="21"/>
      <c r="B73" s="31"/>
      <c r="C73" s="21"/>
      <c r="D73" s="21"/>
      <c r="E73" s="21"/>
      <c r="F73" s="22"/>
      <c r="G73" s="21"/>
      <c r="H73" s="21"/>
      <c r="I73" s="22"/>
      <c r="J73" s="108"/>
      <c r="K73" s="108"/>
      <c r="L73" s="108"/>
    </row>
    <row r="74" spans="1:12" ht="14.45">
      <c r="A74" s="21"/>
      <c r="B74" s="31"/>
      <c r="C74" s="21"/>
      <c r="D74" s="21"/>
      <c r="E74" s="21"/>
      <c r="F74" s="22"/>
      <c r="G74" s="21"/>
      <c r="H74" s="21"/>
      <c r="I74" s="22"/>
      <c r="J74" s="108"/>
      <c r="K74" s="108"/>
      <c r="L74" s="108"/>
    </row>
    <row r="75" spans="1:12" ht="14.45">
      <c r="A75" s="21"/>
      <c r="B75" s="31"/>
      <c r="C75" s="21"/>
      <c r="D75" s="21"/>
      <c r="E75" s="21"/>
      <c r="F75" s="22"/>
      <c r="G75" s="21"/>
      <c r="H75" s="21"/>
      <c r="I75" s="22"/>
      <c r="J75" s="108"/>
      <c r="K75" s="108"/>
      <c r="L75" s="108"/>
    </row>
    <row r="76" spans="1:12" ht="14.45">
      <c r="A76" s="21"/>
      <c r="B76" s="31"/>
      <c r="C76" s="21"/>
      <c r="D76" s="21"/>
      <c r="E76" s="21"/>
      <c r="F76" s="22"/>
      <c r="G76" s="21"/>
      <c r="H76" s="21"/>
      <c r="I76" s="22"/>
      <c r="J76" s="108"/>
      <c r="K76" s="108"/>
      <c r="L76" s="108"/>
    </row>
    <row r="77" spans="1:12" ht="14.45">
      <c r="A77" s="21"/>
      <c r="B77" s="31"/>
      <c r="C77" s="21"/>
      <c r="D77" s="21"/>
      <c r="E77" s="21"/>
      <c r="F77" s="22"/>
      <c r="G77" s="21"/>
      <c r="H77" s="21"/>
      <c r="I77" s="22"/>
      <c r="J77" s="108"/>
      <c r="K77" s="108"/>
      <c r="L77" s="108"/>
    </row>
    <row r="78" spans="1:12" ht="14.45">
      <c r="A78" s="21"/>
      <c r="B78" s="31"/>
      <c r="C78" s="21"/>
      <c r="D78" s="21"/>
      <c r="E78" s="21"/>
      <c r="F78" s="22"/>
      <c r="G78" s="21"/>
      <c r="H78" s="21"/>
      <c r="I78" s="22"/>
      <c r="J78" s="108"/>
      <c r="K78" s="108"/>
      <c r="L78" s="108"/>
    </row>
    <row r="79" spans="1:12" ht="14.45">
      <c r="A79" s="21"/>
      <c r="B79" s="31"/>
      <c r="C79" s="21"/>
      <c r="D79" s="21"/>
      <c r="E79" s="21"/>
      <c r="F79" s="22"/>
      <c r="G79" s="21"/>
      <c r="H79" s="21"/>
      <c r="I79" s="22"/>
      <c r="J79" s="108"/>
      <c r="K79" s="108"/>
      <c r="L79" s="108"/>
    </row>
    <row r="80" spans="1:12" ht="14.45">
      <c r="A80" s="21"/>
      <c r="B80" s="31"/>
      <c r="C80" s="21"/>
      <c r="D80" s="21"/>
      <c r="E80" s="21"/>
      <c r="F80" s="22"/>
      <c r="G80" s="21"/>
      <c r="H80" s="21"/>
      <c r="I80" s="22"/>
      <c r="J80" s="108"/>
      <c r="K80" s="108"/>
      <c r="L80" s="108"/>
    </row>
    <row r="81" spans="1:12" ht="14.45">
      <c r="A81" s="21"/>
      <c r="B81" s="31"/>
      <c r="C81" s="21"/>
      <c r="D81" s="21"/>
      <c r="E81" s="21"/>
      <c r="F81" s="22"/>
      <c r="G81" s="21"/>
      <c r="H81" s="21"/>
      <c r="I81" s="22"/>
      <c r="J81" s="108"/>
      <c r="K81" s="108"/>
      <c r="L81" s="108"/>
    </row>
    <row r="82" spans="1:12" ht="14.45">
      <c r="A82" s="21"/>
      <c r="B82" s="31"/>
      <c r="C82" s="21"/>
      <c r="D82" s="21"/>
      <c r="E82" s="21"/>
      <c r="F82" s="22"/>
      <c r="G82" s="21"/>
      <c r="H82" s="21"/>
      <c r="I82" s="22"/>
      <c r="J82" s="108"/>
      <c r="K82" s="108"/>
      <c r="L82" s="108"/>
    </row>
    <row r="83" spans="1:12" ht="14.45">
      <c r="A83" s="21"/>
      <c r="B83" s="31"/>
      <c r="C83" s="21"/>
      <c r="D83" s="21"/>
      <c r="E83" s="21"/>
      <c r="F83" s="22"/>
      <c r="G83" s="21"/>
      <c r="H83" s="21"/>
      <c r="I83" s="22"/>
      <c r="J83" s="108"/>
      <c r="K83" s="108"/>
      <c r="L83" s="108"/>
    </row>
    <row r="84" spans="1:12" ht="14.45">
      <c r="A84" s="21"/>
      <c r="B84" s="31"/>
      <c r="C84" s="21"/>
      <c r="D84" s="21"/>
      <c r="E84" s="21"/>
      <c r="F84" s="22"/>
      <c r="G84" s="21"/>
      <c r="H84" s="21"/>
      <c r="I84" s="22"/>
      <c r="J84" s="108"/>
      <c r="K84" s="108"/>
      <c r="L84" s="108"/>
    </row>
    <row r="85" spans="1:12" ht="14.45">
      <c r="A85" s="21"/>
      <c r="B85" s="31"/>
      <c r="C85" s="21"/>
      <c r="D85" s="21"/>
      <c r="E85" s="21"/>
      <c r="F85" s="22"/>
      <c r="G85" s="21"/>
      <c r="H85" s="21"/>
      <c r="I85" s="22"/>
      <c r="J85" s="108"/>
      <c r="K85" s="108"/>
      <c r="L85" s="108"/>
    </row>
    <row r="86" spans="1:12" ht="14.45">
      <c r="A86" s="21"/>
      <c r="B86" s="31"/>
      <c r="C86" s="21"/>
      <c r="D86" s="21"/>
      <c r="E86" s="21"/>
      <c r="F86" s="22"/>
      <c r="G86" s="21"/>
      <c r="H86" s="21"/>
      <c r="I86" s="22"/>
      <c r="J86" s="108"/>
      <c r="K86" s="108"/>
      <c r="L86" s="108"/>
    </row>
    <row r="87" spans="1:12" ht="14.45">
      <c r="A87" s="21"/>
      <c r="B87" s="31"/>
      <c r="C87" s="21"/>
      <c r="D87" s="21"/>
      <c r="E87" s="21"/>
      <c r="F87" s="22"/>
      <c r="G87" s="21"/>
      <c r="H87" s="21"/>
      <c r="I87" s="22"/>
      <c r="J87" s="108"/>
      <c r="K87" s="108"/>
      <c r="L87" s="108"/>
    </row>
    <row r="88" spans="1:12" ht="14.45">
      <c r="A88" s="21"/>
      <c r="B88" s="31"/>
      <c r="C88" s="21"/>
      <c r="D88" s="21"/>
      <c r="E88" s="21"/>
      <c r="F88" s="22"/>
      <c r="G88" s="21"/>
      <c r="H88" s="21"/>
      <c r="I88" s="22"/>
      <c r="J88" s="108"/>
      <c r="K88" s="108"/>
      <c r="L88" s="108"/>
    </row>
    <row r="89" spans="1:12" ht="14.45">
      <c r="A89" s="21"/>
      <c r="B89" s="31"/>
      <c r="C89" s="21"/>
      <c r="D89" s="21"/>
      <c r="E89" s="21"/>
      <c r="F89" s="22"/>
      <c r="G89" s="21"/>
      <c r="H89" s="21"/>
      <c r="I89" s="22"/>
      <c r="J89" s="108"/>
      <c r="K89" s="108"/>
      <c r="L89" s="108"/>
    </row>
    <row r="90" spans="1:12" ht="14.45">
      <c r="A90" s="21"/>
      <c r="B90" s="31"/>
      <c r="C90" s="21"/>
      <c r="D90" s="21"/>
      <c r="E90" s="21"/>
      <c r="F90" s="22"/>
      <c r="G90" s="21"/>
      <c r="H90" s="21"/>
      <c r="I90" s="22"/>
      <c r="J90" s="108"/>
      <c r="K90" s="108"/>
      <c r="L90" s="108"/>
    </row>
    <row r="91" spans="1:12" ht="14.45">
      <c r="A91" s="21"/>
      <c r="B91" s="31"/>
      <c r="C91" s="21"/>
      <c r="D91" s="21"/>
      <c r="E91" s="21"/>
      <c r="F91" s="22"/>
      <c r="G91" s="21"/>
      <c r="H91" s="21"/>
      <c r="I91" s="22"/>
      <c r="J91" s="108"/>
      <c r="K91" s="108"/>
      <c r="L91" s="108"/>
    </row>
    <row r="92" spans="1:12" ht="14.45">
      <c r="A92" s="21"/>
      <c r="B92" s="31"/>
      <c r="C92" s="21"/>
      <c r="D92" s="21"/>
      <c r="E92" s="21"/>
      <c r="F92" s="22"/>
      <c r="G92" s="21"/>
      <c r="H92" s="21"/>
      <c r="I92" s="22"/>
      <c r="J92" s="108"/>
      <c r="K92" s="108"/>
      <c r="L92" s="108"/>
    </row>
    <row r="93" spans="1:12" ht="14.45">
      <c r="A93" s="21"/>
      <c r="B93" s="31"/>
      <c r="C93" s="21"/>
      <c r="D93" s="21"/>
      <c r="E93" s="21"/>
      <c r="F93" s="22"/>
      <c r="G93" s="21"/>
      <c r="H93" s="21"/>
      <c r="I93" s="22"/>
      <c r="J93" s="108"/>
      <c r="K93" s="108"/>
      <c r="L93" s="108"/>
    </row>
    <row r="94" spans="1:12" ht="14.45">
      <c r="A94" s="21"/>
      <c r="B94" s="31"/>
      <c r="C94" s="21"/>
      <c r="D94" s="21"/>
      <c r="E94" s="21"/>
      <c r="F94" s="22"/>
      <c r="G94" s="21"/>
      <c r="H94" s="21"/>
      <c r="I94" s="22"/>
      <c r="J94" s="108"/>
      <c r="K94" s="108"/>
      <c r="L94" s="108"/>
    </row>
    <row r="95" spans="1:12" ht="14.45">
      <c r="A95" s="21"/>
      <c r="B95" s="31"/>
      <c r="C95" s="21"/>
      <c r="D95" s="21"/>
      <c r="E95" s="21"/>
      <c r="F95" s="22"/>
      <c r="G95" s="21"/>
      <c r="H95" s="21"/>
      <c r="I95" s="22"/>
      <c r="J95" s="108"/>
      <c r="K95" s="108"/>
      <c r="L95" s="108"/>
    </row>
    <row r="96" spans="1:12" ht="14.45">
      <c r="A96" s="21"/>
      <c r="B96" s="31"/>
      <c r="C96" s="21"/>
      <c r="D96" s="21"/>
      <c r="E96" s="21"/>
      <c r="F96" s="22"/>
      <c r="G96" s="21"/>
      <c r="H96" s="21"/>
      <c r="I96" s="22"/>
      <c r="J96" s="108"/>
      <c r="K96" s="108"/>
      <c r="L96" s="108"/>
    </row>
    <row r="97" spans="1:12" ht="14.45">
      <c r="A97" s="21"/>
      <c r="B97" s="31"/>
      <c r="C97" s="21"/>
      <c r="D97" s="21"/>
      <c r="E97" s="21"/>
      <c r="F97" s="22"/>
      <c r="G97" s="21"/>
      <c r="H97" s="21"/>
      <c r="I97" s="22"/>
      <c r="J97" s="108"/>
      <c r="K97" s="108"/>
      <c r="L97" s="108"/>
    </row>
    <row r="98" spans="1:12" ht="14.45">
      <c r="A98" s="21"/>
      <c r="B98" s="31"/>
      <c r="C98" s="21"/>
      <c r="D98" s="21"/>
      <c r="E98" s="21"/>
      <c r="F98" s="22"/>
      <c r="G98" s="21"/>
      <c r="H98" s="21"/>
      <c r="I98" s="22"/>
      <c r="J98" s="108"/>
      <c r="K98" s="108"/>
      <c r="L98" s="108"/>
    </row>
    <row r="99" spans="1:12" ht="14.45">
      <c r="A99" s="21"/>
      <c r="B99" s="31"/>
      <c r="C99" s="21"/>
      <c r="D99" s="21"/>
      <c r="E99" s="21"/>
      <c r="F99" s="22"/>
      <c r="G99" s="21"/>
      <c r="H99" s="21"/>
      <c r="I99" s="22"/>
      <c r="J99" s="108"/>
      <c r="K99" s="108"/>
      <c r="L99" s="108"/>
    </row>
    <row r="100" spans="1:12" ht="14.45">
      <c r="A100" s="21"/>
      <c r="B100" s="31"/>
      <c r="C100" s="21"/>
      <c r="D100" s="21"/>
      <c r="E100" s="21"/>
      <c r="F100" s="22"/>
      <c r="G100" s="21"/>
      <c r="H100" s="21"/>
      <c r="I100" s="22"/>
      <c r="J100" s="108"/>
      <c r="K100" s="108"/>
      <c r="L100" s="108"/>
    </row>
    <row r="101" spans="1:12" ht="14.45">
      <c r="A101" s="21"/>
      <c r="B101" s="31"/>
      <c r="C101" s="21"/>
      <c r="D101" s="21"/>
      <c r="E101" s="21"/>
      <c r="F101" s="22"/>
      <c r="G101" s="21"/>
      <c r="H101" s="21"/>
      <c r="I101" s="22"/>
      <c r="J101" s="108"/>
      <c r="K101" s="108"/>
      <c r="L101" s="108"/>
    </row>
    <row r="102" spans="1:12" ht="14.45">
      <c r="A102" s="21"/>
      <c r="B102" s="31"/>
      <c r="C102" s="21"/>
      <c r="D102" s="21"/>
      <c r="E102" s="21"/>
      <c r="F102" s="22"/>
      <c r="G102" s="21"/>
      <c r="H102" s="21"/>
      <c r="I102" s="22"/>
      <c r="J102" s="108"/>
      <c r="K102" s="108"/>
      <c r="L102" s="108"/>
    </row>
    <row r="103" spans="1:12" ht="14.45">
      <c r="A103" s="21"/>
      <c r="B103" s="31"/>
      <c r="C103" s="21"/>
      <c r="D103" s="21"/>
      <c r="E103" s="21"/>
      <c r="F103" s="22"/>
      <c r="G103" s="21"/>
      <c r="H103" s="21"/>
      <c r="I103" s="22"/>
      <c r="J103" s="108"/>
      <c r="K103" s="108"/>
      <c r="L103" s="108"/>
    </row>
    <row r="104" spans="1:12" ht="14.45">
      <c r="A104" s="21"/>
      <c r="B104" s="31"/>
      <c r="C104" s="21"/>
      <c r="D104" s="21"/>
      <c r="E104" s="21"/>
      <c r="F104" s="22"/>
      <c r="G104" s="21"/>
      <c r="H104" s="21"/>
      <c r="I104" s="22"/>
      <c r="J104" s="108"/>
      <c r="K104" s="108"/>
      <c r="L104" s="108"/>
    </row>
    <row r="105" spans="1:12" ht="14.45">
      <c r="A105" s="21"/>
      <c r="B105" s="31"/>
      <c r="C105" s="21"/>
      <c r="D105" s="21"/>
      <c r="E105" s="21"/>
      <c r="F105" s="22"/>
      <c r="G105" s="21"/>
      <c r="H105" s="21"/>
      <c r="I105" s="22"/>
      <c r="J105" s="108"/>
      <c r="K105" s="108"/>
      <c r="L105" s="108"/>
    </row>
    <row r="106" spans="1:12" ht="14.45">
      <c r="A106" s="21"/>
      <c r="B106" s="31"/>
      <c r="C106" s="21"/>
      <c r="D106" s="21"/>
      <c r="E106" s="21"/>
      <c r="F106" s="22"/>
      <c r="G106" s="21"/>
      <c r="H106" s="21"/>
      <c r="I106" s="22"/>
      <c r="J106" s="108"/>
      <c r="K106" s="108"/>
      <c r="L106" s="108"/>
    </row>
    <row r="107" spans="1:12" ht="14.45">
      <c r="A107" s="21"/>
      <c r="B107" s="31"/>
      <c r="C107" s="21"/>
      <c r="D107" s="21"/>
      <c r="E107" s="21"/>
      <c r="F107" s="22"/>
      <c r="G107" s="21"/>
      <c r="H107" s="21"/>
      <c r="I107" s="22"/>
      <c r="J107" s="108"/>
      <c r="K107" s="108"/>
      <c r="L107" s="108"/>
    </row>
    <row r="108" spans="1:12" ht="14.45">
      <c r="A108" s="21"/>
      <c r="B108" s="31"/>
      <c r="C108" s="21"/>
      <c r="D108" s="21"/>
      <c r="E108" s="21"/>
      <c r="F108" s="22"/>
      <c r="G108" s="21"/>
      <c r="H108" s="21"/>
      <c r="I108" s="22"/>
      <c r="J108" s="108"/>
      <c r="K108" s="108"/>
      <c r="L108" s="108"/>
    </row>
    <row r="109" spans="1:12" ht="14.45">
      <c r="A109" s="21"/>
      <c r="B109" s="31"/>
      <c r="C109" s="21"/>
      <c r="D109" s="21"/>
      <c r="E109" s="21"/>
      <c r="F109" s="22"/>
      <c r="G109" s="21"/>
      <c r="H109" s="21"/>
      <c r="I109" s="22"/>
      <c r="J109" s="108"/>
      <c r="K109" s="108"/>
      <c r="L109" s="108"/>
    </row>
    <row r="110" spans="1:12" ht="14.45">
      <c r="A110" s="21"/>
      <c r="B110" s="31"/>
      <c r="C110" s="21"/>
      <c r="D110" s="21"/>
      <c r="E110" s="21"/>
      <c r="F110" s="22"/>
      <c r="G110" s="21"/>
      <c r="H110" s="21"/>
      <c r="I110" s="22"/>
      <c r="J110" s="108"/>
      <c r="K110" s="108"/>
      <c r="L110" s="108"/>
    </row>
    <row r="111" spans="1:12" ht="14.45">
      <c r="A111" s="21"/>
      <c r="B111" s="31"/>
      <c r="C111" s="21"/>
      <c r="D111" s="21"/>
      <c r="E111" s="21"/>
      <c r="F111" s="22"/>
      <c r="G111" s="21"/>
      <c r="H111" s="21"/>
      <c r="I111" s="22"/>
      <c r="J111" s="108"/>
      <c r="K111" s="108"/>
      <c r="L111" s="108"/>
    </row>
    <row r="112" spans="1:12" ht="14.45">
      <c r="A112" s="21"/>
      <c r="B112" s="31"/>
      <c r="C112" s="21"/>
      <c r="D112" s="21"/>
      <c r="E112" s="21"/>
      <c r="F112" s="22"/>
      <c r="G112" s="21"/>
      <c r="H112" s="21"/>
      <c r="I112" s="22"/>
      <c r="J112" s="108"/>
      <c r="K112" s="108"/>
      <c r="L112" s="108"/>
    </row>
    <row r="113" spans="1:12" ht="14.45">
      <c r="A113" s="21"/>
      <c r="B113" s="31"/>
      <c r="C113" s="21"/>
      <c r="D113" s="21"/>
      <c r="E113" s="21"/>
      <c r="F113" s="22"/>
      <c r="G113" s="21"/>
      <c r="H113" s="21"/>
      <c r="I113" s="22"/>
      <c r="J113" s="108"/>
      <c r="K113" s="108"/>
      <c r="L113" s="108"/>
    </row>
    <row r="114" spans="1:12" ht="14.45">
      <c r="A114" s="21"/>
      <c r="B114" s="31"/>
      <c r="C114" s="21"/>
      <c r="D114" s="21"/>
      <c r="E114" s="21"/>
      <c r="F114" s="22"/>
      <c r="G114" s="21"/>
      <c r="H114" s="21"/>
      <c r="I114" s="22"/>
      <c r="J114" s="108"/>
      <c r="K114" s="108"/>
      <c r="L114" s="108"/>
    </row>
    <row r="115" spans="1:12" ht="14.45">
      <c r="A115" s="21"/>
      <c r="B115" s="31"/>
      <c r="C115" s="21"/>
      <c r="D115" s="21"/>
      <c r="E115" s="21"/>
      <c r="F115" s="22"/>
      <c r="G115" s="21"/>
      <c r="H115" s="21"/>
      <c r="I115" s="22"/>
      <c r="J115" s="108"/>
      <c r="K115" s="108"/>
      <c r="L115" s="108"/>
    </row>
    <row r="116" spans="1:12" ht="14.45">
      <c r="A116" s="21"/>
      <c r="B116" s="31"/>
      <c r="C116" s="21"/>
      <c r="D116" s="21"/>
      <c r="E116" s="21"/>
      <c r="F116" s="22"/>
      <c r="G116" s="21"/>
      <c r="H116" s="21"/>
      <c r="I116" s="22"/>
      <c r="J116" s="108"/>
      <c r="K116" s="108"/>
      <c r="L116" s="108"/>
    </row>
    <row r="117" spans="1:12" ht="14.45">
      <c r="A117" s="21"/>
      <c r="B117" s="31"/>
      <c r="C117" s="21"/>
      <c r="D117" s="21"/>
      <c r="E117" s="21"/>
      <c r="F117" s="22"/>
      <c r="G117" s="21"/>
      <c r="H117" s="21"/>
      <c r="I117" s="22"/>
      <c r="J117" s="108"/>
      <c r="K117" s="108"/>
      <c r="L117" s="108"/>
    </row>
    <row r="118" spans="1:12" ht="14.45">
      <c r="A118" s="21"/>
      <c r="B118" s="31"/>
      <c r="C118" s="21"/>
      <c r="D118" s="21"/>
      <c r="E118" s="21"/>
      <c r="F118" s="22"/>
      <c r="G118" s="21"/>
      <c r="H118" s="21"/>
      <c r="I118" s="22"/>
      <c r="J118" s="108"/>
      <c r="K118" s="108"/>
      <c r="L118" s="108"/>
    </row>
    <row r="119" spans="1:12" ht="14.45">
      <c r="A119" s="21"/>
      <c r="B119" s="31"/>
      <c r="C119" s="21"/>
      <c r="D119" s="21"/>
      <c r="E119" s="21"/>
      <c r="F119" s="22"/>
      <c r="G119" s="21"/>
      <c r="H119" s="21"/>
      <c r="I119" s="22"/>
      <c r="J119" s="108"/>
      <c r="K119" s="108"/>
      <c r="L119" s="108"/>
    </row>
    <row r="120" spans="1:12" ht="14.45">
      <c r="A120" s="21"/>
      <c r="B120" s="31"/>
      <c r="C120" s="21"/>
      <c r="D120" s="21"/>
      <c r="E120" s="21"/>
      <c r="F120" s="22"/>
      <c r="G120" s="21"/>
      <c r="H120" s="21"/>
      <c r="I120" s="22"/>
      <c r="J120" s="108"/>
      <c r="K120" s="108"/>
      <c r="L120" s="108"/>
    </row>
    <row r="121" spans="1:12" ht="14.45">
      <c r="A121" s="21"/>
      <c r="B121" s="31"/>
      <c r="C121" s="21"/>
      <c r="D121" s="21"/>
      <c r="E121" s="21"/>
      <c r="F121" s="22"/>
      <c r="G121" s="21"/>
      <c r="H121" s="21"/>
      <c r="I121" s="22"/>
      <c r="J121" s="108"/>
      <c r="K121" s="108"/>
      <c r="L121" s="108"/>
    </row>
    <row r="122" spans="1:12" ht="14.45">
      <c r="A122" s="21"/>
      <c r="B122" s="31"/>
      <c r="C122" s="21"/>
      <c r="D122" s="21"/>
      <c r="E122" s="21"/>
      <c r="F122" s="22"/>
      <c r="G122" s="21"/>
      <c r="H122" s="21"/>
      <c r="I122" s="22"/>
      <c r="J122" s="108"/>
      <c r="K122" s="108"/>
      <c r="L122" s="108"/>
    </row>
    <row r="123" spans="1:12" ht="14.45">
      <c r="A123" s="21"/>
      <c r="B123" s="31"/>
      <c r="C123" s="21"/>
      <c r="D123" s="21"/>
      <c r="E123" s="21"/>
      <c r="F123" s="22"/>
      <c r="G123" s="21"/>
      <c r="H123" s="21"/>
      <c r="I123" s="22"/>
      <c r="J123" s="108"/>
      <c r="K123" s="108"/>
      <c r="L123" s="108"/>
    </row>
    <row r="124" spans="1:12" ht="14.45">
      <c r="A124" s="21"/>
      <c r="B124" s="31"/>
      <c r="C124" s="21"/>
      <c r="D124" s="21"/>
      <c r="E124" s="21"/>
      <c r="F124" s="22"/>
      <c r="G124" s="21"/>
      <c r="H124" s="21"/>
      <c r="I124" s="22"/>
      <c r="J124" s="108"/>
      <c r="K124" s="108"/>
      <c r="L124" s="108"/>
    </row>
    <row r="125" spans="1:12" ht="14.45">
      <c r="A125" s="21"/>
      <c r="B125" s="31"/>
      <c r="C125" s="21"/>
      <c r="D125" s="21"/>
      <c r="E125" s="21"/>
      <c r="F125" s="22"/>
      <c r="G125" s="21"/>
      <c r="H125" s="21"/>
      <c r="I125" s="22"/>
      <c r="J125" s="108"/>
      <c r="K125" s="108"/>
      <c r="L125" s="108"/>
    </row>
    <row r="126" spans="1:12" ht="14.45">
      <c r="A126" s="21"/>
      <c r="B126" s="31"/>
      <c r="C126" s="21"/>
      <c r="D126" s="21"/>
      <c r="E126" s="21"/>
      <c r="F126" s="22"/>
      <c r="G126" s="21"/>
      <c r="H126" s="21"/>
      <c r="I126" s="22"/>
      <c r="J126" s="108"/>
      <c r="K126" s="108"/>
      <c r="L126" s="108"/>
    </row>
    <row r="127" spans="1:12" ht="14.45">
      <c r="A127" s="21"/>
      <c r="B127" s="31"/>
      <c r="C127" s="21"/>
      <c r="D127" s="21"/>
      <c r="E127" s="21"/>
      <c r="F127" s="22"/>
      <c r="G127" s="21"/>
      <c r="H127" s="21"/>
      <c r="I127" s="22"/>
      <c r="J127" s="108"/>
      <c r="K127" s="108"/>
      <c r="L127" s="108"/>
    </row>
    <row r="128" spans="1:12" ht="14.45">
      <c r="A128" s="21"/>
      <c r="B128" s="31"/>
      <c r="C128" s="21"/>
      <c r="D128" s="21"/>
      <c r="E128" s="21"/>
      <c r="F128" s="22"/>
      <c r="G128" s="21"/>
      <c r="H128" s="21"/>
      <c r="I128" s="22"/>
      <c r="J128" s="108"/>
      <c r="K128" s="108"/>
      <c r="L128" s="108"/>
    </row>
    <row r="129" spans="1:12" ht="14.45">
      <c r="A129" s="21"/>
      <c r="B129" s="31"/>
      <c r="C129" s="21"/>
      <c r="D129" s="21"/>
      <c r="E129" s="21"/>
      <c r="F129" s="22"/>
      <c r="G129" s="21"/>
      <c r="H129" s="21"/>
      <c r="I129" s="22"/>
      <c r="J129" s="108"/>
      <c r="K129" s="108"/>
      <c r="L129" s="108"/>
    </row>
    <row r="130" spans="1:12" ht="14.45">
      <c r="A130" s="21"/>
      <c r="B130" s="31"/>
      <c r="C130" s="21"/>
      <c r="D130" s="21"/>
      <c r="E130" s="21"/>
      <c r="F130" s="22"/>
      <c r="G130" s="21"/>
      <c r="H130" s="21"/>
      <c r="I130" s="22"/>
      <c r="J130" s="108"/>
      <c r="K130" s="108"/>
      <c r="L130" s="108"/>
    </row>
    <row r="131" spans="1:12" ht="14.45">
      <c r="A131" s="21"/>
      <c r="B131" s="31"/>
      <c r="C131" s="21"/>
      <c r="D131" s="21"/>
      <c r="E131" s="21"/>
      <c r="F131" s="22"/>
      <c r="G131" s="21"/>
      <c r="H131" s="21"/>
      <c r="I131" s="22"/>
      <c r="J131" s="108"/>
      <c r="K131" s="108"/>
      <c r="L131" s="108"/>
    </row>
    <row r="132" spans="1:12" ht="14.45">
      <c r="A132" s="21"/>
      <c r="B132" s="31"/>
      <c r="C132" s="21"/>
      <c r="D132" s="21"/>
      <c r="E132" s="21"/>
      <c r="F132" s="22"/>
      <c r="G132" s="21"/>
      <c r="H132" s="21"/>
      <c r="I132" s="22"/>
      <c r="J132" s="108"/>
      <c r="K132" s="108"/>
      <c r="L132" s="108"/>
    </row>
    <row r="133" spans="1:12" ht="14.45">
      <c r="A133" s="21"/>
      <c r="B133" s="31"/>
      <c r="C133" s="21"/>
      <c r="D133" s="21"/>
      <c r="E133" s="21"/>
      <c r="F133" s="22"/>
      <c r="G133" s="21"/>
      <c r="H133" s="21"/>
      <c r="I133" s="22"/>
      <c r="J133" s="108"/>
      <c r="K133" s="108"/>
      <c r="L133" s="108"/>
    </row>
    <row r="134" spans="1:12" ht="14.45">
      <c r="A134" s="21"/>
      <c r="B134" s="31"/>
      <c r="C134" s="21"/>
      <c r="D134" s="21"/>
      <c r="E134" s="21"/>
      <c r="F134" s="22"/>
      <c r="G134" s="21"/>
      <c r="H134" s="21"/>
      <c r="I134" s="22"/>
      <c r="J134" s="108"/>
      <c r="K134" s="108"/>
      <c r="L134" s="108"/>
    </row>
    <row r="135" spans="1:12" ht="14.45">
      <c r="A135" s="21"/>
      <c r="B135" s="31"/>
      <c r="C135" s="21"/>
      <c r="D135" s="21"/>
      <c r="E135" s="21"/>
      <c r="F135" s="22"/>
      <c r="G135" s="21"/>
      <c r="H135" s="21"/>
      <c r="I135" s="22"/>
      <c r="J135" s="108"/>
      <c r="K135" s="108"/>
      <c r="L135" s="108"/>
    </row>
    <row r="136" spans="1:12" ht="14.45">
      <c r="A136" s="21"/>
      <c r="B136" s="31"/>
      <c r="C136" s="21"/>
      <c r="D136" s="21"/>
      <c r="E136" s="21"/>
      <c r="F136" s="22"/>
      <c r="G136" s="21"/>
      <c r="H136" s="21"/>
      <c r="I136" s="22"/>
      <c r="J136" s="108"/>
      <c r="K136" s="108"/>
      <c r="L136" s="108"/>
    </row>
    <row r="137" spans="1:12" ht="14.45">
      <c r="A137" s="21"/>
      <c r="B137" s="31"/>
      <c r="C137" s="21"/>
      <c r="D137" s="21"/>
      <c r="E137" s="21"/>
      <c r="F137" s="22"/>
      <c r="G137" s="21"/>
      <c r="H137" s="21"/>
      <c r="I137" s="22"/>
      <c r="J137" s="108"/>
      <c r="K137" s="108"/>
      <c r="L137" s="108"/>
    </row>
    <row r="138" spans="1:12" ht="14.45">
      <c r="A138" s="21"/>
      <c r="B138" s="31"/>
      <c r="C138" s="21"/>
      <c r="D138" s="21"/>
      <c r="E138" s="21"/>
      <c r="F138" s="22"/>
      <c r="G138" s="21"/>
      <c r="H138" s="21"/>
      <c r="I138" s="22"/>
      <c r="J138" s="108"/>
      <c r="K138" s="108"/>
      <c r="L138" s="108"/>
    </row>
    <row r="139" spans="1:12" ht="14.45">
      <c r="A139" s="21"/>
      <c r="B139" s="31"/>
      <c r="C139" s="21"/>
      <c r="D139" s="21"/>
      <c r="E139" s="21"/>
      <c r="F139" s="22"/>
      <c r="G139" s="21"/>
      <c r="H139" s="21"/>
      <c r="I139" s="22"/>
      <c r="J139" s="108"/>
      <c r="K139" s="108"/>
      <c r="L139" s="108"/>
    </row>
    <row r="140" spans="1:12" ht="14.45">
      <c r="A140" s="21"/>
      <c r="B140" s="31"/>
      <c r="C140" s="21"/>
      <c r="D140" s="21"/>
      <c r="E140" s="21"/>
      <c r="F140" s="22"/>
      <c r="G140" s="21"/>
      <c r="H140" s="21"/>
      <c r="I140" s="22"/>
      <c r="J140" s="108"/>
      <c r="K140" s="108"/>
      <c r="L140" s="108"/>
    </row>
    <row r="141" spans="1:12" ht="14.45">
      <c r="A141" s="21"/>
      <c r="B141" s="31"/>
      <c r="C141" s="21"/>
      <c r="D141" s="21"/>
      <c r="E141" s="21"/>
      <c r="F141" s="22"/>
      <c r="G141" s="21"/>
      <c r="H141" s="21"/>
      <c r="I141" s="22"/>
      <c r="J141" s="108"/>
      <c r="K141" s="108"/>
      <c r="L141" s="108"/>
    </row>
    <row r="142" spans="1:12" ht="14.45">
      <c r="A142" s="21"/>
      <c r="B142" s="31"/>
      <c r="C142" s="21"/>
      <c r="D142" s="21"/>
      <c r="E142" s="21"/>
      <c r="F142" s="22"/>
      <c r="G142" s="21"/>
      <c r="H142" s="21"/>
      <c r="I142" s="22"/>
      <c r="J142" s="108"/>
      <c r="K142" s="108"/>
      <c r="L142" s="108"/>
    </row>
    <row r="143" spans="1:12" ht="14.45">
      <c r="A143" s="21"/>
      <c r="B143" s="31"/>
      <c r="C143" s="21"/>
      <c r="D143" s="21"/>
      <c r="E143" s="21"/>
      <c r="F143" s="22"/>
      <c r="G143" s="21"/>
      <c r="H143" s="21"/>
      <c r="I143" s="22"/>
      <c r="J143" s="108"/>
      <c r="K143" s="108"/>
      <c r="L143" s="108"/>
    </row>
    <row r="144" spans="1:12" ht="14.45">
      <c r="A144" s="21"/>
      <c r="B144" s="31"/>
      <c r="C144" s="21"/>
      <c r="D144" s="21"/>
      <c r="E144" s="21"/>
      <c r="F144" s="22"/>
      <c r="G144" s="21"/>
      <c r="H144" s="21"/>
      <c r="I144" s="22"/>
      <c r="J144" s="108"/>
      <c r="K144" s="108"/>
      <c r="L144" s="108"/>
    </row>
    <row r="145" spans="1:12" ht="14.45">
      <c r="A145" s="21"/>
      <c r="B145" s="31"/>
      <c r="C145" s="21"/>
      <c r="D145" s="21"/>
      <c r="E145" s="21"/>
      <c r="F145" s="22"/>
      <c r="G145" s="21"/>
      <c r="H145" s="21"/>
      <c r="I145" s="22"/>
      <c r="J145" s="108"/>
      <c r="K145" s="108"/>
      <c r="L145" s="108"/>
    </row>
    <row r="146" spans="1:12" ht="14.45">
      <c r="A146" s="21"/>
      <c r="B146" s="31"/>
      <c r="C146" s="21"/>
      <c r="D146" s="21"/>
      <c r="E146" s="21"/>
      <c r="F146" s="22"/>
      <c r="G146" s="21"/>
      <c r="H146" s="21"/>
      <c r="I146" s="22"/>
      <c r="J146" s="108"/>
      <c r="K146" s="108"/>
      <c r="L146" s="108"/>
    </row>
    <row r="147" spans="1:12" ht="14.45">
      <c r="A147" s="21"/>
      <c r="B147" s="31"/>
      <c r="C147" s="21"/>
      <c r="D147" s="21"/>
      <c r="E147" s="21"/>
      <c r="F147" s="22"/>
      <c r="G147" s="21"/>
      <c r="H147" s="21"/>
      <c r="I147" s="22"/>
      <c r="J147" s="108"/>
      <c r="K147" s="108"/>
      <c r="L147" s="108"/>
    </row>
    <row r="148" spans="1:12" ht="14.45">
      <c r="A148" s="21"/>
      <c r="B148" s="31"/>
      <c r="C148" s="21"/>
      <c r="D148" s="21"/>
      <c r="E148" s="21"/>
      <c r="F148" s="22"/>
      <c r="G148" s="21"/>
      <c r="H148" s="21"/>
      <c r="I148" s="22"/>
      <c r="J148" s="108"/>
      <c r="K148" s="108"/>
      <c r="L148" s="108"/>
    </row>
    <row r="149" spans="1:12" ht="14.45">
      <c r="A149" s="21"/>
      <c r="B149" s="31"/>
      <c r="C149" s="21"/>
      <c r="D149" s="21"/>
      <c r="E149" s="21"/>
      <c r="F149" s="22"/>
      <c r="G149" s="21"/>
      <c r="H149" s="21"/>
      <c r="I149" s="22"/>
      <c r="J149" s="108"/>
      <c r="K149" s="108"/>
      <c r="L149" s="108"/>
    </row>
    <row r="150" spans="1:12" ht="14.45">
      <c r="A150" s="21"/>
      <c r="B150" s="31"/>
      <c r="C150" s="21"/>
      <c r="D150" s="21"/>
      <c r="E150" s="21"/>
      <c r="F150" s="22"/>
      <c r="G150" s="21"/>
      <c r="H150" s="21"/>
      <c r="I150" s="22"/>
      <c r="J150" s="108"/>
      <c r="K150" s="108"/>
      <c r="L150" s="108"/>
    </row>
    <row r="151" spans="1:12" ht="14.45">
      <c r="A151" s="21"/>
      <c r="B151" s="31"/>
      <c r="C151" s="21"/>
      <c r="D151" s="21"/>
      <c r="E151" s="21"/>
      <c r="F151" s="22"/>
      <c r="G151" s="21"/>
      <c r="H151" s="21"/>
      <c r="I151" s="22"/>
      <c r="J151" s="108"/>
      <c r="K151" s="108"/>
      <c r="L151" s="108"/>
    </row>
    <row r="152" spans="1:12" ht="14.45">
      <c r="A152" s="21"/>
      <c r="B152" s="31"/>
      <c r="C152" s="21"/>
      <c r="D152" s="21"/>
      <c r="E152" s="21"/>
      <c r="F152" s="22"/>
      <c r="G152" s="21"/>
      <c r="H152" s="21"/>
      <c r="I152" s="22"/>
      <c r="J152" s="108"/>
      <c r="K152" s="108"/>
      <c r="L152" s="108"/>
    </row>
    <row r="153" spans="1:12" ht="14.45">
      <c r="A153" s="21"/>
      <c r="B153" s="31"/>
      <c r="C153" s="21"/>
      <c r="D153" s="21"/>
      <c r="E153" s="21"/>
      <c r="F153" s="22"/>
      <c r="G153" s="21"/>
      <c r="H153" s="21"/>
      <c r="I153" s="22"/>
      <c r="J153" s="108"/>
      <c r="K153" s="108"/>
      <c r="L153" s="108"/>
    </row>
    <row r="154" spans="1:12" ht="14.45">
      <c r="A154" s="21"/>
      <c r="B154" s="31"/>
      <c r="C154" s="21"/>
      <c r="D154" s="21"/>
      <c r="E154" s="21"/>
      <c r="F154" s="22"/>
      <c r="G154" s="21"/>
      <c r="H154" s="21"/>
      <c r="I154" s="22"/>
      <c r="J154" s="108"/>
      <c r="K154" s="108"/>
      <c r="L154" s="108"/>
    </row>
    <row r="155" spans="1:12" ht="14.45">
      <c r="A155" s="21"/>
      <c r="B155" s="31"/>
      <c r="C155" s="21"/>
      <c r="D155" s="21"/>
      <c r="E155" s="21"/>
      <c r="F155" s="22"/>
      <c r="G155" s="21"/>
      <c r="H155" s="21"/>
      <c r="I155" s="22"/>
      <c r="J155" s="108"/>
      <c r="K155" s="108"/>
      <c r="L155" s="108"/>
    </row>
    <row r="156" spans="1:12" ht="14.45">
      <c r="A156" s="21"/>
      <c r="B156" s="31"/>
      <c r="C156" s="21"/>
      <c r="D156" s="21"/>
      <c r="E156" s="21"/>
      <c r="F156" s="22"/>
      <c r="G156" s="21"/>
      <c r="H156" s="21"/>
      <c r="I156" s="22"/>
      <c r="J156" s="108"/>
      <c r="K156" s="108"/>
      <c r="L156" s="108"/>
    </row>
    <row r="157" spans="1:12" ht="14.45">
      <c r="A157" s="21"/>
      <c r="B157" s="31"/>
      <c r="C157" s="21"/>
      <c r="D157" s="21"/>
      <c r="E157" s="21"/>
      <c r="F157" s="22"/>
      <c r="G157" s="21"/>
      <c r="H157" s="21"/>
      <c r="I157" s="22"/>
      <c r="J157" s="108"/>
      <c r="K157" s="108"/>
      <c r="L157" s="108"/>
    </row>
    <row r="158" spans="1:12" ht="14.45">
      <c r="A158" s="21"/>
      <c r="B158" s="31"/>
      <c r="C158" s="21"/>
      <c r="D158" s="21"/>
      <c r="E158" s="21"/>
      <c r="F158" s="22"/>
      <c r="G158" s="21"/>
      <c r="H158" s="21"/>
      <c r="I158" s="22"/>
      <c r="J158" s="108"/>
      <c r="K158" s="108"/>
      <c r="L158" s="108"/>
    </row>
    <row r="159" spans="1:12" ht="14.45">
      <c r="A159" s="21"/>
      <c r="B159" s="31"/>
      <c r="C159" s="21"/>
      <c r="D159" s="21"/>
      <c r="E159" s="21"/>
      <c r="F159" s="22"/>
      <c r="G159" s="21"/>
      <c r="H159" s="21"/>
      <c r="I159" s="22"/>
      <c r="J159" s="108"/>
      <c r="K159" s="108"/>
      <c r="L159" s="108"/>
    </row>
    <row r="160" spans="1:12" ht="14.45">
      <c r="A160" s="21"/>
      <c r="B160" s="31"/>
      <c r="C160" s="21"/>
      <c r="D160" s="21"/>
      <c r="E160" s="21"/>
      <c r="F160" s="22"/>
      <c r="G160" s="21"/>
      <c r="H160" s="21"/>
      <c r="I160" s="22"/>
      <c r="J160" s="108"/>
      <c r="K160" s="108"/>
      <c r="L160" s="108"/>
    </row>
    <row r="161" spans="1:12" ht="14.45">
      <c r="A161" s="21"/>
      <c r="B161" s="31"/>
      <c r="C161" s="21"/>
      <c r="D161" s="21"/>
      <c r="E161" s="21"/>
      <c r="F161" s="22"/>
      <c r="G161" s="21"/>
      <c r="H161" s="21"/>
      <c r="I161" s="22"/>
      <c r="J161" s="108"/>
      <c r="K161" s="108"/>
      <c r="L161" s="108"/>
    </row>
    <row r="162" spans="1:12" ht="14.45">
      <c r="A162" s="21"/>
      <c r="B162" s="31"/>
      <c r="C162" s="21"/>
      <c r="D162" s="21"/>
      <c r="E162" s="21"/>
      <c r="F162" s="22"/>
      <c r="G162" s="21"/>
      <c r="H162" s="21"/>
      <c r="I162" s="22"/>
      <c r="J162" s="108"/>
      <c r="K162" s="108"/>
      <c r="L162" s="108"/>
    </row>
    <row r="163" spans="1:12" ht="14.45">
      <c r="A163" s="21"/>
      <c r="B163" s="31"/>
      <c r="C163" s="21"/>
      <c r="D163" s="21"/>
      <c r="E163" s="21"/>
      <c r="F163" s="22"/>
      <c r="G163" s="21"/>
      <c r="H163" s="21"/>
      <c r="I163" s="22"/>
      <c r="J163" s="108"/>
      <c r="K163" s="108"/>
      <c r="L163" s="108"/>
    </row>
    <row r="164" spans="1:12" ht="14.45">
      <c r="A164" s="21"/>
      <c r="B164" s="31"/>
      <c r="C164" s="21"/>
      <c r="D164" s="21"/>
      <c r="E164" s="21"/>
      <c r="F164" s="22"/>
      <c r="G164" s="21"/>
      <c r="H164" s="21"/>
      <c r="I164" s="22"/>
      <c r="J164" s="108"/>
      <c r="K164" s="108"/>
      <c r="L164" s="108"/>
    </row>
    <row r="165" spans="1:12" ht="14.45">
      <c r="A165" s="21"/>
      <c r="B165" s="31"/>
      <c r="C165" s="21"/>
      <c r="D165" s="21"/>
      <c r="E165" s="21"/>
      <c r="F165" s="22"/>
      <c r="G165" s="21"/>
      <c r="H165" s="21"/>
      <c r="I165" s="22"/>
      <c r="J165" s="108"/>
      <c r="K165" s="108"/>
      <c r="L165" s="108"/>
    </row>
    <row r="166" spans="1:12" ht="14.45">
      <c r="A166" s="21"/>
      <c r="B166" s="31"/>
      <c r="C166" s="21"/>
      <c r="D166" s="21"/>
      <c r="E166" s="21"/>
      <c r="F166" s="22"/>
      <c r="G166" s="21"/>
      <c r="H166" s="21"/>
      <c r="I166" s="22"/>
      <c r="J166" s="108"/>
      <c r="K166" s="108"/>
      <c r="L166" s="108"/>
    </row>
    <row r="167" spans="1:12" ht="14.45">
      <c r="A167" s="21"/>
      <c r="B167" s="31"/>
      <c r="C167" s="21"/>
      <c r="D167" s="21"/>
      <c r="E167" s="21"/>
      <c r="F167" s="22"/>
      <c r="G167" s="21"/>
      <c r="H167" s="21"/>
      <c r="I167" s="22"/>
      <c r="J167" s="108"/>
      <c r="K167" s="108"/>
      <c r="L167" s="108"/>
    </row>
    <row r="168" spans="1:12" ht="14.45">
      <c r="A168" s="21"/>
      <c r="B168" s="31"/>
      <c r="C168" s="21"/>
      <c r="D168" s="21"/>
      <c r="E168" s="21"/>
      <c r="F168" s="22"/>
      <c r="G168" s="21"/>
      <c r="H168" s="21"/>
      <c r="I168" s="22"/>
      <c r="J168" s="108"/>
      <c r="K168" s="108"/>
      <c r="L168" s="108"/>
    </row>
    <row r="169" spans="1:12" ht="14.45">
      <c r="A169" s="21"/>
      <c r="B169" s="31"/>
      <c r="C169" s="21"/>
      <c r="D169" s="21"/>
      <c r="E169" s="21"/>
      <c r="F169" s="22"/>
      <c r="G169" s="21"/>
      <c r="H169" s="21"/>
      <c r="I169" s="22"/>
      <c r="J169" s="108"/>
      <c r="K169" s="108"/>
      <c r="L169" s="108"/>
    </row>
    <row r="170" spans="1:12" ht="14.45">
      <c r="A170" s="21"/>
      <c r="B170" s="31"/>
      <c r="C170" s="21"/>
      <c r="D170" s="21"/>
      <c r="E170" s="21"/>
      <c r="F170" s="22"/>
      <c r="G170" s="21"/>
      <c r="H170" s="21"/>
      <c r="I170" s="22"/>
      <c r="J170" s="108"/>
      <c r="K170" s="108"/>
      <c r="L170" s="108"/>
    </row>
    <row r="171" spans="1:12" ht="14.45">
      <c r="A171" s="21"/>
      <c r="B171" s="31"/>
      <c r="C171" s="21"/>
      <c r="D171" s="21"/>
      <c r="E171" s="21"/>
      <c r="F171" s="22"/>
      <c r="G171" s="21"/>
      <c r="H171" s="21"/>
      <c r="I171" s="22"/>
      <c r="J171" s="108"/>
      <c r="K171" s="108"/>
      <c r="L171" s="108"/>
    </row>
    <row r="172" spans="1:12" ht="14.45">
      <c r="A172" s="21"/>
      <c r="B172" s="31"/>
      <c r="C172" s="21"/>
      <c r="D172" s="21"/>
      <c r="E172" s="21"/>
      <c r="F172" s="22"/>
      <c r="G172" s="21"/>
      <c r="H172" s="21"/>
      <c r="I172" s="22"/>
      <c r="J172" s="108"/>
      <c r="K172" s="108"/>
      <c r="L172" s="108"/>
    </row>
    <row r="173" spans="1:12" ht="14.45">
      <c r="A173" s="21"/>
      <c r="B173" s="31"/>
      <c r="C173" s="21"/>
      <c r="D173" s="21"/>
      <c r="E173" s="21"/>
      <c r="F173" s="22"/>
      <c r="G173" s="21"/>
      <c r="H173" s="21"/>
      <c r="I173" s="22"/>
      <c r="J173" s="108"/>
      <c r="K173" s="108"/>
      <c r="L173" s="108"/>
    </row>
    <row r="174" spans="1:12" ht="14.45">
      <c r="A174" s="21"/>
      <c r="B174" s="31"/>
      <c r="C174" s="21"/>
      <c r="D174" s="21"/>
      <c r="E174" s="21"/>
      <c r="F174" s="22"/>
      <c r="G174" s="21"/>
      <c r="H174" s="21"/>
      <c r="I174" s="22"/>
      <c r="J174" s="108"/>
      <c r="K174" s="108"/>
      <c r="L174" s="108"/>
    </row>
    <row r="175" spans="1:12" ht="14.45">
      <c r="A175" s="21"/>
      <c r="B175" s="31"/>
      <c r="C175" s="21"/>
      <c r="D175" s="21"/>
      <c r="E175" s="21"/>
      <c r="F175" s="22"/>
      <c r="G175" s="21"/>
      <c r="H175" s="21"/>
      <c r="I175" s="22"/>
      <c r="J175" s="108"/>
      <c r="K175" s="108"/>
      <c r="L175" s="108"/>
    </row>
    <row r="176" spans="1:12" ht="14.45">
      <c r="A176" s="21"/>
      <c r="B176" s="31"/>
      <c r="C176" s="21"/>
      <c r="D176" s="21"/>
      <c r="E176" s="21"/>
      <c r="F176" s="22"/>
      <c r="G176" s="21"/>
      <c r="H176" s="21"/>
      <c r="I176" s="22"/>
      <c r="J176" s="108"/>
      <c r="K176" s="108"/>
      <c r="L176" s="108"/>
    </row>
    <row r="177" spans="1:12" ht="14.45">
      <c r="A177" s="21"/>
      <c r="B177" s="31"/>
      <c r="C177" s="21"/>
      <c r="D177" s="21"/>
      <c r="E177" s="21"/>
      <c r="F177" s="22"/>
      <c r="G177" s="21"/>
      <c r="H177" s="21"/>
      <c r="I177" s="22"/>
      <c r="J177" s="108"/>
      <c r="K177" s="108"/>
      <c r="L177" s="108"/>
    </row>
    <row r="178" spans="1:12" ht="14.45">
      <c r="A178" s="21"/>
      <c r="B178" s="31"/>
      <c r="C178" s="21"/>
      <c r="D178" s="21"/>
      <c r="E178" s="21"/>
      <c r="F178" s="22"/>
      <c r="G178" s="21"/>
      <c r="H178" s="21"/>
      <c r="I178" s="22"/>
      <c r="J178" s="108"/>
      <c r="K178" s="108"/>
      <c r="L178" s="108"/>
    </row>
    <row r="179" spans="1:12" ht="14.45">
      <c r="A179" s="21"/>
      <c r="B179" s="31"/>
      <c r="C179" s="21"/>
      <c r="D179" s="21"/>
      <c r="E179" s="21"/>
      <c r="F179" s="22"/>
      <c r="G179" s="21"/>
      <c r="H179" s="21"/>
      <c r="I179" s="22"/>
      <c r="J179" s="108"/>
      <c r="K179" s="108"/>
      <c r="L179" s="108"/>
    </row>
    <row r="180" spans="1:12" ht="14.45">
      <c r="A180" s="21"/>
      <c r="B180" s="31"/>
      <c r="C180" s="21"/>
      <c r="D180" s="21"/>
      <c r="E180" s="21"/>
      <c r="F180" s="22"/>
      <c r="G180" s="21"/>
      <c r="H180" s="21"/>
      <c r="I180" s="22"/>
      <c r="J180" s="108"/>
      <c r="K180" s="108"/>
      <c r="L180" s="108"/>
    </row>
    <row r="181" spans="1:12" ht="14.45">
      <c r="A181" s="21"/>
      <c r="B181" s="31"/>
      <c r="C181" s="21"/>
      <c r="D181" s="21"/>
      <c r="E181" s="21"/>
      <c r="F181" s="22"/>
      <c r="G181" s="21"/>
      <c r="H181" s="21"/>
      <c r="I181" s="22"/>
      <c r="J181" s="108"/>
      <c r="K181" s="108"/>
      <c r="L181" s="108"/>
    </row>
    <row r="182" spans="1:12" ht="14.45">
      <c r="A182" s="21"/>
      <c r="B182" s="31"/>
      <c r="C182" s="21"/>
      <c r="D182" s="21"/>
      <c r="E182" s="21"/>
      <c r="F182" s="22"/>
      <c r="G182" s="21"/>
      <c r="H182" s="21"/>
      <c r="I182" s="22"/>
      <c r="J182" s="108"/>
      <c r="K182" s="108"/>
      <c r="L182" s="108"/>
    </row>
    <row r="183" spans="1:12" ht="14.45">
      <c r="A183" s="21"/>
      <c r="B183" s="31"/>
      <c r="C183" s="21"/>
      <c r="D183" s="21"/>
      <c r="E183" s="21"/>
      <c r="F183" s="22"/>
      <c r="G183" s="21"/>
      <c r="H183" s="21"/>
      <c r="I183" s="22"/>
      <c r="J183" s="108"/>
      <c r="K183" s="108"/>
      <c r="L183" s="108"/>
    </row>
    <row r="184" spans="1:12" ht="14.45">
      <c r="A184" s="21"/>
      <c r="B184" s="31"/>
      <c r="C184" s="21"/>
      <c r="D184" s="21"/>
      <c r="E184" s="21"/>
      <c r="F184" s="22"/>
      <c r="G184" s="21"/>
      <c r="H184" s="21"/>
      <c r="I184" s="22"/>
      <c r="J184" s="108"/>
      <c r="K184" s="108"/>
      <c r="L184" s="108"/>
    </row>
    <row r="185" spans="1:12" ht="14.45">
      <c r="A185" s="21"/>
      <c r="B185" s="31"/>
      <c r="C185" s="21"/>
      <c r="D185" s="21"/>
      <c r="E185" s="21"/>
      <c r="F185" s="22"/>
      <c r="G185" s="21"/>
      <c r="H185" s="21"/>
      <c r="I185" s="22"/>
      <c r="J185" s="108"/>
      <c r="K185" s="108"/>
      <c r="L185" s="108"/>
    </row>
    <row r="186" spans="1:12" ht="14.45">
      <c r="A186" s="21"/>
      <c r="B186" s="31"/>
      <c r="C186" s="21"/>
      <c r="D186" s="21"/>
      <c r="E186" s="21"/>
      <c r="F186" s="22"/>
      <c r="G186" s="21"/>
      <c r="H186" s="21"/>
      <c r="I186" s="22"/>
      <c r="J186" s="108"/>
      <c r="K186" s="108"/>
      <c r="L186" s="108"/>
    </row>
    <row r="187" spans="1:12" ht="14.45">
      <c r="A187" s="21"/>
      <c r="B187" s="31"/>
      <c r="C187" s="21"/>
      <c r="D187" s="21"/>
      <c r="E187" s="21"/>
      <c r="F187" s="22"/>
      <c r="G187" s="21"/>
      <c r="H187" s="21"/>
      <c r="I187" s="22"/>
      <c r="J187" s="108"/>
      <c r="K187" s="108"/>
      <c r="L187" s="108"/>
    </row>
    <row r="188" spans="1:12" ht="14.45">
      <c r="A188" s="21"/>
      <c r="B188" s="31"/>
      <c r="C188" s="21"/>
      <c r="D188" s="21"/>
      <c r="E188" s="21"/>
      <c r="F188" s="22"/>
      <c r="G188" s="21"/>
      <c r="H188" s="21"/>
      <c r="I188" s="22"/>
      <c r="J188" s="108"/>
      <c r="K188" s="108"/>
      <c r="L188" s="108"/>
    </row>
    <row r="189" spans="1:12" ht="14.45">
      <c r="A189" s="21"/>
      <c r="B189" s="31"/>
      <c r="C189" s="21"/>
      <c r="D189" s="21"/>
      <c r="E189" s="21"/>
      <c r="F189" s="22"/>
      <c r="G189" s="21"/>
      <c r="H189" s="21"/>
      <c r="I189" s="22"/>
      <c r="J189" s="108"/>
      <c r="K189" s="108"/>
      <c r="L189" s="108"/>
    </row>
    <row r="190" spans="1:12" ht="14.45">
      <c r="A190" s="21"/>
      <c r="B190" s="31"/>
      <c r="C190" s="21"/>
      <c r="D190" s="21"/>
      <c r="E190" s="21"/>
      <c r="F190" s="22"/>
      <c r="G190" s="21"/>
      <c r="H190" s="21"/>
      <c r="I190" s="22"/>
      <c r="J190" s="108"/>
      <c r="K190" s="108"/>
      <c r="L190" s="108"/>
    </row>
    <row r="191" spans="1:12" ht="14.45">
      <c r="A191" s="21"/>
      <c r="B191" s="31"/>
      <c r="C191" s="21"/>
      <c r="D191" s="21"/>
      <c r="E191" s="21"/>
      <c r="F191" s="22"/>
      <c r="G191" s="21"/>
      <c r="H191" s="21"/>
      <c r="I191" s="22"/>
      <c r="J191" s="108"/>
      <c r="K191" s="108"/>
      <c r="L191" s="108"/>
    </row>
    <row r="192" spans="1:12" ht="14.45">
      <c r="A192" s="21"/>
      <c r="B192" s="31"/>
      <c r="C192" s="21"/>
      <c r="D192" s="21"/>
      <c r="E192" s="21"/>
      <c r="F192" s="22"/>
      <c r="G192" s="21"/>
      <c r="H192" s="21"/>
      <c r="I192" s="22"/>
      <c r="J192" s="108"/>
      <c r="K192" s="108"/>
      <c r="L192" s="108"/>
    </row>
    <row r="193" spans="1:12" ht="14.45">
      <c r="A193" s="21"/>
      <c r="B193" s="31"/>
      <c r="C193" s="21"/>
      <c r="D193" s="21"/>
      <c r="E193" s="21"/>
      <c r="F193" s="22"/>
      <c r="G193" s="21"/>
      <c r="H193" s="21"/>
      <c r="I193" s="22"/>
      <c r="J193" s="108"/>
      <c r="K193" s="108"/>
      <c r="L193" s="108"/>
    </row>
    <row r="194" spans="1:12" ht="14.45">
      <c r="A194" s="21"/>
      <c r="B194" s="31"/>
      <c r="C194" s="21"/>
      <c r="D194" s="21"/>
      <c r="E194" s="21"/>
      <c r="F194" s="22"/>
      <c r="G194" s="21"/>
      <c r="H194" s="21"/>
      <c r="I194" s="22"/>
      <c r="J194" s="108"/>
      <c r="K194" s="108"/>
      <c r="L194" s="108"/>
    </row>
    <row r="195" spans="1:12" ht="14.45">
      <c r="A195" s="21"/>
      <c r="B195" s="31"/>
      <c r="C195" s="21"/>
      <c r="D195" s="21"/>
      <c r="E195" s="21"/>
      <c r="F195" s="22"/>
      <c r="G195" s="21"/>
      <c r="H195" s="21"/>
      <c r="I195" s="22"/>
      <c r="J195" s="108"/>
      <c r="K195" s="108"/>
      <c r="L195" s="108"/>
    </row>
    <row r="196" spans="1:12" ht="14.45">
      <c r="A196" s="21"/>
      <c r="B196" s="31"/>
      <c r="C196" s="21"/>
      <c r="D196" s="21"/>
      <c r="E196" s="21"/>
      <c r="F196" s="22"/>
      <c r="G196" s="21"/>
      <c r="H196" s="21"/>
      <c r="I196" s="22"/>
      <c r="J196" s="108"/>
      <c r="K196" s="108"/>
      <c r="L196" s="108"/>
    </row>
    <row r="197" spans="1:12" ht="14.45">
      <c r="A197" s="21"/>
      <c r="B197" s="31"/>
      <c r="C197" s="21"/>
      <c r="D197" s="21"/>
      <c r="E197" s="21"/>
      <c r="F197" s="22"/>
      <c r="G197" s="21"/>
      <c r="H197" s="21"/>
      <c r="I197" s="22"/>
      <c r="J197" s="108"/>
      <c r="K197" s="108"/>
      <c r="L197" s="108"/>
    </row>
    <row r="198" spans="1:12" ht="14.45">
      <c r="A198" s="21"/>
      <c r="B198" s="31"/>
      <c r="C198" s="21"/>
      <c r="D198" s="21"/>
      <c r="E198" s="21"/>
      <c r="F198" s="22"/>
      <c r="G198" s="21"/>
      <c r="H198" s="21"/>
      <c r="I198" s="22"/>
      <c r="J198" s="108"/>
      <c r="K198" s="108"/>
      <c r="L198" s="108"/>
    </row>
    <row r="199" spans="1:12" ht="14.45">
      <c r="A199" s="21"/>
      <c r="B199" s="31"/>
      <c r="C199" s="21"/>
      <c r="D199" s="21"/>
      <c r="E199" s="21"/>
      <c r="F199" s="22"/>
      <c r="G199" s="21"/>
      <c r="H199" s="21"/>
      <c r="I199" s="22"/>
      <c r="J199" s="108"/>
      <c r="K199" s="108"/>
      <c r="L199" s="108"/>
    </row>
    <row r="200" spans="1:12" ht="14.45">
      <c r="A200" s="21"/>
      <c r="B200" s="31"/>
      <c r="C200" s="21"/>
      <c r="D200" s="21"/>
      <c r="E200" s="21"/>
      <c r="F200" s="22"/>
      <c r="G200" s="21"/>
      <c r="H200" s="21"/>
      <c r="I200" s="22"/>
      <c r="J200" s="108"/>
      <c r="K200" s="108"/>
      <c r="L200" s="108"/>
    </row>
    <row r="201" spans="1:12" ht="14.45">
      <c r="A201" s="21"/>
      <c r="B201" s="31"/>
      <c r="C201" s="21"/>
      <c r="D201" s="21"/>
      <c r="E201" s="21"/>
      <c r="F201" s="22"/>
      <c r="G201" s="21"/>
      <c r="H201" s="21"/>
      <c r="I201" s="22"/>
      <c r="J201" s="108"/>
      <c r="K201" s="108"/>
      <c r="L201" s="108"/>
    </row>
    <row r="202" spans="1:12" ht="14.45">
      <c r="A202" s="21"/>
      <c r="B202" s="31"/>
      <c r="C202" s="21"/>
      <c r="D202" s="21"/>
      <c r="E202" s="21"/>
      <c r="F202" s="22"/>
      <c r="G202" s="21"/>
      <c r="H202" s="21"/>
      <c r="I202" s="22"/>
      <c r="J202" s="108"/>
      <c r="K202" s="108"/>
      <c r="L202" s="108"/>
    </row>
    <row r="203" spans="1:12" ht="14.45">
      <c r="A203" s="21"/>
      <c r="B203" s="31"/>
      <c r="C203" s="21"/>
      <c r="D203" s="21"/>
      <c r="E203" s="21"/>
      <c r="F203" s="22"/>
      <c r="G203" s="21"/>
      <c r="H203" s="21"/>
      <c r="I203" s="22"/>
      <c r="J203" s="108"/>
      <c r="K203" s="108"/>
      <c r="L203" s="108"/>
    </row>
    <row r="204" spans="1:12" ht="14.45">
      <c r="A204" s="21"/>
      <c r="B204" s="31"/>
      <c r="C204" s="21"/>
      <c r="D204" s="21"/>
      <c r="E204" s="21"/>
      <c r="F204" s="22"/>
      <c r="G204" s="21"/>
      <c r="H204" s="21"/>
      <c r="I204" s="22"/>
      <c r="J204" s="108"/>
      <c r="K204" s="108"/>
      <c r="L204" s="108"/>
    </row>
    <row r="205" spans="1:12" ht="14.45">
      <c r="A205" s="21"/>
      <c r="B205" s="31"/>
      <c r="C205" s="21"/>
      <c r="D205" s="21"/>
      <c r="E205" s="21"/>
      <c r="F205" s="22"/>
      <c r="G205" s="21"/>
      <c r="H205" s="21"/>
      <c r="I205" s="22"/>
      <c r="J205" s="108"/>
      <c r="K205" s="108"/>
      <c r="L205" s="108"/>
    </row>
    <row r="206" spans="1:12" ht="14.45">
      <c r="A206" s="21"/>
      <c r="B206" s="31"/>
      <c r="C206" s="21"/>
      <c r="D206" s="21"/>
      <c r="E206" s="21"/>
      <c r="F206" s="22"/>
      <c r="G206" s="21"/>
      <c r="H206" s="21"/>
      <c r="I206" s="22"/>
      <c r="J206" s="108"/>
      <c r="K206" s="108"/>
      <c r="L206" s="108"/>
    </row>
    <row r="207" spans="1:12" ht="14.45">
      <c r="A207" s="21"/>
      <c r="B207" s="31"/>
      <c r="C207" s="21"/>
      <c r="D207" s="21"/>
      <c r="E207" s="21"/>
      <c r="F207" s="22"/>
      <c r="G207" s="21"/>
      <c r="H207" s="21"/>
      <c r="I207" s="22"/>
      <c r="J207" s="108"/>
      <c r="K207" s="108"/>
      <c r="L207" s="108"/>
    </row>
    <row r="208" spans="1:12" ht="14.45">
      <c r="A208" s="21"/>
      <c r="B208" s="31"/>
      <c r="C208" s="21"/>
      <c r="D208" s="21"/>
      <c r="E208" s="21"/>
      <c r="F208" s="22"/>
      <c r="G208" s="21"/>
      <c r="H208" s="21"/>
      <c r="I208" s="22"/>
      <c r="J208" s="108"/>
      <c r="K208" s="108"/>
      <c r="L208" s="108"/>
    </row>
    <row r="209" spans="1:12" ht="14.45">
      <c r="A209" s="21"/>
      <c r="B209" s="31"/>
      <c r="C209" s="21"/>
      <c r="D209" s="21"/>
      <c r="E209" s="21"/>
      <c r="F209" s="22"/>
      <c r="G209" s="21"/>
      <c r="H209" s="21"/>
      <c r="I209" s="22"/>
      <c r="J209" s="108"/>
      <c r="K209" s="108"/>
      <c r="L209" s="108"/>
    </row>
    <row r="210" spans="1:12" ht="14.45">
      <c r="A210" s="21"/>
      <c r="B210" s="31"/>
      <c r="C210" s="21"/>
      <c r="D210" s="21"/>
      <c r="E210" s="21"/>
      <c r="F210" s="22"/>
      <c r="G210" s="21"/>
      <c r="H210" s="21"/>
      <c r="I210" s="22"/>
      <c r="J210" s="108"/>
      <c r="K210" s="108"/>
      <c r="L210" s="108"/>
    </row>
    <row r="211" spans="1:12" ht="14.45">
      <c r="A211" s="21"/>
      <c r="B211" s="31"/>
      <c r="C211" s="21"/>
      <c r="D211" s="21"/>
      <c r="E211" s="21"/>
      <c r="F211" s="22"/>
      <c r="G211" s="21"/>
      <c r="H211" s="21"/>
      <c r="I211" s="22"/>
      <c r="J211" s="108"/>
      <c r="K211" s="108"/>
      <c r="L211" s="108"/>
    </row>
    <row r="212" spans="1:12" ht="14.45">
      <c r="A212" s="21"/>
      <c r="B212" s="31"/>
      <c r="C212" s="21"/>
      <c r="D212" s="21"/>
      <c r="E212" s="21"/>
      <c r="F212" s="22"/>
      <c r="G212" s="21"/>
      <c r="H212" s="21"/>
      <c r="I212" s="22"/>
      <c r="J212" s="108"/>
      <c r="K212" s="108"/>
      <c r="L212" s="108"/>
    </row>
    <row r="213" spans="1:12" ht="14.45">
      <c r="A213" s="21"/>
      <c r="B213" s="31"/>
      <c r="C213" s="21"/>
      <c r="D213" s="21"/>
      <c r="E213" s="21"/>
      <c r="F213" s="22"/>
      <c r="G213" s="21"/>
      <c r="H213" s="21"/>
      <c r="I213" s="22"/>
      <c r="J213" s="108"/>
      <c r="K213" s="108"/>
      <c r="L213" s="108"/>
    </row>
    <row r="214" spans="1:12" ht="14.45">
      <c r="A214" s="21"/>
      <c r="B214" s="31"/>
      <c r="C214" s="21"/>
      <c r="D214" s="21"/>
      <c r="E214" s="21"/>
      <c r="F214" s="22"/>
      <c r="G214" s="21"/>
      <c r="H214" s="21"/>
      <c r="I214" s="22"/>
      <c r="J214" s="108"/>
      <c r="K214" s="108"/>
      <c r="L214" s="108"/>
    </row>
    <row r="215" spans="1:12" ht="14.45">
      <c r="A215" s="21"/>
      <c r="B215" s="31"/>
      <c r="C215" s="21"/>
      <c r="D215" s="21"/>
      <c r="E215" s="21"/>
      <c r="F215" s="22"/>
      <c r="G215" s="21"/>
      <c r="H215" s="21"/>
      <c r="I215" s="22"/>
      <c r="J215" s="108"/>
      <c r="K215" s="108"/>
      <c r="L215" s="108"/>
    </row>
    <row r="216" spans="1:12" ht="14.45">
      <c r="A216" s="21"/>
      <c r="B216" s="31"/>
      <c r="C216" s="21"/>
      <c r="D216" s="21"/>
      <c r="E216" s="21"/>
      <c r="F216" s="22"/>
      <c r="G216" s="21"/>
      <c r="H216" s="21"/>
      <c r="I216" s="22"/>
      <c r="J216" s="108"/>
      <c r="K216" s="108"/>
      <c r="L216" s="108"/>
    </row>
    <row r="217" spans="1:12" ht="14.45">
      <c r="A217" s="21"/>
      <c r="B217" s="31"/>
      <c r="C217" s="21"/>
      <c r="D217" s="21"/>
      <c r="E217" s="21"/>
      <c r="F217" s="22"/>
      <c r="G217" s="21"/>
      <c r="H217" s="21"/>
      <c r="I217" s="22"/>
      <c r="J217" s="108"/>
      <c r="K217" s="108"/>
      <c r="L217" s="108"/>
    </row>
    <row r="218" spans="1:12" ht="14.45">
      <c r="A218" s="21"/>
      <c r="B218" s="31"/>
      <c r="C218" s="21"/>
      <c r="D218" s="21"/>
      <c r="E218" s="21"/>
      <c r="F218" s="22"/>
      <c r="G218" s="21"/>
      <c r="H218" s="21"/>
      <c r="I218" s="22"/>
      <c r="J218" s="108"/>
      <c r="K218" s="108"/>
      <c r="L218" s="108"/>
    </row>
    <row r="219" spans="1:12" ht="14.45">
      <c r="A219" s="21"/>
      <c r="B219" s="31"/>
      <c r="C219" s="21"/>
      <c r="D219" s="21"/>
      <c r="E219" s="21"/>
      <c r="F219" s="22"/>
      <c r="G219" s="21"/>
      <c r="H219" s="21"/>
      <c r="I219" s="22"/>
      <c r="J219" s="108"/>
      <c r="K219" s="108"/>
      <c r="L219" s="108"/>
    </row>
    <row r="220" spans="1:12" ht="14.45">
      <c r="A220" s="21"/>
      <c r="B220" s="31"/>
      <c r="C220" s="21"/>
      <c r="D220" s="21"/>
      <c r="E220" s="21"/>
      <c r="F220" s="22"/>
      <c r="G220" s="21"/>
      <c r="H220" s="21"/>
      <c r="I220" s="22"/>
      <c r="J220" s="108"/>
      <c r="K220" s="108"/>
      <c r="L220" s="108"/>
    </row>
    <row r="221" spans="1:12" ht="14.45">
      <c r="A221" s="21"/>
      <c r="B221" s="31"/>
      <c r="C221" s="21"/>
      <c r="D221" s="21"/>
      <c r="E221" s="21"/>
      <c r="F221" s="22"/>
      <c r="G221" s="21"/>
      <c r="H221" s="21"/>
      <c r="I221" s="22"/>
      <c r="J221" s="108"/>
      <c r="K221" s="108"/>
      <c r="L221" s="108"/>
    </row>
    <row r="222" spans="1:12" ht="14.45">
      <c r="A222" s="21"/>
      <c r="B222" s="31"/>
      <c r="C222" s="21"/>
      <c r="D222" s="21"/>
      <c r="E222" s="21"/>
      <c r="F222" s="22"/>
      <c r="G222" s="21"/>
      <c r="H222" s="21"/>
      <c r="I222" s="22"/>
      <c r="J222" s="108"/>
      <c r="K222" s="108"/>
      <c r="L222" s="108"/>
    </row>
    <row r="223" spans="1:12" ht="14.45">
      <c r="A223" s="21"/>
      <c r="B223" s="31"/>
      <c r="C223" s="21"/>
      <c r="D223" s="21"/>
      <c r="E223" s="21"/>
      <c r="F223" s="22"/>
      <c r="G223" s="21"/>
      <c r="H223" s="21"/>
      <c r="I223" s="22"/>
      <c r="J223" s="108"/>
      <c r="K223" s="108"/>
      <c r="L223" s="108"/>
    </row>
    <row r="224" spans="1:12" ht="14.45">
      <c r="A224" s="21"/>
      <c r="B224" s="31"/>
      <c r="C224" s="21"/>
      <c r="D224" s="21"/>
      <c r="E224" s="21"/>
      <c r="F224" s="22"/>
      <c r="G224" s="21"/>
      <c r="H224" s="21"/>
      <c r="I224" s="22"/>
      <c r="J224" s="108"/>
      <c r="K224" s="108"/>
      <c r="L224" s="108"/>
    </row>
    <row r="225" spans="1:12" ht="14.45">
      <c r="A225" s="21"/>
      <c r="B225" s="31"/>
      <c r="C225" s="21"/>
      <c r="D225" s="21"/>
      <c r="E225" s="21"/>
      <c r="F225" s="22"/>
      <c r="G225" s="21"/>
      <c r="H225" s="21"/>
      <c r="I225" s="22"/>
      <c r="J225" s="108"/>
      <c r="K225" s="108"/>
      <c r="L225" s="108"/>
    </row>
    <row r="226" spans="1:12" ht="14.45">
      <c r="A226" s="21"/>
      <c r="B226" s="31"/>
      <c r="C226" s="21"/>
      <c r="D226" s="21"/>
      <c r="E226" s="21"/>
      <c r="F226" s="22"/>
      <c r="G226" s="21"/>
      <c r="H226" s="21"/>
      <c r="I226" s="22"/>
      <c r="J226" s="108"/>
      <c r="K226" s="108"/>
      <c r="L226" s="108"/>
    </row>
    <row r="227" spans="1:12" ht="14.45">
      <c r="A227" s="21"/>
      <c r="B227" s="31"/>
      <c r="C227" s="21"/>
      <c r="D227" s="21"/>
      <c r="E227" s="21"/>
      <c r="F227" s="22"/>
      <c r="G227" s="21"/>
      <c r="H227" s="21"/>
      <c r="I227" s="22"/>
      <c r="J227" s="108"/>
      <c r="K227" s="108"/>
      <c r="L227" s="108"/>
    </row>
    <row r="228" spans="1:12" ht="14.45">
      <c r="A228" s="21"/>
      <c r="B228" s="31"/>
      <c r="C228" s="21"/>
      <c r="D228" s="21"/>
      <c r="E228" s="21"/>
      <c r="F228" s="22"/>
      <c r="G228" s="21"/>
      <c r="H228" s="21"/>
      <c r="I228" s="22"/>
      <c r="J228" s="108"/>
      <c r="K228" s="108"/>
      <c r="L228" s="108"/>
    </row>
    <row r="229" spans="1:12" ht="14.45">
      <c r="A229" s="21"/>
      <c r="B229" s="31"/>
      <c r="C229" s="21"/>
      <c r="D229" s="21"/>
      <c r="E229" s="21"/>
      <c r="F229" s="22"/>
      <c r="G229" s="21"/>
      <c r="H229" s="21"/>
      <c r="I229" s="22"/>
      <c r="J229" s="108"/>
      <c r="K229" s="108"/>
      <c r="L229" s="108"/>
    </row>
    <row r="230" spans="1:12" ht="14.45">
      <c r="A230" s="21"/>
      <c r="B230" s="31"/>
      <c r="C230" s="21"/>
      <c r="D230" s="21"/>
      <c r="E230" s="21"/>
      <c r="F230" s="22"/>
      <c r="G230" s="21"/>
      <c r="H230" s="21"/>
      <c r="I230" s="22"/>
      <c r="J230" s="108"/>
      <c r="K230" s="108"/>
      <c r="L230" s="108"/>
    </row>
    <row r="231" spans="1:12" ht="14.45">
      <c r="A231" s="21"/>
      <c r="B231" s="31"/>
      <c r="C231" s="21"/>
      <c r="D231" s="21"/>
      <c r="E231" s="21"/>
      <c r="F231" s="22"/>
      <c r="G231" s="21"/>
      <c r="H231" s="21"/>
      <c r="I231" s="22"/>
      <c r="J231" s="108"/>
      <c r="K231" s="108"/>
      <c r="L231" s="108"/>
    </row>
    <row r="232" spans="1:12" ht="14.45">
      <c r="A232" s="21"/>
      <c r="B232" s="31"/>
      <c r="C232" s="21"/>
      <c r="D232" s="21"/>
      <c r="E232" s="21"/>
      <c r="F232" s="22"/>
      <c r="G232" s="21"/>
      <c r="H232" s="21"/>
      <c r="I232" s="22"/>
      <c r="J232" s="108"/>
      <c r="K232" s="108"/>
      <c r="L232" s="108"/>
    </row>
    <row r="233" spans="1:12" ht="14.45">
      <c r="A233" s="21"/>
      <c r="B233" s="31"/>
      <c r="C233" s="21"/>
      <c r="D233" s="21"/>
      <c r="E233" s="21"/>
      <c r="F233" s="22"/>
      <c r="G233" s="21"/>
      <c r="H233" s="21"/>
      <c r="I233" s="22"/>
      <c r="J233" s="108"/>
      <c r="K233" s="108"/>
      <c r="L233" s="108"/>
    </row>
    <row r="234" spans="1:12" ht="14.45">
      <c r="A234" s="21"/>
      <c r="B234" s="31"/>
      <c r="C234" s="21"/>
      <c r="D234" s="21"/>
      <c r="E234" s="21"/>
      <c r="F234" s="22"/>
      <c r="G234" s="21"/>
      <c r="H234" s="21"/>
      <c r="I234" s="22"/>
      <c r="J234" s="108"/>
      <c r="K234" s="108"/>
      <c r="L234" s="108"/>
    </row>
    <row r="235" spans="1:12" ht="14.45">
      <c r="A235" s="21"/>
      <c r="B235" s="31"/>
      <c r="C235" s="21"/>
      <c r="D235" s="21"/>
      <c r="E235" s="21"/>
      <c r="F235" s="22"/>
      <c r="G235" s="21"/>
      <c r="H235" s="21"/>
      <c r="I235" s="22"/>
      <c r="J235" s="108"/>
      <c r="K235" s="108"/>
      <c r="L235" s="108"/>
    </row>
    <row r="236" spans="1:12" ht="14.45">
      <c r="A236" s="21"/>
      <c r="B236" s="31"/>
      <c r="C236" s="21"/>
      <c r="D236" s="21"/>
      <c r="E236" s="21"/>
      <c r="F236" s="22"/>
      <c r="G236" s="21"/>
      <c r="H236" s="21"/>
      <c r="I236" s="22"/>
      <c r="J236" s="108"/>
      <c r="K236" s="108"/>
      <c r="L236" s="108"/>
    </row>
    <row r="237" spans="1:12" ht="14.45">
      <c r="A237" s="21"/>
      <c r="B237" s="31"/>
      <c r="C237" s="21"/>
      <c r="D237" s="21"/>
      <c r="E237" s="21"/>
      <c r="F237" s="22"/>
      <c r="G237" s="21"/>
      <c r="H237" s="21"/>
      <c r="I237" s="22"/>
      <c r="J237" s="108"/>
      <c r="K237" s="108"/>
      <c r="L237" s="108"/>
    </row>
    <row r="238" spans="1:12" ht="14.45">
      <c r="A238" s="21"/>
      <c r="B238" s="31"/>
      <c r="C238" s="21"/>
      <c r="D238" s="21"/>
      <c r="E238" s="21"/>
      <c r="F238" s="22"/>
      <c r="G238" s="21"/>
      <c r="H238" s="21"/>
      <c r="I238" s="22"/>
      <c r="J238" s="108"/>
      <c r="K238" s="108"/>
      <c r="L238" s="108"/>
    </row>
    <row r="239" spans="1:12" ht="14.45">
      <c r="A239" s="21"/>
      <c r="B239" s="31"/>
      <c r="C239" s="21"/>
      <c r="D239" s="21"/>
      <c r="E239" s="21"/>
      <c r="F239" s="22"/>
      <c r="G239" s="21"/>
      <c r="H239" s="21"/>
      <c r="I239" s="22"/>
      <c r="J239" s="108"/>
      <c r="K239" s="108"/>
      <c r="L239" s="108"/>
    </row>
    <row r="240" spans="1:12" ht="14.45">
      <c r="A240" s="21"/>
      <c r="B240" s="31"/>
      <c r="C240" s="21"/>
      <c r="D240" s="21"/>
      <c r="E240" s="21"/>
      <c r="F240" s="22"/>
      <c r="G240" s="21"/>
      <c r="H240" s="21"/>
      <c r="I240" s="22"/>
      <c r="J240" s="108"/>
      <c r="K240" s="108"/>
      <c r="L240" s="108"/>
    </row>
    <row r="241" spans="1:12" ht="14.45">
      <c r="A241" s="21"/>
      <c r="B241" s="31"/>
      <c r="C241" s="21"/>
      <c r="D241" s="21"/>
      <c r="E241" s="21"/>
      <c r="F241" s="22"/>
      <c r="G241" s="21"/>
      <c r="H241" s="21"/>
      <c r="I241" s="22"/>
      <c r="J241" s="108"/>
      <c r="K241" s="108"/>
      <c r="L241" s="108"/>
    </row>
    <row r="242" spans="1:12" ht="14.45">
      <c r="A242" s="21"/>
      <c r="B242" s="31"/>
      <c r="C242" s="21"/>
      <c r="D242" s="21"/>
      <c r="E242" s="21"/>
      <c r="F242" s="22"/>
      <c r="G242" s="21"/>
      <c r="H242" s="21"/>
      <c r="I242" s="22"/>
      <c r="J242" s="108"/>
      <c r="K242" s="108"/>
      <c r="L242" s="108"/>
    </row>
    <row r="243" spans="1:12" ht="14.45">
      <c r="A243" s="21"/>
      <c r="B243" s="31"/>
      <c r="C243" s="21"/>
      <c r="D243" s="21"/>
      <c r="E243" s="21"/>
      <c r="F243" s="22"/>
      <c r="G243" s="21"/>
      <c r="H243" s="21"/>
      <c r="I243" s="22"/>
      <c r="J243" s="108"/>
      <c r="K243" s="108"/>
      <c r="L243" s="108"/>
    </row>
    <row r="244" spans="1:12" ht="14.45">
      <c r="A244" s="21"/>
      <c r="B244" s="31"/>
      <c r="C244" s="21"/>
      <c r="D244" s="21"/>
      <c r="E244" s="21"/>
      <c r="F244" s="22"/>
      <c r="G244" s="21"/>
      <c r="H244" s="21"/>
      <c r="I244" s="22"/>
      <c r="J244" s="108"/>
      <c r="K244" s="108"/>
      <c r="L244" s="108"/>
    </row>
    <row r="245" spans="1:12" ht="14.45">
      <c r="A245" s="21"/>
      <c r="B245" s="31"/>
      <c r="C245" s="21"/>
      <c r="D245" s="21"/>
      <c r="E245" s="21"/>
      <c r="F245" s="22"/>
      <c r="G245" s="21"/>
      <c r="H245" s="21"/>
      <c r="I245" s="22"/>
      <c r="J245" s="108"/>
      <c r="K245" s="108"/>
      <c r="L245" s="108"/>
    </row>
    <row r="246" spans="1:12" ht="14.45">
      <c r="A246" s="21"/>
      <c r="B246" s="31"/>
      <c r="C246" s="21"/>
      <c r="D246" s="21"/>
      <c r="E246" s="21"/>
      <c r="F246" s="22"/>
      <c r="G246" s="21"/>
      <c r="H246" s="21"/>
      <c r="I246" s="22"/>
      <c r="J246" s="108"/>
      <c r="K246" s="108"/>
      <c r="L246" s="108"/>
    </row>
    <row r="247" spans="1:12" ht="14.45">
      <c r="A247" s="21"/>
      <c r="B247" s="31"/>
      <c r="C247" s="21"/>
      <c r="D247" s="21"/>
      <c r="E247" s="21"/>
      <c r="F247" s="22"/>
      <c r="G247" s="21"/>
      <c r="H247" s="21"/>
      <c r="I247" s="22"/>
      <c r="J247" s="108"/>
      <c r="K247" s="108"/>
      <c r="L247" s="108"/>
    </row>
    <row r="248" spans="1:12" ht="14.45">
      <c r="A248" s="21"/>
      <c r="B248" s="31"/>
      <c r="C248" s="21"/>
      <c r="D248" s="21"/>
      <c r="E248" s="21"/>
      <c r="F248" s="22"/>
      <c r="G248" s="21"/>
      <c r="H248" s="21"/>
      <c r="I248" s="22"/>
      <c r="J248" s="108"/>
      <c r="K248" s="108"/>
      <c r="L248" s="108"/>
    </row>
    <row r="249" spans="1:12" ht="14.45">
      <c r="A249" s="21"/>
      <c r="B249" s="31"/>
      <c r="C249" s="21"/>
      <c r="D249" s="21"/>
      <c r="E249" s="21"/>
      <c r="F249" s="22"/>
      <c r="G249" s="21"/>
      <c r="H249" s="21"/>
      <c r="I249" s="22"/>
      <c r="J249" s="108"/>
      <c r="K249" s="108"/>
      <c r="L249" s="108"/>
    </row>
    <row r="250" spans="1:12" ht="14.45">
      <c r="A250" s="21"/>
      <c r="B250" s="31"/>
      <c r="C250" s="21"/>
      <c r="D250" s="21"/>
      <c r="E250" s="21"/>
      <c r="F250" s="22"/>
      <c r="G250" s="21"/>
      <c r="H250" s="21"/>
      <c r="I250" s="22"/>
      <c r="J250" s="108"/>
      <c r="K250" s="108"/>
      <c r="L250" s="108"/>
    </row>
    <row r="251" spans="1:12" ht="14.45">
      <c r="A251" s="21"/>
      <c r="B251" s="31"/>
      <c r="C251" s="21"/>
      <c r="D251" s="21"/>
      <c r="E251" s="21"/>
      <c r="F251" s="22"/>
      <c r="G251" s="21"/>
      <c r="H251" s="21"/>
      <c r="I251" s="22"/>
      <c r="J251" s="108"/>
      <c r="K251" s="108"/>
      <c r="L251" s="108"/>
    </row>
    <row r="252" spans="1:12" ht="14.45">
      <c r="A252" s="21"/>
      <c r="B252" s="31"/>
      <c r="C252" s="21"/>
      <c r="D252" s="21"/>
      <c r="E252" s="21"/>
      <c r="F252" s="22"/>
      <c r="G252" s="21"/>
      <c r="H252" s="21"/>
      <c r="I252" s="22"/>
      <c r="J252" s="108"/>
      <c r="K252" s="108"/>
      <c r="L252" s="108"/>
    </row>
    <row r="253" spans="1:12" ht="14.45">
      <c r="A253" s="21"/>
      <c r="B253" s="31"/>
      <c r="C253" s="21"/>
      <c r="D253" s="21"/>
      <c r="E253" s="21"/>
      <c r="F253" s="22"/>
      <c r="G253" s="21"/>
      <c r="H253" s="21"/>
      <c r="I253" s="22"/>
      <c r="J253" s="108"/>
      <c r="K253" s="108"/>
      <c r="L253" s="108"/>
    </row>
    <row r="254" spans="1:12" ht="14.45">
      <c r="A254" s="21"/>
      <c r="B254" s="31"/>
      <c r="C254" s="21"/>
      <c r="D254" s="21"/>
      <c r="E254" s="21"/>
      <c r="F254" s="22"/>
      <c r="G254" s="21"/>
      <c r="H254" s="21"/>
      <c r="I254" s="22"/>
      <c r="J254" s="108"/>
      <c r="K254" s="108"/>
      <c r="L254" s="108"/>
    </row>
    <row r="255" spans="1:12" ht="14.45">
      <c r="A255" s="21"/>
      <c r="B255" s="31"/>
      <c r="C255" s="21"/>
      <c r="D255" s="21"/>
      <c r="E255" s="21"/>
      <c r="F255" s="22"/>
      <c r="G255" s="21"/>
      <c r="H255" s="21"/>
      <c r="I255" s="22"/>
      <c r="J255" s="108"/>
      <c r="K255" s="108"/>
      <c r="L255" s="108"/>
    </row>
    <row r="256" spans="1:12" ht="14.45">
      <c r="A256" s="21"/>
      <c r="B256" s="31"/>
      <c r="C256" s="21"/>
      <c r="D256" s="21"/>
      <c r="E256" s="21"/>
      <c r="F256" s="22"/>
      <c r="G256" s="21"/>
      <c r="H256" s="21"/>
      <c r="I256" s="22"/>
      <c r="J256" s="108"/>
      <c r="K256" s="108"/>
      <c r="L256" s="108"/>
    </row>
    <row r="257" spans="1:12" ht="14.45">
      <c r="A257" s="21"/>
      <c r="B257" s="31"/>
      <c r="C257" s="21"/>
      <c r="D257" s="21"/>
      <c r="E257" s="21"/>
      <c r="F257" s="22"/>
      <c r="G257" s="21"/>
      <c r="H257" s="21"/>
      <c r="I257" s="22"/>
      <c r="J257" s="108"/>
      <c r="K257" s="108"/>
      <c r="L257" s="108"/>
    </row>
    <row r="258" spans="1:12" ht="14.45">
      <c r="A258" s="21"/>
      <c r="B258" s="31"/>
      <c r="C258" s="21"/>
      <c r="D258" s="21"/>
      <c r="E258" s="21"/>
      <c r="F258" s="22"/>
      <c r="G258" s="21"/>
      <c r="H258" s="21"/>
      <c r="I258" s="22"/>
      <c r="J258" s="108"/>
      <c r="K258" s="108"/>
      <c r="L258" s="108"/>
    </row>
    <row r="259" spans="1:12" ht="14.45">
      <c r="A259" s="21"/>
      <c r="B259" s="31"/>
      <c r="C259" s="21"/>
      <c r="D259" s="21"/>
      <c r="E259" s="21"/>
      <c r="F259" s="22"/>
      <c r="G259" s="21"/>
      <c r="H259" s="21"/>
      <c r="I259" s="22"/>
      <c r="J259" s="108"/>
      <c r="K259" s="108"/>
      <c r="L259" s="108"/>
    </row>
    <row r="260" spans="1:12" ht="14.45">
      <c r="A260" s="21"/>
      <c r="B260" s="31"/>
      <c r="C260" s="21"/>
      <c r="D260" s="21"/>
      <c r="E260" s="21"/>
      <c r="F260" s="22"/>
      <c r="G260" s="21"/>
      <c r="H260" s="21"/>
      <c r="I260" s="22"/>
      <c r="J260" s="108"/>
      <c r="K260" s="108"/>
      <c r="L260" s="108"/>
    </row>
    <row r="261" spans="1:12" ht="14.45">
      <c r="A261" s="21"/>
      <c r="B261" s="31"/>
      <c r="C261" s="21"/>
      <c r="D261" s="21"/>
      <c r="E261" s="21"/>
      <c r="F261" s="22"/>
      <c r="G261" s="21"/>
      <c r="H261" s="21"/>
      <c r="I261" s="22"/>
      <c r="J261" s="108"/>
      <c r="K261" s="108"/>
      <c r="L261" s="108"/>
    </row>
    <row r="262" spans="1:12" ht="14.45">
      <c r="A262" s="21"/>
      <c r="B262" s="31"/>
      <c r="C262" s="21"/>
      <c r="D262" s="21"/>
      <c r="E262" s="21"/>
      <c r="F262" s="22"/>
      <c r="G262" s="21"/>
      <c r="H262" s="21"/>
      <c r="I262" s="22"/>
      <c r="J262" s="108"/>
      <c r="K262" s="108"/>
      <c r="L262" s="108"/>
    </row>
    <row r="263" spans="1:12" ht="14.45">
      <c r="A263" s="21"/>
      <c r="B263" s="31"/>
      <c r="C263" s="21"/>
      <c r="D263" s="21"/>
      <c r="E263" s="21"/>
      <c r="F263" s="22"/>
      <c r="G263" s="21"/>
      <c r="H263" s="21"/>
      <c r="I263" s="22"/>
      <c r="J263" s="108"/>
      <c r="K263" s="108"/>
      <c r="L263" s="108"/>
    </row>
    <row r="264" spans="1:12" ht="14.45">
      <c r="A264" s="21"/>
      <c r="B264" s="31"/>
      <c r="C264" s="21"/>
      <c r="D264" s="21"/>
      <c r="E264" s="21"/>
      <c r="F264" s="22"/>
      <c r="G264" s="21"/>
      <c r="H264" s="21"/>
      <c r="I264" s="22"/>
      <c r="J264" s="108"/>
      <c r="K264" s="108"/>
      <c r="L264" s="108"/>
    </row>
    <row r="265" spans="1:12" ht="14.45">
      <c r="A265" s="21"/>
      <c r="B265" s="31"/>
      <c r="C265" s="21"/>
      <c r="D265" s="21"/>
      <c r="E265" s="21"/>
      <c r="F265" s="22"/>
      <c r="G265" s="21"/>
      <c r="H265" s="21"/>
      <c r="I265" s="22"/>
      <c r="J265" s="108"/>
      <c r="K265" s="108"/>
      <c r="L265" s="108"/>
    </row>
    <row r="266" spans="1:12" ht="14.45">
      <c r="A266" s="21"/>
      <c r="B266" s="31"/>
      <c r="C266" s="21"/>
      <c r="D266" s="21"/>
      <c r="E266" s="21"/>
      <c r="F266" s="22"/>
      <c r="G266" s="21"/>
      <c r="H266" s="21"/>
      <c r="I266" s="22"/>
      <c r="J266" s="108"/>
      <c r="K266" s="108"/>
      <c r="L266" s="108"/>
    </row>
    <row r="267" spans="1:12" ht="14.45">
      <c r="A267" s="21"/>
      <c r="B267" s="31"/>
      <c r="C267" s="21"/>
      <c r="D267" s="21"/>
      <c r="E267" s="21"/>
      <c r="F267" s="22"/>
      <c r="G267" s="21"/>
      <c r="H267" s="21"/>
      <c r="I267" s="22"/>
      <c r="J267" s="108"/>
      <c r="K267" s="108"/>
      <c r="L267" s="108"/>
    </row>
    <row r="268" spans="1:12" ht="14.45">
      <c r="A268" s="21"/>
      <c r="B268" s="31"/>
      <c r="C268" s="21"/>
      <c r="D268" s="21"/>
      <c r="E268" s="21"/>
      <c r="F268" s="22"/>
      <c r="G268" s="21"/>
      <c r="H268" s="21"/>
      <c r="I268" s="22"/>
      <c r="J268" s="108"/>
      <c r="K268" s="108"/>
      <c r="L268" s="108"/>
    </row>
    <row r="269" spans="1:12" ht="14.45">
      <c r="A269" s="21"/>
      <c r="B269" s="31"/>
      <c r="C269" s="21"/>
      <c r="D269" s="21"/>
      <c r="E269" s="21"/>
      <c r="F269" s="22"/>
      <c r="G269" s="21"/>
      <c r="H269" s="21"/>
      <c r="I269" s="22"/>
      <c r="J269" s="108"/>
      <c r="K269" s="108"/>
      <c r="L269" s="108"/>
    </row>
    <row r="270" spans="1:12" ht="14.45">
      <c r="A270" s="21"/>
      <c r="B270" s="31"/>
      <c r="C270" s="21"/>
      <c r="D270" s="21"/>
      <c r="E270" s="21"/>
      <c r="F270" s="22"/>
      <c r="G270" s="21"/>
      <c r="H270" s="21"/>
      <c r="I270" s="22"/>
      <c r="J270" s="108"/>
      <c r="K270" s="108"/>
      <c r="L270" s="108"/>
    </row>
    <row r="271" spans="1:12" ht="14.45">
      <c r="A271" s="21"/>
      <c r="B271" s="31"/>
      <c r="C271" s="21"/>
      <c r="D271" s="21"/>
      <c r="E271" s="21"/>
      <c r="F271" s="22"/>
      <c r="G271" s="21"/>
      <c r="H271" s="21"/>
      <c r="I271" s="22"/>
      <c r="J271" s="108"/>
      <c r="K271" s="108"/>
      <c r="L271" s="108"/>
    </row>
    <row r="272" spans="1:12" ht="14.45">
      <c r="A272" s="21"/>
      <c r="B272" s="31"/>
      <c r="C272" s="21"/>
      <c r="D272" s="21"/>
      <c r="E272" s="21"/>
      <c r="F272" s="22"/>
      <c r="G272" s="21"/>
      <c r="H272" s="21"/>
      <c r="I272" s="22"/>
      <c r="J272" s="108"/>
      <c r="K272" s="108"/>
      <c r="L272" s="108"/>
    </row>
    <row r="273" spans="1:12" ht="14.45">
      <c r="A273" s="21"/>
      <c r="B273" s="31"/>
      <c r="C273" s="21"/>
      <c r="D273" s="21"/>
      <c r="E273" s="21"/>
      <c r="F273" s="22"/>
      <c r="G273" s="21"/>
      <c r="H273" s="21"/>
      <c r="I273" s="22"/>
      <c r="J273" s="108"/>
      <c r="K273" s="108"/>
      <c r="L273" s="108"/>
    </row>
    <row r="274" spans="1:12" ht="14.45">
      <c r="A274" s="21"/>
      <c r="B274" s="31"/>
      <c r="C274" s="21"/>
      <c r="D274" s="21"/>
      <c r="E274" s="21"/>
      <c r="F274" s="22"/>
      <c r="G274" s="21"/>
      <c r="H274" s="21"/>
      <c r="I274" s="22"/>
      <c r="J274" s="108"/>
      <c r="K274" s="108"/>
      <c r="L274" s="108"/>
    </row>
    <row r="275" spans="1:12" ht="14.45">
      <c r="A275" s="21"/>
      <c r="B275" s="31"/>
      <c r="C275" s="21"/>
      <c r="D275" s="21"/>
      <c r="E275" s="21"/>
      <c r="F275" s="22"/>
      <c r="G275" s="21"/>
      <c r="H275" s="21"/>
      <c r="I275" s="22"/>
      <c r="J275" s="108"/>
      <c r="K275" s="108"/>
      <c r="L275" s="108"/>
    </row>
    <row r="276" spans="1:12" ht="14.45">
      <c r="A276" s="21"/>
      <c r="B276" s="31"/>
      <c r="C276" s="21"/>
      <c r="D276" s="21"/>
      <c r="E276" s="21"/>
      <c r="F276" s="22"/>
      <c r="G276" s="21"/>
      <c r="H276" s="21"/>
      <c r="I276" s="22"/>
      <c r="J276" s="108"/>
      <c r="K276" s="108"/>
      <c r="L276" s="108"/>
    </row>
    <row r="277" spans="1:12" ht="14.45">
      <c r="A277" s="21"/>
      <c r="B277" s="31"/>
      <c r="C277" s="21"/>
      <c r="D277" s="21"/>
      <c r="E277" s="21"/>
      <c r="F277" s="22"/>
      <c r="G277" s="21"/>
      <c r="H277" s="21"/>
      <c r="I277" s="22"/>
      <c r="J277" s="108"/>
      <c r="K277" s="108"/>
      <c r="L277" s="108"/>
    </row>
    <row r="278" spans="1:12" ht="14.45">
      <c r="A278" s="21"/>
      <c r="B278" s="31"/>
      <c r="C278" s="21"/>
      <c r="D278" s="21"/>
      <c r="E278" s="21"/>
      <c r="F278" s="22"/>
      <c r="G278" s="21"/>
      <c r="H278" s="21"/>
      <c r="I278" s="22"/>
      <c r="J278" s="108"/>
      <c r="K278" s="108"/>
      <c r="L278" s="108"/>
    </row>
    <row r="279" spans="1:12" ht="14.45">
      <c r="A279" s="21"/>
      <c r="B279" s="31"/>
      <c r="C279" s="21"/>
      <c r="D279" s="21"/>
      <c r="E279" s="21"/>
      <c r="F279" s="22"/>
      <c r="G279" s="21"/>
      <c r="H279" s="21"/>
      <c r="I279" s="22"/>
      <c r="J279" s="108"/>
      <c r="K279" s="108"/>
      <c r="L279" s="108"/>
    </row>
    <row r="280" spans="1:12" ht="14.45">
      <c r="A280" s="21"/>
      <c r="B280" s="31"/>
      <c r="C280" s="21"/>
      <c r="D280" s="21"/>
      <c r="E280" s="21"/>
      <c r="F280" s="22"/>
      <c r="G280" s="21"/>
      <c r="H280" s="21"/>
      <c r="I280" s="22"/>
      <c r="J280" s="108"/>
      <c r="K280" s="108"/>
      <c r="L280" s="108"/>
    </row>
    <row r="281" spans="1:12" ht="14.45">
      <c r="A281" s="21"/>
      <c r="B281" s="31"/>
      <c r="C281" s="21"/>
      <c r="D281" s="21"/>
      <c r="E281" s="21"/>
      <c r="F281" s="22"/>
      <c r="G281" s="21"/>
      <c r="H281" s="21"/>
      <c r="I281" s="22"/>
      <c r="J281" s="108"/>
      <c r="K281" s="108"/>
      <c r="L281" s="108"/>
    </row>
    <row r="282" spans="1:12" ht="14.45">
      <c r="A282" s="21"/>
      <c r="B282" s="31"/>
      <c r="C282" s="21"/>
      <c r="D282" s="21"/>
      <c r="E282" s="21"/>
      <c r="F282" s="22"/>
      <c r="G282" s="21"/>
      <c r="H282" s="21"/>
      <c r="I282" s="22"/>
      <c r="J282" s="108"/>
      <c r="K282" s="108"/>
      <c r="L282" s="108"/>
    </row>
    <row r="283" spans="1:12" ht="14.45">
      <c r="A283" s="21"/>
      <c r="B283" s="31"/>
      <c r="C283" s="21"/>
      <c r="D283" s="21"/>
      <c r="E283" s="21"/>
      <c r="F283" s="22"/>
      <c r="G283" s="21"/>
      <c r="H283" s="21"/>
      <c r="I283" s="22"/>
      <c r="J283" s="108"/>
      <c r="K283" s="108"/>
      <c r="L283" s="108"/>
    </row>
    <row r="284" spans="1:12" ht="14.45">
      <c r="A284" s="21"/>
      <c r="B284" s="31"/>
      <c r="C284" s="21"/>
      <c r="D284" s="21"/>
      <c r="E284" s="21"/>
      <c r="F284" s="22"/>
      <c r="G284" s="21"/>
      <c r="H284" s="21"/>
      <c r="I284" s="22"/>
      <c r="J284" s="108"/>
      <c r="K284" s="108"/>
      <c r="L284" s="108"/>
    </row>
    <row r="285" spans="1:12" ht="14.45">
      <c r="A285" s="21"/>
      <c r="B285" s="31"/>
      <c r="C285" s="21"/>
      <c r="D285" s="21"/>
      <c r="E285" s="21"/>
      <c r="F285" s="22"/>
      <c r="G285" s="21"/>
      <c r="H285" s="21"/>
      <c r="I285" s="22"/>
      <c r="J285" s="108"/>
      <c r="K285" s="108"/>
      <c r="L285" s="108"/>
    </row>
    <row r="286" spans="1:12" ht="14.45">
      <c r="A286" s="21"/>
      <c r="B286" s="31"/>
      <c r="C286" s="21"/>
      <c r="D286" s="21"/>
      <c r="E286" s="21"/>
      <c r="F286" s="22"/>
      <c r="G286" s="21"/>
      <c r="H286" s="21"/>
      <c r="I286" s="22"/>
      <c r="J286" s="108"/>
      <c r="K286" s="108"/>
      <c r="L286" s="108"/>
    </row>
    <row r="287" spans="1:12" ht="14.45">
      <c r="A287" s="21"/>
      <c r="B287" s="31"/>
      <c r="C287" s="21"/>
      <c r="D287" s="21"/>
      <c r="E287" s="21"/>
      <c r="F287" s="22"/>
      <c r="G287" s="21"/>
      <c r="H287" s="21"/>
      <c r="I287" s="22"/>
      <c r="J287" s="108"/>
      <c r="K287" s="108"/>
      <c r="L287" s="108"/>
    </row>
    <row r="288" spans="1:12" ht="14.45">
      <c r="A288" s="21"/>
      <c r="B288" s="31"/>
      <c r="C288" s="21"/>
      <c r="D288" s="21"/>
      <c r="E288" s="21"/>
      <c r="F288" s="22"/>
      <c r="G288" s="21"/>
      <c r="H288" s="21"/>
      <c r="I288" s="22"/>
      <c r="J288" s="108"/>
      <c r="K288" s="108"/>
      <c r="L288" s="108"/>
    </row>
    <row r="289" spans="1:12" ht="14.45">
      <c r="A289" s="21"/>
      <c r="B289" s="31"/>
      <c r="C289" s="21"/>
      <c r="D289" s="21"/>
      <c r="E289" s="21"/>
      <c r="F289" s="22"/>
      <c r="G289" s="21"/>
      <c r="H289" s="21"/>
      <c r="I289" s="22"/>
      <c r="J289" s="108"/>
      <c r="K289" s="108"/>
      <c r="L289" s="108"/>
    </row>
    <row r="290" spans="1:12" ht="14.45">
      <c r="A290" s="21"/>
      <c r="B290" s="31"/>
      <c r="C290" s="21"/>
      <c r="D290" s="21"/>
      <c r="E290" s="21"/>
      <c r="F290" s="22"/>
      <c r="G290" s="21"/>
      <c r="H290" s="21"/>
      <c r="I290" s="22"/>
      <c r="J290" s="108"/>
      <c r="K290" s="108"/>
      <c r="L290" s="108"/>
    </row>
    <row r="291" spans="1:12" ht="14.45">
      <c r="A291" s="21"/>
      <c r="B291" s="31"/>
      <c r="C291" s="21"/>
      <c r="D291" s="21"/>
      <c r="E291" s="21"/>
      <c r="F291" s="22"/>
      <c r="G291" s="21"/>
      <c r="H291" s="21"/>
      <c r="I291" s="22"/>
      <c r="J291" s="108"/>
      <c r="K291" s="108"/>
      <c r="L291" s="108"/>
    </row>
    <row r="292" spans="1:12" ht="14.45">
      <c r="A292" s="21"/>
      <c r="B292" s="31"/>
      <c r="C292" s="21"/>
      <c r="D292" s="21"/>
      <c r="E292" s="21"/>
      <c r="F292" s="22"/>
      <c r="G292" s="21"/>
      <c r="H292" s="21"/>
      <c r="I292" s="22"/>
      <c r="J292" s="108"/>
      <c r="K292" s="108"/>
      <c r="L292" s="108"/>
    </row>
    <row r="293" spans="1:12" ht="14.45">
      <c r="A293" s="21"/>
      <c r="B293" s="31"/>
      <c r="C293" s="21"/>
      <c r="D293" s="21"/>
      <c r="E293" s="21"/>
      <c r="F293" s="22"/>
      <c r="G293" s="21"/>
      <c r="H293" s="21"/>
      <c r="I293" s="22"/>
      <c r="J293" s="108"/>
      <c r="K293" s="108"/>
      <c r="L293" s="108"/>
    </row>
    <row r="294" spans="1:12" ht="14.45">
      <c r="A294" s="21"/>
      <c r="B294" s="31"/>
      <c r="C294" s="21"/>
      <c r="D294" s="21"/>
      <c r="E294" s="21"/>
      <c r="F294" s="22"/>
      <c r="G294" s="21"/>
      <c r="H294" s="21"/>
      <c r="I294" s="22"/>
      <c r="J294" s="108"/>
      <c r="K294" s="108"/>
      <c r="L294" s="108"/>
    </row>
    <row r="295" spans="1:12" ht="14.45">
      <c r="A295" s="21"/>
      <c r="B295" s="31"/>
      <c r="C295" s="21"/>
      <c r="D295" s="21"/>
      <c r="E295" s="21"/>
      <c r="F295" s="22"/>
      <c r="G295" s="21"/>
      <c r="H295" s="21"/>
      <c r="I295" s="22"/>
      <c r="J295" s="108"/>
      <c r="K295" s="108"/>
      <c r="L295" s="108"/>
    </row>
    <row r="296" spans="1:12" ht="14.45">
      <c r="A296" s="21"/>
      <c r="B296" s="31"/>
      <c r="C296" s="21"/>
      <c r="D296" s="21"/>
      <c r="E296" s="21"/>
      <c r="F296" s="22"/>
      <c r="G296" s="21"/>
      <c r="H296" s="21"/>
      <c r="I296" s="22"/>
      <c r="J296" s="108"/>
      <c r="K296" s="108"/>
      <c r="L296" s="108"/>
    </row>
    <row r="297" spans="1:12" ht="14.45">
      <c r="A297" s="21"/>
      <c r="B297" s="31"/>
      <c r="C297" s="21"/>
      <c r="D297" s="21"/>
      <c r="E297" s="21"/>
      <c r="F297" s="22"/>
      <c r="G297" s="21"/>
      <c r="H297" s="21"/>
      <c r="I297" s="22"/>
      <c r="J297" s="108"/>
      <c r="K297" s="108"/>
      <c r="L297" s="108"/>
    </row>
    <row r="298" spans="1:12" ht="14.45">
      <c r="A298" s="21"/>
      <c r="B298" s="31"/>
      <c r="C298" s="21"/>
      <c r="D298" s="21"/>
      <c r="E298" s="21"/>
      <c r="F298" s="22"/>
      <c r="G298" s="21"/>
      <c r="H298" s="21"/>
      <c r="I298" s="22"/>
      <c r="J298" s="108"/>
      <c r="K298" s="108"/>
      <c r="L298" s="108"/>
    </row>
    <row r="299" spans="1:12" ht="14.45">
      <c r="A299" s="21"/>
      <c r="B299" s="31"/>
      <c r="C299" s="21"/>
      <c r="D299" s="21"/>
      <c r="E299" s="21"/>
      <c r="F299" s="22"/>
      <c r="G299" s="21"/>
      <c r="H299" s="21"/>
      <c r="I299" s="22"/>
      <c r="J299" s="108"/>
      <c r="K299" s="108"/>
      <c r="L299" s="108"/>
    </row>
    <row r="300" spans="1:12" ht="14.45">
      <c r="A300" s="21"/>
      <c r="B300" s="31"/>
      <c r="C300" s="21"/>
      <c r="D300" s="21"/>
      <c r="E300" s="21"/>
      <c r="F300" s="22"/>
      <c r="G300" s="21"/>
      <c r="H300" s="21"/>
      <c r="I300" s="22"/>
      <c r="J300" s="108"/>
      <c r="K300" s="108"/>
      <c r="L300" s="108"/>
    </row>
    <row r="301" spans="1:12" ht="14.45">
      <c r="A301" s="21"/>
      <c r="B301" s="31"/>
      <c r="C301" s="21"/>
      <c r="D301" s="21"/>
      <c r="E301" s="21"/>
      <c r="F301" s="22"/>
      <c r="G301" s="21"/>
      <c r="H301" s="21"/>
      <c r="I301" s="22"/>
      <c r="J301" s="108"/>
      <c r="K301" s="108"/>
      <c r="L301" s="108"/>
    </row>
    <row r="302" spans="1:12" ht="14.45">
      <c r="A302" s="21"/>
      <c r="B302" s="31"/>
      <c r="C302" s="21"/>
      <c r="D302" s="21"/>
      <c r="E302" s="21"/>
      <c r="F302" s="22"/>
      <c r="G302" s="21"/>
      <c r="H302" s="21"/>
      <c r="I302" s="22"/>
      <c r="J302" s="108"/>
      <c r="K302" s="108"/>
      <c r="L302" s="108"/>
    </row>
    <row r="303" spans="1:12" ht="14.45">
      <c r="A303" s="21"/>
      <c r="B303" s="31"/>
      <c r="C303" s="21"/>
      <c r="D303" s="21"/>
      <c r="E303" s="21"/>
      <c r="F303" s="22"/>
      <c r="G303" s="21"/>
      <c r="H303" s="21"/>
      <c r="I303" s="22"/>
      <c r="J303" s="108"/>
      <c r="K303" s="108"/>
      <c r="L303" s="108"/>
    </row>
    <row r="304" spans="1:12" ht="14.45">
      <c r="A304" s="21"/>
      <c r="B304" s="31"/>
      <c r="C304" s="21"/>
      <c r="D304" s="21"/>
      <c r="E304" s="21"/>
      <c r="F304" s="22"/>
      <c r="G304" s="21"/>
      <c r="H304" s="21"/>
      <c r="I304" s="22"/>
      <c r="J304" s="108"/>
      <c r="K304" s="108"/>
      <c r="L304" s="108"/>
    </row>
    <row r="305" spans="1:12" ht="14.45">
      <c r="A305" s="21"/>
      <c r="B305" s="31"/>
      <c r="C305" s="21"/>
      <c r="D305" s="21"/>
      <c r="E305" s="21"/>
      <c r="F305" s="22"/>
      <c r="G305" s="21"/>
      <c r="H305" s="21"/>
      <c r="I305" s="22"/>
      <c r="J305" s="108"/>
      <c r="K305" s="108"/>
      <c r="L305" s="108"/>
    </row>
    <row r="306" spans="1:12" ht="14.45">
      <c r="A306" s="21"/>
      <c r="B306" s="31"/>
      <c r="C306" s="21"/>
      <c r="D306" s="21"/>
      <c r="E306" s="21"/>
      <c r="F306" s="22"/>
      <c r="G306" s="21"/>
      <c r="H306" s="21"/>
      <c r="I306" s="22"/>
      <c r="J306" s="108"/>
      <c r="K306" s="108"/>
      <c r="L306" s="108"/>
    </row>
    <row r="307" spans="1:12" ht="14.45">
      <c r="A307" s="21"/>
      <c r="B307" s="31"/>
      <c r="C307" s="21"/>
      <c r="D307" s="21"/>
      <c r="E307" s="21"/>
      <c r="F307" s="22"/>
      <c r="G307" s="21"/>
      <c r="H307" s="21"/>
      <c r="I307" s="22"/>
      <c r="J307" s="108"/>
      <c r="K307" s="108"/>
      <c r="L307" s="108"/>
    </row>
    <row r="308" spans="1:12" ht="14.45">
      <c r="A308" s="21"/>
      <c r="B308" s="31"/>
      <c r="C308" s="21"/>
      <c r="D308" s="21"/>
      <c r="E308" s="21"/>
      <c r="F308" s="22"/>
      <c r="G308" s="21"/>
      <c r="H308" s="21"/>
      <c r="I308" s="22"/>
      <c r="J308" s="108"/>
      <c r="K308" s="108"/>
      <c r="L308" s="108"/>
    </row>
    <row r="309" spans="1:12" ht="14.45">
      <c r="A309" s="21"/>
      <c r="B309" s="31"/>
      <c r="C309" s="21"/>
      <c r="D309" s="21"/>
      <c r="E309" s="21"/>
      <c r="F309" s="22"/>
      <c r="G309" s="21"/>
      <c r="H309" s="21"/>
      <c r="I309" s="22"/>
      <c r="J309" s="108"/>
      <c r="K309" s="108"/>
      <c r="L309" s="108"/>
    </row>
    <row r="310" spans="1:12" ht="14.45">
      <c r="A310" s="21"/>
      <c r="B310" s="31"/>
      <c r="C310" s="21"/>
      <c r="D310" s="21"/>
      <c r="E310" s="21"/>
      <c r="F310" s="22"/>
      <c r="G310" s="21"/>
      <c r="H310" s="21"/>
      <c r="I310" s="22"/>
      <c r="J310" s="108"/>
      <c r="K310" s="108"/>
      <c r="L310" s="108"/>
    </row>
    <row r="311" spans="1:12" ht="14.45">
      <c r="A311" s="21"/>
      <c r="B311" s="31"/>
      <c r="C311" s="21"/>
      <c r="D311" s="21"/>
      <c r="E311" s="21"/>
      <c r="F311" s="22"/>
      <c r="G311" s="21"/>
      <c r="H311" s="21"/>
      <c r="I311" s="22"/>
      <c r="J311" s="108"/>
      <c r="K311" s="108"/>
      <c r="L311" s="108"/>
    </row>
    <row r="312" spans="1:12" ht="14.45">
      <c r="A312" s="21"/>
      <c r="B312" s="31"/>
      <c r="C312" s="21"/>
      <c r="D312" s="21"/>
      <c r="E312" s="21"/>
      <c r="F312" s="22"/>
      <c r="G312" s="21"/>
      <c r="H312" s="21"/>
      <c r="I312" s="22"/>
      <c r="J312" s="108"/>
      <c r="K312" s="108"/>
      <c r="L312" s="108"/>
    </row>
    <row r="313" spans="1:12" ht="14.45">
      <c r="A313" s="21"/>
      <c r="B313" s="31"/>
      <c r="C313" s="21"/>
      <c r="D313" s="21"/>
      <c r="E313" s="21"/>
      <c r="F313" s="22"/>
      <c r="G313" s="21"/>
      <c r="H313" s="21"/>
      <c r="I313" s="22"/>
      <c r="J313" s="108"/>
      <c r="K313" s="108"/>
      <c r="L313" s="108"/>
    </row>
    <row r="314" spans="1:12" ht="14.45">
      <c r="A314" s="21"/>
      <c r="B314" s="31"/>
      <c r="C314" s="21"/>
      <c r="D314" s="21"/>
      <c r="E314" s="21"/>
      <c r="F314" s="22"/>
      <c r="G314" s="21"/>
      <c r="H314" s="21"/>
      <c r="I314" s="22"/>
      <c r="J314" s="108"/>
      <c r="K314" s="108"/>
      <c r="L314" s="108"/>
    </row>
    <row r="315" spans="1:12" ht="14.45">
      <c r="A315" s="21"/>
      <c r="B315" s="31"/>
      <c r="C315" s="21"/>
      <c r="D315" s="21"/>
      <c r="E315" s="21"/>
      <c r="F315" s="22"/>
      <c r="G315" s="21"/>
      <c r="H315" s="21"/>
      <c r="I315" s="22"/>
      <c r="J315" s="108"/>
      <c r="K315" s="108"/>
      <c r="L315" s="108"/>
    </row>
    <row r="316" spans="1:12" ht="14.45">
      <c r="A316" s="21"/>
      <c r="B316" s="31"/>
      <c r="C316" s="21"/>
      <c r="D316" s="21"/>
      <c r="E316" s="21"/>
      <c r="F316" s="22"/>
      <c r="G316" s="21"/>
      <c r="H316" s="21"/>
      <c r="I316" s="22"/>
      <c r="J316" s="108"/>
      <c r="K316" s="108"/>
      <c r="L316" s="108"/>
    </row>
    <row r="317" spans="1:12" ht="14.45">
      <c r="A317" s="21"/>
      <c r="B317" s="31"/>
      <c r="C317" s="21"/>
      <c r="D317" s="21"/>
      <c r="E317" s="21"/>
      <c r="F317" s="22"/>
      <c r="G317" s="21"/>
      <c r="H317" s="21"/>
      <c r="I317" s="22"/>
      <c r="J317" s="108"/>
      <c r="K317" s="108"/>
      <c r="L317" s="108"/>
    </row>
    <row r="318" spans="1:12" ht="14.45">
      <c r="A318" s="21"/>
      <c r="B318" s="31"/>
      <c r="C318" s="21"/>
      <c r="D318" s="21"/>
      <c r="E318" s="21"/>
      <c r="F318" s="22"/>
      <c r="G318" s="21"/>
      <c r="H318" s="21"/>
      <c r="I318" s="22"/>
      <c r="J318" s="108"/>
      <c r="K318" s="108"/>
      <c r="L318" s="108"/>
    </row>
    <row r="319" spans="1:12" ht="14.45">
      <c r="A319" s="21"/>
      <c r="B319" s="31"/>
      <c r="C319" s="21"/>
      <c r="D319" s="21"/>
      <c r="E319" s="21"/>
      <c r="F319" s="22"/>
      <c r="G319" s="21"/>
      <c r="H319" s="21"/>
      <c r="I319" s="22"/>
      <c r="J319" s="108"/>
      <c r="K319" s="108"/>
      <c r="L319" s="108"/>
    </row>
    <row r="320" spans="1:12" ht="14.45">
      <c r="A320" s="21"/>
      <c r="B320" s="31"/>
      <c r="C320" s="21"/>
      <c r="D320" s="21"/>
      <c r="E320" s="21"/>
      <c r="F320" s="22"/>
      <c r="G320" s="21"/>
      <c r="H320" s="21"/>
      <c r="I320" s="22"/>
      <c r="J320" s="108"/>
      <c r="K320" s="108"/>
      <c r="L320" s="108"/>
    </row>
    <row r="321" spans="1:12" ht="14.45">
      <c r="A321" s="21"/>
      <c r="B321" s="31"/>
      <c r="C321" s="21"/>
      <c r="D321" s="21"/>
      <c r="E321" s="21"/>
      <c r="F321" s="22"/>
      <c r="G321" s="21"/>
      <c r="H321" s="21"/>
      <c r="I321" s="22"/>
      <c r="J321" s="108"/>
      <c r="K321" s="108"/>
      <c r="L321" s="108"/>
    </row>
    <row r="322" spans="1:12" ht="14.45">
      <c r="A322" s="21"/>
      <c r="B322" s="31"/>
      <c r="C322" s="21"/>
      <c r="D322" s="21"/>
      <c r="E322" s="21"/>
      <c r="F322" s="22"/>
      <c r="G322" s="21"/>
      <c r="H322" s="21"/>
      <c r="I322" s="22"/>
      <c r="J322" s="108"/>
      <c r="K322" s="108"/>
      <c r="L322" s="108"/>
    </row>
    <row r="323" spans="1:12" ht="14.45">
      <c r="A323" s="21"/>
      <c r="B323" s="31"/>
      <c r="C323" s="21"/>
      <c r="D323" s="21"/>
      <c r="E323" s="21"/>
      <c r="F323" s="22"/>
      <c r="G323" s="21"/>
      <c r="H323" s="21"/>
      <c r="I323" s="22"/>
      <c r="J323" s="108"/>
      <c r="K323" s="108"/>
      <c r="L323" s="108"/>
    </row>
    <row r="324" spans="1:12" ht="14.45">
      <c r="A324" s="21"/>
      <c r="B324" s="31"/>
      <c r="C324" s="21"/>
      <c r="D324" s="21"/>
      <c r="E324" s="21"/>
      <c r="F324" s="22"/>
      <c r="G324" s="21"/>
      <c r="H324" s="21"/>
      <c r="I324" s="22"/>
      <c r="J324" s="108"/>
      <c r="K324" s="108"/>
      <c r="L324" s="108"/>
    </row>
    <row r="325" spans="1:12" ht="14.45">
      <c r="A325" s="21"/>
      <c r="B325" s="31"/>
      <c r="C325" s="21"/>
      <c r="D325" s="21"/>
      <c r="E325" s="21"/>
      <c r="F325" s="22"/>
      <c r="G325" s="21"/>
      <c r="H325" s="21"/>
      <c r="I325" s="22"/>
      <c r="J325" s="108"/>
      <c r="K325" s="108"/>
      <c r="L325" s="108"/>
    </row>
    <row r="326" spans="1:12" ht="14.45">
      <c r="A326" s="21"/>
      <c r="B326" s="31"/>
      <c r="C326" s="21"/>
      <c r="D326" s="21"/>
      <c r="E326" s="21"/>
      <c r="F326" s="22"/>
      <c r="G326" s="21"/>
      <c r="H326" s="21"/>
      <c r="I326" s="22"/>
      <c r="J326" s="108"/>
      <c r="K326" s="108"/>
      <c r="L326" s="108"/>
    </row>
    <row r="327" spans="1:12" ht="14.45">
      <c r="A327" s="21"/>
      <c r="B327" s="31"/>
      <c r="C327" s="21"/>
      <c r="D327" s="21"/>
      <c r="E327" s="21"/>
      <c r="F327" s="22"/>
      <c r="G327" s="21"/>
      <c r="H327" s="21"/>
      <c r="I327" s="22"/>
      <c r="J327" s="108"/>
      <c r="K327" s="108"/>
      <c r="L327" s="108"/>
    </row>
    <row r="328" spans="1:12" ht="14.45">
      <c r="A328" s="21"/>
      <c r="B328" s="31"/>
      <c r="C328" s="21"/>
      <c r="D328" s="21"/>
      <c r="E328" s="21"/>
      <c r="F328" s="22"/>
      <c r="G328" s="21"/>
      <c r="H328" s="21"/>
      <c r="I328" s="22"/>
      <c r="J328" s="108"/>
      <c r="K328" s="108"/>
      <c r="L328" s="108"/>
    </row>
    <row r="329" spans="1:12" ht="14.45">
      <c r="A329" s="21"/>
      <c r="B329" s="31"/>
      <c r="C329" s="21"/>
      <c r="D329" s="21"/>
      <c r="E329" s="21"/>
      <c r="F329" s="22"/>
      <c r="G329" s="21"/>
      <c r="H329" s="21"/>
      <c r="I329" s="22"/>
      <c r="J329" s="108"/>
      <c r="K329" s="108"/>
      <c r="L329" s="108"/>
    </row>
    <row r="330" spans="1:12" ht="14.45">
      <c r="A330" s="21"/>
      <c r="B330" s="31"/>
      <c r="C330" s="21"/>
      <c r="D330" s="21"/>
      <c r="E330" s="21"/>
      <c r="F330" s="22"/>
      <c r="G330" s="21"/>
      <c r="H330" s="21"/>
      <c r="I330" s="22"/>
      <c r="J330" s="108"/>
      <c r="K330" s="108"/>
      <c r="L330" s="108"/>
    </row>
    <row r="331" spans="1:12" ht="14.45">
      <c r="A331" s="21"/>
      <c r="B331" s="31"/>
      <c r="C331" s="21"/>
      <c r="D331" s="21"/>
      <c r="E331" s="21"/>
      <c r="F331" s="22"/>
      <c r="G331" s="21"/>
      <c r="H331" s="21"/>
      <c r="I331" s="22"/>
      <c r="J331" s="108"/>
      <c r="K331" s="108"/>
      <c r="L331" s="108"/>
    </row>
    <row r="332" spans="1:12" ht="14.45">
      <c r="A332" s="21"/>
      <c r="B332" s="31"/>
      <c r="C332" s="21"/>
      <c r="D332" s="21"/>
      <c r="E332" s="21"/>
      <c r="F332" s="22"/>
      <c r="G332" s="21"/>
      <c r="H332" s="21"/>
      <c r="I332" s="22"/>
      <c r="J332" s="108"/>
      <c r="K332" s="108"/>
      <c r="L332" s="108"/>
    </row>
    <row r="333" spans="1:12" ht="14.45">
      <c r="A333" s="21"/>
      <c r="B333" s="31"/>
      <c r="C333" s="21"/>
      <c r="D333" s="21"/>
      <c r="E333" s="21"/>
      <c r="F333" s="22"/>
      <c r="G333" s="21"/>
      <c r="H333" s="21"/>
      <c r="I333" s="22"/>
      <c r="J333" s="108"/>
      <c r="K333" s="108"/>
      <c r="L333" s="108"/>
    </row>
    <row r="334" spans="1:12" ht="14.45">
      <c r="A334" s="21"/>
      <c r="B334" s="31"/>
      <c r="C334" s="21"/>
      <c r="D334" s="21"/>
      <c r="E334" s="21"/>
      <c r="F334" s="22"/>
      <c r="G334" s="21"/>
      <c r="H334" s="21"/>
      <c r="I334" s="22"/>
      <c r="J334" s="108"/>
      <c r="K334" s="108"/>
      <c r="L334" s="108"/>
    </row>
    <row r="335" spans="1:12" ht="14.45">
      <c r="A335" s="21"/>
      <c r="B335" s="31"/>
      <c r="C335" s="21"/>
      <c r="D335" s="21"/>
      <c r="E335" s="21"/>
      <c r="F335" s="22"/>
      <c r="G335" s="21"/>
      <c r="H335" s="21"/>
      <c r="I335" s="22"/>
      <c r="J335" s="108"/>
      <c r="K335" s="108"/>
      <c r="L335" s="108"/>
    </row>
    <row r="336" spans="1:12" ht="14.45">
      <c r="A336" s="21"/>
      <c r="B336" s="31"/>
      <c r="C336" s="21"/>
      <c r="D336" s="21"/>
      <c r="E336" s="21"/>
      <c r="F336" s="22"/>
      <c r="G336" s="21"/>
      <c r="H336" s="21"/>
      <c r="I336" s="22"/>
      <c r="J336" s="108"/>
      <c r="K336" s="108"/>
      <c r="L336" s="108"/>
    </row>
    <row r="337" spans="1:12" ht="14.45">
      <c r="A337" s="21"/>
      <c r="B337" s="31"/>
      <c r="C337" s="21"/>
      <c r="D337" s="21"/>
      <c r="E337" s="21"/>
      <c r="F337" s="22"/>
      <c r="G337" s="21"/>
      <c r="H337" s="21"/>
      <c r="I337" s="22"/>
      <c r="J337" s="108"/>
      <c r="K337" s="108"/>
      <c r="L337" s="108"/>
    </row>
    <row r="338" spans="1:12" ht="14.45">
      <c r="A338" s="21"/>
      <c r="B338" s="31"/>
      <c r="C338" s="21"/>
      <c r="D338" s="21"/>
      <c r="E338" s="21"/>
      <c r="F338" s="22"/>
      <c r="G338" s="21"/>
      <c r="H338" s="21"/>
      <c r="I338" s="22"/>
      <c r="J338" s="108"/>
      <c r="K338" s="108"/>
      <c r="L338" s="108"/>
    </row>
    <row r="339" spans="1:12" ht="14.45">
      <c r="A339" s="21"/>
      <c r="B339" s="31"/>
      <c r="C339" s="21"/>
      <c r="D339" s="21"/>
      <c r="E339" s="21"/>
      <c r="F339" s="22"/>
      <c r="G339" s="21"/>
      <c r="H339" s="21"/>
      <c r="I339" s="22"/>
      <c r="J339" s="108"/>
      <c r="K339" s="108"/>
      <c r="L339" s="108"/>
    </row>
    <row r="340" spans="1:12" ht="14.45">
      <c r="A340" s="21"/>
      <c r="B340" s="31"/>
      <c r="C340" s="21"/>
      <c r="D340" s="21"/>
      <c r="E340" s="21"/>
      <c r="F340" s="22"/>
      <c r="G340" s="21"/>
      <c r="H340" s="21"/>
      <c r="I340" s="22"/>
      <c r="J340" s="108"/>
      <c r="K340" s="108"/>
      <c r="L340" s="108"/>
    </row>
    <row r="341" spans="1:12" ht="14.45">
      <c r="A341" s="21"/>
      <c r="B341" s="31"/>
      <c r="C341" s="21"/>
      <c r="D341" s="21"/>
      <c r="E341" s="21"/>
      <c r="F341" s="22"/>
      <c r="G341" s="21"/>
      <c r="H341" s="21"/>
      <c r="I341" s="22"/>
      <c r="J341" s="108"/>
      <c r="K341" s="108"/>
      <c r="L341" s="108"/>
    </row>
    <row r="342" spans="1:12" ht="14.45">
      <c r="A342" s="21"/>
      <c r="B342" s="31"/>
      <c r="C342" s="21"/>
      <c r="D342" s="21"/>
      <c r="E342" s="21"/>
      <c r="F342" s="22"/>
      <c r="G342" s="21"/>
      <c r="H342" s="21"/>
      <c r="I342" s="22"/>
      <c r="J342" s="108"/>
      <c r="K342" s="108"/>
      <c r="L342" s="108"/>
    </row>
    <row r="343" spans="1:12" ht="14.45">
      <c r="A343" s="21"/>
      <c r="B343" s="31"/>
      <c r="C343" s="21"/>
      <c r="D343" s="21"/>
      <c r="E343" s="21"/>
      <c r="F343" s="22"/>
      <c r="G343" s="21"/>
      <c r="H343" s="21"/>
      <c r="I343" s="22"/>
      <c r="J343" s="108"/>
      <c r="K343" s="108"/>
      <c r="L343" s="108"/>
    </row>
    <row r="344" spans="1:12" ht="14.45">
      <c r="A344" s="21"/>
      <c r="B344" s="31"/>
      <c r="C344" s="21"/>
      <c r="D344" s="21"/>
      <c r="E344" s="21"/>
      <c r="F344" s="22"/>
      <c r="G344" s="21"/>
      <c r="H344" s="21"/>
      <c r="I344" s="22"/>
      <c r="J344" s="108"/>
      <c r="K344" s="108"/>
      <c r="L344" s="108"/>
    </row>
    <row r="345" spans="1:12" ht="14.45">
      <c r="C345" s="21"/>
      <c r="D345" s="21"/>
      <c r="E345" s="21"/>
      <c r="F345" s="22"/>
      <c r="G345" s="21"/>
      <c r="H345" s="21"/>
      <c r="I345" s="22"/>
      <c r="J345" s="108"/>
      <c r="K345" s="108"/>
      <c r="L345" s="108"/>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hyperlinks>
    <hyperlink ref="K6" r:id="rId1" display="https://us3.assetplanner.com/service_request?ID=111637" xr:uid="{67C035F3-78B8-4EEC-A039-024C7B75AB2C}"/>
    <hyperlink ref="M6" r:id="rId2" display="https://us3.assetplanner.com/service_request?ID=104730" xr:uid="{A773C58F-12F7-481E-8466-9A9AFF61FAC9}"/>
    <hyperlink ref="K8" r:id="rId3" display="https://us3.assetplanner.com/service_request?ID=110713" xr:uid="{526BFE9F-D38A-4830-A61A-A5C9F8921A40}"/>
    <hyperlink ref="M8" r:id="rId4" display="https://us3.assetplanner.com/service_request?ID=111771" xr:uid="{70AEE49A-7345-40CA-A2E8-AEF291D6AA5F}"/>
    <hyperlink ref="K9" r:id="rId5" display="https://us3.assetplanner.com/service_request?ID=107886" xr:uid="{E4E3FAE3-2746-42E5-B9A7-11B1CC5654B7}"/>
    <hyperlink ref="M9" r:id="rId6" display="https://us3.assetplanner.com/service_request?ID=108955" xr:uid="{B48402D5-B819-405D-BBE6-EE81D0F148FB}"/>
    <hyperlink ref="N9" r:id="rId7" display="https://us3.assetplanner.com/service_request?ID=111324" xr:uid="{3BF23C01-794E-4ED0-8F68-4D7A672FFCD8}"/>
    <hyperlink ref="O9" r:id="rId8" display="https://us3.assetplanner.com/service_request?ID=110812" xr:uid="{678CD5F7-73B4-4A81-A39B-4C5586F4926F}"/>
    <hyperlink ref="P9" r:id="rId9" display="https://us3.assetplanner.com/service_request?ID=111372" xr:uid="{28FB6C45-6315-4ABD-9445-E9C26641DB7F}"/>
    <hyperlink ref="K11" r:id="rId10" display="https://us3.assetplanner.com/service_request?ID=110151" xr:uid="{99384EA0-1200-4F37-8A7D-B51CC0E75BB5}"/>
    <hyperlink ref="K12" r:id="rId11" display="https://us3.assetplanner.com/service_request?ID=111269" xr:uid="{A8BAA63E-35FF-4015-AE07-88D2142F27F1}"/>
    <hyperlink ref="M12" r:id="rId12" display="https://us3.assetplanner.com/service_request?ID=099765" xr:uid="{17047C14-E26E-4B98-92F5-14BFA37C28DE}"/>
    <hyperlink ref="N12" r:id="rId13" display="https://us3.assetplanner.com/service_request?ID=110475" xr:uid="{42F201C1-69ED-416D-8A71-CBF43D4561AC}"/>
    <hyperlink ref="K13" r:id="rId14" display="https://us3.assetplanner.com/service_request?ID=097799" xr:uid="{C2ADD982-4D7E-4CC5-BE44-73B758AEF188}"/>
    <hyperlink ref="M13" r:id="rId15" display="https://us3.assetplanner.com/service_request?ID=095816" xr:uid="{DAA95AFE-0BC4-45EF-BF02-2DEDACFC93FE}"/>
    <hyperlink ref="N13" r:id="rId16" display="https://us3.assetplanner.com/service_request?ID=107405" xr:uid="{36AA302E-BA38-449E-9045-D540CD6D55BC}"/>
    <hyperlink ref="O13" r:id="rId17" display="https://us3.assetplanner.com/service_request?ID=110440" xr:uid="{58BF2309-527B-46D7-AB5F-6FF8BD4A5CDE}"/>
    <hyperlink ref="K15" r:id="rId18" display="https://us3.assetplanner.com/service_request?ID=109200" xr:uid="{03B27F12-3FCF-4428-BA06-EB4D9CF766B8}"/>
    <hyperlink ref="M15" r:id="rId19" display="https://us3.assetplanner.com/service_request?ID=103770" xr:uid="{30D6B999-2AEF-44FB-9231-B51AD87BB453}"/>
    <hyperlink ref="K18" r:id="rId20" display="https://us3.assetplanner.com/service_request?ID=109203" xr:uid="{373A323F-EB2C-4613-A5BF-5E53C061FFAF}"/>
    <hyperlink ref="K19" r:id="rId21" display="https://us3.assetplanner.com/service_request?ID=097795" xr:uid="{02ECCAB5-C843-4F1C-93B3-F7144F4FC253}"/>
    <hyperlink ref="M19" r:id="rId22" display="https://us3.assetplanner.com/service_request?ID=109010" xr:uid="{11A98E0A-A696-4831-9742-2A35FB2991D3}"/>
    <hyperlink ref="N19" r:id="rId23" display="https://us3.assetplanner.com/service_request?ID=109201" xr:uid="{E1E52402-FBE9-42CE-B193-57F5BBD3FD11}"/>
    <hyperlink ref="O19" r:id="rId24" display="https://us3.assetplanner.com/service_request?ID=109391" xr:uid="{F09FDA98-C998-441D-99DC-89D4C48BA603}"/>
    <hyperlink ref="K20" r:id="rId25" display="https://us3.assetplanner.com/service_request?ID=111212" xr:uid="{106453E4-8DDF-476B-8456-B10A8AAC52E6}"/>
    <hyperlink ref="M20" r:id="rId26" display="https://us3.assetplanner.com/service_request?ID=111798" xr:uid="{D239E3A4-DC2B-49E0-AB78-9EC09C162907}"/>
    <hyperlink ref="K21" r:id="rId27" display="https://us3.assetplanner.com/service_request?ID=107644" xr:uid="{56A6A736-9983-444F-9955-A2928A12DA36}"/>
    <hyperlink ref="M21" r:id="rId28" display="https://us3.assetplanner.com/service_request?ID=111056" xr:uid="{B5B7C14C-5512-4920-AEE8-D3F35D4CDFC1}"/>
    <hyperlink ref="K22" r:id="rId29" display="https://us3.assetplanner.com/service_request?ID=110840" xr:uid="{9C4448A1-01B4-4E22-B90F-AE9397DA4A89}"/>
    <hyperlink ref="M22" r:id="rId30" display="https://us3.assetplanner.com/service_request?ID=111026" xr:uid="{8D029857-B00C-44B2-A35C-F835BEDBD943}"/>
    <hyperlink ref="N22" r:id="rId31" display="https://us3.assetplanner.com/service_request?ID=111774" xr:uid="{318D6477-3C4E-4366-B755-AC0B4FB96FFB}"/>
    <hyperlink ref="K23" r:id="rId32" display="https://us3.assetplanner.com/service_request?ID=110800" xr:uid="{AA6C82AA-6CBE-49F7-BAA2-6FDF3E896EB5}"/>
    <hyperlink ref="M23" r:id="rId33" display="https://us3.assetplanner.com/service_request?ID=110992" xr:uid="{027F96F2-3276-46DF-8FFC-01F7437AB174}"/>
    <hyperlink ref="K25" r:id="rId34" display="https://us3.assetplanner.com/service_request?ID=111328" xr:uid="{68A2F0E5-AD57-486C-AE9A-E594AC7449AB}"/>
    <hyperlink ref="M25" r:id="rId35" display="https://us3.assetplanner.com/service_request?ID=109835" xr:uid="{737B9E47-A174-41AE-874D-BBF40B6AE3A5}"/>
    <hyperlink ref="N25" r:id="rId36" display="https://us3.assetplanner.com/service_request?ID=110016" xr:uid="{3572E8BB-FDCE-4FE5-B0D2-4CFFAC717403}"/>
    <hyperlink ref="O25" r:id="rId37" display="https://us3.assetplanner.com/service_request?ID=101916" xr:uid="{4D33C27A-790B-41EE-8DF4-ACA86714C969}"/>
    <hyperlink ref="P25" r:id="rId38" display="https://us3.assetplanner.com/service_request?ID=109206" xr:uid="{40E81B8A-4643-4762-A97A-45775D35C75A}"/>
    <hyperlink ref="K27" r:id="rId39" display="https://us3.assetplanner.com/service_request?ID=094254" xr:uid="{23EE862E-FAC8-4578-8B18-2AEB65389710}"/>
    <hyperlink ref="M27" r:id="rId40" display="https://us3.assetplanner.com/service_request?ID=110778" xr:uid="{AEB48560-5355-4A2C-83EB-A130313394D2}"/>
    <hyperlink ref="K28" r:id="rId41" display="https://us3.assetplanner.com/service_request?ID=110779" xr:uid="{BB58C3C5-87E0-4797-8D95-D1BE97354199}"/>
    <hyperlink ref="K29" r:id="rId42" display="https://us3.assetplanner.com/service_request?ID=110396" xr:uid="{2A10FC2D-1144-48B4-AE02-C9D026CF7F12}"/>
    <hyperlink ref="M29" r:id="rId43" display="https://us3.assetplanner.com/service_request?ID=107959" xr:uid="{45DEE333-91B5-4664-BAD2-7256C8877F7F}"/>
    <hyperlink ref="N29" r:id="rId44" display="https://us3.assetplanner.com/service_request?ID=108028" xr:uid="{514A43C2-1B26-4533-90BA-58A959C5BD53}"/>
    <hyperlink ref="K32" r:id="rId45" display="https://us3.assetplanner.com/service_request?ID=111845" xr:uid="{5B8D2C96-80AF-452F-8418-86267A6D841F}"/>
    <hyperlink ref="K33" r:id="rId46" display="https://us3.assetplanner.com/service_request?ID=099815" xr:uid="{CA1F3B00-A288-4972-8870-4357E8CC1C43}"/>
    <hyperlink ref="M33" r:id="rId47" display="https://us3.assetplanner.com/service_request?ID=099920" xr:uid="{7764A877-FB73-47A8-B0AD-5B777D9B1A78}"/>
    <hyperlink ref="N33" r:id="rId48" display="https://us3.assetplanner.com/service_request?ID=103531" xr:uid="{49E472FC-833A-46B7-A8E9-270382B3E281}"/>
    <hyperlink ref="O33" r:id="rId49" display="https://us3.assetplanner.com/service_request?ID=109204" xr:uid="{2A2943F7-2B57-4399-A8EA-7E1436987360}"/>
    <hyperlink ref="P33" r:id="rId50" display="https://us3.assetplanner.com/service_request?ID=104024" xr:uid="{6A65F9D9-A221-4DC1-BA8C-5823C67A5008}"/>
    <hyperlink ref="Q33" r:id="rId51" display="https://us3.assetplanner.com/service_request?ID=111353" xr:uid="{3F9C4AC1-AF17-456F-A905-E6E0FE42C78F}"/>
    <hyperlink ref="R33" r:id="rId52" display="https://us3.assetplanner.com/service_request?ID=105724" xr:uid="{2C0CBB79-B8D4-4765-8898-4615C5CB7F77}"/>
    <hyperlink ref="S33" r:id="rId53" display="https://us3.assetplanner.com/service_request?ID=105808" xr:uid="{24554CFB-6BAC-4607-AF73-2EC33F2C039F}"/>
    <hyperlink ref="T33" r:id="rId54" display="https://us3.assetplanner.com/service_request?ID=107262" xr:uid="{95300878-4F4D-4386-A39E-9B6B065DA7F6}"/>
    <hyperlink ref="U33" r:id="rId55" display="https://us3.assetplanner.com/service_request?ID=109205" xr:uid="{9F58927B-6E52-40DA-9A3E-BB8494D90162}"/>
    <hyperlink ref="V33" r:id="rId56" display="https://us3.assetplanner.com/service_request?ID=099298" xr:uid="{16AADA9C-9AA5-4490-BBAD-729FB9C54EA0}"/>
    <hyperlink ref="W33" r:id="rId57" display="https://us3.assetplanner.com/service_request?ID=109284" xr:uid="{6ABE573F-4EB1-4E1B-8503-04F6134FB1D2}"/>
    <hyperlink ref="X33" r:id="rId58" display="https://us3.assetplanner.com/service_request?ID=109610" xr:uid="{474AE20E-FA74-4D29-B02E-BBAA3CC28E53}"/>
    <hyperlink ref="Y33" r:id="rId59" display="https://us3.assetplanner.com/service_request?ID=111511" xr:uid="{A8C68294-70B3-47CF-9FB3-3567761752F5}"/>
    <hyperlink ref="Z33" r:id="rId60" display="https://us3.assetplanner.com/service_request?ID=112408" xr:uid="{9B0A06A9-8933-448A-966C-CCAFC19331FA}"/>
    <hyperlink ref="K34" r:id="rId61" display="https://us3.assetplanner.com/service_request?ID=109859" xr:uid="{336BBE69-898C-4E1A-A66B-FF0D1809FAB8}"/>
    <hyperlink ref="M34" r:id="rId62" display="https://us3.assetplanner.com/service_request?ID=111811" xr:uid="{797D7505-EA0F-4F2B-ADCE-050EC5F7FEB8}"/>
    <hyperlink ref="K35" r:id="rId63" display="https://us3.assetplanner.com/service_request?ID=111173" xr:uid="{50DA7537-A084-4D30-A0E3-B09A439986CD}"/>
    <hyperlink ref="M35" r:id="rId64" display="https://us3.assetplanner.com/service_request?ID=111499" xr:uid="{794F8A6F-E087-4C4C-89BB-01B12B56EEAF}"/>
  </hyperlinks>
  <pageMargins left="0.4" right="0.7" top="0.25" bottom="0.25" header="0.3" footer="0.3"/>
  <pageSetup fitToHeight="99" orientation="landscape" r:id="rId6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zoomScale="60" zoomScaleNormal="60" workbookViewId="0">
      <pane xSplit="2" ySplit="3" topLeftCell="C4" activePane="bottomRight" state="frozen"/>
      <selection pane="bottomRight" activeCell="P13" sqref="P1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2" t="str" cm="1">
        <f t="array" ref="A1">portfolio</f>
        <v>Lodestar</v>
      </c>
      <c r="B1" s="112"/>
      <c r="C1" s="112"/>
      <c r="D1" s="113" t="s">
        <v>863</v>
      </c>
      <c r="E1" s="113"/>
      <c r="F1" s="113"/>
      <c r="G1" s="111" t="s">
        <v>864</v>
      </c>
      <c r="H1" s="111"/>
      <c r="I1" s="111"/>
      <c r="J1" s="4"/>
      <c r="K1" s="4"/>
    </row>
    <row r="2" spans="1:11" ht="19.5" customHeight="1">
      <c r="A2" s="114" t="s">
        <v>2</v>
      </c>
      <c r="B2" s="114"/>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39"/>
    </row>
    <row r="6" spans="1:11" ht="15.6">
      <c r="A6" s="30" t="str">
        <v>Norcap North</v>
      </c>
      <c r="B6" s="27" t="str">
        <v>CT</v>
      </c>
      <c r="C6" s="24"/>
      <c r="D6" s="13"/>
      <c r="E6" s="13" t="str">
        <f t="shared" si="0"/>
        <v/>
      </c>
      <c r="F6" s="14" t="str">
        <f t="shared" si="1"/>
        <v/>
      </c>
      <c r="G6" s="15"/>
      <c r="H6" s="15" t="str">
        <f t="shared" si="2"/>
        <v/>
      </c>
      <c r="I6" s="16" t="str">
        <f t="shared" si="3"/>
        <v/>
      </c>
      <c r="J6" s="38"/>
      <c r="K6" s="38"/>
    </row>
    <row r="7" spans="1:11" ht="15.6">
      <c r="A7" s="28" t="str">
        <v>Norcap South</v>
      </c>
      <c r="B7" s="29" t="str">
        <v>CT</v>
      </c>
      <c r="C7" s="11"/>
      <c r="D7" s="18"/>
      <c r="E7" s="18" t="str">
        <f t="shared" si="0"/>
        <v/>
      </c>
      <c r="F7" s="19" t="str">
        <f t="shared" si="1"/>
        <v/>
      </c>
      <c r="G7" s="20"/>
      <c r="H7" s="20" t="str">
        <f t="shared" si="2"/>
        <v/>
      </c>
      <c r="I7" s="19" t="str">
        <f t="shared" ref="I7:I28" si="4">IFERROR(H7/G7, "")</f>
        <v/>
      </c>
      <c r="J7" s="48"/>
      <c r="K7" s="47"/>
    </row>
    <row r="8" spans="1:11" ht="37.5" customHeight="1">
      <c r="A8" s="55" t="str">
        <v>Platt Hill</v>
      </c>
      <c r="B8" s="27" t="str">
        <v>CT</v>
      </c>
      <c r="C8" s="24"/>
      <c r="D8" s="13"/>
      <c r="E8" s="13" t="str">
        <f t="shared" si="0"/>
        <v/>
      </c>
      <c r="F8" s="14" t="str">
        <f t="shared" si="1"/>
        <v/>
      </c>
      <c r="G8" s="15"/>
      <c r="H8" s="15" t="str">
        <f t="shared" si="2"/>
        <v/>
      </c>
      <c r="I8" s="16" t="str">
        <f t="shared" si="4"/>
        <v/>
      </c>
      <c r="J8" s="38"/>
      <c r="K8" s="38"/>
    </row>
    <row r="9" spans="1:11" ht="31.5" customHeight="1">
      <c r="A9" s="28" t="str">
        <v>Powder Hill</v>
      </c>
      <c r="B9" s="29" t="str">
        <v>CT</v>
      </c>
      <c r="C9" s="11"/>
      <c r="D9" s="18"/>
      <c r="E9" s="18" t="str">
        <f t="shared" si="0"/>
        <v/>
      </c>
      <c r="F9" s="19" t="str">
        <f t="shared" si="1"/>
        <v/>
      </c>
      <c r="G9" s="20"/>
      <c r="H9" s="20" t="str">
        <f t="shared" si="2"/>
        <v/>
      </c>
      <c r="I9" s="19" t="str">
        <f t="shared" si="4"/>
        <v/>
      </c>
      <c r="J9" s="39"/>
      <c r="K9" s="39"/>
    </row>
    <row r="10" spans="1:11" ht="15.6">
      <c r="A10" s="30" t="str">
        <v>Sand Road</v>
      </c>
      <c r="B10" s="27" t="str">
        <v>CT</v>
      </c>
      <c r="C10" s="24"/>
      <c r="D10" s="13"/>
      <c r="E10" s="13" t="str">
        <f t="shared" si="0"/>
        <v/>
      </c>
      <c r="F10" s="14" t="str">
        <f t="shared" si="1"/>
        <v/>
      </c>
      <c r="G10" s="15"/>
      <c r="H10" s="15" t="str">
        <f t="shared" si="2"/>
        <v/>
      </c>
      <c r="I10" s="16" t="str">
        <f t="shared" si="4"/>
        <v/>
      </c>
      <c r="J10" s="38"/>
      <c r="K10" s="38"/>
    </row>
    <row r="11" spans="1:11" ht="15.6">
      <c r="A11" s="28" t="str">
        <v>Suffield</v>
      </c>
      <c r="B11" s="29" t="str">
        <v>CT</v>
      </c>
      <c r="C11" s="11"/>
      <c r="D11" s="18"/>
      <c r="E11" s="18" t="str">
        <f t="shared" si="0"/>
        <v/>
      </c>
      <c r="F11" s="19" t="str">
        <f t="shared" si="1"/>
        <v/>
      </c>
      <c r="G11" s="20"/>
      <c r="H11" s="20" t="str">
        <f t="shared" si="2"/>
        <v/>
      </c>
      <c r="I11" s="19" t="str">
        <f t="shared" si="4"/>
        <v/>
      </c>
      <c r="J11" s="39"/>
      <c r="K11" s="39"/>
    </row>
    <row r="12" spans="1:11" ht="15.6">
      <c r="A12" s="30" t="str">
        <v>Ashby-Duffy</v>
      </c>
      <c r="B12" s="27" t="str">
        <v>MA</v>
      </c>
      <c r="C12" s="24"/>
      <c r="D12" s="13"/>
      <c r="E12" s="13" t="str">
        <f t="shared" si="0"/>
        <v/>
      </c>
      <c r="F12" s="14" t="str">
        <f t="shared" si="1"/>
        <v/>
      </c>
      <c r="G12" s="15"/>
      <c r="H12" s="15" t="str">
        <f t="shared" si="2"/>
        <v/>
      </c>
      <c r="I12" s="16" t="str">
        <f t="shared" si="4"/>
        <v/>
      </c>
      <c r="J12" s="38"/>
      <c r="K12" s="38"/>
    </row>
    <row r="13" spans="1:11" ht="90" customHeight="1">
      <c r="A13" s="28" t="str">
        <v>Ashland</v>
      </c>
      <c r="B13" s="29" t="str">
        <v>MA</v>
      </c>
      <c r="C13" s="11"/>
      <c r="D13" s="18"/>
      <c r="E13" s="18" t="str">
        <f t="shared" si="0"/>
        <v/>
      </c>
      <c r="F13" s="19" t="str">
        <f t="shared" si="1"/>
        <v/>
      </c>
      <c r="G13" s="20"/>
      <c r="H13" s="20" t="str">
        <f t="shared" si="2"/>
        <v/>
      </c>
      <c r="I13" s="19" t="str">
        <f t="shared" si="4"/>
        <v/>
      </c>
      <c r="J13" s="48"/>
      <c r="K13" s="48"/>
    </row>
    <row r="14" spans="1:11" ht="15.6">
      <c r="A14" s="55" t="str">
        <v>Barrington</v>
      </c>
      <c r="B14" s="27" t="str">
        <v>MA</v>
      </c>
      <c r="C14" s="24"/>
      <c r="D14" s="13"/>
      <c r="E14" s="13" t="str">
        <f t="shared" si="0"/>
        <v/>
      </c>
      <c r="F14" s="14" t="str">
        <f t="shared" si="1"/>
        <v/>
      </c>
      <c r="G14" s="15"/>
      <c r="H14" s="15" t="str">
        <f t="shared" si="2"/>
        <v/>
      </c>
      <c r="I14" s="16" t="str">
        <f t="shared" si="4"/>
        <v/>
      </c>
      <c r="J14" s="38"/>
      <c r="K14" s="38"/>
    </row>
    <row r="15" spans="1:11" ht="15.6">
      <c r="A15" s="28" t="str">
        <v>Bedford - 205 Burlington Rd</v>
      </c>
      <c r="B15" s="29" t="str">
        <v>MA</v>
      </c>
      <c r="C15" s="11"/>
      <c r="D15" s="18"/>
      <c r="E15" s="18" t="str">
        <f t="shared" si="0"/>
        <v/>
      </c>
      <c r="F15" s="19" t="str">
        <f t="shared" si="1"/>
        <v/>
      </c>
      <c r="G15" s="20"/>
      <c r="H15" s="20" t="str">
        <f t="shared" si="2"/>
        <v/>
      </c>
      <c r="I15" s="19" t="str">
        <f t="shared" si="4"/>
        <v/>
      </c>
      <c r="J15" s="39"/>
      <c r="K15" s="39"/>
    </row>
    <row r="16" spans="1:11" ht="15.6">
      <c r="A16" s="30" t="str">
        <v>Billerica - 6 Cook Street</v>
      </c>
      <c r="B16" s="27" t="str">
        <v>MA</v>
      </c>
      <c r="C16" s="24"/>
      <c r="D16" s="13"/>
      <c r="E16" s="13" t="str">
        <f t="shared" si="0"/>
        <v/>
      </c>
      <c r="F16" s="14" t="str">
        <f t="shared" si="1"/>
        <v/>
      </c>
      <c r="G16" s="15"/>
      <c r="H16" s="15" t="str">
        <f t="shared" si="2"/>
        <v/>
      </c>
      <c r="I16" s="16" t="str">
        <f t="shared" si="4"/>
        <v/>
      </c>
      <c r="J16" s="38"/>
      <c r="K16" s="38"/>
    </row>
    <row r="17" spans="1:11" ht="15.6">
      <c r="A17" s="28" t="str">
        <v>Billerica - 780 Boston Road</v>
      </c>
      <c r="B17" s="29" t="str">
        <v>MA</v>
      </c>
      <c r="C17" s="11"/>
      <c r="D17" s="18"/>
      <c r="E17" s="18" t="str">
        <f t="shared" si="0"/>
        <v/>
      </c>
      <c r="F17" s="19" t="str">
        <f t="shared" si="1"/>
        <v/>
      </c>
      <c r="G17" s="20"/>
      <c r="H17" s="20" t="str">
        <f t="shared" si="2"/>
        <v/>
      </c>
      <c r="I17" s="19" t="str">
        <f t="shared" si="4"/>
        <v/>
      </c>
      <c r="J17" s="39"/>
      <c r="K17" s="39"/>
    </row>
    <row r="18" spans="1:11" ht="12.75" customHeight="1">
      <c r="A18" s="57" t="str">
        <v>Cheshire</v>
      </c>
      <c r="B18" s="27" t="str">
        <v>MA</v>
      </c>
      <c r="C18" s="24"/>
      <c r="D18" s="13"/>
      <c r="E18" s="13" t="str">
        <f t="shared" si="0"/>
        <v/>
      </c>
      <c r="F18" s="14" t="str">
        <f t="shared" si="1"/>
        <v/>
      </c>
      <c r="G18" s="15"/>
      <c r="H18" s="15" t="str">
        <f t="shared" si="2"/>
        <v/>
      </c>
      <c r="I18" s="16" t="str">
        <f t="shared" si="4"/>
        <v/>
      </c>
      <c r="J18" s="38"/>
      <c r="K18" s="38"/>
    </row>
    <row r="19" spans="1:11" ht="54" customHeight="1">
      <c r="A19" s="28" t="str">
        <v>Lilly Lane</v>
      </c>
      <c r="B19" s="29" t="str">
        <v>MA</v>
      </c>
      <c r="C19" s="11"/>
      <c r="D19" s="18"/>
      <c r="E19" s="18" t="str">
        <f t="shared" si="0"/>
        <v/>
      </c>
      <c r="F19" s="19" t="str">
        <f t="shared" si="1"/>
        <v/>
      </c>
      <c r="G19" s="20"/>
      <c r="H19" s="20" t="str">
        <f t="shared" si="2"/>
        <v/>
      </c>
      <c r="I19" s="19" t="str">
        <f t="shared" si="4"/>
        <v/>
      </c>
      <c r="J19" s="48"/>
      <c r="K19" s="47"/>
    </row>
    <row r="20" spans="1:11" ht="94.5" customHeight="1">
      <c r="A20" s="55" t="str">
        <v>Monument Valley</v>
      </c>
      <c r="B20" s="27" t="str">
        <v>MA</v>
      </c>
      <c r="C20" s="24"/>
      <c r="D20" s="13"/>
      <c r="E20" s="13" t="str">
        <f t="shared" si="0"/>
        <v/>
      </c>
      <c r="F20" s="14" t="str">
        <f t="shared" si="1"/>
        <v/>
      </c>
      <c r="G20" s="15"/>
      <c r="H20" s="15" t="str">
        <f t="shared" si="2"/>
        <v/>
      </c>
      <c r="I20" s="16" t="str">
        <f t="shared" si="4"/>
        <v/>
      </c>
      <c r="J20" s="56"/>
      <c r="K20" s="56"/>
    </row>
    <row r="21" spans="1:11" ht="15.6">
      <c r="A21" s="28" t="str">
        <v>Nationwide</v>
      </c>
      <c r="B21" s="29" t="str">
        <v>MA</v>
      </c>
      <c r="C21" s="11"/>
      <c r="D21" s="18"/>
      <c r="E21" s="18" t="str">
        <f t="shared" si="0"/>
        <v/>
      </c>
      <c r="F21" s="19" t="str">
        <f t="shared" si="1"/>
        <v/>
      </c>
      <c r="G21" s="20"/>
      <c r="H21" s="20" t="str">
        <f t="shared" si="2"/>
        <v/>
      </c>
      <c r="I21" s="19" t="str">
        <f t="shared" si="4"/>
        <v/>
      </c>
      <c r="J21" s="39"/>
      <c r="K21" s="39"/>
    </row>
    <row r="22" spans="1:11" ht="15.6">
      <c r="A22" s="30" t="str">
        <v>Pulpit Hill</v>
      </c>
      <c r="B22" s="27" t="str">
        <v>MA</v>
      </c>
      <c r="C22" s="24"/>
      <c r="D22" s="13"/>
      <c r="E22" s="13" t="str">
        <f t="shared" si="0"/>
        <v/>
      </c>
      <c r="F22" s="14" t="str">
        <f t="shared" si="1"/>
        <v/>
      </c>
      <c r="G22" s="15"/>
      <c r="H22" s="15" t="str">
        <f t="shared" si="2"/>
        <v/>
      </c>
      <c r="I22" s="16" t="str">
        <f t="shared" si="4"/>
        <v/>
      </c>
      <c r="J22" s="56"/>
      <c r="K22" s="38"/>
    </row>
    <row r="23" spans="1:11" ht="43.5" customHeight="1">
      <c r="A23" s="28" t="str">
        <v>Sandwich</v>
      </c>
      <c r="B23" s="29" t="str">
        <v>MA</v>
      </c>
      <c r="C23" s="11"/>
      <c r="D23" s="18"/>
      <c r="E23" s="18" t="str">
        <f t="shared" si="0"/>
        <v/>
      </c>
      <c r="F23" s="19" t="str">
        <f t="shared" si="1"/>
        <v/>
      </c>
      <c r="G23" s="20"/>
      <c r="H23" s="20" t="str">
        <f t="shared" si="2"/>
        <v/>
      </c>
      <c r="I23" s="19" t="str">
        <f t="shared" si="4"/>
        <v/>
      </c>
      <c r="J23" s="47"/>
      <c r="K23" s="47"/>
    </row>
    <row r="24" spans="1:11" ht="110.25" customHeight="1">
      <c r="A24" s="55" t="str">
        <v>Sturbridge Barn</v>
      </c>
      <c r="B24" s="27" t="str">
        <v>MA</v>
      </c>
      <c r="C24" s="24"/>
      <c r="D24" s="13"/>
      <c r="E24" s="13" t="str">
        <f t="shared" si="0"/>
        <v/>
      </c>
      <c r="F24" s="14" t="str">
        <f t="shared" si="1"/>
        <v/>
      </c>
      <c r="G24" s="15"/>
      <c r="H24" s="15" t="str">
        <f t="shared" si="2"/>
        <v/>
      </c>
      <c r="I24" s="16" t="str">
        <f t="shared" si="4"/>
        <v/>
      </c>
      <c r="J24" s="56"/>
      <c r="K24" s="56"/>
    </row>
    <row r="25" spans="1:11" ht="33.75" customHeight="1">
      <c r="A25" s="28" t="str">
        <v>Sturbridge Garage</v>
      </c>
      <c r="B25" s="29" t="str">
        <v>MA</v>
      </c>
      <c r="C25" s="11"/>
      <c r="D25" s="18"/>
      <c r="E25" s="18" t="str">
        <f t="shared" si="0"/>
        <v/>
      </c>
      <c r="F25" s="19" t="str">
        <f t="shared" si="1"/>
        <v/>
      </c>
      <c r="G25" s="20"/>
      <c r="H25" s="20" t="str">
        <f t="shared" si="2"/>
        <v/>
      </c>
      <c r="I25" s="19" t="str">
        <f t="shared" si="4"/>
        <v/>
      </c>
      <c r="J25" s="39"/>
      <c r="K25" s="39"/>
    </row>
    <row r="26" spans="1:11" ht="91.5" customHeight="1">
      <c r="A26" s="55" t="str">
        <v>Halsey Valley</v>
      </c>
      <c r="B26" s="27" t="str">
        <v>NY</v>
      </c>
      <c r="C26" s="24"/>
      <c r="D26" s="13"/>
      <c r="E26" s="13" t="str">
        <f t="shared" si="0"/>
        <v/>
      </c>
      <c r="F26" s="14" t="str">
        <f t="shared" si="1"/>
        <v/>
      </c>
      <c r="G26" s="15"/>
      <c r="H26" s="15" t="str">
        <f t="shared" si="2"/>
        <v/>
      </c>
      <c r="I26" s="16" t="str">
        <f t="shared" si="4"/>
        <v/>
      </c>
      <c r="J26" s="38"/>
      <c r="K26" s="38"/>
    </row>
    <row r="27" spans="1:11" ht="15.6">
      <c r="A27" s="28" t="str">
        <v>Hunt Creek</v>
      </c>
      <c r="B27" s="29" t="str">
        <v>NY</v>
      </c>
      <c r="C27" s="11"/>
      <c r="D27" s="18"/>
      <c r="E27" s="18" t="str">
        <f t="shared" si="0"/>
        <v/>
      </c>
      <c r="F27" s="19" t="str">
        <f t="shared" si="1"/>
        <v/>
      </c>
      <c r="G27" s="20"/>
      <c r="H27" s="20" t="str">
        <f t="shared" si="2"/>
        <v/>
      </c>
      <c r="I27" s="19" t="str">
        <f t="shared" si="4"/>
        <v/>
      </c>
      <c r="J27" s="39"/>
      <c r="K27" s="39"/>
    </row>
    <row r="28" spans="1:11" ht="24.6" customHeight="1">
      <c r="A28" s="55" t="str">
        <v>Smith Creek</v>
      </c>
      <c r="B28" s="27" t="str">
        <v>NY</v>
      </c>
      <c r="C28" s="24"/>
      <c r="D28" s="13"/>
      <c r="E28" s="13" t="str">
        <f t="shared" si="0"/>
        <v/>
      </c>
      <c r="F28" s="14" t="str">
        <f t="shared" si="1"/>
        <v/>
      </c>
      <c r="G28" s="15"/>
      <c r="H28" s="15" t="str">
        <f t="shared" si="2"/>
        <v/>
      </c>
      <c r="I28" s="16" t="str">
        <f t="shared" si="4"/>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t="str">
        <v>NY: New Windsor - Moores Hill</v>
      </c>
      <c r="B35" s="31" t="str">
        <v>NY</v>
      </c>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5"/>
  <sheetViews>
    <sheetView workbookViewId="0">
      <pane ySplit="3" topLeftCell="A4" activePane="bottomLeft" state="frozen"/>
      <selection pane="bottomLeft" activeCell="A23" sqref="A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865</v>
      </c>
      <c r="B1" s="45" t="s">
        <v>866</v>
      </c>
    </row>
    <row r="3" spans="1:12" ht="13.15">
      <c r="A3" t="s">
        <v>867</v>
      </c>
      <c r="B3" t="s">
        <v>3</v>
      </c>
      <c r="C3" t="s">
        <v>4</v>
      </c>
      <c r="D3" t="s">
        <v>868</v>
      </c>
      <c r="E3" s="2" t="s">
        <v>869</v>
      </c>
    </row>
    <row r="4" spans="1:12" ht="14.45">
      <c r="A4" s="46" t="s">
        <v>870</v>
      </c>
      <c r="B4" s="46" t="s">
        <v>871</v>
      </c>
      <c r="C4" s="46" t="s">
        <v>872</v>
      </c>
      <c r="D4" t="s">
        <v>873</v>
      </c>
      <c r="E4" s="46" t="s">
        <v>874</v>
      </c>
      <c r="G4" s="3"/>
    </row>
    <row r="5" spans="1:12" ht="14.45">
      <c r="A5" s="46" t="s">
        <v>875</v>
      </c>
      <c r="B5" s="46" t="s">
        <v>876</v>
      </c>
      <c r="C5" s="46" t="s">
        <v>872</v>
      </c>
      <c r="D5" t="s">
        <v>873</v>
      </c>
      <c r="E5" s="46" t="s">
        <v>874</v>
      </c>
      <c r="G5" s="3"/>
    </row>
    <row r="6" spans="1:12" ht="14.45">
      <c r="A6" s="46" t="s">
        <v>877</v>
      </c>
      <c r="B6" s="46" t="s">
        <v>877</v>
      </c>
      <c r="C6" s="46" t="s">
        <v>872</v>
      </c>
      <c r="D6" t="s">
        <v>873</v>
      </c>
      <c r="E6" s="46" t="s">
        <v>874</v>
      </c>
      <c r="G6" s="3"/>
    </row>
    <row r="7" spans="1:12" ht="12.75" customHeight="1">
      <c r="A7" s="46" t="s">
        <v>878</v>
      </c>
      <c r="B7" s="46" t="s">
        <v>878</v>
      </c>
      <c r="C7" s="46" t="s">
        <v>872</v>
      </c>
      <c r="D7" t="s">
        <v>873</v>
      </c>
      <c r="E7" s="46" t="s">
        <v>874</v>
      </c>
    </row>
    <row r="8" spans="1:12" ht="12.75" customHeight="1">
      <c r="A8" s="46" t="s">
        <v>879</v>
      </c>
      <c r="B8" s="46" t="s">
        <v>879</v>
      </c>
      <c r="C8" s="46" t="s">
        <v>872</v>
      </c>
      <c r="D8" t="s">
        <v>873</v>
      </c>
      <c r="E8" s="46" t="s">
        <v>874</v>
      </c>
    </row>
    <row r="9" spans="1:12" ht="12.75" customHeight="1">
      <c r="A9" s="46" t="s">
        <v>880</v>
      </c>
      <c r="B9" s="46" t="s">
        <v>880</v>
      </c>
      <c r="C9" s="46" t="s">
        <v>872</v>
      </c>
      <c r="D9" t="s">
        <v>873</v>
      </c>
      <c r="E9" s="46" t="s">
        <v>874</v>
      </c>
    </row>
    <row r="10" spans="1:12" ht="12.75" customHeight="1">
      <c r="A10" s="46" t="s">
        <v>881</v>
      </c>
      <c r="B10" s="46" t="s">
        <v>882</v>
      </c>
      <c r="C10" s="46" t="s">
        <v>872</v>
      </c>
      <c r="D10" t="s">
        <v>873</v>
      </c>
      <c r="E10" s="46" t="s">
        <v>874</v>
      </c>
      <c r="K10" s="40"/>
      <c r="L10" s="40"/>
    </row>
    <row r="11" spans="1:12" ht="12.75" customHeight="1">
      <c r="A11" s="46" t="s">
        <v>883</v>
      </c>
      <c r="B11" s="46" t="s">
        <v>884</v>
      </c>
      <c r="C11" s="46" t="s">
        <v>872</v>
      </c>
      <c r="D11" t="s">
        <v>873</v>
      </c>
      <c r="E11" s="46" t="s">
        <v>874</v>
      </c>
      <c r="K11" s="40"/>
      <c r="L11" s="40"/>
    </row>
    <row r="12" spans="1:12" ht="12.75" customHeight="1">
      <c r="A12" s="46" t="s">
        <v>885</v>
      </c>
      <c r="B12" s="46" t="s">
        <v>885</v>
      </c>
      <c r="C12" s="46" t="s">
        <v>886</v>
      </c>
      <c r="D12" t="s">
        <v>873</v>
      </c>
      <c r="E12" s="46" t="s">
        <v>874</v>
      </c>
      <c r="K12" s="40"/>
      <c r="L12" s="40"/>
    </row>
    <row r="13" spans="1:12" ht="12.75" customHeight="1">
      <c r="A13" s="46" t="s">
        <v>887</v>
      </c>
      <c r="B13" s="46" t="s">
        <v>888</v>
      </c>
      <c r="C13" s="46" t="s">
        <v>886</v>
      </c>
      <c r="D13" t="s">
        <v>873</v>
      </c>
      <c r="E13" s="46" t="s">
        <v>874</v>
      </c>
      <c r="K13" s="40"/>
      <c r="L13" s="40"/>
    </row>
    <row r="14" spans="1:12" ht="12.75" customHeight="1">
      <c r="A14" s="46" t="s">
        <v>889</v>
      </c>
      <c r="B14" s="46" t="s">
        <v>890</v>
      </c>
      <c r="C14" s="46" t="s">
        <v>886</v>
      </c>
      <c r="D14" t="s">
        <v>873</v>
      </c>
      <c r="E14" s="46" t="s">
        <v>874</v>
      </c>
      <c r="K14" s="40"/>
      <c r="L14" s="40"/>
    </row>
    <row r="15" spans="1:12" ht="12.75" customHeight="1">
      <c r="A15" s="46" t="s">
        <v>891</v>
      </c>
      <c r="B15" t="s">
        <v>892</v>
      </c>
      <c r="C15" s="46" t="s">
        <v>886</v>
      </c>
      <c r="E15" t="s">
        <v>893</v>
      </c>
      <c r="K15" s="40"/>
      <c r="L15" s="40"/>
    </row>
    <row r="16" spans="1:12" ht="12.75" customHeight="1">
      <c r="A16" s="46" t="s">
        <v>894</v>
      </c>
      <c r="B16" t="s">
        <v>895</v>
      </c>
      <c r="C16" s="46" t="s">
        <v>886</v>
      </c>
      <c r="E16" t="s">
        <v>893</v>
      </c>
      <c r="K16" s="40"/>
      <c r="L16" s="40"/>
    </row>
    <row r="17" spans="1:12" ht="12.75" customHeight="1">
      <c r="A17" s="46" t="s">
        <v>896</v>
      </c>
      <c r="B17" t="s">
        <v>897</v>
      </c>
      <c r="C17" s="46" t="s">
        <v>886</v>
      </c>
      <c r="E17" t="s">
        <v>893</v>
      </c>
      <c r="K17" s="40"/>
      <c r="L17" s="40"/>
    </row>
    <row r="18" spans="1:12" ht="12.75" customHeight="1">
      <c r="A18" s="46" t="s">
        <v>898</v>
      </c>
      <c r="B18" s="46" t="s">
        <v>899</v>
      </c>
      <c r="C18" s="46" t="s">
        <v>886</v>
      </c>
      <c r="D18" t="s">
        <v>873</v>
      </c>
      <c r="E18" s="46" t="s">
        <v>874</v>
      </c>
      <c r="K18" s="40"/>
      <c r="L18" s="40"/>
    </row>
    <row r="19" spans="1:12" ht="12.75" customHeight="1">
      <c r="A19" s="46" t="s">
        <v>900</v>
      </c>
      <c r="B19" s="46" t="s">
        <v>901</v>
      </c>
      <c r="C19" s="46" t="s">
        <v>886</v>
      </c>
      <c r="D19" t="s">
        <v>873</v>
      </c>
      <c r="E19" s="46" t="s">
        <v>874</v>
      </c>
      <c r="K19" s="40"/>
      <c r="L19" s="40"/>
    </row>
    <row r="20" spans="1:12" ht="12.75" customHeight="1">
      <c r="A20" s="46" t="s">
        <v>902</v>
      </c>
      <c r="B20" s="46" t="s">
        <v>902</v>
      </c>
      <c r="C20" s="46" t="s">
        <v>886</v>
      </c>
      <c r="D20" t="s">
        <v>873</v>
      </c>
      <c r="E20" s="46" t="s">
        <v>874</v>
      </c>
      <c r="K20" s="40"/>
      <c r="L20" s="40"/>
    </row>
    <row r="21" spans="1:12" ht="12.75" customHeight="1">
      <c r="A21" s="46" t="s">
        <v>903</v>
      </c>
      <c r="B21" s="46" t="s">
        <v>903</v>
      </c>
      <c r="C21" s="46" t="s">
        <v>886</v>
      </c>
      <c r="D21" t="s">
        <v>873</v>
      </c>
      <c r="E21" s="46" t="s">
        <v>874</v>
      </c>
      <c r="K21" s="40"/>
      <c r="L21" s="40"/>
    </row>
    <row r="22" spans="1:12" ht="12.75" customHeight="1">
      <c r="A22" s="46" t="s">
        <v>904</v>
      </c>
      <c r="B22" s="46" t="s">
        <v>904</v>
      </c>
      <c r="C22" s="46" t="s">
        <v>886</v>
      </c>
      <c r="D22" t="s">
        <v>873</v>
      </c>
      <c r="E22" s="46" t="s">
        <v>874</v>
      </c>
      <c r="K22" s="40"/>
      <c r="L22" s="40"/>
    </row>
    <row r="23" spans="1:12" ht="12.75" customHeight="1">
      <c r="A23" s="46" t="s">
        <v>905</v>
      </c>
      <c r="B23" t="s">
        <v>906</v>
      </c>
      <c r="C23" s="46" t="s">
        <v>886</v>
      </c>
      <c r="E23" t="s">
        <v>874</v>
      </c>
      <c r="K23" s="40"/>
      <c r="L23" s="40"/>
    </row>
    <row r="24" spans="1:12" ht="12.75" customHeight="1">
      <c r="A24" s="46" t="s">
        <v>907</v>
      </c>
      <c r="B24" s="46" t="s">
        <v>908</v>
      </c>
      <c r="C24" s="46" t="s">
        <v>886</v>
      </c>
      <c r="D24" t="s">
        <v>873</v>
      </c>
      <c r="E24" s="46" t="s">
        <v>874</v>
      </c>
      <c r="K24" s="40"/>
      <c r="L24" s="40"/>
    </row>
    <row r="25" spans="1:12" ht="12.75" customHeight="1">
      <c r="A25" s="46" t="s">
        <v>909</v>
      </c>
      <c r="B25" s="46" t="s">
        <v>910</v>
      </c>
      <c r="C25" s="46" t="s">
        <v>886</v>
      </c>
      <c r="D25" t="s">
        <v>873</v>
      </c>
      <c r="E25" s="46" t="s">
        <v>874</v>
      </c>
      <c r="K25" s="40"/>
      <c r="L25" s="40"/>
    </row>
    <row r="26" spans="1:12" ht="12.75" customHeight="1">
      <c r="A26" s="46" t="s">
        <v>911</v>
      </c>
      <c r="B26" s="46" t="s">
        <v>911</v>
      </c>
      <c r="C26" s="46" t="s">
        <v>912</v>
      </c>
      <c r="D26" t="s">
        <v>873</v>
      </c>
      <c r="E26" s="46" t="s">
        <v>874</v>
      </c>
      <c r="K26" s="40"/>
      <c r="L26" s="40"/>
    </row>
    <row r="27" spans="1:12" ht="12.75" customHeight="1">
      <c r="A27" s="46" t="s">
        <v>913</v>
      </c>
      <c r="B27" s="46" t="s">
        <v>914</v>
      </c>
      <c r="C27" s="46" t="s">
        <v>912</v>
      </c>
      <c r="D27" t="s">
        <v>873</v>
      </c>
      <c r="E27" s="46" t="s">
        <v>874</v>
      </c>
      <c r="K27" s="40"/>
      <c r="L27" s="40"/>
    </row>
    <row r="28" spans="1:12" ht="12.75" customHeight="1">
      <c r="A28" s="46" t="s">
        <v>915</v>
      </c>
      <c r="B28" s="46" t="s">
        <v>916</v>
      </c>
      <c r="C28" s="46" t="s">
        <v>912</v>
      </c>
      <c r="D28" t="s">
        <v>873</v>
      </c>
      <c r="E28" s="46" t="s">
        <v>874</v>
      </c>
      <c r="K28" s="40"/>
      <c r="L28" s="40"/>
    </row>
    <row r="29" spans="1:12" ht="12.75" customHeight="1">
      <c r="A29" s="46" t="s">
        <v>917</v>
      </c>
      <c r="B29" s="46" t="s">
        <v>918</v>
      </c>
      <c r="C29" s="46" t="s">
        <v>886</v>
      </c>
      <c r="E29" s="46" t="s">
        <v>919</v>
      </c>
      <c r="K29" s="40"/>
      <c r="L29" s="40"/>
    </row>
    <row r="30" spans="1:12" ht="12.75" customHeight="1">
      <c r="A30" s="62" t="s">
        <v>920</v>
      </c>
      <c r="B30" s="46" t="s">
        <v>921</v>
      </c>
      <c r="C30" s="63" t="s">
        <v>886</v>
      </c>
      <c r="E30" s="46" t="s">
        <v>919</v>
      </c>
      <c r="K30" s="40"/>
      <c r="L30" s="40"/>
    </row>
    <row r="31" spans="1:12" ht="12.75" customHeight="1">
      <c r="A31" s="62" t="s">
        <v>922</v>
      </c>
      <c r="B31" s="46" t="s">
        <v>923</v>
      </c>
      <c r="C31" s="63" t="s">
        <v>886</v>
      </c>
      <c r="E31" s="46" t="s">
        <v>919</v>
      </c>
      <c r="K31" s="40"/>
      <c r="L31" s="40"/>
    </row>
    <row r="32" spans="1:12" ht="12.75" customHeight="1">
      <c r="A32" s="62" t="s">
        <v>924</v>
      </c>
      <c r="B32" s="46" t="s">
        <v>925</v>
      </c>
      <c r="C32" s="63" t="s">
        <v>886</v>
      </c>
      <c r="E32" s="46" t="s">
        <v>919</v>
      </c>
    </row>
    <row r="33" spans="1:5" ht="12.75" customHeight="1">
      <c r="A33" s="62" t="s">
        <v>926</v>
      </c>
      <c r="B33" s="46" t="s">
        <v>927</v>
      </c>
      <c r="C33" s="63" t="s">
        <v>886</v>
      </c>
      <c r="E33" s="46" t="s">
        <v>919</v>
      </c>
    </row>
    <row r="34" spans="1:5" ht="12.75" customHeight="1">
      <c r="A34" s="62" t="s">
        <v>928</v>
      </c>
      <c r="B34" s="46" t="s">
        <v>929</v>
      </c>
      <c r="C34" s="63" t="s">
        <v>886</v>
      </c>
      <c r="E34" s="46" t="s">
        <v>919</v>
      </c>
    </row>
    <row r="35" spans="1:5" ht="12.75" customHeight="1">
      <c r="A35" s="62" t="s">
        <v>930</v>
      </c>
      <c r="B35" s="46" t="s">
        <v>931</v>
      </c>
      <c r="C35" s="84" t="s">
        <v>912</v>
      </c>
      <c r="D35" s="89" t="s">
        <v>873</v>
      </c>
      <c r="E35" s="46" t="s">
        <v>874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B32A2BC7-F86D-4993-8407-037ADF9FFD0B}"/>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2025-12-16T22:15:31Z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