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DC080466-C6DF-44C2-841D-1A2A9FDD8DFA}" xr6:coauthVersionLast="47" xr6:coauthVersionMax="47" xr10:uidLastSave="{00000000-0000-0000-0000-000000000000}"/>
  <bookViews>
    <workbookView xWindow="-108" yWindow="-108" windowWidth="23256" windowHeight="13896" tabRatio="866" firstSheet="15"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8" l="1"/>
  <c r="G4" i="30"/>
  <c r="G2" i="30" s="1"/>
  <c r="G4" i="29"/>
  <c r="C4" i="29"/>
  <c r="G2" i="18"/>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6" i="72"/>
  <c r="F6" i="72" s="1"/>
  <c r="H6" i="72"/>
  <c r="I6" i="72" s="1"/>
  <c r="G4" i="1"/>
  <c r="B4" i="34" a="1"/>
  <c r="B4" i="34" s="1"/>
  <c r="A4" i="34" a="1"/>
  <c r="A4" i="34" s="1"/>
  <c r="A1" i="34" a="1"/>
  <c r="A1" i="34" s="1"/>
  <c r="D4" i="30"/>
  <c r="D2" i="30" s="1"/>
  <c r="C4" i="30"/>
  <c r="D4" i="29"/>
  <c r="D4" i="18"/>
  <c r="D2" i="18" s="1"/>
  <c r="C4" i="18"/>
  <c r="B4" i="30" a="1"/>
  <c r="B4" i="30" s="1"/>
  <c r="A1" i="30" a="1"/>
  <c r="A1" i="30" s="1"/>
  <c r="B4" i="29" a="1"/>
  <c r="B4" i="29" s="1"/>
  <c r="A4" i="29" a="1"/>
  <c r="A4" i="29" s="1"/>
  <c r="G2" i="29"/>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H2" i="28" s="1"/>
  <c r="I2" i="28" s="1"/>
  <c r="A1" i="28" a="1"/>
  <c r="A1" i="28" s="1"/>
  <c r="H4" i="27"/>
  <c r="I4" i="27" s="1"/>
  <c r="E4" i="27"/>
  <c r="F4" i="27" s="1"/>
  <c r="G2" i="27"/>
  <c r="D2" i="27"/>
  <c r="C2" i="27"/>
  <c r="A1" i="27" a="1"/>
  <c r="A1" i="27" s="1"/>
  <c r="H5" i="26"/>
  <c r="E5" i="26"/>
  <c r="F5" i="26" s="1"/>
  <c r="H4" i="26"/>
  <c r="I4" i="26" s="1"/>
  <c r="E4" i="26"/>
  <c r="F4" i="26" s="1"/>
  <c r="G2" i="26"/>
  <c r="D2" i="26"/>
  <c r="C2" i="26"/>
  <c r="A1" i="26" a="1"/>
  <c r="A1" i="26" s="1"/>
  <c r="H5" i="19"/>
  <c r="I5" i="19" s="1"/>
  <c r="E5" i="19"/>
  <c r="F5" i="19" s="1"/>
  <c r="H4" i="19"/>
  <c r="I4" i="19" s="1"/>
  <c r="E4" i="19"/>
  <c r="F4" i="19" s="1"/>
  <c r="G2" i="19"/>
  <c r="D2" i="19"/>
  <c r="C2" i="19"/>
  <c r="A1" i="19" a="1"/>
  <c r="A1" i="19" s="1"/>
  <c r="H5" i="20"/>
  <c r="I5" i="20" s="1"/>
  <c r="E5" i="20"/>
  <c r="F5" i="20" s="1"/>
  <c r="H4" i="20"/>
  <c r="I4" i="20" s="1"/>
  <c r="E4" i="20"/>
  <c r="F4" i="20" s="1"/>
  <c r="G2" i="20"/>
  <c r="D2" i="20"/>
  <c r="C2" i="20"/>
  <c r="E2" i="20" s="1"/>
  <c r="F2" i="20" s="1"/>
  <c r="A1" i="20" a="1"/>
  <c r="A1" i="20" s="1"/>
  <c r="H5" i="21"/>
  <c r="I5" i="21" s="1"/>
  <c r="E5" i="21"/>
  <c r="F5" i="21" s="1"/>
  <c r="H4" i="21"/>
  <c r="I4" i="21" s="1"/>
  <c r="E4" i="21"/>
  <c r="F4" i="21" s="1"/>
  <c r="G2" i="21"/>
  <c r="D2" i="21"/>
  <c r="C2" i="21"/>
  <c r="H2" i="21" s="1"/>
  <c r="I2" i="21" s="1"/>
  <c r="A1" i="21" a="1"/>
  <c r="A1" i="21" s="1"/>
  <c r="H5" i="4"/>
  <c r="I5" i="4" s="1"/>
  <c r="E5" i="4"/>
  <c r="F5" i="4" s="1"/>
  <c r="H4" i="4"/>
  <c r="I4" i="4" s="1"/>
  <c r="E4" i="4"/>
  <c r="F4" i="4" s="1"/>
  <c r="G2" i="4"/>
  <c r="D2" i="4"/>
  <c r="C2" i="4"/>
  <c r="A1" i="4" a="1"/>
  <c r="A1" i="4" s="1"/>
  <c r="G2" i="3"/>
  <c r="D2" i="3"/>
  <c r="C2" i="3"/>
  <c r="J2" i="3" s="1"/>
  <c r="A1" i="3" a="1"/>
  <c r="A1" i="3" s="1"/>
  <c r="E5" i="72"/>
  <c r="F5" i="72" s="1"/>
  <c r="H5" i="72"/>
  <c r="I5" i="72" s="1"/>
  <c r="H4" i="72"/>
  <c r="I4" i="72" s="1"/>
  <c r="G2" i="72"/>
  <c r="D2" i="72"/>
  <c r="C2" i="72"/>
  <c r="J2" i="72" s="1"/>
  <c r="E4" i="72"/>
  <c r="F4" i="72" s="1"/>
  <c r="A1" i="72" a="1"/>
  <c r="A1" i="72" s="1"/>
  <c r="H2" i="32" l="1"/>
  <c r="I2" i="32" s="1"/>
  <c r="H2" i="4"/>
  <c r="I2" i="4" s="1"/>
  <c r="H2" i="33"/>
  <c r="I2" i="33" s="1"/>
  <c r="H2" i="31"/>
  <c r="I2" i="31" s="1"/>
  <c r="G4" i="34"/>
  <c r="G2" i="34" s="1"/>
  <c r="E4" i="18"/>
  <c r="F4" i="18" s="1"/>
  <c r="J2" i="4"/>
  <c r="J2" i="33"/>
  <c r="J2" i="21"/>
  <c r="J2" i="20"/>
  <c r="H2" i="19"/>
  <c r="I2" i="19" s="1"/>
  <c r="H2" i="26"/>
  <c r="I2" i="26" s="1"/>
  <c r="E2" i="28"/>
  <c r="F2" i="28" s="1"/>
  <c r="J2" i="19"/>
  <c r="D2" i="29"/>
  <c r="J2" i="26"/>
  <c r="H2" i="20"/>
  <c r="I2" i="20" s="1"/>
  <c r="J2" i="28"/>
  <c r="J2" i="31"/>
  <c r="E4" i="30"/>
  <c r="F4" i="30" s="1"/>
  <c r="J2" i="32"/>
  <c r="D4" i="34"/>
  <c r="D2" i="34" s="1"/>
  <c r="H2" i="27"/>
  <c r="I2" i="27" s="1"/>
  <c r="J2" i="27"/>
  <c r="H2" i="3"/>
  <c r="I2" i="3" s="1"/>
  <c r="G2" i="1"/>
  <c r="H4" i="30"/>
  <c r="I4" i="30" s="1"/>
  <c r="I5" i="26"/>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E4" i="34"/>
  <c r="F4" i="34" s="1"/>
  <c r="H2" i="1"/>
  <c r="I2" i="1" s="1"/>
  <c r="C2" i="34"/>
  <c r="H2" i="34" s="1"/>
  <c r="I2" i="34" s="1"/>
  <c r="I4" i="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<sst xmlns="http://schemas.openxmlformats.org/spreadsheetml/2006/main" count="275" uniqueCount="74">
  <si>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</si>
  <si>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</si>
  <si>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</si>
  <si>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</si>
  <si>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</si>
  <si>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</si>
  <si>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</si>
  <si>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</si>
  <si>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</si>
  <si>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</si>
  <si>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</si>
  <si>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</si>
  <si>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</si>
  <si>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</si>
  <si>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</si>
  <si>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</si>
  <si>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</si>
  <si>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</si>
  <si>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</si>
  <si>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</si>
  <si>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</si>
  <si>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</si>
  <si>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</si>
  <si>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</si>
  <si>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</si>
  <si>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</si>
  <si>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 xml:space="preserve">1.The site was offline from 07:45 AM to 02:03 PM on 03/14. MS Walker technicians re-energized the site by closing the recloser
2.Inverter 17 is underperforming by approximately 4 kW, possibly due to a string being down, when compared to Inverters 16 and 15
</t>
  </si>
  <si>
    <t>1.SR098583
2.SR098784</t>
  </si>
  <si>
    <t>April Actual v. Expected</t>
  </si>
  <si>
    <t>April Actual v. Forecasted</t>
  </si>
  <si>
    <t>N/A</t>
  </si>
  <si>
    <t>1.Inverter 17 is underperforming approximately 4kW,possibly string down from 03/14 at 14:30 when compared to Inv 16 &amp;15 which are of same strings.</t>
  </si>
  <si>
    <t>1.SR098784</t>
  </si>
  <si>
    <t>May Actual v. Expected</t>
  </si>
  <si>
    <t>May Actual v. Forecasted</t>
  </si>
  <si>
    <t xml:space="preserve">1.Inverter 17 is underperforming approximately 4kW,possibly string down from 03/14 at 14:30 when compared to Inv 16 &amp;15 which are of same strings.
2.Site was offline from 12:30 on 05/03 to 12:45 on 05/07 
   Site was offline from 15:15 on 05/16 to 06:30 on 05/19
   Site was offline from 12:45 on 05/27 to 08:15 on 05/28.
The site was back online after customer closed the recloser.Site was offline due to persistent communication failures with the DAS. The issue is currently under troubleshooting  </t>
  </si>
  <si>
    <t>1.SR098784
2.SR100966</t>
  </si>
  <si>
    <t>SR100966</t>
  </si>
  <si>
    <t>June Actual v. Expected</t>
  </si>
  <si>
    <t>June Actual v. Forecasted</t>
  </si>
  <si>
    <t>1.Site was offline almost for whole month due to persistent communication failures with the DAS. The issue is currently under troubleshooting  and Tavrida is being RMA'd.</t>
  </si>
  <si>
    <t xml:space="preserve">1.SR103715
</t>
  </si>
  <si>
    <t>July Actual v. Expected</t>
  </si>
  <si>
    <t>July Actual v. Forecasted</t>
  </si>
  <si>
    <t xml:space="preserve">1. Site was offline almost for whole month and is back online at 14:15 on 07/30 </t>
  </si>
  <si>
    <t>1.SR103715</t>
  </si>
  <si>
    <t>August Actual v. Expected</t>
  </si>
  <si>
    <t>August Actual v. Forecasted</t>
  </si>
  <si>
    <t>1. Site was not communicated from 17:45 on 08/15 to till date</t>
  </si>
  <si>
    <t>1. SR106454</t>
  </si>
  <si>
    <t>September Actual v. Expected</t>
  </si>
  <si>
    <t>September Actual v. Forecasted</t>
  </si>
  <si>
    <t>1. Site was not communicated for whole month.</t>
  </si>
  <si>
    <t>October Actual v. Expected</t>
  </si>
  <si>
    <t>October Actual v. Forecasted</t>
  </si>
  <si>
    <t>1. Site has no communication to DAS most of the days, later technician has found that the cell modem's APN was set incorrectly.  Error was fixed and the modem is back online from 20:00 on 10/25</t>
  </si>
  <si>
    <t>1.Pending</t>
  </si>
  <si>
    <t>November Actual v. Expected</t>
  </si>
  <si>
    <t>November Actual v. Forecasted</t>
  </si>
  <si>
    <t>Status</t>
  </si>
  <si>
    <t>1.Site stopped communicating at 09:00 on 11/19 and later communicating from 17:00 on 11/20
2. Modules need to be cleaned.
3. Energy values were not updated in Unity.Created #145158.</t>
  </si>
  <si>
    <t>1.SR111339
2. SR099579</t>
  </si>
  <si>
    <t>1.Closed
2.Pending</t>
  </si>
  <si>
    <t>SR099579</t>
  </si>
  <si>
    <t>December Actual v. Expected</t>
  </si>
  <si>
    <t>December Actual v. Forecasted</t>
  </si>
  <si>
    <t>Portfolio:</t>
  </si>
  <si>
    <t>MS Walker</t>
  </si>
  <si>
    <t>Site DAS Name</t>
  </si>
  <si>
    <t>Update</t>
  </si>
  <si>
    <t>DAS</t>
  </si>
  <si>
    <t>MA: MS Walker</t>
  </si>
  <si>
    <t>MA</t>
  </si>
  <si>
    <t>InAccess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</si>
</sst>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5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3" fontId="30" fillId="4" borderId="0" xfId="1" applyNumberFormat="1" applyFont="1" applyFill="1" applyBorder="1" applyAlignment="1">
      <alignment horizontal="right" vertical="center"/>
    </xf>
    <xf numFmtId="49" fontId="35" fillId="38" borderId="0" xfId="45" applyNumberFormat="1" applyFill="1" applyBorder="1" applyAlignment="1">
      <alignment horizontal="left" vertical="top" wrapText="1"/>
    </xf>
    <xf numFmtId="0" fontId="35" fillId="0" borderId="0" xfId="45" applyAlignment="1">
      <alignment vertical="top"/>
    </xf>
    <xf numFmtId="0" fontId="34" fillId="40" borderId="0" xfId="0" applyFont="1" applyFill="1" applyAlignment="1">
      <alignment horizontal="center" vertical="center"/>
    </xf>
    <xf numFmtId="0" fontId="0" fillId="0" borderId="0" xfId="0" applyAlignment="1">
      <alignment horizontal="left" vertical="top"/>
    </xf>
    <xf numFmtId="0" fontId="35" fillId="0" borderId="0" xfId="45" applyAlignment="1">
      <alignment horizontal="left" vertical="top"/>
    </xf>
    <xf numFmtId="3" fontId="30" fillId="4" borderId="0" xfId="1" applyNumberFormat="1" applyFont="1" applyFill="1" applyBorder="1" applyAlignment="1">
      <alignment horizontal="right"/>
    </xf>
    <xf numFmtId="0" fontId="0" fillId="0" borderId="0" xfId="0"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hyperlink" Target="https://us3.assetplanner.com/service_request?ID=098583"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us3.assetplanner.com/service_request?ID=098784"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us3.assetplanner.com/service_request?ID=100966" TargetMode="External"/><Relationship Id="rId1" Type="http://schemas.openxmlformats.org/officeDocument/2006/relationships/hyperlink" Target="https://us3.assetplanner.com/service_request?ID=098784"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s3.assetplanner.com/service_request?ID=103715"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us3.assetplanner.com/service_request?ID=103715"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us3.assetplanner.com/service_request?ID=106454"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us3.assetplanner.com/service_request?ID=106454"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us3.assetplanner.com/service_request?ID=106454"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us3.assetplanner.com/service_request?ID=099579" TargetMode="External"/><Relationship Id="rId1" Type="http://schemas.openxmlformats.org/officeDocument/2006/relationships/hyperlink" Target="https://us3.assetplanner.com/service_request?ID=111339"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02"/>
  <sheetViews>
    <sheetView workbookViewId="0">
      <pane ySplit="2" topLeftCell="A3" activePane="bottomLeft" state="frozen"/>
      <selection pane="bottomLeft" activeCell="G18" sqref="G18"/>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0</v>
      </c>
      <c r="E1" s="52"/>
      <c r="F1" s="52"/>
      <c r="G1" s="50" t="s">
        <v>1</v>
      </c>
      <c r="H1" s="50"/>
      <c r="I1" s="50"/>
    </row>
    <row r="2" spans="1:9" ht="19.5" customHeight="1">
      <c r="A2" s="53" t="s">
        <v>2</v>
      </c>
      <c r="B2" s="53"/>
      <c r="C2" s="6">
        <f>SUM(C4:C60)</f>
        <v>340938.83478999999</v>
      </c>
      <c r="D2" s="6">
        <f>SUM(D4:D60)</f>
        <v>0</v>
      </c>
      <c r="E2" s="6">
        <f>C2-D2</f>
        <v>340938.83478999999</v>
      </c>
      <c r="F2" s="7">
        <f>IFERROR(E2/D2, 0)</f>
        <v>0</v>
      </c>
      <c r="G2" s="6">
        <f>SUM(G4:G60)</f>
        <v>0</v>
      </c>
      <c r="H2" s="8">
        <f>C2-G2</f>
        <v>340938.83478999999</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SUM('1st Qtr'!C4, '2nd Qtr'!C4, '3rd Qtr'!C4, '4th Qtr'!C4)</f>
        <v>340938.83478999999</v>
      </c>
      <c r="D4" s="14">
        <f>SUM('1st Qtr'!D4, '2nd Qtr'!D4, '3rd Qtr'!D4, '4th Qtr'!D4)</f>
        <v>0</v>
      </c>
      <c r="E4" s="14">
        <f>IF(AND(ISNUMBER(C4),ISNUMBER(D4)), C4-D4, "")</f>
        <v>340938.83478999999</v>
      </c>
      <c r="F4" s="15" t="str">
        <f>IFERROR(E4/D4, "")</f>
        <v/>
      </c>
      <c r="G4" s="16">
        <f>SUM('1st Qtr'!G4,'2nd Qtr'!G4,'3rd Qtr'!G4,'4th Qtr'!G4)</f>
        <v>0</v>
      </c>
      <c r="H4" s="16">
        <f>SUM('1st Qtr'!H4, '2nd Qtr'!H4, '3rd Qtr'!H4, '4th Qtr'!H4)</f>
        <v>263082.23</v>
      </c>
      <c r="I4" s="17" t="str">
        <f>IFERROR(H4/G4, "")</f>
        <v/>
      </c>
    </row>
    <row r="5" spans="1:9" ht="13.9">
      <c r="A5" s="23"/>
      <c r="B5" s="23"/>
      <c r="C5" s="23"/>
      <c r="D5" s="23"/>
      <c r="E5" s="23"/>
      <c r="F5" s="24"/>
      <c r="G5" s="23"/>
      <c r="H5" s="23"/>
      <c r="I5" s="24"/>
    </row>
    <row r="6" spans="1:9" ht="13.9">
      <c r="A6" s="23"/>
      <c r="B6" s="23"/>
      <c r="C6" s="23"/>
      <c r="D6" s="23"/>
      <c r="E6" s="23"/>
      <c r="F6" s="24"/>
      <c r="G6" s="23"/>
      <c r="H6" s="23"/>
      <c r="I6" s="24"/>
    </row>
    <row r="7" spans="1:9" ht="13.9">
      <c r="A7" s="23"/>
      <c r="B7" s="23"/>
      <c r="C7" s="23"/>
      <c r="D7" s="23"/>
      <c r="E7" s="23"/>
      <c r="F7" s="24"/>
      <c r="G7" s="23"/>
      <c r="H7" s="23"/>
      <c r="I7" s="24"/>
    </row>
    <row r="8" spans="1:9" ht="13.9">
      <c r="A8" s="23"/>
      <c r="B8" s="23"/>
      <c r="C8" s="23"/>
      <c r="D8" s="23"/>
      <c r="E8" s="23"/>
      <c r="F8" s="24"/>
      <c r="G8" s="23"/>
      <c r="H8" s="23"/>
      <c r="I8" s="24"/>
    </row>
    <row r="9" spans="1:9" ht="13.9">
      <c r="A9" s="23"/>
      <c r="B9" s="23"/>
      <c r="C9" s="23"/>
      <c r="D9" s="23"/>
      <c r="E9" s="23"/>
      <c r="F9" s="24"/>
      <c r="G9" s="23"/>
      <c r="H9" s="23"/>
      <c r="I9" s="24"/>
    </row>
    <row r="10" spans="1:9" ht="13.9">
      <c r="A10" s="23"/>
      <c r="B10" s="23"/>
      <c r="C10" s="23"/>
      <c r="D10" s="23"/>
      <c r="E10" s="23"/>
      <c r="F10" s="24"/>
      <c r="G10" s="23"/>
      <c r="H10" s="23"/>
      <c r="I10" s="24"/>
    </row>
    <row r="11" spans="1:9" ht="13.9">
      <c r="A11" s="23"/>
      <c r="B11" s="23"/>
      <c r="C11" s="23"/>
      <c r="D11" s="23"/>
      <c r="E11" s="23"/>
      <c r="F11" s="24"/>
      <c r="G11" s="23"/>
      <c r="H11" s="23"/>
      <c r="I11" s="24"/>
    </row>
    <row r="12" spans="1:9" ht="13.9">
      <c r="A12" s="23"/>
      <c r="B12" s="23"/>
      <c r="C12" s="23"/>
      <c r="D12" s="23"/>
      <c r="E12" s="23"/>
      <c r="F12" s="24"/>
      <c r="G12" s="23"/>
      <c r="H12" s="23"/>
      <c r="I12" s="24"/>
    </row>
    <row r="13" spans="1:9" ht="13.9">
      <c r="A13" s="23"/>
      <c r="B13" s="23"/>
      <c r="C13" s="23"/>
      <c r="D13" s="23"/>
      <c r="E13" s="23"/>
      <c r="F13" s="24"/>
      <c r="G13" s="23"/>
      <c r="H13" s="23"/>
      <c r="I13" s="24"/>
    </row>
    <row r="14" spans="1:9" ht="13.9">
      <c r="A14" s="23"/>
      <c r="B14" s="23"/>
      <c r="C14" s="23"/>
      <c r="D14" s="23"/>
      <c r="E14" s="23"/>
      <c r="F14" s="24"/>
      <c r="G14" s="23"/>
      <c r="H14" s="23"/>
      <c r="I14" s="24"/>
    </row>
    <row r="15" spans="1:9" ht="13.9">
      <c r="A15" s="23"/>
      <c r="B15" s="23"/>
      <c r="C15" s="23"/>
      <c r="D15" s="23"/>
      <c r="E15" s="23"/>
      <c r="F15" s="24"/>
      <c r="G15" s="23"/>
      <c r="H15" s="23"/>
      <c r="I15" s="24"/>
    </row>
    <row r="16" spans="1:9"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F4:F60 I4:I60">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0"/>
  <sheetViews>
    <sheetView workbookViewId="0">
      <pane ySplit="2" topLeftCell="A3" activePane="bottomLeft" state="frozen"/>
      <selection pane="bottomLeft" activeCell="G4" sqref="G4"/>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10</v>
      </c>
      <c r="E1" s="52"/>
      <c r="F1" s="52"/>
      <c r="G1" s="50" t="s">
        <v>11</v>
      </c>
      <c r="H1" s="50"/>
      <c r="I1" s="50"/>
    </row>
    <row r="2" spans="1:9" ht="19.5" customHeight="1">
      <c r="A2" s="53" t="s">
        <v>2</v>
      </c>
      <c r="B2" s="53"/>
      <c r="C2" s="6">
        <f>SUM(C4:C68)</f>
        <v>121978.82800000001</v>
      </c>
      <c r="D2" s="6">
        <f>SUM(D4:D68)</f>
        <v>0</v>
      </c>
      <c r="E2" s="6">
        <f>C2-D2</f>
        <v>121978.82800000001</v>
      </c>
      <c r="F2" s="7">
        <f>IFERROR(E2/D2, 0)</f>
        <v>0</v>
      </c>
      <c r="G2" s="6">
        <f>SUM(G4:G68)</f>
        <v>0</v>
      </c>
      <c r="H2" s="8">
        <f>C2-G2</f>
        <v>121978.82800000001</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SUM(Jan!C4, Feb!C4, Mar!C4)</f>
        <v>121978.82800000001</v>
      </c>
      <c r="D4" s="14">
        <f>SUM(Jan!D4, Feb!D4, Mar!D4)</f>
        <v>0</v>
      </c>
      <c r="E4" s="14">
        <f>IF(AND(ISNUMBER(C4),ISNUMBER(D4)), C4-D4, "")</f>
        <v>121978.82800000001</v>
      </c>
      <c r="F4" s="15" t="str">
        <f>IFERROR(E4/D4, "")</f>
        <v/>
      </c>
      <c r="G4" s="16">
        <f>SUM(Jan!G4, Feb!G4, Mar!G4)</f>
        <v>0</v>
      </c>
      <c r="H4" s="16">
        <f>SUM(Jan!H4, Feb!H4, Mar!H4)</f>
        <v>121978.82800000001</v>
      </c>
      <c r="I4" s="17" t="str">
        <f>IFERROR(H4/G4, "")</f>
        <v/>
      </c>
    </row>
    <row r="5" spans="1:9" ht="13.9">
      <c r="A5" s="23"/>
      <c r="B5" s="23"/>
      <c r="C5" s="23"/>
      <c r="D5" s="23"/>
      <c r="E5" s="23"/>
      <c r="F5" s="24"/>
      <c r="G5" s="23"/>
      <c r="H5" s="23"/>
      <c r="I5" s="24"/>
    </row>
    <row r="6" spans="1:9" ht="13.9">
      <c r="A6" s="23"/>
      <c r="B6" s="23"/>
      <c r="C6" s="23"/>
      <c r="D6" s="23"/>
      <c r="E6" s="23"/>
      <c r="F6" s="24"/>
      <c r="G6" s="23"/>
      <c r="H6" s="23"/>
      <c r="I6" s="24"/>
    </row>
    <row r="7" spans="1:9" ht="13.9">
      <c r="A7" s="23"/>
      <c r="B7" s="23"/>
      <c r="C7" s="23"/>
      <c r="D7" s="23"/>
      <c r="E7" s="23"/>
      <c r="F7" s="24"/>
      <c r="G7" s="23"/>
      <c r="H7" s="23"/>
      <c r="I7" s="24"/>
    </row>
    <row r="8" spans="1:9" ht="13.9">
      <c r="A8" s="23"/>
      <c r="B8" s="23"/>
      <c r="C8" s="23"/>
      <c r="D8" s="23"/>
      <c r="E8" s="23"/>
      <c r="F8" s="24"/>
      <c r="G8" s="23"/>
      <c r="H8" s="23"/>
      <c r="I8" s="24"/>
    </row>
    <row r="9" spans="1:9" ht="13.9">
      <c r="A9" s="23"/>
      <c r="B9" s="23"/>
      <c r="C9" s="23"/>
      <c r="D9" s="23"/>
      <c r="E9" s="23"/>
      <c r="F9" s="24"/>
      <c r="G9" s="23"/>
      <c r="H9" s="23"/>
      <c r="I9" s="24"/>
    </row>
    <row r="10" spans="1:9" ht="13.9">
      <c r="A10" s="23"/>
      <c r="B10" s="23"/>
      <c r="C10" s="23"/>
      <c r="D10" s="23"/>
      <c r="E10" s="23"/>
      <c r="F10" s="24"/>
      <c r="G10" s="23"/>
      <c r="H10" s="23"/>
      <c r="I10" s="24"/>
    </row>
    <row r="11" spans="1:9" ht="13.9">
      <c r="A11" s="23"/>
      <c r="B11" s="23"/>
      <c r="C11" s="23"/>
      <c r="D11" s="23"/>
      <c r="E11" s="23"/>
      <c r="F11" s="24"/>
      <c r="G11" s="23"/>
      <c r="H11" s="23"/>
      <c r="I11" s="24"/>
    </row>
    <row r="12" spans="1:9" ht="13.9">
      <c r="A12" s="23"/>
      <c r="B12" s="23"/>
      <c r="C12" s="23"/>
      <c r="D12" s="23"/>
      <c r="E12" s="23"/>
      <c r="F12" s="24"/>
      <c r="G12" s="23"/>
      <c r="H12" s="23"/>
      <c r="I12" s="24"/>
    </row>
    <row r="13" spans="1:9" ht="13.9">
      <c r="A13" s="23"/>
      <c r="B13" s="23"/>
      <c r="C13" s="23"/>
      <c r="D13" s="23"/>
      <c r="E13" s="23"/>
      <c r="F13" s="24"/>
      <c r="G13" s="23"/>
      <c r="H13" s="23"/>
      <c r="I13" s="24"/>
    </row>
    <row r="14" spans="1:9" ht="13.9">
      <c r="A14" s="23"/>
      <c r="B14" s="23"/>
      <c r="C14" s="23"/>
      <c r="D14" s="23"/>
      <c r="E14" s="23"/>
      <c r="F14" s="24"/>
      <c r="G14" s="23"/>
      <c r="H14" s="23"/>
      <c r="I14" s="24"/>
    </row>
    <row r="15" spans="1:9" ht="13.9">
      <c r="A15" s="23"/>
      <c r="B15" s="23"/>
      <c r="C15" s="23"/>
      <c r="D15" s="23"/>
      <c r="E15" s="23"/>
      <c r="F15" s="24"/>
      <c r="G15" s="23"/>
      <c r="H15" s="23"/>
      <c r="I15" s="24"/>
    </row>
    <row r="16" spans="1:9"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F4:F68 I4:I68">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2"/>
  <sheetViews>
    <sheetView workbookViewId="0">
      <pane ySplit="2" topLeftCell="A3" activePane="bottomLeft" state="frozen"/>
      <selection pane="bottomLeft" activeCell="G9" sqref="G9"/>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12</v>
      </c>
      <c r="E1" s="52"/>
      <c r="F1" s="52"/>
      <c r="G1" s="50" t="s">
        <v>13</v>
      </c>
      <c r="H1" s="50"/>
      <c r="I1" s="50"/>
    </row>
    <row r="2" spans="1:9" ht="19.5" customHeight="1">
      <c r="A2" s="53" t="s">
        <v>2</v>
      </c>
      <c r="B2" s="53"/>
      <c r="C2" s="6">
        <f>SUM(C4:C90)</f>
        <v>174443.772</v>
      </c>
      <c r="D2" s="6">
        <f>SUM(D4:D90)</f>
        <v>0</v>
      </c>
      <c r="E2" s="6">
        <f>C2-D2</f>
        <v>174443.772</v>
      </c>
      <c r="F2" s="7">
        <f>IFERROR(E2/D2, 0)</f>
        <v>0</v>
      </c>
      <c r="G2" s="6">
        <f>SUM(G4:G90)</f>
        <v>0</v>
      </c>
      <c r="H2" s="8">
        <f>C2-G2</f>
        <v>174443.772</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SUM(Apr!C4, May!C4, Jun!C4)</f>
        <v>174443.772</v>
      </c>
      <c r="D4" s="14">
        <f>SUM(Apr!D4, May!D4, Jun!D4)</f>
        <v>0</v>
      </c>
      <c r="E4" s="14">
        <f>IF(AND(ISNUMBER(C4),ISNUMBER(D4)), C4-D4, "")</f>
        <v>174443.772</v>
      </c>
      <c r="F4" s="15" t="str">
        <f>IFERROR(E4/D4, "")</f>
        <v/>
      </c>
      <c r="G4" s="16">
        <f>SUM(Apr!G4,May!G4,Jun!G4)</f>
        <v>0</v>
      </c>
      <c r="H4" s="16">
        <f>SUM(Apr!H4, May!H4, Jun!H4)</f>
        <v>141103.402</v>
      </c>
      <c r="I4" s="17" t="str">
        <f>IFERROR(H4/G4, "")</f>
        <v/>
      </c>
    </row>
    <row r="5" spans="1:9" ht="15.6">
      <c r="A5" s="19"/>
      <c r="B5" s="11"/>
      <c r="C5" s="12"/>
      <c r="D5" s="20"/>
      <c r="E5" s="20"/>
      <c r="F5" s="21"/>
      <c r="G5" s="22"/>
      <c r="H5" s="22"/>
      <c r="I5" s="21"/>
    </row>
    <row r="6" spans="1:9" ht="13.9">
      <c r="A6" s="23"/>
      <c r="B6" s="23"/>
      <c r="C6" s="23"/>
      <c r="D6" s="23"/>
      <c r="E6" s="23"/>
      <c r="F6" s="23"/>
      <c r="G6" s="23"/>
      <c r="H6" s="23"/>
      <c r="I6" s="23"/>
    </row>
    <row r="7" spans="1:9" ht="13.9">
      <c r="A7" s="23"/>
      <c r="B7" s="23"/>
      <c r="C7" s="23"/>
      <c r="D7" s="23"/>
      <c r="E7" s="23"/>
      <c r="F7" s="23"/>
      <c r="G7" s="23"/>
      <c r="H7" s="23"/>
      <c r="I7" s="23"/>
    </row>
    <row r="8" spans="1:9" ht="12.75" customHeight="1">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F4:F90 I4:I9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1"/>
  <sheetViews>
    <sheetView workbookViewId="0">
      <pane ySplit="2" topLeftCell="A3" activePane="bottomLeft" state="frozen"/>
      <selection pane="bottomLeft" activeCell="G4" sqref="G4"/>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14</v>
      </c>
      <c r="E1" s="52"/>
      <c r="F1" s="52"/>
      <c r="G1" s="50" t="s">
        <v>15</v>
      </c>
      <c r="H1" s="50"/>
      <c r="I1" s="50"/>
    </row>
    <row r="2" spans="1:9" ht="19.5" customHeight="1">
      <c r="A2" s="53" t="s">
        <v>2</v>
      </c>
      <c r="B2" s="53"/>
      <c r="C2" s="6">
        <f>SUM(C4:C89)</f>
        <v>44516.234790000002</v>
      </c>
      <c r="D2" s="6">
        <f>SUM(D4:D89)</f>
        <v>0</v>
      </c>
      <c r="E2" s="6">
        <f>C2-D2</f>
        <v>44516.234790000002</v>
      </c>
      <c r="F2" s="7">
        <f>IFERROR(E2/D2, 0)</f>
        <v>0</v>
      </c>
      <c r="G2" s="6">
        <f>SUM(G4:G89)</f>
        <v>0</v>
      </c>
      <c r="H2" s="8">
        <f>C2-G2</f>
        <v>44516.234790000002</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SUM(Jul!C4, Aug!C4, Sep!C4)</f>
        <v>44516.234790000002</v>
      </c>
      <c r="D4" s="14">
        <f>SUM(Jul!D4, Aug!D4, Sep!D4)</f>
        <v>0</v>
      </c>
      <c r="E4" s="14">
        <f>IF(AND(ISNUMBER(C4),ISNUMBER(D4)), C4-D4, "")</f>
        <v>44516.234790000002</v>
      </c>
      <c r="F4" s="15" t="str">
        <f>IFERROR(E4/D4, "")</f>
        <v/>
      </c>
      <c r="G4" s="16">
        <f>SUM(Jul!G4, Aug!G4, Sep!G4)</f>
        <v>0</v>
      </c>
      <c r="H4" s="16">
        <f>SUM(Jul!H4, Aug!H4, Sep!H4)</f>
        <v>0</v>
      </c>
      <c r="I4" s="17" t="str">
        <f>IFERROR(H4/G4, "")</f>
        <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F4:F89 I4:I8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1"/>
  <sheetViews>
    <sheetView workbookViewId="0">
      <pane ySplit="2" topLeftCell="A3" activePane="bottomLeft" state="frozen"/>
      <selection pane="bottomLeft" activeCell="E19" sqref="E19"/>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16</v>
      </c>
      <c r="E1" s="52"/>
      <c r="F1" s="52"/>
      <c r="G1" s="50" t="s">
        <v>17</v>
      </c>
      <c r="H1" s="50"/>
      <c r="I1" s="50"/>
    </row>
    <row r="2" spans="1:9" ht="19.5" customHeight="1">
      <c r="A2" s="53" t="s">
        <v>2</v>
      </c>
      <c r="B2" s="53"/>
      <c r="C2" s="6">
        <f>SUM(C4:C89)</f>
        <v>0</v>
      </c>
      <c r="D2" s="6">
        <f>SUM(D4:D89)</f>
        <v>0</v>
      </c>
      <c r="E2" s="6">
        <f>C2-D2</f>
        <v>0</v>
      </c>
      <c r="F2" s="7">
        <f>IFERROR(E2/D2, 0)</f>
        <v>0</v>
      </c>
      <c r="G2" s="6">
        <f>SUM(G4:G89)</f>
        <v>0</v>
      </c>
      <c r="H2" s="8">
        <f>C2-G2</f>
        <v>0</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F4:F89 I4:I89">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1"/>
  <sheetViews>
    <sheetView zoomScale="90" zoomScaleNormal="90" workbookViewId="0">
      <pane ySplit="3" topLeftCell="A4" activePane="bottomLeft" state="frozen"/>
      <selection pane="bottomLeft" activeCell="F14" sqref="F1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18</v>
      </c>
      <c r="E1" s="52"/>
      <c r="F1" s="52"/>
      <c r="G1" s="50" t="s">
        <v>19</v>
      </c>
      <c r="H1" s="50"/>
      <c r="I1" s="50"/>
      <c r="J1" s="5"/>
      <c r="K1" s="5"/>
    </row>
    <row r="2" spans="1:11" ht="19.5" customHeight="1">
      <c r="A2" s="53" t="s">
        <v>2</v>
      </c>
      <c r="B2" s="53"/>
      <c r="C2" s="6">
        <f>SUM(C4:C89)</f>
        <v>29177.128000000001</v>
      </c>
      <c r="D2" s="6">
        <f>SUM(D4:D89)</f>
        <v>0</v>
      </c>
      <c r="E2" s="6">
        <f>C2-D2</f>
        <v>29177.128000000001</v>
      </c>
      <c r="F2" s="7">
        <f>IFERROR(E2/D2, 0)</f>
        <v>0</v>
      </c>
      <c r="G2" s="6">
        <f>SUM(G4:G89)</f>
        <v>0</v>
      </c>
      <c r="H2" s="8">
        <f>C2-G2</f>
        <v>29177.128000000001</v>
      </c>
      <c r="I2" s="7">
        <f>IFERROR(H2/G2, 0)</f>
        <v>0</v>
      </c>
      <c r="J2" s="28" t="str">
        <f ca="1">IF(AND(TODAY()&gt;DATE(2024, 1, 1), COUNTA(Sites[Site])&lt;&gt;(COUNT(C:C)-1)), "Some sites are missing actual data; if new sites were added, make sure they are aligned correctly (including prior months!)", "")</f>
        <v/>
      </c>
      <c r="K2" s="5"/>
    </row>
    <row r="3" spans="1:11" ht="14.25" customHeight="1">
      <c r="A3" s="29" t="s">
        <v>3</v>
      </c>
      <c r="B3" s="9" t="s">
        <v>4</v>
      </c>
      <c r="C3" s="25" t="s">
        <v>5</v>
      </c>
      <c r="D3" s="36" t="s">
        <v>6</v>
      </c>
      <c r="E3" s="36" t="s">
        <v>7</v>
      </c>
      <c r="F3" s="37" t="s">
        <v>8</v>
      </c>
      <c r="G3" s="41" t="s">
        <v>9</v>
      </c>
      <c r="H3" s="39" t="s">
        <v>7</v>
      </c>
      <c r="I3" s="40" t="s">
        <v>8</v>
      </c>
      <c r="J3" s="27" t="s">
        <v>20</v>
      </c>
      <c r="K3" s="27" t="s">
        <v>21</v>
      </c>
    </row>
    <row r="4" spans="1:11" ht="15.6">
      <c r="A4" s="33" t="str" cm="1">
        <f t="array" ref="A4">Sites[Site]</f>
        <v>MA: MS Walker</v>
      </c>
      <c r="B4" s="30" t="str" cm="1">
        <f t="array" ref="B4">Sites[State]</f>
        <v>MA</v>
      </c>
      <c r="C4" s="26">
        <v>29177.128000000001</v>
      </c>
      <c r="D4" s="14">
        <v>0</v>
      </c>
      <c r="E4" s="14">
        <f>IF(AND(ISNUMBER(C4),ISNUMBER(D4)), C4-D4, "")</f>
        <v>29177.128000000001</v>
      </c>
      <c r="F4" s="15" t="str">
        <f>IFERROR(E4/D4, "")</f>
        <v/>
      </c>
      <c r="G4" s="42">
        <v>0</v>
      </c>
      <c r="H4" s="16">
        <f>IF(AND(ISNUMBER(C4),ISNUMBER(G4)), C4-G4, "")</f>
        <v>29177.128000000001</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t="str">
        <f t="shared" ref="E6" si="4">IF(AND(ISNUMBER(C6),ISNUMBER(D6)), C6-D6, "")</f>
        <v/>
      </c>
      <c r="F6" s="23" t="str">
        <f t="shared" ref="F6" si="5">IFERROR(E6/D6, "")</f>
        <v/>
      </c>
      <c r="G6" s="23"/>
      <c r="H6" s="23" t="str">
        <f t="shared" ref="H6" si="6">IF(AND(ISNUMBER(C6),ISNUMBER(G6)), C6-G6, "")</f>
        <v/>
      </c>
      <c r="I6" s="23" t="str">
        <f t="shared" ref="I6" si="7">IFERROR(H6/G6, "")</f>
        <v/>
      </c>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sheetData>
  <mergeCells count="4">
    <mergeCell ref="D1:F1"/>
    <mergeCell ref="A1:C1"/>
    <mergeCell ref="G1:I1"/>
    <mergeCell ref="A2:B2"/>
  </mergeCells>
  <conditionalFormatting sqref="F2 I2 F4:F89 I4:I89">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7"/>
  <sheetViews>
    <sheetView workbookViewId="0">
      <pane ySplit="2" topLeftCell="A3" activePane="bottomLeft" state="frozen"/>
      <selection pane="bottomLeft" activeCell="D4" sqref="D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22</v>
      </c>
      <c r="E1" s="52"/>
      <c r="F1" s="52"/>
      <c r="G1" s="50" t="s">
        <v>23</v>
      </c>
      <c r="H1" s="50"/>
      <c r="I1" s="50"/>
      <c r="J1" s="5"/>
      <c r="K1" s="5"/>
    </row>
    <row r="2" spans="1:11" ht="19.5" customHeight="1">
      <c r="A2" s="53" t="s">
        <v>2</v>
      </c>
      <c r="B2" s="53"/>
      <c r="C2" s="6">
        <f>SUM(C4:C85)</f>
        <v>27473.4</v>
      </c>
      <c r="D2" s="6">
        <f>SUM(D4:D85)</f>
        <v>0</v>
      </c>
      <c r="E2" s="6">
        <f>C2-D2</f>
        <v>27473.4</v>
      </c>
      <c r="F2" s="7">
        <f>IFERROR(E2/D2, 0)</f>
        <v>0</v>
      </c>
      <c r="G2" s="6">
        <f>SUM(G4:G85)</f>
        <v>0</v>
      </c>
      <c r="H2" s="8">
        <f>C2-G2</f>
        <v>27473.4</v>
      </c>
      <c r="I2" s="7">
        <f>IFERROR(H2/G2, 0)</f>
        <v>0</v>
      </c>
      <c r="J2" s="28" t="str">
        <f ca="1">IF(AND(TODAY()&gt;DATE(2024, 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v>27473.4</v>
      </c>
      <c r="D4" s="14">
        <v>0</v>
      </c>
      <c r="E4" s="14">
        <f>IF(AND(ISNUMBER(C4),ISNUMBER(D4)), C4-D4, "")</f>
        <v>27473.4</v>
      </c>
      <c r="F4" s="15" t="str">
        <f>IFERROR(E4/D4, "")</f>
        <v/>
      </c>
      <c r="G4" s="42">
        <v>0</v>
      </c>
      <c r="H4" s="16">
        <f>IF(AND(ISNUMBER(C4),ISNUMBER(G4)), C4-G4, "")</f>
        <v>27473.4</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F4:F85 I4:I85">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32"/>
  <sheetViews>
    <sheetView zoomScale="80" zoomScaleNormal="80" workbookViewId="0">
      <pane ySplit="2" topLeftCell="A3" activePane="bottomLeft" state="frozen"/>
      <selection pane="bottomLeft" activeCell="F10" sqref="F10"/>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1" t="str" cm="1">
        <f t="array" ref="A1">portfolio</f>
        <v>MS Walker</v>
      </c>
      <c r="B1" s="51"/>
      <c r="C1" s="51"/>
      <c r="D1" s="52" t="s">
        <v>24</v>
      </c>
      <c r="E1" s="52"/>
      <c r="F1" s="52"/>
      <c r="G1" s="50" t="s">
        <v>25</v>
      </c>
      <c r="H1" s="50"/>
      <c r="I1" s="50"/>
      <c r="J1" s="5"/>
      <c r="K1" s="5"/>
    </row>
    <row r="2" spans="1:12" ht="19.5" customHeight="1">
      <c r="A2" s="53" t="s">
        <v>2</v>
      </c>
      <c r="B2" s="53"/>
      <c r="C2" s="6">
        <f>SUM(C4:C90)</f>
        <v>65328.3</v>
      </c>
      <c r="D2" s="6">
        <f>SUM(D4:D90)</f>
        <v>0</v>
      </c>
      <c r="E2" s="6">
        <f>C2-D2</f>
        <v>65328.3</v>
      </c>
      <c r="F2" s="7">
        <f>IFERROR(E2/D2, 0)</f>
        <v>0</v>
      </c>
      <c r="G2" s="6">
        <f>SUM(G4:G90)</f>
        <v>0</v>
      </c>
      <c r="H2" s="8">
        <f>C2-G2</f>
        <v>65328.3</v>
      </c>
      <c r="I2" s="7">
        <f>IFERROR(H2/G2, 0)</f>
        <v>0</v>
      </c>
      <c r="J2" s="28" t="str">
        <f ca="1">IF(AND(TODAY()&gt;DATE(2024, 3, 1), COUNTA(Sites[Site])&lt;&gt;(COUNT(C:C)-1)), "Some sites are missing actual data; if new sites were added, make sure they are aligned correctly (including prior months!)", "")</f>
        <v/>
      </c>
      <c r="K2" s="5"/>
    </row>
    <row r="3" spans="1:12" ht="14.25" customHeight="1">
      <c r="A3" s="9" t="s">
        <v>3</v>
      </c>
      <c r="B3" s="9" t="s">
        <v>4</v>
      </c>
      <c r="C3" s="25" t="s">
        <v>5</v>
      </c>
      <c r="D3" s="36" t="s">
        <v>6</v>
      </c>
      <c r="E3" s="36" t="s">
        <v>7</v>
      </c>
      <c r="F3" s="37" t="s">
        <v>8</v>
      </c>
      <c r="G3" s="38" t="s">
        <v>9</v>
      </c>
      <c r="H3" s="39" t="s">
        <v>7</v>
      </c>
      <c r="I3" s="40" t="s">
        <v>8</v>
      </c>
      <c r="J3" s="27" t="s">
        <v>20</v>
      </c>
      <c r="K3" s="27" t="s">
        <v>21</v>
      </c>
    </row>
    <row r="4" spans="1:12" ht="72">
      <c r="A4" s="33" t="str" cm="1">
        <f t="array" ref="A4">Sites[Site]</f>
        <v>MA: MS Walker</v>
      </c>
      <c r="B4" s="30" t="str" cm="1">
        <f t="array" ref="B4">Sites[State]</f>
        <v>MA</v>
      </c>
      <c r="C4" s="26">
        <v>65328.3</v>
      </c>
      <c r="D4" s="14">
        <v>0</v>
      </c>
      <c r="E4" s="14">
        <f>IF(AND(ISNUMBER(C4),ISNUMBER(D4)), C4-D4, "")</f>
        <v>65328.3</v>
      </c>
      <c r="F4" s="15" t="str">
        <f>IFERROR(E4/D4, "")</f>
        <v/>
      </c>
      <c r="G4" s="42">
        <v>0</v>
      </c>
      <c r="H4" s="16">
        <f>IF(AND(ISNUMBER(C4),ISNUMBER(G4)), C4-G4, "")</f>
        <v>65328.3</v>
      </c>
      <c r="I4" s="17" t="str">
        <f>IFERROR(H4/G4, "")</f>
        <v/>
      </c>
      <c r="J4" s="18" t="s">
        <v>26</v>
      </c>
      <c r="K4" s="43" t="s">
        <v>27</v>
      </c>
      <c r="L4" s="44"/>
    </row>
    <row r="5" spans="1:12"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5">
      <c r="A6" s="23"/>
      <c r="B6" s="34"/>
      <c r="C6" s="23"/>
      <c r="D6" s="23"/>
      <c r="E6" s="23"/>
      <c r="F6" s="23"/>
      <c r="G6" s="23"/>
      <c r="H6" s="23"/>
      <c r="I6" s="23"/>
      <c r="J6" s="23"/>
      <c r="K6" s="23"/>
    </row>
    <row r="7" spans="1:12" ht="14.45">
      <c r="A7" s="23"/>
      <c r="B7" s="34"/>
      <c r="C7" s="23"/>
      <c r="D7" s="23"/>
      <c r="E7" s="23"/>
      <c r="F7" s="23"/>
      <c r="G7" s="23"/>
      <c r="H7" s="23"/>
      <c r="I7" s="23"/>
      <c r="J7" s="23"/>
      <c r="K7" s="23"/>
    </row>
    <row r="8" spans="1:12" ht="12.75" customHeight="1">
      <c r="A8" s="23"/>
      <c r="B8" s="34"/>
      <c r="C8" s="23"/>
      <c r="D8" s="23"/>
      <c r="E8" s="23"/>
      <c r="F8" s="23"/>
      <c r="G8" s="23"/>
      <c r="H8" s="23"/>
      <c r="I8" s="23"/>
      <c r="J8" s="23"/>
      <c r="K8" s="23"/>
    </row>
    <row r="9" spans="1:12" ht="14.45">
      <c r="A9" s="23"/>
      <c r="B9" s="34"/>
      <c r="C9" s="23"/>
      <c r="D9" s="23"/>
      <c r="E9" s="23"/>
      <c r="F9" s="23"/>
      <c r="G9" s="23"/>
      <c r="H9" s="23"/>
      <c r="I9" s="23"/>
      <c r="J9" s="23"/>
      <c r="K9" s="23"/>
    </row>
    <row r="10" spans="1:12" ht="14.45">
      <c r="A10" s="23"/>
      <c r="B10" s="34"/>
      <c r="C10" s="23"/>
      <c r="D10" s="23"/>
      <c r="E10" s="23"/>
      <c r="F10" s="23"/>
      <c r="G10" s="23"/>
      <c r="H10" s="23"/>
      <c r="I10" s="23"/>
      <c r="J10" s="23"/>
      <c r="K10" s="23"/>
    </row>
    <row r="11" spans="1:12" ht="14.45">
      <c r="A11" s="23"/>
      <c r="B11" s="34"/>
      <c r="C11" s="23"/>
      <c r="D11" s="23"/>
      <c r="E11" s="23"/>
      <c r="F11" s="23"/>
      <c r="G11" s="23"/>
      <c r="H11" s="23"/>
      <c r="I11" s="23"/>
      <c r="J11" s="23"/>
      <c r="K11" s="23"/>
    </row>
    <row r="12" spans="1:12" ht="14.45">
      <c r="A12" s="23"/>
      <c r="B12" s="34"/>
      <c r="C12" s="23"/>
      <c r="D12" s="23"/>
      <c r="E12" s="23"/>
      <c r="F12" s="23"/>
      <c r="G12" s="23"/>
      <c r="H12" s="23"/>
      <c r="I12" s="23"/>
      <c r="J12" s="23"/>
      <c r="K12" s="23"/>
    </row>
    <row r="13" spans="1:12" ht="14.45">
      <c r="A13" s="23"/>
      <c r="B13" s="34"/>
      <c r="C13" s="23"/>
      <c r="D13" s="23"/>
      <c r="E13" s="23"/>
      <c r="F13" s="23"/>
      <c r="G13" s="23"/>
      <c r="H13" s="23"/>
      <c r="I13" s="23"/>
      <c r="J13" s="23"/>
      <c r="K13" s="23"/>
    </row>
    <row r="14" spans="1:12" ht="14.45">
      <c r="A14" s="23"/>
      <c r="B14" s="34"/>
      <c r="C14" s="23"/>
      <c r="D14" s="23"/>
      <c r="E14" s="23"/>
      <c r="F14" s="23"/>
      <c r="G14" s="23"/>
      <c r="H14" s="23"/>
      <c r="I14" s="23"/>
      <c r="J14" s="23"/>
      <c r="K14" s="23"/>
    </row>
    <row r="15" spans="1:12" ht="14.45">
      <c r="A15" s="23"/>
      <c r="B15" s="34"/>
      <c r="C15" s="23"/>
      <c r="D15" s="23"/>
      <c r="E15" s="23"/>
      <c r="F15" s="23"/>
      <c r="G15" s="23"/>
      <c r="H15" s="23"/>
      <c r="I15" s="23"/>
      <c r="J15" s="23"/>
      <c r="K15" s="23"/>
    </row>
    <row r="16" spans="1:1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2" priority="1" stopIfTrue="1" operator="lessThanOrEqual">
      <formula>-0.1</formula>
    </cfRule>
    <cfRule type="expression" dxfId="21" priority="2">
      <formula>AND(ISNUMBER(F2), F2&gt;=0.1)</formula>
    </cfRule>
  </conditionalFormatting>
  <hyperlinks>
    <hyperlink ref="K4" r:id="rId1" display="https://us3.assetplanner.com/service_request?ID=098583" xr:uid="{6FFA8704-A7C8-4388-BDC7-120F413A49A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topLeftCell="D1" workbookViewId="0">
      <pane ySplit="2" topLeftCell="A3" activePane="bottomLeft" state="frozen"/>
      <selection pane="bottomLeft" activeCell="G6" sqref="G6"/>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28</v>
      </c>
      <c r="E1" s="52"/>
      <c r="F1" s="52"/>
      <c r="G1" s="50" t="s">
        <v>29</v>
      </c>
      <c r="H1" s="50"/>
      <c r="I1" s="50"/>
      <c r="J1" s="5"/>
      <c r="K1" s="5"/>
    </row>
    <row r="2" spans="1:11" ht="19.5" customHeight="1">
      <c r="A2" s="53" t="s">
        <v>2</v>
      </c>
      <c r="B2" s="53"/>
      <c r="C2" s="6">
        <f>SUM(C4:C90)</f>
        <v>79195</v>
      </c>
      <c r="D2" s="6">
        <f>SUM(D4:D90)</f>
        <v>0</v>
      </c>
      <c r="E2" s="6">
        <f>C2-D2</f>
        <v>79195</v>
      </c>
      <c r="F2" s="7">
        <f>IFERROR(E2/D2, 0)</f>
        <v>0</v>
      </c>
      <c r="G2" s="6">
        <f>SUM(G4:G90)</f>
        <v>0</v>
      </c>
      <c r="H2" s="8">
        <f>C2-G2</f>
        <v>79195</v>
      </c>
      <c r="I2" s="7">
        <f>IFERROR(H2/G2, 0)</f>
        <v>0</v>
      </c>
      <c r="J2" s="28" t="str">
        <f ca="1">IF(AND(TODAY()&gt;DATE(2024, 4,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28.9">
      <c r="A4" s="33" t="str" cm="1">
        <f t="array" ref="A4">Sites[Site]</f>
        <v>MA: MS Walker</v>
      </c>
      <c r="B4" s="30" t="str" cm="1">
        <f t="array" ref="B4">Sites[State]</f>
        <v>MA</v>
      </c>
      <c r="C4" s="26">
        <v>79195</v>
      </c>
      <c r="D4" s="14" t="s">
        <v>30</v>
      </c>
      <c r="E4" s="14" t="str">
        <f>IF(AND(ISNUMBER(C4),ISNUMBER(D4)), C4-D4, "")</f>
        <v/>
      </c>
      <c r="F4" s="15" t="str">
        <f>IFERROR(E4/D4, "")</f>
        <v/>
      </c>
      <c r="G4" s="42">
        <v>0</v>
      </c>
      <c r="H4" s="16">
        <f>IF(AND(ISNUMBER(C4),ISNUMBER(G4)), C4-G4, "")</f>
        <v>79195</v>
      </c>
      <c r="I4" s="17" t="str">
        <f>IFERROR(H4/G4, "")</f>
        <v/>
      </c>
      <c r="J4" s="18" t="s">
        <v>31</v>
      </c>
      <c r="K4" s="43" t="s">
        <v>32</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0" priority="1" stopIfTrue="1" operator="lessThanOrEqual">
      <formula>-0.1</formula>
    </cfRule>
    <cfRule type="expression" dxfId="19" priority="2">
      <formula>AND(ISNUMBER(F2), F2&gt;=0.1)</formula>
    </cfRule>
  </conditionalFormatting>
  <hyperlinks>
    <hyperlink ref="K4" r:id="rId1" display="https://us3.assetplanner.com/service_request?ID=098784" xr:uid="{4CF3A914-EEC8-4E4F-B15C-340E9E4F711F}"/>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32"/>
  <sheetViews>
    <sheetView topLeftCell="E1" workbookViewId="0">
      <pane ySplit="2" topLeftCell="A3" activePane="bottomLeft" state="frozen"/>
      <selection pane="bottomLeft" activeCell="J4" sqref="J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6"/>
  </cols>
  <sheetData>
    <row r="1" spans="1:12" ht="19.5" customHeight="1">
      <c r="A1" s="51" t="str" cm="1">
        <f t="array" ref="A1">portfolio</f>
        <v>MS Walker</v>
      </c>
      <c r="B1" s="51"/>
      <c r="C1" s="51"/>
      <c r="D1" s="52" t="s">
        <v>33</v>
      </c>
      <c r="E1" s="52"/>
      <c r="F1" s="52"/>
      <c r="G1" s="50" t="s">
        <v>34</v>
      </c>
      <c r="H1" s="50"/>
      <c r="I1" s="50"/>
      <c r="J1" s="5"/>
      <c r="K1" s="5"/>
    </row>
    <row r="2" spans="1:12" ht="19.5" customHeight="1">
      <c r="A2" s="53" t="s">
        <v>2</v>
      </c>
      <c r="B2" s="53"/>
      <c r="C2" s="6">
        <f>SUM(C4:C90)</f>
        <v>61908.402000000002</v>
      </c>
      <c r="D2" s="6">
        <f>SUM(D4:D90)</f>
        <v>0</v>
      </c>
      <c r="E2" s="6">
        <f>C2-D2</f>
        <v>61908.402000000002</v>
      </c>
      <c r="F2" s="7">
        <f>IFERROR(E2/D2, 0)</f>
        <v>0</v>
      </c>
      <c r="G2" s="6">
        <f>SUM(G4:G90)</f>
        <v>0</v>
      </c>
      <c r="H2" s="8">
        <f>C2-G2</f>
        <v>61908.402000000002</v>
      </c>
      <c r="I2" s="7">
        <f>IFERROR(H2/G2, 0)</f>
        <v>0</v>
      </c>
      <c r="J2" s="28" t="str">
        <f ca="1">IF(AND(TODAY()&gt;DATE(2024, 5, 1), COUNTA(Sites[Site])&lt;&gt;(COUNT(C:C)-1)), "Some sites are missing actual data; if new sites were added, make sure they are aligned correctly (including prior months!)", "")</f>
        <v/>
      </c>
      <c r="K2" s="5"/>
    </row>
    <row r="3" spans="1:12" ht="14.25" customHeight="1">
      <c r="A3" s="9" t="s">
        <v>3</v>
      </c>
      <c r="B3" s="9" t="s">
        <v>4</v>
      </c>
      <c r="C3" s="25" t="s">
        <v>5</v>
      </c>
      <c r="D3" s="36" t="s">
        <v>6</v>
      </c>
      <c r="E3" s="36" t="s">
        <v>7</v>
      </c>
      <c r="F3" s="37" t="s">
        <v>8</v>
      </c>
      <c r="G3" s="38" t="s">
        <v>9</v>
      </c>
      <c r="H3" s="39" t="s">
        <v>7</v>
      </c>
      <c r="I3" s="40" t="s">
        <v>8</v>
      </c>
      <c r="J3" s="27" t="s">
        <v>20</v>
      </c>
      <c r="K3" s="27" t="s">
        <v>21</v>
      </c>
    </row>
    <row r="4" spans="1:12" ht="115.15">
      <c r="A4" s="45" t="str" cm="1">
        <f t="array" ref="A4">Sites[Site]</f>
        <v>MA: MS Walker</v>
      </c>
      <c r="B4" s="30" t="str" cm="1">
        <f t="array" ref="B4">Sites[State]</f>
        <v>MA</v>
      </c>
      <c r="C4" s="26">
        <v>61908.402000000002</v>
      </c>
      <c r="D4" s="14">
        <v>0</v>
      </c>
      <c r="E4" s="14">
        <f>IF(AND(ISNUMBER(C4),ISNUMBER(D4)), C4-D4, "")</f>
        <v>61908.402000000002</v>
      </c>
      <c r="F4" s="15" t="str">
        <f>IFERROR(E4/D4, "")</f>
        <v/>
      </c>
      <c r="G4" s="42">
        <v>0</v>
      </c>
      <c r="H4" s="16">
        <f>IF(AND(ISNUMBER(C4),ISNUMBER(G4)), C4-G4, "")</f>
        <v>61908.402000000002</v>
      </c>
      <c r="I4" s="17" t="str">
        <f>IFERROR(H4/G4, "")</f>
        <v/>
      </c>
      <c r="J4" s="18" t="s">
        <v>35</v>
      </c>
      <c r="K4" s="43" t="s">
        <v>36</v>
      </c>
      <c r="L4" s="47" t="s">
        <v>37</v>
      </c>
    </row>
    <row r="5" spans="1:12"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5">
      <c r="A6" s="23"/>
      <c r="B6" s="34"/>
      <c r="C6" s="23"/>
      <c r="D6" s="23"/>
      <c r="E6" s="23"/>
      <c r="F6" s="23"/>
      <c r="G6" s="23"/>
      <c r="H6" s="23"/>
      <c r="I6" s="23"/>
      <c r="J6" s="23"/>
      <c r="K6" s="23"/>
    </row>
    <row r="7" spans="1:12" ht="14.45">
      <c r="A7" s="23"/>
      <c r="B7" s="34"/>
      <c r="C7" s="23"/>
      <c r="D7" s="23"/>
      <c r="E7" s="23"/>
      <c r="F7" s="23"/>
      <c r="G7" s="23"/>
      <c r="H7" s="23"/>
      <c r="I7" s="23"/>
      <c r="J7" s="23"/>
      <c r="K7" s="23"/>
    </row>
    <row r="8" spans="1:12" ht="12.75" customHeight="1">
      <c r="A8" s="23"/>
      <c r="B8" s="34"/>
      <c r="C8" s="23"/>
      <c r="D8" s="23"/>
      <c r="E8" s="23"/>
      <c r="F8" s="23"/>
      <c r="G8" s="23"/>
      <c r="H8" s="23"/>
      <c r="I8" s="23"/>
      <c r="J8" s="23"/>
      <c r="K8" s="23"/>
    </row>
    <row r="9" spans="1:12" ht="14.45">
      <c r="A9" s="23"/>
      <c r="B9" s="34"/>
      <c r="C9" s="23"/>
      <c r="D9" s="23"/>
      <c r="E9" s="23"/>
      <c r="F9" s="23"/>
      <c r="G9" s="23"/>
      <c r="H9" s="23"/>
      <c r="I9" s="23"/>
      <c r="J9" s="23"/>
      <c r="K9" s="23"/>
    </row>
    <row r="10" spans="1:12" ht="14.45">
      <c r="A10" s="23"/>
      <c r="B10" s="34"/>
      <c r="C10" s="23"/>
      <c r="D10" s="23"/>
      <c r="E10" s="23"/>
      <c r="F10" s="23"/>
      <c r="G10" s="23"/>
      <c r="H10" s="23"/>
      <c r="I10" s="23"/>
      <c r="J10" s="23"/>
      <c r="K10" s="23"/>
    </row>
    <row r="11" spans="1:12" ht="14.45">
      <c r="A11" s="23"/>
      <c r="B11" s="34"/>
      <c r="C11" s="23"/>
      <c r="D11" s="23"/>
      <c r="E11" s="23"/>
      <c r="F11" s="23"/>
      <c r="G11" s="23"/>
      <c r="H11" s="23"/>
      <c r="I11" s="23"/>
      <c r="J11" s="23"/>
      <c r="K11" s="23"/>
    </row>
    <row r="12" spans="1:12" ht="14.45">
      <c r="A12" s="23"/>
      <c r="B12" s="34"/>
      <c r="C12" s="23"/>
      <c r="D12" s="23"/>
      <c r="E12" s="23"/>
      <c r="F12" s="23"/>
      <c r="G12" s="23"/>
      <c r="H12" s="23"/>
      <c r="I12" s="23"/>
      <c r="J12" s="23"/>
      <c r="K12" s="23"/>
    </row>
    <row r="13" spans="1:12" ht="14.45">
      <c r="A13" s="23"/>
      <c r="B13" s="34"/>
      <c r="C13" s="23"/>
      <c r="D13" s="23"/>
      <c r="E13" s="23"/>
      <c r="F13" s="23"/>
      <c r="G13" s="23"/>
      <c r="H13" s="23"/>
      <c r="I13" s="23"/>
      <c r="J13" s="23"/>
      <c r="K13" s="23"/>
    </row>
    <row r="14" spans="1:12" ht="14.45">
      <c r="A14" s="23"/>
      <c r="B14" s="34"/>
      <c r="C14" s="23"/>
      <c r="D14" s="23"/>
      <c r="E14" s="23"/>
      <c r="F14" s="23"/>
      <c r="G14" s="23"/>
      <c r="H14" s="23"/>
      <c r="I14" s="23"/>
      <c r="J14" s="23"/>
      <c r="K14" s="23"/>
    </row>
    <row r="15" spans="1:12" ht="14.45">
      <c r="A15" s="23"/>
      <c r="B15" s="34"/>
      <c r="C15" s="23"/>
      <c r="D15" s="23"/>
      <c r="E15" s="23"/>
      <c r="F15" s="23"/>
      <c r="G15" s="23"/>
      <c r="H15" s="23"/>
      <c r="I15" s="23"/>
      <c r="J15" s="23"/>
      <c r="K15" s="23"/>
    </row>
    <row r="16" spans="1:1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hyperlinks>
    <hyperlink ref="K4" r:id="rId1" display="https://us3.assetplanner.com/service_request?ID=098784" xr:uid="{D2AFEDF4-EF03-460A-8142-1A0BBDDA7F5E}"/>
    <hyperlink ref="L4" r:id="rId2" display="https://us3.assetplanner.com/service_request?ID=100966" xr:uid="{F14445B8-B187-4CB9-AEE1-DEE371480FD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zoomScale="80" zoomScaleNormal="80" workbookViewId="0">
      <pane ySplit="2" topLeftCell="A3" activePane="bottomLeft" state="frozen"/>
      <selection pane="bottomLeft" activeCell="K34" sqref="A33:K3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38</v>
      </c>
      <c r="E1" s="52"/>
      <c r="F1" s="52"/>
      <c r="G1" s="50" t="s">
        <v>39</v>
      </c>
      <c r="H1" s="50"/>
      <c r="I1" s="50"/>
      <c r="J1" s="5"/>
      <c r="K1" s="5"/>
    </row>
    <row r="2" spans="1:11" ht="19.5" customHeight="1">
      <c r="A2" s="53" t="s">
        <v>2</v>
      </c>
      <c r="B2" s="53"/>
      <c r="C2" s="6">
        <f>SUM(C4:C90)</f>
        <v>33340.370000000003</v>
      </c>
      <c r="D2" s="6">
        <f>SUM(D4:D90)</f>
        <v>0</v>
      </c>
      <c r="E2" s="6">
        <f>C2-D2</f>
        <v>33340.370000000003</v>
      </c>
      <c r="F2" s="7">
        <f>IFERROR(E2/D2, 0)</f>
        <v>0</v>
      </c>
      <c r="G2" s="6">
        <f>SUM(G4:G90)</f>
        <v>0</v>
      </c>
      <c r="H2" s="8">
        <f>C2-G2</f>
        <v>33340.370000000003</v>
      </c>
      <c r="I2" s="7">
        <f>IFERROR(H2/G2, 0)</f>
        <v>0</v>
      </c>
      <c r="J2" s="28" t="str">
        <f ca="1">IF(AND(TODAY()&gt;DATE(2024, 6,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43.15">
      <c r="A4" s="33" t="str" cm="1">
        <f t="array" ref="A4">Sites[Site]</f>
        <v>MA: MS Walker</v>
      </c>
      <c r="B4" s="30" t="str" cm="1">
        <f t="array" ref="B4">Sites[State]</f>
        <v>MA</v>
      </c>
      <c r="C4" s="26">
        <v>33340.370000000003</v>
      </c>
      <c r="D4" s="14" t="s">
        <v>30</v>
      </c>
      <c r="E4" s="14" t="str">
        <f>IF(AND(ISNUMBER(C4),ISNUMBER(D4)), C4-D4, "")</f>
        <v/>
      </c>
      <c r="F4" s="15" t="str">
        <f>IFERROR(E4/D4, "")</f>
        <v/>
      </c>
      <c r="G4" s="48" t="s">
        <v>30</v>
      </c>
      <c r="H4" s="16" t="str">
        <f>IF(AND(ISNUMBER(C4),ISNUMBER(G4)), C4-G4, "")</f>
        <v/>
      </c>
      <c r="I4" s="17" t="str">
        <f>IFERROR(H4/G4, "")</f>
        <v/>
      </c>
      <c r="J4" s="18" t="s">
        <v>40</v>
      </c>
      <c r="K4" s="43" t="s">
        <v>41</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hyperlinks>
    <hyperlink ref="K4" r:id="rId1" display="https://us3.assetplanner.com/service_request?ID=103715" xr:uid="{0EC34683-6AF5-4B8E-80D4-8C6974F473C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tabSelected="1" workbookViewId="0">
      <pane ySplit="2" topLeftCell="A3" activePane="bottomLeft" state="frozen"/>
      <selection pane="bottomLeft" activeCell="K4" sqref="K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42</v>
      </c>
      <c r="E1" s="52"/>
      <c r="F1" s="52"/>
      <c r="G1" s="50" t="s">
        <v>43</v>
      </c>
      <c r="H1" s="50"/>
      <c r="I1" s="50"/>
      <c r="J1" s="5"/>
      <c r="K1" s="5"/>
    </row>
    <row r="2" spans="1:11" ht="19.5" customHeight="1">
      <c r="A2" s="53" t="s">
        <v>2</v>
      </c>
      <c r="B2" s="53"/>
      <c r="C2" s="6">
        <f>SUM(C4:C90)</f>
        <v>1048.7</v>
      </c>
      <c r="D2" s="6">
        <f>SUM(D4:D90)</f>
        <v>0</v>
      </c>
      <c r="E2" s="6">
        <f>C2-D2</f>
        <v>1048.7</v>
      </c>
      <c r="F2" s="7">
        <f>IFERROR(E2/D2, 0)</f>
        <v>0</v>
      </c>
      <c r="G2" s="6">
        <f>SUM(G4:G90)</f>
        <v>0</v>
      </c>
      <c r="H2" s="8">
        <f>C2-G2</f>
        <v>1048.7</v>
      </c>
      <c r="I2" s="7">
        <f>IFERROR(H2/G2, 0)</f>
        <v>0</v>
      </c>
      <c r="J2" s="28" t="str">
        <f ca="1">IF(AND(TODAY()&gt;DATE(2024, 7,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v>1048.7</v>
      </c>
      <c r="D4" s="14" t="s">
        <v>30</v>
      </c>
      <c r="E4" s="14" t="str">
        <f>IF(AND(ISNUMBER(C4),ISNUMBER(D4)), C4-D4, "")</f>
        <v/>
      </c>
      <c r="F4" s="15" t="str">
        <f>IFERROR(E4/D4, "")</f>
        <v/>
      </c>
      <c r="G4" s="48" t="s">
        <v>30</v>
      </c>
      <c r="H4" s="16" t="str">
        <f>IF(AND(ISNUMBER(C4),ISNUMBER(G4)), C4-G4, "")</f>
        <v/>
      </c>
      <c r="I4" s="17" t="str">
        <f>IFERROR(H4/G4, "")</f>
        <v/>
      </c>
      <c r="J4" s="18" t="s">
        <v>44</v>
      </c>
      <c r="K4" s="43" t="s">
        <v>45</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4" priority="1" stopIfTrue="1" operator="lessThanOrEqual">
      <formula>-0.1</formula>
    </cfRule>
    <cfRule type="expression" dxfId="13" priority="2">
      <formula>AND(ISNUMBER(F2), F2&gt;=0.1)</formula>
    </cfRule>
  </conditionalFormatting>
  <hyperlinks>
    <hyperlink ref="K4" r:id="rId1" display="https://us3.assetplanner.com/service_request?ID=103715" xr:uid="{2ECD0FB9-99F0-4A37-A3BE-859008B4225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zoomScale="90" zoomScaleNormal="90" workbookViewId="0">
      <pane ySplit="2" topLeftCell="A3" activePane="bottomLeft" state="frozen"/>
      <selection pane="bottomLeft" activeCell="J13" sqref="J13"/>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46</v>
      </c>
      <c r="E1" s="52"/>
      <c r="F1" s="52"/>
      <c r="G1" s="50" t="s">
        <v>47</v>
      </c>
      <c r="H1" s="50"/>
      <c r="I1" s="50"/>
      <c r="J1" s="5"/>
      <c r="K1" s="5"/>
    </row>
    <row r="2" spans="1:11" ht="19.5" customHeight="1">
      <c r="A2" s="53" t="s">
        <v>2</v>
      </c>
      <c r="B2" s="53"/>
      <c r="C2" s="6">
        <f>SUM(C4:C30)</f>
        <v>43467.534790000005</v>
      </c>
      <c r="D2" s="6">
        <f>SUM(D4:D30)</f>
        <v>0</v>
      </c>
      <c r="E2" s="6">
        <f>C2-D2</f>
        <v>43467.534790000005</v>
      </c>
      <c r="F2" s="7">
        <f>IFERROR(E2/D2, 0)</f>
        <v>0</v>
      </c>
      <c r="G2" s="6">
        <f>SUM(G4:G30)</f>
        <v>0</v>
      </c>
      <c r="H2" s="8">
        <f>C2-G2</f>
        <v>43467.534790000005</v>
      </c>
      <c r="I2" s="7">
        <f>IFERROR(H2/G2, 0)</f>
        <v>0</v>
      </c>
      <c r="J2" s="28" t="str">
        <f ca="1">IF(AND(TODAY()&gt;DATE(2024, 8,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v>43467.534790000005</v>
      </c>
      <c r="D4" s="14" t="s">
        <v>30</v>
      </c>
      <c r="E4" s="14" t="str">
        <f>IF(AND(ISNUMBER(C4),ISNUMBER(D4)), C4-D4, "")</f>
        <v/>
      </c>
      <c r="F4" s="15" t="str">
        <f>IFERROR(E4/D4, "")</f>
        <v/>
      </c>
      <c r="G4" s="48" t="s">
        <v>30</v>
      </c>
      <c r="H4" s="16" t="str">
        <f>IF(AND(ISNUMBER(C4),ISNUMBER(G4)), C4-G4, "")</f>
        <v/>
      </c>
      <c r="I4" s="17" t="str">
        <f>IFERROR(H4/G4, "")</f>
        <v/>
      </c>
      <c r="J4" s="18" t="s">
        <v>48</v>
      </c>
      <c r="K4" s="43" t="s">
        <v>49</v>
      </c>
    </row>
    <row r="5" spans="1:11" ht="14.45">
      <c r="A5" s="23"/>
      <c r="B5" s="34"/>
      <c r="C5" s="23"/>
      <c r="D5" s="23"/>
      <c r="E5" s="23"/>
      <c r="F5" s="24"/>
      <c r="G5" s="23"/>
      <c r="H5" s="23"/>
      <c r="I5" s="24"/>
      <c r="J5" s="23"/>
      <c r="K5" s="23"/>
    </row>
    <row r="6" spans="1:11" ht="14.45">
      <c r="A6" s="23"/>
      <c r="B6" s="34"/>
      <c r="C6" s="23"/>
      <c r="D6" s="23"/>
      <c r="E6" s="23"/>
      <c r="F6" s="24"/>
      <c r="G6" s="23"/>
      <c r="H6" s="23"/>
      <c r="I6" s="24"/>
      <c r="J6" s="23"/>
      <c r="K6" s="23"/>
    </row>
    <row r="7" spans="1:11" ht="14.45">
      <c r="A7" s="23"/>
      <c r="B7" s="34"/>
      <c r="C7" s="23"/>
      <c r="D7" s="23"/>
      <c r="E7" s="23"/>
      <c r="F7" s="24"/>
      <c r="G7" s="23"/>
      <c r="H7" s="23"/>
      <c r="I7" s="24"/>
      <c r="J7" s="23"/>
      <c r="K7" s="23"/>
    </row>
    <row r="8" spans="1:11" ht="14.45">
      <c r="A8" s="23"/>
      <c r="B8" s="34"/>
      <c r="C8" s="23"/>
      <c r="D8" s="23"/>
      <c r="E8" s="23"/>
      <c r="F8" s="24"/>
      <c r="G8" s="23"/>
      <c r="H8" s="23"/>
      <c r="I8" s="24"/>
      <c r="J8" s="23"/>
      <c r="K8" s="23"/>
    </row>
    <row r="9" spans="1:11" ht="14.45">
      <c r="A9" s="23"/>
      <c r="B9" s="34"/>
      <c r="C9" s="23"/>
      <c r="D9" s="23"/>
      <c r="E9" s="23"/>
      <c r="F9" s="24"/>
      <c r="G9" s="23"/>
      <c r="H9" s="23"/>
      <c r="I9" s="24"/>
      <c r="J9" s="23"/>
      <c r="K9" s="23"/>
    </row>
    <row r="10" spans="1:11" ht="14.45">
      <c r="A10" s="23"/>
      <c r="B10" s="34"/>
      <c r="C10" s="23"/>
      <c r="D10" s="23"/>
      <c r="E10" s="23"/>
      <c r="F10" s="24"/>
      <c r="G10" s="23"/>
      <c r="H10" s="23"/>
      <c r="I10" s="24"/>
      <c r="J10" s="23"/>
      <c r="K10" s="23"/>
    </row>
    <row r="11" spans="1:11" ht="14.45">
      <c r="A11" s="23"/>
      <c r="B11" s="34"/>
      <c r="C11" s="23"/>
      <c r="D11" s="23"/>
      <c r="E11" s="23"/>
      <c r="F11" s="24"/>
      <c r="G11" s="23"/>
      <c r="H11" s="23"/>
      <c r="I11" s="24"/>
      <c r="J11" s="23"/>
      <c r="K11" s="23"/>
    </row>
    <row r="12" spans="1:11" ht="14.45">
      <c r="A12" s="23"/>
      <c r="B12" s="34"/>
      <c r="C12" s="23"/>
      <c r="D12" s="23"/>
      <c r="E12" s="23"/>
      <c r="F12" s="24"/>
      <c r="G12" s="23"/>
      <c r="H12" s="23"/>
      <c r="I12" s="24"/>
      <c r="J12" s="23"/>
      <c r="K12" s="23"/>
    </row>
    <row r="13" spans="1:11" ht="14.45">
      <c r="A13" s="23"/>
      <c r="B13" s="34"/>
      <c r="C13" s="23"/>
      <c r="D13" s="23"/>
      <c r="E13" s="23"/>
      <c r="F13" s="24"/>
      <c r="G13" s="23"/>
      <c r="H13" s="23"/>
      <c r="I13" s="24"/>
      <c r="J13" s="23"/>
      <c r="K13" s="23"/>
    </row>
    <row r="14" spans="1:11" ht="14.45">
      <c r="A14" s="23"/>
      <c r="B14" s="34"/>
      <c r="C14" s="23"/>
      <c r="D14" s="23"/>
      <c r="E14" s="23"/>
      <c r="F14" s="24"/>
      <c r="G14" s="23"/>
      <c r="H14" s="23"/>
      <c r="I14" s="24"/>
      <c r="J14" s="23"/>
      <c r="K14" s="23"/>
    </row>
    <row r="15" spans="1:11" ht="14.45">
      <c r="A15" s="23"/>
      <c r="B15" s="34"/>
      <c r="C15" s="23"/>
      <c r="D15" s="23"/>
      <c r="E15" s="23"/>
      <c r="F15" s="24"/>
      <c r="G15" s="23"/>
      <c r="H15" s="23"/>
      <c r="I15" s="24"/>
      <c r="J15" s="23"/>
      <c r="K15" s="23"/>
    </row>
    <row r="16" spans="1:11"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F4:F30 I4:I30">
    <cfRule type="cellIs" dxfId="12" priority="1" stopIfTrue="1" operator="lessThanOrEqual">
      <formula>-0.1</formula>
    </cfRule>
    <cfRule type="expression" dxfId="11" priority="2">
      <formula>AND(ISNUMBER(F2), F2&gt;=0.1)</formula>
    </cfRule>
  </conditionalFormatting>
  <hyperlinks>
    <hyperlink ref="K4" r:id="rId1" display="https://us3.assetplanner.com/service_request?ID=106454" xr:uid="{34B7852F-93C5-4F4A-9915-D16F4C5665DA}"/>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K21" sqref="A21:K21"/>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50</v>
      </c>
      <c r="E1" s="52"/>
      <c r="F1" s="52"/>
      <c r="G1" s="50" t="s">
        <v>51</v>
      </c>
      <c r="H1" s="50"/>
      <c r="I1" s="50"/>
      <c r="J1" s="5"/>
      <c r="K1" s="5"/>
    </row>
    <row r="2" spans="1:11" ht="19.5" customHeight="1">
      <c r="A2" s="53" t="s">
        <v>2</v>
      </c>
      <c r="B2" s="53"/>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v>0</v>
      </c>
      <c r="D4" s="14" t="s">
        <v>30</v>
      </c>
      <c r="E4" s="14" t="str">
        <f>IF(AND(ISNUMBER(C4),ISNUMBER(D4)), C4-D4, "")</f>
        <v/>
      </c>
      <c r="F4" s="15" t="str">
        <f>IFERROR(E4/D4, "")</f>
        <v/>
      </c>
      <c r="G4" s="48" t="s">
        <v>30</v>
      </c>
      <c r="H4" s="16" t="str">
        <f>IF(AND(ISNUMBER(C4),ISNUMBER(G4)), C4-G4, "")</f>
        <v/>
      </c>
      <c r="I4" s="17" t="str">
        <f>IFERROR(H4/G4, "")</f>
        <v/>
      </c>
      <c r="J4" s="18" t="s">
        <v>52</v>
      </c>
      <c r="K4" s="43" t="s">
        <v>49</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hyperlinks>
    <hyperlink ref="K4" r:id="rId1" display="https://us3.assetplanner.com/service_request?ID=106454" xr:uid="{BA9179A7-AFED-4233-BB36-FE312910F931}"/>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2"/>
  <sheetViews>
    <sheetView zoomScale="90" zoomScaleNormal="90" workbookViewId="0">
      <pane ySplit="2" topLeftCell="A3" activePane="bottomLeft" state="frozen"/>
      <selection pane="bottomLeft" activeCell="L23" sqref="A20:L23"/>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1" t="str" cm="1">
        <f t="array" ref="A1">portfolio</f>
        <v>MS Walker</v>
      </c>
      <c r="B1" s="51"/>
      <c r="C1" s="51"/>
      <c r="D1" s="52" t="s">
        <v>53</v>
      </c>
      <c r="E1" s="52"/>
      <c r="F1" s="52"/>
      <c r="G1" s="50" t="s">
        <v>54</v>
      </c>
      <c r="H1" s="50"/>
      <c r="I1" s="50"/>
      <c r="J1" s="5"/>
      <c r="K1" s="5"/>
    </row>
    <row r="2" spans="1:12" ht="19.5" customHeight="1">
      <c r="A2" s="53" t="s">
        <v>2</v>
      </c>
      <c r="B2" s="53"/>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
      </c>
      <c r="K2" s="5"/>
    </row>
    <row r="3" spans="1:12" ht="14.25" customHeight="1">
      <c r="A3" s="9" t="s">
        <v>3</v>
      </c>
      <c r="B3" s="9" t="s">
        <v>4</v>
      </c>
      <c r="C3" s="25" t="s">
        <v>5</v>
      </c>
      <c r="D3" s="36" t="s">
        <v>6</v>
      </c>
      <c r="E3" s="36" t="s">
        <v>7</v>
      </c>
      <c r="F3" s="37" t="s">
        <v>8</v>
      </c>
      <c r="G3" s="38" t="s">
        <v>9</v>
      </c>
      <c r="H3" s="39" t="s">
        <v>7</v>
      </c>
      <c r="I3" s="40" t="s">
        <v>8</v>
      </c>
      <c r="J3" s="27" t="s">
        <v>20</v>
      </c>
      <c r="K3" s="27" t="s">
        <v>21</v>
      </c>
    </row>
    <row r="4" spans="1:12" ht="57.75" customHeight="1">
      <c r="A4" s="33" t="str" cm="1">
        <f t="array" ref="A4">Sites[Site]</f>
        <v>MA: MS Walker</v>
      </c>
      <c r="B4" s="30" t="str" cm="1">
        <f t="array" ref="B4">Sites[State]</f>
        <v>MA</v>
      </c>
      <c r="C4" s="26">
        <v>0</v>
      </c>
      <c r="D4" s="14" t="s">
        <v>30</v>
      </c>
      <c r="E4" s="14" t="str">
        <f>IF(AND(ISNUMBER(C4),ISNUMBER(D4)), C4-D4, "")</f>
        <v/>
      </c>
      <c r="F4" s="15" t="str">
        <f>IFERROR(E4/D4, "")</f>
        <v/>
      </c>
      <c r="G4" s="42" t="s">
        <v>30</v>
      </c>
      <c r="H4" s="16" t="str">
        <f>IF(AND(ISNUMBER(C4),ISNUMBER(G4)), C4-G4, "")</f>
        <v/>
      </c>
      <c r="I4" s="17" t="str">
        <f>IFERROR(H4/G4, "")</f>
        <v/>
      </c>
      <c r="J4" s="18" t="s">
        <v>55</v>
      </c>
      <c r="K4" s="43" t="s">
        <v>49</v>
      </c>
      <c r="L4" s="46" t="s">
        <v>56</v>
      </c>
    </row>
    <row r="5" spans="1:12"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5">
      <c r="A6" s="23"/>
      <c r="B6" s="34"/>
      <c r="C6" s="23"/>
      <c r="D6" s="23"/>
      <c r="E6" s="23"/>
      <c r="F6" s="23"/>
      <c r="G6" s="23"/>
      <c r="H6" s="23"/>
      <c r="I6" s="23"/>
      <c r="J6" s="23"/>
      <c r="K6" s="23"/>
    </row>
    <row r="7" spans="1:12" ht="14.45">
      <c r="A7" s="23"/>
      <c r="B7" s="34"/>
      <c r="C7" s="23"/>
      <c r="D7" s="23"/>
      <c r="E7" s="23"/>
      <c r="F7" s="23"/>
      <c r="G7" s="23"/>
      <c r="H7" s="23"/>
      <c r="I7" s="23"/>
      <c r="J7" s="23"/>
      <c r="K7" s="23"/>
    </row>
    <row r="8" spans="1:12" ht="12.75" customHeight="1">
      <c r="A8" s="23"/>
      <c r="B8" s="34"/>
      <c r="C8" s="23"/>
      <c r="D8" s="23"/>
      <c r="E8" s="23"/>
      <c r="F8" s="23"/>
      <c r="G8" s="23"/>
      <c r="H8" s="23"/>
      <c r="I8" s="23"/>
      <c r="J8" s="23"/>
      <c r="K8" s="23"/>
    </row>
    <row r="9" spans="1:12" ht="14.45">
      <c r="A9" s="23"/>
      <c r="B9" s="34"/>
      <c r="C9" s="23"/>
      <c r="D9" s="23"/>
      <c r="E9" s="23"/>
      <c r="F9" s="23"/>
      <c r="G9" s="23"/>
      <c r="H9" s="23"/>
      <c r="I9" s="23"/>
      <c r="J9" s="23"/>
      <c r="K9" s="23"/>
    </row>
    <row r="10" spans="1:12" ht="14.45">
      <c r="A10" s="23"/>
      <c r="B10" s="34"/>
      <c r="C10" s="23"/>
      <c r="D10" s="23"/>
      <c r="E10" s="23"/>
      <c r="F10" s="23"/>
      <c r="G10" s="23"/>
      <c r="H10" s="23"/>
      <c r="I10" s="23"/>
      <c r="J10" s="23"/>
      <c r="K10" s="23"/>
    </row>
    <row r="11" spans="1:12" ht="14.45">
      <c r="A11" s="23"/>
      <c r="B11" s="34"/>
      <c r="C11" s="23"/>
      <c r="D11" s="23"/>
      <c r="E11" s="23"/>
      <c r="F11" s="23"/>
      <c r="G11" s="23"/>
      <c r="H11" s="23"/>
      <c r="I11" s="23"/>
      <c r="J11" s="23"/>
      <c r="K11" s="23"/>
    </row>
    <row r="12" spans="1:12" ht="14.45">
      <c r="A12" s="23"/>
      <c r="B12" s="34"/>
      <c r="C12" s="23"/>
      <c r="D12" s="23"/>
      <c r="E12" s="23"/>
      <c r="F12" s="23"/>
      <c r="G12" s="23"/>
      <c r="H12" s="23"/>
      <c r="I12" s="23"/>
      <c r="J12" s="23"/>
      <c r="K12" s="23"/>
    </row>
    <row r="13" spans="1:12" ht="14.45">
      <c r="A13" s="23"/>
      <c r="B13" s="34"/>
      <c r="C13" s="23"/>
      <c r="D13" s="23"/>
      <c r="E13" s="23"/>
      <c r="F13" s="23"/>
      <c r="G13" s="23"/>
      <c r="H13" s="23"/>
      <c r="I13" s="23"/>
      <c r="J13" s="23"/>
      <c r="K13" s="23"/>
    </row>
    <row r="14" spans="1:12" ht="14.45">
      <c r="A14" s="23"/>
      <c r="B14" s="34"/>
      <c r="C14" s="23"/>
      <c r="D14" s="23"/>
      <c r="E14" s="23"/>
      <c r="F14" s="23"/>
      <c r="G14" s="23"/>
      <c r="H14" s="23"/>
      <c r="I14" s="23"/>
      <c r="J14" s="23"/>
      <c r="K14" s="23"/>
    </row>
    <row r="15" spans="1:12" ht="14.45">
      <c r="A15" s="23"/>
      <c r="B15" s="34"/>
      <c r="C15" s="23"/>
      <c r="D15" s="23"/>
      <c r="E15" s="23"/>
      <c r="F15" s="23"/>
      <c r="G15" s="23"/>
      <c r="H15" s="23"/>
      <c r="I15" s="23"/>
      <c r="J15" s="23"/>
      <c r="K15" s="23"/>
    </row>
    <row r="16" spans="1:1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hyperlinks>
    <hyperlink ref="K4" r:id="rId1" display="https://us3.assetplanner.com/service_request?ID=106454" xr:uid="{C8DC6533-B83A-437A-9E87-FB71AB6C4F17}"/>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32"/>
  <sheetViews>
    <sheetView zoomScale="90" zoomScaleNormal="90" workbookViewId="0">
      <pane ySplit="2" topLeftCell="A3" activePane="bottomLeft" state="frozen"/>
      <selection pane="bottomLeft" activeCell="J17" sqref="A17:J17"/>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140625" customWidth="1"/>
    <col min="12" max="12" width="14.140625" customWidth="1"/>
    <col min="13" max="13" width="8.85546875" style="49"/>
  </cols>
  <sheetData>
    <row r="1" spans="1:13" ht="19.5" customHeight="1">
      <c r="A1" s="51" t="str" cm="1">
        <f t="array" ref="A1">portfolio</f>
        <v>MS Walker</v>
      </c>
      <c r="B1" s="51"/>
      <c r="C1" s="51"/>
      <c r="D1" s="52" t="s">
        <v>57</v>
      </c>
      <c r="E1" s="52"/>
      <c r="F1" s="52"/>
      <c r="G1" s="50" t="s">
        <v>58</v>
      </c>
      <c r="H1" s="50"/>
      <c r="I1" s="50"/>
      <c r="J1" s="5"/>
      <c r="K1" s="5"/>
    </row>
    <row r="2" spans="1:13" ht="19.5" customHeight="1">
      <c r="A2" s="53" t="s">
        <v>2</v>
      </c>
      <c r="B2" s="53"/>
      <c r="C2" s="6">
        <f>SUM(C4:C90)</f>
        <v>0</v>
      </c>
      <c r="D2" s="6">
        <f>SUM(D4:D90)</f>
        <v>0</v>
      </c>
      <c r="E2" s="6">
        <f>C2-D2</f>
        <v>0</v>
      </c>
      <c r="F2" s="7">
        <f>IFERROR(E2/D2, 0)</f>
        <v>0</v>
      </c>
      <c r="G2" s="6">
        <f>SUM(G4:G90)</f>
        <v>0</v>
      </c>
      <c r="H2" s="8">
        <f>C2-G2</f>
        <v>0</v>
      </c>
      <c r="I2" s="7">
        <f>IFERROR(H2/G2, 0)</f>
        <v>0</v>
      </c>
      <c r="J2" s="28" t="str">
        <f ca="1">IF(AND(TODAY()&gt;DATE(2024, 11, 1), COUNTA(Sites[Site])&lt;&gt;(COUNT(C:C)-1)), "Some sites are missing actual data; if new sites were added, make sure they are aligned correctly (including prior months!)", "")</f>
        <v/>
      </c>
      <c r="K2" s="5"/>
    </row>
    <row r="3" spans="1:13" ht="14.25" customHeight="1">
      <c r="A3" s="9" t="s">
        <v>3</v>
      </c>
      <c r="B3" s="9" t="s">
        <v>4</v>
      </c>
      <c r="C3" s="25" t="s">
        <v>5</v>
      </c>
      <c r="D3" s="36" t="s">
        <v>6</v>
      </c>
      <c r="E3" s="36" t="s">
        <v>7</v>
      </c>
      <c r="F3" s="37" t="s">
        <v>8</v>
      </c>
      <c r="G3" s="38" t="s">
        <v>9</v>
      </c>
      <c r="H3" s="39" t="s">
        <v>7</v>
      </c>
      <c r="I3" s="40" t="s">
        <v>8</v>
      </c>
      <c r="J3" s="27" t="s">
        <v>20</v>
      </c>
      <c r="K3" s="27" t="s">
        <v>21</v>
      </c>
      <c r="L3" s="27" t="s">
        <v>59</v>
      </c>
    </row>
    <row r="4" spans="1:13" ht="77.25" customHeight="1">
      <c r="A4" s="33" t="str" cm="1">
        <f t="array" ref="A4">Sites[Site]</f>
        <v>MA: MS Walker</v>
      </c>
      <c r="B4" s="30" t="str" cm="1">
        <f t="array" ref="B4">Sites[State]</f>
        <v>MA</v>
      </c>
      <c r="C4" s="26">
        <v>0</v>
      </c>
      <c r="D4" s="14" t="s">
        <v>30</v>
      </c>
      <c r="E4" s="14" t="str">
        <f>IF(AND(ISNUMBER(C4),ISNUMBER(D4)), C4-D4, "")</f>
        <v/>
      </c>
      <c r="F4" s="15" t="str">
        <f>IFERROR(E4/D4, "")</f>
        <v/>
      </c>
      <c r="G4" s="42" t="s">
        <v>30</v>
      </c>
      <c r="H4" s="16" t="str">
        <f>IF(AND(ISNUMBER(C4),ISNUMBER(G4)), C4-G4, "")</f>
        <v/>
      </c>
      <c r="I4" s="17" t="str">
        <f>IFERROR(H4/G4, "")</f>
        <v/>
      </c>
      <c r="J4" s="18" t="s">
        <v>60</v>
      </c>
      <c r="K4" s="43" t="s">
        <v>61</v>
      </c>
      <c r="L4" s="18" t="s">
        <v>62</v>
      </c>
      <c r="M4" s="44" t="s">
        <v>63</v>
      </c>
    </row>
    <row r="5" spans="1:13"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3" ht="14.45">
      <c r="A6" s="23"/>
      <c r="B6" s="34"/>
      <c r="C6" s="23"/>
      <c r="D6" s="23"/>
      <c r="E6" s="23"/>
      <c r="F6" s="23"/>
      <c r="G6" s="23"/>
      <c r="H6" s="23"/>
      <c r="I6" s="23"/>
      <c r="J6" s="23"/>
      <c r="K6" s="23"/>
    </row>
    <row r="7" spans="1:13" ht="14.45">
      <c r="A7" s="23"/>
      <c r="B7" s="34"/>
      <c r="C7" s="23"/>
      <c r="D7" s="23"/>
      <c r="E7" s="23"/>
      <c r="F7" s="23"/>
      <c r="G7" s="23"/>
      <c r="H7" s="23"/>
      <c r="I7" s="23"/>
      <c r="J7" s="23"/>
      <c r="K7" s="23"/>
    </row>
    <row r="8" spans="1:13" ht="12.75" customHeight="1">
      <c r="A8" s="23"/>
      <c r="B8" s="34"/>
      <c r="C8" s="23"/>
      <c r="D8" s="23"/>
      <c r="E8" s="23"/>
      <c r="F8" s="23"/>
      <c r="G8" s="23"/>
      <c r="H8" s="23"/>
      <c r="I8" s="23"/>
      <c r="J8" s="23"/>
      <c r="K8" s="23"/>
    </row>
    <row r="9" spans="1:13" ht="14.45">
      <c r="A9" s="23"/>
      <c r="B9" s="34"/>
      <c r="C9" s="23"/>
      <c r="D9" s="23"/>
      <c r="E9" s="23"/>
      <c r="F9" s="23"/>
      <c r="G9" s="23"/>
      <c r="H9" s="23"/>
      <c r="I9" s="23"/>
      <c r="J9" s="23"/>
      <c r="K9" s="23"/>
    </row>
    <row r="10" spans="1:13" ht="14.45">
      <c r="A10" s="23"/>
      <c r="B10" s="34"/>
      <c r="C10" s="23"/>
      <c r="D10" s="23"/>
      <c r="E10" s="23"/>
      <c r="F10" s="23"/>
      <c r="G10" s="23"/>
      <c r="H10" s="23"/>
      <c r="I10" s="23"/>
      <c r="J10" s="23"/>
      <c r="K10" s="23"/>
    </row>
    <row r="11" spans="1:13" ht="14.45">
      <c r="A11" s="23"/>
      <c r="B11" s="34"/>
      <c r="C11" s="23"/>
      <c r="D11" s="23"/>
      <c r="E11" s="23"/>
      <c r="F11" s="23"/>
      <c r="G11" s="23"/>
      <c r="H11" s="23"/>
      <c r="I11" s="23"/>
      <c r="J11" s="23"/>
      <c r="K11" s="23"/>
    </row>
    <row r="12" spans="1:13" ht="14.45">
      <c r="A12" s="23"/>
      <c r="B12" s="34"/>
      <c r="C12" s="23"/>
      <c r="D12" s="23"/>
      <c r="E12" s="23"/>
      <c r="F12" s="23"/>
      <c r="G12" s="23"/>
      <c r="H12" s="23"/>
      <c r="I12" s="23"/>
      <c r="J12" s="23"/>
      <c r="K12" s="23"/>
    </row>
    <row r="13" spans="1:13" ht="14.45">
      <c r="A13" s="23"/>
      <c r="B13" s="34"/>
      <c r="C13" s="23"/>
      <c r="D13" s="23"/>
      <c r="E13" s="23"/>
      <c r="F13" s="23"/>
      <c r="G13" s="23"/>
      <c r="H13" s="23"/>
      <c r="I13" s="23"/>
      <c r="J13" s="23"/>
      <c r="K13" s="23"/>
    </row>
    <row r="14" spans="1:13" ht="14.45">
      <c r="A14" s="23"/>
      <c r="B14" s="34"/>
      <c r="C14" s="23"/>
      <c r="D14" s="23"/>
      <c r="E14" s="23"/>
      <c r="F14" s="23"/>
      <c r="G14" s="23"/>
      <c r="H14" s="23"/>
      <c r="I14" s="23"/>
      <c r="J14" s="23"/>
      <c r="K14" s="23"/>
    </row>
    <row r="15" spans="1:13" ht="14.45">
      <c r="A15" s="23"/>
      <c r="B15" s="34"/>
      <c r="C15" s="23"/>
      <c r="D15" s="23"/>
      <c r="E15" s="23"/>
      <c r="F15" s="23"/>
      <c r="G15" s="23"/>
      <c r="H15" s="23"/>
      <c r="I15" s="23"/>
      <c r="J15" s="23"/>
      <c r="K15" s="23"/>
    </row>
    <row r="16" spans="1:13"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hyperlinks>
    <hyperlink ref="K4" r:id="rId1" display="https://us3.assetplanner.com/service_request?ID=111339" xr:uid="{0FDFF557-1104-45C9-A8B7-9C4522881B41}"/>
    <hyperlink ref="M4" r:id="rId2" display="https://us3.assetplanner.com/service_request?ID=099579" xr:uid="{7774E98A-EA25-4214-AD0A-9A5F1F0111D3}"/>
  </hyperlinks>
  <pageMargins left="0.4" right="0.7" top="0.25" bottom="0.25" header="0.3" footer="0.3"/>
  <pageSetup fitToHeight="99" orientation="landscape"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90" zoomScaleNormal="90" workbookViewId="0">
      <pane ySplit="2" topLeftCell="A3" activePane="bottomLeft" state="frozen"/>
      <selection pane="bottomLeft" activeCell="F27" sqref="F26:F27"/>
      <selection activeCell="C32" sqref="C32"/>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64</v>
      </c>
      <c r="E1" s="52"/>
      <c r="F1" s="52"/>
      <c r="G1" s="50" t="s">
        <v>65</v>
      </c>
      <c r="H1" s="50"/>
      <c r="I1" s="50"/>
      <c r="J1" s="5"/>
      <c r="K1" s="5"/>
    </row>
    <row r="2" spans="1:11" ht="19.5" customHeight="1">
      <c r="A2" s="53" t="s">
        <v>2</v>
      </c>
      <c r="B2" s="53"/>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E16" sqref="E16"/>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66</v>
      </c>
      <c r="B1" t="s">
        <v>67</v>
      </c>
    </row>
    <row r="3" spans="1:7" ht="13.15">
      <c r="A3" t="s">
        <v>68</v>
      </c>
      <c r="B3" t="s">
        <v>3</v>
      </c>
      <c r="C3" t="s">
        <v>4</v>
      </c>
      <c r="D3" t="s">
        <v>69</v>
      </c>
      <c r="E3" s="2" t="s">
        <v>70</v>
      </c>
    </row>
    <row r="4" spans="1:7" ht="14.45">
      <c r="A4" t="s">
        <v>67</v>
      </c>
      <c r="B4" t="s">
        <v>71</v>
      </c>
      <c r="C4" s="4" t="s">
        <v>72</v>
      </c>
      <c r="E4" t="s">
        <v>73</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F5C6359-7763-4C37-8EAF-2BC4698CB285}"/>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B211ABE1-3B60-48D5-B0AF-B9BE2FFD239E}"/>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1954BBA4-0359-438C-B0EC-A756015F7C02}"/>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66B09F59-6532-46F8-924A-9A02417E07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2026-01-14T22:31:46Z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2025-09-24T19:43:21Z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55f487d8-1395-42cd-ae7b-191dca268ac0</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