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6BA2772D-197B-41F3-8108-813F41FB491B}" xr6:coauthVersionLast="47" xr6:coauthVersionMax="47" xr10:uidLastSave="{80360CAC-3E64-4147-B173-212A70225EAD}"/>
  <bookViews>
    <workbookView xWindow="28680" yWindow="-120" windowWidth="29040" windowHeight="15720" firstSheet="1" activeTab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3" i="1"/>
  <c r="K15" i="1"/>
  <c r="K20" i="1"/>
  <c r="K25" i="1"/>
  <c r="K47" i="1"/>
  <c r="K46" i="1"/>
  <c r="K45" i="1"/>
  <c r="K44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4" i="1"/>
  <c r="K23" i="1"/>
  <c r="K22" i="1"/>
  <c r="K21" i="1"/>
  <c r="K19" i="1"/>
  <c r="K18" i="1"/>
  <c r="K17" i="1"/>
  <c r="K16" i="1"/>
  <c r="K14" i="1"/>
  <c r="K13" i="1"/>
  <c r="K12" i="1"/>
  <c r="K11" i="1"/>
  <c r="K10" i="1"/>
  <c r="K9" i="1"/>
  <c r="K8" i="1"/>
  <c r="K7" i="1"/>
  <c r="K6" i="1"/>
  <c r="K5" i="1"/>
  <c r="K4" i="1"/>
  <c r="K2" i="1"/>
</calcChain>
</file>

<file path=xl/sharedStrings.xml><?xml version="1.0" encoding="utf-8"?>
<sst xmlns="http://schemas.openxmlformats.org/spreadsheetml/2006/main" count="720" uniqueCount="294">
  <si>
    <t>Monthly Site Performance Summary</t>
  </si>
  <si>
    <t>Account:</t>
  </si>
  <si>
    <t>Ameresco</t>
  </si>
  <si>
    <t>Report Period:</t>
  </si>
  <si>
    <t>From 11/1/25 to 11/30/25</t>
  </si>
  <si>
    <t>Sites:</t>
  </si>
  <si>
    <t>Manually selected sites</t>
  </si>
  <si>
    <t>Number of Sites:</t>
  </si>
  <si>
    <t>11</t>
  </si>
  <si>
    <t>Generated on:</t>
  </si>
  <si>
    <t>12/8/25, 10:21 PM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</si>
  <si>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</si>
  <si>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</si>
  <si>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</si>
  <si>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</si>
  <si>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</si>
  <si>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</si>
  <si>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/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</si>
  <si>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</si>
  <si>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</si>
  <si>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</si>
  <si>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</si>
  <si>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</si>
  <si>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</si>
  <si>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</si>
  <si>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</si>
  <si>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</si>
  <si>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</si>
  <si>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</si>
  <si>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</si>
  <si>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</si>
  <si>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</si>
  <si>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</si>
  <si>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</si>
  <si>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</si>
  <si>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</si>
  <si>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0</t>
  </si>
  <si>
    <t>384.83</t>
  </si>
  <si>
    <t>5.56</t>
  </si>
  <si>
    <t>2</t>
  </si>
  <si>
    <t>NBHA Ben Rose</t>
  </si>
  <si>
    <t>2752799</t>
  </si>
  <si>
    <t>3/3/22</t>
  </si>
  <si>
    <t>152.43</t>
  </si>
  <si>
    <t>7,426.81</t>
  </si>
  <si>
    <t>48.72</t>
  </si>
  <si>
    <t>10,899.39</t>
  </si>
  <si>
    <t>71.51</t>
  </si>
  <si>
    <t>10,180.46</t>
  </si>
  <si>
    <t>66.79</t>
  </si>
  <si>
    <t>180,119.45</t>
  </si>
  <si>
    <t>1,181.69</t>
  </si>
  <si>
    <t>3</t>
  </si>
  <si>
    <t>NBHA Brickenwood</t>
  </si>
  <si>
    <t>2747637</t>
  </si>
  <si>
    <t>3/1/22</t>
  </si>
  <si>
    <t>572.33</t>
  </si>
  <si>
    <t>6</t>
  </si>
  <si>
    <t>27,993.47</t>
  </si>
  <si>
    <t>48.91</t>
  </si>
  <si>
    <t>42,038</t>
  </si>
  <si>
    <t>73.45</t>
  </si>
  <si>
    <t>38,859.31</t>
  </si>
  <si>
    <t>67.9</t>
  </si>
  <si>
    <t>620,325.44</t>
  </si>
  <si>
    <t>1,083.87</t>
  </si>
  <si>
    <t>4</t>
  </si>
  <si>
    <t>NBHA Chaffee Fairfield</t>
  </si>
  <si>
    <t>1735612</t>
  </si>
  <si>
    <t>7/29/20</t>
  </si>
  <si>
    <t>49.4</t>
  </si>
  <si>
    <t>2,581.17</t>
  </si>
  <si>
    <t>52.25</t>
  </si>
  <si>
    <t>3,763.64</t>
  </si>
  <si>
    <t>76.19</t>
  </si>
  <si>
    <t>3,604.24</t>
  </si>
  <si>
    <t>72.96</t>
  </si>
  <si>
    <t>54,103.23</t>
  </si>
  <si>
    <t>1,095.21</t>
  </si>
  <si>
    <t>5</t>
  </si>
  <si>
    <t>NBHA DeMedeiros</t>
  </si>
  <si>
    <t>2660184</t>
  </si>
  <si>
    <t>1/10/22</t>
  </si>
  <si>
    <t>64.35</t>
  </si>
  <si>
    <t>3,268.58</t>
  </si>
  <si>
    <t>50.79</t>
  </si>
  <si>
    <t>5,317.12</t>
  </si>
  <si>
    <t>82.63</t>
  </si>
  <si>
    <t>4,229.55</t>
  </si>
  <si>
    <t>65.73</t>
  </si>
  <si>
    <t>77,454.56</t>
  </si>
  <si>
    <t>1,203.65</t>
  </si>
  <si>
    <t>NBHA Dottin Place 1</t>
  </si>
  <si>
    <t>1735791</t>
  </si>
  <si>
    <t>88.4</t>
  </si>
  <si>
    <t>4,228.14</t>
  </si>
  <si>
    <t>47.83</t>
  </si>
  <si>
    <t>5,955.52</t>
  </si>
  <si>
    <t>67.37</t>
  </si>
  <si>
    <t>5,510.18</t>
  </si>
  <si>
    <t>62.33</t>
  </si>
  <si>
    <t>79,915.75</t>
  </si>
  <si>
    <t>904.02</t>
  </si>
  <si>
    <t>7</t>
  </si>
  <si>
    <t>NBHA Hillside</t>
  </si>
  <si>
    <t>2331864</t>
  </si>
  <si>
    <t>6/28/21</t>
  </si>
  <si>
    <t>117</t>
  </si>
  <si>
    <t>7,008.19</t>
  </si>
  <si>
    <t>59.9</t>
  </si>
  <si>
    <t>10,217.6</t>
  </si>
  <si>
    <t>87.33</t>
  </si>
  <si>
    <t>8,537.77</t>
  </si>
  <si>
    <t>72.97</t>
  </si>
  <si>
    <t>142,559.69</t>
  </si>
  <si>
    <t>1,218.46</t>
  </si>
  <si>
    <t>8</t>
  </si>
  <si>
    <t>NBHA Presidential</t>
  </si>
  <si>
    <t>2457881</t>
  </si>
  <si>
    <t>9/12/21</t>
  </si>
  <si>
    <t>468.65</t>
  </si>
  <si>
    <t>21,673.15</t>
  </si>
  <si>
    <t>46.25</t>
  </si>
  <si>
    <t>30,666.15</t>
  </si>
  <si>
    <t>65.44</t>
  </si>
  <si>
    <t>28,580.95</t>
  </si>
  <si>
    <t>60.99</t>
  </si>
  <si>
    <t>439,753.22</t>
  </si>
  <si>
    <t>938.34</t>
  </si>
  <si>
    <t>9</t>
  </si>
  <si>
    <t>NBHA Satellite</t>
  </si>
  <si>
    <t>2597872</t>
  </si>
  <si>
    <t>11/18/21</t>
  </si>
  <si>
    <t>169</t>
  </si>
  <si>
    <t>10,597.34</t>
  </si>
  <si>
    <t>62.71</t>
  </si>
  <si>
    <t>14,817.52</t>
  </si>
  <si>
    <t>87.68</t>
  </si>
  <si>
    <t>14,055.13</t>
  </si>
  <si>
    <t>83.17</t>
  </si>
  <si>
    <t>189,705.8</t>
  </si>
  <si>
    <t>1,122.52</t>
  </si>
  <si>
    <t>10</t>
  </si>
  <si>
    <t>NBHA Shawmut Village</t>
  </si>
  <si>
    <t>2382372</t>
  </si>
  <si>
    <t>10/21/20</t>
  </si>
  <si>
    <t>443.63</t>
  </si>
  <si>
    <t>22,497.23</t>
  </si>
  <si>
    <t>50.71</t>
  </si>
  <si>
    <t>31,460.84</t>
  </si>
  <si>
    <t>70.92</t>
  </si>
  <si>
    <t>22,624.21</t>
  </si>
  <si>
    <t>51</t>
  </si>
  <si>
    <t>368,282.2</t>
  </si>
  <si>
    <t>830.17</t>
  </si>
  <si>
    <t>NBHA Westlawn</t>
  </si>
  <si>
    <t>2753485</t>
  </si>
  <si>
    <t>267.8</t>
  </si>
  <si>
    <t>11,917.65</t>
  </si>
  <si>
    <t>44.5</t>
  </si>
  <si>
    <t>18,676.94</t>
  </si>
  <si>
    <t>69.74</t>
  </si>
  <si>
    <t>14,009.08</t>
  </si>
  <si>
    <t>52.31</t>
  </si>
  <si>
    <t>239,817.61</t>
  </si>
  <si>
    <t>895.51</t>
  </si>
  <si>
    <t>Total</t>
  </si>
  <si>
    <t>2,462.23</t>
  </si>
  <si>
    <t>119,191.73</t>
  </si>
  <si>
    <t>173,812.7</t>
  </si>
  <si>
    <t>150,575.69</t>
  </si>
  <si>
    <t>2,392,421.78</t>
  </si>
  <si>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</si>
  <si>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</si>
  <si>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</si>
  <si>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</si>
  <si>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</si>
  <si>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</si>
  <si>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</si>
  <si>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</si>
  <si>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</si>
  <si>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</si>
  <si>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</si>
  <si>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</si>
  <si>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</si>
  <si>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</si>
  <si>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- 55 Cherokee CT - Inverter 39</t>
  </si>
  <si>
    <t>11/26/25 - inverter 39 offline from 11/23 reporting DC isolation.</t>
  </si>
  <si>
    <t>Amanda Harper</t>
  </si>
  <si>
    <t xml:space="preserve">Pending Subcontractor Completion </t>
  </si>
  <si>
    <t>PV-Monitoring-ROC</t>
  </si>
  <si>
    <t>Ameresco - Inverter Troubleshooting</t>
  </si>
  <si>
    <t>1006999</t>
  </si>
  <si>
    <t>Ben Rose - 676 S 1St St - Inverter 11</t>
  </si>
  <si>
    <t>11/05/25 - Issue still exists.
10/09/25 - Inverter 11 tripped offline.  Reporting internal error.</t>
  </si>
  <si>
    <t>Satellite - 83 Libra Dr - Inverter 8</t>
  </si>
  <si>
    <t>11/05/25 - Issue still exists.
10/07/25 - Issue still exists.
09/30/25 - Inverter 8 stopped communicating.  Production not confirmed.</t>
  </si>
  <si>
    <t>Ameresco Production Not Confirmed - Site Outage</t>
  </si>
  <si>
    <t>Ben Rose - 871 S Water St - Inverter 3</t>
  </si>
  <si>
    <t>11/05/25 - Issue still exists.
10/07/25 - Issue still exists.
09/24/25 - Inverter 3 stopped communicating.  Production not confirmed.</t>
  </si>
  <si>
    <t>Presidential - 164 Van-Buren St Bldg 8 - Inverter 32</t>
  </si>
  <si>
    <t>11/05/25 - Issue still exists.
10/07/25 - Issue still exists.
09/24/25 - Inverter 32 stopped communicating, production not confirmed.</t>
  </si>
  <si>
    <t>Presidential - 164 Van-Buren St Bldg 8 - Inverter 18</t>
  </si>
  <si>
    <t>11/05/25 - Issue still exists.
10/07/25 - Issue still exists.
09/24/25 - Inverter 18 stopped communicating.  Production not confirmed.</t>
  </si>
  <si>
    <t>Brickenwood - 150 Hathaway - Inverter 5</t>
  </si>
  <si>
    <t>11/05/25 - Issue still exists.
10/07/25 - Issue still exists.
09/15/25 - Inverter 5 stopped communicating.  Production not confirmed.</t>
  </si>
  <si>
    <t>Brickenwood - 59 Malden - Inverter 24</t>
  </si>
  <si>
    <t>11/05/25 - Issue still exists.
10/07/25 - Issue still exists.
09/08/25 - Still an issue.
09/02/25 - Inverter 24 stopped communicating.  Production not confirmed.</t>
  </si>
  <si>
    <t>7.6</t>
  </si>
  <si>
    <t>11/05/25 - Issue still exists.
10/07/25 - Issue still exists.
09/08/25 - Issue still exists.
Brickenwood inverter 16 stopped communicating.  Production not confirmed.</t>
  </si>
  <si>
    <t>Shawmut Village - 79 Pawnee CT - Inverter 19</t>
  </si>
  <si>
    <t>11/05/25 - Issue still exists.
10/07/25 - Issue still exists.
09/08/25 - Issue still exists.
09/02/25 - Inverter 19 stopped communicating.  Production not confirmed.</t>
  </si>
  <si>
    <t>Brickenwood - 42 Yale - Inverter 39</t>
  </si>
  <si>
    <t>11/05/25 - Issue still exists.
10/07/25 - Issue still exists.
09/08/25 - Issue still exists.
08/08/25 - Issue still exists.
08/07/25 - Inverter 39 tripped offline at 11am on 7/28.  Reporting internal error.</t>
  </si>
  <si>
    <t>Dottin Place 1 - Amanda Ave Bldg 7 (82) - Inverter 9</t>
  </si>
  <si>
    <t>11/05/25 - Issue still exists.
10/07/25 - Issue still exists.
09/08/25 - Issue still exists.
08/08/25 - Issue still exists.
07/30/25 - Inverter 9 stopped communicating 7/21.  Production not confirmed.</t>
  </si>
  <si>
    <t>Brickenwood - 132 Hathaway - Inverter 8</t>
  </si>
  <si>
    <t>7.5</t>
  </si>
  <si>
    <t>11/05/25 - Issue still exists.
10/07/25 - Issue still exists.
09/08/25 - Still an issue.
07/30/25 - Inverter 8 stopped communicating 7/25</t>
  </si>
  <si>
    <t>Brickenwood - 219 Harvard - Inverter 53</t>
  </si>
  <si>
    <t>11/05/25 - Issue still exists.
10/07/25 - Issue still exists.
09/08/25 - Issue still exists.
08/07/25 - Issue still exists.
07/07/25 - Issue still exists.
06/16/25 - Inverter 53 stopped communicating 6/8.  Production not confirmed.</t>
  </si>
  <si>
    <t>Brickenwood - 35 Yale - Inverter 58</t>
  </si>
  <si>
    <t>11/05/25 - Issue still exists.
10/07/25 - Issue still exists.
09/08/25 - Issue still exists.
08/08/25 - Issue still exists.
07/07/25 - Issue still exists.
06/10/25 - Still an issue.
06/09/25 - Inverter 58 stopped communicating on 6/3.  Production not confirmed.</t>
  </si>
  <si>
    <t>Shawmut Village - 61 Apache CT - Inverter 50</t>
  </si>
  <si>
    <t>11/05/25 - Issue still exists.
10/07/25 - Issue still exists.
09/08/25 - Issue still exists.
08/08/25 - Issue still exists.
07/07/25 - Issue still exists.
06/04/25 - Still an issue.
06/03/25 - Inverter 50 stopped communicating 5/26.  Production not confirmed.</t>
  </si>
  <si>
    <t>Chaffee/Fairfield - 975 Fairfield St 1E - Inverter 3</t>
  </si>
  <si>
    <t>11/05/25 - Issue still exists.
10/07/25 - Issue still exists.
09/08/25 - Issue still exists.
08/08/25 - Issue still exists.
07/07/25 - Issue still exists.
06/05/25 - Issue still exists.
05/19/25 - Inverter 3 tripped offline 5/12.  Reporting internal error.</t>
  </si>
  <si>
    <t>Brickenwood - 13 Yale - Inverter 48</t>
  </si>
  <si>
    <t>11/05/25 - Issue still exists.
10/07/25 - Issue still exists.
09/08/25 - Issue still exists.
08/08/25 - Issue still exists.
07/07/25 - Issue still exists.
06/05/25 - Issue still exists.
05/13/25 - Inverter 48 stopped communicating 5/10.  Production not confirmed.  Reporting Power Limitation.</t>
  </si>
  <si>
    <t>Shawmut Village - 83 Pawnee CT - Inverter 26</t>
  </si>
  <si>
    <t>11/05/25 - Issue still exists.
10/07/25 - Issue still exists.
09/08/25 - Issue still exists.
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</si>
  <si>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</si>
  <si>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11/05/25 - Issue still exists.
10/07/25 - Issue still exists.
09/08/25 - Issue still exists.
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</si>
  <si>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</si>
  <si>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11/05/25 - Issue still exists.
10/07/25 - Issue still exists.
09/08/25 - Issue still exists.
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</si>
  <si>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</si>
  <si>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</si>
  <si>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</si>
  <si>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</si>
  <si>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</si>
  <si>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</si>
  <si>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</si>
  <si>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11/05/25 - Issue still exists.
10/07/25 - Issue still exists.
09/08/25 - Issue still exists.
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</si>
  <si>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</si>
  <si>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</si>
  <si>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</si>
  <si>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Shawmut Village - 155 Gay Head CT - Inverter 33</t>
  </si>
  <si>
    <t>11/05/25 - Issue still exists.
10/07/25 - Issue still exists.
09/08/25 - Issue still exists.
08/08/25 - Issue still exists.
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</si>
  <si>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</si>
  <si>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</si>
  <si>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</si>
  <si>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11/05/25 - Issue still exists.
10/07/25 - Issue still exists.
09/08/25 - Issue still exists.
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</si>
  <si>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</si>
  <si>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</si>
  <si>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23.4</t>
  </si>
  <si>
    <t>11/05/25 - Issue still exists.
10/07/25 - Issue still exists.
09/08/25 - Issue still exists.
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</si>
  <si>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</si>
  <si>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11/05/25 - Issue still exists.
10/07/25 - Issue still exists.
09/08/25 - Issue still exists.
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</si>
  <si>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</si>
  <si>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</si>
  <si>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</si>
  <si>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11/05/25 - Issue still exists.
10/07/25 - Issue still exists.
09/08/25 - Issue still exists.
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</si>
  <si>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</si>
  <si>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</si>
  <si>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</si>
  <si>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</si>
  <si>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</si>
  <si>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</si>
  <si>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</si>
  <si>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</si>
  <si>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</si>
  <si>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</si>
  <si>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</si>
  <si>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</si>
  <si>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11/05/25 - Issue still exists.
10/07/25 - Issue still exists.
09/08/25 - Issue still exists.
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</si>
  <si>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</si>
  <si>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</si>
  <si>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11/05/25 - Issue still exists.
10/07/25 - Issue still exists.
09/08/25 - Issue still exists.
08/08/25 - Issue still exists.
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</si>
  <si>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Adams St - 14 Adams St - Inverter 4</t>
  </si>
  <si>
    <t>11/05/25 - Issue still exists.
10/07/25 - Issue still exists.
09/08/25 - Issue still exists.
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</si>
  <si>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</si>
  <si>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</si>
  <si>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</si>
  <si>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</si>
  <si>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</si>
  <si>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11/05/25 - Issue still exists.
10/07/25 - Issue still exists.
09/08/25 - Issue still exists.
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</si>
  <si>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11/05/25 - Issue still exists.
10/07/25 - Issue still exists.
09/08/25 - Issue still exists.
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</si>
  <si>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</si>
  <si>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</si>
  <si>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</si>
  <si>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11/05/25 - Issue still exists.
10/07/25 - Issue still exists.
09/08/25 - Issue still exists.
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</si>
  <si>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</si>
  <si>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</si>
  <si>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11/05/25 - Issue still exists.
10/07/25 - Issue still exists.
09/08/25 - Issue still exists.
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</si>
</sst>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1"/>
      <color indexed="8"/>
      <name val="Aptos Narrow"/>
      <family val="2"/>
      <scheme val="minor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b/>
      <sz val="10"/>
      <color rgb="FFD41317"/>
      <name val="Calibri"/>
    </font>
    <font>
      <b/>
      <sz val="10"/>
      <color rgb="FF303030"/>
      <name val="Calibri"/>
    </font>
    <font>
      <sz val="10"/>
      <color rgb="FF428BCA"/>
      <name val="Calibri"/>
    </font>
    <font>
      <sz val="12"/>
      <color rgb="FFD4131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1"/>
  </cellStyleXfs>
  <cellXfs count="16">
    <xf numFmtId="0" fontId="0" fillId="0" borderId="0" xfId="0"/>
    <xf numFmtId="0" fontId="10" fillId="5" borderId="2" xfId="1" applyFont="1" applyFill="1" applyBorder="1" applyAlignment="1">
      <alignment horizontal="center" vertical="top" wrapText="1"/>
    </xf>
    <xf numFmtId="0" fontId="3" fillId="0" borderId="1" xfId="1"/>
    <xf numFmtId="0" fontId="4" fillId="0" borderId="1" xfId="1" applyFont="1"/>
    <xf numFmtId="0" fontId="5" fillId="0" borderId="1" xfId="1" applyFont="1"/>
    <xf numFmtId="0" fontId="6" fillId="0" borderId="1" xfId="1" applyFont="1"/>
    <xf numFmtId="0" fontId="7" fillId="3" borderId="2" xfId="1" applyFont="1" applyFill="1" applyBorder="1" applyAlignment="1">
      <alignment vertical="top"/>
    </xf>
    <xf numFmtId="0" fontId="8" fillId="4" borderId="2" xfId="1" applyFont="1" applyFill="1" applyBorder="1" applyAlignment="1">
      <alignment vertical="top"/>
    </xf>
    <xf numFmtId="0" fontId="5" fillId="0" borderId="2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/>
    <xf numFmtId="0" fontId="10" fillId="5" borderId="2" xfId="1" applyFont="1" applyFill="1" applyBorder="1" applyAlignment="1">
      <alignment horizontal="center" vertical="top" wrapText="1"/>
    </xf>
    <xf numFmtId="0" fontId="3" fillId="0" borderId="1" xfId="1" applyAlignment="1"/>
  </cellXfs>
  <cellStyles count="2">
    <cellStyle name="Normal" xfId="0" builtinId="0"/>
    <cellStyle name="Normal 2" xfId="1" xr:uid="{4F8B74F5-B0C6-4D54-BB2A-BCAD29FBE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5B35-B4A9-4778-8FF7-EE0BBDA89EF8}">
  <dimension ref="A2:Q23"/>
  <sheetViews>
    <sheetView workbookViewId="0">
      <selection activeCell="U14" sqref="U14"/>
    </sheetView>
  </sheetViews>
  <sheetFormatPr defaultRowHeight="13.15"/>
  <sheetData>
    <row r="2" spans="1:17" ht="21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4.45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45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45">
      <c r="A5" s="4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4.45">
      <c r="A6" s="4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45">
      <c r="A7" s="4" t="s">
        <v>9</v>
      </c>
      <c r="B7" s="4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9" spans="1:17" ht="17.45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31.15">
      <c r="A10" s="14" t="s">
        <v>11</v>
      </c>
      <c r="B10" s="15"/>
      <c r="C10" s="15"/>
      <c r="D10" s="15"/>
      <c r="E10" s="15"/>
      <c r="F10" s="15"/>
      <c r="G10" s="15"/>
      <c r="H10" s="15"/>
      <c r="I10" s="1" t="s">
        <v>12</v>
      </c>
      <c r="J10" s="14" t="s">
        <v>13</v>
      </c>
      <c r="K10" s="15"/>
      <c r="L10" s="14" t="s">
        <v>14</v>
      </c>
      <c r="M10" s="15"/>
      <c r="N10" s="14" t="s">
        <v>15</v>
      </c>
      <c r="O10" s="15"/>
      <c r="P10" s="14" t="s">
        <v>16</v>
      </c>
      <c r="Q10" s="15"/>
    </row>
    <row r="11" spans="1:17" ht="13.9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  <c r="G11" s="6" t="s">
        <v>23</v>
      </c>
      <c r="H11" s="6" t="s">
        <v>24</v>
      </c>
      <c r="I11" s="6" t="s">
        <v>25</v>
      </c>
      <c r="J11" s="6" t="s">
        <v>26</v>
      </c>
      <c r="K11" s="6" t="s">
        <v>27</v>
      </c>
      <c r="L11" s="6" t="s">
        <v>26</v>
      </c>
      <c r="M11" s="6" t="s">
        <v>27</v>
      </c>
      <c r="N11" s="6" t="s">
        <v>26</v>
      </c>
      <c r="O11" s="6" t="s">
        <v>27</v>
      </c>
      <c r="P11" s="6" t="s">
        <v>26</v>
      </c>
      <c r="Q11" s="6" t="s">
        <v>27</v>
      </c>
    </row>
    <row r="12" spans="1:17" ht="13.9">
      <c r="A12" s="8" t="s">
        <v>28</v>
      </c>
      <c r="B12" s="9" t="s">
        <v>29</v>
      </c>
      <c r="C12" s="8" t="s">
        <v>30</v>
      </c>
      <c r="D12" s="8" t="s">
        <v>31</v>
      </c>
      <c r="E12" s="8" t="s">
        <v>32</v>
      </c>
      <c r="F12" s="8" t="s">
        <v>33</v>
      </c>
      <c r="G12" s="8" t="s">
        <v>34</v>
      </c>
      <c r="H12" s="8" t="s">
        <v>35</v>
      </c>
      <c r="I12" s="8" t="s">
        <v>17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37</v>
      </c>
      <c r="O12" s="8" t="s">
        <v>38</v>
      </c>
      <c r="P12" s="8" t="s">
        <v>37</v>
      </c>
      <c r="Q12" s="8" t="s">
        <v>38</v>
      </c>
    </row>
    <row r="13" spans="1:17" ht="13.9">
      <c r="A13" s="8" t="s">
        <v>39</v>
      </c>
      <c r="B13" s="9" t="s">
        <v>40</v>
      </c>
      <c r="C13" s="8" t="s">
        <v>41</v>
      </c>
      <c r="D13" s="8" t="s">
        <v>31</v>
      </c>
      <c r="E13" s="8" t="s">
        <v>32</v>
      </c>
      <c r="F13" s="8" t="s">
        <v>33</v>
      </c>
      <c r="G13" s="8" t="s">
        <v>42</v>
      </c>
      <c r="H13" s="8" t="s">
        <v>43</v>
      </c>
      <c r="I13" s="8" t="s">
        <v>17</v>
      </c>
      <c r="J13" s="8" t="s">
        <v>44</v>
      </c>
      <c r="K13" s="8" t="s">
        <v>45</v>
      </c>
      <c r="L13" s="8" t="s">
        <v>46</v>
      </c>
      <c r="M13" s="8" t="s">
        <v>47</v>
      </c>
      <c r="N13" s="8" t="s">
        <v>48</v>
      </c>
      <c r="O13" s="8" t="s">
        <v>49</v>
      </c>
      <c r="P13" s="8" t="s">
        <v>50</v>
      </c>
      <c r="Q13" s="8" t="s">
        <v>51</v>
      </c>
    </row>
    <row r="14" spans="1:17" ht="13.9">
      <c r="A14" s="8" t="s">
        <v>52</v>
      </c>
      <c r="B14" s="9" t="s">
        <v>53</v>
      </c>
      <c r="C14" s="8" t="s">
        <v>54</v>
      </c>
      <c r="D14" s="8" t="s">
        <v>31</v>
      </c>
      <c r="E14" s="8" t="s">
        <v>32</v>
      </c>
      <c r="F14" s="8" t="s">
        <v>33</v>
      </c>
      <c r="G14" s="8" t="s">
        <v>55</v>
      </c>
      <c r="H14" s="8" t="s">
        <v>56</v>
      </c>
      <c r="I14" s="8" t="s">
        <v>57</v>
      </c>
      <c r="J14" s="8" t="s">
        <v>58</v>
      </c>
      <c r="K14" s="8" t="s">
        <v>59</v>
      </c>
      <c r="L14" s="8" t="s">
        <v>60</v>
      </c>
      <c r="M14" s="8" t="s">
        <v>61</v>
      </c>
      <c r="N14" s="8" t="s">
        <v>62</v>
      </c>
      <c r="O14" s="8" t="s">
        <v>63</v>
      </c>
      <c r="P14" s="8" t="s">
        <v>64</v>
      </c>
      <c r="Q14" s="8" t="s">
        <v>65</v>
      </c>
    </row>
    <row r="15" spans="1:17" ht="13.9">
      <c r="A15" s="8" t="s">
        <v>66</v>
      </c>
      <c r="B15" s="9" t="s">
        <v>67</v>
      </c>
      <c r="C15" s="8" t="s">
        <v>68</v>
      </c>
      <c r="D15" s="8" t="s">
        <v>31</v>
      </c>
      <c r="E15" s="8" t="s">
        <v>32</v>
      </c>
      <c r="F15" s="8" t="s">
        <v>33</v>
      </c>
      <c r="G15" s="8" t="s">
        <v>69</v>
      </c>
      <c r="H15" s="8" t="s">
        <v>70</v>
      </c>
      <c r="I15" s="8" t="s">
        <v>17</v>
      </c>
      <c r="J15" s="8" t="s">
        <v>71</v>
      </c>
      <c r="K15" s="8" t="s">
        <v>72</v>
      </c>
      <c r="L15" s="8" t="s">
        <v>73</v>
      </c>
      <c r="M15" s="8" t="s">
        <v>74</v>
      </c>
      <c r="N15" s="8" t="s">
        <v>75</v>
      </c>
      <c r="O15" s="8" t="s">
        <v>76</v>
      </c>
      <c r="P15" s="8" t="s">
        <v>77</v>
      </c>
      <c r="Q15" s="8" t="s">
        <v>78</v>
      </c>
    </row>
    <row r="16" spans="1:17" ht="13.9">
      <c r="A16" s="8" t="s">
        <v>79</v>
      </c>
      <c r="B16" s="9" t="s">
        <v>80</v>
      </c>
      <c r="C16" s="8" t="s">
        <v>81</v>
      </c>
      <c r="D16" s="8" t="s">
        <v>31</v>
      </c>
      <c r="E16" s="8" t="s">
        <v>32</v>
      </c>
      <c r="F16" s="8" t="s">
        <v>33</v>
      </c>
      <c r="G16" s="8" t="s">
        <v>82</v>
      </c>
      <c r="H16" s="8" t="s">
        <v>83</v>
      </c>
      <c r="I16" s="8" t="s">
        <v>17</v>
      </c>
      <c r="J16" s="8" t="s">
        <v>84</v>
      </c>
      <c r="K16" s="8" t="s">
        <v>85</v>
      </c>
      <c r="L16" s="8" t="s">
        <v>86</v>
      </c>
      <c r="M16" s="8" t="s">
        <v>87</v>
      </c>
      <c r="N16" s="8" t="s">
        <v>88</v>
      </c>
      <c r="O16" s="8" t="s">
        <v>89</v>
      </c>
      <c r="P16" s="8" t="s">
        <v>90</v>
      </c>
      <c r="Q16" s="8" t="s">
        <v>91</v>
      </c>
    </row>
    <row r="17" spans="1:17" ht="13.9">
      <c r="A17" s="8" t="s">
        <v>57</v>
      </c>
      <c r="B17" s="9" t="s">
        <v>92</v>
      </c>
      <c r="C17" s="8" t="s">
        <v>93</v>
      </c>
      <c r="D17" s="8" t="s">
        <v>31</v>
      </c>
      <c r="E17" s="8" t="s">
        <v>32</v>
      </c>
      <c r="F17" s="8" t="s">
        <v>33</v>
      </c>
      <c r="G17" s="8" t="s">
        <v>69</v>
      </c>
      <c r="H17" s="8" t="s">
        <v>94</v>
      </c>
      <c r="I17" s="8" t="s">
        <v>17</v>
      </c>
      <c r="J17" s="8" t="s">
        <v>95</v>
      </c>
      <c r="K17" s="8" t="s">
        <v>96</v>
      </c>
      <c r="L17" s="8" t="s">
        <v>97</v>
      </c>
      <c r="M17" s="8" t="s">
        <v>98</v>
      </c>
      <c r="N17" s="8" t="s">
        <v>99</v>
      </c>
      <c r="O17" s="8" t="s">
        <v>100</v>
      </c>
      <c r="P17" s="8" t="s">
        <v>101</v>
      </c>
      <c r="Q17" s="8" t="s">
        <v>102</v>
      </c>
    </row>
    <row r="18" spans="1:17" ht="13.9">
      <c r="A18" s="8" t="s">
        <v>103</v>
      </c>
      <c r="B18" s="9" t="s">
        <v>104</v>
      </c>
      <c r="C18" s="8" t="s">
        <v>105</v>
      </c>
      <c r="D18" s="8" t="s">
        <v>31</v>
      </c>
      <c r="E18" s="8" t="s">
        <v>32</v>
      </c>
      <c r="F18" s="8" t="s">
        <v>33</v>
      </c>
      <c r="G18" s="8" t="s">
        <v>106</v>
      </c>
      <c r="H18" s="8" t="s">
        <v>107</v>
      </c>
      <c r="I18" s="8" t="s">
        <v>17</v>
      </c>
      <c r="J18" s="8" t="s">
        <v>108</v>
      </c>
      <c r="K18" s="8" t="s">
        <v>109</v>
      </c>
      <c r="L18" s="8" t="s">
        <v>110</v>
      </c>
      <c r="M18" s="8" t="s">
        <v>111</v>
      </c>
      <c r="N18" s="8" t="s">
        <v>112</v>
      </c>
      <c r="O18" s="8" t="s">
        <v>113</v>
      </c>
      <c r="P18" s="8" t="s">
        <v>114</v>
      </c>
      <c r="Q18" s="8" t="s">
        <v>115</v>
      </c>
    </row>
    <row r="19" spans="1:17" ht="13.9">
      <c r="A19" s="8" t="s">
        <v>116</v>
      </c>
      <c r="B19" s="9" t="s">
        <v>117</v>
      </c>
      <c r="C19" s="8" t="s">
        <v>118</v>
      </c>
      <c r="D19" s="8" t="s">
        <v>31</v>
      </c>
      <c r="E19" s="8" t="s">
        <v>32</v>
      </c>
      <c r="F19" s="8" t="s">
        <v>33</v>
      </c>
      <c r="G19" s="8" t="s">
        <v>119</v>
      </c>
      <c r="H19" s="8" t="s">
        <v>120</v>
      </c>
      <c r="I19" s="8" t="s">
        <v>57</v>
      </c>
      <c r="J19" s="8" t="s">
        <v>121</v>
      </c>
      <c r="K19" s="8" t="s">
        <v>122</v>
      </c>
      <c r="L19" s="8" t="s">
        <v>123</v>
      </c>
      <c r="M19" s="8" t="s">
        <v>124</v>
      </c>
      <c r="N19" s="8" t="s">
        <v>125</v>
      </c>
      <c r="O19" s="8" t="s">
        <v>126</v>
      </c>
      <c r="P19" s="8" t="s">
        <v>127</v>
      </c>
      <c r="Q19" s="8" t="s">
        <v>128</v>
      </c>
    </row>
    <row r="20" spans="1:17" ht="13.9">
      <c r="A20" s="8" t="s">
        <v>129</v>
      </c>
      <c r="B20" s="9" t="s">
        <v>130</v>
      </c>
      <c r="C20" s="8" t="s">
        <v>131</v>
      </c>
      <c r="D20" s="8" t="s">
        <v>31</v>
      </c>
      <c r="E20" s="8" t="s">
        <v>32</v>
      </c>
      <c r="F20" s="8" t="s">
        <v>33</v>
      </c>
      <c r="G20" s="8" t="s">
        <v>132</v>
      </c>
      <c r="H20" s="8" t="s">
        <v>133</v>
      </c>
      <c r="I20" s="8" t="s">
        <v>17</v>
      </c>
      <c r="J20" s="8" t="s">
        <v>134</v>
      </c>
      <c r="K20" s="8" t="s">
        <v>135</v>
      </c>
      <c r="L20" s="8" t="s">
        <v>136</v>
      </c>
      <c r="M20" s="8" t="s">
        <v>137</v>
      </c>
      <c r="N20" s="8" t="s">
        <v>138</v>
      </c>
      <c r="O20" s="8" t="s">
        <v>139</v>
      </c>
      <c r="P20" s="8" t="s">
        <v>140</v>
      </c>
      <c r="Q20" s="8" t="s">
        <v>141</v>
      </c>
    </row>
    <row r="21" spans="1:17" ht="13.9">
      <c r="A21" s="8" t="s">
        <v>142</v>
      </c>
      <c r="B21" s="9" t="s">
        <v>143</v>
      </c>
      <c r="C21" s="8" t="s">
        <v>144</v>
      </c>
      <c r="D21" s="8" t="s">
        <v>31</v>
      </c>
      <c r="E21" s="8" t="s">
        <v>32</v>
      </c>
      <c r="F21" s="8" t="s">
        <v>33</v>
      </c>
      <c r="G21" s="8" t="s">
        <v>145</v>
      </c>
      <c r="H21" s="8" t="s">
        <v>146</v>
      </c>
      <c r="I21" s="8" t="s">
        <v>57</v>
      </c>
      <c r="J21" s="8" t="s">
        <v>147</v>
      </c>
      <c r="K21" s="8" t="s">
        <v>148</v>
      </c>
      <c r="L21" s="8" t="s">
        <v>149</v>
      </c>
      <c r="M21" s="8" t="s">
        <v>150</v>
      </c>
      <c r="N21" s="8" t="s">
        <v>151</v>
      </c>
      <c r="O21" s="8" t="s">
        <v>152</v>
      </c>
      <c r="P21" s="8" t="s">
        <v>153</v>
      </c>
      <c r="Q21" s="8" t="s">
        <v>154</v>
      </c>
    </row>
    <row r="22" spans="1:17" ht="13.9">
      <c r="A22" s="8" t="s">
        <v>8</v>
      </c>
      <c r="B22" s="9" t="s">
        <v>155</v>
      </c>
      <c r="C22" s="8" t="s">
        <v>156</v>
      </c>
      <c r="D22" s="8" t="s">
        <v>31</v>
      </c>
      <c r="E22" s="8" t="s">
        <v>32</v>
      </c>
      <c r="F22" s="8" t="s">
        <v>33</v>
      </c>
      <c r="G22" s="8" t="s">
        <v>42</v>
      </c>
      <c r="H22" s="8" t="s">
        <v>157</v>
      </c>
      <c r="I22" s="8" t="s">
        <v>17</v>
      </c>
      <c r="J22" s="8" t="s">
        <v>158</v>
      </c>
      <c r="K22" s="8" t="s">
        <v>159</v>
      </c>
      <c r="L22" s="8" t="s">
        <v>160</v>
      </c>
      <c r="M22" s="8" t="s">
        <v>161</v>
      </c>
      <c r="N22" s="8" t="s">
        <v>162</v>
      </c>
      <c r="O22" s="8" t="s">
        <v>163</v>
      </c>
      <c r="P22" s="8" t="s">
        <v>164</v>
      </c>
      <c r="Q22" s="8" t="s">
        <v>165</v>
      </c>
    </row>
    <row r="23" spans="1:17" ht="13.9">
      <c r="A23" s="7" t="s">
        <v>166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  <c r="H23" s="7" t="s">
        <v>167</v>
      </c>
      <c r="I23" s="7" t="s">
        <v>17</v>
      </c>
      <c r="J23" s="7" t="s">
        <v>168</v>
      </c>
      <c r="K23" s="7" t="s">
        <v>17</v>
      </c>
      <c r="L23" s="7" t="s">
        <v>169</v>
      </c>
      <c r="M23" s="7" t="s">
        <v>17</v>
      </c>
      <c r="N23" s="7" t="s">
        <v>170</v>
      </c>
      <c r="O23" s="7" t="s">
        <v>17</v>
      </c>
      <c r="P23" s="7" t="s">
        <v>171</v>
      </c>
      <c r="Q23" s="7" t="s">
        <v>17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00000000-0004-0000-0000-000000000000}"/>
    <hyperlink ref="B13" r:id="rId2" location="/dashboard" xr:uid="{00000000-0004-0000-0000-000001000000}"/>
    <hyperlink ref="B14" r:id="rId3" location="/dashboard" xr:uid="{00000000-0004-0000-0000-000002000000}"/>
    <hyperlink ref="B15" r:id="rId4" location="/dashboard" xr:uid="{00000000-0004-0000-0000-000003000000}"/>
    <hyperlink ref="B16" r:id="rId5" location="/dashboard" xr:uid="{00000000-0004-0000-0000-000004000000}"/>
    <hyperlink ref="B17" r:id="rId6" location="/dashboard" xr:uid="{00000000-0004-0000-0000-000005000000}"/>
    <hyperlink ref="B18" r:id="rId7" location="/dashboard" xr:uid="{00000000-0004-0000-0000-000006000000}"/>
    <hyperlink ref="B19" r:id="rId8" location="/dashboard" xr:uid="{00000000-0004-0000-0000-000007000000}"/>
    <hyperlink ref="B20" r:id="rId9" location="/dashboard" xr:uid="{00000000-0004-0000-0000-000008000000}"/>
    <hyperlink ref="B21" r:id="rId10" location="/dashboard" xr:uid="{00000000-0004-0000-0000-000009000000}"/>
    <hyperlink ref="B22" r:id="rId11" location="/dashboard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zoomScale="75" zoomScaleNormal="75" workbookViewId="0">
      <selection activeCell="N13" sqref="N13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>
      <c r="A1" s="10" t="s">
        <v>172</v>
      </c>
      <c r="B1" s="10" t="s">
        <v>173</v>
      </c>
      <c r="C1" s="10" t="s">
        <v>174</v>
      </c>
      <c r="D1" s="10" t="s">
        <v>175</v>
      </c>
      <c r="E1" s="10" t="s">
        <v>176</v>
      </c>
      <c r="F1" s="10" t="s">
        <v>177</v>
      </c>
      <c r="G1" s="10" t="s">
        <v>178</v>
      </c>
      <c r="H1" s="10" t="s">
        <v>179</v>
      </c>
      <c r="I1" s="10" t="s">
        <v>180</v>
      </c>
      <c r="J1" s="10" t="s">
        <v>181</v>
      </c>
      <c r="K1" s="10" t="s">
        <v>182</v>
      </c>
      <c r="L1" s="10" t="s">
        <v>183</v>
      </c>
    </row>
    <row r="2" spans="1:12">
      <c r="A2" s="11" t="s">
        <v>184</v>
      </c>
      <c r="B2" s="11" t="s">
        <v>185</v>
      </c>
      <c r="C2" s="11" t="s">
        <v>186</v>
      </c>
      <c r="D2" s="11" t="s">
        <v>57</v>
      </c>
      <c r="E2" s="12">
        <v>45987.665972222225</v>
      </c>
      <c r="F2" s="11" t="s">
        <v>187</v>
      </c>
      <c r="G2" s="11" t="s">
        <v>188</v>
      </c>
      <c r="H2" s="11" t="s">
        <v>189</v>
      </c>
      <c r="I2" s="11" t="s">
        <v>190</v>
      </c>
      <c r="J2" s="11" t="s">
        <v>191</v>
      </c>
      <c r="K2" s="13" t="str">
        <f>HYPERLINK("https://us.assetplanner.com/service_request?ID=111791","SR111791")</f>
        <v>SR111791</v>
      </c>
      <c r="L2" s="11" t="s">
        <v>192</v>
      </c>
    </row>
    <row r="3" spans="1:12">
      <c r="A3" s="11" t="s">
        <v>184</v>
      </c>
      <c r="B3" s="11" t="s">
        <v>185</v>
      </c>
      <c r="C3" s="11" t="s">
        <v>193</v>
      </c>
      <c r="D3" s="11" t="s">
        <v>57</v>
      </c>
      <c r="E3" s="12">
        <v>45939.500694444447</v>
      </c>
      <c r="F3" s="11" t="s">
        <v>194</v>
      </c>
      <c r="G3" s="11" t="s">
        <v>188</v>
      </c>
      <c r="H3" s="11" t="s">
        <v>189</v>
      </c>
      <c r="I3" s="11" t="s">
        <v>190</v>
      </c>
      <c r="J3" s="11" t="s">
        <v>191</v>
      </c>
      <c r="K3" s="13" t="str">
        <f>HYPERLINK("https://us.assetplanner.com/service_request?ID=109270","SR109270")</f>
        <v>SR109270</v>
      </c>
      <c r="L3" s="11" t="s">
        <v>17</v>
      </c>
    </row>
    <row r="4" spans="1:12">
      <c r="A4" s="11" t="s">
        <v>184</v>
      </c>
      <c r="B4" s="11" t="s">
        <v>185</v>
      </c>
      <c r="C4" s="11" t="s">
        <v>195</v>
      </c>
      <c r="D4" s="11" t="s">
        <v>57</v>
      </c>
      <c r="E4" s="12">
        <v>45930.518055555556</v>
      </c>
      <c r="F4" s="11" t="s">
        <v>196</v>
      </c>
      <c r="G4" s="11" t="s">
        <v>188</v>
      </c>
      <c r="H4" s="11" t="s">
        <v>189</v>
      </c>
      <c r="I4" s="11" t="s">
        <v>190</v>
      </c>
      <c r="J4" s="11" t="s">
        <v>197</v>
      </c>
      <c r="K4" s="13" t="str">
        <f>HYPERLINK("https://us.assetplanner.com/service_request?ID=108769","SR108769")</f>
        <v>SR108769</v>
      </c>
      <c r="L4" s="11" t="s">
        <v>17</v>
      </c>
    </row>
    <row r="5" spans="1:12">
      <c r="A5" s="11" t="s">
        <v>184</v>
      </c>
      <c r="B5" s="11" t="s">
        <v>185</v>
      </c>
      <c r="C5" s="11" t="s">
        <v>198</v>
      </c>
      <c r="D5" s="11" t="s">
        <v>57</v>
      </c>
      <c r="E5" s="12">
        <v>45924.54583333333</v>
      </c>
      <c r="F5" s="11" t="s">
        <v>199</v>
      </c>
      <c r="G5" s="11" t="s">
        <v>188</v>
      </c>
      <c r="H5" s="11" t="s">
        <v>189</v>
      </c>
      <c r="I5" s="11" t="s">
        <v>190</v>
      </c>
      <c r="J5" s="11" t="s">
        <v>197</v>
      </c>
      <c r="K5" s="13" t="str">
        <f>HYPERLINK("https://us.assetplanner.com/service_request?ID=108469","SR108469")</f>
        <v>SR108469</v>
      </c>
      <c r="L5" s="11" t="s">
        <v>17</v>
      </c>
    </row>
    <row r="6" spans="1:12">
      <c r="A6" s="11" t="s">
        <v>184</v>
      </c>
      <c r="B6" s="11" t="s">
        <v>185</v>
      </c>
      <c r="C6" s="11" t="s">
        <v>200</v>
      </c>
      <c r="D6" s="11" t="s">
        <v>129</v>
      </c>
      <c r="E6" s="12">
        <v>45924.543055555558</v>
      </c>
      <c r="F6" s="11" t="s">
        <v>201</v>
      </c>
      <c r="G6" s="11" t="s">
        <v>188</v>
      </c>
      <c r="H6" s="11" t="s">
        <v>189</v>
      </c>
      <c r="I6" s="11" t="s">
        <v>190</v>
      </c>
      <c r="J6" s="11" t="s">
        <v>197</v>
      </c>
      <c r="K6" s="13" t="str">
        <f>HYPERLINK("https://us.assetplanner.com/service_request?ID=108468","SR108468")</f>
        <v>SR108468</v>
      </c>
      <c r="L6" s="11" t="s">
        <v>17</v>
      </c>
    </row>
    <row r="7" spans="1:12">
      <c r="A7" s="11" t="s">
        <v>184</v>
      </c>
      <c r="B7" s="11" t="s">
        <v>185</v>
      </c>
      <c r="C7" s="11" t="s">
        <v>202</v>
      </c>
      <c r="D7" s="11" t="s">
        <v>129</v>
      </c>
      <c r="E7" s="12">
        <v>45924.540277777778</v>
      </c>
      <c r="F7" s="11" t="s">
        <v>203</v>
      </c>
      <c r="G7" s="11" t="s">
        <v>188</v>
      </c>
      <c r="H7" s="11" t="s">
        <v>189</v>
      </c>
      <c r="I7" s="11" t="s">
        <v>190</v>
      </c>
      <c r="J7" s="11" t="s">
        <v>197</v>
      </c>
      <c r="K7" s="13" t="str">
        <f>HYPERLINK("https://us.assetplanner.com/service_request?ID=108467","SR108467")</f>
        <v>SR108467</v>
      </c>
      <c r="L7" s="11" t="s">
        <v>17</v>
      </c>
    </row>
    <row r="8" spans="1:12">
      <c r="A8" s="11" t="s">
        <v>184</v>
      </c>
      <c r="B8" s="11" t="s">
        <v>185</v>
      </c>
      <c r="C8" s="11" t="s">
        <v>204</v>
      </c>
      <c r="D8" s="11" t="s">
        <v>57</v>
      </c>
      <c r="E8" s="12">
        <v>45915.531944444447</v>
      </c>
      <c r="F8" s="11" t="s">
        <v>205</v>
      </c>
      <c r="G8" s="11" t="s">
        <v>188</v>
      </c>
      <c r="H8" s="11" t="s">
        <v>189</v>
      </c>
      <c r="I8" s="11" t="s">
        <v>190</v>
      </c>
      <c r="J8" s="11" t="s">
        <v>197</v>
      </c>
      <c r="K8" s="13" t="str">
        <f>HYPERLINK("https://us.assetplanner.com/service_request?ID=107976","SR107976")</f>
        <v>SR107976</v>
      </c>
      <c r="L8" s="11" t="s">
        <v>17</v>
      </c>
    </row>
    <row r="9" spans="1:12">
      <c r="A9" s="11" t="s">
        <v>184</v>
      </c>
      <c r="B9" s="11" t="s">
        <v>185</v>
      </c>
      <c r="C9" s="11" t="s">
        <v>206</v>
      </c>
      <c r="D9" s="11" t="s">
        <v>57</v>
      </c>
      <c r="E9" s="12">
        <v>45902.68472222222</v>
      </c>
      <c r="F9" s="11" t="s">
        <v>207</v>
      </c>
      <c r="G9" s="11" t="s">
        <v>188</v>
      </c>
      <c r="H9" s="11" t="s">
        <v>189</v>
      </c>
      <c r="I9" s="11" t="s">
        <v>190</v>
      </c>
      <c r="J9" s="11" t="s">
        <v>197</v>
      </c>
      <c r="K9" s="13" t="str">
        <f>HYPERLINK("https://us.assetplanner.com/service_request?ID=107318","SR107318")</f>
        <v>SR107318</v>
      </c>
      <c r="L9" s="11" t="s">
        <v>17</v>
      </c>
    </row>
    <row r="10" spans="1:12">
      <c r="A10" s="11" t="s">
        <v>184</v>
      </c>
      <c r="B10" s="11" t="s">
        <v>185</v>
      </c>
      <c r="C10" s="11" t="s">
        <v>17</v>
      </c>
      <c r="D10" s="11" t="s">
        <v>208</v>
      </c>
      <c r="E10" s="12">
        <v>45902.683333333334</v>
      </c>
      <c r="F10" s="11" t="s">
        <v>209</v>
      </c>
      <c r="G10" s="11" t="s">
        <v>188</v>
      </c>
      <c r="H10" s="11" t="s">
        <v>189</v>
      </c>
      <c r="I10" s="11" t="s">
        <v>190</v>
      </c>
      <c r="J10" s="11" t="s">
        <v>191</v>
      </c>
      <c r="K10" s="13" t="str">
        <f>HYPERLINK("https://us.assetplanner.com/service_request?ID=107316","SR107316")</f>
        <v>SR107316</v>
      </c>
      <c r="L10" s="11" t="s">
        <v>17</v>
      </c>
    </row>
    <row r="11" spans="1:12">
      <c r="A11" s="11" t="s">
        <v>184</v>
      </c>
      <c r="B11" s="11" t="s">
        <v>185</v>
      </c>
      <c r="C11" s="11" t="s">
        <v>210</v>
      </c>
      <c r="D11" s="11" t="s">
        <v>208</v>
      </c>
      <c r="E11" s="12">
        <v>45902.670138888891</v>
      </c>
      <c r="F11" s="11" t="s">
        <v>211</v>
      </c>
      <c r="G11" s="11" t="s">
        <v>188</v>
      </c>
      <c r="H11" s="11" t="s">
        <v>189</v>
      </c>
      <c r="I11" s="11" t="s">
        <v>190</v>
      </c>
      <c r="J11" s="11" t="s">
        <v>197</v>
      </c>
      <c r="K11" s="13" t="str">
        <f>HYPERLINK("https://us.assetplanner.com/service_request?ID=107314","SR107314")</f>
        <v>SR107314</v>
      </c>
      <c r="L11" s="11" t="s">
        <v>17</v>
      </c>
    </row>
    <row r="12" spans="1:12">
      <c r="A12" s="11" t="s">
        <v>184</v>
      </c>
      <c r="B12" s="11" t="s">
        <v>185</v>
      </c>
      <c r="C12" s="11" t="s">
        <v>212</v>
      </c>
      <c r="D12" s="11" t="s">
        <v>208</v>
      </c>
      <c r="E12" s="12">
        <v>45876.546527777777</v>
      </c>
      <c r="F12" s="11" t="s">
        <v>213</v>
      </c>
      <c r="G12" s="11" t="s">
        <v>188</v>
      </c>
      <c r="H12" s="11" t="s">
        <v>189</v>
      </c>
      <c r="I12" s="11" t="s">
        <v>190</v>
      </c>
      <c r="J12" s="11" t="s">
        <v>191</v>
      </c>
      <c r="K12" s="13" t="str">
        <f>HYPERLINK("https://us.assetplanner.com/service_request?ID=105843","SR105843")</f>
        <v>SR105843</v>
      </c>
      <c r="L12" s="11" t="s">
        <v>17</v>
      </c>
    </row>
    <row r="13" spans="1:12">
      <c r="A13" s="11" t="s">
        <v>184</v>
      </c>
      <c r="B13" s="11" t="s">
        <v>185</v>
      </c>
      <c r="C13" s="11" t="s">
        <v>214</v>
      </c>
      <c r="D13" s="11" t="s">
        <v>142</v>
      </c>
      <c r="E13" s="12">
        <v>45868.588888888888</v>
      </c>
      <c r="F13" s="11" t="s">
        <v>215</v>
      </c>
      <c r="G13" s="11" t="s">
        <v>188</v>
      </c>
      <c r="H13" s="11" t="s">
        <v>189</v>
      </c>
      <c r="I13" s="11" t="s">
        <v>190</v>
      </c>
      <c r="J13" s="11" t="s">
        <v>197</v>
      </c>
      <c r="K13" s="13" t="str">
        <f>HYPERLINK("https://us.assetplanner.com/service_request?ID=105365","SR105365")</f>
        <v>SR105365</v>
      </c>
      <c r="L13" s="11" t="s">
        <v>17</v>
      </c>
    </row>
    <row r="14" spans="1:12">
      <c r="A14" s="11" t="s">
        <v>184</v>
      </c>
      <c r="B14" s="11" t="s">
        <v>185</v>
      </c>
      <c r="C14" s="11" t="s">
        <v>216</v>
      </c>
      <c r="D14" s="11" t="s">
        <v>217</v>
      </c>
      <c r="E14" s="12">
        <v>45868.57708333333</v>
      </c>
      <c r="F14" s="11" t="s">
        <v>218</v>
      </c>
      <c r="G14" s="11" t="s">
        <v>188</v>
      </c>
      <c r="H14" s="11" t="s">
        <v>189</v>
      </c>
      <c r="I14" s="11" t="s">
        <v>190</v>
      </c>
      <c r="J14" s="11" t="s">
        <v>197</v>
      </c>
      <c r="K14" s="13" t="str">
        <f>HYPERLINK("https://us.assetplanner.com/service_request?ID=105362","SR105362")</f>
        <v>SR105362</v>
      </c>
      <c r="L14" s="11" t="s">
        <v>17</v>
      </c>
    </row>
    <row r="15" spans="1:12">
      <c r="A15" s="11" t="s">
        <v>184</v>
      </c>
      <c r="B15" s="11" t="s">
        <v>185</v>
      </c>
      <c r="C15" s="11" t="s">
        <v>219</v>
      </c>
      <c r="D15" s="11" t="s">
        <v>79</v>
      </c>
      <c r="E15" s="12">
        <v>45824.521527777775</v>
      </c>
      <c r="F15" s="11" t="s">
        <v>220</v>
      </c>
      <c r="G15" s="11" t="s">
        <v>188</v>
      </c>
      <c r="H15" s="11" t="s">
        <v>189</v>
      </c>
      <c r="I15" s="11" t="s">
        <v>190</v>
      </c>
      <c r="J15" s="11" t="s">
        <v>197</v>
      </c>
      <c r="K15" s="13" t="str">
        <f>HYPERLINK("https://us.assetplanner.com/service_request?ID=103023","SR103023")</f>
        <v>SR103023</v>
      </c>
      <c r="L15" s="11" t="s">
        <v>17</v>
      </c>
    </row>
    <row r="16" spans="1:12" ht="13.9" customHeight="1">
      <c r="A16" s="11" t="s">
        <v>184</v>
      </c>
      <c r="B16" s="11" t="s">
        <v>185</v>
      </c>
      <c r="C16" s="11" t="s">
        <v>221</v>
      </c>
      <c r="D16" s="11" t="s">
        <v>116</v>
      </c>
      <c r="E16" s="12">
        <v>45817.531944444447</v>
      </c>
      <c r="F16" s="11" t="s">
        <v>222</v>
      </c>
      <c r="G16" s="11" t="s">
        <v>188</v>
      </c>
      <c r="H16" s="11" t="s">
        <v>189</v>
      </c>
      <c r="I16" s="11" t="s">
        <v>190</v>
      </c>
      <c r="J16" s="11" t="s">
        <v>197</v>
      </c>
      <c r="K16" s="13" t="str">
        <f>HYPERLINK("https://us.assetplanner.com/service_request?ID=102700","SR102700")</f>
        <v>SR102700</v>
      </c>
      <c r="L16" s="11" t="s">
        <v>17</v>
      </c>
    </row>
    <row r="17" spans="1:12">
      <c r="A17" s="11" t="s">
        <v>184</v>
      </c>
      <c r="B17" s="11" t="s">
        <v>185</v>
      </c>
      <c r="C17" s="11" t="s">
        <v>223</v>
      </c>
      <c r="D17" s="11" t="s">
        <v>79</v>
      </c>
      <c r="E17" s="12">
        <v>45811.533333333333</v>
      </c>
      <c r="F17" s="11" t="s">
        <v>224</v>
      </c>
      <c r="G17" s="11" t="s">
        <v>188</v>
      </c>
      <c r="H17" s="11" t="s">
        <v>189</v>
      </c>
      <c r="I17" s="11" t="s">
        <v>190</v>
      </c>
      <c r="J17" s="11" t="s">
        <v>197</v>
      </c>
      <c r="K17" s="13" t="str">
        <f>HYPERLINK("https://us.assetplanner.com/service_request?ID=102390","SR102390")</f>
        <v>SR102390</v>
      </c>
      <c r="L17" s="11" t="s">
        <v>17</v>
      </c>
    </row>
    <row r="18" spans="1:12">
      <c r="A18" s="11" t="s">
        <v>184</v>
      </c>
      <c r="B18" s="11" t="s">
        <v>185</v>
      </c>
      <c r="C18" s="11" t="s">
        <v>225</v>
      </c>
      <c r="D18" s="11" t="s">
        <v>57</v>
      </c>
      <c r="E18" s="12">
        <v>45796.620833333334</v>
      </c>
      <c r="F18" s="11" t="s">
        <v>226</v>
      </c>
      <c r="G18" s="11" t="s">
        <v>188</v>
      </c>
      <c r="H18" s="11" t="s">
        <v>189</v>
      </c>
      <c r="I18" s="11" t="s">
        <v>190</v>
      </c>
      <c r="J18" s="11" t="s">
        <v>191</v>
      </c>
      <c r="K18" s="13" t="str">
        <f>HYPERLINK("https://us.assetplanner.com/service_request?ID=101683","SR101683")</f>
        <v>SR101683</v>
      </c>
      <c r="L18" s="11" t="s">
        <v>17</v>
      </c>
    </row>
    <row r="19" spans="1:12">
      <c r="A19" s="11" t="s">
        <v>184</v>
      </c>
      <c r="B19" s="11" t="s">
        <v>185</v>
      </c>
      <c r="C19" s="11" t="s">
        <v>227</v>
      </c>
      <c r="D19" s="11" t="s">
        <v>79</v>
      </c>
      <c r="E19" s="12">
        <v>45790.61041666667</v>
      </c>
      <c r="F19" s="11" t="s">
        <v>228</v>
      </c>
      <c r="G19" s="11" t="s">
        <v>188</v>
      </c>
      <c r="H19" s="11" t="s">
        <v>189</v>
      </c>
      <c r="I19" s="11" t="s">
        <v>190</v>
      </c>
      <c r="J19" s="11" t="s">
        <v>197</v>
      </c>
      <c r="K19" s="13" t="str">
        <f>HYPERLINK("https://us.assetplanner.com/service_request?ID=101400","SR101400")</f>
        <v>SR101400</v>
      </c>
      <c r="L19" s="11" t="s">
        <v>17</v>
      </c>
    </row>
    <row r="20" spans="1:12">
      <c r="A20" s="11" t="s">
        <v>184</v>
      </c>
      <c r="B20" s="11" t="s">
        <v>185</v>
      </c>
      <c r="C20" s="11" t="s">
        <v>229</v>
      </c>
      <c r="D20" s="11" t="s">
        <v>79</v>
      </c>
      <c r="E20" s="12">
        <v>45775.561111111114</v>
      </c>
      <c r="F20" s="11" t="s">
        <v>230</v>
      </c>
      <c r="G20" s="11" t="s">
        <v>188</v>
      </c>
      <c r="H20" s="11" t="s">
        <v>189</v>
      </c>
      <c r="I20" s="11" t="s">
        <v>190</v>
      </c>
      <c r="J20" s="11" t="s">
        <v>191</v>
      </c>
      <c r="K20" s="13" t="str">
        <f>HYPERLINK("https://us.assetplanner.com/service_request?ID=100557","SR100557")</f>
        <v>SR100557</v>
      </c>
      <c r="L20" s="11" t="s">
        <v>17</v>
      </c>
    </row>
    <row r="21" spans="1:12">
      <c r="A21" s="11" t="s">
        <v>184</v>
      </c>
      <c r="B21" s="11" t="s">
        <v>185</v>
      </c>
      <c r="C21" s="11" t="s">
        <v>231</v>
      </c>
      <c r="D21" s="11" t="s">
        <v>103</v>
      </c>
      <c r="E21" s="12">
        <v>45713.54583333333</v>
      </c>
      <c r="F21" s="11" t="s">
        <v>232</v>
      </c>
      <c r="G21" s="11" t="s">
        <v>188</v>
      </c>
      <c r="H21" s="11" t="s">
        <v>189</v>
      </c>
      <c r="I21" s="11" t="s">
        <v>190</v>
      </c>
      <c r="J21" s="11" t="s">
        <v>191</v>
      </c>
      <c r="K21" s="13" t="str">
        <f>HYPERLINK("https://us.assetplanner.com/service_request?ID=97766","SR097766")</f>
        <v>SR097766</v>
      </c>
      <c r="L21" s="11" t="s">
        <v>17</v>
      </c>
    </row>
    <row r="22" spans="1:12">
      <c r="A22" s="11" t="s">
        <v>184</v>
      </c>
      <c r="B22" s="11" t="s">
        <v>185</v>
      </c>
      <c r="C22" s="11" t="s">
        <v>233</v>
      </c>
      <c r="D22" s="11" t="s">
        <v>79</v>
      </c>
      <c r="E22" s="12">
        <v>45706.615277777775</v>
      </c>
      <c r="F22" s="11" t="s">
        <v>234</v>
      </c>
      <c r="G22" s="11" t="s">
        <v>188</v>
      </c>
      <c r="H22" s="11" t="s">
        <v>189</v>
      </c>
      <c r="I22" s="11" t="s">
        <v>190</v>
      </c>
      <c r="J22" s="11" t="s">
        <v>191</v>
      </c>
      <c r="K22" s="13" t="str">
        <f>HYPERLINK("https://us.assetplanner.com/service_request?ID=97346","SR097346")</f>
        <v>SR097346</v>
      </c>
      <c r="L22" s="11" t="s">
        <v>17</v>
      </c>
    </row>
    <row r="23" spans="1:12">
      <c r="A23" s="11" t="s">
        <v>184</v>
      </c>
      <c r="B23" s="11" t="s">
        <v>185</v>
      </c>
      <c r="C23" s="11" t="s">
        <v>235</v>
      </c>
      <c r="D23" s="11" t="s">
        <v>236</v>
      </c>
      <c r="E23" s="12">
        <v>45613.522222222222</v>
      </c>
      <c r="F23" s="11" t="s">
        <v>237</v>
      </c>
      <c r="G23" s="11" t="s">
        <v>188</v>
      </c>
      <c r="H23" s="11" t="s">
        <v>189</v>
      </c>
      <c r="I23" s="11" t="s">
        <v>190</v>
      </c>
      <c r="J23" s="11" t="s">
        <v>238</v>
      </c>
      <c r="K23" s="13" t="str">
        <f>HYPERLINK("https://us.assetplanner.com/service_request?ID=93350","SR093350")</f>
        <v>SR093350</v>
      </c>
      <c r="L23" s="11" t="s">
        <v>17</v>
      </c>
    </row>
    <row r="24" spans="1:12">
      <c r="A24" s="11" t="s">
        <v>184</v>
      </c>
      <c r="B24" s="11" t="s">
        <v>185</v>
      </c>
      <c r="C24" s="11" t="s">
        <v>239</v>
      </c>
      <c r="D24" s="11" t="s">
        <v>236</v>
      </c>
      <c r="E24" s="12">
        <v>45613.521527777775</v>
      </c>
      <c r="F24" s="11" t="s">
        <v>240</v>
      </c>
      <c r="G24" s="11" t="s">
        <v>188</v>
      </c>
      <c r="H24" s="11" t="s">
        <v>189</v>
      </c>
      <c r="I24" s="11" t="s">
        <v>190</v>
      </c>
      <c r="J24" s="11" t="s">
        <v>238</v>
      </c>
      <c r="K24" s="13" t="str">
        <f>HYPERLINK("https://us.assetplanner.com/service_request?ID=93349","SR093349")</f>
        <v>SR093349</v>
      </c>
      <c r="L24" s="11" t="s">
        <v>17</v>
      </c>
    </row>
    <row r="25" spans="1:12">
      <c r="A25" s="11" t="s">
        <v>184</v>
      </c>
      <c r="B25" s="11" t="s">
        <v>185</v>
      </c>
      <c r="C25" s="11" t="s">
        <v>241</v>
      </c>
      <c r="D25" s="11" t="s">
        <v>103</v>
      </c>
      <c r="E25" s="12">
        <v>45594.56527777778</v>
      </c>
      <c r="F25" s="11" t="s">
        <v>242</v>
      </c>
      <c r="G25" s="11" t="s">
        <v>188</v>
      </c>
      <c r="H25" s="11" t="s">
        <v>189</v>
      </c>
      <c r="I25" s="11" t="s">
        <v>190</v>
      </c>
      <c r="J25" s="11" t="s">
        <v>243</v>
      </c>
      <c r="K25" s="13" t="str">
        <f>HYPERLINK("https://us.assetplanner.com/service_request?ID=92738","SR092738")</f>
        <v>SR092738</v>
      </c>
      <c r="L25" s="11"/>
    </row>
    <row r="26" spans="1:12">
      <c r="A26" s="11" t="s">
        <v>184</v>
      </c>
      <c r="B26" s="11" t="s">
        <v>185</v>
      </c>
      <c r="C26" s="11" t="s">
        <v>244</v>
      </c>
      <c r="D26" s="11" t="s">
        <v>129</v>
      </c>
      <c r="E26" s="12">
        <v>45581.544444444444</v>
      </c>
      <c r="F26" s="11" t="s">
        <v>245</v>
      </c>
      <c r="G26" s="11" t="s">
        <v>188</v>
      </c>
      <c r="H26" s="11" t="s">
        <v>189</v>
      </c>
      <c r="I26" s="11" t="s">
        <v>190</v>
      </c>
      <c r="J26" s="11" t="s">
        <v>238</v>
      </c>
      <c r="K26" s="13" t="str">
        <f>HYPERLINK("https://us.assetplanner.com/service_request?ID=92211","SR092211")</f>
        <v>SR092211</v>
      </c>
      <c r="L26" s="11" t="s">
        <v>17</v>
      </c>
    </row>
    <row r="27" spans="1:12">
      <c r="A27" s="11" t="s">
        <v>184</v>
      </c>
      <c r="B27" s="11" t="s">
        <v>185</v>
      </c>
      <c r="C27" s="11" t="s">
        <v>246</v>
      </c>
      <c r="D27" s="11" t="s">
        <v>103</v>
      </c>
      <c r="E27" s="12">
        <v>45488.643750000003</v>
      </c>
      <c r="F27" s="11" t="s">
        <v>247</v>
      </c>
      <c r="G27" s="11" t="s">
        <v>188</v>
      </c>
      <c r="H27" s="11" t="s">
        <v>189</v>
      </c>
      <c r="I27" s="11" t="s">
        <v>190</v>
      </c>
      <c r="J27" s="11" t="s">
        <v>243</v>
      </c>
      <c r="K27" s="13" t="str">
        <f>HYPERLINK("https://us.assetplanner.com/service_request?ID=87727","SR087727")</f>
        <v>SR087727</v>
      </c>
      <c r="L27" s="11" t="s">
        <v>17</v>
      </c>
    </row>
    <row r="28" spans="1:12">
      <c r="A28" s="11" t="s">
        <v>184</v>
      </c>
      <c r="B28" s="11" t="s">
        <v>185</v>
      </c>
      <c r="C28" s="11" t="s">
        <v>248</v>
      </c>
      <c r="D28" s="11" t="s">
        <v>103</v>
      </c>
      <c r="E28" s="12">
        <v>45475.541666666664</v>
      </c>
      <c r="F28" s="11" t="s">
        <v>249</v>
      </c>
      <c r="G28" s="11" t="s">
        <v>188</v>
      </c>
      <c r="H28" s="11" t="s">
        <v>189</v>
      </c>
      <c r="I28" s="11" t="s">
        <v>190</v>
      </c>
      <c r="J28" s="11" t="s">
        <v>243</v>
      </c>
      <c r="K28" s="13" t="str">
        <f>HYPERLINK("https://us.assetplanner.com/service_request?ID=87282","SR087282")</f>
        <v>SR087282</v>
      </c>
      <c r="L28" s="11" t="s">
        <v>17</v>
      </c>
    </row>
    <row r="29" spans="1:12">
      <c r="A29" s="11" t="s">
        <v>184</v>
      </c>
      <c r="B29" s="11" t="s">
        <v>185</v>
      </c>
      <c r="C29" s="11" t="s">
        <v>250</v>
      </c>
      <c r="D29" s="11" t="s">
        <v>79</v>
      </c>
      <c r="E29" s="12">
        <v>45446.525694444441</v>
      </c>
      <c r="F29" s="11" t="s">
        <v>251</v>
      </c>
      <c r="G29" s="11" t="s">
        <v>188</v>
      </c>
      <c r="H29" s="11" t="s">
        <v>252</v>
      </c>
      <c r="I29" s="11" t="s">
        <v>253</v>
      </c>
      <c r="J29" s="11" t="s">
        <v>238</v>
      </c>
      <c r="K29" s="13" t="str">
        <f>HYPERLINK("https://us.assetplanner.com/service_request?ID=85484","SR085484")</f>
        <v>SR085484</v>
      </c>
      <c r="L29" s="11" t="s">
        <v>192</v>
      </c>
    </row>
    <row r="30" spans="1:12">
      <c r="A30" s="11" t="s">
        <v>184</v>
      </c>
      <c r="B30" s="11" t="s">
        <v>185</v>
      </c>
      <c r="C30" s="11" t="s">
        <v>17</v>
      </c>
      <c r="D30" s="11" t="s">
        <v>254</v>
      </c>
      <c r="E30" s="12">
        <v>45429.52847222222</v>
      </c>
      <c r="F30" s="11" t="s">
        <v>255</v>
      </c>
      <c r="G30" s="11" t="s">
        <v>188</v>
      </c>
      <c r="H30" s="11" t="s">
        <v>189</v>
      </c>
      <c r="I30" s="11" t="s">
        <v>190</v>
      </c>
      <c r="J30" s="11" t="s">
        <v>238</v>
      </c>
      <c r="K30" s="13" t="str">
        <f>HYPERLINK("https://us.assetplanner.com/service_request?ID=84807","SR084807")</f>
        <v>SR084807</v>
      </c>
      <c r="L30" s="11" t="s">
        <v>192</v>
      </c>
    </row>
    <row r="31" spans="1:12">
      <c r="A31" s="11" t="s">
        <v>184</v>
      </c>
      <c r="B31" s="11" t="s">
        <v>185</v>
      </c>
      <c r="C31" s="11" t="s">
        <v>17</v>
      </c>
      <c r="D31" s="11" t="s">
        <v>256</v>
      </c>
      <c r="E31" s="12">
        <v>45423.568749999999</v>
      </c>
      <c r="F31" s="11" t="s">
        <v>257</v>
      </c>
      <c r="G31" s="11" t="s">
        <v>188</v>
      </c>
      <c r="H31" s="11" t="s">
        <v>189</v>
      </c>
      <c r="I31" s="11" t="s">
        <v>190</v>
      </c>
      <c r="J31" s="11" t="s">
        <v>258</v>
      </c>
      <c r="K31" s="13" t="str">
        <f>HYPERLINK("https://us.assetplanner.com/service_request?ID=84580","SR084580")</f>
        <v>SR084580</v>
      </c>
      <c r="L31" s="11" t="s">
        <v>192</v>
      </c>
    </row>
    <row r="32" spans="1:12">
      <c r="A32" s="11" t="s">
        <v>184</v>
      </c>
      <c r="B32" s="11" t="s">
        <v>185</v>
      </c>
      <c r="C32" s="11" t="s">
        <v>259</v>
      </c>
      <c r="D32" s="11" t="s">
        <v>260</v>
      </c>
      <c r="E32" s="12">
        <v>45372.53125</v>
      </c>
      <c r="F32" s="11" t="s">
        <v>261</v>
      </c>
      <c r="G32" s="11" t="s">
        <v>188</v>
      </c>
      <c r="H32" s="11" t="s">
        <v>189</v>
      </c>
      <c r="I32" s="11" t="s">
        <v>190</v>
      </c>
      <c r="J32" s="11" t="s">
        <v>238</v>
      </c>
      <c r="K32" s="13" t="str">
        <f>HYPERLINK("https://us.assetplanner.com/service_request?ID=82331","SR082331")</f>
        <v>SR082331</v>
      </c>
      <c r="L32" s="11" t="s">
        <v>192</v>
      </c>
    </row>
    <row r="33" spans="1:12">
      <c r="A33" s="11" t="s">
        <v>184</v>
      </c>
      <c r="B33" s="11" t="s">
        <v>185</v>
      </c>
      <c r="C33" s="11" t="s">
        <v>262</v>
      </c>
      <c r="D33" s="11" t="s">
        <v>236</v>
      </c>
      <c r="E33" s="12">
        <v>45355.539583333331</v>
      </c>
      <c r="F33" s="11" t="s">
        <v>263</v>
      </c>
      <c r="G33" s="11" t="s">
        <v>188</v>
      </c>
      <c r="H33" s="11" t="s">
        <v>189</v>
      </c>
      <c r="I33" s="11" t="s">
        <v>190</v>
      </c>
      <c r="J33" s="11" t="s">
        <v>238</v>
      </c>
      <c r="K33" s="13" t="str">
        <f>HYPERLINK("https://us.assetplanner.com/service_request?ID=81556","SR081556")</f>
        <v>SR081556</v>
      </c>
      <c r="L33" s="11" t="s">
        <v>192</v>
      </c>
    </row>
    <row r="34" spans="1:12">
      <c r="A34" s="11" t="s">
        <v>184</v>
      </c>
      <c r="B34" s="11" t="s">
        <v>185</v>
      </c>
      <c r="C34" s="11" t="s">
        <v>264</v>
      </c>
      <c r="D34" s="11" t="s">
        <v>57</v>
      </c>
      <c r="E34" s="12">
        <v>45355.538194444445</v>
      </c>
      <c r="F34" s="11" t="s">
        <v>265</v>
      </c>
      <c r="G34" s="11" t="s">
        <v>188</v>
      </c>
      <c r="H34" s="11" t="s">
        <v>189</v>
      </c>
      <c r="I34" s="11" t="s">
        <v>190</v>
      </c>
      <c r="J34" s="11" t="s">
        <v>238</v>
      </c>
      <c r="K34" s="13" t="str">
        <f>HYPERLINK("https://us.assetplanner.com/service_request?ID=81555","SR081555")</f>
        <v>SR081555</v>
      </c>
      <c r="L34" s="11" t="s">
        <v>192</v>
      </c>
    </row>
    <row r="35" spans="1:12">
      <c r="A35" s="11" t="s">
        <v>184</v>
      </c>
      <c r="B35" s="11" t="s">
        <v>185</v>
      </c>
      <c r="C35" s="11" t="s">
        <v>266</v>
      </c>
      <c r="D35" s="11" t="s">
        <v>267</v>
      </c>
      <c r="E35" s="12">
        <v>45352.620833333334</v>
      </c>
      <c r="F35" s="11" t="s">
        <v>268</v>
      </c>
      <c r="G35" s="11" t="s">
        <v>188</v>
      </c>
      <c r="H35" s="11" t="s">
        <v>189</v>
      </c>
      <c r="I35" s="11" t="s">
        <v>190</v>
      </c>
      <c r="J35" s="11" t="s">
        <v>243</v>
      </c>
      <c r="K35" s="13" t="str">
        <f>HYPERLINK("https://us.assetplanner.com/service_request?ID=81504","SR081504")</f>
        <v>SR081504</v>
      </c>
      <c r="L35" s="11" t="s">
        <v>192</v>
      </c>
    </row>
    <row r="36" spans="1:12">
      <c r="A36" s="11" t="s">
        <v>184</v>
      </c>
      <c r="B36" s="11" t="s">
        <v>185</v>
      </c>
      <c r="C36" s="11" t="s">
        <v>269</v>
      </c>
      <c r="D36" s="11" t="s">
        <v>142</v>
      </c>
      <c r="E36" s="12">
        <v>45342.586111111108</v>
      </c>
      <c r="F36" s="11" t="s">
        <v>270</v>
      </c>
      <c r="G36" s="11" t="s">
        <v>188</v>
      </c>
      <c r="H36" s="11" t="s">
        <v>189</v>
      </c>
      <c r="I36" s="11" t="s">
        <v>190</v>
      </c>
      <c r="J36" s="11" t="s">
        <v>243</v>
      </c>
      <c r="K36" s="13" t="str">
        <f>HYPERLINK("https://us.assetplanner.com/service_request?ID=81129","SR081129")</f>
        <v>SR081129</v>
      </c>
      <c r="L36" s="11" t="s">
        <v>192</v>
      </c>
    </row>
    <row r="37" spans="1:12">
      <c r="A37" s="11" t="s">
        <v>184</v>
      </c>
      <c r="B37" s="11" t="s">
        <v>185</v>
      </c>
      <c r="C37" s="11" t="s">
        <v>271</v>
      </c>
      <c r="D37" s="11" t="s">
        <v>236</v>
      </c>
      <c r="E37" s="12">
        <v>45291.197222222225</v>
      </c>
      <c r="F37" s="11" t="s">
        <v>272</v>
      </c>
      <c r="G37" s="11" t="s">
        <v>188</v>
      </c>
      <c r="H37" s="11" t="s">
        <v>189</v>
      </c>
      <c r="I37" s="11" t="s">
        <v>190</v>
      </c>
      <c r="J37" s="11" t="s">
        <v>238</v>
      </c>
      <c r="K37" s="13" t="str">
        <f>HYPERLINK("https://us.assetplanner.com/service_request?ID=79845","SR079845")</f>
        <v>SR079845</v>
      </c>
      <c r="L37" s="11" t="s">
        <v>192</v>
      </c>
    </row>
    <row r="38" spans="1:12">
      <c r="A38" s="11" t="s">
        <v>184</v>
      </c>
      <c r="B38" s="11" t="s">
        <v>185</v>
      </c>
      <c r="C38" s="11" t="s">
        <v>273</v>
      </c>
      <c r="D38" s="11" t="s">
        <v>57</v>
      </c>
      <c r="E38" s="12">
        <v>45216.152083333334</v>
      </c>
      <c r="F38" s="11" t="s">
        <v>274</v>
      </c>
      <c r="G38" s="11" t="s">
        <v>188</v>
      </c>
      <c r="H38" s="11" t="s">
        <v>189</v>
      </c>
      <c r="I38" s="11" t="s">
        <v>190</v>
      </c>
      <c r="J38" s="11" t="s">
        <v>238</v>
      </c>
      <c r="K38" s="13" t="str">
        <f>HYPERLINK("https://us.assetplanner.com/service_request?ID=77517","SR077517")</f>
        <v>SR077517</v>
      </c>
      <c r="L38" s="11" t="s">
        <v>192</v>
      </c>
    </row>
    <row r="39" spans="1:12">
      <c r="A39" s="11" t="s">
        <v>184</v>
      </c>
      <c r="B39" s="11" t="s">
        <v>185</v>
      </c>
      <c r="C39" s="11" t="s">
        <v>275</v>
      </c>
      <c r="D39" s="11" t="s">
        <v>276</v>
      </c>
      <c r="E39" s="12">
        <v>45204.594444444447</v>
      </c>
      <c r="F39" s="11" t="s">
        <v>277</v>
      </c>
      <c r="G39" s="11" t="s">
        <v>188</v>
      </c>
      <c r="H39" s="11" t="s">
        <v>189</v>
      </c>
      <c r="I39" s="11" t="s">
        <v>190</v>
      </c>
      <c r="J39" s="11" t="s">
        <v>258</v>
      </c>
      <c r="K39" s="13" t="str">
        <f>HYPERLINK("https://us.assetplanner.com/service_request?ID=77287","SR077287")</f>
        <v>SR077287</v>
      </c>
      <c r="L39" s="11" t="s">
        <v>192</v>
      </c>
    </row>
    <row r="40" spans="1:12">
      <c r="A40" s="11" t="s">
        <v>184</v>
      </c>
      <c r="B40" s="11" t="s">
        <v>185</v>
      </c>
      <c r="C40" s="11" t="s">
        <v>278</v>
      </c>
      <c r="D40" s="11" t="s">
        <v>236</v>
      </c>
      <c r="E40" s="12">
        <v>45169.620138888888</v>
      </c>
      <c r="F40" s="11" t="s">
        <v>279</v>
      </c>
      <c r="G40" s="11" t="s">
        <v>188</v>
      </c>
      <c r="H40" s="11" t="s">
        <v>189</v>
      </c>
      <c r="I40" s="11" t="s">
        <v>190</v>
      </c>
      <c r="J40" s="11" t="s">
        <v>238</v>
      </c>
      <c r="K40" s="13" t="str">
        <f>HYPERLINK("https://us.assetplanner.com/service_request?ID=75642","SR075642")</f>
        <v>SR075642</v>
      </c>
      <c r="L40" s="11" t="s">
        <v>192</v>
      </c>
    </row>
    <row r="41" spans="1:12">
      <c r="A41" s="11" t="s">
        <v>184</v>
      </c>
      <c r="B41" s="11" t="s">
        <v>185</v>
      </c>
      <c r="C41" s="11" t="s">
        <v>280</v>
      </c>
      <c r="D41" s="11" t="s">
        <v>208</v>
      </c>
      <c r="E41" s="12">
        <v>45147.531944444447</v>
      </c>
      <c r="F41" s="11" t="s">
        <v>281</v>
      </c>
      <c r="G41" s="11" t="s">
        <v>188</v>
      </c>
      <c r="H41" s="11" t="s">
        <v>189</v>
      </c>
      <c r="I41" s="11" t="s">
        <v>190</v>
      </c>
      <c r="J41" s="11" t="s">
        <v>238</v>
      </c>
      <c r="K41" s="13" t="str">
        <f>HYPERLINK("https://us.assetplanner.com/service_request?ID=74887","SR074887")</f>
        <v>SR074887</v>
      </c>
      <c r="L41" s="11" t="s">
        <v>192</v>
      </c>
    </row>
    <row r="42" spans="1:12">
      <c r="A42" s="11" t="s">
        <v>184</v>
      </c>
      <c r="B42" s="11" t="s">
        <v>185</v>
      </c>
      <c r="C42" s="11" t="s">
        <v>282</v>
      </c>
      <c r="D42" s="11" t="s">
        <v>57</v>
      </c>
      <c r="E42" s="12">
        <v>45120.525694444441</v>
      </c>
      <c r="F42" s="11" t="s">
        <v>283</v>
      </c>
      <c r="G42" s="11" t="s">
        <v>188</v>
      </c>
      <c r="H42" s="11" t="s">
        <v>189</v>
      </c>
      <c r="I42" s="11" t="s">
        <v>190</v>
      </c>
      <c r="J42" s="11" t="s">
        <v>258</v>
      </c>
      <c r="K42" s="13" t="str">
        <f>HYPERLINK("https://us.assetplanner.com/service_request?ID=73825","SR073825")</f>
        <v>SR073825</v>
      </c>
      <c r="L42" s="11" t="s">
        <v>192</v>
      </c>
    </row>
    <row r="43" spans="1:12">
      <c r="A43" s="11" t="s">
        <v>184</v>
      </c>
      <c r="B43" s="11" t="s">
        <v>185</v>
      </c>
      <c r="C43" s="11" t="s">
        <v>284</v>
      </c>
      <c r="D43" s="11" t="s">
        <v>142</v>
      </c>
      <c r="E43" s="12">
        <v>45118.582638888889</v>
      </c>
      <c r="F43" s="11" t="s">
        <v>285</v>
      </c>
      <c r="G43" s="11" t="s">
        <v>188</v>
      </c>
      <c r="H43" s="11" t="s">
        <v>189</v>
      </c>
      <c r="I43" s="11" t="s">
        <v>190</v>
      </c>
      <c r="J43" s="11" t="s">
        <v>238</v>
      </c>
      <c r="K43" s="13" t="str">
        <f>HYPERLINK("https://us.assetplanner.com/service_request?ID=73743","SR073743")</f>
        <v>SR073743</v>
      </c>
      <c r="L43" s="11" t="s">
        <v>192</v>
      </c>
    </row>
    <row r="44" spans="1:12">
      <c r="A44" s="11" t="s">
        <v>184</v>
      </c>
      <c r="B44" s="11" t="s">
        <v>185</v>
      </c>
      <c r="C44" s="11" t="s">
        <v>264</v>
      </c>
      <c r="D44" s="11" t="s">
        <v>208</v>
      </c>
      <c r="E44" s="12">
        <v>45068.599305555559</v>
      </c>
      <c r="F44" s="11" t="s">
        <v>286</v>
      </c>
      <c r="G44" s="11" t="s">
        <v>188</v>
      </c>
      <c r="H44" s="11" t="s">
        <v>189</v>
      </c>
      <c r="I44" s="11" t="s">
        <v>190</v>
      </c>
      <c r="J44" s="11" t="s">
        <v>238</v>
      </c>
      <c r="K44" s="13" t="str">
        <f>HYPERLINK("https://us.assetplanner.com/service_request?ID=71782","SR071782")</f>
        <v>SR071782</v>
      </c>
      <c r="L44" s="11" t="s">
        <v>192</v>
      </c>
    </row>
    <row r="45" spans="1:12">
      <c r="A45" s="11" t="s">
        <v>184</v>
      </c>
      <c r="B45" s="11" t="s">
        <v>185</v>
      </c>
      <c r="C45" s="11" t="s">
        <v>287</v>
      </c>
      <c r="D45" s="11" t="s">
        <v>79</v>
      </c>
      <c r="E45" s="12">
        <v>45055.59097222222</v>
      </c>
      <c r="F45" s="11" t="s">
        <v>288</v>
      </c>
      <c r="G45" s="11" t="s">
        <v>188</v>
      </c>
      <c r="H45" s="11" t="s">
        <v>189</v>
      </c>
      <c r="I45" s="11" t="s">
        <v>190</v>
      </c>
      <c r="J45" s="11" t="s">
        <v>238</v>
      </c>
      <c r="K45" s="13" t="str">
        <f>HYPERLINK("https://us.assetplanner.com/service_request?ID=71467","SR071467")</f>
        <v>SR071467</v>
      </c>
      <c r="L45" s="11" t="s">
        <v>192</v>
      </c>
    </row>
    <row r="46" spans="1:12">
      <c r="A46" s="11" t="s">
        <v>184</v>
      </c>
      <c r="B46" s="11" t="s">
        <v>185</v>
      </c>
      <c r="C46" s="11" t="s">
        <v>289</v>
      </c>
      <c r="D46" s="11" t="s">
        <v>208</v>
      </c>
      <c r="E46" s="12">
        <v>45037.523611111108</v>
      </c>
      <c r="F46" s="11" t="s">
        <v>290</v>
      </c>
      <c r="G46" s="11" t="s">
        <v>188</v>
      </c>
      <c r="H46" s="11" t="s">
        <v>189</v>
      </c>
      <c r="I46" s="11" t="s">
        <v>190</v>
      </c>
      <c r="J46" s="11" t="s">
        <v>238</v>
      </c>
      <c r="K46" s="13" t="str">
        <f>HYPERLINK("https://us.assetplanner.com/service_request?ID=70992","SR070992")</f>
        <v>SR070992</v>
      </c>
      <c r="L46" s="11" t="s">
        <v>192</v>
      </c>
    </row>
    <row r="47" spans="1:12">
      <c r="A47" s="11" t="s">
        <v>184</v>
      </c>
      <c r="B47" s="11" t="s">
        <v>185</v>
      </c>
      <c r="C47" s="11" t="s">
        <v>291</v>
      </c>
      <c r="D47" s="11" t="s">
        <v>292</v>
      </c>
      <c r="E47" s="12">
        <v>44929.522916666669</v>
      </c>
      <c r="F47" s="11" t="s">
        <v>293</v>
      </c>
      <c r="G47" s="11" t="s">
        <v>188</v>
      </c>
      <c r="H47" s="11" t="s">
        <v>189</v>
      </c>
      <c r="I47" s="11" t="s">
        <v>190</v>
      </c>
      <c r="J47" s="11" t="s">
        <v>238</v>
      </c>
      <c r="K47" s="13" t="str">
        <f>HYPERLINK("https://us.assetplanner.com/service_request?ID=68143","SR068143")</f>
        <v>SR068143</v>
      </c>
      <c r="L47" s="11" t="s">
        <v>192</v>
      </c>
    </row>
    <row r="48" spans="1:12">
      <c r="A48" s="11" t="s">
        <v>166</v>
      </c>
      <c r="B48" s="11" t="s">
        <v>17</v>
      </c>
      <c r="C48" s="11" t="s">
        <v>17</v>
      </c>
      <c r="D48" s="11" t="s">
        <v>17</v>
      </c>
      <c r="E48" s="11" t="s">
        <v>17</v>
      </c>
      <c r="F48" s="11" t="s">
        <v>17</v>
      </c>
      <c r="G48" s="11" t="s">
        <v>17</v>
      </c>
      <c r="H48" s="11" t="s">
        <v>17</v>
      </c>
      <c r="I48" s="11" t="s">
        <v>17</v>
      </c>
      <c r="J48" s="11" t="s">
        <v>17</v>
      </c>
      <c r="K48" s="11"/>
      <c r="L48" s="11" t="s">
        <v>17</v>
      </c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49A8B-D683-4C31-B2D1-E0930305C04A}"/>
</file>

<file path=customXml/itemProps2.xml><?xml version="1.0" encoding="utf-8"?>
<ds:datastoreItem xmlns:ds="http://schemas.openxmlformats.org/officeDocument/2006/customXml" ds:itemID="{56780323-1CDA-4FF8-A322-01EECFEAA114}"/>
</file>

<file path=customXml/itemProps3.xml><?xml version="1.0" encoding="utf-8"?>
<ds:datastoreItem xmlns:ds="http://schemas.openxmlformats.org/officeDocument/2006/customXml" ds:itemID="{EB06B93A-182D-4D42-87C2-FA2E400B7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Kusuma Potlada [AGS]</cp:lastModifiedBy>
  <cp:revision/>
  <dcterms:created xsi:type="dcterms:W3CDTF">2025-12-09T08:22:52Z</dcterms:created>
  <dcterms:modified xsi:type="dcterms:W3CDTF">2025-12-10T09:51:45Z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